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76DFE81B-5314-4B6A-8EA3-9568C36808EB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H1000" i="2"/>
  <c r="R999" i="2"/>
  <c r="L999" i="2"/>
  <c r="M999" i="2" s="1"/>
  <c r="J999" i="2"/>
  <c r="I999" i="2"/>
  <c r="O999" i="2" s="1"/>
  <c r="H999" i="2"/>
  <c r="R998" i="2"/>
  <c r="L998" i="2"/>
  <c r="J998" i="2"/>
  <c r="I998" i="2"/>
  <c r="H998" i="2"/>
  <c r="R997" i="2"/>
  <c r="L997" i="2"/>
  <c r="M997" i="2" s="1"/>
  <c r="N997" i="2" s="1"/>
  <c r="J997" i="2"/>
  <c r="I997" i="2"/>
  <c r="H997" i="2"/>
  <c r="R996" i="2"/>
  <c r="L996" i="2"/>
  <c r="J996" i="2"/>
  <c r="I996" i="2"/>
  <c r="H996" i="2"/>
  <c r="R995" i="2"/>
  <c r="L995" i="2"/>
  <c r="J995" i="2"/>
  <c r="I995" i="2"/>
  <c r="O995" i="2" s="1"/>
  <c r="Q995" i="2" s="1"/>
  <c r="H995" i="2"/>
  <c r="R994" i="2"/>
  <c r="L994" i="2"/>
  <c r="J994" i="2"/>
  <c r="I994" i="2"/>
  <c r="H994" i="2"/>
  <c r="R993" i="2"/>
  <c r="L993" i="2"/>
  <c r="M993" i="2" s="1"/>
  <c r="N993" i="2" s="1"/>
  <c r="J993" i="2"/>
  <c r="I993" i="2"/>
  <c r="O993" i="2" s="1"/>
  <c r="Q993" i="2" s="1"/>
  <c r="H993" i="2"/>
  <c r="R992" i="2"/>
  <c r="L992" i="2"/>
  <c r="J992" i="2"/>
  <c r="I992" i="2"/>
  <c r="O992" i="2" s="1"/>
  <c r="P992" i="2" s="1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O990" i="2" s="1"/>
  <c r="P990" i="2" s="1"/>
  <c r="H990" i="2"/>
  <c r="R989" i="2"/>
  <c r="L989" i="2"/>
  <c r="J989" i="2"/>
  <c r="I989" i="2"/>
  <c r="O989" i="2" s="1"/>
  <c r="H989" i="2"/>
  <c r="R988" i="2"/>
  <c r="L988" i="2"/>
  <c r="M988" i="2" s="1"/>
  <c r="J988" i="2"/>
  <c r="I988" i="2"/>
  <c r="H988" i="2"/>
  <c r="R987" i="2"/>
  <c r="L987" i="2"/>
  <c r="J987" i="2"/>
  <c r="I987" i="2"/>
  <c r="O987" i="2" s="1"/>
  <c r="H987" i="2"/>
  <c r="R986" i="2"/>
  <c r="L986" i="2"/>
  <c r="M986" i="2" s="1"/>
  <c r="N986" i="2" s="1"/>
  <c r="J986" i="2"/>
  <c r="I986" i="2"/>
  <c r="O986" i="2" s="1"/>
  <c r="H986" i="2"/>
  <c r="R985" i="2"/>
  <c r="L985" i="2"/>
  <c r="J985" i="2"/>
  <c r="I985" i="2"/>
  <c r="H985" i="2"/>
  <c r="R984" i="2"/>
  <c r="L984" i="2"/>
  <c r="J984" i="2"/>
  <c r="I984" i="2"/>
  <c r="H984" i="2"/>
  <c r="R983" i="2"/>
  <c r="L983" i="2"/>
  <c r="M983" i="2" s="1"/>
  <c r="J983" i="2"/>
  <c r="I983" i="2"/>
  <c r="O983" i="2" s="1"/>
  <c r="P983" i="2" s="1"/>
  <c r="H983" i="2"/>
  <c r="R982" i="2"/>
  <c r="L982" i="2"/>
  <c r="M982" i="2" s="1"/>
  <c r="N982" i="2" s="1"/>
  <c r="J982" i="2"/>
  <c r="I982" i="2"/>
  <c r="H982" i="2"/>
  <c r="R981" i="2"/>
  <c r="L981" i="2"/>
  <c r="M981" i="2" s="1"/>
  <c r="J981" i="2"/>
  <c r="I981" i="2"/>
  <c r="O981" i="2" s="1"/>
  <c r="P981" i="2" s="1"/>
  <c r="H981" i="2"/>
  <c r="R980" i="2"/>
  <c r="L980" i="2"/>
  <c r="J980" i="2"/>
  <c r="I980" i="2"/>
  <c r="O980" i="2" s="1"/>
  <c r="H980" i="2"/>
  <c r="R979" i="2"/>
  <c r="L979" i="2"/>
  <c r="M979" i="2" s="1"/>
  <c r="N979" i="2" s="1"/>
  <c r="J979" i="2"/>
  <c r="I979" i="2"/>
  <c r="O979" i="2" s="1"/>
  <c r="P979" i="2" s="1"/>
  <c r="H979" i="2"/>
  <c r="R978" i="2"/>
  <c r="L978" i="2"/>
  <c r="J978" i="2"/>
  <c r="I978" i="2"/>
  <c r="H978" i="2"/>
  <c r="R977" i="2"/>
  <c r="L977" i="2"/>
  <c r="J977" i="2"/>
  <c r="I977" i="2"/>
  <c r="O977" i="2" s="1"/>
  <c r="Q977" i="2" s="1"/>
  <c r="H977" i="2"/>
  <c r="R976" i="2"/>
  <c r="L976" i="2"/>
  <c r="M976" i="2" s="1"/>
  <c r="J976" i="2"/>
  <c r="I976" i="2"/>
  <c r="O976" i="2" s="1"/>
  <c r="H976" i="2"/>
  <c r="R975" i="2"/>
  <c r="L975" i="2"/>
  <c r="M975" i="2" s="1"/>
  <c r="J975" i="2"/>
  <c r="I975" i="2"/>
  <c r="H975" i="2"/>
  <c r="R974" i="2"/>
  <c r="L974" i="2"/>
  <c r="M974" i="2" s="1"/>
  <c r="J974" i="2"/>
  <c r="I974" i="2"/>
  <c r="O974" i="2" s="1"/>
  <c r="H974" i="2"/>
  <c r="R973" i="2"/>
  <c r="L973" i="2"/>
  <c r="M973" i="2" s="1"/>
  <c r="N973" i="2" s="1"/>
  <c r="J973" i="2"/>
  <c r="I973" i="2"/>
  <c r="O973" i="2" s="1"/>
  <c r="Q973" i="2" s="1"/>
  <c r="H973" i="2"/>
  <c r="R972" i="2"/>
  <c r="L972" i="2"/>
  <c r="J972" i="2"/>
  <c r="I972" i="2"/>
  <c r="O972" i="2" s="1"/>
  <c r="H972" i="2"/>
  <c r="R971" i="2"/>
  <c r="L971" i="2"/>
  <c r="J971" i="2"/>
  <c r="I971" i="2"/>
  <c r="H971" i="2"/>
  <c r="R970" i="2"/>
  <c r="L970" i="2"/>
  <c r="M970" i="2" s="1"/>
  <c r="N970" i="2" s="1"/>
  <c r="J970" i="2"/>
  <c r="I970" i="2"/>
  <c r="O970" i="2" s="1"/>
  <c r="H970" i="2"/>
  <c r="R969" i="2"/>
  <c r="L969" i="2"/>
  <c r="J969" i="2"/>
  <c r="I969" i="2"/>
  <c r="H969" i="2"/>
  <c r="R968" i="2"/>
  <c r="L968" i="2"/>
  <c r="M968" i="2" s="1"/>
  <c r="N968" i="2" s="1"/>
  <c r="J968" i="2"/>
  <c r="I968" i="2"/>
  <c r="O968" i="2" s="1"/>
  <c r="H968" i="2"/>
  <c r="R967" i="2"/>
  <c r="L967" i="2"/>
  <c r="M967" i="2" s="1"/>
  <c r="J967" i="2"/>
  <c r="I967" i="2"/>
  <c r="O967" i="2" s="1"/>
  <c r="H967" i="2"/>
  <c r="R966" i="2"/>
  <c r="L966" i="2"/>
  <c r="M966" i="2" s="1"/>
  <c r="N966" i="2" s="1"/>
  <c r="J966" i="2"/>
  <c r="I966" i="2"/>
  <c r="O966" i="2" s="1"/>
  <c r="Q966" i="2" s="1"/>
  <c r="H966" i="2"/>
  <c r="R965" i="2"/>
  <c r="L965" i="2"/>
  <c r="M965" i="2" s="1"/>
  <c r="J965" i="2"/>
  <c r="I965" i="2"/>
  <c r="H965" i="2"/>
  <c r="R964" i="2"/>
  <c r="L964" i="2"/>
  <c r="J964" i="2"/>
  <c r="I964" i="2"/>
  <c r="O964" i="2" s="1"/>
  <c r="Q964" i="2" s="1"/>
  <c r="H964" i="2"/>
  <c r="R963" i="2"/>
  <c r="L963" i="2"/>
  <c r="J963" i="2"/>
  <c r="I963" i="2"/>
  <c r="O963" i="2" s="1"/>
  <c r="H963" i="2"/>
  <c r="R962" i="2"/>
  <c r="L962" i="2"/>
  <c r="M962" i="2" s="1"/>
  <c r="N962" i="2" s="1"/>
  <c r="J962" i="2"/>
  <c r="I962" i="2"/>
  <c r="H962" i="2"/>
  <c r="R961" i="2"/>
  <c r="L961" i="2"/>
  <c r="J961" i="2"/>
  <c r="I961" i="2"/>
  <c r="H961" i="2"/>
  <c r="R960" i="2"/>
  <c r="L960" i="2"/>
  <c r="J960" i="2"/>
  <c r="I960" i="2"/>
  <c r="O960" i="2" s="1"/>
  <c r="H960" i="2"/>
  <c r="R959" i="2"/>
  <c r="L959" i="2"/>
  <c r="J959" i="2"/>
  <c r="I959" i="2"/>
  <c r="O959" i="2" s="1"/>
  <c r="H959" i="2"/>
  <c r="R958" i="2"/>
  <c r="L958" i="2"/>
  <c r="M958" i="2" s="1"/>
  <c r="J958" i="2"/>
  <c r="I958" i="2"/>
  <c r="H958" i="2"/>
  <c r="R957" i="2"/>
  <c r="L957" i="2"/>
  <c r="M957" i="2" s="1"/>
  <c r="N957" i="2" s="1"/>
  <c r="J957" i="2"/>
  <c r="I957" i="2"/>
  <c r="H957" i="2"/>
  <c r="R956" i="2"/>
  <c r="L956" i="2"/>
  <c r="J956" i="2"/>
  <c r="I956" i="2"/>
  <c r="H956" i="2"/>
  <c r="R955" i="2"/>
  <c r="L955" i="2"/>
  <c r="J955" i="2"/>
  <c r="I955" i="2"/>
  <c r="O955" i="2" s="1"/>
  <c r="H955" i="2"/>
  <c r="R954" i="2"/>
  <c r="L954" i="2"/>
  <c r="J954" i="2"/>
  <c r="I954" i="2"/>
  <c r="H954" i="2"/>
  <c r="R953" i="2"/>
  <c r="L953" i="2"/>
  <c r="M953" i="2" s="1"/>
  <c r="N953" i="2" s="1"/>
  <c r="J953" i="2"/>
  <c r="I953" i="2"/>
  <c r="O953" i="2" s="1"/>
  <c r="P953" i="2" s="1"/>
  <c r="H953" i="2"/>
  <c r="R952" i="2"/>
  <c r="L952" i="2"/>
  <c r="J952" i="2"/>
  <c r="I952" i="2"/>
  <c r="O952" i="2" s="1"/>
  <c r="H952" i="2"/>
  <c r="R951" i="2"/>
  <c r="L951" i="2"/>
  <c r="J951" i="2"/>
  <c r="I951" i="2"/>
  <c r="H951" i="2"/>
  <c r="R950" i="2"/>
  <c r="L950" i="2"/>
  <c r="J950" i="2"/>
  <c r="I950" i="2"/>
  <c r="H950" i="2"/>
  <c r="R949" i="2"/>
  <c r="L949" i="2"/>
  <c r="J949" i="2"/>
  <c r="I949" i="2"/>
  <c r="O949" i="2" s="1"/>
  <c r="H949" i="2"/>
  <c r="R948" i="2"/>
  <c r="L948" i="2"/>
  <c r="J948" i="2"/>
  <c r="I948" i="2"/>
  <c r="O948" i="2" s="1"/>
  <c r="H948" i="2"/>
  <c r="R947" i="2"/>
  <c r="L947" i="2"/>
  <c r="J947" i="2"/>
  <c r="I947" i="2"/>
  <c r="O947" i="2" s="1"/>
  <c r="H947" i="2"/>
  <c r="R946" i="2"/>
  <c r="L946" i="2"/>
  <c r="J946" i="2"/>
  <c r="I946" i="2"/>
  <c r="O946" i="2" s="1"/>
  <c r="Q946" i="2" s="1"/>
  <c r="H946" i="2"/>
  <c r="R945" i="2"/>
  <c r="L945" i="2"/>
  <c r="M945" i="2" s="1"/>
  <c r="J945" i="2"/>
  <c r="I945" i="2"/>
  <c r="H945" i="2"/>
  <c r="R944" i="2"/>
  <c r="L944" i="2"/>
  <c r="J944" i="2"/>
  <c r="I944" i="2"/>
  <c r="H944" i="2"/>
  <c r="R943" i="2"/>
  <c r="L943" i="2"/>
  <c r="J943" i="2"/>
  <c r="I943" i="2"/>
  <c r="O943" i="2" s="1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H941" i="2"/>
  <c r="R940" i="2"/>
  <c r="L940" i="2"/>
  <c r="J940" i="2"/>
  <c r="I940" i="2"/>
  <c r="O940" i="2" s="1"/>
  <c r="H940" i="2"/>
  <c r="R939" i="2"/>
  <c r="L939" i="2"/>
  <c r="M939" i="2" s="1"/>
  <c r="N939" i="2" s="1"/>
  <c r="J939" i="2"/>
  <c r="I939" i="2"/>
  <c r="O939" i="2" s="1"/>
  <c r="P939" i="2" s="1"/>
  <c r="H939" i="2"/>
  <c r="R938" i="2"/>
  <c r="L938" i="2"/>
  <c r="M938" i="2" s="1"/>
  <c r="J938" i="2"/>
  <c r="I938" i="2"/>
  <c r="O938" i="2" s="1"/>
  <c r="H938" i="2"/>
  <c r="R937" i="2"/>
  <c r="L937" i="2"/>
  <c r="J937" i="2"/>
  <c r="I937" i="2"/>
  <c r="H937" i="2"/>
  <c r="R936" i="2"/>
  <c r="L936" i="2"/>
  <c r="M936" i="2" s="1"/>
  <c r="J936" i="2"/>
  <c r="I936" i="2"/>
  <c r="O936" i="2" s="1"/>
  <c r="H936" i="2"/>
  <c r="R935" i="2"/>
  <c r="L935" i="2"/>
  <c r="M935" i="2" s="1"/>
  <c r="N935" i="2" s="1"/>
  <c r="J935" i="2"/>
  <c r="I935" i="2"/>
  <c r="K935" i="2" s="1"/>
  <c r="H935" i="2"/>
  <c r="R934" i="2"/>
  <c r="L934" i="2"/>
  <c r="J934" i="2"/>
  <c r="I934" i="2"/>
  <c r="H934" i="2"/>
  <c r="R933" i="2"/>
  <c r="L933" i="2"/>
  <c r="M933" i="2" s="1"/>
  <c r="N933" i="2" s="1"/>
  <c r="J933" i="2"/>
  <c r="I933" i="2"/>
  <c r="O933" i="2" s="1"/>
  <c r="H933" i="2"/>
  <c r="R932" i="2"/>
  <c r="L932" i="2"/>
  <c r="J932" i="2"/>
  <c r="I932" i="2"/>
  <c r="O932" i="2" s="1"/>
  <c r="H932" i="2"/>
  <c r="R931" i="2"/>
  <c r="L931" i="2"/>
  <c r="J931" i="2"/>
  <c r="I931" i="2"/>
  <c r="H931" i="2"/>
  <c r="R930" i="2"/>
  <c r="L930" i="2"/>
  <c r="J930" i="2"/>
  <c r="I930" i="2"/>
  <c r="H930" i="2"/>
  <c r="R929" i="2"/>
  <c r="L929" i="2"/>
  <c r="J929" i="2"/>
  <c r="I929" i="2"/>
  <c r="H929" i="2"/>
  <c r="R928" i="2"/>
  <c r="L928" i="2"/>
  <c r="M928" i="2" s="1"/>
  <c r="N928" i="2" s="1"/>
  <c r="J928" i="2"/>
  <c r="I928" i="2"/>
  <c r="O928" i="2" s="1"/>
  <c r="Q928" i="2" s="1"/>
  <c r="H928" i="2"/>
  <c r="R927" i="2"/>
  <c r="L927" i="2"/>
  <c r="M927" i="2" s="1"/>
  <c r="N927" i="2" s="1"/>
  <c r="J927" i="2"/>
  <c r="I927" i="2"/>
  <c r="O927" i="2" s="1"/>
  <c r="H927" i="2"/>
  <c r="R926" i="2"/>
  <c r="L926" i="2"/>
  <c r="M926" i="2" s="1"/>
  <c r="N926" i="2" s="1"/>
  <c r="J926" i="2"/>
  <c r="I926" i="2"/>
  <c r="O926" i="2" s="1"/>
  <c r="H926" i="2"/>
  <c r="R925" i="2"/>
  <c r="L925" i="2"/>
  <c r="M925" i="2" s="1"/>
  <c r="J925" i="2"/>
  <c r="I925" i="2"/>
  <c r="O925" i="2" s="1"/>
  <c r="H925" i="2"/>
  <c r="R924" i="2"/>
  <c r="L924" i="2"/>
  <c r="J924" i="2"/>
  <c r="I924" i="2"/>
  <c r="H924" i="2"/>
  <c r="R923" i="2"/>
  <c r="L923" i="2"/>
  <c r="J923" i="2"/>
  <c r="I923" i="2"/>
  <c r="H923" i="2"/>
  <c r="R922" i="2"/>
  <c r="L922" i="2"/>
  <c r="M922" i="2" s="1"/>
  <c r="N922" i="2" s="1"/>
  <c r="J922" i="2"/>
  <c r="I922" i="2"/>
  <c r="H922" i="2"/>
  <c r="R921" i="2"/>
  <c r="L921" i="2"/>
  <c r="J921" i="2"/>
  <c r="I921" i="2"/>
  <c r="O921" i="2" s="1"/>
  <c r="H921" i="2"/>
  <c r="R920" i="2"/>
  <c r="L920" i="2"/>
  <c r="J920" i="2"/>
  <c r="I920" i="2"/>
  <c r="H920" i="2"/>
  <c r="R919" i="2"/>
  <c r="L919" i="2"/>
  <c r="M919" i="2" s="1"/>
  <c r="N919" i="2" s="1"/>
  <c r="J919" i="2"/>
  <c r="I919" i="2"/>
  <c r="O919" i="2" s="1"/>
  <c r="P919" i="2" s="1"/>
  <c r="H919" i="2"/>
  <c r="R918" i="2"/>
  <c r="L918" i="2"/>
  <c r="M918" i="2" s="1"/>
  <c r="J918" i="2"/>
  <c r="I918" i="2"/>
  <c r="O918" i="2" s="1"/>
  <c r="H918" i="2"/>
  <c r="R917" i="2"/>
  <c r="L917" i="2"/>
  <c r="J917" i="2"/>
  <c r="I917" i="2"/>
  <c r="H917" i="2"/>
  <c r="R916" i="2"/>
  <c r="L916" i="2"/>
  <c r="M916" i="2" s="1"/>
  <c r="J916" i="2"/>
  <c r="I916" i="2"/>
  <c r="O916" i="2" s="1"/>
  <c r="H916" i="2"/>
  <c r="R915" i="2"/>
  <c r="L915" i="2"/>
  <c r="M915" i="2" s="1"/>
  <c r="J915" i="2"/>
  <c r="I915" i="2"/>
  <c r="O915" i="2" s="1"/>
  <c r="H915" i="2"/>
  <c r="R914" i="2"/>
  <c r="L914" i="2"/>
  <c r="M914" i="2" s="1"/>
  <c r="J914" i="2"/>
  <c r="I914" i="2"/>
  <c r="H914" i="2"/>
  <c r="R913" i="2"/>
  <c r="L913" i="2"/>
  <c r="M913" i="2" s="1"/>
  <c r="N913" i="2" s="1"/>
  <c r="J913" i="2"/>
  <c r="I913" i="2"/>
  <c r="O913" i="2" s="1"/>
  <c r="Q913" i="2" s="1"/>
  <c r="H913" i="2"/>
  <c r="R912" i="2"/>
  <c r="L912" i="2"/>
  <c r="J912" i="2"/>
  <c r="I912" i="2"/>
  <c r="H912" i="2"/>
  <c r="R911" i="2"/>
  <c r="L911" i="2"/>
  <c r="J911" i="2"/>
  <c r="I911" i="2"/>
  <c r="H911" i="2"/>
  <c r="R910" i="2"/>
  <c r="L910" i="2"/>
  <c r="J910" i="2"/>
  <c r="I910" i="2"/>
  <c r="H910" i="2"/>
  <c r="R909" i="2"/>
  <c r="L909" i="2"/>
  <c r="J909" i="2"/>
  <c r="I909" i="2"/>
  <c r="O909" i="2" s="1"/>
  <c r="H909" i="2"/>
  <c r="R908" i="2"/>
  <c r="L908" i="2"/>
  <c r="M908" i="2" s="1"/>
  <c r="N908" i="2" s="1"/>
  <c r="J908" i="2"/>
  <c r="I908" i="2"/>
  <c r="O908" i="2" s="1"/>
  <c r="H908" i="2"/>
  <c r="R907" i="2"/>
  <c r="L907" i="2"/>
  <c r="M907" i="2" s="1"/>
  <c r="J907" i="2"/>
  <c r="I907" i="2"/>
  <c r="H907" i="2"/>
  <c r="R906" i="2"/>
  <c r="L906" i="2"/>
  <c r="M906" i="2" s="1"/>
  <c r="N906" i="2" s="1"/>
  <c r="J906" i="2"/>
  <c r="I906" i="2"/>
  <c r="O906" i="2" s="1"/>
  <c r="H906" i="2"/>
  <c r="R905" i="2"/>
  <c r="L905" i="2"/>
  <c r="M905" i="2" s="1"/>
  <c r="N905" i="2" s="1"/>
  <c r="J905" i="2"/>
  <c r="I905" i="2"/>
  <c r="O905" i="2" s="1"/>
  <c r="H905" i="2"/>
  <c r="R904" i="2"/>
  <c r="L904" i="2"/>
  <c r="J904" i="2"/>
  <c r="I904" i="2"/>
  <c r="O904" i="2" s="1"/>
  <c r="Q904" i="2" s="1"/>
  <c r="H904" i="2"/>
  <c r="R903" i="2"/>
  <c r="L903" i="2"/>
  <c r="M903" i="2" s="1"/>
  <c r="N903" i="2" s="1"/>
  <c r="J903" i="2"/>
  <c r="I903" i="2"/>
  <c r="O903" i="2" s="1"/>
  <c r="H903" i="2"/>
  <c r="R902" i="2"/>
  <c r="L902" i="2"/>
  <c r="M902" i="2" s="1"/>
  <c r="N902" i="2" s="1"/>
  <c r="J902" i="2"/>
  <c r="I902" i="2"/>
  <c r="H902" i="2"/>
  <c r="R901" i="2"/>
  <c r="L901" i="2"/>
  <c r="J901" i="2"/>
  <c r="I901" i="2"/>
  <c r="O901" i="2" s="1"/>
  <c r="P901" i="2" s="1"/>
  <c r="H901" i="2"/>
  <c r="R900" i="2"/>
  <c r="L900" i="2"/>
  <c r="J900" i="2"/>
  <c r="I900" i="2"/>
  <c r="O900" i="2" s="1"/>
  <c r="H900" i="2"/>
  <c r="R899" i="2"/>
  <c r="L899" i="2"/>
  <c r="M899" i="2" s="1"/>
  <c r="N899" i="2" s="1"/>
  <c r="J899" i="2"/>
  <c r="I899" i="2"/>
  <c r="O899" i="2" s="1"/>
  <c r="H899" i="2"/>
  <c r="R898" i="2"/>
  <c r="L898" i="2"/>
  <c r="J898" i="2"/>
  <c r="I898" i="2"/>
  <c r="H898" i="2"/>
  <c r="R897" i="2"/>
  <c r="L897" i="2"/>
  <c r="J897" i="2"/>
  <c r="I897" i="2"/>
  <c r="H897" i="2"/>
  <c r="R896" i="2"/>
  <c r="L896" i="2"/>
  <c r="J896" i="2"/>
  <c r="I896" i="2"/>
  <c r="O896" i="2" s="1"/>
  <c r="H896" i="2"/>
  <c r="R895" i="2"/>
  <c r="L895" i="2"/>
  <c r="M895" i="2" s="1"/>
  <c r="J895" i="2"/>
  <c r="I895" i="2"/>
  <c r="O895" i="2" s="1"/>
  <c r="P895" i="2" s="1"/>
  <c r="H895" i="2"/>
  <c r="R894" i="2"/>
  <c r="L894" i="2"/>
  <c r="J894" i="2"/>
  <c r="I894" i="2"/>
  <c r="H894" i="2"/>
  <c r="R893" i="2"/>
  <c r="L893" i="2"/>
  <c r="M893" i="2" s="1"/>
  <c r="N893" i="2" s="1"/>
  <c r="J893" i="2"/>
  <c r="I893" i="2"/>
  <c r="O893" i="2" s="1"/>
  <c r="Q893" i="2" s="1"/>
  <c r="H893" i="2"/>
  <c r="R892" i="2"/>
  <c r="L892" i="2"/>
  <c r="M892" i="2" s="1"/>
  <c r="J892" i="2"/>
  <c r="I892" i="2"/>
  <c r="H892" i="2"/>
  <c r="R891" i="2"/>
  <c r="L891" i="2"/>
  <c r="J891" i="2"/>
  <c r="I891" i="2"/>
  <c r="H891" i="2"/>
  <c r="R890" i="2"/>
  <c r="L890" i="2"/>
  <c r="J890" i="2"/>
  <c r="I890" i="2"/>
  <c r="H890" i="2"/>
  <c r="R889" i="2"/>
  <c r="L889" i="2"/>
  <c r="J889" i="2"/>
  <c r="I889" i="2"/>
  <c r="O889" i="2" s="1"/>
  <c r="H889" i="2"/>
  <c r="R888" i="2"/>
  <c r="L888" i="2"/>
  <c r="M888" i="2" s="1"/>
  <c r="N888" i="2" s="1"/>
  <c r="J888" i="2"/>
  <c r="I888" i="2"/>
  <c r="O888" i="2" s="1"/>
  <c r="Q888" i="2" s="1"/>
  <c r="H888" i="2"/>
  <c r="R887" i="2"/>
  <c r="L887" i="2"/>
  <c r="J887" i="2"/>
  <c r="I887" i="2"/>
  <c r="O887" i="2" s="1"/>
  <c r="H887" i="2"/>
  <c r="R886" i="2"/>
  <c r="L886" i="2"/>
  <c r="M886" i="2" s="1"/>
  <c r="N886" i="2" s="1"/>
  <c r="J886" i="2"/>
  <c r="I886" i="2"/>
  <c r="O886" i="2" s="1"/>
  <c r="Q886" i="2" s="1"/>
  <c r="H886" i="2"/>
  <c r="R885" i="2"/>
  <c r="L885" i="2"/>
  <c r="J885" i="2"/>
  <c r="I885" i="2"/>
  <c r="H885" i="2"/>
  <c r="R884" i="2"/>
  <c r="L884" i="2"/>
  <c r="J884" i="2"/>
  <c r="I884" i="2"/>
  <c r="H884" i="2"/>
  <c r="R883" i="2"/>
  <c r="L883" i="2"/>
  <c r="M883" i="2" s="1"/>
  <c r="N883" i="2" s="1"/>
  <c r="J883" i="2"/>
  <c r="I883" i="2"/>
  <c r="O883" i="2" s="1"/>
  <c r="H883" i="2"/>
  <c r="R882" i="2"/>
  <c r="L882" i="2"/>
  <c r="M882" i="2" s="1"/>
  <c r="N882" i="2" s="1"/>
  <c r="J882" i="2"/>
  <c r="I882" i="2"/>
  <c r="H882" i="2"/>
  <c r="R881" i="2"/>
  <c r="L881" i="2"/>
  <c r="M881" i="2" s="1"/>
  <c r="J881" i="2"/>
  <c r="I881" i="2"/>
  <c r="O881" i="2" s="1"/>
  <c r="H881" i="2"/>
  <c r="R880" i="2"/>
  <c r="L880" i="2"/>
  <c r="J880" i="2"/>
  <c r="I880" i="2"/>
  <c r="O880" i="2" s="1"/>
  <c r="H880" i="2"/>
  <c r="R879" i="2"/>
  <c r="L879" i="2"/>
  <c r="M879" i="2" s="1"/>
  <c r="J879" i="2"/>
  <c r="I879" i="2"/>
  <c r="O879" i="2" s="1"/>
  <c r="P879" i="2" s="1"/>
  <c r="H879" i="2"/>
  <c r="R878" i="2"/>
  <c r="L878" i="2"/>
  <c r="J878" i="2"/>
  <c r="I878" i="2"/>
  <c r="H878" i="2"/>
  <c r="R877" i="2"/>
  <c r="L877" i="2"/>
  <c r="J877" i="2"/>
  <c r="I877" i="2"/>
  <c r="H877" i="2"/>
  <c r="R876" i="2"/>
  <c r="L876" i="2"/>
  <c r="M876" i="2" s="1"/>
  <c r="J876" i="2"/>
  <c r="I876" i="2"/>
  <c r="H876" i="2"/>
  <c r="R875" i="2"/>
  <c r="L875" i="2"/>
  <c r="M875" i="2" s="1"/>
  <c r="J875" i="2"/>
  <c r="I875" i="2"/>
  <c r="O875" i="2" s="1"/>
  <c r="H875" i="2"/>
  <c r="R874" i="2"/>
  <c r="L874" i="2"/>
  <c r="J874" i="2"/>
  <c r="I874" i="2"/>
  <c r="H874" i="2"/>
  <c r="R873" i="2"/>
  <c r="L873" i="2"/>
  <c r="M873" i="2" s="1"/>
  <c r="N873" i="2" s="1"/>
  <c r="J873" i="2"/>
  <c r="I873" i="2"/>
  <c r="O873" i="2" s="1"/>
  <c r="Q873" i="2" s="1"/>
  <c r="H873" i="2"/>
  <c r="R872" i="2"/>
  <c r="L872" i="2"/>
  <c r="J872" i="2"/>
  <c r="I872" i="2"/>
  <c r="O872" i="2" s="1"/>
  <c r="H872" i="2"/>
  <c r="R871" i="2"/>
  <c r="L871" i="2"/>
  <c r="J871" i="2"/>
  <c r="I871" i="2"/>
  <c r="H871" i="2"/>
  <c r="R870" i="2"/>
  <c r="L870" i="2"/>
  <c r="J870" i="2"/>
  <c r="I870" i="2"/>
  <c r="H870" i="2"/>
  <c r="R869" i="2"/>
  <c r="L869" i="2"/>
  <c r="J869" i="2"/>
  <c r="I869" i="2"/>
  <c r="O869" i="2" s="1"/>
  <c r="H869" i="2"/>
  <c r="R868" i="2"/>
  <c r="L868" i="2"/>
  <c r="M868" i="2" s="1"/>
  <c r="N868" i="2" s="1"/>
  <c r="J868" i="2"/>
  <c r="I868" i="2"/>
  <c r="O868" i="2" s="1"/>
  <c r="Q868" i="2" s="1"/>
  <c r="H868" i="2"/>
  <c r="R867" i="2"/>
  <c r="L867" i="2"/>
  <c r="J867" i="2"/>
  <c r="I867" i="2"/>
  <c r="H867" i="2"/>
  <c r="R866" i="2"/>
  <c r="L866" i="2"/>
  <c r="M866" i="2" s="1"/>
  <c r="N866" i="2" s="1"/>
  <c r="J866" i="2"/>
  <c r="I866" i="2"/>
  <c r="O866" i="2" s="1"/>
  <c r="H866" i="2"/>
  <c r="R865" i="2"/>
  <c r="L865" i="2"/>
  <c r="M865" i="2" s="1"/>
  <c r="N865" i="2" s="1"/>
  <c r="J865" i="2"/>
  <c r="I865" i="2"/>
  <c r="O865" i="2" s="1"/>
  <c r="H865" i="2"/>
  <c r="R864" i="2"/>
  <c r="L864" i="2"/>
  <c r="J864" i="2"/>
  <c r="I864" i="2"/>
  <c r="O864" i="2" s="1"/>
  <c r="Q864" i="2" s="1"/>
  <c r="H864" i="2"/>
  <c r="R863" i="2"/>
  <c r="L863" i="2"/>
  <c r="M863" i="2" s="1"/>
  <c r="J863" i="2"/>
  <c r="I863" i="2"/>
  <c r="H863" i="2"/>
  <c r="R862" i="2"/>
  <c r="L862" i="2"/>
  <c r="M862" i="2" s="1"/>
  <c r="N862" i="2" s="1"/>
  <c r="J862" i="2"/>
  <c r="I862" i="2"/>
  <c r="H862" i="2"/>
  <c r="R861" i="2"/>
  <c r="L861" i="2"/>
  <c r="M861" i="2" s="1"/>
  <c r="J861" i="2"/>
  <c r="I861" i="2"/>
  <c r="O861" i="2" s="1"/>
  <c r="P861" i="2" s="1"/>
  <c r="H861" i="2"/>
  <c r="R860" i="2"/>
  <c r="L860" i="2"/>
  <c r="J860" i="2"/>
  <c r="I860" i="2"/>
  <c r="H860" i="2"/>
  <c r="R859" i="2"/>
  <c r="L859" i="2"/>
  <c r="M859" i="2" s="1"/>
  <c r="J859" i="2"/>
  <c r="I859" i="2"/>
  <c r="O859" i="2" s="1"/>
  <c r="H859" i="2"/>
  <c r="R858" i="2"/>
  <c r="L858" i="2"/>
  <c r="J858" i="2"/>
  <c r="I858" i="2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O856" i="2" s="1"/>
  <c r="H856" i="2"/>
  <c r="R855" i="2"/>
  <c r="L855" i="2"/>
  <c r="M855" i="2" s="1"/>
  <c r="J855" i="2"/>
  <c r="I855" i="2"/>
  <c r="O855" i="2" s="1"/>
  <c r="Q855" i="2" s="1"/>
  <c r="H855" i="2"/>
  <c r="R854" i="2"/>
  <c r="L854" i="2"/>
  <c r="M854" i="2" s="1"/>
  <c r="N854" i="2" s="1"/>
  <c r="J854" i="2"/>
  <c r="I854" i="2"/>
  <c r="O854" i="2" s="1"/>
  <c r="H854" i="2"/>
  <c r="R853" i="2"/>
  <c r="L853" i="2"/>
  <c r="M853" i="2" s="1"/>
  <c r="N853" i="2" s="1"/>
  <c r="J853" i="2"/>
  <c r="I853" i="2"/>
  <c r="O853" i="2" s="1"/>
  <c r="H853" i="2"/>
  <c r="R852" i="2"/>
  <c r="L852" i="2"/>
  <c r="J852" i="2"/>
  <c r="I852" i="2"/>
  <c r="O852" i="2" s="1"/>
  <c r="H852" i="2"/>
  <c r="R851" i="2"/>
  <c r="L851" i="2"/>
  <c r="J851" i="2"/>
  <c r="I851" i="2"/>
  <c r="H851" i="2"/>
  <c r="R850" i="2"/>
  <c r="L850" i="2"/>
  <c r="J850" i="2"/>
  <c r="I850" i="2"/>
  <c r="H850" i="2"/>
  <c r="R849" i="2"/>
  <c r="L849" i="2"/>
  <c r="J849" i="2"/>
  <c r="I849" i="2"/>
  <c r="H849" i="2"/>
  <c r="R848" i="2"/>
  <c r="L848" i="2"/>
  <c r="M848" i="2" s="1"/>
  <c r="N848" i="2" s="1"/>
  <c r="J848" i="2"/>
  <c r="I848" i="2"/>
  <c r="O848" i="2" s="1"/>
  <c r="H848" i="2"/>
  <c r="R847" i="2"/>
  <c r="L847" i="2"/>
  <c r="J847" i="2"/>
  <c r="I847" i="2"/>
  <c r="H847" i="2"/>
  <c r="R846" i="2"/>
  <c r="L846" i="2"/>
  <c r="M846" i="2" s="1"/>
  <c r="N846" i="2" s="1"/>
  <c r="J846" i="2"/>
  <c r="I846" i="2"/>
  <c r="O846" i="2" s="1"/>
  <c r="Q846" i="2" s="1"/>
  <c r="H846" i="2"/>
  <c r="R845" i="2"/>
  <c r="L845" i="2"/>
  <c r="J845" i="2"/>
  <c r="I845" i="2"/>
  <c r="H845" i="2"/>
  <c r="R844" i="2"/>
  <c r="L844" i="2"/>
  <c r="J844" i="2"/>
  <c r="I844" i="2"/>
  <c r="H844" i="2"/>
  <c r="R843" i="2"/>
  <c r="L843" i="2"/>
  <c r="J843" i="2"/>
  <c r="I843" i="2"/>
  <c r="H843" i="2"/>
  <c r="R842" i="2"/>
  <c r="L842" i="2"/>
  <c r="M842" i="2" s="1"/>
  <c r="N842" i="2" s="1"/>
  <c r="J842" i="2"/>
  <c r="I842" i="2"/>
  <c r="H842" i="2"/>
  <c r="R841" i="2"/>
  <c r="L841" i="2"/>
  <c r="M841" i="2" s="1"/>
  <c r="J841" i="2"/>
  <c r="I841" i="2"/>
  <c r="O841" i="2" s="1"/>
  <c r="H841" i="2"/>
  <c r="R840" i="2"/>
  <c r="L840" i="2"/>
  <c r="J840" i="2"/>
  <c r="I840" i="2"/>
  <c r="H840" i="2"/>
  <c r="R839" i="2"/>
  <c r="L839" i="2"/>
  <c r="J839" i="2"/>
  <c r="I839" i="2"/>
  <c r="O839" i="2" s="1"/>
  <c r="Q839" i="2" s="1"/>
  <c r="H839" i="2"/>
  <c r="R838" i="2"/>
  <c r="L838" i="2"/>
  <c r="M838" i="2" s="1"/>
  <c r="J838" i="2"/>
  <c r="I838" i="2"/>
  <c r="O838" i="2" s="1"/>
  <c r="H838" i="2"/>
  <c r="R837" i="2"/>
  <c r="L837" i="2"/>
  <c r="M837" i="2" s="1"/>
  <c r="N837" i="2" s="1"/>
  <c r="J837" i="2"/>
  <c r="I837" i="2"/>
  <c r="O837" i="2" s="1"/>
  <c r="H837" i="2"/>
  <c r="R836" i="2"/>
  <c r="L836" i="2"/>
  <c r="M836" i="2" s="1"/>
  <c r="J836" i="2"/>
  <c r="I836" i="2"/>
  <c r="O836" i="2" s="1"/>
  <c r="H836" i="2"/>
  <c r="R835" i="2"/>
  <c r="L835" i="2"/>
  <c r="M835" i="2" s="1"/>
  <c r="N835" i="2" s="1"/>
  <c r="J835" i="2"/>
  <c r="I835" i="2"/>
  <c r="H835" i="2"/>
  <c r="R834" i="2"/>
  <c r="L834" i="2"/>
  <c r="M834" i="2" s="1"/>
  <c r="N834" i="2" s="1"/>
  <c r="J834" i="2"/>
  <c r="I834" i="2"/>
  <c r="O834" i="2" s="1"/>
  <c r="P834" i="2" s="1"/>
  <c r="H834" i="2"/>
  <c r="R833" i="2"/>
  <c r="L833" i="2"/>
  <c r="M833" i="2" s="1"/>
  <c r="N833" i="2" s="1"/>
  <c r="J833" i="2"/>
  <c r="I833" i="2"/>
  <c r="O833" i="2" s="1"/>
  <c r="P833" i="2" s="1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H831" i="2"/>
  <c r="R830" i="2"/>
  <c r="L830" i="2"/>
  <c r="J830" i="2"/>
  <c r="I830" i="2"/>
  <c r="H830" i="2"/>
  <c r="R829" i="2"/>
  <c r="L829" i="2"/>
  <c r="J829" i="2"/>
  <c r="I829" i="2"/>
  <c r="O829" i="2" s="1"/>
  <c r="H829" i="2"/>
  <c r="R828" i="2"/>
  <c r="L828" i="2"/>
  <c r="M828" i="2" s="1"/>
  <c r="N828" i="2" s="1"/>
  <c r="J828" i="2"/>
  <c r="I828" i="2"/>
  <c r="O828" i="2" s="1"/>
  <c r="H828" i="2"/>
  <c r="R827" i="2"/>
  <c r="L827" i="2"/>
  <c r="J827" i="2"/>
  <c r="I827" i="2"/>
  <c r="O827" i="2" s="1"/>
  <c r="H827" i="2"/>
  <c r="R826" i="2"/>
  <c r="L826" i="2"/>
  <c r="M826" i="2" s="1"/>
  <c r="J826" i="2"/>
  <c r="I826" i="2"/>
  <c r="O826" i="2" s="1"/>
  <c r="H826" i="2"/>
  <c r="R825" i="2"/>
  <c r="L825" i="2"/>
  <c r="M825" i="2" s="1"/>
  <c r="N825" i="2" s="1"/>
  <c r="J825" i="2"/>
  <c r="I825" i="2"/>
  <c r="H825" i="2"/>
  <c r="R824" i="2"/>
  <c r="L824" i="2"/>
  <c r="J824" i="2"/>
  <c r="I824" i="2"/>
  <c r="H824" i="2"/>
  <c r="R823" i="2"/>
  <c r="L823" i="2"/>
  <c r="M823" i="2" s="1"/>
  <c r="N823" i="2" s="1"/>
  <c r="J823" i="2"/>
  <c r="I823" i="2"/>
  <c r="H823" i="2"/>
  <c r="R822" i="2"/>
  <c r="L822" i="2"/>
  <c r="M822" i="2" s="1"/>
  <c r="N822" i="2" s="1"/>
  <c r="J822" i="2"/>
  <c r="I822" i="2"/>
  <c r="H822" i="2"/>
  <c r="R821" i="2"/>
  <c r="L821" i="2"/>
  <c r="J821" i="2"/>
  <c r="I821" i="2"/>
  <c r="O821" i="2" s="1"/>
  <c r="H821" i="2"/>
  <c r="R820" i="2"/>
  <c r="L820" i="2"/>
  <c r="J820" i="2"/>
  <c r="I820" i="2"/>
  <c r="H820" i="2"/>
  <c r="R819" i="2"/>
  <c r="L819" i="2"/>
  <c r="J819" i="2"/>
  <c r="I819" i="2"/>
  <c r="O819" i="2" s="1"/>
  <c r="Q819" i="2" s="1"/>
  <c r="H819" i="2"/>
  <c r="R818" i="2"/>
  <c r="L818" i="2"/>
  <c r="J818" i="2"/>
  <c r="I818" i="2"/>
  <c r="O818" i="2" s="1"/>
  <c r="H818" i="2"/>
  <c r="R817" i="2"/>
  <c r="L817" i="2"/>
  <c r="J817" i="2"/>
  <c r="I817" i="2"/>
  <c r="H817" i="2"/>
  <c r="R816" i="2"/>
  <c r="L816" i="2"/>
  <c r="M816" i="2" s="1"/>
  <c r="J816" i="2"/>
  <c r="I816" i="2"/>
  <c r="H816" i="2"/>
  <c r="R815" i="2"/>
  <c r="L815" i="2"/>
  <c r="M815" i="2" s="1"/>
  <c r="N815" i="2" s="1"/>
  <c r="J815" i="2"/>
  <c r="I815" i="2"/>
  <c r="O815" i="2" s="1"/>
  <c r="H815" i="2"/>
  <c r="R814" i="2"/>
  <c r="L814" i="2"/>
  <c r="M814" i="2" s="1"/>
  <c r="J814" i="2"/>
  <c r="I814" i="2"/>
  <c r="H814" i="2"/>
  <c r="R813" i="2"/>
  <c r="L813" i="2"/>
  <c r="M813" i="2" s="1"/>
  <c r="N813" i="2" s="1"/>
  <c r="J813" i="2"/>
  <c r="I813" i="2"/>
  <c r="O813" i="2" s="1"/>
  <c r="Q813" i="2" s="1"/>
  <c r="H813" i="2"/>
  <c r="R812" i="2"/>
  <c r="L812" i="2"/>
  <c r="M812" i="2" s="1"/>
  <c r="J812" i="2"/>
  <c r="I812" i="2"/>
  <c r="O812" i="2" s="1"/>
  <c r="H812" i="2"/>
  <c r="R811" i="2"/>
  <c r="L811" i="2"/>
  <c r="J811" i="2"/>
  <c r="I811" i="2"/>
  <c r="H811" i="2"/>
  <c r="R810" i="2"/>
  <c r="L810" i="2"/>
  <c r="J810" i="2"/>
  <c r="I810" i="2"/>
  <c r="O810" i="2" s="1"/>
  <c r="H810" i="2"/>
  <c r="R809" i="2"/>
  <c r="L809" i="2"/>
  <c r="J809" i="2"/>
  <c r="I809" i="2"/>
  <c r="O809" i="2" s="1"/>
  <c r="H809" i="2"/>
  <c r="R808" i="2"/>
  <c r="L808" i="2"/>
  <c r="J808" i="2"/>
  <c r="I808" i="2"/>
  <c r="H808" i="2"/>
  <c r="R807" i="2"/>
  <c r="L807" i="2"/>
  <c r="M807" i="2" s="1"/>
  <c r="N807" i="2" s="1"/>
  <c r="J807" i="2"/>
  <c r="I807" i="2"/>
  <c r="O807" i="2" s="1"/>
  <c r="H807" i="2"/>
  <c r="R806" i="2"/>
  <c r="L806" i="2"/>
  <c r="M806" i="2" s="1"/>
  <c r="N806" i="2" s="1"/>
  <c r="J806" i="2"/>
  <c r="I806" i="2"/>
  <c r="O806" i="2" s="1"/>
  <c r="H806" i="2"/>
  <c r="R805" i="2"/>
  <c r="L805" i="2"/>
  <c r="J805" i="2"/>
  <c r="I805" i="2"/>
  <c r="O805" i="2" s="1"/>
  <c r="H805" i="2"/>
  <c r="R804" i="2"/>
  <c r="L804" i="2"/>
  <c r="J804" i="2"/>
  <c r="I804" i="2"/>
  <c r="H804" i="2"/>
  <c r="R803" i="2"/>
  <c r="L803" i="2"/>
  <c r="J803" i="2"/>
  <c r="I803" i="2"/>
  <c r="H803" i="2"/>
  <c r="R802" i="2"/>
  <c r="L802" i="2"/>
  <c r="M802" i="2" s="1"/>
  <c r="N802" i="2" s="1"/>
  <c r="J802" i="2"/>
  <c r="I802" i="2"/>
  <c r="H802" i="2"/>
  <c r="R801" i="2"/>
  <c r="L801" i="2"/>
  <c r="J801" i="2"/>
  <c r="I801" i="2"/>
  <c r="O801" i="2" s="1"/>
  <c r="H801" i="2"/>
  <c r="R800" i="2"/>
  <c r="L800" i="2"/>
  <c r="J800" i="2"/>
  <c r="I800" i="2"/>
  <c r="H800" i="2"/>
  <c r="R799" i="2"/>
  <c r="L799" i="2"/>
  <c r="J799" i="2"/>
  <c r="I799" i="2"/>
  <c r="O799" i="2" s="1"/>
  <c r="Q799" i="2" s="1"/>
  <c r="H799" i="2"/>
  <c r="R798" i="2"/>
  <c r="L798" i="2"/>
  <c r="M798" i="2" s="1"/>
  <c r="N798" i="2" s="1"/>
  <c r="J798" i="2"/>
  <c r="I798" i="2"/>
  <c r="O798" i="2" s="1"/>
  <c r="H798" i="2"/>
  <c r="R797" i="2"/>
  <c r="L797" i="2"/>
  <c r="M797" i="2" s="1"/>
  <c r="J797" i="2"/>
  <c r="I797" i="2"/>
  <c r="H797" i="2"/>
  <c r="R796" i="2"/>
  <c r="L796" i="2"/>
  <c r="J796" i="2"/>
  <c r="I796" i="2"/>
  <c r="O796" i="2" s="1"/>
  <c r="Q796" i="2" s="1"/>
  <c r="H796" i="2"/>
  <c r="R795" i="2"/>
  <c r="L795" i="2"/>
  <c r="M795" i="2" s="1"/>
  <c r="N795" i="2" s="1"/>
  <c r="J795" i="2"/>
  <c r="I795" i="2"/>
  <c r="O795" i="2" s="1"/>
  <c r="Q795" i="2" s="1"/>
  <c r="H795" i="2"/>
  <c r="R794" i="2"/>
  <c r="L794" i="2"/>
  <c r="J794" i="2"/>
  <c r="I794" i="2"/>
  <c r="H794" i="2"/>
  <c r="R793" i="2"/>
  <c r="L793" i="2"/>
  <c r="M793" i="2" s="1"/>
  <c r="N793" i="2" s="1"/>
  <c r="J793" i="2"/>
  <c r="I793" i="2"/>
  <c r="H793" i="2"/>
  <c r="R792" i="2"/>
  <c r="L792" i="2"/>
  <c r="J792" i="2"/>
  <c r="I792" i="2"/>
  <c r="O792" i="2" s="1"/>
  <c r="Q792" i="2" s="1"/>
  <c r="H792" i="2"/>
  <c r="R791" i="2"/>
  <c r="L791" i="2"/>
  <c r="J791" i="2"/>
  <c r="I791" i="2"/>
  <c r="O791" i="2" s="1"/>
  <c r="H791" i="2"/>
  <c r="R790" i="2"/>
  <c r="L790" i="2"/>
  <c r="J790" i="2"/>
  <c r="I790" i="2"/>
  <c r="O790" i="2" s="1"/>
  <c r="P790" i="2" s="1"/>
  <c r="H790" i="2"/>
  <c r="R789" i="2"/>
  <c r="L789" i="2"/>
  <c r="J789" i="2"/>
  <c r="I789" i="2"/>
  <c r="O789" i="2" s="1"/>
  <c r="H789" i="2"/>
  <c r="R788" i="2"/>
  <c r="L788" i="2"/>
  <c r="M788" i="2" s="1"/>
  <c r="N788" i="2" s="1"/>
  <c r="J788" i="2"/>
  <c r="I788" i="2"/>
  <c r="H788" i="2"/>
  <c r="R787" i="2"/>
  <c r="L787" i="2"/>
  <c r="J787" i="2"/>
  <c r="I787" i="2"/>
  <c r="O787" i="2" s="1"/>
  <c r="H787" i="2"/>
  <c r="R786" i="2"/>
  <c r="L786" i="2"/>
  <c r="M786" i="2" s="1"/>
  <c r="N786" i="2" s="1"/>
  <c r="J786" i="2"/>
  <c r="I786" i="2"/>
  <c r="O786" i="2" s="1"/>
  <c r="H786" i="2"/>
  <c r="R785" i="2"/>
  <c r="L785" i="2"/>
  <c r="M785" i="2" s="1"/>
  <c r="N785" i="2" s="1"/>
  <c r="J785" i="2"/>
  <c r="I785" i="2"/>
  <c r="O785" i="2" s="1"/>
  <c r="H785" i="2"/>
  <c r="R784" i="2"/>
  <c r="L784" i="2"/>
  <c r="J784" i="2"/>
  <c r="I784" i="2"/>
  <c r="H784" i="2"/>
  <c r="R783" i="2"/>
  <c r="L783" i="2"/>
  <c r="J783" i="2"/>
  <c r="I783" i="2"/>
  <c r="O783" i="2" s="1"/>
  <c r="Q783" i="2" s="1"/>
  <c r="H783" i="2"/>
  <c r="R782" i="2"/>
  <c r="L782" i="2"/>
  <c r="M782" i="2" s="1"/>
  <c r="N782" i="2" s="1"/>
  <c r="J782" i="2"/>
  <c r="I782" i="2"/>
  <c r="H782" i="2"/>
  <c r="R781" i="2"/>
  <c r="L781" i="2"/>
  <c r="M781" i="2" s="1"/>
  <c r="N781" i="2" s="1"/>
  <c r="J781" i="2"/>
  <c r="I781" i="2"/>
  <c r="O781" i="2" s="1"/>
  <c r="Q781" i="2" s="1"/>
  <c r="H781" i="2"/>
  <c r="R780" i="2"/>
  <c r="L780" i="2"/>
  <c r="J780" i="2"/>
  <c r="I780" i="2"/>
  <c r="O780" i="2" s="1"/>
  <c r="H780" i="2"/>
  <c r="R779" i="2"/>
  <c r="L779" i="2"/>
  <c r="J779" i="2"/>
  <c r="I779" i="2"/>
  <c r="H779" i="2"/>
  <c r="R778" i="2"/>
  <c r="L778" i="2"/>
  <c r="J778" i="2"/>
  <c r="I778" i="2"/>
  <c r="H778" i="2"/>
  <c r="R777" i="2"/>
  <c r="L777" i="2"/>
  <c r="M777" i="2" s="1"/>
  <c r="N777" i="2" s="1"/>
  <c r="J777" i="2"/>
  <c r="I777" i="2"/>
  <c r="H777" i="2"/>
  <c r="R776" i="2"/>
  <c r="L776" i="2"/>
  <c r="J776" i="2"/>
  <c r="I776" i="2"/>
  <c r="H776" i="2"/>
  <c r="R775" i="2"/>
  <c r="L775" i="2"/>
  <c r="M775" i="2" s="1"/>
  <c r="N775" i="2" s="1"/>
  <c r="J775" i="2"/>
  <c r="I775" i="2"/>
  <c r="O775" i="2" s="1"/>
  <c r="H775" i="2"/>
  <c r="R774" i="2"/>
  <c r="L774" i="2"/>
  <c r="J774" i="2"/>
  <c r="I774" i="2"/>
  <c r="H774" i="2"/>
  <c r="R773" i="2"/>
  <c r="L773" i="2"/>
  <c r="M773" i="2" s="1"/>
  <c r="N773" i="2" s="1"/>
  <c r="J773" i="2"/>
  <c r="I773" i="2"/>
  <c r="H773" i="2"/>
  <c r="R772" i="2"/>
  <c r="L772" i="2"/>
  <c r="J772" i="2"/>
  <c r="I772" i="2"/>
  <c r="H772" i="2"/>
  <c r="R771" i="2"/>
  <c r="L771" i="2"/>
  <c r="J771" i="2"/>
  <c r="I771" i="2"/>
  <c r="O771" i="2" s="1"/>
  <c r="H771" i="2"/>
  <c r="R770" i="2"/>
  <c r="L770" i="2"/>
  <c r="M770" i="2" s="1"/>
  <c r="J770" i="2"/>
  <c r="I770" i="2"/>
  <c r="O770" i="2" s="1"/>
  <c r="P770" i="2" s="1"/>
  <c r="H770" i="2"/>
  <c r="R769" i="2"/>
  <c r="L769" i="2"/>
  <c r="J769" i="2"/>
  <c r="I769" i="2"/>
  <c r="O769" i="2" s="1"/>
  <c r="P769" i="2" s="1"/>
  <c r="H769" i="2"/>
  <c r="R768" i="2"/>
  <c r="L768" i="2"/>
  <c r="M768" i="2" s="1"/>
  <c r="N768" i="2" s="1"/>
  <c r="J768" i="2"/>
  <c r="I768" i="2"/>
  <c r="H768" i="2"/>
  <c r="R767" i="2"/>
  <c r="L767" i="2"/>
  <c r="J767" i="2"/>
  <c r="I767" i="2"/>
  <c r="O767" i="2" s="1"/>
  <c r="H767" i="2"/>
  <c r="R766" i="2"/>
  <c r="L766" i="2"/>
  <c r="M766" i="2" s="1"/>
  <c r="N766" i="2" s="1"/>
  <c r="J766" i="2"/>
  <c r="I766" i="2"/>
  <c r="O766" i="2" s="1"/>
  <c r="H766" i="2"/>
  <c r="R765" i="2"/>
  <c r="L765" i="2"/>
  <c r="J765" i="2"/>
  <c r="I765" i="2"/>
  <c r="O765" i="2" s="1"/>
  <c r="H765" i="2"/>
  <c r="R764" i="2"/>
  <c r="L764" i="2"/>
  <c r="M764" i="2" s="1"/>
  <c r="N764" i="2" s="1"/>
  <c r="J764" i="2"/>
  <c r="I764" i="2"/>
  <c r="H764" i="2"/>
  <c r="R763" i="2"/>
  <c r="L763" i="2"/>
  <c r="J763" i="2"/>
  <c r="I763" i="2"/>
  <c r="O763" i="2" s="1"/>
  <c r="Q763" i="2" s="1"/>
  <c r="H763" i="2"/>
  <c r="R762" i="2"/>
  <c r="L762" i="2"/>
  <c r="M762" i="2" s="1"/>
  <c r="J762" i="2"/>
  <c r="I762" i="2"/>
  <c r="H762" i="2"/>
  <c r="R761" i="2"/>
  <c r="L761" i="2"/>
  <c r="J761" i="2"/>
  <c r="I761" i="2"/>
  <c r="H761" i="2"/>
  <c r="R760" i="2"/>
  <c r="L760" i="2"/>
  <c r="J760" i="2"/>
  <c r="I760" i="2"/>
  <c r="O760" i="2" s="1"/>
  <c r="Q760" i="2" s="1"/>
  <c r="H760" i="2"/>
  <c r="R759" i="2"/>
  <c r="L759" i="2"/>
  <c r="J759" i="2"/>
  <c r="I759" i="2"/>
  <c r="O759" i="2" s="1"/>
  <c r="H759" i="2"/>
  <c r="R758" i="2"/>
  <c r="L758" i="2"/>
  <c r="J758" i="2"/>
  <c r="I758" i="2"/>
  <c r="O758" i="2" s="1"/>
  <c r="H758" i="2"/>
  <c r="R757" i="2"/>
  <c r="L757" i="2"/>
  <c r="M757" i="2" s="1"/>
  <c r="J757" i="2"/>
  <c r="I757" i="2"/>
  <c r="O757" i="2" s="1"/>
  <c r="H757" i="2"/>
  <c r="R756" i="2"/>
  <c r="L756" i="2"/>
  <c r="M756" i="2" s="1"/>
  <c r="N756" i="2" s="1"/>
  <c r="J756" i="2"/>
  <c r="I756" i="2"/>
  <c r="H756" i="2"/>
  <c r="R755" i="2"/>
  <c r="L755" i="2"/>
  <c r="J755" i="2"/>
  <c r="I755" i="2"/>
  <c r="H755" i="2"/>
  <c r="R754" i="2"/>
  <c r="L754" i="2"/>
  <c r="M754" i="2" s="1"/>
  <c r="N754" i="2" s="1"/>
  <c r="J754" i="2"/>
  <c r="I754" i="2"/>
  <c r="O754" i="2" s="1"/>
  <c r="H754" i="2"/>
  <c r="R753" i="2"/>
  <c r="L753" i="2"/>
  <c r="M753" i="2" s="1"/>
  <c r="N753" i="2" s="1"/>
  <c r="J753" i="2"/>
  <c r="I753" i="2"/>
  <c r="H753" i="2"/>
  <c r="R752" i="2"/>
  <c r="L752" i="2"/>
  <c r="J752" i="2"/>
  <c r="I752" i="2"/>
  <c r="H752" i="2"/>
  <c r="R751" i="2"/>
  <c r="L751" i="2"/>
  <c r="J751" i="2"/>
  <c r="I751" i="2"/>
  <c r="H751" i="2"/>
  <c r="R750" i="2"/>
  <c r="L750" i="2"/>
  <c r="J750" i="2"/>
  <c r="I750" i="2"/>
  <c r="H750" i="2"/>
  <c r="R749" i="2"/>
  <c r="L749" i="2"/>
  <c r="M749" i="2" s="1"/>
  <c r="J749" i="2"/>
  <c r="I749" i="2"/>
  <c r="O749" i="2" s="1"/>
  <c r="P749" i="2" s="1"/>
  <c r="H749" i="2"/>
  <c r="R748" i="2"/>
  <c r="L748" i="2"/>
  <c r="J748" i="2"/>
  <c r="I748" i="2"/>
  <c r="H748" i="2"/>
  <c r="R747" i="2"/>
  <c r="L747" i="2"/>
  <c r="M747" i="2" s="1"/>
  <c r="N747" i="2" s="1"/>
  <c r="J747" i="2"/>
  <c r="I747" i="2"/>
  <c r="H747" i="2"/>
  <c r="R746" i="2"/>
  <c r="L746" i="2"/>
  <c r="M746" i="2" s="1"/>
  <c r="J746" i="2"/>
  <c r="I746" i="2"/>
  <c r="O746" i="2" s="1"/>
  <c r="H746" i="2"/>
  <c r="R745" i="2"/>
  <c r="L745" i="2"/>
  <c r="M745" i="2" s="1"/>
  <c r="N745" i="2" s="1"/>
  <c r="J745" i="2"/>
  <c r="I745" i="2"/>
  <c r="H745" i="2"/>
  <c r="R744" i="2"/>
  <c r="L744" i="2"/>
  <c r="M744" i="2" s="1"/>
  <c r="J744" i="2"/>
  <c r="I744" i="2"/>
  <c r="O744" i="2" s="1"/>
  <c r="H744" i="2"/>
  <c r="R743" i="2"/>
  <c r="L743" i="2"/>
  <c r="M743" i="2" s="1"/>
  <c r="J743" i="2"/>
  <c r="I743" i="2"/>
  <c r="O743" i="2" s="1"/>
  <c r="H743" i="2"/>
  <c r="R742" i="2"/>
  <c r="L742" i="2"/>
  <c r="M742" i="2" s="1"/>
  <c r="J742" i="2"/>
  <c r="I742" i="2"/>
  <c r="O742" i="2" s="1"/>
  <c r="H742" i="2"/>
  <c r="R741" i="2"/>
  <c r="L741" i="2"/>
  <c r="J741" i="2"/>
  <c r="I741" i="2"/>
  <c r="H741" i="2"/>
  <c r="R740" i="2"/>
  <c r="L740" i="2"/>
  <c r="J740" i="2"/>
  <c r="I740" i="2"/>
  <c r="O740" i="2" s="1"/>
  <c r="Q740" i="2" s="1"/>
  <c r="H740" i="2"/>
  <c r="R739" i="2"/>
  <c r="L739" i="2"/>
  <c r="J739" i="2"/>
  <c r="I739" i="2"/>
  <c r="O739" i="2" s="1"/>
  <c r="H739" i="2"/>
  <c r="R738" i="2"/>
  <c r="L738" i="2"/>
  <c r="J738" i="2"/>
  <c r="I738" i="2"/>
  <c r="H738" i="2"/>
  <c r="R737" i="2"/>
  <c r="L737" i="2"/>
  <c r="J737" i="2"/>
  <c r="I737" i="2"/>
  <c r="O737" i="2" s="1"/>
  <c r="Q737" i="2" s="1"/>
  <c r="H737" i="2"/>
  <c r="R736" i="2"/>
  <c r="L736" i="2"/>
  <c r="M736" i="2" s="1"/>
  <c r="J736" i="2"/>
  <c r="I736" i="2"/>
  <c r="H736" i="2"/>
  <c r="R735" i="2"/>
  <c r="L735" i="2"/>
  <c r="J735" i="2"/>
  <c r="I735" i="2"/>
  <c r="H735" i="2"/>
  <c r="R734" i="2"/>
  <c r="L734" i="2"/>
  <c r="M734" i="2" s="1"/>
  <c r="J734" i="2"/>
  <c r="I734" i="2"/>
  <c r="H734" i="2"/>
  <c r="R733" i="2"/>
  <c r="L733" i="2"/>
  <c r="J733" i="2"/>
  <c r="I733" i="2"/>
  <c r="H733" i="2"/>
  <c r="R732" i="2"/>
  <c r="L732" i="2"/>
  <c r="J732" i="2"/>
  <c r="I732" i="2"/>
  <c r="O732" i="2" s="1"/>
  <c r="H732" i="2"/>
  <c r="R731" i="2"/>
  <c r="L731" i="2"/>
  <c r="M731" i="2" s="1"/>
  <c r="N731" i="2" s="1"/>
  <c r="J731" i="2"/>
  <c r="I731" i="2"/>
  <c r="H731" i="2"/>
  <c r="R730" i="2"/>
  <c r="L730" i="2"/>
  <c r="M730" i="2" s="1"/>
  <c r="N730" i="2" s="1"/>
  <c r="J730" i="2"/>
  <c r="I730" i="2"/>
  <c r="H730" i="2"/>
  <c r="R729" i="2"/>
  <c r="L729" i="2"/>
  <c r="M729" i="2" s="1"/>
  <c r="J729" i="2"/>
  <c r="I729" i="2"/>
  <c r="H729" i="2"/>
  <c r="R728" i="2"/>
  <c r="L728" i="2"/>
  <c r="M728" i="2" s="1"/>
  <c r="N728" i="2" s="1"/>
  <c r="J728" i="2"/>
  <c r="I728" i="2"/>
  <c r="O728" i="2" s="1"/>
  <c r="Q728" i="2" s="1"/>
  <c r="H728" i="2"/>
  <c r="R727" i="2"/>
  <c r="L727" i="2"/>
  <c r="J727" i="2"/>
  <c r="I727" i="2"/>
  <c r="O727" i="2" s="1"/>
  <c r="H727" i="2"/>
  <c r="R726" i="2"/>
  <c r="L726" i="2"/>
  <c r="J726" i="2"/>
  <c r="I726" i="2"/>
  <c r="H726" i="2"/>
  <c r="R725" i="2"/>
  <c r="L725" i="2"/>
  <c r="J725" i="2"/>
  <c r="I725" i="2"/>
  <c r="O725" i="2" s="1"/>
  <c r="P725" i="2" s="1"/>
  <c r="H725" i="2"/>
  <c r="R724" i="2"/>
  <c r="L724" i="2"/>
  <c r="M724" i="2" s="1"/>
  <c r="J724" i="2"/>
  <c r="I724" i="2"/>
  <c r="H724" i="2"/>
  <c r="R723" i="2"/>
  <c r="L723" i="2"/>
  <c r="M723" i="2" s="1"/>
  <c r="J723" i="2"/>
  <c r="I723" i="2"/>
  <c r="O723" i="2" s="1"/>
  <c r="H723" i="2"/>
  <c r="R722" i="2"/>
  <c r="L722" i="2"/>
  <c r="M722" i="2" s="1"/>
  <c r="N722" i="2" s="1"/>
  <c r="J722" i="2"/>
  <c r="I722" i="2"/>
  <c r="H722" i="2"/>
  <c r="R721" i="2"/>
  <c r="L721" i="2"/>
  <c r="J721" i="2"/>
  <c r="I721" i="2"/>
  <c r="H721" i="2"/>
  <c r="R720" i="2"/>
  <c r="L720" i="2"/>
  <c r="J720" i="2"/>
  <c r="I720" i="2"/>
  <c r="O720" i="2" s="1"/>
  <c r="H720" i="2"/>
  <c r="R719" i="2"/>
  <c r="L719" i="2"/>
  <c r="M719" i="2" s="1"/>
  <c r="J719" i="2"/>
  <c r="I719" i="2"/>
  <c r="O719" i="2" s="1"/>
  <c r="H719" i="2"/>
  <c r="R718" i="2"/>
  <c r="L718" i="2"/>
  <c r="J718" i="2"/>
  <c r="I718" i="2"/>
  <c r="H718" i="2"/>
  <c r="R717" i="2"/>
  <c r="L717" i="2"/>
  <c r="J717" i="2"/>
  <c r="I717" i="2"/>
  <c r="O717" i="2" s="1"/>
  <c r="H717" i="2"/>
  <c r="R716" i="2"/>
  <c r="L716" i="2"/>
  <c r="M716" i="2" s="1"/>
  <c r="N716" i="2" s="1"/>
  <c r="J716" i="2"/>
  <c r="I716" i="2"/>
  <c r="O716" i="2" s="1"/>
  <c r="Q716" i="2" s="1"/>
  <c r="H716" i="2"/>
  <c r="R715" i="2"/>
  <c r="L715" i="2"/>
  <c r="J715" i="2"/>
  <c r="I715" i="2"/>
  <c r="H715" i="2"/>
  <c r="R714" i="2"/>
  <c r="L714" i="2"/>
  <c r="M714" i="2" s="1"/>
  <c r="N714" i="2" s="1"/>
  <c r="J714" i="2"/>
  <c r="I714" i="2"/>
  <c r="H714" i="2"/>
  <c r="R713" i="2"/>
  <c r="L713" i="2"/>
  <c r="M713" i="2" s="1"/>
  <c r="N713" i="2" s="1"/>
  <c r="J713" i="2"/>
  <c r="I713" i="2"/>
  <c r="O713" i="2" s="1"/>
  <c r="Q713" i="2" s="1"/>
  <c r="H713" i="2"/>
  <c r="R712" i="2"/>
  <c r="L712" i="2"/>
  <c r="J712" i="2"/>
  <c r="I712" i="2"/>
  <c r="H712" i="2"/>
  <c r="R711" i="2"/>
  <c r="L711" i="2"/>
  <c r="J711" i="2"/>
  <c r="I711" i="2"/>
  <c r="O711" i="2" s="1"/>
  <c r="H711" i="2"/>
  <c r="R710" i="2"/>
  <c r="L710" i="2"/>
  <c r="J710" i="2"/>
  <c r="I710" i="2"/>
  <c r="O710" i="2" s="1"/>
  <c r="H710" i="2"/>
  <c r="R709" i="2"/>
  <c r="L709" i="2"/>
  <c r="M709" i="2" s="1"/>
  <c r="J709" i="2"/>
  <c r="I709" i="2"/>
  <c r="O709" i="2" s="1"/>
  <c r="Q709" i="2" s="1"/>
  <c r="H709" i="2"/>
  <c r="R708" i="2"/>
  <c r="L708" i="2"/>
  <c r="J708" i="2"/>
  <c r="I708" i="2"/>
  <c r="H708" i="2"/>
  <c r="R707" i="2"/>
  <c r="L707" i="2"/>
  <c r="M707" i="2" s="1"/>
  <c r="N707" i="2" s="1"/>
  <c r="J707" i="2"/>
  <c r="I707" i="2"/>
  <c r="O707" i="2" s="1"/>
  <c r="H707" i="2"/>
  <c r="R706" i="2"/>
  <c r="L706" i="2"/>
  <c r="J706" i="2"/>
  <c r="I706" i="2"/>
  <c r="O706" i="2" s="1"/>
  <c r="H706" i="2"/>
  <c r="R705" i="2"/>
  <c r="L705" i="2"/>
  <c r="J705" i="2"/>
  <c r="I705" i="2"/>
  <c r="O705" i="2" s="1"/>
  <c r="Q705" i="2" s="1"/>
  <c r="H705" i="2"/>
  <c r="R704" i="2"/>
  <c r="L704" i="2"/>
  <c r="M704" i="2" s="1"/>
  <c r="N704" i="2" s="1"/>
  <c r="J704" i="2"/>
  <c r="I704" i="2"/>
  <c r="H704" i="2"/>
  <c r="R703" i="2"/>
  <c r="L703" i="2"/>
  <c r="M703" i="2" s="1"/>
  <c r="N703" i="2" s="1"/>
  <c r="J703" i="2"/>
  <c r="I703" i="2"/>
  <c r="O703" i="2" s="1"/>
  <c r="H703" i="2"/>
  <c r="R702" i="2"/>
  <c r="L702" i="2"/>
  <c r="M702" i="2" s="1"/>
  <c r="N702" i="2" s="1"/>
  <c r="J702" i="2"/>
  <c r="I702" i="2"/>
  <c r="H702" i="2"/>
  <c r="R701" i="2"/>
  <c r="L701" i="2"/>
  <c r="J701" i="2"/>
  <c r="I701" i="2"/>
  <c r="H701" i="2"/>
  <c r="R700" i="2"/>
  <c r="L700" i="2"/>
  <c r="M700" i="2" s="1"/>
  <c r="N700" i="2" s="1"/>
  <c r="J700" i="2"/>
  <c r="I700" i="2"/>
  <c r="H700" i="2"/>
  <c r="R699" i="2"/>
  <c r="L699" i="2"/>
  <c r="M699" i="2" s="1"/>
  <c r="J699" i="2"/>
  <c r="I699" i="2"/>
  <c r="O699" i="2" s="1"/>
  <c r="H699" i="2"/>
  <c r="R698" i="2"/>
  <c r="L698" i="2"/>
  <c r="J698" i="2"/>
  <c r="I698" i="2"/>
  <c r="H698" i="2"/>
  <c r="R697" i="2"/>
  <c r="L697" i="2"/>
  <c r="J697" i="2"/>
  <c r="I697" i="2"/>
  <c r="H697" i="2"/>
  <c r="R696" i="2"/>
  <c r="L696" i="2"/>
  <c r="M696" i="2" s="1"/>
  <c r="N696" i="2" s="1"/>
  <c r="J696" i="2"/>
  <c r="I696" i="2"/>
  <c r="O696" i="2" s="1"/>
  <c r="Q696" i="2" s="1"/>
  <c r="H696" i="2"/>
  <c r="R695" i="2"/>
  <c r="L695" i="2"/>
  <c r="J695" i="2"/>
  <c r="I695" i="2"/>
  <c r="O695" i="2" s="1"/>
  <c r="H695" i="2"/>
  <c r="R694" i="2"/>
  <c r="L694" i="2"/>
  <c r="M694" i="2" s="1"/>
  <c r="N694" i="2" s="1"/>
  <c r="J694" i="2"/>
  <c r="I694" i="2"/>
  <c r="H694" i="2"/>
  <c r="R693" i="2"/>
  <c r="L693" i="2"/>
  <c r="M693" i="2" s="1"/>
  <c r="J693" i="2"/>
  <c r="I693" i="2"/>
  <c r="O693" i="2" s="1"/>
  <c r="H693" i="2"/>
  <c r="R692" i="2"/>
  <c r="L692" i="2"/>
  <c r="M692" i="2" s="1"/>
  <c r="J692" i="2"/>
  <c r="I692" i="2"/>
  <c r="O692" i="2" s="1"/>
  <c r="H692" i="2"/>
  <c r="R691" i="2"/>
  <c r="L691" i="2"/>
  <c r="M691" i="2" s="1"/>
  <c r="J691" i="2"/>
  <c r="I691" i="2"/>
  <c r="H691" i="2"/>
  <c r="R690" i="2"/>
  <c r="L690" i="2"/>
  <c r="M690" i="2" s="1"/>
  <c r="J690" i="2"/>
  <c r="I690" i="2"/>
  <c r="O690" i="2" s="1"/>
  <c r="P690" i="2" s="1"/>
  <c r="H690" i="2"/>
  <c r="R689" i="2"/>
  <c r="L689" i="2"/>
  <c r="M689" i="2" s="1"/>
  <c r="J689" i="2"/>
  <c r="I689" i="2"/>
  <c r="O689" i="2" s="1"/>
  <c r="H689" i="2"/>
  <c r="R688" i="2"/>
  <c r="L688" i="2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J686" i="2"/>
  <c r="I686" i="2"/>
  <c r="O686" i="2" s="1"/>
  <c r="H686" i="2"/>
  <c r="R685" i="2"/>
  <c r="L685" i="2"/>
  <c r="J685" i="2"/>
  <c r="I685" i="2"/>
  <c r="O685" i="2" s="1"/>
  <c r="H685" i="2"/>
  <c r="R684" i="2"/>
  <c r="L684" i="2"/>
  <c r="M684" i="2" s="1"/>
  <c r="N684" i="2" s="1"/>
  <c r="J684" i="2"/>
  <c r="I684" i="2"/>
  <c r="H684" i="2"/>
  <c r="R683" i="2"/>
  <c r="L683" i="2"/>
  <c r="M683" i="2" s="1"/>
  <c r="J683" i="2"/>
  <c r="I683" i="2"/>
  <c r="O683" i="2" s="1"/>
  <c r="P683" i="2" s="1"/>
  <c r="H683" i="2"/>
  <c r="R682" i="2"/>
  <c r="L682" i="2"/>
  <c r="M682" i="2" s="1"/>
  <c r="N682" i="2" s="1"/>
  <c r="J682" i="2"/>
  <c r="I682" i="2"/>
  <c r="O682" i="2" s="1"/>
  <c r="H682" i="2"/>
  <c r="R681" i="2"/>
  <c r="L681" i="2"/>
  <c r="J681" i="2"/>
  <c r="I681" i="2"/>
  <c r="H681" i="2"/>
  <c r="R680" i="2"/>
  <c r="L680" i="2"/>
  <c r="J680" i="2"/>
  <c r="I680" i="2"/>
  <c r="O680" i="2" s="1"/>
  <c r="H680" i="2"/>
  <c r="R679" i="2"/>
  <c r="L679" i="2"/>
  <c r="M679" i="2" s="1"/>
  <c r="N679" i="2" s="1"/>
  <c r="J679" i="2"/>
  <c r="I679" i="2"/>
  <c r="O679" i="2" s="1"/>
  <c r="H679" i="2"/>
  <c r="R678" i="2"/>
  <c r="L678" i="2"/>
  <c r="M678" i="2" s="1"/>
  <c r="J678" i="2"/>
  <c r="I678" i="2"/>
  <c r="H678" i="2"/>
  <c r="R677" i="2"/>
  <c r="L677" i="2"/>
  <c r="M677" i="2" s="1"/>
  <c r="J677" i="2"/>
  <c r="I677" i="2"/>
  <c r="O677" i="2" s="1"/>
  <c r="H677" i="2"/>
  <c r="R676" i="2"/>
  <c r="L676" i="2"/>
  <c r="M676" i="2" s="1"/>
  <c r="N676" i="2" s="1"/>
  <c r="J676" i="2"/>
  <c r="I676" i="2"/>
  <c r="H676" i="2"/>
  <c r="R675" i="2"/>
  <c r="L675" i="2"/>
  <c r="M675" i="2" s="1"/>
  <c r="N675" i="2" s="1"/>
  <c r="J675" i="2"/>
  <c r="I675" i="2"/>
  <c r="O675" i="2" s="1"/>
  <c r="Q675" i="2" s="1"/>
  <c r="H675" i="2"/>
  <c r="R674" i="2"/>
  <c r="L674" i="2"/>
  <c r="M674" i="2" s="1"/>
  <c r="N674" i="2" s="1"/>
  <c r="J674" i="2"/>
  <c r="I674" i="2"/>
  <c r="H674" i="2"/>
  <c r="R673" i="2"/>
  <c r="L673" i="2"/>
  <c r="J673" i="2"/>
  <c r="I673" i="2"/>
  <c r="O673" i="2" s="1"/>
  <c r="H673" i="2"/>
  <c r="R672" i="2"/>
  <c r="L672" i="2"/>
  <c r="M672" i="2" s="1"/>
  <c r="J672" i="2"/>
  <c r="I672" i="2"/>
  <c r="O672" i="2" s="1"/>
  <c r="H672" i="2"/>
  <c r="R671" i="2"/>
  <c r="L671" i="2"/>
  <c r="M671" i="2" s="1"/>
  <c r="N671" i="2" s="1"/>
  <c r="J671" i="2"/>
  <c r="I671" i="2"/>
  <c r="O671" i="2" s="1"/>
  <c r="Q671" i="2" s="1"/>
  <c r="H671" i="2"/>
  <c r="R670" i="2"/>
  <c r="L670" i="2"/>
  <c r="J670" i="2"/>
  <c r="I670" i="2"/>
  <c r="H670" i="2"/>
  <c r="R669" i="2"/>
  <c r="L669" i="2"/>
  <c r="J669" i="2"/>
  <c r="I669" i="2"/>
  <c r="O669" i="2" s="1"/>
  <c r="Q669" i="2" s="1"/>
  <c r="H669" i="2"/>
  <c r="R668" i="2"/>
  <c r="L668" i="2"/>
  <c r="J668" i="2"/>
  <c r="I668" i="2"/>
  <c r="O668" i="2" s="1"/>
  <c r="H668" i="2"/>
  <c r="R667" i="2"/>
  <c r="L667" i="2"/>
  <c r="M667" i="2" s="1"/>
  <c r="J667" i="2"/>
  <c r="I667" i="2"/>
  <c r="O667" i="2" s="1"/>
  <c r="H667" i="2"/>
  <c r="R666" i="2"/>
  <c r="L666" i="2"/>
  <c r="M666" i="2" s="1"/>
  <c r="J666" i="2"/>
  <c r="I666" i="2"/>
  <c r="O666" i="2" s="1"/>
  <c r="Q666" i="2" s="1"/>
  <c r="H666" i="2"/>
  <c r="R665" i="2"/>
  <c r="L665" i="2"/>
  <c r="J665" i="2"/>
  <c r="I665" i="2"/>
  <c r="H665" i="2"/>
  <c r="R664" i="2"/>
  <c r="L664" i="2"/>
  <c r="J664" i="2"/>
  <c r="I664" i="2"/>
  <c r="H664" i="2"/>
  <c r="R663" i="2"/>
  <c r="L663" i="2"/>
  <c r="M663" i="2" s="1"/>
  <c r="J663" i="2"/>
  <c r="I663" i="2"/>
  <c r="H663" i="2"/>
  <c r="R662" i="2"/>
  <c r="L662" i="2"/>
  <c r="M662" i="2" s="1"/>
  <c r="J662" i="2"/>
  <c r="I662" i="2"/>
  <c r="O662" i="2" s="1"/>
  <c r="H662" i="2"/>
  <c r="R661" i="2"/>
  <c r="L661" i="2"/>
  <c r="M661" i="2" s="1"/>
  <c r="J661" i="2"/>
  <c r="I661" i="2"/>
  <c r="O661" i="2" s="1"/>
  <c r="Q661" i="2" s="1"/>
  <c r="H661" i="2"/>
  <c r="R660" i="2"/>
  <c r="L660" i="2"/>
  <c r="M660" i="2" s="1"/>
  <c r="J660" i="2"/>
  <c r="I660" i="2"/>
  <c r="O660" i="2" s="1"/>
  <c r="P660" i="2" s="1"/>
  <c r="H660" i="2"/>
  <c r="R659" i="2"/>
  <c r="L659" i="2"/>
  <c r="M659" i="2" s="1"/>
  <c r="J659" i="2"/>
  <c r="I659" i="2"/>
  <c r="O659" i="2" s="1"/>
  <c r="H659" i="2"/>
  <c r="R658" i="2"/>
  <c r="L658" i="2"/>
  <c r="M658" i="2" s="1"/>
  <c r="J658" i="2"/>
  <c r="I658" i="2"/>
  <c r="H658" i="2"/>
  <c r="R657" i="2"/>
  <c r="L657" i="2"/>
  <c r="M657" i="2" s="1"/>
  <c r="N657" i="2" s="1"/>
  <c r="J657" i="2"/>
  <c r="I657" i="2"/>
  <c r="O657" i="2" s="1"/>
  <c r="H657" i="2"/>
  <c r="R656" i="2"/>
  <c r="L656" i="2"/>
  <c r="M656" i="2" s="1"/>
  <c r="J656" i="2"/>
  <c r="I656" i="2"/>
  <c r="O656" i="2" s="1"/>
  <c r="P656" i="2" s="1"/>
  <c r="H656" i="2"/>
  <c r="R655" i="2"/>
  <c r="L655" i="2"/>
  <c r="J655" i="2"/>
  <c r="I655" i="2"/>
  <c r="H655" i="2"/>
  <c r="R654" i="2"/>
  <c r="L654" i="2"/>
  <c r="M654" i="2" s="1"/>
  <c r="J654" i="2"/>
  <c r="I654" i="2"/>
  <c r="H654" i="2"/>
  <c r="R653" i="2"/>
  <c r="L653" i="2"/>
  <c r="M653" i="2" s="1"/>
  <c r="N653" i="2" s="1"/>
  <c r="J653" i="2"/>
  <c r="I653" i="2"/>
  <c r="H653" i="2"/>
  <c r="R652" i="2"/>
  <c r="L652" i="2"/>
  <c r="M652" i="2" s="1"/>
  <c r="J652" i="2"/>
  <c r="I652" i="2"/>
  <c r="O652" i="2" s="1"/>
  <c r="H652" i="2"/>
  <c r="R651" i="2"/>
  <c r="L651" i="2"/>
  <c r="J651" i="2"/>
  <c r="I651" i="2"/>
  <c r="O651" i="2" s="1"/>
  <c r="Q651" i="2" s="1"/>
  <c r="H651" i="2"/>
  <c r="R650" i="2"/>
  <c r="L650" i="2"/>
  <c r="J650" i="2"/>
  <c r="I650" i="2"/>
  <c r="H650" i="2"/>
  <c r="R649" i="2"/>
  <c r="L649" i="2"/>
  <c r="M649" i="2" s="1"/>
  <c r="N649" i="2" s="1"/>
  <c r="J649" i="2"/>
  <c r="I649" i="2"/>
  <c r="O649" i="2" s="1"/>
  <c r="H649" i="2"/>
  <c r="R648" i="2"/>
  <c r="L648" i="2"/>
  <c r="J648" i="2"/>
  <c r="I648" i="2"/>
  <c r="O648" i="2" s="1"/>
  <c r="H648" i="2"/>
  <c r="R647" i="2"/>
  <c r="L647" i="2"/>
  <c r="M647" i="2" s="1"/>
  <c r="N647" i="2" s="1"/>
  <c r="J647" i="2"/>
  <c r="I647" i="2"/>
  <c r="O647" i="2" s="1"/>
  <c r="H647" i="2"/>
  <c r="R646" i="2"/>
  <c r="L646" i="2"/>
  <c r="J646" i="2"/>
  <c r="I646" i="2"/>
  <c r="H646" i="2"/>
  <c r="R645" i="2"/>
  <c r="L645" i="2"/>
  <c r="M645" i="2" s="1"/>
  <c r="J645" i="2"/>
  <c r="I645" i="2"/>
  <c r="O645" i="2" s="1"/>
  <c r="H645" i="2"/>
  <c r="R644" i="2"/>
  <c r="L644" i="2"/>
  <c r="J644" i="2"/>
  <c r="I644" i="2"/>
  <c r="O644" i="2" s="1"/>
  <c r="H644" i="2"/>
  <c r="R643" i="2"/>
  <c r="L643" i="2"/>
  <c r="M643" i="2" s="1"/>
  <c r="J643" i="2"/>
  <c r="I643" i="2"/>
  <c r="H643" i="2"/>
  <c r="R642" i="2"/>
  <c r="L642" i="2"/>
  <c r="J642" i="2"/>
  <c r="I642" i="2"/>
  <c r="H642" i="2"/>
  <c r="R641" i="2"/>
  <c r="L641" i="2"/>
  <c r="J641" i="2"/>
  <c r="I641" i="2"/>
  <c r="O641" i="2" s="1"/>
  <c r="Q641" i="2" s="1"/>
  <c r="H641" i="2"/>
  <c r="R640" i="2"/>
  <c r="L640" i="2"/>
  <c r="M640" i="2" s="1"/>
  <c r="N640" i="2" s="1"/>
  <c r="J640" i="2"/>
  <c r="I640" i="2"/>
  <c r="H640" i="2"/>
  <c r="R639" i="2"/>
  <c r="L639" i="2"/>
  <c r="J639" i="2"/>
  <c r="I639" i="2"/>
  <c r="O639" i="2" s="1"/>
  <c r="H639" i="2"/>
  <c r="R638" i="2"/>
  <c r="L638" i="2"/>
  <c r="J638" i="2"/>
  <c r="I638" i="2"/>
  <c r="O638" i="2" s="1"/>
  <c r="H638" i="2"/>
  <c r="R637" i="2"/>
  <c r="L637" i="2"/>
  <c r="J637" i="2"/>
  <c r="I637" i="2"/>
  <c r="O637" i="2" s="1"/>
  <c r="H637" i="2"/>
  <c r="R636" i="2"/>
  <c r="L636" i="2"/>
  <c r="J636" i="2"/>
  <c r="I636" i="2"/>
  <c r="O636" i="2" s="1"/>
  <c r="P636" i="2" s="1"/>
  <c r="H636" i="2"/>
  <c r="R635" i="2"/>
  <c r="L635" i="2"/>
  <c r="J635" i="2"/>
  <c r="I635" i="2"/>
  <c r="H635" i="2"/>
  <c r="R634" i="2"/>
  <c r="L634" i="2"/>
  <c r="M634" i="2" s="1"/>
  <c r="J634" i="2"/>
  <c r="I634" i="2"/>
  <c r="O634" i="2" s="1"/>
  <c r="Q634" i="2" s="1"/>
  <c r="H634" i="2"/>
  <c r="R633" i="2"/>
  <c r="L633" i="2"/>
  <c r="J633" i="2"/>
  <c r="I633" i="2"/>
  <c r="O633" i="2" s="1"/>
  <c r="H633" i="2"/>
  <c r="R632" i="2"/>
  <c r="L632" i="2"/>
  <c r="M632" i="2" s="1"/>
  <c r="J632" i="2"/>
  <c r="I632" i="2"/>
  <c r="O632" i="2" s="1"/>
  <c r="Q632" i="2" s="1"/>
  <c r="H632" i="2"/>
  <c r="R631" i="2"/>
  <c r="L631" i="2"/>
  <c r="J631" i="2"/>
  <c r="I631" i="2"/>
  <c r="O631" i="2" s="1"/>
  <c r="P631" i="2" s="1"/>
  <c r="H631" i="2"/>
  <c r="R630" i="2"/>
  <c r="L630" i="2"/>
  <c r="J630" i="2"/>
  <c r="I630" i="2"/>
  <c r="H630" i="2"/>
  <c r="R629" i="2"/>
  <c r="L629" i="2"/>
  <c r="M629" i="2" s="1"/>
  <c r="J629" i="2"/>
  <c r="I629" i="2"/>
  <c r="H629" i="2"/>
  <c r="R628" i="2"/>
  <c r="L628" i="2"/>
  <c r="M628" i="2" s="1"/>
  <c r="J628" i="2"/>
  <c r="I628" i="2"/>
  <c r="O628" i="2" s="1"/>
  <c r="P628" i="2" s="1"/>
  <c r="H628" i="2"/>
  <c r="R627" i="2"/>
  <c r="L627" i="2"/>
  <c r="M627" i="2" s="1"/>
  <c r="N627" i="2" s="1"/>
  <c r="J627" i="2"/>
  <c r="I627" i="2"/>
  <c r="O627" i="2" s="1"/>
  <c r="H627" i="2"/>
  <c r="R626" i="2"/>
  <c r="L626" i="2"/>
  <c r="M626" i="2" s="1"/>
  <c r="J626" i="2"/>
  <c r="I626" i="2"/>
  <c r="O626" i="2" s="1"/>
  <c r="Q626" i="2" s="1"/>
  <c r="H626" i="2"/>
  <c r="R625" i="2"/>
  <c r="L625" i="2"/>
  <c r="M625" i="2" s="1"/>
  <c r="J625" i="2"/>
  <c r="I625" i="2"/>
  <c r="O625" i="2" s="1"/>
  <c r="Q625" i="2" s="1"/>
  <c r="H625" i="2"/>
  <c r="R624" i="2"/>
  <c r="L624" i="2"/>
  <c r="J624" i="2"/>
  <c r="I624" i="2"/>
  <c r="O624" i="2" s="1"/>
  <c r="H624" i="2"/>
  <c r="R623" i="2"/>
  <c r="L623" i="2"/>
  <c r="J623" i="2"/>
  <c r="I623" i="2"/>
  <c r="H623" i="2"/>
  <c r="R622" i="2"/>
  <c r="L622" i="2"/>
  <c r="J622" i="2"/>
  <c r="I622" i="2"/>
  <c r="H622" i="2"/>
  <c r="R621" i="2"/>
  <c r="L621" i="2"/>
  <c r="J621" i="2"/>
  <c r="I621" i="2"/>
  <c r="H621" i="2"/>
  <c r="R620" i="2"/>
  <c r="L620" i="2"/>
  <c r="M620" i="2" s="1"/>
  <c r="J620" i="2"/>
  <c r="I620" i="2"/>
  <c r="O620" i="2" s="1"/>
  <c r="Q620" i="2" s="1"/>
  <c r="H620" i="2"/>
  <c r="R619" i="2"/>
  <c r="L619" i="2"/>
  <c r="M619" i="2" s="1"/>
  <c r="J619" i="2"/>
  <c r="I619" i="2"/>
  <c r="H619" i="2"/>
  <c r="R618" i="2"/>
  <c r="L618" i="2"/>
  <c r="J618" i="2"/>
  <c r="I618" i="2"/>
  <c r="O618" i="2" s="1"/>
  <c r="H618" i="2"/>
  <c r="R617" i="2"/>
  <c r="L617" i="2"/>
  <c r="M617" i="2" s="1"/>
  <c r="J617" i="2"/>
  <c r="I617" i="2"/>
  <c r="O617" i="2" s="1"/>
  <c r="H617" i="2"/>
  <c r="R616" i="2"/>
  <c r="L616" i="2"/>
  <c r="M616" i="2" s="1"/>
  <c r="J616" i="2"/>
  <c r="I616" i="2"/>
  <c r="H616" i="2"/>
  <c r="R615" i="2"/>
  <c r="L615" i="2"/>
  <c r="J615" i="2"/>
  <c r="I615" i="2"/>
  <c r="O615" i="2" s="1"/>
  <c r="H615" i="2"/>
  <c r="R614" i="2"/>
  <c r="L614" i="2"/>
  <c r="M614" i="2" s="1"/>
  <c r="N614" i="2" s="1"/>
  <c r="J614" i="2"/>
  <c r="I614" i="2"/>
  <c r="H614" i="2"/>
  <c r="R613" i="2"/>
  <c r="L613" i="2"/>
  <c r="J613" i="2"/>
  <c r="I613" i="2"/>
  <c r="H613" i="2"/>
  <c r="R612" i="2"/>
  <c r="L612" i="2"/>
  <c r="M612" i="2" s="1"/>
  <c r="J612" i="2"/>
  <c r="I612" i="2"/>
  <c r="H612" i="2"/>
  <c r="R611" i="2"/>
  <c r="L611" i="2"/>
  <c r="M611" i="2" s="1"/>
  <c r="J611" i="2"/>
  <c r="I611" i="2"/>
  <c r="O611" i="2" s="1"/>
  <c r="H611" i="2"/>
  <c r="R610" i="2"/>
  <c r="L610" i="2"/>
  <c r="J610" i="2"/>
  <c r="I610" i="2"/>
  <c r="O610" i="2" s="1"/>
  <c r="P610" i="2" s="1"/>
  <c r="H610" i="2"/>
  <c r="R609" i="2"/>
  <c r="L609" i="2"/>
  <c r="M609" i="2" s="1"/>
  <c r="J609" i="2"/>
  <c r="I609" i="2"/>
  <c r="O609" i="2" s="1"/>
  <c r="Q609" i="2" s="1"/>
  <c r="H609" i="2"/>
  <c r="R608" i="2"/>
  <c r="L608" i="2"/>
  <c r="J608" i="2"/>
  <c r="I608" i="2"/>
  <c r="O608" i="2" s="1"/>
  <c r="P608" i="2" s="1"/>
  <c r="H608" i="2"/>
  <c r="R607" i="2"/>
  <c r="L607" i="2"/>
  <c r="J607" i="2"/>
  <c r="I607" i="2"/>
  <c r="O607" i="2" s="1"/>
  <c r="H607" i="2"/>
  <c r="R606" i="2"/>
  <c r="L606" i="2"/>
  <c r="M606" i="2" s="1"/>
  <c r="N606" i="2" s="1"/>
  <c r="J606" i="2"/>
  <c r="I606" i="2"/>
  <c r="O606" i="2" s="1"/>
  <c r="P606" i="2" s="1"/>
  <c r="H606" i="2"/>
  <c r="R605" i="2"/>
  <c r="L605" i="2"/>
  <c r="J605" i="2"/>
  <c r="I605" i="2"/>
  <c r="O605" i="2" s="1"/>
  <c r="H605" i="2"/>
  <c r="R604" i="2"/>
  <c r="L604" i="2"/>
  <c r="M604" i="2" s="1"/>
  <c r="J604" i="2"/>
  <c r="I604" i="2"/>
  <c r="H604" i="2"/>
  <c r="R603" i="2"/>
  <c r="L603" i="2"/>
  <c r="M603" i="2" s="1"/>
  <c r="J603" i="2"/>
  <c r="I603" i="2"/>
  <c r="H603" i="2"/>
  <c r="R602" i="2"/>
  <c r="L602" i="2"/>
  <c r="J602" i="2"/>
  <c r="I602" i="2"/>
  <c r="O602" i="2" s="1"/>
  <c r="H602" i="2"/>
  <c r="R601" i="2"/>
  <c r="L601" i="2"/>
  <c r="M601" i="2" s="1"/>
  <c r="J601" i="2"/>
  <c r="I601" i="2"/>
  <c r="O601" i="2" s="1"/>
  <c r="Q601" i="2" s="1"/>
  <c r="H601" i="2"/>
  <c r="R600" i="2"/>
  <c r="L600" i="2"/>
  <c r="M600" i="2" s="1"/>
  <c r="N600" i="2" s="1"/>
  <c r="J600" i="2"/>
  <c r="I600" i="2"/>
  <c r="O600" i="2" s="1"/>
  <c r="H600" i="2"/>
  <c r="R599" i="2"/>
  <c r="L599" i="2"/>
  <c r="M599" i="2" s="1"/>
  <c r="J599" i="2"/>
  <c r="I599" i="2"/>
  <c r="O599" i="2" s="1"/>
  <c r="H599" i="2"/>
  <c r="R598" i="2"/>
  <c r="L598" i="2"/>
  <c r="J598" i="2"/>
  <c r="I598" i="2"/>
  <c r="H598" i="2"/>
  <c r="R597" i="2"/>
  <c r="L597" i="2"/>
  <c r="M597" i="2" s="1"/>
  <c r="J597" i="2"/>
  <c r="I597" i="2"/>
  <c r="H597" i="2"/>
  <c r="R596" i="2"/>
  <c r="L596" i="2"/>
  <c r="J596" i="2"/>
  <c r="I596" i="2"/>
  <c r="O596" i="2" s="1"/>
  <c r="H596" i="2"/>
  <c r="R595" i="2"/>
  <c r="L595" i="2"/>
  <c r="M595" i="2" s="1"/>
  <c r="N595" i="2" s="1"/>
  <c r="J595" i="2"/>
  <c r="I595" i="2"/>
  <c r="O595" i="2" s="1"/>
  <c r="H595" i="2"/>
  <c r="R594" i="2"/>
  <c r="L594" i="2"/>
  <c r="J594" i="2"/>
  <c r="I594" i="2"/>
  <c r="H594" i="2"/>
  <c r="R593" i="2"/>
  <c r="L593" i="2"/>
  <c r="J593" i="2"/>
  <c r="I593" i="2"/>
  <c r="O593" i="2" s="1"/>
  <c r="H593" i="2"/>
  <c r="R592" i="2"/>
  <c r="L592" i="2"/>
  <c r="M592" i="2" s="1"/>
  <c r="J592" i="2"/>
  <c r="I592" i="2"/>
  <c r="O592" i="2" s="1"/>
  <c r="H592" i="2"/>
  <c r="R591" i="2"/>
  <c r="L591" i="2"/>
  <c r="M591" i="2" s="1"/>
  <c r="J591" i="2"/>
  <c r="I591" i="2"/>
  <c r="O591" i="2" s="1"/>
  <c r="H591" i="2"/>
  <c r="R590" i="2"/>
  <c r="L590" i="2"/>
  <c r="M590" i="2" s="1"/>
  <c r="J590" i="2"/>
  <c r="I590" i="2"/>
  <c r="O590" i="2" s="1"/>
  <c r="H590" i="2"/>
  <c r="R589" i="2"/>
  <c r="L589" i="2"/>
  <c r="J589" i="2"/>
  <c r="I589" i="2"/>
  <c r="H589" i="2"/>
  <c r="R588" i="2"/>
  <c r="L588" i="2"/>
  <c r="M588" i="2" s="1"/>
  <c r="N588" i="2" s="1"/>
  <c r="J588" i="2"/>
  <c r="I588" i="2"/>
  <c r="O588" i="2" s="1"/>
  <c r="H588" i="2"/>
  <c r="R587" i="2"/>
  <c r="L587" i="2"/>
  <c r="M587" i="2" s="1"/>
  <c r="N587" i="2" s="1"/>
  <c r="J587" i="2"/>
  <c r="I587" i="2"/>
  <c r="O587" i="2" s="1"/>
  <c r="H587" i="2"/>
  <c r="R586" i="2"/>
  <c r="O586" i="2"/>
  <c r="Q586" i="2" s="1"/>
  <c r="L586" i="2"/>
  <c r="M586" i="2" s="1"/>
  <c r="J586" i="2"/>
  <c r="I586" i="2"/>
  <c r="H586" i="2"/>
  <c r="R585" i="2"/>
  <c r="L585" i="2"/>
  <c r="J585" i="2"/>
  <c r="I585" i="2"/>
  <c r="O585" i="2" s="1"/>
  <c r="H585" i="2"/>
  <c r="R584" i="2"/>
  <c r="L584" i="2"/>
  <c r="M584" i="2" s="1"/>
  <c r="J584" i="2"/>
  <c r="I584" i="2"/>
  <c r="O584" i="2" s="1"/>
  <c r="P584" i="2" s="1"/>
  <c r="H584" i="2"/>
  <c r="R583" i="2"/>
  <c r="L583" i="2"/>
  <c r="M583" i="2" s="1"/>
  <c r="J583" i="2"/>
  <c r="I583" i="2"/>
  <c r="H583" i="2"/>
  <c r="R582" i="2"/>
  <c r="L582" i="2"/>
  <c r="J582" i="2"/>
  <c r="I582" i="2"/>
  <c r="O582" i="2" s="1"/>
  <c r="P582" i="2" s="1"/>
  <c r="H582" i="2"/>
  <c r="R581" i="2"/>
  <c r="L581" i="2"/>
  <c r="M581" i="2" s="1"/>
  <c r="J581" i="2"/>
  <c r="I581" i="2"/>
  <c r="H581" i="2"/>
  <c r="R580" i="2"/>
  <c r="L580" i="2"/>
  <c r="M580" i="2" s="1"/>
  <c r="J580" i="2"/>
  <c r="I580" i="2"/>
  <c r="O580" i="2" s="1"/>
  <c r="Q580" i="2" s="1"/>
  <c r="H580" i="2"/>
  <c r="R579" i="2"/>
  <c r="L579" i="2"/>
  <c r="M579" i="2" s="1"/>
  <c r="N579" i="2" s="1"/>
  <c r="J579" i="2"/>
  <c r="I579" i="2"/>
  <c r="O579" i="2" s="1"/>
  <c r="Q579" i="2" s="1"/>
  <c r="H579" i="2"/>
  <c r="R578" i="2"/>
  <c r="L578" i="2"/>
  <c r="M578" i="2" s="1"/>
  <c r="J578" i="2"/>
  <c r="I578" i="2"/>
  <c r="H578" i="2"/>
  <c r="R577" i="2"/>
  <c r="L577" i="2"/>
  <c r="J577" i="2"/>
  <c r="I577" i="2"/>
  <c r="H577" i="2"/>
  <c r="R576" i="2"/>
  <c r="L576" i="2"/>
  <c r="M576" i="2" s="1"/>
  <c r="J576" i="2"/>
  <c r="I576" i="2"/>
  <c r="H576" i="2"/>
  <c r="R575" i="2"/>
  <c r="L575" i="2"/>
  <c r="M575" i="2" s="1"/>
  <c r="N575" i="2" s="1"/>
  <c r="J575" i="2"/>
  <c r="I575" i="2"/>
  <c r="O575" i="2" s="1"/>
  <c r="H575" i="2"/>
  <c r="R574" i="2"/>
  <c r="L574" i="2"/>
  <c r="J574" i="2"/>
  <c r="I574" i="2"/>
  <c r="H574" i="2"/>
  <c r="R573" i="2"/>
  <c r="L573" i="2"/>
  <c r="J573" i="2"/>
  <c r="I573" i="2"/>
  <c r="H573" i="2"/>
  <c r="R572" i="2"/>
  <c r="L572" i="2"/>
  <c r="J572" i="2"/>
  <c r="I572" i="2"/>
  <c r="O572" i="2" s="1"/>
  <c r="Q572" i="2" s="1"/>
  <c r="H572" i="2"/>
  <c r="R571" i="2"/>
  <c r="L571" i="2"/>
  <c r="J571" i="2"/>
  <c r="I571" i="2"/>
  <c r="H571" i="2"/>
  <c r="R570" i="2"/>
  <c r="L570" i="2"/>
  <c r="J570" i="2"/>
  <c r="I570" i="2"/>
  <c r="H570" i="2"/>
  <c r="R569" i="2"/>
  <c r="L569" i="2"/>
  <c r="M569" i="2" s="1"/>
  <c r="N569" i="2" s="1"/>
  <c r="J569" i="2"/>
  <c r="I569" i="2"/>
  <c r="O569" i="2" s="1"/>
  <c r="H569" i="2"/>
  <c r="R568" i="2"/>
  <c r="L568" i="2"/>
  <c r="M568" i="2" s="1"/>
  <c r="J568" i="2"/>
  <c r="I568" i="2"/>
  <c r="H568" i="2"/>
  <c r="R567" i="2"/>
  <c r="L567" i="2"/>
  <c r="M567" i="2" s="1"/>
  <c r="N567" i="2" s="1"/>
  <c r="J567" i="2"/>
  <c r="I567" i="2"/>
  <c r="O567" i="2" s="1"/>
  <c r="Q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J565" i="2"/>
  <c r="I565" i="2"/>
  <c r="O565" i="2" s="1"/>
  <c r="P565" i="2" s="1"/>
  <c r="H565" i="2"/>
  <c r="R564" i="2"/>
  <c r="L564" i="2"/>
  <c r="J564" i="2"/>
  <c r="I564" i="2"/>
  <c r="O564" i="2" s="1"/>
  <c r="P564" i="2" s="1"/>
  <c r="H564" i="2"/>
  <c r="R563" i="2"/>
  <c r="L563" i="2"/>
  <c r="M563" i="2" s="1"/>
  <c r="J563" i="2"/>
  <c r="I563" i="2"/>
  <c r="O563" i="2" s="1"/>
  <c r="P563" i="2" s="1"/>
  <c r="H563" i="2"/>
  <c r="R562" i="2"/>
  <c r="L562" i="2"/>
  <c r="M562" i="2" s="1"/>
  <c r="N562" i="2" s="1"/>
  <c r="J562" i="2"/>
  <c r="I562" i="2"/>
  <c r="O562" i="2" s="1"/>
  <c r="P562" i="2" s="1"/>
  <c r="H562" i="2"/>
  <c r="R561" i="2"/>
  <c r="L561" i="2"/>
  <c r="J561" i="2"/>
  <c r="I561" i="2"/>
  <c r="H561" i="2"/>
  <c r="R560" i="2"/>
  <c r="L560" i="2"/>
  <c r="J560" i="2"/>
  <c r="I560" i="2"/>
  <c r="O560" i="2" s="1"/>
  <c r="Q560" i="2" s="1"/>
  <c r="H560" i="2"/>
  <c r="R559" i="2"/>
  <c r="L559" i="2"/>
  <c r="M559" i="2" s="1"/>
  <c r="N559" i="2" s="1"/>
  <c r="J559" i="2"/>
  <c r="I559" i="2"/>
  <c r="O559" i="2" s="1"/>
  <c r="P559" i="2" s="1"/>
  <c r="H559" i="2"/>
  <c r="R558" i="2"/>
  <c r="L558" i="2"/>
  <c r="M558" i="2" s="1"/>
  <c r="N558" i="2" s="1"/>
  <c r="J558" i="2"/>
  <c r="I558" i="2"/>
  <c r="O558" i="2" s="1"/>
  <c r="H558" i="2"/>
  <c r="R557" i="2"/>
  <c r="L557" i="2"/>
  <c r="M557" i="2" s="1"/>
  <c r="J557" i="2"/>
  <c r="I557" i="2"/>
  <c r="H557" i="2"/>
  <c r="R556" i="2"/>
  <c r="L556" i="2"/>
  <c r="J556" i="2"/>
  <c r="I556" i="2"/>
  <c r="H556" i="2"/>
  <c r="R555" i="2"/>
  <c r="L555" i="2"/>
  <c r="M555" i="2" s="1"/>
  <c r="N555" i="2" s="1"/>
  <c r="J555" i="2"/>
  <c r="I555" i="2"/>
  <c r="H555" i="2"/>
  <c r="R554" i="2"/>
  <c r="L554" i="2"/>
  <c r="J554" i="2"/>
  <c r="I554" i="2"/>
  <c r="O554" i="2" s="1"/>
  <c r="H554" i="2"/>
  <c r="R553" i="2"/>
  <c r="L553" i="2"/>
  <c r="M553" i="2" s="1"/>
  <c r="J553" i="2"/>
  <c r="I553" i="2"/>
  <c r="O553" i="2" s="1"/>
  <c r="H553" i="2"/>
  <c r="R552" i="2"/>
  <c r="L552" i="2"/>
  <c r="J552" i="2"/>
  <c r="I552" i="2"/>
  <c r="O552" i="2" s="1"/>
  <c r="P552" i="2" s="1"/>
  <c r="H552" i="2"/>
  <c r="R551" i="2"/>
  <c r="L551" i="2"/>
  <c r="J551" i="2"/>
  <c r="I551" i="2"/>
  <c r="O551" i="2" s="1"/>
  <c r="H551" i="2"/>
  <c r="R550" i="2"/>
  <c r="L550" i="2"/>
  <c r="J550" i="2"/>
  <c r="I550" i="2"/>
  <c r="O550" i="2" s="1"/>
  <c r="H550" i="2"/>
  <c r="R549" i="2"/>
  <c r="L549" i="2"/>
  <c r="M549" i="2" s="1"/>
  <c r="J549" i="2"/>
  <c r="I549" i="2"/>
  <c r="O549" i="2" s="1"/>
  <c r="H549" i="2"/>
  <c r="R548" i="2"/>
  <c r="L548" i="2"/>
  <c r="M548" i="2" s="1"/>
  <c r="N548" i="2" s="1"/>
  <c r="J548" i="2"/>
  <c r="I548" i="2"/>
  <c r="H548" i="2"/>
  <c r="R547" i="2"/>
  <c r="L547" i="2"/>
  <c r="M547" i="2" s="1"/>
  <c r="J547" i="2"/>
  <c r="I547" i="2"/>
  <c r="H547" i="2"/>
  <c r="R546" i="2"/>
  <c r="L546" i="2"/>
  <c r="J546" i="2"/>
  <c r="I546" i="2"/>
  <c r="O546" i="2" s="1"/>
  <c r="Q546" i="2" s="1"/>
  <c r="H546" i="2"/>
  <c r="R545" i="2"/>
  <c r="L545" i="2"/>
  <c r="M545" i="2" s="1"/>
  <c r="N545" i="2" s="1"/>
  <c r="J545" i="2"/>
  <c r="I545" i="2"/>
  <c r="O545" i="2" s="1"/>
  <c r="Q545" i="2" s="1"/>
  <c r="H545" i="2"/>
  <c r="R544" i="2"/>
  <c r="L544" i="2"/>
  <c r="M544" i="2" s="1"/>
  <c r="N544" i="2" s="1"/>
  <c r="J544" i="2"/>
  <c r="I544" i="2"/>
  <c r="O544" i="2" s="1"/>
  <c r="H544" i="2"/>
  <c r="R543" i="2"/>
  <c r="L543" i="2"/>
  <c r="M543" i="2" s="1"/>
  <c r="N543" i="2" s="1"/>
  <c r="J543" i="2"/>
  <c r="I543" i="2"/>
  <c r="O543" i="2" s="1"/>
  <c r="P543" i="2" s="1"/>
  <c r="H543" i="2"/>
  <c r="R542" i="2"/>
  <c r="L542" i="2"/>
  <c r="J542" i="2"/>
  <c r="I542" i="2"/>
  <c r="H542" i="2"/>
  <c r="R541" i="2"/>
  <c r="L541" i="2"/>
  <c r="M541" i="2" s="1"/>
  <c r="J541" i="2"/>
  <c r="I541" i="2"/>
  <c r="O541" i="2" s="1"/>
  <c r="H541" i="2"/>
  <c r="R540" i="2"/>
  <c r="L540" i="2"/>
  <c r="M540" i="2" s="1"/>
  <c r="J540" i="2"/>
  <c r="I540" i="2"/>
  <c r="H540" i="2"/>
  <c r="R539" i="2"/>
  <c r="L539" i="2"/>
  <c r="M539" i="2" s="1"/>
  <c r="J539" i="2"/>
  <c r="I539" i="2"/>
  <c r="O539" i="2" s="1"/>
  <c r="H539" i="2"/>
  <c r="R538" i="2"/>
  <c r="L538" i="2"/>
  <c r="J538" i="2"/>
  <c r="I538" i="2"/>
  <c r="H538" i="2"/>
  <c r="R537" i="2"/>
  <c r="L537" i="2"/>
  <c r="M537" i="2" s="1"/>
  <c r="N537" i="2" s="1"/>
  <c r="J537" i="2"/>
  <c r="I537" i="2"/>
  <c r="O537" i="2" s="1"/>
  <c r="H537" i="2"/>
  <c r="R536" i="2"/>
  <c r="L536" i="2"/>
  <c r="J536" i="2"/>
  <c r="I536" i="2"/>
  <c r="H536" i="2"/>
  <c r="R535" i="2"/>
  <c r="L535" i="2"/>
  <c r="M535" i="2" s="1"/>
  <c r="N535" i="2" s="1"/>
  <c r="J535" i="2"/>
  <c r="I535" i="2"/>
  <c r="H535" i="2"/>
  <c r="R534" i="2"/>
  <c r="L534" i="2"/>
  <c r="J534" i="2"/>
  <c r="I534" i="2"/>
  <c r="O534" i="2" s="1"/>
  <c r="H534" i="2"/>
  <c r="R533" i="2"/>
  <c r="L533" i="2"/>
  <c r="M533" i="2" s="1"/>
  <c r="J533" i="2"/>
  <c r="I533" i="2"/>
  <c r="O533" i="2" s="1"/>
  <c r="H533" i="2"/>
  <c r="R532" i="2"/>
  <c r="L532" i="2"/>
  <c r="M532" i="2" s="1"/>
  <c r="J532" i="2"/>
  <c r="I532" i="2"/>
  <c r="O532" i="2" s="1"/>
  <c r="H532" i="2"/>
  <c r="R531" i="2"/>
  <c r="L531" i="2"/>
  <c r="M531" i="2" s="1"/>
  <c r="J531" i="2"/>
  <c r="I531" i="2"/>
  <c r="O531" i="2" s="1"/>
  <c r="P531" i="2" s="1"/>
  <c r="H531" i="2"/>
  <c r="R530" i="2"/>
  <c r="L530" i="2"/>
  <c r="M530" i="2" s="1"/>
  <c r="N530" i="2" s="1"/>
  <c r="J530" i="2"/>
  <c r="I530" i="2"/>
  <c r="O530" i="2" s="1"/>
  <c r="Q530" i="2" s="1"/>
  <c r="H530" i="2"/>
  <c r="R529" i="2"/>
  <c r="L529" i="2"/>
  <c r="J529" i="2"/>
  <c r="I529" i="2"/>
  <c r="O529" i="2" s="1"/>
  <c r="Q529" i="2" s="1"/>
  <c r="H529" i="2"/>
  <c r="R528" i="2"/>
  <c r="L528" i="2"/>
  <c r="J528" i="2"/>
  <c r="I528" i="2"/>
  <c r="H528" i="2"/>
  <c r="R527" i="2"/>
  <c r="L527" i="2"/>
  <c r="M527" i="2" s="1"/>
  <c r="N527" i="2" s="1"/>
  <c r="J527" i="2"/>
  <c r="I527" i="2"/>
  <c r="H527" i="2"/>
  <c r="R526" i="2"/>
  <c r="L526" i="2"/>
  <c r="M526" i="2" s="1"/>
  <c r="J526" i="2"/>
  <c r="I526" i="2"/>
  <c r="H526" i="2"/>
  <c r="R525" i="2"/>
  <c r="L525" i="2"/>
  <c r="M525" i="2" s="1"/>
  <c r="N525" i="2" s="1"/>
  <c r="J525" i="2"/>
  <c r="I525" i="2"/>
  <c r="O525" i="2" s="1"/>
  <c r="H525" i="2"/>
  <c r="R524" i="2"/>
  <c r="L524" i="2"/>
  <c r="M524" i="2" s="1"/>
  <c r="J524" i="2"/>
  <c r="I524" i="2"/>
  <c r="O524" i="2" s="1"/>
  <c r="H524" i="2"/>
  <c r="R523" i="2"/>
  <c r="L523" i="2"/>
  <c r="J523" i="2"/>
  <c r="I523" i="2"/>
  <c r="O523" i="2" s="1"/>
  <c r="H523" i="2"/>
  <c r="R522" i="2"/>
  <c r="L522" i="2"/>
  <c r="J522" i="2"/>
  <c r="I522" i="2"/>
  <c r="O522" i="2" s="1"/>
  <c r="H522" i="2"/>
  <c r="R521" i="2"/>
  <c r="L521" i="2"/>
  <c r="M521" i="2" s="1"/>
  <c r="N521" i="2" s="1"/>
  <c r="J521" i="2"/>
  <c r="I521" i="2"/>
  <c r="H521" i="2"/>
  <c r="R520" i="2"/>
  <c r="L520" i="2"/>
  <c r="J520" i="2"/>
  <c r="I520" i="2"/>
  <c r="H520" i="2"/>
  <c r="R519" i="2"/>
  <c r="L519" i="2"/>
  <c r="M519" i="2" s="1"/>
  <c r="N519" i="2" s="1"/>
  <c r="J519" i="2"/>
  <c r="I519" i="2"/>
  <c r="H519" i="2"/>
  <c r="R518" i="2"/>
  <c r="L518" i="2"/>
  <c r="M518" i="2" s="1"/>
  <c r="N518" i="2" s="1"/>
  <c r="J518" i="2"/>
  <c r="I518" i="2"/>
  <c r="O518" i="2" s="1"/>
  <c r="Q518" i="2" s="1"/>
  <c r="H518" i="2"/>
  <c r="R517" i="2"/>
  <c r="L517" i="2"/>
  <c r="J517" i="2"/>
  <c r="I517" i="2"/>
  <c r="O517" i="2" s="1"/>
  <c r="P517" i="2" s="1"/>
  <c r="H517" i="2"/>
  <c r="R516" i="2"/>
  <c r="L516" i="2"/>
  <c r="M516" i="2" s="1"/>
  <c r="N516" i="2" s="1"/>
  <c r="J516" i="2"/>
  <c r="I516" i="2"/>
  <c r="O516" i="2" s="1"/>
  <c r="Q516" i="2" s="1"/>
  <c r="H516" i="2"/>
  <c r="R515" i="2"/>
  <c r="L515" i="2"/>
  <c r="J515" i="2"/>
  <c r="I515" i="2"/>
  <c r="O515" i="2" s="1"/>
  <c r="P515" i="2" s="1"/>
  <c r="H515" i="2"/>
  <c r="R514" i="2"/>
  <c r="L514" i="2"/>
  <c r="M514" i="2" s="1"/>
  <c r="N514" i="2" s="1"/>
  <c r="J514" i="2"/>
  <c r="I514" i="2"/>
  <c r="H514" i="2"/>
  <c r="R513" i="2"/>
  <c r="L513" i="2"/>
  <c r="M513" i="2" s="1"/>
  <c r="J513" i="2"/>
  <c r="I513" i="2"/>
  <c r="O513" i="2" s="1"/>
  <c r="Q513" i="2" s="1"/>
  <c r="H513" i="2"/>
  <c r="R512" i="2"/>
  <c r="L512" i="2"/>
  <c r="M512" i="2" s="1"/>
  <c r="J512" i="2"/>
  <c r="I512" i="2"/>
  <c r="H512" i="2"/>
  <c r="R511" i="2"/>
  <c r="L511" i="2"/>
  <c r="M511" i="2" s="1"/>
  <c r="J511" i="2"/>
  <c r="I511" i="2"/>
  <c r="H511" i="2"/>
  <c r="R510" i="2"/>
  <c r="L510" i="2"/>
  <c r="M510" i="2" s="1"/>
  <c r="N510" i="2" s="1"/>
  <c r="J510" i="2"/>
  <c r="I510" i="2"/>
  <c r="O510" i="2" s="1"/>
  <c r="H510" i="2"/>
  <c r="R509" i="2"/>
  <c r="L509" i="2"/>
  <c r="J509" i="2"/>
  <c r="I509" i="2"/>
  <c r="O509" i="2" s="1"/>
  <c r="H509" i="2"/>
  <c r="R508" i="2"/>
  <c r="L508" i="2"/>
  <c r="J508" i="2"/>
  <c r="I508" i="2"/>
  <c r="O508" i="2" s="1"/>
  <c r="H508" i="2"/>
  <c r="R507" i="2"/>
  <c r="L507" i="2"/>
  <c r="M507" i="2" s="1"/>
  <c r="N507" i="2" s="1"/>
  <c r="J507" i="2"/>
  <c r="I507" i="2"/>
  <c r="O507" i="2" s="1"/>
  <c r="P507" i="2" s="1"/>
  <c r="H507" i="2"/>
  <c r="R506" i="2"/>
  <c r="L506" i="2"/>
  <c r="J506" i="2"/>
  <c r="I506" i="2"/>
  <c r="H506" i="2"/>
  <c r="R505" i="2"/>
  <c r="L505" i="2"/>
  <c r="J505" i="2"/>
  <c r="I505" i="2"/>
  <c r="O505" i="2" s="1"/>
  <c r="H505" i="2"/>
  <c r="R504" i="2"/>
  <c r="L504" i="2"/>
  <c r="M504" i="2" s="1"/>
  <c r="N504" i="2" s="1"/>
  <c r="J504" i="2"/>
  <c r="I504" i="2"/>
  <c r="O504" i="2" s="1"/>
  <c r="H504" i="2"/>
  <c r="R503" i="2"/>
  <c r="L503" i="2"/>
  <c r="J503" i="2"/>
  <c r="I503" i="2"/>
  <c r="H503" i="2"/>
  <c r="R502" i="2"/>
  <c r="L502" i="2"/>
  <c r="J502" i="2"/>
  <c r="I502" i="2"/>
  <c r="O502" i="2" s="1"/>
  <c r="H502" i="2"/>
  <c r="R501" i="2"/>
  <c r="L501" i="2"/>
  <c r="M501" i="2" s="1"/>
  <c r="N501" i="2" s="1"/>
  <c r="J501" i="2"/>
  <c r="I501" i="2"/>
  <c r="O501" i="2" s="1"/>
  <c r="H501" i="2"/>
  <c r="R500" i="2"/>
  <c r="L500" i="2"/>
  <c r="M500" i="2" s="1"/>
  <c r="J500" i="2"/>
  <c r="I500" i="2"/>
  <c r="H500" i="2"/>
  <c r="R499" i="2"/>
  <c r="L499" i="2"/>
  <c r="M499" i="2" s="1"/>
  <c r="N499" i="2" s="1"/>
  <c r="J499" i="2"/>
  <c r="I499" i="2"/>
  <c r="H499" i="2"/>
  <c r="R498" i="2"/>
  <c r="L498" i="2"/>
  <c r="M498" i="2" s="1"/>
  <c r="J498" i="2"/>
  <c r="I498" i="2"/>
  <c r="H498" i="2"/>
  <c r="R497" i="2"/>
  <c r="L497" i="2"/>
  <c r="J497" i="2"/>
  <c r="I497" i="2"/>
  <c r="O497" i="2" s="1"/>
  <c r="H497" i="2"/>
  <c r="R496" i="2"/>
  <c r="L496" i="2"/>
  <c r="M496" i="2" s="1"/>
  <c r="N496" i="2" s="1"/>
  <c r="J496" i="2"/>
  <c r="I496" i="2"/>
  <c r="O496" i="2" s="1"/>
  <c r="P496" i="2" s="1"/>
  <c r="H496" i="2"/>
  <c r="R495" i="2"/>
  <c r="L495" i="2"/>
  <c r="J495" i="2"/>
  <c r="I495" i="2"/>
  <c r="H495" i="2"/>
  <c r="R494" i="2"/>
  <c r="L494" i="2"/>
  <c r="J494" i="2"/>
  <c r="I494" i="2"/>
  <c r="H494" i="2"/>
  <c r="R493" i="2"/>
  <c r="L493" i="2"/>
  <c r="M493" i="2" s="1"/>
  <c r="J493" i="2"/>
  <c r="I493" i="2"/>
  <c r="H493" i="2"/>
  <c r="R492" i="2"/>
  <c r="L492" i="2"/>
  <c r="M492" i="2" s="1"/>
  <c r="J492" i="2"/>
  <c r="I492" i="2"/>
  <c r="O492" i="2" s="1"/>
  <c r="Q492" i="2" s="1"/>
  <c r="H492" i="2"/>
  <c r="R491" i="2"/>
  <c r="L491" i="2"/>
  <c r="M491" i="2" s="1"/>
  <c r="N491" i="2" s="1"/>
  <c r="J491" i="2"/>
  <c r="I491" i="2"/>
  <c r="O491" i="2" s="1"/>
  <c r="H491" i="2"/>
  <c r="R490" i="2"/>
  <c r="L490" i="2"/>
  <c r="J490" i="2"/>
  <c r="I490" i="2"/>
  <c r="O490" i="2" s="1"/>
  <c r="P490" i="2" s="1"/>
  <c r="H490" i="2"/>
  <c r="R489" i="2"/>
  <c r="L489" i="2"/>
  <c r="M489" i="2" s="1"/>
  <c r="J489" i="2"/>
  <c r="I489" i="2"/>
  <c r="O489" i="2" s="1"/>
  <c r="H489" i="2"/>
  <c r="R488" i="2"/>
  <c r="L488" i="2"/>
  <c r="M488" i="2" s="1"/>
  <c r="N488" i="2" s="1"/>
  <c r="J488" i="2"/>
  <c r="I488" i="2"/>
  <c r="O488" i="2" s="1"/>
  <c r="Q488" i="2" s="1"/>
  <c r="H488" i="2"/>
  <c r="R487" i="2"/>
  <c r="L487" i="2"/>
  <c r="M487" i="2" s="1"/>
  <c r="N487" i="2" s="1"/>
  <c r="J487" i="2"/>
  <c r="I487" i="2"/>
  <c r="O487" i="2" s="1"/>
  <c r="Q487" i="2" s="1"/>
  <c r="H487" i="2"/>
  <c r="R486" i="2"/>
  <c r="L486" i="2"/>
  <c r="M486" i="2" s="1"/>
  <c r="N486" i="2" s="1"/>
  <c r="J486" i="2"/>
  <c r="I486" i="2"/>
  <c r="O486" i="2" s="1"/>
  <c r="H486" i="2"/>
  <c r="R485" i="2"/>
  <c r="L485" i="2"/>
  <c r="J485" i="2"/>
  <c r="I485" i="2"/>
  <c r="O485" i="2" s="1"/>
  <c r="P485" i="2" s="1"/>
  <c r="H485" i="2"/>
  <c r="R484" i="2"/>
  <c r="L484" i="2"/>
  <c r="M484" i="2" s="1"/>
  <c r="N484" i="2" s="1"/>
  <c r="J484" i="2"/>
  <c r="I484" i="2"/>
  <c r="H484" i="2"/>
  <c r="R483" i="2"/>
  <c r="L483" i="2"/>
  <c r="M483" i="2" s="1"/>
  <c r="J483" i="2"/>
  <c r="I483" i="2"/>
  <c r="O483" i="2" s="1"/>
  <c r="H483" i="2"/>
  <c r="R482" i="2"/>
  <c r="L482" i="2"/>
  <c r="J482" i="2"/>
  <c r="I482" i="2"/>
  <c r="O482" i="2" s="1"/>
  <c r="H482" i="2"/>
  <c r="R481" i="2"/>
  <c r="L481" i="2"/>
  <c r="M481" i="2" s="1"/>
  <c r="J481" i="2"/>
  <c r="I481" i="2"/>
  <c r="O481" i="2" s="1"/>
  <c r="H481" i="2"/>
  <c r="R480" i="2"/>
  <c r="L480" i="2"/>
  <c r="M480" i="2" s="1"/>
  <c r="J480" i="2"/>
  <c r="I480" i="2"/>
  <c r="H480" i="2"/>
  <c r="R479" i="2"/>
  <c r="L479" i="2"/>
  <c r="M479" i="2" s="1"/>
  <c r="N479" i="2" s="1"/>
  <c r="J479" i="2"/>
  <c r="I479" i="2"/>
  <c r="O479" i="2" s="1"/>
  <c r="H479" i="2"/>
  <c r="R478" i="2"/>
  <c r="L478" i="2"/>
  <c r="M478" i="2" s="1"/>
  <c r="J478" i="2"/>
  <c r="I478" i="2"/>
  <c r="H478" i="2"/>
  <c r="R477" i="2"/>
  <c r="L477" i="2"/>
  <c r="M477" i="2" s="1"/>
  <c r="N477" i="2" s="1"/>
  <c r="J477" i="2"/>
  <c r="I477" i="2"/>
  <c r="H477" i="2"/>
  <c r="R476" i="2"/>
  <c r="L476" i="2"/>
  <c r="M476" i="2" s="1"/>
  <c r="N476" i="2" s="1"/>
  <c r="J476" i="2"/>
  <c r="I476" i="2"/>
  <c r="H476" i="2"/>
  <c r="R475" i="2"/>
  <c r="L475" i="2"/>
  <c r="M475" i="2" s="1"/>
  <c r="N475" i="2" s="1"/>
  <c r="J475" i="2"/>
  <c r="I475" i="2"/>
  <c r="O475" i="2" s="1"/>
  <c r="H475" i="2"/>
  <c r="R474" i="2"/>
  <c r="L474" i="2"/>
  <c r="J474" i="2"/>
  <c r="I474" i="2"/>
  <c r="O474" i="2" s="1"/>
  <c r="H474" i="2"/>
  <c r="R473" i="2"/>
  <c r="L473" i="2"/>
  <c r="M473" i="2" s="1"/>
  <c r="N473" i="2" s="1"/>
  <c r="J473" i="2"/>
  <c r="I473" i="2"/>
  <c r="H473" i="2"/>
  <c r="R472" i="2"/>
  <c r="L472" i="2"/>
  <c r="M472" i="2" s="1"/>
  <c r="J472" i="2"/>
  <c r="I472" i="2"/>
  <c r="O472" i="2" s="1"/>
  <c r="H472" i="2"/>
  <c r="R471" i="2"/>
  <c r="L471" i="2"/>
  <c r="J471" i="2"/>
  <c r="I471" i="2"/>
  <c r="H471" i="2"/>
  <c r="R470" i="2"/>
  <c r="L470" i="2"/>
  <c r="J470" i="2"/>
  <c r="I470" i="2"/>
  <c r="O470" i="2" s="1"/>
  <c r="H470" i="2"/>
  <c r="R469" i="2"/>
  <c r="L469" i="2"/>
  <c r="M469" i="2" s="1"/>
  <c r="N469" i="2" s="1"/>
  <c r="J469" i="2"/>
  <c r="I469" i="2"/>
  <c r="O469" i="2" s="1"/>
  <c r="H469" i="2"/>
  <c r="R468" i="2"/>
  <c r="L468" i="2"/>
  <c r="J468" i="2"/>
  <c r="I468" i="2"/>
  <c r="O468" i="2" s="1"/>
  <c r="Q468" i="2" s="1"/>
  <c r="H468" i="2"/>
  <c r="R467" i="2"/>
  <c r="L467" i="2"/>
  <c r="J467" i="2"/>
  <c r="I467" i="2"/>
  <c r="O467" i="2" s="1"/>
  <c r="H467" i="2"/>
  <c r="R466" i="2"/>
  <c r="L466" i="2"/>
  <c r="J466" i="2"/>
  <c r="I466" i="2"/>
  <c r="O466" i="2" s="1"/>
  <c r="Q466" i="2" s="1"/>
  <c r="H466" i="2"/>
  <c r="R465" i="2"/>
  <c r="L465" i="2"/>
  <c r="M465" i="2" s="1"/>
  <c r="N465" i="2" s="1"/>
  <c r="J465" i="2"/>
  <c r="I465" i="2"/>
  <c r="H465" i="2"/>
  <c r="R464" i="2"/>
  <c r="L464" i="2"/>
  <c r="M464" i="2" s="1"/>
  <c r="N464" i="2" s="1"/>
  <c r="J464" i="2"/>
  <c r="I464" i="2"/>
  <c r="H464" i="2"/>
  <c r="R463" i="2"/>
  <c r="L463" i="2"/>
  <c r="M463" i="2" s="1"/>
  <c r="J463" i="2"/>
  <c r="I463" i="2"/>
  <c r="H463" i="2"/>
  <c r="R462" i="2"/>
  <c r="L462" i="2"/>
  <c r="J462" i="2"/>
  <c r="I462" i="2"/>
  <c r="O462" i="2" s="1"/>
  <c r="H462" i="2"/>
  <c r="R461" i="2"/>
  <c r="L461" i="2"/>
  <c r="M461" i="2" s="1"/>
  <c r="J461" i="2"/>
  <c r="I461" i="2"/>
  <c r="O461" i="2" s="1"/>
  <c r="H461" i="2"/>
  <c r="R460" i="2"/>
  <c r="L460" i="2"/>
  <c r="J460" i="2"/>
  <c r="I460" i="2"/>
  <c r="O460" i="2" s="1"/>
  <c r="H460" i="2"/>
  <c r="R459" i="2"/>
  <c r="L459" i="2"/>
  <c r="M459" i="2" s="1"/>
  <c r="N459" i="2" s="1"/>
  <c r="J459" i="2"/>
  <c r="I459" i="2"/>
  <c r="H459" i="2"/>
  <c r="R458" i="2"/>
  <c r="L458" i="2"/>
  <c r="M458" i="2" s="1"/>
  <c r="N458" i="2" s="1"/>
  <c r="J458" i="2"/>
  <c r="I458" i="2"/>
  <c r="H458" i="2"/>
  <c r="R457" i="2"/>
  <c r="L457" i="2"/>
  <c r="M457" i="2" s="1"/>
  <c r="N457" i="2" s="1"/>
  <c r="J457" i="2"/>
  <c r="I457" i="2"/>
  <c r="O457" i="2" s="1"/>
  <c r="P457" i="2" s="1"/>
  <c r="H457" i="2"/>
  <c r="R456" i="2"/>
  <c r="L456" i="2"/>
  <c r="M456" i="2" s="1"/>
  <c r="N456" i="2" s="1"/>
  <c r="J456" i="2"/>
  <c r="I456" i="2"/>
  <c r="O456" i="2" s="1"/>
  <c r="H456" i="2"/>
  <c r="R455" i="2"/>
  <c r="L455" i="2"/>
  <c r="M455" i="2" s="1"/>
  <c r="N455" i="2" s="1"/>
  <c r="J455" i="2"/>
  <c r="I455" i="2"/>
  <c r="O455" i="2" s="1"/>
  <c r="Q455" i="2" s="1"/>
  <c r="H455" i="2"/>
  <c r="R454" i="2"/>
  <c r="L454" i="2"/>
  <c r="M454" i="2" s="1"/>
  <c r="N454" i="2" s="1"/>
  <c r="J454" i="2"/>
  <c r="I454" i="2"/>
  <c r="H454" i="2"/>
  <c r="R453" i="2"/>
  <c r="L453" i="2"/>
  <c r="M453" i="2" s="1"/>
  <c r="N453" i="2" s="1"/>
  <c r="J453" i="2"/>
  <c r="I453" i="2"/>
  <c r="O453" i="2" s="1"/>
  <c r="H453" i="2"/>
  <c r="R452" i="2"/>
  <c r="L452" i="2"/>
  <c r="M452" i="2" s="1"/>
  <c r="J452" i="2"/>
  <c r="I452" i="2"/>
  <c r="H452" i="2"/>
  <c r="R451" i="2"/>
  <c r="L451" i="2"/>
  <c r="J451" i="2"/>
  <c r="I451" i="2"/>
  <c r="O451" i="2" s="1"/>
  <c r="P451" i="2" s="1"/>
  <c r="H451" i="2"/>
  <c r="R450" i="2"/>
  <c r="L450" i="2"/>
  <c r="J450" i="2"/>
  <c r="I450" i="2"/>
  <c r="O450" i="2" s="1"/>
  <c r="H450" i="2"/>
  <c r="R449" i="2"/>
  <c r="L449" i="2"/>
  <c r="J449" i="2"/>
  <c r="I449" i="2"/>
  <c r="O449" i="2" s="1"/>
  <c r="H449" i="2"/>
  <c r="R448" i="2"/>
  <c r="L448" i="2"/>
  <c r="M448" i="2" s="1"/>
  <c r="N448" i="2" s="1"/>
  <c r="J448" i="2"/>
  <c r="I448" i="2"/>
  <c r="O448" i="2" s="1"/>
  <c r="Q448" i="2" s="1"/>
  <c r="H448" i="2"/>
  <c r="R447" i="2"/>
  <c r="L447" i="2"/>
  <c r="M447" i="2" s="1"/>
  <c r="J447" i="2"/>
  <c r="I447" i="2"/>
  <c r="O447" i="2" s="1"/>
  <c r="H447" i="2"/>
  <c r="R446" i="2"/>
  <c r="L446" i="2"/>
  <c r="J446" i="2"/>
  <c r="I446" i="2"/>
  <c r="O446" i="2" s="1"/>
  <c r="Q446" i="2" s="1"/>
  <c r="H446" i="2"/>
  <c r="R445" i="2"/>
  <c r="L445" i="2"/>
  <c r="J445" i="2"/>
  <c r="I445" i="2"/>
  <c r="O445" i="2" s="1"/>
  <c r="H445" i="2"/>
  <c r="R444" i="2"/>
  <c r="L444" i="2"/>
  <c r="M444" i="2" s="1"/>
  <c r="N444" i="2" s="1"/>
  <c r="J444" i="2"/>
  <c r="I444" i="2"/>
  <c r="H444" i="2"/>
  <c r="R443" i="2"/>
  <c r="L443" i="2"/>
  <c r="J443" i="2"/>
  <c r="I443" i="2"/>
  <c r="H443" i="2"/>
  <c r="R442" i="2"/>
  <c r="L442" i="2"/>
  <c r="M442" i="2" s="1"/>
  <c r="N442" i="2" s="1"/>
  <c r="J442" i="2"/>
  <c r="I442" i="2"/>
  <c r="O442" i="2" s="1"/>
  <c r="Q442" i="2" s="1"/>
  <c r="H442" i="2"/>
  <c r="R441" i="2"/>
  <c r="L441" i="2"/>
  <c r="J441" i="2"/>
  <c r="I441" i="2"/>
  <c r="O441" i="2" s="1"/>
  <c r="H441" i="2"/>
  <c r="R440" i="2"/>
  <c r="L440" i="2"/>
  <c r="M440" i="2" s="1"/>
  <c r="J440" i="2"/>
  <c r="I440" i="2"/>
  <c r="H440" i="2"/>
  <c r="R439" i="2"/>
  <c r="L439" i="2"/>
  <c r="M439" i="2" s="1"/>
  <c r="N439" i="2" s="1"/>
  <c r="J439" i="2"/>
  <c r="I439" i="2"/>
  <c r="O439" i="2" s="1"/>
  <c r="Q439" i="2" s="1"/>
  <c r="H439" i="2"/>
  <c r="R438" i="2"/>
  <c r="L438" i="2"/>
  <c r="M438" i="2" s="1"/>
  <c r="N438" i="2" s="1"/>
  <c r="J438" i="2"/>
  <c r="I438" i="2"/>
  <c r="O438" i="2" s="1"/>
  <c r="H438" i="2"/>
  <c r="R437" i="2"/>
  <c r="L437" i="2"/>
  <c r="J437" i="2"/>
  <c r="I437" i="2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H435" i="2"/>
  <c r="R434" i="2"/>
  <c r="L434" i="2"/>
  <c r="M434" i="2" s="1"/>
  <c r="N434" i="2" s="1"/>
  <c r="J434" i="2"/>
  <c r="I434" i="2"/>
  <c r="O434" i="2" s="1"/>
  <c r="H434" i="2"/>
  <c r="R433" i="2"/>
  <c r="L433" i="2"/>
  <c r="M433" i="2" s="1"/>
  <c r="N433" i="2" s="1"/>
  <c r="J433" i="2"/>
  <c r="I433" i="2"/>
  <c r="O433" i="2" s="1"/>
  <c r="H433" i="2"/>
  <c r="R432" i="2"/>
  <c r="L432" i="2"/>
  <c r="M432" i="2" s="1"/>
  <c r="J432" i="2"/>
  <c r="I432" i="2"/>
  <c r="O432" i="2" s="1"/>
  <c r="P432" i="2" s="1"/>
  <c r="H432" i="2"/>
  <c r="R431" i="2"/>
  <c r="L431" i="2"/>
  <c r="M431" i="2" s="1"/>
  <c r="J431" i="2"/>
  <c r="I431" i="2"/>
  <c r="O431" i="2" s="1"/>
  <c r="P431" i="2" s="1"/>
  <c r="H431" i="2"/>
  <c r="R430" i="2"/>
  <c r="L430" i="2"/>
  <c r="M430" i="2" s="1"/>
  <c r="N430" i="2" s="1"/>
  <c r="J430" i="2"/>
  <c r="I430" i="2"/>
  <c r="O430" i="2" s="1"/>
  <c r="H430" i="2"/>
  <c r="R429" i="2"/>
  <c r="L429" i="2"/>
  <c r="J429" i="2"/>
  <c r="I429" i="2"/>
  <c r="O429" i="2" s="1"/>
  <c r="H429" i="2"/>
  <c r="R428" i="2"/>
  <c r="L428" i="2"/>
  <c r="J428" i="2"/>
  <c r="I428" i="2"/>
  <c r="O428" i="2" s="1"/>
  <c r="H428" i="2"/>
  <c r="R427" i="2"/>
  <c r="L427" i="2"/>
  <c r="M427" i="2" s="1"/>
  <c r="J427" i="2"/>
  <c r="I427" i="2"/>
  <c r="O427" i="2" s="1"/>
  <c r="P427" i="2" s="1"/>
  <c r="H427" i="2"/>
  <c r="R426" i="2"/>
  <c r="L426" i="2"/>
  <c r="J426" i="2"/>
  <c r="I426" i="2"/>
  <c r="O426" i="2" s="1"/>
  <c r="H426" i="2"/>
  <c r="R425" i="2"/>
  <c r="L425" i="2"/>
  <c r="M425" i="2" s="1"/>
  <c r="N425" i="2" s="1"/>
  <c r="J425" i="2"/>
  <c r="I425" i="2"/>
  <c r="O425" i="2" s="1"/>
  <c r="H425" i="2"/>
  <c r="R424" i="2"/>
  <c r="L424" i="2"/>
  <c r="J424" i="2"/>
  <c r="I424" i="2"/>
  <c r="H424" i="2"/>
  <c r="R423" i="2"/>
  <c r="L423" i="2"/>
  <c r="M423" i="2" s="1"/>
  <c r="J423" i="2"/>
  <c r="I423" i="2"/>
  <c r="H423" i="2"/>
  <c r="R422" i="2"/>
  <c r="L422" i="2"/>
  <c r="M422" i="2" s="1"/>
  <c r="J422" i="2"/>
  <c r="I422" i="2"/>
  <c r="H422" i="2"/>
  <c r="R421" i="2"/>
  <c r="L421" i="2"/>
  <c r="M421" i="2" s="1"/>
  <c r="J421" i="2"/>
  <c r="I421" i="2"/>
  <c r="O421" i="2" s="1"/>
  <c r="P421" i="2" s="1"/>
  <c r="H421" i="2"/>
  <c r="R420" i="2"/>
  <c r="L420" i="2"/>
  <c r="M420" i="2" s="1"/>
  <c r="N420" i="2" s="1"/>
  <c r="J420" i="2"/>
  <c r="I420" i="2"/>
  <c r="O420" i="2" s="1"/>
  <c r="Q420" i="2" s="1"/>
  <c r="H420" i="2"/>
  <c r="R419" i="2"/>
  <c r="L419" i="2"/>
  <c r="M419" i="2" s="1"/>
  <c r="N419" i="2" s="1"/>
  <c r="J419" i="2"/>
  <c r="I419" i="2"/>
  <c r="H419" i="2"/>
  <c r="R418" i="2"/>
  <c r="L418" i="2"/>
  <c r="M418" i="2" s="1"/>
  <c r="N418" i="2" s="1"/>
  <c r="J418" i="2"/>
  <c r="I418" i="2"/>
  <c r="H418" i="2"/>
  <c r="R417" i="2"/>
  <c r="L417" i="2"/>
  <c r="M417" i="2" s="1"/>
  <c r="N417" i="2" s="1"/>
  <c r="J417" i="2"/>
  <c r="I417" i="2"/>
  <c r="H417" i="2"/>
  <c r="R416" i="2"/>
  <c r="L416" i="2"/>
  <c r="J416" i="2"/>
  <c r="I416" i="2"/>
  <c r="H416" i="2"/>
  <c r="R415" i="2"/>
  <c r="L415" i="2"/>
  <c r="M415" i="2" s="1"/>
  <c r="N415" i="2" s="1"/>
  <c r="J415" i="2"/>
  <c r="I415" i="2"/>
  <c r="O415" i="2" s="1"/>
  <c r="Q415" i="2" s="1"/>
  <c r="H415" i="2"/>
  <c r="R414" i="2"/>
  <c r="L414" i="2"/>
  <c r="J414" i="2"/>
  <c r="I414" i="2"/>
  <c r="H414" i="2"/>
  <c r="R413" i="2"/>
  <c r="L413" i="2"/>
  <c r="M413" i="2" s="1"/>
  <c r="N413" i="2" s="1"/>
  <c r="J413" i="2"/>
  <c r="I413" i="2"/>
  <c r="O413" i="2" s="1"/>
  <c r="H413" i="2"/>
  <c r="R412" i="2"/>
  <c r="L412" i="2"/>
  <c r="J412" i="2"/>
  <c r="I412" i="2"/>
  <c r="O412" i="2" s="1"/>
  <c r="P412" i="2" s="1"/>
  <c r="H412" i="2"/>
  <c r="R411" i="2"/>
  <c r="L411" i="2"/>
  <c r="M411" i="2" s="1"/>
  <c r="J411" i="2"/>
  <c r="I411" i="2"/>
  <c r="H411" i="2"/>
  <c r="R410" i="2"/>
  <c r="L410" i="2"/>
  <c r="M410" i="2" s="1"/>
  <c r="N410" i="2" s="1"/>
  <c r="J410" i="2"/>
  <c r="I410" i="2"/>
  <c r="O410" i="2" s="1"/>
  <c r="H410" i="2"/>
  <c r="R409" i="2"/>
  <c r="L409" i="2"/>
  <c r="J409" i="2"/>
  <c r="I409" i="2"/>
  <c r="H409" i="2"/>
  <c r="R408" i="2"/>
  <c r="L408" i="2"/>
  <c r="J408" i="2"/>
  <c r="I408" i="2"/>
  <c r="O408" i="2" s="1"/>
  <c r="H408" i="2"/>
  <c r="R407" i="2"/>
  <c r="L407" i="2"/>
  <c r="J407" i="2"/>
  <c r="I407" i="2"/>
  <c r="O407" i="2" s="1"/>
  <c r="H407" i="2"/>
  <c r="R406" i="2"/>
  <c r="L406" i="2"/>
  <c r="J406" i="2"/>
  <c r="I406" i="2"/>
  <c r="O406" i="2" s="1"/>
  <c r="H406" i="2"/>
  <c r="R405" i="2"/>
  <c r="L405" i="2"/>
  <c r="M405" i="2" s="1"/>
  <c r="J405" i="2"/>
  <c r="I405" i="2"/>
  <c r="H405" i="2"/>
  <c r="R404" i="2"/>
  <c r="L404" i="2"/>
  <c r="M404" i="2" s="1"/>
  <c r="J404" i="2"/>
  <c r="I404" i="2"/>
  <c r="O404" i="2" s="1"/>
  <c r="P404" i="2" s="1"/>
  <c r="H404" i="2"/>
  <c r="R403" i="2"/>
  <c r="L403" i="2"/>
  <c r="J403" i="2"/>
  <c r="I403" i="2"/>
  <c r="O403" i="2" s="1"/>
  <c r="H403" i="2"/>
  <c r="R402" i="2"/>
  <c r="L402" i="2"/>
  <c r="M402" i="2" s="1"/>
  <c r="J402" i="2"/>
  <c r="I402" i="2"/>
  <c r="O402" i="2" s="1"/>
  <c r="P402" i="2" s="1"/>
  <c r="H402" i="2"/>
  <c r="R401" i="2"/>
  <c r="L401" i="2"/>
  <c r="J401" i="2"/>
  <c r="I401" i="2"/>
  <c r="O401" i="2" s="1"/>
  <c r="H401" i="2"/>
  <c r="R400" i="2"/>
  <c r="L400" i="2"/>
  <c r="M400" i="2" s="1"/>
  <c r="J400" i="2"/>
  <c r="I400" i="2"/>
  <c r="O400" i="2" s="1"/>
  <c r="H400" i="2"/>
  <c r="R399" i="2"/>
  <c r="L399" i="2"/>
  <c r="M399" i="2" s="1"/>
  <c r="N399" i="2" s="1"/>
  <c r="J399" i="2"/>
  <c r="I399" i="2"/>
  <c r="H399" i="2"/>
  <c r="R398" i="2"/>
  <c r="L398" i="2"/>
  <c r="J398" i="2"/>
  <c r="I398" i="2"/>
  <c r="O398" i="2" s="1"/>
  <c r="H398" i="2"/>
  <c r="R397" i="2"/>
  <c r="L397" i="2"/>
  <c r="M397" i="2" s="1"/>
  <c r="N397" i="2" s="1"/>
  <c r="J397" i="2"/>
  <c r="I397" i="2"/>
  <c r="H397" i="2"/>
  <c r="R396" i="2"/>
  <c r="L396" i="2"/>
  <c r="J396" i="2"/>
  <c r="I396" i="2"/>
  <c r="O396" i="2" s="1"/>
  <c r="H396" i="2"/>
  <c r="R395" i="2"/>
  <c r="L395" i="2"/>
  <c r="M395" i="2" s="1"/>
  <c r="N395" i="2" s="1"/>
  <c r="J395" i="2"/>
  <c r="I395" i="2"/>
  <c r="H395" i="2"/>
  <c r="R394" i="2"/>
  <c r="L394" i="2"/>
  <c r="M394" i="2" s="1"/>
  <c r="N394" i="2" s="1"/>
  <c r="J394" i="2"/>
  <c r="I394" i="2"/>
  <c r="O394" i="2" s="1"/>
  <c r="H394" i="2"/>
  <c r="R393" i="2"/>
  <c r="L393" i="2"/>
  <c r="M393" i="2" s="1"/>
  <c r="J393" i="2"/>
  <c r="I393" i="2"/>
  <c r="O393" i="2" s="1"/>
  <c r="H393" i="2"/>
  <c r="R392" i="2"/>
  <c r="L392" i="2"/>
  <c r="M392" i="2" s="1"/>
  <c r="J392" i="2"/>
  <c r="I392" i="2"/>
  <c r="O392" i="2" s="1"/>
  <c r="Q392" i="2" s="1"/>
  <c r="H392" i="2"/>
  <c r="R391" i="2"/>
  <c r="L391" i="2"/>
  <c r="J391" i="2"/>
  <c r="I391" i="2"/>
  <c r="O391" i="2" s="1"/>
  <c r="H391" i="2"/>
  <c r="R390" i="2"/>
  <c r="L390" i="2"/>
  <c r="M390" i="2" s="1"/>
  <c r="J390" i="2"/>
  <c r="I390" i="2"/>
  <c r="O390" i="2" s="1"/>
  <c r="P390" i="2" s="1"/>
  <c r="H390" i="2"/>
  <c r="R389" i="2"/>
  <c r="L389" i="2"/>
  <c r="J389" i="2"/>
  <c r="I389" i="2"/>
  <c r="O389" i="2" s="1"/>
  <c r="H389" i="2"/>
  <c r="R388" i="2"/>
  <c r="L388" i="2"/>
  <c r="J388" i="2"/>
  <c r="I388" i="2"/>
  <c r="O388" i="2" s="1"/>
  <c r="P388" i="2" s="1"/>
  <c r="H388" i="2"/>
  <c r="R387" i="2"/>
  <c r="L387" i="2"/>
  <c r="M387" i="2" s="1"/>
  <c r="J387" i="2"/>
  <c r="I387" i="2"/>
  <c r="H387" i="2"/>
  <c r="R386" i="2"/>
  <c r="L386" i="2"/>
  <c r="M386" i="2" s="1"/>
  <c r="N386" i="2" s="1"/>
  <c r="J386" i="2"/>
  <c r="I386" i="2"/>
  <c r="O386" i="2" s="1"/>
  <c r="H386" i="2"/>
  <c r="R385" i="2"/>
  <c r="L385" i="2"/>
  <c r="M385" i="2" s="1"/>
  <c r="N385" i="2" s="1"/>
  <c r="J385" i="2"/>
  <c r="I385" i="2"/>
  <c r="H385" i="2"/>
  <c r="R384" i="2"/>
  <c r="L384" i="2"/>
  <c r="J384" i="2"/>
  <c r="I384" i="2"/>
  <c r="H384" i="2"/>
  <c r="R383" i="2"/>
  <c r="L383" i="2"/>
  <c r="J383" i="2"/>
  <c r="I383" i="2"/>
  <c r="H383" i="2"/>
  <c r="R382" i="2"/>
  <c r="L382" i="2"/>
  <c r="J382" i="2"/>
  <c r="I382" i="2"/>
  <c r="O382" i="2" s="1"/>
  <c r="Q382" i="2" s="1"/>
  <c r="H382" i="2"/>
  <c r="R381" i="2"/>
  <c r="L381" i="2"/>
  <c r="J381" i="2"/>
  <c r="I381" i="2"/>
  <c r="O381" i="2" s="1"/>
  <c r="H381" i="2"/>
  <c r="R380" i="2"/>
  <c r="L380" i="2"/>
  <c r="J380" i="2"/>
  <c r="I380" i="2"/>
  <c r="O380" i="2" s="1"/>
  <c r="H380" i="2"/>
  <c r="R379" i="2"/>
  <c r="L379" i="2"/>
  <c r="J379" i="2"/>
  <c r="I379" i="2"/>
  <c r="H379" i="2"/>
  <c r="R378" i="2"/>
  <c r="L378" i="2"/>
  <c r="J378" i="2"/>
  <c r="I378" i="2"/>
  <c r="O378" i="2" s="1"/>
  <c r="H378" i="2"/>
  <c r="R377" i="2"/>
  <c r="L377" i="2"/>
  <c r="J377" i="2"/>
  <c r="I377" i="2"/>
  <c r="O377" i="2" s="1"/>
  <c r="H377" i="2"/>
  <c r="R376" i="2"/>
  <c r="L376" i="2"/>
  <c r="J376" i="2"/>
  <c r="I376" i="2"/>
  <c r="O376" i="2" s="1"/>
  <c r="H376" i="2"/>
  <c r="R375" i="2"/>
  <c r="L375" i="2"/>
  <c r="M375" i="2" s="1"/>
  <c r="J375" i="2"/>
  <c r="I375" i="2"/>
  <c r="O375" i="2" s="1"/>
  <c r="H375" i="2"/>
  <c r="R374" i="2"/>
  <c r="L374" i="2"/>
  <c r="M374" i="2" s="1"/>
  <c r="N374" i="2" s="1"/>
  <c r="J374" i="2"/>
  <c r="I374" i="2"/>
  <c r="O374" i="2" s="1"/>
  <c r="P374" i="2" s="1"/>
  <c r="H374" i="2"/>
  <c r="R373" i="2"/>
  <c r="L373" i="2"/>
  <c r="M373" i="2" s="1"/>
  <c r="N373" i="2" s="1"/>
  <c r="J373" i="2"/>
  <c r="I373" i="2"/>
  <c r="O373" i="2" s="1"/>
  <c r="Q373" i="2" s="1"/>
  <c r="H373" i="2"/>
  <c r="R372" i="2"/>
  <c r="L372" i="2"/>
  <c r="J372" i="2"/>
  <c r="I372" i="2"/>
  <c r="O372" i="2" s="1"/>
  <c r="Q372" i="2" s="1"/>
  <c r="H372" i="2"/>
  <c r="R371" i="2"/>
  <c r="L371" i="2"/>
  <c r="J371" i="2"/>
  <c r="I371" i="2"/>
  <c r="O371" i="2" s="1"/>
  <c r="H371" i="2"/>
  <c r="R370" i="2"/>
  <c r="L370" i="2"/>
  <c r="M370" i="2" s="1"/>
  <c r="N370" i="2" s="1"/>
  <c r="J370" i="2"/>
  <c r="I370" i="2"/>
  <c r="O370" i="2" s="1"/>
  <c r="H370" i="2"/>
  <c r="R369" i="2"/>
  <c r="L369" i="2"/>
  <c r="J369" i="2"/>
  <c r="I369" i="2"/>
  <c r="O369" i="2" s="1"/>
  <c r="H369" i="2"/>
  <c r="R368" i="2"/>
  <c r="L368" i="2"/>
  <c r="M368" i="2" s="1"/>
  <c r="N368" i="2" s="1"/>
  <c r="J368" i="2"/>
  <c r="I368" i="2"/>
  <c r="H368" i="2"/>
  <c r="R367" i="2"/>
  <c r="L367" i="2"/>
  <c r="M367" i="2" s="1"/>
  <c r="J367" i="2"/>
  <c r="I367" i="2"/>
  <c r="O367" i="2" s="1"/>
  <c r="Q367" i="2" s="1"/>
  <c r="H367" i="2"/>
  <c r="R366" i="2"/>
  <c r="L366" i="2"/>
  <c r="J366" i="2"/>
  <c r="I366" i="2"/>
  <c r="O366" i="2" s="1"/>
  <c r="H366" i="2"/>
  <c r="R365" i="2"/>
  <c r="L365" i="2"/>
  <c r="J365" i="2"/>
  <c r="I365" i="2"/>
  <c r="H365" i="2"/>
  <c r="R364" i="2"/>
  <c r="L364" i="2"/>
  <c r="J364" i="2"/>
  <c r="I364" i="2"/>
  <c r="H364" i="2"/>
  <c r="R363" i="2"/>
  <c r="L363" i="2"/>
  <c r="J363" i="2"/>
  <c r="I363" i="2"/>
  <c r="O363" i="2" s="1"/>
  <c r="P363" i="2" s="1"/>
  <c r="H363" i="2"/>
  <c r="R362" i="2"/>
  <c r="L362" i="2"/>
  <c r="M362" i="2" s="1"/>
  <c r="J362" i="2"/>
  <c r="I362" i="2"/>
  <c r="O362" i="2" s="1"/>
  <c r="H362" i="2"/>
  <c r="R361" i="2"/>
  <c r="L361" i="2"/>
  <c r="M361" i="2" s="1"/>
  <c r="N361" i="2" s="1"/>
  <c r="J361" i="2"/>
  <c r="I361" i="2"/>
  <c r="O361" i="2" s="1"/>
  <c r="Q361" i="2" s="1"/>
  <c r="H361" i="2"/>
  <c r="R360" i="2"/>
  <c r="L360" i="2"/>
  <c r="M360" i="2" s="1"/>
  <c r="N360" i="2" s="1"/>
  <c r="J360" i="2"/>
  <c r="I360" i="2"/>
  <c r="H360" i="2"/>
  <c r="R359" i="2"/>
  <c r="L359" i="2"/>
  <c r="J359" i="2"/>
  <c r="I359" i="2"/>
  <c r="O359" i="2" s="1"/>
  <c r="Q359" i="2" s="1"/>
  <c r="H359" i="2"/>
  <c r="R358" i="2"/>
  <c r="L358" i="2"/>
  <c r="M358" i="2" s="1"/>
  <c r="N358" i="2" s="1"/>
  <c r="J358" i="2"/>
  <c r="I358" i="2"/>
  <c r="O358" i="2" s="1"/>
  <c r="H358" i="2"/>
  <c r="R357" i="2"/>
  <c r="L357" i="2"/>
  <c r="M357" i="2" s="1"/>
  <c r="J357" i="2"/>
  <c r="I357" i="2"/>
  <c r="O357" i="2" s="1"/>
  <c r="H357" i="2"/>
  <c r="R356" i="2"/>
  <c r="L356" i="2"/>
  <c r="M356" i="2" s="1"/>
  <c r="N356" i="2" s="1"/>
  <c r="J356" i="2"/>
  <c r="I356" i="2"/>
  <c r="H356" i="2"/>
  <c r="R355" i="2"/>
  <c r="L355" i="2"/>
  <c r="M355" i="2" s="1"/>
  <c r="N355" i="2" s="1"/>
  <c r="J355" i="2"/>
  <c r="I355" i="2"/>
  <c r="H355" i="2"/>
  <c r="R354" i="2"/>
  <c r="L354" i="2"/>
  <c r="M354" i="2" s="1"/>
  <c r="N354" i="2" s="1"/>
  <c r="J354" i="2"/>
  <c r="I354" i="2"/>
  <c r="H354" i="2"/>
  <c r="R353" i="2"/>
  <c r="L353" i="2"/>
  <c r="M353" i="2" s="1"/>
  <c r="N353" i="2" s="1"/>
  <c r="J353" i="2"/>
  <c r="I353" i="2"/>
  <c r="H353" i="2"/>
  <c r="R352" i="2"/>
  <c r="L352" i="2"/>
  <c r="J352" i="2"/>
  <c r="I352" i="2"/>
  <c r="O352" i="2" s="1"/>
  <c r="Q352" i="2" s="1"/>
  <c r="H352" i="2"/>
  <c r="R351" i="2"/>
  <c r="L351" i="2"/>
  <c r="J351" i="2"/>
  <c r="I351" i="2"/>
  <c r="O351" i="2" s="1"/>
  <c r="H351" i="2"/>
  <c r="R350" i="2"/>
  <c r="L350" i="2"/>
  <c r="J350" i="2"/>
  <c r="I350" i="2"/>
  <c r="H350" i="2"/>
  <c r="R349" i="2"/>
  <c r="L349" i="2"/>
  <c r="J349" i="2"/>
  <c r="I349" i="2"/>
  <c r="O349" i="2" s="1"/>
  <c r="H349" i="2"/>
  <c r="R348" i="2"/>
  <c r="L348" i="2"/>
  <c r="J348" i="2"/>
  <c r="I348" i="2"/>
  <c r="H348" i="2"/>
  <c r="R347" i="2"/>
  <c r="L347" i="2"/>
  <c r="J347" i="2"/>
  <c r="I347" i="2"/>
  <c r="O347" i="2" s="1"/>
  <c r="Q347" i="2" s="1"/>
  <c r="H347" i="2"/>
  <c r="R346" i="2"/>
  <c r="L346" i="2"/>
  <c r="M346" i="2" s="1"/>
  <c r="J346" i="2"/>
  <c r="I346" i="2"/>
  <c r="O346" i="2" s="1"/>
  <c r="P346" i="2" s="1"/>
  <c r="H346" i="2"/>
  <c r="R345" i="2"/>
  <c r="L345" i="2"/>
  <c r="J345" i="2"/>
  <c r="I345" i="2"/>
  <c r="O345" i="2" s="1"/>
  <c r="H345" i="2"/>
  <c r="R344" i="2"/>
  <c r="L344" i="2"/>
  <c r="M344" i="2" s="1"/>
  <c r="J344" i="2"/>
  <c r="I344" i="2"/>
  <c r="O344" i="2" s="1"/>
  <c r="Q344" i="2" s="1"/>
  <c r="H344" i="2"/>
  <c r="R343" i="2"/>
  <c r="L343" i="2"/>
  <c r="M343" i="2" s="1"/>
  <c r="J343" i="2"/>
  <c r="I343" i="2"/>
  <c r="O343" i="2" s="1"/>
  <c r="H343" i="2"/>
  <c r="R342" i="2"/>
  <c r="L342" i="2"/>
  <c r="M342" i="2" s="1"/>
  <c r="N342" i="2" s="1"/>
  <c r="J342" i="2"/>
  <c r="I342" i="2"/>
  <c r="O342" i="2" s="1"/>
  <c r="Q342" i="2" s="1"/>
  <c r="H342" i="2"/>
  <c r="R341" i="2"/>
  <c r="L341" i="2"/>
  <c r="M341" i="2" s="1"/>
  <c r="J341" i="2"/>
  <c r="I341" i="2"/>
  <c r="O341" i="2" s="1"/>
  <c r="Q341" i="2" s="1"/>
  <c r="H341" i="2"/>
  <c r="R340" i="2"/>
  <c r="L340" i="2"/>
  <c r="M340" i="2" s="1"/>
  <c r="N340" i="2" s="1"/>
  <c r="J340" i="2"/>
  <c r="I340" i="2"/>
  <c r="O340" i="2" s="1"/>
  <c r="Q340" i="2" s="1"/>
  <c r="H340" i="2"/>
  <c r="R339" i="2"/>
  <c r="L339" i="2"/>
  <c r="M339" i="2" s="1"/>
  <c r="J339" i="2"/>
  <c r="I339" i="2"/>
  <c r="H339" i="2"/>
  <c r="R338" i="2"/>
  <c r="L338" i="2"/>
  <c r="M338" i="2" s="1"/>
  <c r="N338" i="2" s="1"/>
  <c r="J338" i="2"/>
  <c r="I338" i="2"/>
  <c r="H338" i="2"/>
  <c r="R337" i="2"/>
  <c r="L337" i="2"/>
  <c r="M337" i="2" s="1"/>
  <c r="J337" i="2"/>
  <c r="I337" i="2"/>
  <c r="O337" i="2" s="1"/>
  <c r="H337" i="2"/>
  <c r="R336" i="2"/>
  <c r="L336" i="2"/>
  <c r="J336" i="2"/>
  <c r="I336" i="2"/>
  <c r="H336" i="2"/>
  <c r="R335" i="2"/>
  <c r="L335" i="2"/>
  <c r="J335" i="2"/>
  <c r="I335" i="2"/>
  <c r="O335" i="2" s="1"/>
  <c r="H335" i="2"/>
  <c r="R334" i="2"/>
  <c r="L334" i="2"/>
  <c r="M334" i="2" s="1"/>
  <c r="N334" i="2" s="1"/>
  <c r="J334" i="2"/>
  <c r="I334" i="2"/>
  <c r="O334" i="2" s="1"/>
  <c r="H334" i="2"/>
  <c r="R333" i="2"/>
  <c r="L333" i="2"/>
  <c r="J333" i="2"/>
  <c r="I333" i="2"/>
  <c r="O333" i="2" s="1"/>
  <c r="Q333" i="2" s="1"/>
  <c r="H333" i="2"/>
  <c r="R332" i="2"/>
  <c r="L332" i="2"/>
  <c r="M332" i="2" s="1"/>
  <c r="J332" i="2"/>
  <c r="I332" i="2"/>
  <c r="O332" i="2" s="1"/>
  <c r="H332" i="2"/>
  <c r="R331" i="2"/>
  <c r="L331" i="2"/>
  <c r="J331" i="2"/>
  <c r="I331" i="2"/>
  <c r="O331" i="2" s="1"/>
  <c r="H331" i="2"/>
  <c r="R330" i="2"/>
  <c r="L330" i="2"/>
  <c r="M330" i="2" s="1"/>
  <c r="J330" i="2"/>
  <c r="I330" i="2"/>
  <c r="O330" i="2" s="1"/>
  <c r="H330" i="2"/>
  <c r="R329" i="2"/>
  <c r="L329" i="2"/>
  <c r="M329" i="2" s="1"/>
  <c r="J329" i="2"/>
  <c r="I329" i="2"/>
  <c r="O329" i="2" s="1"/>
  <c r="Q329" i="2" s="1"/>
  <c r="H329" i="2"/>
  <c r="R328" i="2"/>
  <c r="L328" i="2"/>
  <c r="J328" i="2"/>
  <c r="I328" i="2"/>
  <c r="O328" i="2" s="1"/>
  <c r="Q328" i="2" s="1"/>
  <c r="H328" i="2"/>
  <c r="R327" i="2"/>
  <c r="L327" i="2"/>
  <c r="M327" i="2" s="1"/>
  <c r="J327" i="2"/>
  <c r="I327" i="2"/>
  <c r="O327" i="2" s="1"/>
  <c r="H327" i="2"/>
  <c r="R326" i="2"/>
  <c r="L326" i="2"/>
  <c r="J326" i="2"/>
  <c r="I326" i="2"/>
  <c r="O326" i="2" s="1"/>
  <c r="P326" i="2" s="1"/>
  <c r="H326" i="2"/>
  <c r="R325" i="2"/>
  <c r="L325" i="2"/>
  <c r="M325" i="2" s="1"/>
  <c r="N325" i="2" s="1"/>
  <c r="J325" i="2"/>
  <c r="I325" i="2"/>
  <c r="H325" i="2"/>
  <c r="R324" i="2"/>
  <c r="L324" i="2"/>
  <c r="J324" i="2"/>
  <c r="I324" i="2"/>
  <c r="O324" i="2" s="1"/>
  <c r="H324" i="2"/>
  <c r="R323" i="2"/>
  <c r="L323" i="2"/>
  <c r="M323" i="2" s="1"/>
  <c r="J323" i="2"/>
  <c r="I323" i="2"/>
  <c r="H323" i="2"/>
  <c r="R322" i="2"/>
  <c r="L322" i="2"/>
  <c r="M322" i="2" s="1"/>
  <c r="J322" i="2"/>
  <c r="I322" i="2"/>
  <c r="H322" i="2"/>
  <c r="R321" i="2"/>
  <c r="L321" i="2"/>
  <c r="J321" i="2"/>
  <c r="I321" i="2"/>
  <c r="O321" i="2" s="1"/>
  <c r="H321" i="2"/>
  <c r="R320" i="2"/>
  <c r="L320" i="2"/>
  <c r="M320" i="2" s="1"/>
  <c r="N320" i="2" s="1"/>
  <c r="J320" i="2"/>
  <c r="I320" i="2"/>
  <c r="O320" i="2" s="1"/>
  <c r="H320" i="2"/>
  <c r="R319" i="2"/>
  <c r="L319" i="2"/>
  <c r="J319" i="2"/>
  <c r="I319" i="2"/>
  <c r="H319" i="2"/>
  <c r="R318" i="2"/>
  <c r="L318" i="2"/>
  <c r="M318" i="2" s="1"/>
  <c r="N318" i="2" s="1"/>
  <c r="J318" i="2"/>
  <c r="I318" i="2"/>
  <c r="O318" i="2" s="1"/>
  <c r="H318" i="2"/>
  <c r="R317" i="2"/>
  <c r="L317" i="2"/>
  <c r="J317" i="2"/>
  <c r="I317" i="2"/>
  <c r="H317" i="2"/>
  <c r="R316" i="2"/>
  <c r="L316" i="2"/>
  <c r="M316" i="2" s="1"/>
  <c r="N316" i="2" s="1"/>
  <c r="J316" i="2"/>
  <c r="I316" i="2"/>
  <c r="O316" i="2" s="1"/>
  <c r="Q316" i="2" s="1"/>
  <c r="H316" i="2"/>
  <c r="R315" i="2"/>
  <c r="L315" i="2"/>
  <c r="M315" i="2" s="1"/>
  <c r="J315" i="2"/>
  <c r="I315" i="2"/>
  <c r="O315" i="2" s="1"/>
  <c r="Q315" i="2" s="1"/>
  <c r="H315" i="2"/>
  <c r="R314" i="2"/>
  <c r="L314" i="2"/>
  <c r="M314" i="2" s="1"/>
  <c r="N314" i="2" s="1"/>
  <c r="J314" i="2"/>
  <c r="I314" i="2"/>
  <c r="O314" i="2" s="1"/>
  <c r="H314" i="2"/>
  <c r="R313" i="2"/>
  <c r="L313" i="2"/>
  <c r="J313" i="2"/>
  <c r="I313" i="2"/>
  <c r="H313" i="2"/>
  <c r="R312" i="2"/>
  <c r="L312" i="2"/>
  <c r="J312" i="2"/>
  <c r="I312" i="2"/>
  <c r="H312" i="2"/>
  <c r="R311" i="2"/>
  <c r="L311" i="2"/>
  <c r="J311" i="2"/>
  <c r="I311" i="2"/>
  <c r="H311" i="2"/>
  <c r="R310" i="2"/>
  <c r="L310" i="2"/>
  <c r="M310" i="2" s="1"/>
  <c r="N310" i="2" s="1"/>
  <c r="J310" i="2"/>
  <c r="I310" i="2"/>
  <c r="O310" i="2" s="1"/>
  <c r="H310" i="2"/>
  <c r="R309" i="2"/>
  <c r="L309" i="2"/>
  <c r="J309" i="2"/>
  <c r="I309" i="2"/>
  <c r="O309" i="2" s="1"/>
  <c r="Q309" i="2" s="1"/>
  <c r="H309" i="2"/>
  <c r="R308" i="2"/>
  <c r="L308" i="2"/>
  <c r="J308" i="2"/>
  <c r="I308" i="2"/>
  <c r="H308" i="2"/>
  <c r="R307" i="2"/>
  <c r="L307" i="2"/>
  <c r="M307" i="2" s="1"/>
  <c r="N307" i="2" s="1"/>
  <c r="J307" i="2"/>
  <c r="I307" i="2"/>
  <c r="O307" i="2" s="1"/>
  <c r="Q307" i="2" s="1"/>
  <c r="H307" i="2"/>
  <c r="R306" i="2"/>
  <c r="L306" i="2"/>
  <c r="J306" i="2"/>
  <c r="I306" i="2"/>
  <c r="O306" i="2" s="1"/>
  <c r="H306" i="2"/>
  <c r="R305" i="2"/>
  <c r="L305" i="2"/>
  <c r="M305" i="2" s="1"/>
  <c r="N305" i="2" s="1"/>
  <c r="J305" i="2"/>
  <c r="I305" i="2"/>
  <c r="H305" i="2"/>
  <c r="R304" i="2"/>
  <c r="L304" i="2"/>
  <c r="J304" i="2"/>
  <c r="I304" i="2"/>
  <c r="H304" i="2"/>
  <c r="R303" i="2"/>
  <c r="L303" i="2"/>
  <c r="M303" i="2" s="1"/>
  <c r="J303" i="2"/>
  <c r="I303" i="2"/>
  <c r="O303" i="2" s="1"/>
  <c r="H303" i="2"/>
  <c r="R302" i="2"/>
  <c r="L302" i="2"/>
  <c r="M302" i="2" s="1"/>
  <c r="N302" i="2" s="1"/>
  <c r="J302" i="2"/>
  <c r="I302" i="2"/>
  <c r="O302" i="2" s="1"/>
  <c r="H302" i="2"/>
  <c r="R301" i="2"/>
  <c r="L301" i="2"/>
  <c r="M301" i="2" s="1"/>
  <c r="N301" i="2" s="1"/>
  <c r="J301" i="2"/>
  <c r="I301" i="2"/>
  <c r="O301" i="2" s="1"/>
  <c r="Q301" i="2" s="1"/>
  <c r="H301" i="2"/>
  <c r="R300" i="2"/>
  <c r="L300" i="2"/>
  <c r="M300" i="2" s="1"/>
  <c r="N300" i="2" s="1"/>
  <c r="J300" i="2"/>
  <c r="I300" i="2"/>
  <c r="O300" i="2" s="1"/>
  <c r="Q300" i="2" s="1"/>
  <c r="H300" i="2"/>
  <c r="R299" i="2"/>
  <c r="L299" i="2"/>
  <c r="J299" i="2"/>
  <c r="I299" i="2"/>
  <c r="O299" i="2" s="1"/>
  <c r="Q299" i="2" s="1"/>
  <c r="H299" i="2"/>
  <c r="R298" i="2"/>
  <c r="L298" i="2"/>
  <c r="J298" i="2"/>
  <c r="I298" i="2"/>
  <c r="O298" i="2" s="1"/>
  <c r="H298" i="2"/>
  <c r="R297" i="2"/>
  <c r="L297" i="2"/>
  <c r="J297" i="2"/>
  <c r="I297" i="2"/>
  <c r="H297" i="2"/>
  <c r="R296" i="2"/>
  <c r="L296" i="2"/>
  <c r="M296" i="2" s="1"/>
  <c r="N296" i="2" s="1"/>
  <c r="J296" i="2"/>
  <c r="I296" i="2"/>
  <c r="H296" i="2"/>
  <c r="R295" i="2"/>
  <c r="L295" i="2"/>
  <c r="M295" i="2" s="1"/>
  <c r="N295" i="2" s="1"/>
  <c r="J295" i="2"/>
  <c r="I295" i="2"/>
  <c r="H295" i="2"/>
  <c r="R294" i="2"/>
  <c r="L294" i="2"/>
  <c r="M294" i="2" s="1"/>
  <c r="N294" i="2" s="1"/>
  <c r="J294" i="2"/>
  <c r="I294" i="2"/>
  <c r="H294" i="2"/>
  <c r="R293" i="2"/>
  <c r="L293" i="2"/>
  <c r="J293" i="2"/>
  <c r="I293" i="2"/>
  <c r="H293" i="2"/>
  <c r="R292" i="2"/>
  <c r="L292" i="2"/>
  <c r="M292" i="2" s="1"/>
  <c r="J292" i="2"/>
  <c r="I292" i="2"/>
  <c r="O292" i="2" s="1"/>
  <c r="H292" i="2"/>
  <c r="R291" i="2"/>
  <c r="L291" i="2"/>
  <c r="M291" i="2" s="1"/>
  <c r="J291" i="2"/>
  <c r="I291" i="2"/>
  <c r="H291" i="2"/>
  <c r="R290" i="2"/>
  <c r="L290" i="2"/>
  <c r="J290" i="2"/>
  <c r="I290" i="2"/>
  <c r="H290" i="2"/>
  <c r="R289" i="2"/>
  <c r="L289" i="2"/>
  <c r="J289" i="2"/>
  <c r="I289" i="2"/>
  <c r="O289" i="2" s="1"/>
  <c r="H289" i="2"/>
  <c r="R288" i="2"/>
  <c r="L288" i="2"/>
  <c r="J288" i="2"/>
  <c r="I288" i="2"/>
  <c r="H288" i="2"/>
  <c r="R287" i="2"/>
  <c r="L287" i="2"/>
  <c r="M287" i="2" s="1"/>
  <c r="J287" i="2"/>
  <c r="I287" i="2"/>
  <c r="H287" i="2"/>
  <c r="R286" i="2"/>
  <c r="L286" i="2"/>
  <c r="M286" i="2" s="1"/>
  <c r="N286" i="2" s="1"/>
  <c r="J286" i="2"/>
  <c r="I286" i="2"/>
  <c r="O286" i="2" s="1"/>
  <c r="Q286" i="2" s="1"/>
  <c r="H286" i="2"/>
  <c r="R285" i="2"/>
  <c r="L285" i="2"/>
  <c r="M285" i="2" s="1"/>
  <c r="N285" i="2" s="1"/>
  <c r="J285" i="2"/>
  <c r="I285" i="2"/>
  <c r="H285" i="2"/>
  <c r="R284" i="2"/>
  <c r="L284" i="2"/>
  <c r="M284" i="2" s="1"/>
  <c r="J284" i="2"/>
  <c r="I284" i="2"/>
  <c r="H284" i="2"/>
  <c r="R283" i="2"/>
  <c r="L283" i="2"/>
  <c r="J283" i="2"/>
  <c r="I283" i="2"/>
  <c r="H283" i="2"/>
  <c r="R282" i="2"/>
  <c r="L282" i="2"/>
  <c r="M282" i="2" s="1"/>
  <c r="N282" i="2" s="1"/>
  <c r="J282" i="2"/>
  <c r="I282" i="2"/>
  <c r="H282" i="2"/>
  <c r="R281" i="2"/>
  <c r="L281" i="2"/>
  <c r="J281" i="2"/>
  <c r="I281" i="2"/>
  <c r="O281" i="2" s="1"/>
  <c r="Q281" i="2" s="1"/>
  <c r="H281" i="2"/>
  <c r="R280" i="2"/>
  <c r="L280" i="2"/>
  <c r="M280" i="2" s="1"/>
  <c r="N280" i="2" s="1"/>
  <c r="J280" i="2"/>
  <c r="I280" i="2"/>
  <c r="H280" i="2"/>
  <c r="R279" i="2"/>
  <c r="L279" i="2"/>
  <c r="J279" i="2"/>
  <c r="I279" i="2"/>
  <c r="H279" i="2"/>
  <c r="R278" i="2"/>
  <c r="L278" i="2"/>
  <c r="J278" i="2"/>
  <c r="I278" i="2"/>
  <c r="H278" i="2"/>
  <c r="R277" i="2"/>
  <c r="L277" i="2"/>
  <c r="M277" i="2" s="1"/>
  <c r="J277" i="2"/>
  <c r="I277" i="2"/>
  <c r="H277" i="2"/>
  <c r="R276" i="2"/>
  <c r="L276" i="2"/>
  <c r="M276" i="2" s="1"/>
  <c r="J276" i="2"/>
  <c r="I276" i="2"/>
  <c r="H276" i="2"/>
  <c r="R275" i="2"/>
  <c r="L275" i="2"/>
  <c r="J275" i="2"/>
  <c r="I275" i="2"/>
  <c r="O275" i="2" s="1"/>
  <c r="Q275" i="2" s="1"/>
  <c r="H275" i="2"/>
  <c r="R274" i="2"/>
  <c r="L274" i="2"/>
  <c r="M274" i="2" s="1"/>
  <c r="N274" i="2" s="1"/>
  <c r="J274" i="2"/>
  <c r="I274" i="2"/>
  <c r="O274" i="2" s="1"/>
  <c r="H274" i="2"/>
  <c r="R273" i="2"/>
  <c r="L273" i="2"/>
  <c r="J273" i="2"/>
  <c r="I273" i="2"/>
  <c r="O273" i="2" s="1"/>
  <c r="H273" i="2"/>
  <c r="R272" i="2"/>
  <c r="L272" i="2"/>
  <c r="J272" i="2"/>
  <c r="I272" i="2"/>
  <c r="O272" i="2" s="1"/>
  <c r="P272" i="2" s="1"/>
  <c r="H272" i="2"/>
  <c r="R271" i="2"/>
  <c r="L271" i="2"/>
  <c r="M271" i="2" s="1"/>
  <c r="N271" i="2" s="1"/>
  <c r="J271" i="2"/>
  <c r="I271" i="2"/>
  <c r="O271" i="2" s="1"/>
  <c r="H271" i="2"/>
  <c r="R270" i="2"/>
  <c r="L270" i="2"/>
  <c r="M270" i="2" s="1"/>
  <c r="N270" i="2" s="1"/>
  <c r="J270" i="2"/>
  <c r="I270" i="2"/>
  <c r="O270" i="2" s="1"/>
  <c r="P270" i="2" s="1"/>
  <c r="H270" i="2"/>
  <c r="R269" i="2"/>
  <c r="L269" i="2"/>
  <c r="M269" i="2" s="1"/>
  <c r="J269" i="2"/>
  <c r="I269" i="2"/>
  <c r="H269" i="2"/>
  <c r="R268" i="2"/>
  <c r="L268" i="2"/>
  <c r="M268" i="2" s="1"/>
  <c r="N268" i="2" s="1"/>
  <c r="J268" i="2"/>
  <c r="I268" i="2"/>
  <c r="O268" i="2" s="1"/>
  <c r="Q268" i="2" s="1"/>
  <c r="H268" i="2"/>
  <c r="R267" i="2"/>
  <c r="L267" i="2"/>
  <c r="M267" i="2" s="1"/>
  <c r="J267" i="2"/>
  <c r="I267" i="2"/>
  <c r="O267" i="2" s="1"/>
  <c r="H267" i="2"/>
  <c r="R266" i="2"/>
  <c r="L266" i="2"/>
  <c r="J266" i="2"/>
  <c r="I266" i="2"/>
  <c r="O266" i="2" s="1"/>
  <c r="Q266" i="2" s="1"/>
  <c r="H266" i="2"/>
  <c r="R265" i="2"/>
  <c r="L265" i="2"/>
  <c r="J265" i="2"/>
  <c r="I265" i="2"/>
  <c r="H265" i="2"/>
  <c r="R264" i="2"/>
  <c r="L264" i="2"/>
  <c r="J264" i="2"/>
  <c r="I264" i="2"/>
  <c r="H264" i="2"/>
  <c r="R263" i="2"/>
  <c r="L263" i="2"/>
  <c r="J263" i="2"/>
  <c r="I263" i="2"/>
  <c r="H263" i="2"/>
  <c r="R262" i="2"/>
  <c r="L262" i="2"/>
  <c r="M262" i="2" s="1"/>
  <c r="J262" i="2"/>
  <c r="I262" i="2"/>
  <c r="O262" i="2" s="1"/>
  <c r="P262" i="2" s="1"/>
  <c r="H262" i="2"/>
  <c r="R261" i="2"/>
  <c r="L261" i="2"/>
  <c r="J261" i="2"/>
  <c r="I261" i="2"/>
  <c r="H261" i="2"/>
  <c r="R260" i="2"/>
  <c r="L260" i="2"/>
  <c r="J260" i="2"/>
  <c r="I260" i="2"/>
  <c r="O260" i="2" s="1"/>
  <c r="Q260" i="2" s="1"/>
  <c r="H260" i="2"/>
  <c r="R259" i="2"/>
  <c r="L259" i="2"/>
  <c r="M259" i="2" s="1"/>
  <c r="J259" i="2"/>
  <c r="I259" i="2"/>
  <c r="O259" i="2" s="1"/>
  <c r="H259" i="2"/>
  <c r="R258" i="2"/>
  <c r="L258" i="2"/>
  <c r="M258" i="2" s="1"/>
  <c r="N258" i="2" s="1"/>
  <c r="J258" i="2"/>
  <c r="I258" i="2"/>
  <c r="H258" i="2"/>
  <c r="R257" i="2"/>
  <c r="L257" i="2"/>
  <c r="M257" i="2" s="1"/>
  <c r="J257" i="2"/>
  <c r="I257" i="2"/>
  <c r="O257" i="2" s="1"/>
  <c r="H257" i="2"/>
  <c r="R256" i="2"/>
  <c r="L256" i="2"/>
  <c r="M256" i="2" s="1"/>
  <c r="N256" i="2" s="1"/>
  <c r="J256" i="2"/>
  <c r="I256" i="2"/>
  <c r="O256" i="2" s="1"/>
  <c r="H256" i="2"/>
  <c r="R255" i="2"/>
  <c r="L255" i="2"/>
  <c r="M255" i="2" s="1"/>
  <c r="N255" i="2" s="1"/>
  <c r="J255" i="2"/>
  <c r="I255" i="2"/>
  <c r="O255" i="2" s="1"/>
  <c r="H255" i="2"/>
  <c r="R254" i="2"/>
  <c r="L254" i="2"/>
  <c r="M254" i="2" s="1"/>
  <c r="N254" i="2" s="1"/>
  <c r="J254" i="2"/>
  <c r="I254" i="2"/>
  <c r="H254" i="2"/>
  <c r="R253" i="2"/>
  <c r="L253" i="2"/>
  <c r="J253" i="2"/>
  <c r="I253" i="2"/>
  <c r="O253" i="2" s="1"/>
  <c r="H253" i="2"/>
  <c r="R252" i="2"/>
  <c r="L252" i="2"/>
  <c r="J252" i="2"/>
  <c r="I252" i="2"/>
  <c r="H252" i="2"/>
  <c r="R251" i="2"/>
  <c r="L251" i="2"/>
  <c r="J251" i="2"/>
  <c r="I251" i="2"/>
  <c r="O251" i="2" s="1"/>
  <c r="H251" i="2"/>
  <c r="R250" i="2"/>
  <c r="L250" i="2"/>
  <c r="J250" i="2"/>
  <c r="I250" i="2"/>
  <c r="H250" i="2"/>
  <c r="R249" i="2"/>
  <c r="L249" i="2"/>
  <c r="M249" i="2" s="1"/>
  <c r="J249" i="2"/>
  <c r="I249" i="2"/>
  <c r="O249" i="2" s="1"/>
  <c r="P249" i="2" s="1"/>
  <c r="H249" i="2"/>
  <c r="R248" i="2"/>
  <c r="L248" i="2"/>
  <c r="M248" i="2" s="1"/>
  <c r="J248" i="2"/>
  <c r="I248" i="2"/>
  <c r="H248" i="2"/>
  <c r="R247" i="2"/>
  <c r="L247" i="2"/>
  <c r="J247" i="2"/>
  <c r="I247" i="2"/>
  <c r="O247" i="2" s="1"/>
  <c r="H247" i="2"/>
  <c r="R246" i="2"/>
  <c r="L246" i="2"/>
  <c r="M246" i="2" s="1"/>
  <c r="N246" i="2" s="1"/>
  <c r="J246" i="2"/>
  <c r="I246" i="2"/>
  <c r="O246" i="2" s="1"/>
  <c r="H246" i="2"/>
  <c r="R245" i="2"/>
  <c r="L245" i="2"/>
  <c r="M245" i="2" s="1"/>
  <c r="J245" i="2"/>
  <c r="I245" i="2"/>
  <c r="H245" i="2"/>
  <c r="R244" i="2"/>
  <c r="L244" i="2"/>
  <c r="J244" i="2"/>
  <c r="I244" i="2"/>
  <c r="O244" i="2" s="1"/>
  <c r="H244" i="2"/>
  <c r="R243" i="2"/>
  <c r="L243" i="2"/>
  <c r="M243" i="2" s="1"/>
  <c r="J243" i="2"/>
  <c r="I243" i="2"/>
  <c r="O243" i="2" s="1"/>
  <c r="H243" i="2"/>
  <c r="R242" i="2"/>
  <c r="L242" i="2"/>
  <c r="M242" i="2" s="1"/>
  <c r="N242" i="2" s="1"/>
  <c r="J242" i="2"/>
  <c r="I242" i="2"/>
  <c r="O242" i="2" s="1"/>
  <c r="H242" i="2"/>
  <c r="R241" i="2"/>
  <c r="L241" i="2"/>
  <c r="M241" i="2" s="1"/>
  <c r="N241" i="2" s="1"/>
  <c r="J241" i="2"/>
  <c r="I241" i="2"/>
  <c r="O241" i="2" s="1"/>
  <c r="P241" i="2" s="1"/>
  <c r="H241" i="2"/>
  <c r="R240" i="2"/>
  <c r="L240" i="2"/>
  <c r="J240" i="2"/>
  <c r="I240" i="2"/>
  <c r="O240" i="2" s="1"/>
  <c r="P240" i="2" s="1"/>
  <c r="H240" i="2"/>
  <c r="R239" i="2"/>
  <c r="L239" i="2"/>
  <c r="J239" i="2"/>
  <c r="I239" i="2"/>
  <c r="O239" i="2" s="1"/>
  <c r="Q239" i="2" s="1"/>
  <c r="H239" i="2"/>
  <c r="R238" i="2"/>
  <c r="L238" i="2"/>
  <c r="M238" i="2" s="1"/>
  <c r="N238" i="2" s="1"/>
  <c r="J238" i="2"/>
  <c r="I238" i="2"/>
  <c r="O238" i="2" s="1"/>
  <c r="H238" i="2"/>
  <c r="R237" i="2"/>
  <c r="L237" i="2"/>
  <c r="M237" i="2" s="1"/>
  <c r="N237" i="2" s="1"/>
  <c r="J237" i="2"/>
  <c r="I237" i="2"/>
  <c r="H237" i="2"/>
  <c r="R236" i="2"/>
  <c r="L236" i="2"/>
  <c r="J236" i="2"/>
  <c r="I236" i="2"/>
  <c r="O236" i="2" s="1"/>
  <c r="H236" i="2"/>
  <c r="R235" i="2"/>
  <c r="L235" i="2"/>
  <c r="J235" i="2"/>
  <c r="I235" i="2"/>
  <c r="O235" i="2" s="1"/>
  <c r="H235" i="2"/>
  <c r="R234" i="2"/>
  <c r="L234" i="2"/>
  <c r="M234" i="2" s="1"/>
  <c r="N234" i="2" s="1"/>
  <c r="J234" i="2"/>
  <c r="I234" i="2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H232" i="2"/>
  <c r="R231" i="2"/>
  <c r="L231" i="2"/>
  <c r="M231" i="2" s="1"/>
  <c r="N231" i="2" s="1"/>
  <c r="J231" i="2"/>
  <c r="I231" i="2"/>
  <c r="O231" i="2" s="1"/>
  <c r="H231" i="2"/>
  <c r="R230" i="2"/>
  <c r="L230" i="2"/>
  <c r="J230" i="2"/>
  <c r="I230" i="2"/>
  <c r="O230" i="2" s="1"/>
  <c r="P230" i="2" s="1"/>
  <c r="H230" i="2"/>
  <c r="R229" i="2"/>
  <c r="L229" i="2"/>
  <c r="M229" i="2" s="1"/>
  <c r="J229" i="2"/>
  <c r="I229" i="2"/>
  <c r="O229" i="2" s="1"/>
  <c r="H229" i="2"/>
  <c r="R228" i="2"/>
  <c r="L228" i="2"/>
  <c r="J228" i="2"/>
  <c r="I228" i="2"/>
  <c r="O228" i="2" s="1"/>
  <c r="P228" i="2" s="1"/>
  <c r="H228" i="2"/>
  <c r="R227" i="2"/>
  <c r="L227" i="2"/>
  <c r="J227" i="2"/>
  <c r="I227" i="2"/>
  <c r="O227" i="2" s="1"/>
  <c r="H227" i="2"/>
  <c r="R226" i="2"/>
  <c r="L226" i="2"/>
  <c r="J226" i="2"/>
  <c r="I226" i="2"/>
  <c r="O226" i="2" s="1"/>
  <c r="Q226" i="2" s="1"/>
  <c r="H226" i="2"/>
  <c r="R225" i="2"/>
  <c r="L225" i="2"/>
  <c r="J225" i="2"/>
  <c r="I225" i="2"/>
  <c r="H225" i="2"/>
  <c r="R224" i="2"/>
  <c r="L224" i="2"/>
  <c r="M224" i="2" s="1"/>
  <c r="J224" i="2"/>
  <c r="I224" i="2"/>
  <c r="H224" i="2"/>
  <c r="R223" i="2"/>
  <c r="L223" i="2"/>
  <c r="J223" i="2"/>
  <c r="I223" i="2"/>
  <c r="H223" i="2"/>
  <c r="R222" i="2"/>
  <c r="L222" i="2"/>
  <c r="M222" i="2" s="1"/>
  <c r="J222" i="2"/>
  <c r="I222" i="2"/>
  <c r="O222" i="2" s="1"/>
  <c r="Q222" i="2" s="1"/>
  <c r="H222" i="2"/>
  <c r="R221" i="2"/>
  <c r="L221" i="2"/>
  <c r="M221" i="2" s="1"/>
  <c r="J221" i="2"/>
  <c r="I221" i="2"/>
  <c r="H221" i="2"/>
  <c r="R220" i="2"/>
  <c r="L220" i="2"/>
  <c r="M220" i="2" s="1"/>
  <c r="J220" i="2"/>
  <c r="I220" i="2"/>
  <c r="O220" i="2" s="1"/>
  <c r="H220" i="2"/>
  <c r="R219" i="2"/>
  <c r="L219" i="2"/>
  <c r="J219" i="2"/>
  <c r="I219" i="2"/>
  <c r="O219" i="2" s="1"/>
  <c r="Q219" i="2" s="1"/>
  <c r="H219" i="2"/>
  <c r="R218" i="2"/>
  <c r="L218" i="2"/>
  <c r="M218" i="2" s="1"/>
  <c r="N218" i="2" s="1"/>
  <c r="J218" i="2"/>
  <c r="I218" i="2"/>
  <c r="H218" i="2"/>
  <c r="R217" i="2"/>
  <c r="L217" i="2"/>
  <c r="M217" i="2" s="1"/>
  <c r="N217" i="2" s="1"/>
  <c r="J217" i="2"/>
  <c r="I217" i="2"/>
  <c r="O217" i="2" s="1"/>
  <c r="H217" i="2"/>
  <c r="R216" i="2"/>
  <c r="L216" i="2"/>
  <c r="J216" i="2"/>
  <c r="I216" i="2"/>
  <c r="H216" i="2"/>
  <c r="R215" i="2"/>
  <c r="L215" i="2"/>
  <c r="J215" i="2"/>
  <c r="I215" i="2"/>
  <c r="O215" i="2" s="1"/>
  <c r="H215" i="2"/>
  <c r="R214" i="2"/>
  <c r="L214" i="2"/>
  <c r="M214" i="2" s="1"/>
  <c r="N214" i="2" s="1"/>
  <c r="J214" i="2"/>
  <c r="I214" i="2"/>
  <c r="O214" i="2" s="1"/>
  <c r="H214" i="2"/>
  <c r="R213" i="2"/>
  <c r="L213" i="2"/>
  <c r="J213" i="2"/>
  <c r="I213" i="2"/>
  <c r="H213" i="2"/>
  <c r="R212" i="2"/>
  <c r="L212" i="2"/>
  <c r="M212" i="2" s="1"/>
  <c r="J212" i="2"/>
  <c r="I212" i="2"/>
  <c r="O212" i="2" s="1"/>
  <c r="P212" i="2" s="1"/>
  <c r="H212" i="2"/>
  <c r="R211" i="2"/>
  <c r="L211" i="2"/>
  <c r="M211" i="2" s="1"/>
  <c r="N211" i="2" s="1"/>
  <c r="J211" i="2"/>
  <c r="I211" i="2"/>
  <c r="O211" i="2" s="1"/>
  <c r="Q211" i="2" s="1"/>
  <c r="H211" i="2"/>
  <c r="R210" i="2"/>
  <c r="L210" i="2"/>
  <c r="M210" i="2" s="1"/>
  <c r="N210" i="2" s="1"/>
  <c r="J210" i="2"/>
  <c r="I210" i="2"/>
  <c r="O210" i="2" s="1"/>
  <c r="P210" i="2" s="1"/>
  <c r="H210" i="2"/>
  <c r="R209" i="2"/>
  <c r="L209" i="2"/>
  <c r="M209" i="2" s="1"/>
  <c r="J209" i="2"/>
  <c r="I209" i="2"/>
  <c r="H209" i="2"/>
  <c r="R208" i="2"/>
  <c r="L208" i="2"/>
  <c r="J208" i="2"/>
  <c r="I208" i="2"/>
  <c r="H208" i="2"/>
  <c r="R207" i="2"/>
  <c r="L207" i="2"/>
  <c r="J207" i="2"/>
  <c r="I207" i="2"/>
  <c r="O207" i="2" s="1"/>
  <c r="Q207" i="2" s="1"/>
  <c r="H207" i="2"/>
  <c r="R206" i="2"/>
  <c r="L206" i="2"/>
  <c r="J206" i="2"/>
  <c r="I206" i="2"/>
  <c r="H206" i="2"/>
  <c r="R205" i="2"/>
  <c r="L205" i="2"/>
  <c r="M205" i="2" s="1"/>
  <c r="J205" i="2"/>
  <c r="I205" i="2"/>
  <c r="H205" i="2"/>
  <c r="R204" i="2"/>
  <c r="L204" i="2"/>
  <c r="M204" i="2" s="1"/>
  <c r="J204" i="2"/>
  <c r="I204" i="2"/>
  <c r="O204" i="2" s="1"/>
  <c r="H204" i="2"/>
  <c r="R203" i="2"/>
  <c r="L203" i="2"/>
  <c r="J203" i="2"/>
  <c r="I203" i="2"/>
  <c r="O203" i="2" s="1"/>
  <c r="H203" i="2"/>
  <c r="R202" i="2"/>
  <c r="L202" i="2"/>
  <c r="J202" i="2"/>
  <c r="I202" i="2"/>
  <c r="O202" i="2" s="1"/>
  <c r="H202" i="2"/>
  <c r="R201" i="2"/>
  <c r="L201" i="2"/>
  <c r="M201" i="2" s="1"/>
  <c r="J201" i="2"/>
  <c r="I201" i="2"/>
  <c r="H201" i="2"/>
  <c r="R200" i="2"/>
  <c r="L200" i="2"/>
  <c r="M200" i="2" s="1"/>
  <c r="N200" i="2" s="1"/>
  <c r="J200" i="2"/>
  <c r="I200" i="2"/>
  <c r="H200" i="2"/>
  <c r="R199" i="2"/>
  <c r="L199" i="2"/>
  <c r="J199" i="2"/>
  <c r="I199" i="2"/>
  <c r="O199" i="2" s="1"/>
  <c r="H199" i="2"/>
  <c r="R198" i="2"/>
  <c r="L198" i="2"/>
  <c r="M198" i="2" s="1"/>
  <c r="N198" i="2" s="1"/>
  <c r="J198" i="2"/>
  <c r="I198" i="2"/>
  <c r="O198" i="2" s="1"/>
  <c r="Q198" i="2" s="1"/>
  <c r="H198" i="2"/>
  <c r="R197" i="2"/>
  <c r="L197" i="2"/>
  <c r="M197" i="2" s="1"/>
  <c r="N197" i="2" s="1"/>
  <c r="J197" i="2"/>
  <c r="I197" i="2"/>
  <c r="O197" i="2" s="1"/>
  <c r="H197" i="2"/>
  <c r="R196" i="2"/>
  <c r="L196" i="2"/>
  <c r="M196" i="2" s="1"/>
  <c r="J196" i="2"/>
  <c r="I196" i="2"/>
  <c r="O196" i="2" s="1"/>
  <c r="Q196" i="2" s="1"/>
  <c r="H196" i="2"/>
  <c r="R195" i="2"/>
  <c r="L195" i="2"/>
  <c r="M195" i="2" s="1"/>
  <c r="J195" i="2"/>
  <c r="I195" i="2"/>
  <c r="H195" i="2"/>
  <c r="R194" i="2"/>
  <c r="L194" i="2"/>
  <c r="M194" i="2" s="1"/>
  <c r="N194" i="2" s="1"/>
  <c r="J194" i="2"/>
  <c r="I194" i="2"/>
  <c r="O194" i="2" s="1"/>
  <c r="H194" i="2"/>
  <c r="R193" i="2"/>
  <c r="L193" i="2"/>
  <c r="M193" i="2" s="1"/>
  <c r="N193" i="2" s="1"/>
  <c r="J193" i="2"/>
  <c r="I193" i="2"/>
  <c r="H193" i="2"/>
  <c r="R192" i="2"/>
  <c r="L192" i="2"/>
  <c r="M192" i="2" s="1"/>
  <c r="J192" i="2"/>
  <c r="I192" i="2"/>
  <c r="O192" i="2" s="1"/>
  <c r="Q192" i="2" s="1"/>
  <c r="H192" i="2"/>
  <c r="R191" i="2"/>
  <c r="L191" i="2"/>
  <c r="M191" i="2" s="1"/>
  <c r="J191" i="2"/>
  <c r="I191" i="2"/>
  <c r="H191" i="2"/>
  <c r="R190" i="2"/>
  <c r="L190" i="2"/>
  <c r="M190" i="2" s="1"/>
  <c r="J190" i="2"/>
  <c r="I190" i="2"/>
  <c r="H190" i="2"/>
  <c r="R189" i="2"/>
  <c r="L189" i="2"/>
  <c r="M189" i="2" s="1"/>
  <c r="J189" i="2"/>
  <c r="I189" i="2"/>
  <c r="H189" i="2"/>
  <c r="R188" i="2"/>
  <c r="L188" i="2"/>
  <c r="M188" i="2" s="1"/>
  <c r="N188" i="2" s="1"/>
  <c r="J188" i="2"/>
  <c r="I188" i="2"/>
  <c r="H188" i="2"/>
  <c r="R187" i="2"/>
  <c r="L187" i="2"/>
  <c r="J187" i="2"/>
  <c r="I187" i="2"/>
  <c r="O187" i="2" s="1"/>
  <c r="H187" i="2"/>
  <c r="R186" i="2"/>
  <c r="L186" i="2"/>
  <c r="M186" i="2" s="1"/>
  <c r="N186" i="2" s="1"/>
  <c r="J186" i="2"/>
  <c r="I186" i="2"/>
  <c r="H186" i="2"/>
  <c r="R185" i="2"/>
  <c r="L185" i="2"/>
  <c r="M185" i="2" s="1"/>
  <c r="N185" i="2" s="1"/>
  <c r="J185" i="2"/>
  <c r="I185" i="2"/>
  <c r="H185" i="2"/>
  <c r="R184" i="2"/>
  <c r="L184" i="2"/>
  <c r="J184" i="2"/>
  <c r="I184" i="2"/>
  <c r="H184" i="2"/>
  <c r="R183" i="2"/>
  <c r="L183" i="2"/>
  <c r="M183" i="2" s="1"/>
  <c r="J183" i="2"/>
  <c r="I183" i="2"/>
  <c r="O183" i="2" s="1"/>
  <c r="Q183" i="2" s="1"/>
  <c r="H183" i="2"/>
  <c r="R182" i="2"/>
  <c r="L182" i="2"/>
  <c r="J182" i="2"/>
  <c r="I182" i="2"/>
  <c r="O182" i="2" s="1"/>
  <c r="H182" i="2"/>
  <c r="R181" i="2"/>
  <c r="L181" i="2"/>
  <c r="J181" i="2"/>
  <c r="I181" i="2"/>
  <c r="H181" i="2"/>
  <c r="R180" i="2"/>
  <c r="L180" i="2"/>
  <c r="M180" i="2" s="1"/>
  <c r="J180" i="2"/>
  <c r="I180" i="2"/>
  <c r="O180" i="2" s="1"/>
  <c r="P180" i="2" s="1"/>
  <c r="H180" i="2"/>
  <c r="R179" i="2"/>
  <c r="L179" i="2"/>
  <c r="M179" i="2" s="1"/>
  <c r="N179" i="2" s="1"/>
  <c r="J179" i="2"/>
  <c r="I179" i="2"/>
  <c r="H179" i="2"/>
  <c r="R178" i="2"/>
  <c r="L178" i="2"/>
  <c r="M178" i="2" s="1"/>
  <c r="J178" i="2"/>
  <c r="I178" i="2"/>
  <c r="O178" i="2" s="1"/>
  <c r="P178" i="2" s="1"/>
  <c r="H178" i="2"/>
  <c r="R177" i="2"/>
  <c r="L177" i="2"/>
  <c r="M177" i="2" s="1"/>
  <c r="N177" i="2" s="1"/>
  <c r="J177" i="2"/>
  <c r="I177" i="2"/>
  <c r="O177" i="2" s="1"/>
  <c r="P177" i="2" s="1"/>
  <c r="H177" i="2"/>
  <c r="R176" i="2"/>
  <c r="L176" i="2"/>
  <c r="J176" i="2"/>
  <c r="I176" i="2"/>
  <c r="O176" i="2" s="1"/>
  <c r="H176" i="2"/>
  <c r="R175" i="2"/>
  <c r="L175" i="2"/>
  <c r="M175" i="2" s="1"/>
  <c r="N175" i="2" s="1"/>
  <c r="J175" i="2"/>
  <c r="I175" i="2"/>
  <c r="H175" i="2"/>
  <c r="R174" i="2"/>
  <c r="L174" i="2"/>
  <c r="M174" i="2" s="1"/>
  <c r="N174" i="2" s="1"/>
  <c r="J174" i="2"/>
  <c r="I174" i="2"/>
  <c r="O174" i="2" s="1"/>
  <c r="H174" i="2"/>
  <c r="R173" i="2"/>
  <c r="L173" i="2"/>
  <c r="J173" i="2"/>
  <c r="I173" i="2"/>
  <c r="O173" i="2" s="1"/>
  <c r="Q173" i="2" s="1"/>
  <c r="H173" i="2"/>
  <c r="R172" i="2"/>
  <c r="L172" i="2"/>
  <c r="M172" i="2" s="1"/>
  <c r="J172" i="2"/>
  <c r="I172" i="2"/>
  <c r="O172" i="2" s="1"/>
  <c r="Q172" i="2" s="1"/>
  <c r="H172" i="2"/>
  <c r="R171" i="2"/>
  <c r="L171" i="2"/>
  <c r="M171" i="2" s="1"/>
  <c r="J171" i="2"/>
  <c r="I171" i="2"/>
  <c r="O171" i="2" s="1"/>
  <c r="Q171" i="2" s="1"/>
  <c r="H171" i="2"/>
  <c r="R170" i="2"/>
  <c r="L170" i="2"/>
  <c r="M170" i="2" s="1"/>
  <c r="N170" i="2" s="1"/>
  <c r="J170" i="2"/>
  <c r="I170" i="2"/>
  <c r="O170" i="2" s="1"/>
  <c r="P170" i="2" s="1"/>
  <c r="H170" i="2"/>
  <c r="R169" i="2"/>
  <c r="L169" i="2"/>
  <c r="J169" i="2"/>
  <c r="I169" i="2"/>
  <c r="O169" i="2" s="1"/>
  <c r="P169" i="2" s="1"/>
  <c r="H169" i="2"/>
  <c r="R168" i="2"/>
  <c r="L168" i="2"/>
  <c r="M168" i="2" s="1"/>
  <c r="N168" i="2" s="1"/>
  <c r="J168" i="2"/>
  <c r="I168" i="2"/>
  <c r="H168" i="2"/>
  <c r="R167" i="2"/>
  <c r="L167" i="2"/>
  <c r="J167" i="2"/>
  <c r="I167" i="2"/>
  <c r="O167" i="2" s="1"/>
  <c r="Q167" i="2" s="1"/>
  <c r="H167" i="2"/>
  <c r="R166" i="2"/>
  <c r="L166" i="2"/>
  <c r="M166" i="2" s="1"/>
  <c r="N166" i="2" s="1"/>
  <c r="J166" i="2"/>
  <c r="I166" i="2"/>
  <c r="H166" i="2"/>
  <c r="R165" i="2"/>
  <c r="L165" i="2"/>
  <c r="M165" i="2" s="1"/>
  <c r="J165" i="2"/>
  <c r="I165" i="2"/>
  <c r="H165" i="2"/>
  <c r="R164" i="2"/>
  <c r="L164" i="2"/>
  <c r="J164" i="2"/>
  <c r="I164" i="2"/>
  <c r="O164" i="2" s="1"/>
  <c r="H164" i="2"/>
  <c r="R163" i="2"/>
  <c r="L163" i="2"/>
  <c r="M163" i="2" s="1"/>
  <c r="J163" i="2"/>
  <c r="I163" i="2"/>
  <c r="O163" i="2" s="1"/>
  <c r="H163" i="2"/>
  <c r="R162" i="2"/>
  <c r="L162" i="2"/>
  <c r="M162" i="2" s="1"/>
  <c r="N162" i="2" s="1"/>
  <c r="J162" i="2"/>
  <c r="I162" i="2"/>
  <c r="O162" i="2" s="1"/>
  <c r="Q162" i="2" s="1"/>
  <c r="H162" i="2"/>
  <c r="R161" i="2"/>
  <c r="L161" i="2"/>
  <c r="J161" i="2"/>
  <c r="I161" i="2"/>
  <c r="O161" i="2" s="1"/>
  <c r="H161" i="2"/>
  <c r="R160" i="2"/>
  <c r="L160" i="2"/>
  <c r="M160" i="2" s="1"/>
  <c r="N160" i="2" s="1"/>
  <c r="J160" i="2"/>
  <c r="I160" i="2"/>
  <c r="O160" i="2" s="1"/>
  <c r="P160" i="2" s="1"/>
  <c r="H160" i="2"/>
  <c r="R159" i="2"/>
  <c r="L159" i="2"/>
  <c r="M159" i="2" s="1"/>
  <c r="N159" i="2" s="1"/>
  <c r="J159" i="2"/>
  <c r="I159" i="2"/>
  <c r="O159" i="2" s="1"/>
  <c r="H159" i="2"/>
  <c r="R158" i="2"/>
  <c r="L158" i="2"/>
  <c r="M158" i="2" s="1"/>
  <c r="J158" i="2"/>
  <c r="I158" i="2"/>
  <c r="O158" i="2" s="1"/>
  <c r="Q158" i="2" s="1"/>
  <c r="H158" i="2"/>
  <c r="R157" i="2"/>
  <c r="L157" i="2"/>
  <c r="M157" i="2" s="1"/>
  <c r="N157" i="2" s="1"/>
  <c r="J157" i="2"/>
  <c r="I157" i="2"/>
  <c r="H157" i="2"/>
  <c r="R156" i="2"/>
  <c r="L156" i="2"/>
  <c r="M156" i="2" s="1"/>
  <c r="N156" i="2" s="1"/>
  <c r="J156" i="2"/>
  <c r="I156" i="2"/>
  <c r="O156" i="2" s="1"/>
  <c r="Q156" i="2" s="1"/>
  <c r="H156" i="2"/>
  <c r="R155" i="2"/>
  <c r="L155" i="2"/>
  <c r="J155" i="2"/>
  <c r="I155" i="2"/>
  <c r="H155" i="2"/>
  <c r="R154" i="2"/>
  <c r="L154" i="2"/>
  <c r="M154" i="2" s="1"/>
  <c r="N154" i="2" s="1"/>
  <c r="J154" i="2"/>
  <c r="I154" i="2"/>
  <c r="H154" i="2"/>
  <c r="R153" i="2"/>
  <c r="L153" i="2"/>
  <c r="J153" i="2"/>
  <c r="I153" i="2"/>
  <c r="O153" i="2" s="1"/>
  <c r="H153" i="2"/>
  <c r="R152" i="2"/>
  <c r="L152" i="2"/>
  <c r="J152" i="2"/>
  <c r="I152" i="2"/>
  <c r="H152" i="2"/>
  <c r="R151" i="2"/>
  <c r="L151" i="2"/>
  <c r="M151" i="2" s="1"/>
  <c r="J151" i="2"/>
  <c r="I151" i="2"/>
  <c r="O151" i="2" s="1"/>
  <c r="H151" i="2"/>
  <c r="R150" i="2"/>
  <c r="L150" i="2"/>
  <c r="M150" i="2" s="1"/>
  <c r="J150" i="2"/>
  <c r="I150" i="2"/>
  <c r="O150" i="2" s="1"/>
  <c r="H150" i="2"/>
  <c r="R149" i="2"/>
  <c r="L149" i="2"/>
  <c r="M149" i="2" s="1"/>
  <c r="J149" i="2"/>
  <c r="I149" i="2"/>
  <c r="O149" i="2" s="1"/>
  <c r="H149" i="2"/>
  <c r="R148" i="2"/>
  <c r="L148" i="2"/>
  <c r="M148" i="2" s="1"/>
  <c r="J148" i="2"/>
  <c r="I148" i="2"/>
  <c r="H148" i="2"/>
  <c r="R147" i="2"/>
  <c r="L147" i="2"/>
  <c r="M147" i="2" s="1"/>
  <c r="N147" i="2" s="1"/>
  <c r="J147" i="2"/>
  <c r="I147" i="2"/>
  <c r="O147" i="2" s="1"/>
  <c r="H147" i="2"/>
  <c r="R146" i="2"/>
  <c r="L146" i="2"/>
  <c r="J146" i="2"/>
  <c r="I146" i="2"/>
  <c r="O146" i="2" s="1"/>
  <c r="Q146" i="2" s="1"/>
  <c r="H146" i="2"/>
  <c r="R145" i="2"/>
  <c r="L145" i="2"/>
  <c r="J145" i="2"/>
  <c r="I145" i="2"/>
  <c r="H145" i="2"/>
  <c r="R144" i="2"/>
  <c r="L144" i="2"/>
  <c r="J144" i="2"/>
  <c r="I144" i="2"/>
  <c r="O144" i="2" s="1"/>
  <c r="Q144" i="2" s="1"/>
  <c r="H144" i="2"/>
  <c r="R143" i="2"/>
  <c r="L143" i="2"/>
  <c r="M143" i="2" s="1"/>
  <c r="J143" i="2"/>
  <c r="I143" i="2"/>
  <c r="O143" i="2" s="1"/>
  <c r="Q143" i="2" s="1"/>
  <c r="H143" i="2"/>
  <c r="R142" i="2"/>
  <c r="L142" i="2"/>
  <c r="M142" i="2" s="1"/>
  <c r="N142" i="2" s="1"/>
  <c r="J142" i="2"/>
  <c r="I142" i="2"/>
  <c r="H142" i="2"/>
  <c r="R141" i="2"/>
  <c r="L141" i="2"/>
  <c r="M141" i="2" s="1"/>
  <c r="N141" i="2" s="1"/>
  <c r="J141" i="2"/>
  <c r="I141" i="2"/>
  <c r="O141" i="2" s="1"/>
  <c r="P141" i="2" s="1"/>
  <c r="H141" i="2"/>
  <c r="R140" i="2"/>
  <c r="L140" i="2"/>
  <c r="M140" i="2" s="1"/>
  <c r="N140" i="2" s="1"/>
  <c r="J140" i="2"/>
  <c r="I140" i="2"/>
  <c r="H140" i="2"/>
  <c r="R139" i="2"/>
  <c r="L139" i="2"/>
  <c r="M139" i="2" s="1"/>
  <c r="J139" i="2"/>
  <c r="I139" i="2"/>
  <c r="H139" i="2"/>
  <c r="R138" i="2"/>
  <c r="L138" i="2"/>
  <c r="J138" i="2"/>
  <c r="I138" i="2"/>
  <c r="H138" i="2"/>
  <c r="R137" i="2"/>
  <c r="L137" i="2"/>
  <c r="J137" i="2"/>
  <c r="I137" i="2"/>
  <c r="H137" i="2"/>
  <c r="R136" i="2"/>
  <c r="L136" i="2"/>
  <c r="J136" i="2"/>
  <c r="I136" i="2"/>
  <c r="H136" i="2"/>
  <c r="R135" i="2"/>
  <c r="L135" i="2"/>
  <c r="J135" i="2"/>
  <c r="I135" i="2"/>
  <c r="O135" i="2" s="1"/>
  <c r="H135" i="2"/>
  <c r="R134" i="2"/>
  <c r="L134" i="2"/>
  <c r="J134" i="2"/>
  <c r="I134" i="2"/>
  <c r="O134" i="2" s="1"/>
  <c r="H134" i="2"/>
  <c r="R133" i="2"/>
  <c r="L133" i="2"/>
  <c r="M133" i="2" s="1"/>
  <c r="J133" i="2"/>
  <c r="I133" i="2"/>
  <c r="O133" i="2" s="1"/>
  <c r="H133" i="2"/>
  <c r="R132" i="2"/>
  <c r="L132" i="2"/>
  <c r="M132" i="2" s="1"/>
  <c r="J132" i="2"/>
  <c r="I132" i="2"/>
  <c r="O132" i="2" s="1"/>
  <c r="H132" i="2"/>
  <c r="R131" i="2"/>
  <c r="L131" i="2"/>
  <c r="J131" i="2"/>
  <c r="I131" i="2"/>
  <c r="O131" i="2" s="1"/>
  <c r="P131" i="2" s="1"/>
  <c r="H131" i="2"/>
  <c r="R130" i="2"/>
  <c r="L130" i="2"/>
  <c r="J130" i="2"/>
  <c r="I130" i="2"/>
  <c r="H130" i="2"/>
  <c r="R129" i="2"/>
  <c r="L129" i="2"/>
  <c r="M129" i="2" s="1"/>
  <c r="N129" i="2" s="1"/>
  <c r="J129" i="2"/>
  <c r="I129" i="2"/>
  <c r="O129" i="2" s="1"/>
  <c r="Q129" i="2" s="1"/>
  <c r="H129" i="2"/>
  <c r="R128" i="2"/>
  <c r="L128" i="2"/>
  <c r="M128" i="2" s="1"/>
  <c r="J128" i="2"/>
  <c r="I128" i="2"/>
  <c r="O128" i="2" s="1"/>
  <c r="H128" i="2"/>
  <c r="R127" i="2"/>
  <c r="L127" i="2"/>
  <c r="J127" i="2"/>
  <c r="I127" i="2"/>
  <c r="O127" i="2" s="1"/>
  <c r="H127" i="2"/>
  <c r="R126" i="2"/>
  <c r="L126" i="2"/>
  <c r="J126" i="2"/>
  <c r="I126" i="2"/>
  <c r="H126" i="2"/>
  <c r="R125" i="2"/>
  <c r="L125" i="2"/>
  <c r="J125" i="2"/>
  <c r="I125" i="2"/>
  <c r="O125" i="2" s="1"/>
  <c r="Q125" i="2" s="1"/>
  <c r="H125" i="2"/>
  <c r="R124" i="2"/>
  <c r="L124" i="2"/>
  <c r="M124" i="2" s="1"/>
  <c r="J124" i="2"/>
  <c r="I124" i="2"/>
  <c r="H124" i="2"/>
  <c r="R123" i="2"/>
  <c r="L123" i="2"/>
  <c r="M123" i="2" s="1"/>
  <c r="N123" i="2" s="1"/>
  <c r="J123" i="2"/>
  <c r="I123" i="2"/>
  <c r="O123" i="2" s="1"/>
  <c r="H123" i="2"/>
  <c r="R122" i="2"/>
  <c r="L122" i="2"/>
  <c r="M122" i="2" s="1"/>
  <c r="N122" i="2" s="1"/>
  <c r="J122" i="2"/>
  <c r="I122" i="2"/>
  <c r="O122" i="2" s="1"/>
  <c r="H122" i="2"/>
  <c r="R121" i="2"/>
  <c r="L121" i="2"/>
  <c r="J121" i="2"/>
  <c r="I121" i="2"/>
  <c r="O121" i="2" s="1"/>
  <c r="P121" i="2" s="1"/>
  <c r="H121" i="2"/>
  <c r="R120" i="2"/>
  <c r="L120" i="2"/>
  <c r="M120" i="2" s="1"/>
  <c r="J120" i="2"/>
  <c r="I120" i="2"/>
  <c r="O120" i="2" s="1"/>
  <c r="P120" i="2" s="1"/>
  <c r="H120" i="2"/>
  <c r="R119" i="2"/>
  <c r="L119" i="2"/>
  <c r="M119" i="2" s="1"/>
  <c r="N119" i="2" s="1"/>
  <c r="J119" i="2"/>
  <c r="I119" i="2"/>
  <c r="O119" i="2" s="1"/>
  <c r="H119" i="2"/>
  <c r="R118" i="2"/>
  <c r="L118" i="2"/>
  <c r="M118" i="2" s="1"/>
  <c r="N118" i="2" s="1"/>
  <c r="J118" i="2"/>
  <c r="I118" i="2"/>
  <c r="O118" i="2" s="1"/>
  <c r="H118" i="2"/>
  <c r="R117" i="2"/>
  <c r="L117" i="2"/>
  <c r="M117" i="2" s="1"/>
  <c r="J117" i="2"/>
  <c r="I117" i="2"/>
  <c r="H117" i="2"/>
  <c r="R116" i="2"/>
  <c r="L116" i="2"/>
  <c r="M116" i="2" s="1"/>
  <c r="N116" i="2" s="1"/>
  <c r="J116" i="2"/>
  <c r="I116" i="2"/>
  <c r="H116" i="2"/>
  <c r="R115" i="2"/>
  <c r="L115" i="2"/>
  <c r="M115" i="2" s="1"/>
  <c r="J115" i="2"/>
  <c r="I115" i="2"/>
  <c r="O115" i="2" s="1"/>
  <c r="H115" i="2"/>
  <c r="R114" i="2"/>
  <c r="L114" i="2"/>
  <c r="J114" i="2"/>
  <c r="I114" i="2"/>
  <c r="H114" i="2"/>
  <c r="R113" i="2"/>
  <c r="L113" i="2"/>
  <c r="J113" i="2"/>
  <c r="I113" i="2"/>
  <c r="H113" i="2"/>
  <c r="R112" i="2"/>
  <c r="L112" i="2"/>
  <c r="J112" i="2"/>
  <c r="I112" i="2"/>
  <c r="O112" i="2" s="1"/>
  <c r="H112" i="2"/>
  <c r="R111" i="2"/>
  <c r="L111" i="2"/>
  <c r="J111" i="2"/>
  <c r="I111" i="2"/>
  <c r="O111" i="2" s="1"/>
  <c r="H111" i="2"/>
  <c r="R110" i="2"/>
  <c r="L110" i="2"/>
  <c r="M110" i="2" s="1"/>
  <c r="J110" i="2"/>
  <c r="I110" i="2"/>
  <c r="O110" i="2" s="1"/>
  <c r="H110" i="2"/>
  <c r="R109" i="2"/>
  <c r="L109" i="2"/>
  <c r="M109" i="2" s="1"/>
  <c r="J109" i="2"/>
  <c r="I109" i="2"/>
  <c r="H109" i="2"/>
  <c r="R108" i="2"/>
  <c r="L108" i="2"/>
  <c r="J108" i="2"/>
  <c r="I108" i="2"/>
  <c r="O108" i="2" s="1"/>
  <c r="H108" i="2"/>
  <c r="R107" i="2"/>
  <c r="L107" i="2"/>
  <c r="M107" i="2" s="1"/>
  <c r="J107" i="2"/>
  <c r="I107" i="2"/>
  <c r="H107" i="2"/>
  <c r="R106" i="2"/>
  <c r="L106" i="2"/>
  <c r="M106" i="2" s="1"/>
  <c r="N106" i="2" s="1"/>
  <c r="J106" i="2"/>
  <c r="I106" i="2"/>
  <c r="H106" i="2"/>
  <c r="R105" i="2"/>
  <c r="L105" i="2"/>
  <c r="M105" i="2" s="1"/>
  <c r="J105" i="2"/>
  <c r="I105" i="2"/>
  <c r="O105" i="2" s="1"/>
  <c r="P105" i="2" s="1"/>
  <c r="H105" i="2"/>
  <c r="R104" i="2"/>
  <c r="L104" i="2"/>
  <c r="M104" i="2" s="1"/>
  <c r="J104" i="2"/>
  <c r="I104" i="2"/>
  <c r="O104" i="2" s="1"/>
  <c r="H104" i="2"/>
  <c r="R103" i="2"/>
  <c r="L103" i="2"/>
  <c r="M103" i="2" s="1"/>
  <c r="N103" i="2" s="1"/>
  <c r="J103" i="2"/>
  <c r="I103" i="2"/>
  <c r="O103" i="2" s="1"/>
  <c r="H103" i="2"/>
  <c r="R102" i="2"/>
  <c r="L102" i="2"/>
  <c r="J102" i="2"/>
  <c r="I102" i="2"/>
  <c r="O102" i="2" s="1"/>
  <c r="H102" i="2"/>
  <c r="R101" i="2"/>
  <c r="L101" i="2"/>
  <c r="J101" i="2"/>
  <c r="I101" i="2"/>
  <c r="H101" i="2"/>
  <c r="R100" i="2"/>
  <c r="L100" i="2"/>
  <c r="J100" i="2"/>
  <c r="I100" i="2"/>
  <c r="O100" i="2" s="1"/>
  <c r="H100" i="2"/>
  <c r="R99" i="2"/>
  <c r="L99" i="2"/>
  <c r="M99" i="2" s="1"/>
  <c r="N99" i="2" s="1"/>
  <c r="J99" i="2"/>
  <c r="I99" i="2"/>
  <c r="H99" i="2"/>
  <c r="R98" i="2"/>
  <c r="L98" i="2"/>
  <c r="J98" i="2"/>
  <c r="I98" i="2"/>
  <c r="O98" i="2" s="1"/>
  <c r="Q98" i="2" s="1"/>
  <c r="H98" i="2"/>
  <c r="R97" i="2"/>
  <c r="L97" i="2"/>
  <c r="J97" i="2"/>
  <c r="I97" i="2"/>
  <c r="O97" i="2" s="1"/>
  <c r="Q97" i="2" s="1"/>
  <c r="H97" i="2"/>
  <c r="R96" i="2"/>
  <c r="L96" i="2"/>
  <c r="M96" i="2" s="1"/>
  <c r="N96" i="2" s="1"/>
  <c r="J96" i="2"/>
  <c r="I96" i="2"/>
  <c r="O96" i="2" s="1"/>
  <c r="Q96" i="2" s="1"/>
  <c r="H96" i="2"/>
  <c r="R95" i="2"/>
  <c r="L95" i="2"/>
  <c r="M95" i="2" s="1"/>
  <c r="J95" i="2"/>
  <c r="I95" i="2"/>
  <c r="H95" i="2"/>
  <c r="R94" i="2"/>
  <c r="L94" i="2"/>
  <c r="M94" i="2" s="1"/>
  <c r="N94" i="2" s="1"/>
  <c r="J94" i="2"/>
  <c r="I94" i="2"/>
  <c r="O94" i="2" s="1"/>
  <c r="Q94" i="2" s="1"/>
  <c r="H94" i="2"/>
  <c r="R93" i="2"/>
  <c r="L93" i="2"/>
  <c r="J93" i="2"/>
  <c r="I93" i="2"/>
  <c r="O93" i="2" s="1"/>
  <c r="Q93" i="2" s="1"/>
  <c r="H93" i="2"/>
  <c r="R92" i="2"/>
  <c r="L92" i="2"/>
  <c r="M92" i="2" s="1"/>
  <c r="J92" i="2"/>
  <c r="I92" i="2"/>
  <c r="O92" i="2" s="1"/>
  <c r="H92" i="2"/>
  <c r="R91" i="2"/>
  <c r="L91" i="2"/>
  <c r="M91" i="2" s="1"/>
  <c r="N91" i="2" s="1"/>
  <c r="J91" i="2"/>
  <c r="I91" i="2"/>
  <c r="H91" i="2"/>
  <c r="R90" i="2"/>
  <c r="L90" i="2"/>
  <c r="M90" i="2" s="1"/>
  <c r="J90" i="2"/>
  <c r="I90" i="2"/>
  <c r="H90" i="2"/>
  <c r="R89" i="2"/>
  <c r="L89" i="2"/>
  <c r="J89" i="2"/>
  <c r="I89" i="2"/>
  <c r="O89" i="2" s="1"/>
  <c r="P89" i="2" s="1"/>
  <c r="H89" i="2"/>
  <c r="R88" i="2"/>
  <c r="L88" i="2"/>
  <c r="J88" i="2"/>
  <c r="I88" i="2"/>
  <c r="O88" i="2" s="1"/>
  <c r="H88" i="2"/>
  <c r="R87" i="2"/>
  <c r="L87" i="2"/>
  <c r="M87" i="2" s="1"/>
  <c r="J87" i="2"/>
  <c r="I87" i="2"/>
  <c r="O87" i="2" s="1"/>
  <c r="P87" i="2" s="1"/>
  <c r="H87" i="2"/>
  <c r="R86" i="2"/>
  <c r="L86" i="2"/>
  <c r="J86" i="2"/>
  <c r="I86" i="2"/>
  <c r="H86" i="2"/>
  <c r="R85" i="2"/>
  <c r="L85" i="2"/>
  <c r="M85" i="2" s="1"/>
  <c r="J85" i="2"/>
  <c r="I85" i="2"/>
  <c r="O85" i="2" s="1"/>
  <c r="H85" i="2"/>
  <c r="R84" i="2"/>
  <c r="L84" i="2"/>
  <c r="M84" i="2" s="1"/>
  <c r="J84" i="2"/>
  <c r="I84" i="2"/>
  <c r="O84" i="2" s="1"/>
  <c r="H84" i="2"/>
  <c r="R83" i="2"/>
  <c r="L83" i="2"/>
  <c r="M83" i="2" s="1"/>
  <c r="J83" i="2"/>
  <c r="I83" i="2"/>
  <c r="H83" i="2"/>
  <c r="R82" i="2"/>
  <c r="L82" i="2"/>
  <c r="M82" i="2" s="1"/>
  <c r="J82" i="2"/>
  <c r="I82" i="2"/>
  <c r="O82" i="2" s="1"/>
  <c r="H82" i="2"/>
  <c r="R81" i="2"/>
  <c r="L81" i="2"/>
  <c r="M81" i="2" s="1"/>
  <c r="N81" i="2" s="1"/>
  <c r="J81" i="2"/>
  <c r="I81" i="2"/>
  <c r="O81" i="2" s="1"/>
  <c r="H81" i="2"/>
  <c r="R80" i="2"/>
  <c r="L80" i="2"/>
  <c r="J80" i="2"/>
  <c r="I80" i="2"/>
  <c r="O80" i="2" s="1"/>
  <c r="Q80" i="2" s="1"/>
  <c r="H80" i="2"/>
  <c r="R79" i="2"/>
  <c r="L79" i="2"/>
  <c r="M79" i="2" s="1"/>
  <c r="J79" i="2"/>
  <c r="I79" i="2"/>
  <c r="H79" i="2"/>
  <c r="R78" i="2"/>
  <c r="L78" i="2"/>
  <c r="M78" i="2" s="1"/>
  <c r="N78" i="2" s="1"/>
  <c r="J78" i="2"/>
  <c r="I78" i="2"/>
  <c r="O78" i="2" s="1"/>
  <c r="H78" i="2"/>
  <c r="R77" i="2"/>
  <c r="L77" i="2"/>
  <c r="M77" i="2" s="1"/>
  <c r="N77" i="2" s="1"/>
  <c r="J77" i="2"/>
  <c r="I77" i="2"/>
  <c r="H77" i="2"/>
  <c r="R76" i="2"/>
  <c r="L76" i="2"/>
  <c r="J76" i="2"/>
  <c r="I76" i="2"/>
  <c r="O76" i="2" s="1"/>
  <c r="H76" i="2"/>
  <c r="R75" i="2"/>
  <c r="L75" i="2"/>
  <c r="M75" i="2" s="1"/>
  <c r="J75" i="2"/>
  <c r="I75" i="2"/>
  <c r="O75" i="2" s="1"/>
  <c r="P75" i="2" s="1"/>
  <c r="H75" i="2"/>
  <c r="R74" i="2"/>
  <c r="L74" i="2"/>
  <c r="J74" i="2"/>
  <c r="I74" i="2"/>
  <c r="O74" i="2" s="1"/>
  <c r="Q74" i="2" s="1"/>
  <c r="H74" i="2"/>
  <c r="R73" i="2"/>
  <c r="L73" i="2"/>
  <c r="M73" i="2" s="1"/>
  <c r="N73" i="2" s="1"/>
  <c r="J73" i="2"/>
  <c r="I73" i="2"/>
  <c r="O73" i="2" s="1"/>
  <c r="Q73" i="2" s="1"/>
  <c r="H73" i="2"/>
  <c r="R72" i="2"/>
  <c r="L72" i="2"/>
  <c r="J72" i="2"/>
  <c r="I72" i="2"/>
  <c r="H72" i="2"/>
  <c r="R71" i="2"/>
  <c r="L71" i="2"/>
  <c r="M71" i="2" s="1"/>
  <c r="J71" i="2"/>
  <c r="I71" i="2"/>
  <c r="O71" i="2" s="1"/>
  <c r="H71" i="2"/>
  <c r="R70" i="2"/>
  <c r="L70" i="2"/>
  <c r="J70" i="2"/>
  <c r="I70" i="2"/>
  <c r="O70" i="2" s="1"/>
  <c r="H70" i="2"/>
  <c r="R69" i="2"/>
  <c r="L69" i="2"/>
  <c r="M69" i="2" s="1"/>
  <c r="N69" i="2" s="1"/>
  <c r="J69" i="2"/>
  <c r="I69" i="2"/>
  <c r="O69" i="2" s="1"/>
  <c r="P69" i="2" s="1"/>
  <c r="H69" i="2"/>
  <c r="R68" i="2"/>
  <c r="L68" i="2"/>
  <c r="J68" i="2"/>
  <c r="I68" i="2"/>
  <c r="H68" i="2"/>
  <c r="R67" i="2"/>
  <c r="L67" i="2"/>
  <c r="J67" i="2"/>
  <c r="I67" i="2"/>
  <c r="O67" i="2" s="1"/>
  <c r="H67" i="2"/>
  <c r="R66" i="2"/>
  <c r="L66" i="2"/>
  <c r="M66" i="2" s="1"/>
  <c r="N66" i="2" s="1"/>
  <c r="J66" i="2"/>
  <c r="I66" i="2"/>
  <c r="O66" i="2" s="1"/>
  <c r="H66" i="2"/>
  <c r="R65" i="2"/>
  <c r="L65" i="2"/>
  <c r="M65" i="2" s="1"/>
  <c r="N65" i="2" s="1"/>
  <c r="J65" i="2"/>
  <c r="I65" i="2"/>
  <c r="H65" i="2"/>
  <c r="R64" i="2"/>
  <c r="L64" i="2"/>
  <c r="J64" i="2"/>
  <c r="I64" i="2"/>
  <c r="H64" i="2"/>
  <c r="R63" i="2"/>
  <c r="L63" i="2"/>
  <c r="M63" i="2" s="1"/>
  <c r="N63" i="2" s="1"/>
  <c r="J63" i="2"/>
  <c r="I63" i="2"/>
  <c r="O63" i="2" s="1"/>
  <c r="Q63" i="2" s="1"/>
  <c r="H63" i="2"/>
  <c r="R62" i="2"/>
  <c r="L62" i="2"/>
  <c r="M62" i="2" s="1"/>
  <c r="J62" i="2"/>
  <c r="I62" i="2"/>
  <c r="H62" i="2"/>
  <c r="R61" i="2"/>
  <c r="L61" i="2"/>
  <c r="J61" i="2"/>
  <c r="I61" i="2"/>
  <c r="H61" i="2"/>
  <c r="R60" i="2"/>
  <c r="L60" i="2"/>
  <c r="M60" i="2" s="1"/>
  <c r="N60" i="2" s="1"/>
  <c r="J60" i="2"/>
  <c r="I60" i="2"/>
  <c r="O60" i="2" s="1"/>
  <c r="P60" i="2" s="1"/>
  <c r="H60" i="2"/>
  <c r="R59" i="2"/>
  <c r="L59" i="2"/>
  <c r="M59" i="2" s="1"/>
  <c r="J59" i="2"/>
  <c r="I59" i="2"/>
  <c r="O59" i="2" s="1"/>
  <c r="H59" i="2"/>
  <c r="J58" i="2"/>
  <c r="I58" i="2"/>
  <c r="H58" i="2"/>
  <c r="J57" i="2"/>
  <c r="I57" i="2"/>
  <c r="H57" i="2"/>
  <c r="J56" i="2"/>
  <c r="I56" i="2"/>
  <c r="H56" i="2"/>
  <c r="J55" i="2"/>
  <c r="I55" i="2"/>
  <c r="O55" i="2" s="1"/>
  <c r="H55" i="2"/>
  <c r="J54" i="2"/>
  <c r="I54" i="2"/>
  <c r="O54" i="2" s="1"/>
  <c r="H54" i="2"/>
  <c r="J53" i="2"/>
  <c r="I53" i="2"/>
  <c r="O53" i="2" s="1"/>
  <c r="H53" i="2"/>
  <c r="J52" i="2"/>
  <c r="I52" i="2"/>
  <c r="O52" i="2" s="1"/>
  <c r="H52" i="2"/>
  <c r="J51" i="2"/>
  <c r="I51" i="2"/>
  <c r="O51" i="2" s="1"/>
  <c r="H51" i="2"/>
  <c r="J50" i="2"/>
  <c r="I50" i="2"/>
  <c r="O50" i="2" s="1"/>
  <c r="H50" i="2"/>
  <c r="J49" i="2"/>
  <c r="I49" i="2"/>
  <c r="O49" i="2" s="1"/>
  <c r="H49" i="2"/>
  <c r="J48" i="2"/>
  <c r="I48" i="2"/>
  <c r="H48" i="2"/>
  <c r="J47" i="2"/>
  <c r="I47" i="2"/>
  <c r="O47" i="2" s="1"/>
  <c r="H47" i="2"/>
  <c r="J46" i="2"/>
  <c r="I46" i="2"/>
  <c r="O46" i="2" s="1"/>
  <c r="H46" i="2"/>
  <c r="J45" i="2"/>
  <c r="I45" i="2"/>
  <c r="H45" i="2"/>
  <c r="J44" i="2"/>
  <c r="I44" i="2"/>
  <c r="O44" i="2" s="1"/>
  <c r="H44" i="2"/>
  <c r="J43" i="2"/>
  <c r="I43" i="2"/>
  <c r="O43" i="2" s="1"/>
  <c r="H43" i="2"/>
  <c r="J42" i="2"/>
  <c r="I42" i="2"/>
  <c r="O42" i="2" s="1"/>
  <c r="H42" i="2"/>
  <c r="J41" i="2"/>
  <c r="I41" i="2"/>
  <c r="O41" i="2" s="1"/>
  <c r="H41" i="2"/>
  <c r="J40" i="2"/>
  <c r="I40" i="2"/>
  <c r="O40" i="2" s="1"/>
  <c r="H40" i="2"/>
  <c r="J39" i="2"/>
  <c r="I39" i="2"/>
  <c r="O39" i="2" s="1"/>
  <c r="H39" i="2"/>
  <c r="J38" i="2"/>
  <c r="I38" i="2"/>
  <c r="O38" i="2" s="1"/>
  <c r="H38" i="2"/>
  <c r="J37" i="2"/>
  <c r="I37" i="2"/>
  <c r="H37" i="2"/>
  <c r="J36" i="2"/>
  <c r="I36" i="2"/>
  <c r="H36" i="2"/>
  <c r="J35" i="2"/>
  <c r="I35" i="2"/>
  <c r="O35" i="2" s="1"/>
  <c r="H35" i="2"/>
  <c r="J34" i="2"/>
  <c r="I34" i="2"/>
  <c r="H34" i="2"/>
  <c r="J33" i="2"/>
  <c r="I33" i="2"/>
  <c r="O33" i="2" s="1"/>
  <c r="H33" i="2"/>
  <c r="J32" i="2"/>
  <c r="I32" i="2"/>
  <c r="H32" i="2"/>
  <c r="J31" i="2"/>
  <c r="I31" i="2"/>
  <c r="H31" i="2"/>
  <c r="J30" i="2"/>
  <c r="I30" i="2"/>
  <c r="H30" i="2"/>
  <c r="J29" i="2"/>
  <c r="I29" i="2"/>
  <c r="H29" i="2"/>
  <c r="J28" i="2"/>
  <c r="I28" i="2"/>
  <c r="O28" i="2" s="1"/>
  <c r="H28" i="2"/>
  <c r="J27" i="2"/>
  <c r="I27" i="2"/>
  <c r="H27" i="2"/>
  <c r="J26" i="2"/>
  <c r="I26" i="2"/>
  <c r="O26" i="2" s="1"/>
  <c r="H26" i="2"/>
  <c r="J25" i="2"/>
  <c r="I25" i="2"/>
  <c r="H25" i="2"/>
  <c r="J24" i="2"/>
  <c r="I24" i="2"/>
  <c r="H24" i="2"/>
  <c r="J23" i="2"/>
  <c r="I23" i="2"/>
  <c r="H23" i="2"/>
  <c r="J22" i="2"/>
  <c r="I22" i="2"/>
  <c r="O22" i="2" s="1"/>
  <c r="H22" i="2"/>
  <c r="J21" i="2"/>
  <c r="I21" i="2"/>
  <c r="O21" i="2" s="1"/>
  <c r="H21" i="2"/>
  <c r="J20" i="2"/>
  <c r="I20" i="2"/>
  <c r="H20" i="2"/>
  <c r="J19" i="2"/>
  <c r="I19" i="2"/>
  <c r="O19" i="2" s="1"/>
  <c r="H19" i="2"/>
  <c r="J18" i="2"/>
  <c r="I18" i="2"/>
  <c r="O18" i="2" s="1"/>
  <c r="H18" i="2"/>
  <c r="R17" i="2"/>
  <c r="J17" i="2"/>
  <c r="I17" i="2"/>
  <c r="H17" i="2"/>
  <c r="R16" i="2"/>
  <c r="J16" i="2"/>
  <c r="I16" i="2"/>
  <c r="H16" i="2"/>
  <c r="J15" i="2"/>
  <c r="I15" i="2"/>
  <c r="O15" i="2" s="1"/>
  <c r="H15" i="2"/>
  <c r="J14" i="2"/>
  <c r="I14" i="2"/>
  <c r="O14" i="2" s="1"/>
  <c r="H14" i="2"/>
  <c r="J13" i="2"/>
  <c r="I13" i="2"/>
  <c r="O13" i="2" s="1"/>
  <c r="H13" i="2"/>
  <c r="J12" i="2"/>
  <c r="I12" i="2"/>
  <c r="H12" i="2"/>
  <c r="J11" i="2"/>
  <c r="I11" i="2"/>
  <c r="H11" i="2"/>
  <c r="J10" i="2"/>
  <c r="I10" i="2"/>
  <c r="O10" i="2" s="1"/>
  <c r="H10" i="2"/>
  <c r="J9" i="2"/>
  <c r="I9" i="2"/>
  <c r="O9" i="2" s="1"/>
  <c r="H9" i="2"/>
  <c r="J8" i="2"/>
  <c r="I8" i="2"/>
  <c r="H8" i="2"/>
  <c r="J7" i="2"/>
  <c r="I7" i="2"/>
  <c r="H7" i="2"/>
  <c r="J6" i="2"/>
  <c r="I6" i="2"/>
  <c r="H6" i="2"/>
  <c r="J5" i="2"/>
  <c r="I5" i="2"/>
  <c r="H5" i="2"/>
  <c r="J4" i="2"/>
  <c r="I4" i="2"/>
  <c r="H4" i="2"/>
  <c r="J3" i="2"/>
  <c r="I3" i="2"/>
  <c r="O3" i="2" s="1"/>
  <c r="H3" i="2"/>
  <c r="J2" i="2"/>
  <c r="I2" i="2"/>
  <c r="H2" i="2"/>
  <c r="AR201" i="1"/>
  <c r="AQ201" i="1"/>
  <c r="AP201" i="1"/>
  <c r="L201" i="1" s="1"/>
  <c r="AO201" i="1"/>
  <c r="V201" i="1" s="1"/>
  <c r="AL201" i="1"/>
  <c r="AK201" i="1"/>
  <c r="AJ201" i="1"/>
  <c r="AA201" i="1"/>
  <c r="G201" i="1"/>
  <c r="F201" i="1"/>
  <c r="AR200" i="1"/>
  <c r="AQ200" i="1"/>
  <c r="AP200" i="1"/>
  <c r="L200" i="1" s="1"/>
  <c r="AO200" i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U199" i="1" s="1"/>
  <c r="AL199" i="1"/>
  <c r="AK199" i="1"/>
  <c r="AN199" i="1" s="1"/>
  <c r="AJ199" i="1"/>
  <c r="AA199" i="1"/>
  <c r="G199" i="1"/>
  <c r="F199" i="1"/>
  <c r="AR198" i="1"/>
  <c r="AQ198" i="1"/>
  <c r="AP198" i="1"/>
  <c r="L198" i="1" s="1"/>
  <c r="AO198" i="1"/>
  <c r="AL198" i="1"/>
  <c r="AK198" i="1"/>
  <c r="AN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N197" i="1" s="1"/>
  <c r="AJ197" i="1"/>
  <c r="AA197" i="1"/>
  <c r="G197" i="1"/>
  <c r="F197" i="1"/>
  <c r="AR196" i="1"/>
  <c r="AQ196" i="1"/>
  <c r="AP196" i="1"/>
  <c r="L196" i="1" s="1"/>
  <c r="AO196" i="1"/>
  <c r="U196" i="1" s="1"/>
  <c r="AL196" i="1"/>
  <c r="AK196" i="1"/>
  <c r="AJ196" i="1"/>
  <c r="AA196" i="1"/>
  <c r="G196" i="1"/>
  <c r="F196" i="1"/>
  <c r="AR195" i="1"/>
  <c r="AQ195" i="1"/>
  <c r="AP195" i="1"/>
  <c r="L195" i="1" s="1"/>
  <c r="AO195" i="1"/>
  <c r="AL195" i="1"/>
  <c r="AK195" i="1"/>
  <c r="AN195" i="1" s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N194" i="1" s="1"/>
  <c r="AJ194" i="1"/>
  <c r="AA194" i="1"/>
  <c r="G194" i="1"/>
  <c r="F194" i="1"/>
  <c r="AR193" i="1"/>
  <c r="AQ193" i="1"/>
  <c r="AP193" i="1"/>
  <c r="L193" i="1" s="1"/>
  <c r="AO193" i="1"/>
  <c r="V193" i="1" s="1"/>
  <c r="AL193" i="1"/>
  <c r="AK193" i="1"/>
  <c r="AJ193" i="1"/>
  <c r="AA193" i="1"/>
  <c r="G193" i="1"/>
  <c r="F193" i="1"/>
  <c r="AR192" i="1"/>
  <c r="AQ192" i="1"/>
  <c r="AP192" i="1"/>
  <c r="L192" i="1" s="1"/>
  <c r="AO192" i="1"/>
  <c r="AL192" i="1"/>
  <c r="AK192" i="1"/>
  <c r="AM192" i="1" s="1"/>
  <c r="AJ192" i="1"/>
  <c r="AA192" i="1"/>
  <c r="G192" i="1"/>
  <c r="F192" i="1"/>
  <c r="AR191" i="1"/>
  <c r="AQ191" i="1"/>
  <c r="AP191" i="1"/>
  <c r="L191" i="1" s="1"/>
  <c r="AO191" i="1"/>
  <c r="V191" i="1" s="1"/>
  <c r="AL191" i="1"/>
  <c r="AK191" i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N190" i="1" s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M189" i="1" s="1"/>
  <c r="AJ189" i="1"/>
  <c r="AA189" i="1"/>
  <c r="G189" i="1"/>
  <c r="F189" i="1"/>
  <c r="AR188" i="1"/>
  <c r="AQ188" i="1"/>
  <c r="AP188" i="1"/>
  <c r="L188" i="1" s="1"/>
  <c r="AO188" i="1"/>
  <c r="AL188" i="1"/>
  <c r="AK188" i="1"/>
  <c r="AJ188" i="1"/>
  <c r="AA188" i="1"/>
  <c r="G188" i="1"/>
  <c r="F188" i="1"/>
  <c r="AR187" i="1"/>
  <c r="AQ187" i="1"/>
  <c r="AP187" i="1"/>
  <c r="L187" i="1" s="1"/>
  <c r="AO187" i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J186" i="1"/>
  <c r="AA186" i="1"/>
  <c r="G186" i="1"/>
  <c r="F186" i="1"/>
  <c r="AR185" i="1"/>
  <c r="AQ185" i="1"/>
  <c r="AP185" i="1"/>
  <c r="L185" i="1" s="1"/>
  <c r="AO185" i="1"/>
  <c r="AL185" i="1"/>
  <c r="AK185" i="1"/>
  <c r="AM185" i="1" s="1"/>
  <c r="AJ185" i="1"/>
  <c r="AA185" i="1"/>
  <c r="G185" i="1"/>
  <c r="F185" i="1"/>
  <c r="AR184" i="1"/>
  <c r="AQ184" i="1"/>
  <c r="AP184" i="1"/>
  <c r="L184" i="1" s="1"/>
  <c r="AO184" i="1"/>
  <c r="U184" i="1" s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M182" i="1" s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N179" i="1" s="1"/>
  <c r="AJ179" i="1"/>
  <c r="AA179" i="1"/>
  <c r="G179" i="1"/>
  <c r="F179" i="1"/>
  <c r="AR178" i="1"/>
  <c r="AQ178" i="1"/>
  <c r="AP178" i="1"/>
  <c r="L178" i="1" s="1"/>
  <c r="AO178" i="1"/>
  <c r="AL178" i="1"/>
  <c r="AK178" i="1"/>
  <c r="AM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U176" i="1" s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N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M174" i="1" s="1"/>
  <c r="AJ174" i="1"/>
  <c r="AA174" i="1"/>
  <c r="G174" i="1"/>
  <c r="F174" i="1"/>
  <c r="AR173" i="1"/>
  <c r="AQ173" i="1"/>
  <c r="AP173" i="1"/>
  <c r="L173" i="1" s="1"/>
  <c r="AO173" i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V171" i="1" s="1"/>
  <c r="AL171" i="1"/>
  <c r="AK171" i="1"/>
  <c r="AJ171" i="1"/>
  <c r="AA171" i="1"/>
  <c r="G171" i="1"/>
  <c r="F171" i="1"/>
  <c r="AR170" i="1"/>
  <c r="AQ170" i="1"/>
  <c r="AP170" i="1"/>
  <c r="L170" i="1" s="1"/>
  <c r="AO170" i="1"/>
  <c r="AL170" i="1"/>
  <c r="AK170" i="1"/>
  <c r="AJ170" i="1"/>
  <c r="AA170" i="1"/>
  <c r="G170" i="1"/>
  <c r="F170" i="1"/>
  <c r="AR169" i="1"/>
  <c r="AQ169" i="1"/>
  <c r="AP169" i="1"/>
  <c r="L169" i="1" s="1"/>
  <c r="AO169" i="1"/>
  <c r="U169" i="1" s="1"/>
  <c r="AL169" i="1"/>
  <c r="AK169" i="1"/>
  <c r="AJ169" i="1"/>
  <c r="AA169" i="1"/>
  <c r="G169" i="1"/>
  <c r="F169" i="1"/>
  <c r="AR168" i="1"/>
  <c r="AQ168" i="1"/>
  <c r="AP168" i="1"/>
  <c r="L168" i="1" s="1"/>
  <c r="AO168" i="1"/>
  <c r="AL168" i="1"/>
  <c r="AK168" i="1"/>
  <c r="AN168" i="1" s="1"/>
  <c r="AJ168" i="1"/>
  <c r="AA168" i="1"/>
  <c r="G168" i="1"/>
  <c r="F168" i="1"/>
  <c r="AR167" i="1"/>
  <c r="AQ167" i="1"/>
  <c r="AP167" i="1"/>
  <c r="L167" i="1" s="1"/>
  <c r="AO167" i="1"/>
  <c r="AL167" i="1"/>
  <c r="AK167" i="1"/>
  <c r="AN167" i="1" s="1"/>
  <c r="AJ167" i="1"/>
  <c r="AA167" i="1"/>
  <c r="G167" i="1"/>
  <c r="F167" i="1"/>
  <c r="AR166" i="1"/>
  <c r="AQ166" i="1"/>
  <c r="AP166" i="1"/>
  <c r="L166" i="1" s="1"/>
  <c r="AO166" i="1"/>
  <c r="V166" i="1" s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U165" i="1" s="1"/>
  <c r="AL165" i="1"/>
  <c r="AK165" i="1"/>
  <c r="AJ165" i="1"/>
  <c r="AA165" i="1"/>
  <c r="G165" i="1"/>
  <c r="F165" i="1"/>
  <c r="AR164" i="1"/>
  <c r="AQ164" i="1"/>
  <c r="AP164" i="1"/>
  <c r="L164" i="1" s="1"/>
  <c r="AO164" i="1"/>
  <c r="U164" i="1" s="1"/>
  <c r="AL164" i="1"/>
  <c r="AK164" i="1"/>
  <c r="AJ164" i="1"/>
  <c r="AA164" i="1"/>
  <c r="G164" i="1"/>
  <c r="F164" i="1"/>
  <c r="AR163" i="1"/>
  <c r="AQ163" i="1"/>
  <c r="AP163" i="1"/>
  <c r="L163" i="1" s="1"/>
  <c r="AO163" i="1"/>
  <c r="U163" i="1" s="1"/>
  <c r="AL163" i="1"/>
  <c r="AK163" i="1"/>
  <c r="AM163" i="1" s="1"/>
  <c r="AJ163" i="1"/>
  <c r="AA163" i="1"/>
  <c r="G163" i="1"/>
  <c r="F163" i="1"/>
  <c r="AR162" i="1"/>
  <c r="AQ162" i="1"/>
  <c r="AP162" i="1"/>
  <c r="L162" i="1" s="1"/>
  <c r="AO162" i="1"/>
  <c r="V162" i="1" s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V161" i="1" s="1"/>
  <c r="AL161" i="1"/>
  <c r="AK161" i="1"/>
  <c r="AJ161" i="1"/>
  <c r="AA161" i="1"/>
  <c r="G161" i="1"/>
  <c r="F161" i="1"/>
  <c r="AR160" i="1"/>
  <c r="AQ160" i="1"/>
  <c r="AP160" i="1"/>
  <c r="L160" i="1" s="1"/>
  <c r="AO160" i="1"/>
  <c r="AL160" i="1"/>
  <c r="AK160" i="1"/>
  <c r="AN160" i="1" s="1"/>
  <c r="AJ160" i="1"/>
  <c r="AA160" i="1"/>
  <c r="G160" i="1"/>
  <c r="F160" i="1"/>
  <c r="AR159" i="1"/>
  <c r="AQ159" i="1"/>
  <c r="AP159" i="1"/>
  <c r="L159" i="1" s="1"/>
  <c r="AO159" i="1"/>
  <c r="V159" i="1" s="1"/>
  <c r="AL159" i="1"/>
  <c r="AK159" i="1"/>
  <c r="AJ159" i="1"/>
  <c r="AA159" i="1"/>
  <c r="G159" i="1"/>
  <c r="F159" i="1"/>
  <c r="AR158" i="1"/>
  <c r="AQ158" i="1"/>
  <c r="AP158" i="1"/>
  <c r="L158" i="1" s="1"/>
  <c r="AO158" i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AL157" i="1"/>
  <c r="AK157" i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N156" i="1" s="1"/>
  <c r="AJ156" i="1"/>
  <c r="AA156" i="1"/>
  <c r="G156" i="1"/>
  <c r="F156" i="1"/>
  <c r="AR155" i="1"/>
  <c r="AQ155" i="1"/>
  <c r="AP155" i="1"/>
  <c r="L155" i="1" s="1"/>
  <c r="AO155" i="1"/>
  <c r="U155" i="1" s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AL154" i="1"/>
  <c r="AK154" i="1"/>
  <c r="AM154" i="1" s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N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N152" i="1" s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J151" i="1"/>
  <c r="AA151" i="1"/>
  <c r="G151" i="1"/>
  <c r="F151" i="1"/>
  <c r="AR150" i="1"/>
  <c r="AQ150" i="1"/>
  <c r="AP150" i="1"/>
  <c r="L150" i="1" s="1"/>
  <c r="AO150" i="1"/>
  <c r="U150" i="1" s="1"/>
  <c r="AL150" i="1"/>
  <c r="AK150" i="1"/>
  <c r="AJ150" i="1"/>
  <c r="AA150" i="1"/>
  <c r="G150" i="1"/>
  <c r="F150" i="1"/>
  <c r="AR149" i="1"/>
  <c r="AQ149" i="1"/>
  <c r="AP149" i="1"/>
  <c r="L149" i="1" s="1"/>
  <c r="AO149" i="1"/>
  <c r="V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J148" i="1"/>
  <c r="AA148" i="1"/>
  <c r="G148" i="1"/>
  <c r="F148" i="1"/>
  <c r="AR147" i="1"/>
  <c r="AQ147" i="1"/>
  <c r="AP147" i="1"/>
  <c r="L147" i="1" s="1"/>
  <c r="AO147" i="1"/>
  <c r="AL147" i="1"/>
  <c r="AK147" i="1"/>
  <c r="AJ147" i="1"/>
  <c r="AA147" i="1"/>
  <c r="G147" i="1"/>
  <c r="F147" i="1"/>
  <c r="AR146" i="1"/>
  <c r="AQ146" i="1"/>
  <c r="AP146" i="1"/>
  <c r="L146" i="1" s="1"/>
  <c r="AO146" i="1"/>
  <c r="V146" i="1" s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V145" i="1" s="1"/>
  <c r="AL145" i="1"/>
  <c r="AK145" i="1"/>
  <c r="AM145" i="1" s="1"/>
  <c r="AJ145" i="1"/>
  <c r="AA145" i="1"/>
  <c r="G145" i="1"/>
  <c r="F145" i="1"/>
  <c r="AR144" i="1"/>
  <c r="AQ144" i="1"/>
  <c r="AP144" i="1"/>
  <c r="L144" i="1" s="1"/>
  <c r="AO144" i="1"/>
  <c r="V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V142" i="1" s="1"/>
  <c r="AL142" i="1"/>
  <c r="AK142" i="1"/>
  <c r="AN142" i="1" s="1"/>
  <c r="AJ142" i="1"/>
  <c r="AA142" i="1"/>
  <c r="G142" i="1"/>
  <c r="F142" i="1"/>
  <c r="AR141" i="1"/>
  <c r="AQ141" i="1"/>
  <c r="AP141" i="1"/>
  <c r="L141" i="1" s="1"/>
  <c r="AO141" i="1"/>
  <c r="V141" i="1" s="1"/>
  <c r="AL141" i="1"/>
  <c r="AK141" i="1"/>
  <c r="AJ141" i="1"/>
  <c r="AA141" i="1"/>
  <c r="G141" i="1"/>
  <c r="F141" i="1"/>
  <c r="AR140" i="1"/>
  <c r="AQ140" i="1"/>
  <c r="AP140" i="1"/>
  <c r="L140" i="1" s="1"/>
  <c r="AO140" i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U139" i="1" s="1"/>
  <c r="AL139" i="1"/>
  <c r="AK139" i="1"/>
  <c r="AJ139" i="1"/>
  <c r="AA139" i="1"/>
  <c r="G139" i="1"/>
  <c r="F139" i="1"/>
  <c r="AR138" i="1"/>
  <c r="AQ138" i="1"/>
  <c r="AP138" i="1"/>
  <c r="L138" i="1" s="1"/>
  <c r="AO138" i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AL137" i="1"/>
  <c r="AK137" i="1"/>
  <c r="AN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U134" i="1" s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V133" i="1" s="1"/>
  <c r="AL133" i="1"/>
  <c r="AK133" i="1"/>
  <c r="AJ133" i="1"/>
  <c r="AA133" i="1"/>
  <c r="G133" i="1"/>
  <c r="F133" i="1"/>
  <c r="AR132" i="1"/>
  <c r="AQ132" i="1"/>
  <c r="AP132" i="1"/>
  <c r="L132" i="1" s="1"/>
  <c r="AO132" i="1"/>
  <c r="U132" i="1" s="1"/>
  <c r="AL132" i="1"/>
  <c r="AK132" i="1"/>
  <c r="AN132" i="1" s="1"/>
  <c r="AJ132" i="1"/>
  <c r="AA132" i="1"/>
  <c r="G132" i="1"/>
  <c r="F132" i="1"/>
  <c r="AR131" i="1"/>
  <c r="AQ131" i="1"/>
  <c r="AP131" i="1"/>
  <c r="L131" i="1" s="1"/>
  <c r="AO131" i="1"/>
  <c r="V131" i="1" s="1"/>
  <c r="AL131" i="1"/>
  <c r="AK131" i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N130" i="1" s="1"/>
  <c r="AJ130" i="1"/>
  <c r="AA130" i="1"/>
  <c r="G130" i="1"/>
  <c r="F130" i="1"/>
  <c r="AR129" i="1"/>
  <c r="AQ129" i="1"/>
  <c r="AP129" i="1"/>
  <c r="L129" i="1" s="1"/>
  <c r="AO129" i="1"/>
  <c r="AL129" i="1"/>
  <c r="AK129" i="1"/>
  <c r="AM129" i="1" s="1"/>
  <c r="AJ129" i="1"/>
  <c r="AA129" i="1"/>
  <c r="G129" i="1"/>
  <c r="F129" i="1"/>
  <c r="AR128" i="1"/>
  <c r="AQ128" i="1"/>
  <c r="AP128" i="1"/>
  <c r="L128" i="1" s="1"/>
  <c r="AO128" i="1"/>
  <c r="U128" i="1" s="1"/>
  <c r="AL128" i="1"/>
  <c r="AK128" i="1"/>
  <c r="AN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N126" i="1" s="1"/>
  <c r="AJ126" i="1"/>
  <c r="AA126" i="1"/>
  <c r="G126" i="1"/>
  <c r="F126" i="1"/>
  <c r="AR125" i="1"/>
  <c r="AQ125" i="1"/>
  <c r="AP125" i="1"/>
  <c r="L125" i="1" s="1"/>
  <c r="AO125" i="1"/>
  <c r="V125" i="1" s="1"/>
  <c r="AL125" i="1"/>
  <c r="AK125" i="1"/>
  <c r="AM125" i="1" s="1"/>
  <c r="AJ125" i="1"/>
  <c r="AA125" i="1"/>
  <c r="G125" i="1"/>
  <c r="F125" i="1"/>
  <c r="AR124" i="1"/>
  <c r="AQ124" i="1"/>
  <c r="AP124" i="1"/>
  <c r="L124" i="1" s="1"/>
  <c r="AO124" i="1"/>
  <c r="U124" i="1" s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M123" i="1" s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M122" i="1" s="1"/>
  <c r="AJ122" i="1"/>
  <c r="AA122" i="1"/>
  <c r="G122" i="1"/>
  <c r="F122" i="1"/>
  <c r="AR121" i="1"/>
  <c r="AQ121" i="1"/>
  <c r="AP121" i="1"/>
  <c r="L121" i="1" s="1"/>
  <c r="AO121" i="1"/>
  <c r="V121" i="1" s="1"/>
  <c r="AL121" i="1"/>
  <c r="AK121" i="1"/>
  <c r="AJ121" i="1"/>
  <c r="AA121" i="1"/>
  <c r="G121" i="1"/>
  <c r="F121" i="1"/>
  <c r="AR120" i="1"/>
  <c r="AQ120" i="1"/>
  <c r="AP120" i="1"/>
  <c r="L120" i="1" s="1"/>
  <c r="AO120" i="1"/>
  <c r="U120" i="1" s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U119" i="1" s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J117" i="1"/>
  <c r="AA117" i="1"/>
  <c r="G117" i="1"/>
  <c r="F117" i="1"/>
  <c r="AR116" i="1"/>
  <c r="AQ116" i="1"/>
  <c r="AP116" i="1"/>
  <c r="L116" i="1" s="1"/>
  <c r="AO116" i="1"/>
  <c r="U116" i="1" s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U114" i="1" s="1"/>
  <c r="AL114" i="1"/>
  <c r="AK114" i="1"/>
  <c r="AN114" i="1" s="1"/>
  <c r="AJ114" i="1"/>
  <c r="AA114" i="1"/>
  <c r="G114" i="1"/>
  <c r="F114" i="1"/>
  <c r="AR113" i="1"/>
  <c r="AQ113" i="1"/>
  <c r="AP113" i="1"/>
  <c r="L113" i="1" s="1"/>
  <c r="AO113" i="1"/>
  <c r="U113" i="1" s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N110" i="1" s="1"/>
  <c r="AJ110" i="1"/>
  <c r="AA110" i="1"/>
  <c r="G110" i="1"/>
  <c r="F110" i="1"/>
  <c r="AR109" i="1"/>
  <c r="AQ109" i="1"/>
  <c r="AP109" i="1"/>
  <c r="L109" i="1" s="1"/>
  <c r="AO109" i="1"/>
  <c r="V109" i="1" s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U108" i="1" s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AL107" i="1"/>
  <c r="AK107" i="1"/>
  <c r="AN107" i="1" s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N106" i="1" s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M104" i="1" s="1"/>
  <c r="AJ104" i="1"/>
  <c r="AA104" i="1"/>
  <c r="G104" i="1"/>
  <c r="F104" i="1"/>
  <c r="AR103" i="1"/>
  <c r="AQ103" i="1"/>
  <c r="AP103" i="1"/>
  <c r="L103" i="1" s="1"/>
  <c r="AO103" i="1"/>
  <c r="V103" i="1" s="1"/>
  <c r="AL103" i="1"/>
  <c r="AK103" i="1"/>
  <c r="AM103" i="1" s="1"/>
  <c r="AJ103" i="1"/>
  <c r="AA103" i="1"/>
  <c r="G103" i="1"/>
  <c r="F103" i="1"/>
  <c r="AR102" i="1"/>
  <c r="AQ102" i="1"/>
  <c r="AP102" i="1"/>
  <c r="L102" i="1" s="1"/>
  <c r="AO102" i="1"/>
  <c r="U102" i="1" s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U101" i="1" s="1"/>
  <c r="AL101" i="1"/>
  <c r="AK101" i="1"/>
  <c r="AJ101" i="1"/>
  <c r="AA101" i="1"/>
  <c r="G101" i="1"/>
  <c r="F101" i="1"/>
  <c r="AR100" i="1"/>
  <c r="AQ100" i="1"/>
  <c r="AP100" i="1"/>
  <c r="L100" i="1" s="1"/>
  <c r="AO100" i="1"/>
  <c r="AL100" i="1"/>
  <c r="AK100" i="1"/>
  <c r="AJ100" i="1"/>
  <c r="AA100" i="1"/>
  <c r="G100" i="1"/>
  <c r="F100" i="1"/>
  <c r="AR99" i="1"/>
  <c r="AQ99" i="1"/>
  <c r="AP99" i="1"/>
  <c r="L99" i="1" s="1"/>
  <c r="AO99" i="1"/>
  <c r="U99" i="1" s="1"/>
  <c r="AL99" i="1"/>
  <c r="AK99" i="1"/>
  <c r="AM99" i="1" s="1"/>
  <c r="AJ99" i="1"/>
  <c r="AA99" i="1"/>
  <c r="G99" i="1"/>
  <c r="F99" i="1"/>
  <c r="AR98" i="1"/>
  <c r="AQ98" i="1"/>
  <c r="AP98" i="1"/>
  <c r="L98" i="1" s="1"/>
  <c r="AO98" i="1"/>
  <c r="U98" i="1" s="1"/>
  <c r="AL98" i="1"/>
  <c r="AK98" i="1"/>
  <c r="AN98" i="1" s="1"/>
  <c r="AJ98" i="1"/>
  <c r="AA98" i="1"/>
  <c r="G98" i="1"/>
  <c r="F98" i="1"/>
  <c r="AR97" i="1"/>
  <c r="AQ97" i="1"/>
  <c r="AP97" i="1"/>
  <c r="L97" i="1" s="1"/>
  <c r="AO97" i="1"/>
  <c r="AL97" i="1"/>
  <c r="AK97" i="1"/>
  <c r="AN97" i="1" s="1"/>
  <c r="AJ97" i="1"/>
  <c r="AA97" i="1"/>
  <c r="G97" i="1"/>
  <c r="F97" i="1"/>
  <c r="AR96" i="1"/>
  <c r="AQ96" i="1"/>
  <c r="AP96" i="1"/>
  <c r="L96" i="1" s="1"/>
  <c r="AO96" i="1"/>
  <c r="U96" i="1" s="1"/>
  <c r="AL96" i="1"/>
  <c r="AK96" i="1"/>
  <c r="AJ96" i="1"/>
  <c r="AA96" i="1"/>
  <c r="G96" i="1"/>
  <c r="F96" i="1"/>
  <c r="AR95" i="1"/>
  <c r="AQ95" i="1"/>
  <c r="AP95" i="1"/>
  <c r="L95" i="1" s="1"/>
  <c r="AO95" i="1"/>
  <c r="U95" i="1" s="1"/>
  <c r="AL95" i="1"/>
  <c r="AK95" i="1"/>
  <c r="AJ95" i="1"/>
  <c r="AA95" i="1"/>
  <c r="G95" i="1"/>
  <c r="F95" i="1"/>
  <c r="AR94" i="1"/>
  <c r="AQ94" i="1"/>
  <c r="AP94" i="1"/>
  <c r="L94" i="1" s="1"/>
  <c r="AO94" i="1"/>
  <c r="U94" i="1" s="1"/>
  <c r="AL94" i="1"/>
  <c r="AK94" i="1"/>
  <c r="AM94" i="1" s="1"/>
  <c r="AJ94" i="1"/>
  <c r="AA94" i="1"/>
  <c r="G94" i="1"/>
  <c r="F94" i="1"/>
  <c r="AR93" i="1"/>
  <c r="AQ93" i="1"/>
  <c r="AP93" i="1"/>
  <c r="L93" i="1" s="1"/>
  <c r="AO93" i="1"/>
  <c r="U93" i="1" s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U92" i="1" s="1"/>
  <c r="AL92" i="1"/>
  <c r="AK92" i="1"/>
  <c r="AN92" i="1" s="1"/>
  <c r="AJ92" i="1"/>
  <c r="AA92" i="1"/>
  <c r="G92" i="1"/>
  <c r="F92" i="1"/>
  <c r="AR91" i="1"/>
  <c r="AQ91" i="1"/>
  <c r="AP91" i="1"/>
  <c r="L91" i="1" s="1"/>
  <c r="AO91" i="1"/>
  <c r="V91" i="1" s="1"/>
  <c r="AL91" i="1"/>
  <c r="AK91" i="1"/>
  <c r="AJ91" i="1"/>
  <c r="AA91" i="1"/>
  <c r="G91" i="1"/>
  <c r="F91" i="1"/>
  <c r="AR90" i="1"/>
  <c r="AQ90" i="1"/>
  <c r="AP90" i="1"/>
  <c r="L90" i="1" s="1"/>
  <c r="AO90" i="1"/>
  <c r="V90" i="1" s="1"/>
  <c r="AL90" i="1"/>
  <c r="AK90" i="1"/>
  <c r="AJ90" i="1"/>
  <c r="AA90" i="1"/>
  <c r="G90" i="1"/>
  <c r="F90" i="1"/>
  <c r="AR89" i="1"/>
  <c r="AQ89" i="1"/>
  <c r="AP89" i="1"/>
  <c r="L89" i="1" s="1"/>
  <c r="AO89" i="1"/>
  <c r="AL89" i="1"/>
  <c r="AK89" i="1"/>
  <c r="AN89" i="1" s="1"/>
  <c r="AJ89" i="1"/>
  <c r="AA89" i="1"/>
  <c r="G89" i="1"/>
  <c r="F89" i="1"/>
  <c r="AR88" i="1"/>
  <c r="AQ88" i="1"/>
  <c r="AP88" i="1"/>
  <c r="L88" i="1" s="1"/>
  <c r="AO88" i="1"/>
  <c r="AL88" i="1"/>
  <c r="AK88" i="1"/>
  <c r="AM88" i="1" s="1"/>
  <c r="AJ88" i="1"/>
  <c r="AA88" i="1"/>
  <c r="G88" i="1"/>
  <c r="F88" i="1"/>
  <c r="AR87" i="1"/>
  <c r="AQ87" i="1"/>
  <c r="AP87" i="1"/>
  <c r="L87" i="1" s="1"/>
  <c r="AO87" i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AL86" i="1"/>
  <c r="AK86" i="1"/>
  <c r="AN86" i="1" s="1"/>
  <c r="AJ86" i="1"/>
  <c r="AA86" i="1"/>
  <c r="G86" i="1"/>
  <c r="F86" i="1"/>
  <c r="AR85" i="1"/>
  <c r="AQ85" i="1"/>
  <c r="AP85" i="1"/>
  <c r="L85" i="1" s="1"/>
  <c r="AO85" i="1"/>
  <c r="V85" i="1" s="1"/>
  <c r="AL85" i="1"/>
  <c r="AK85" i="1"/>
  <c r="AN85" i="1" s="1"/>
  <c r="AJ85" i="1"/>
  <c r="AA85" i="1"/>
  <c r="G85" i="1"/>
  <c r="F85" i="1"/>
  <c r="AR84" i="1"/>
  <c r="AQ84" i="1"/>
  <c r="AP84" i="1"/>
  <c r="L84" i="1" s="1"/>
  <c r="AO84" i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V83" i="1" s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V82" i="1" s="1"/>
  <c r="AL82" i="1"/>
  <c r="AK82" i="1"/>
  <c r="AM82" i="1" s="1"/>
  <c r="AJ82" i="1"/>
  <c r="AA82" i="1"/>
  <c r="G82" i="1"/>
  <c r="F82" i="1"/>
  <c r="AR81" i="1"/>
  <c r="AQ81" i="1"/>
  <c r="AP81" i="1"/>
  <c r="L81" i="1" s="1"/>
  <c r="AO81" i="1"/>
  <c r="U81" i="1" s="1"/>
  <c r="AL81" i="1"/>
  <c r="AK81" i="1"/>
  <c r="AJ81" i="1"/>
  <c r="AA81" i="1"/>
  <c r="G81" i="1"/>
  <c r="F81" i="1"/>
  <c r="AR80" i="1"/>
  <c r="AQ80" i="1"/>
  <c r="AP80" i="1"/>
  <c r="L80" i="1" s="1"/>
  <c r="AO80" i="1"/>
  <c r="AL80" i="1"/>
  <c r="AK80" i="1"/>
  <c r="AJ80" i="1"/>
  <c r="AA80" i="1"/>
  <c r="G80" i="1"/>
  <c r="F80" i="1"/>
  <c r="AR79" i="1"/>
  <c r="AQ79" i="1"/>
  <c r="AP79" i="1"/>
  <c r="L79" i="1" s="1"/>
  <c r="AO79" i="1"/>
  <c r="U79" i="1" s="1"/>
  <c r="AL79" i="1"/>
  <c r="AK79" i="1"/>
  <c r="AJ79" i="1"/>
  <c r="AA79" i="1"/>
  <c r="G79" i="1"/>
  <c r="F79" i="1"/>
  <c r="AR78" i="1"/>
  <c r="AQ78" i="1"/>
  <c r="AP78" i="1"/>
  <c r="L78" i="1" s="1"/>
  <c r="AO78" i="1"/>
  <c r="U78" i="1" s="1"/>
  <c r="AL78" i="1"/>
  <c r="AK78" i="1"/>
  <c r="AJ78" i="1"/>
  <c r="AA78" i="1"/>
  <c r="G78" i="1"/>
  <c r="F78" i="1"/>
  <c r="AR77" i="1"/>
  <c r="AQ77" i="1"/>
  <c r="AP77" i="1"/>
  <c r="L77" i="1" s="1"/>
  <c r="AO77" i="1"/>
  <c r="AL77" i="1"/>
  <c r="AK77" i="1"/>
  <c r="AN77" i="1" s="1"/>
  <c r="AJ77" i="1"/>
  <c r="AA77" i="1"/>
  <c r="G77" i="1"/>
  <c r="F77" i="1"/>
  <c r="AR76" i="1"/>
  <c r="AQ76" i="1"/>
  <c r="AP76" i="1"/>
  <c r="L76" i="1" s="1"/>
  <c r="AO76" i="1"/>
  <c r="U76" i="1" s="1"/>
  <c r="AL76" i="1"/>
  <c r="AK76" i="1"/>
  <c r="AM76" i="1" s="1"/>
  <c r="AJ76" i="1"/>
  <c r="AA76" i="1"/>
  <c r="G76" i="1"/>
  <c r="F76" i="1"/>
  <c r="AR75" i="1"/>
  <c r="AQ75" i="1"/>
  <c r="AP75" i="1"/>
  <c r="L75" i="1" s="1"/>
  <c r="AO75" i="1"/>
  <c r="AL75" i="1"/>
  <c r="AK75" i="1"/>
  <c r="AJ75" i="1"/>
  <c r="AA75" i="1"/>
  <c r="G75" i="1"/>
  <c r="F75" i="1"/>
  <c r="AR74" i="1"/>
  <c r="AQ74" i="1"/>
  <c r="AP74" i="1"/>
  <c r="L74" i="1" s="1"/>
  <c r="AO74" i="1"/>
  <c r="U74" i="1" s="1"/>
  <c r="AL74" i="1"/>
  <c r="AK74" i="1"/>
  <c r="AN74" i="1" s="1"/>
  <c r="AJ74" i="1"/>
  <c r="AA74" i="1"/>
  <c r="G74" i="1"/>
  <c r="F74" i="1"/>
  <c r="AR73" i="1"/>
  <c r="AQ73" i="1"/>
  <c r="AP73" i="1"/>
  <c r="L73" i="1" s="1"/>
  <c r="AO73" i="1"/>
  <c r="U73" i="1" s="1"/>
  <c r="AL73" i="1"/>
  <c r="AK73" i="1"/>
  <c r="AN73" i="1" s="1"/>
  <c r="AJ73" i="1"/>
  <c r="AA73" i="1"/>
  <c r="G73" i="1"/>
  <c r="F73" i="1"/>
  <c r="AR72" i="1"/>
  <c r="AQ72" i="1"/>
  <c r="AP72" i="1"/>
  <c r="L72" i="1" s="1"/>
  <c r="AO72" i="1"/>
  <c r="U72" i="1" s="1"/>
  <c r="AL72" i="1"/>
  <c r="AK72" i="1"/>
  <c r="AN72" i="1" s="1"/>
  <c r="AJ72" i="1"/>
  <c r="AA72" i="1"/>
  <c r="G72" i="1"/>
  <c r="F72" i="1"/>
  <c r="AR71" i="1"/>
  <c r="AQ71" i="1"/>
  <c r="AP71" i="1"/>
  <c r="L71" i="1" s="1"/>
  <c r="AO71" i="1"/>
  <c r="V71" i="1" s="1"/>
  <c r="AL71" i="1"/>
  <c r="AK71" i="1"/>
  <c r="AJ71" i="1"/>
  <c r="AA71" i="1"/>
  <c r="G71" i="1"/>
  <c r="F71" i="1"/>
  <c r="AR70" i="1"/>
  <c r="AQ70" i="1"/>
  <c r="AP70" i="1"/>
  <c r="L70" i="1" s="1"/>
  <c r="AO70" i="1"/>
  <c r="V70" i="1" s="1"/>
  <c r="AL70" i="1"/>
  <c r="AK70" i="1"/>
  <c r="AJ70" i="1"/>
  <c r="AA70" i="1"/>
  <c r="F70" i="1"/>
  <c r="AL69" i="1"/>
  <c r="AP69" i="1" s="1"/>
  <c r="AK69" i="1"/>
  <c r="AN69" i="1" s="1"/>
  <c r="AJ69" i="1"/>
  <c r="AA69" i="1"/>
  <c r="F69" i="1"/>
  <c r="AL68" i="1"/>
  <c r="AP68" i="1" s="1"/>
  <c r="L68" i="1" s="1"/>
  <c r="AK68" i="1"/>
  <c r="AM68" i="1" s="1"/>
  <c r="AJ68" i="1"/>
  <c r="AA68" i="1"/>
  <c r="F68" i="1"/>
  <c r="AL67" i="1"/>
  <c r="AP67" i="1" s="1"/>
  <c r="AK67" i="1"/>
  <c r="AJ67" i="1"/>
  <c r="AA67" i="1"/>
  <c r="F67" i="1"/>
  <c r="AL66" i="1"/>
  <c r="AP66" i="1" s="1"/>
  <c r="L66" i="1" s="1"/>
  <c r="AK66" i="1"/>
  <c r="AM66" i="1" s="1"/>
  <c r="AJ66" i="1"/>
  <c r="AA66" i="1"/>
  <c r="F66" i="1"/>
  <c r="AL65" i="1"/>
  <c r="AP65" i="1" s="1"/>
  <c r="AK65" i="1"/>
  <c r="AJ65" i="1"/>
  <c r="AA65" i="1"/>
  <c r="F65" i="1"/>
  <c r="AL64" i="1"/>
  <c r="AP64" i="1" s="1"/>
  <c r="L64" i="1" s="1"/>
  <c r="AK64" i="1"/>
  <c r="AM64" i="1" s="1"/>
  <c r="AJ64" i="1"/>
  <c r="AA64" i="1"/>
  <c r="F64" i="1"/>
  <c r="AL63" i="1"/>
  <c r="AP63" i="1" s="1"/>
  <c r="L63" i="1" s="1"/>
  <c r="AK63" i="1"/>
  <c r="AM63" i="1" s="1"/>
  <c r="AJ63" i="1"/>
  <c r="AA63" i="1"/>
  <c r="F63" i="1"/>
  <c r="AL62" i="1"/>
  <c r="AP62" i="1" s="1"/>
  <c r="AK62" i="1"/>
  <c r="AN62" i="1" s="1"/>
  <c r="AJ62" i="1"/>
  <c r="AA62" i="1"/>
  <c r="F62" i="1"/>
  <c r="AL61" i="1"/>
  <c r="AP61" i="1" s="1"/>
  <c r="L61" i="1" s="1"/>
  <c r="AK61" i="1"/>
  <c r="AJ61" i="1"/>
  <c r="AA61" i="1"/>
  <c r="F61" i="1"/>
  <c r="AQ60" i="1"/>
  <c r="AL60" i="1"/>
  <c r="AP60" i="1" s="1"/>
  <c r="AK60" i="1"/>
  <c r="AN60" i="1" s="1"/>
  <c r="AJ60" i="1"/>
  <c r="AA60" i="1"/>
  <c r="F60" i="1"/>
  <c r="AL59" i="1"/>
  <c r="AP59" i="1" s="1"/>
  <c r="AK59" i="1"/>
  <c r="AN59" i="1" s="1"/>
  <c r="AJ59" i="1"/>
  <c r="AA59" i="1"/>
  <c r="F59" i="1"/>
  <c r="AL58" i="1"/>
  <c r="AP58" i="1" s="1"/>
  <c r="L58" i="1" s="1"/>
  <c r="AK58" i="1"/>
  <c r="AM58" i="1" s="1"/>
  <c r="AJ58" i="1"/>
  <c r="AA58" i="1"/>
  <c r="F58" i="1"/>
  <c r="AL57" i="1"/>
  <c r="AP57" i="1" s="1"/>
  <c r="AK57" i="1"/>
  <c r="AJ57" i="1"/>
  <c r="AA57" i="1"/>
  <c r="F57" i="1"/>
  <c r="AQ56" i="1"/>
  <c r="AL56" i="1"/>
  <c r="AP56" i="1" s="1"/>
  <c r="L56" i="1" s="1"/>
  <c r="AK56" i="1"/>
  <c r="AN56" i="1" s="1"/>
  <c r="AJ56" i="1"/>
  <c r="AA56" i="1"/>
  <c r="F56" i="1"/>
  <c r="AL55" i="1"/>
  <c r="AP55" i="1" s="1"/>
  <c r="AK55" i="1"/>
  <c r="AM55" i="1" s="1"/>
  <c r="AJ55" i="1"/>
  <c r="AA55" i="1"/>
  <c r="F55" i="1"/>
  <c r="AQ54" i="1"/>
  <c r="AL54" i="1"/>
  <c r="AP54" i="1" s="1"/>
  <c r="L54" i="1" s="1"/>
  <c r="AK54" i="1"/>
  <c r="AJ54" i="1"/>
  <c r="AA54" i="1"/>
  <c r="F54" i="1"/>
  <c r="AL53" i="1"/>
  <c r="AP53" i="1" s="1"/>
  <c r="L53" i="1" s="1"/>
  <c r="AK53" i="1"/>
  <c r="AM53" i="1" s="1"/>
  <c r="AJ53" i="1"/>
  <c r="AA53" i="1"/>
  <c r="F53" i="1"/>
  <c r="AL52" i="1"/>
  <c r="AP52" i="1" s="1"/>
  <c r="AK52" i="1"/>
  <c r="AN52" i="1" s="1"/>
  <c r="AJ52" i="1"/>
  <c r="AA52" i="1"/>
  <c r="F52" i="1"/>
  <c r="AL51" i="1"/>
  <c r="AP51" i="1" s="1"/>
  <c r="L51" i="1" s="1"/>
  <c r="AK51" i="1"/>
  <c r="AM51" i="1" s="1"/>
  <c r="AJ51" i="1"/>
  <c r="AA51" i="1"/>
  <c r="G51" i="1"/>
  <c r="F51" i="1"/>
  <c r="AQ50" i="1"/>
  <c r="AL50" i="1"/>
  <c r="AP50" i="1" s="1"/>
  <c r="AK50" i="1"/>
  <c r="AJ50" i="1"/>
  <c r="AA50" i="1"/>
  <c r="G50" i="1"/>
  <c r="F50" i="1"/>
  <c r="AQ49" i="1"/>
  <c r="AL49" i="1"/>
  <c r="AP49" i="1" s="1"/>
  <c r="L49" i="1" s="1"/>
  <c r="AK49" i="1"/>
  <c r="AM49" i="1" s="1"/>
  <c r="AJ49" i="1"/>
  <c r="AA49" i="1"/>
  <c r="G49" i="1"/>
  <c r="F49" i="1"/>
  <c r="AQ48" i="1"/>
  <c r="AL48" i="1"/>
  <c r="AP48" i="1" s="1"/>
  <c r="AO48" i="1" s="1"/>
  <c r="AK48" i="1"/>
  <c r="AN48" i="1" s="1"/>
  <c r="AJ48" i="1"/>
  <c r="AA48" i="1"/>
  <c r="G48" i="1"/>
  <c r="F48" i="1"/>
  <c r="AQ47" i="1"/>
  <c r="AL47" i="1"/>
  <c r="AP47" i="1" s="1"/>
  <c r="AK47" i="1"/>
  <c r="AN47" i="1" s="1"/>
  <c r="AJ47" i="1"/>
  <c r="AA47" i="1"/>
  <c r="G47" i="1"/>
  <c r="F47" i="1"/>
  <c r="AQ46" i="1"/>
  <c r="AL46" i="1"/>
  <c r="AP46" i="1" s="1"/>
  <c r="L46" i="1" s="1"/>
  <c r="AK46" i="1"/>
  <c r="AM46" i="1" s="1"/>
  <c r="AJ46" i="1"/>
  <c r="AA46" i="1"/>
  <c r="G46" i="1"/>
  <c r="F46" i="1"/>
  <c r="AQ45" i="1"/>
  <c r="AL45" i="1"/>
  <c r="AP45" i="1" s="1"/>
  <c r="AO45" i="1" s="1"/>
  <c r="V45" i="1" s="1"/>
  <c r="AK45" i="1"/>
  <c r="AJ45" i="1"/>
  <c r="AA45" i="1"/>
  <c r="G45" i="1"/>
  <c r="F45" i="1"/>
  <c r="AQ44" i="1"/>
  <c r="AL44" i="1"/>
  <c r="AP44" i="1" s="1"/>
  <c r="AK44" i="1"/>
  <c r="AM44" i="1" s="1"/>
  <c r="AJ44" i="1"/>
  <c r="AA44" i="1"/>
  <c r="G44" i="1"/>
  <c r="F44" i="1"/>
  <c r="AQ43" i="1"/>
  <c r="AL43" i="1"/>
  <c r="AP43" i="1" s="1"/>
  <c r="AO43" i="1" s="1"/>
  <c r="AK43" i="1"/>
  <c r="AN43" i="1" s="1"/>
  <c r="AJ43" i="1"/>
  <c r="AA43" i="1"/>
  <c r="G43" i="1"/>
  <c r="F43" i="1"/>
  <c r="AQ42" i="1"/>
  <c r="AL42" i="1"/>
  <c r="AP42" i="1" s="1"/>
  <c r="AK42" i="1"/>
  <c r="AN42" i="1" s="1"/>
  <c r="AJ42" i="1"/>
  <c r="AA42" i="1"/>
  <c r="G42" i="1"/>
  <c r="F42" i="1"/>
  <c r="AQ41" i="1"/>
  <c r="AL41" i="1"/>
  <c r="AP41" i="1" s="1"/>
  <c r="AK41" i="1"/>
  <c r="AM41" i="1" s="1"/>
  <c r="AJ41" i="1"/>
  <c r="AA41" i="1"/>
  <c r="G41" i="1"/>
  <c r="F41" i="1"/>
  <c r="AQ40" i="1"/>
  <c r="AL40" i="1"/>
  <c r="AP40" i="1" s="1"/>
  <c r="AO40" i="1" s="1"/>
  <c r="AK40" i="1"/>
  <c r="AN40" i="1" s="1"/>
  <c r="AJ40" i="1"/>
  <c r="AA40" i="1"/>
  <c r="G40" i="1"/>
  <c r="F40" i="1"/>
  <c r="AQ39" i="1"/>
  <c r="AL39" i="1"/>
  <c r="AP39" i="1" s="1"/>
  <c r="L39" i="1" s="1"/>
  <c r="AK39" i="1"/>
  <c r="AM39" i="1" s="1"/>
  <c r="AJ39" i="1"/>
  <c r="AA39" i="1"/>
  <c r="G39" i="1"/>
  <c r="F39" i="1"/>
  <c r="AQ38" i="1"/>
  <c r="AL38" i="1"/>
  <c r="AP38" i="1" s="1"/>
  <c r="L38" i="1" s="1"/>
  <c r="AK38" i="1"/>
  <c r="AN38" i="1" s="1"/>
  <c r="AJ38" i="1"/>
  <c r="AA38" i="1"/>
  <c r="G38" i="1"/>
  <c r="F38" i="1"/>
  <c r="AQ37" i="1"/>
  <c r="AL37" i="1"/>
  <c r="AP37" i="1" s="1"/>
  <c r="AK37" i="1"/>
  <c r="AN37" i="1" s="1"/>
  <c r="AJ37" i="1"/>
  <c r="AA37" i="1"/>
  <c r="G37" i="1"/>
  <c r="F37" i="1"/>
  <c r="AQ36" i="1"/>
  <c r="AL36" i="1"/>
  <c r="AP36" i="1" s="1"/>
  <c r="AK36" i="1"/>
  <c r="AM36" i="1" s="1"/>
  <c r="AJ36" i="1"/>
  <c r="AA36" i="1"/>
  <c r="G36" i="1"/>
  <c r="F36" i="1"/>
  <c r="AQ35" i="1"/>
  <c r="AL35" i="1"/>
  <c r="AP35" i="1" s="1"/>
  <c r="AK35" i="1"/>
  <c r="AM35" i="1" s="1"/>
  <c r="AJ35" i="1"/>
  <c r="AA35" i="1"/>
  <c r="G35" i="1"/>
  <c r="F35" i="1"/>
  <c r="AQ34" i="1"/>
  <c r="AL34" i="1"/>
  <c r="AP34" i="1" s="1"/>
  <c r="AK34" i="1"/>
  <c r="AN34" i="1" s="1"/>
  <c r="AJ34" i="1"/>
  <c r="AA34" i="1"/>
  <c r="G34" i="1"/>
  <c r="F34" i="1"/>
  <c r="AQ33" i="1"/>
  <c r="AL33" i="1"/>
  <c r="AP33" i="1" s="1"/>
  <c r="L33" i="1" s="1"/>
  <c r="AK33" i="1"/>
  <c r="AN33" i="1" s="1"/>
  <c r="AJ33" i="1"/>
  <c r="AA33" i="1"/>
  <c r="G33" i="1"/>
  <c r="F33" i="1"/>
  <c r="AQ32" i="1"/>
  <c r="AL32" i="1"/>
  <c r="AP32" i="1" s="1"/>
  <c r="AK32" i="1"/>
  <c r="AM32" i="1" s="1"/>
  <c r="AJ32" i="1"/>
  <c r="AA32" i="1"/>
  <c r="G32" i="1"/>
  <c r="F32" i="1"/>
  <c r="AQ31" i="1"/>
  <c r="AL31" i="1"/>
  <c r="AP31" i="1" s="1"/>
  <c r="L31" i="1" s="1"/>
  <c r="AK31" i="1"/>
  <c r="AN31" i="1" s="1"/>
  <c r="AJ31" i="1"/>
  <c r="AA31" i="1"/>
  <c r="G31" i="1"/>
  <c r="F31" i="1"/>
  <c r="AQ30" i="1"/>
  <c r="AL30" i="1"/>
  <c r="AP30" i="1" s="1"/>
  <c r="AK30" i="1"/>
  <c r="AN30" i="1" s="1"/>
  <c r="AJ30" i="1"/>
  <c r="AA30" i="1"/>
  <c r="G30" i="1"/>
  <c r="F30" i="1"/>
  <c r="AQ29" i="1"/>
  <c r="AL29" i="1"/>
  <c r="AP29" i="1" s="1"/>
  <c r="AK29" i="1"/>
  <c r="AN29" i="1" s="1"/>
  <c r="AJ29" i="1"/>
  <c r="AA29" i="1"/>
  <c r="G29" i="1"/>
  <c r="F29" i="1"/>
  <c r="AQ28" i="1"/>
  <c r="AL28" i="1"/>
  <c r="AP28" i="1" s="1"/>
  <c r="L28" i="1" s="1"/>
  <c r="AK28" i="1"/>
  <c r="AN28" i="1" s="1"/>
  <c r="AJ28" i="1"/>
  <c r="AA28" i="1"/>
  <c r="G28" i="1"/>
  <c r="F28" i="1"/>
  <c r="AQ27" i="1"/>
  <c r="AL27" i="1"/>
  <c r="AP27" i="1" s="1"/>
  <c r="AK27" i="1"/>
  <c r="AJ27" i="1"/>
  <c r="AA27" i="1"/>
  <c r="G27" i="1"/>
  <c r="F27" i="1"/>
  <c r="AQ26" i="1"/>
  <c r="AL26" i="1"/>
  <c r="AP26" i="1" s="1"/>
  <c r="AK26" i="1"/>
  <c r="AN26" i="1" s="1"/>
  <c r="AJ26" i="1"/>
  <c r="AA26" i="1"/>
  <c r="G26" i="1"/>
  <c r="F26" i="1"/>
  <c r="AQ25" i="1"/>
  <c r="AL25" i="1"/>
  <c r="AP25" i="1" s="1"/>
  <c r="AK25" i="1"/>
  <c r="AM25" i="1" s="1"/>
  <c r="AJ25" i="1"/>
  <c r="AA25" i="1"/>
  <c r="G25" i="1"/>
  <c r="F25" i="1"/>
  <c r="AQ24" i="1"/>
  <c r="AL24" i="1"/>
  <c r="AP24" i="1" s="1"/>
  <c r="AK24" i="1"/>
  <c r="AN24" i="1" s="1"/>
  <c r="AJ24" i="1"/>
  <c r="AA24" i="1"/>
  <c r="G24" i="1"/>
  <c r="F24" i="1"/>
  <c r="AQ23" i="1"/>
  <c r="AL23" i="1"/>
  <c r="AP23" i="1" s="1"/>
  <c r="L23" i="1" s="1"/>
  <c r="AK23" i="1"/>
  <c r="AM23" i="1" s="1"/>
  <c r="AJ23" i="1"/>
  <c r="AA23" i="1"/>
  <c r="G23" i="1"/>
  <c r="F23" i="1"/>
  <c r="AQ22" i="1"/>
  <c r="AL22" i="1"/>
  <c r="AP22" i="1" s="1"/>
  <c r="AK22" i="1"/>
  <c r="AN22" i="1" s="1"/>
  <c r="AJ22" i="1"/>
  <c r="AA22" i="1"/>
  <c r="G22" i="1"/>
  <c r="F22" i="1"/>
  <c r="AQ21" i="1"/>
  <c r="AL21" i="1"/>
  <c r="AP21" i="1" s="1"/>
  <c r="AK21" i="1"/>
  <c r="AN21" i="1" s="1"/>
  <c r="AJ21" i="1"/>
  <c r="AA21" i="1"/>
  <c r="G21" i="1"/>
  <c r="F21" i="1"/>
  <c r="AQ20" i="1"/>
  <c r="AL20" i="1"/>
  <c r="AP20" i="1" s="1"/>
  <c r="AK20" i="1"/>
  <c r="AJ20" i="1"/>
  <c r="AA20" i="1"/>
  <c r="G20" i="1"/>
  <c r="F20" i="1"/>
  <c r="AQ19" i="1"/>
  <c r="AL19" i="1"/>
  <c r="AP19" i="1" s="1"/>
  <c r="AK19" i="1"/>
  <c r="AN19" i="1" s="1"/>
  <c r="AJ19" i="1"/>
  <c r="AA19" i="1"/>
  <c r="G19" i="1"/>
  <c r="F19" i="1"/>
  <c r="AQ18" i="1"/>
  <c r="AL18" i="1"/>
  <c r="AP18" i="1" s="1"/>
  <c r="AO18" i="1" s="1"/>
  <c r="AK18" i="1"/>
  <c r="AM18" i="1" s="1"/>
  <c r="AJ18" i="1"/>
  <c r="AA18" i="1"/>
  <c r="G18" i="1"/>
  <c r="F18" i="1"/>
  <c r="AQ17" i="1"/>
  <c r="AL17" i="1"/>
  <c r="AP17" i="1" s="1"/>
  <c r="AO17" i="1" s="1"/>
  <c r="V17" i="1" s="1"/>
  <c r="AK17" i="1"/>
  <c r="AM17" i="1" s="1"/>
  <c r="AJ17" i="1"/>
  <c r="AA17" i="1"/>
  <c r="G17" i="1"/>
  <c r="F17" i="1"/>
  <c r="AQ16" i="1"/>
  <c r="AL16" i="1"/>
  <c r="AP16" i="1" s="1"/>
  <c r="L16" i="1" s="1"/>
  <c r="AK16" i="1"/>
  <c r="AJ16" i="1"/>
  <c r="AA16" i="1"/>
  <c r="G16" i="1"/>
  <c r="F16" i="1"/>
  <c r="AQ15" i="1"/>
  <c r="AL15" i="1"/>
  <c r="AP15" i="1" s="1"/>
  <c r="AK15" i="1"/>
  <c r="AM15" i="1" s="1"/>
  <c r="AJ15" i="1"/>
  <c r="AA15" i="1"/>
  <c r="G15" i="1"/>
  <c r="F15" i="1"/>
  <c r="AQ14" i="1"/>
  <c r="AL14" i="1"/>
  <c r="AP14" i="1" s="1"/>
  <c r="AK14" i="1"/>
  <c r="AM14" i="1" s="1"/>
  <c r="AJ14" i="1"/>
  <c r="AA14" i="1"/>
  <c r="G14" i="1"/>
  <c r="F14" i="1"/>
  <c r="AQ13" i="1"/>
  <c r="AL13" i="1"/>
  <c r="AP13" i="1" s="1"/>
  <c r="L13" i="1" s="1"/>
  <c r="AK13" i="1"/>
  <c r="AN13" i="1" s="1"/>
  <c r="AJ13" i="1"/>
  <c r="AA13" i="1"/>
  <c r="G13" i="1"/>
  <c r="F13" i="1"/>
  <c r="AQ12" i="1"/>
  <c r="AL12" i="1"/>
  <c r="AP12" i="1" s="1"/>
  <c r="AK12" i="1"/>
  <c r="AM12" i="1" s="1"/>
  <c r="AJ12" i="1"/>
  <c r="AA12" i="1"/>
  <c r="G12" i="1"/>
  <c r="F12" i="1"/>
  <c r="AQ11" i="1"/>
  <c r="AL11" i="1"/>
  <c r="AP11" i="1" s="1"/>
  <c r="AK11" i="1"/>
  <c r="AN11" i="1" s="1"/>
  <c r="AJ11" i="1"/>
  <c r="AA11" i="1"/>
  <c r="G11" i="1"/>
  <c r="F11" i="1"/>
  <c r="AQ10" i="1"/>
  <c r="AL10" i="1"/>
  <c r="AP10" i="1" s="1"/>
  <c r="AK10" i="1"/>
  <c r="AN10" i="1" s="1"/>
  <c r="AJ10" i="1"/>
  <c r="AA10" i="1"/>
  <c r="G10" i="1"/>
  <c r="F10" i="1"/>
  <c r="AQ9" i="1"/>
  <c r="AL9" i="1"/>
  <c r="AP9" i="1" s="1"/>
  <c r="AK9" i="1"/>
  <c r="AM9" i="1" s="1"/>
  <c r="AJ9" i="1"/>
  <c r="AA9" i="1"/>
  <c r="G9" i="1"/>
  <c r="F9" i="1"/>
  <c r="AQ8" i="1"/>
  <c r="AL8" i="1"/>
  <c r="AP8" i="1" s="1"/>
  <c r="AK8" i="1"/>
  <c r="AM8" i="1" s="1"/>
  <c r="AJ8" i="1"/>
  <c r="AA8" i="1"/>
  <c r="G8" i="1"/>
  <c r="F8" i="1"/>
  <c r="AQ7" i="1"/>
  <c r="AL7" i="1"/>
  <c r="AP7" i="1" s="1"/>
  <c r="AO7" i="1" s="1"/>
  <c r="V7" i="1" s="1"/>
  <c r="AK7" i="1"/>
  <c r="AN7" i="1" s="1"/>
  <c r="AJ7" i="1"/>
  <c r="AA7" i="1"/>
  <c r="G7" i="1"/>
  <c r="F7" i="1"/>
  <c r="AQ6" i="1"/>
  <c r="AL6" i="1"/>
  <c r="AP6" i="1" s="1"/>
  <c r="AK6" i="1"/>
  <c r="AN6" i="1" s="1"/>
  <c r="AJ6" i="1"/>
  <c r="AA6" i="1"/>
  <c r="G6" i="1"/>
  <c r="F6" i="1"/>
  <c r="AQ5" i="1"/>
  <c r="AL5" i="1"/>
  <c r="AP5" i="1" s="1"/>
  <c r="AK5" i="1"/>
  <c r="AN5" i="1" s="1"/>
  <c r="AJ5" i="1"/>
  <c r="AA5" i="1"/>
  <c r="G5" i="1"/>
  <c r="F5" i="1"/>
  <c r="AQ4" i="1"/>
  <c r="AL4" i="1"/>
  <c r="AP4" i="1" s="1"/>
  <c r="AK4" i="1"/>
  <c r="AN4" i="1" s="1"/>
  <c r="AJ4" i="1"/>
  <c r="AA4" i="1"/>
  <c r="G4" i="1"/>
  <c r="F4" i="1"/>
  <c r="AQ3" i="1"/>
  <c r="AL3" i="1"/>
  <c r="AP3" i="1" s="1"/>
  <c r="AK3" i="1"/>
  <c r="AN3" i="1" s="1"/>
  <c r="AJ3" i="1"/>
  <c r="AA3" i="1"/>
  <c r="G3" i="1"/>
  <c r="F3" i="1"/>
  <c r="AQ2" i="1"/>
  <c r="AL2" i="1"/>
  <c r="AP2" i="1" s="1"/>
  <c r="AK2" i="1"/>
  <c r="AN2" i="1" s="1"/>
  <c r="AJ2" i="1"/>
  <c r="AA2" i="1"/>
  <c r="G2" i="1"/>
  <c r="F2" i="1"/>
  <c r="Q54" i="2" l="1"/>
  <c r="L65" i="1"/>
  <c r="AO65" i="1"/>
  <c r="U65" i="1" s="1"/>
  <c r="L69" i="1"/>
  <c r="AO69" i="1"/>
  <c r="V69" i="1" s="1"/>
  <c r="L67" i="1"/>
  <c r="AO67" i="1"/>
  <c r="AQ69" i="1"/>
  <c r="AO68" i="1"/>
  <c r="U68" i="1" s="1"/>
  <c r="AQ68" i="1"/>
  <c r="AQ67" i="1"/>
  <c r="AO66" i="1"/>
  <c r="V66" i="1" s="1"/>
  <c r="AQ66" i="1"/>
  <c r="AQ65" i="1"/>
  <c r="AO64" i="1"/>
  <c r="V64" i="1" s="1"/>
  <c r="K984" i="2"/>
  <c r="Q53" i="2"/>
  <c r="Q52" i="2"/>
  <c r="AO63" i="1"/>
  <c r="V63" i="1" s="1"/>
  <c r="Q51" i="2"/>
  <c r="Q50" i="2"/>
  <c r="L62" i="1"/>
  <c r="AQ62" i="1"/>
  <c r="AO62" i="1"/>
  <c r="V62" i="1" s="1"/>
  <c r="Q49" i="2"/>
  <c r="L60" i="1"/>
  <c r="AO60" i="1"/>
  <c r="V60" i="1" s="1"/>
  <c r="L59" i="1"/>
  <c r="AO59" i="1"/>
  <c r="U59" i="1" s="1"/>
  <c r="AO53" i="1"/>
  <c r="U53" i="1" s="1"/>
  <c r="AO61" i="1"/>
  <c r="V61" i="1" s="1"/>
  <c r="AQ59" i="1"/>
  <c r="L57" i="1"/>
  <c r="AO57" i="1"/>
  <c r="U57" i="1" s="1"/>
  <c r="L55" i="1"/>
  <c r="AO55" i="1"/>
  <c r="V55" i="1" s="1"/>
  <c r="AO58" i="1"/>
  <c r="U58" i="1" s="1"/>
  <c r="AO56" i="1"/>
  <c r="V56" i="1" s="1"/>
  <c r="AQ57" i="1"/>
  <c r="AQ55" i="1"/>
  <c r="AO54" i="1"/>
  <c r="U54" i="1" s="1"/>
  <c r="Q47" i="2"/>
  <c r="K826" i="2"/>
  <c r="L52" i="1"/>
  <c r="AO52" i="1"/>
  <c r="U52" i="1" s="1"/>
  <c r="AQ52" i="1"/>
  <c r="X149" i="1"/>
  <c r="Y149" i="1" s="1"/>
  <c r="P44" i="2"/>
  <c r="U70" i="1"/>
  <c r="W70" i="1" s="1"/>
  <c r="K224" i="2"/>
  <c r="K416" i="2"/>
  <c r="K520" i="2"/>
  <c r="K568" i="2"/>
  <c r="AM152" i="1"/>
  <c r="AN53" i="1"/>
  <c r="AQ53" i="1" s="1"/>
  <c r="AM37" i="1"/>
  <c r="V76" i="1"/>
  <c r="W76" i="1" s="1"/>
  <c r="V78" i="1"/>
  <c r="W78" i="1" s="1"/>
  <c r="P43" i="2"/>
  <c r="Q180" i="2"/>
  <c r="AM197" i="1"/>
  <c r="L43" i="1"/>
  <c r="X43" i="1" s="1"/>
  <c r="X158" i="1"/>
  <c r="Y158" i="1" s="1"/>
  <c r="V164" i="1"/>
  <c r="W164" i="1" s="1"/>
  <c r="K269" i="2"/>
  <c r="K665" i="2"/>
  <c r="X93" i="1"/>
  <c r="AE93" i="1" s="1"/>
  <c r="U194" i="1"/>
  <c r="W194" i="1" s="1"/>
  <c r="U123" i="1"/>
  <c r="W123" i="1" s="1"/>
  <c r="U133" i="1"/>
  <c r="W133" i="1" s="1"/>
  <c r="Q41" i="2"/>
  <c r="K294" i="2"/>
  <c r="X65" i="1"/>
  <c r="Y65" i="1" s="1"/>
  <c r="X67" i="1"/>
  <c r="Y67" i="1" s="1"/>
  <c r="L7" i="1"/>
  <c r="X7" i="1" s="1"/>
  <c r="AE7" i="1" s="1"/>
  <c r="X109" i="1"/>
  <c r="AE109" i="1" s="1"/>
  <c r="P315" i="2"/>
  <c r="U7" i="1"/>
  <c r="W7" i="1" s="1"/>
  <c r="U109" i="1"/>
  <c r="W109" i="1" s="1"/>
  <c r="K405" i="2"/>
  <c r="K561" i="2"/>
  <c r="K577" i="2"/>
  <c r="AM7" i="1"/>
  <c r="X135" i="1"/>
  <c r="Y135" i="1" s="1"/>
  <c r="X87" i="1"/>
  <c r="Y87" i="1" s="1"/>
  <c r="V165" i="1"/>
  <c r="W165" i="1" s="1"/>
  <c r="U181" i="1"/>
  <c r="W181" i="1" s="1"/>
  <c r="X198" i="1"/>
  <c r="Y198" i="1" s="1"/>
  <c r="K99" i="2"/>
  <c r="X96" i="1"/>
  <c r="Y96" i="1" s="1"/>
  <c r="X98" i="1"/>
  <c r="Y98" i="1" s="1"/>
  <c r="K734" i="2"/>
  <c r="K105" i="2"/>
  <c r="AM31" i="1"/>
  <c r="K763" i="2"/>
  <c r="AN12" i="1"/>
  <c r="AM26" i="1"/>
  <c r="AM72" i="1"/>
  <c r="AM93" i="1"/>
  <c r="X108" i="1"/>
  <c r="AE108" i="1" s="1"/>
  <c r="K154" i="2"/>
  <c r="AM87" i="1"/>
  <c r="AM146" i="1"/>
  <c r="AN63" i="1"/>
  <c r="AQ63" i="1" s="1"/>
  <c r="V111" i="1"/>
  <c r="W111" i="1" s="1"/>
  <c r="U149" i="1"/>
  <c r="W149" i="1" s="1"/>
  <c r="K374" i="2"/>
  <c r="AM160" i="1"/>
  <c r="U136" i="1"/>
  <c r="W136" i="1" s="1"/>
  <c r="AM183" i="1"/>
  <c r="AN88" i="1"/>
  <c r="X117" i="1"/>
  <c r="AE117" i="1" s="1"/>
  <c r="AN104" i="1"/>
  <c r="AN122" i="1"/>
  <c r="AM19" i="1"/>
  <c r="AM52" i="1"/>
  <c r="V96" i="1"/>
  <c r="W96" i="1" s="1"/>
  <c r="K836" i="2"/>
  <c r="V98" i="1"/>
  <c r="W98" i="1" s="1"/>
  <c r="V155" i="1"/>
  <c r="W155" i="1" s="1"/>
  <c r="AM106" i="1"/>
  <c r="AN163" i="1"/>
  <c r="AN32" i="1"/>
  <c r="U144" i="1"/>
  <c r="W144" i="1" s="1"/>
  <c r="V102" i="1"/>
  <c r="W102" i="1" s="1"/>
  <c r="U121" i="1"/>
  <c r="W121" i="1" s="1"/>
  <c r="AM10" i="1"/>
  <c r="X77" i="1"/>
  <c r="Y77" i="1" s="1"/>
  <c r="AM136" i="1"/>
  <c r="AM153" i="1"/>
  <c r="X171" i="1"/>
  <c r="AE171" i="1" s="1"/>
  <c r="V174" i="1"/>
  <c r="W174" i="1" s="1"/>
  <c r="X137" i="1"/>
  <c r="Y137" i="1" s="1"/>
  <c r="X114" i="1"/>
  <c r="AE114" i="1" s="1"/>
  <c r="X161" i="1"/>
  <c r="AE161" i="1" s="1"/>
  <c r="K917" i="2"/>
  <c r="X73" i="1"/>
  <c r="AE73" i="1" s="1"/>
  <c r="X130" i="1"/>
  <c r="Y130" i="1" s="1"/>
  <c r="X134" i="1"/>
  <c r="Y134" i="1" s="1"/>
  <c r="U161" i="1"/>
  <c r="W161" i="1" s="1"/>
  <c r="K188" i="2"/>
  <c r="K698" i="2"/>
  <c r="K722" i="2"/>
  <c r="X90" i="1"/>
  <c r="AE90" i="1" s="1"/>
  <c r="X95" i="1"/>
  <c r="Y95" i="1" s="1"/>
  <c r="V114" i="1"/>
  <c r="W114" i="1" s="1"/>
  <c r="X144" i="1"/>
  <c r="AE144" i="1" s="1"/>
  <c r="V150" i="1"/>
  <c r="W150" i="1" s="1"/>
  <c r="X153" i="1"/>
  <c r="AE153" i="1" s="1"/>
  <c r="X150" i="1"/>
  <c r="AE150" i="1" s="1"/>
  <c r="U71" i="1"/>
  <c r="W71" i="1" s="1"/>
  <c r="U103" i="1"/>
  <c r="W103" i="1" s="1"/>
  <c r="U152" i="1"/>
  <c r="W152" i="1" s="1"/>
  <c r="X155" i="1"/>
  <c r="Y155" i="1" s="1"/>
  <c r="X81" i="1"/>
  <c r="AE81" i="1" s="1"/>
  <c r="X70" i="1"/>
  <c r="AE70" i="1" s="1"/>
  <c r="X162" i="1"/>
  <c r="Y162" i="1" s="1"/>
  <c r="V116" i="1"/>
  <c r="W116" i="1" s="1"/>
  <c r="K814" i="2"/>
  <c r="V101" i="1"/>
  <c r="W101" i="1" s="1"/>
  <c r="X174" i="1"/>
  <c r="AE174" i="1" s="1"/>
  <c r="X176" i="1"/>
  <c r="AE176" i="1" s="1"/>
  <c r="X194" i="1"/>
  <c r="Y194" i="1" s="1"/>
  <c r="K145" i="2"/>
  <c r="K503" i="2"/>
  <c r="K351" i="2"/>
  <c r="K391" i="2"/>
  <c r="K431" i="2"/>
  <c r="K6" i="2"/>
  <c r="L6" i="2" s="1"/>
  <c r="M6" i="2" s="1"/>
  <c r="N6" i="2" s="1"/>
  <c r="K198" i="2"/>
  <c r="K305" i="2"/>
  <c r="K356" i="2"/>
  <c r="P198" i="2"/>
  <c r="K657" i="2"/>
  <c r="K246" i="2"/>
  <c r="P641" i="2"/>
  <c r="K733" i="2"/>
  <c r="K45" i="2"/>
  <c r="L45" i="2" s="1"/>
  <c r="M45" i="2" s="1"/>
  <c r="K160" i="2"/>
  <c r="K476" i="2"/>
  <c r="K219" i="2"/>
  <c r="K354" i="2"/>
  <c r="K552" i="2"/>
  <c r="P93" i="2"/>
  <c r="Q496" i="2"/>
  <c r="K14" i="2"/>
  <c r="L14" i="2" s="1"/>
  <c r="M14" i="2" s="1"/>
  <c r="N14" i="2" s="1"/>
  <c r="K104" i="2"/>
  <c r="Q552" i="2"/>
  <c r="K786" i="2"/>
  <c r="K90" i="2"/>
  <c r="K751" i="2"/>
  <c r="P211" i="2"/>
  <c r="K4" i="2"/>
  <c r="L4" i="2" s="1"/>
  <c r="M4" i="2" s="1"/>
  <c r="AO5" i="1"/>
  <c r="U5" i="1" s="1"/>
  <c r="L5" i="1"/>
  <c r="P242" i="2"/>
  <c r="Q242" i="2"/>
  <c r="Q605" i="2"/>
  <c r="P605" i="2"/>
  <c r="L19" i="1"/>
  <c r="AO19" i="1"/>
  <c r="V19" i="1" s="1"/>
  <c r="L6" i="1"/>
  <c r="AO6" i="1"/>
  <c r="V6" i="1" s="1"/>
  <c r="K412" i="2"/>
  <c r="AO39" i="1"/>
  <c r="V39" i="1" s="1"/>
  <c r="AM74" i="1"/>
  <c r="K149" i="2"/>
  <c r="K176" i="2"/>
  <c r="K242" i="2"/>
  <c r="K257" i="2"/>
  <c r="K358" i="2"/>
  <c r="K447" i="2"/>
  <c r="K545" i="2"/>
  <c r="K915" i="2"/>
  <c r="X92" i="1"/>
  <c r="AE92" i="1" s="1"/>
  <c r="AN162" i="1"/>
  <c r="AM173" i="1"/>
  <c r="K98" i="2"/>
  <c r="K180" i="2"/>
  <c r="Q249" i="2"/>
  <c r="P634" i="2"/>
  <c r="K939" i="2"/>
  <c r="K947" i="2"/>
  <c r="AM11" i="1"/>
  <c r="AM69" i="1"/>
  <c r="X112" i="1"/>
  <c r="Y112" i="1" s="1"/>
  <c r="V196" i="1"/>
  <c r="W196" i="1" s="1"/>
  <c r="K126" i="2"/>
  <c r="K192" i="2"/>
  <c r="K196" i="2"/>
  <c r="K285" i="2"/>
  <c r="K320" i="2"/>
  <c r="K498" i="2"/>
  <c r="K757" i="2"/>
  <c r="K792" i="2"/>
  <c r="K816" i="2"/>
  <c r="K824" i="2"/>
  <c r="K999" i="2"/>
  <c r="P18" i="2"/>
  <c r="K819" i="2"/>
  <c r="AN116" i="1"/>
  <c r="AN129" i="1"/>
  <c r="X196" i="1"/>
  <c r="Y196" i="1" s="1"/>
  <c r="AM200" i="1"/>
  <c r="K69" i="2"/>
  <c r="K123" i="2"/>
  <c r="K131" i="2"/>
  <c r="K329" i="2"/>
  <c r="P344" i="2"/>
  <c r="N367" i="2"/>
  <c r="Q390" i="2"/>
  <c r="AN82" i="1"/>
  <c r="AN154" i="1"/>
  <c r="U156" i="1"/>
  <c r="W156" i="1" s="1"/>
  <c r="K302" i="2"/>
  <c r="K671" i="2"/>
  <c r="K861" i="2"/>
  <c r="AM86" i="1"/>
  <c r="X100" i="1"/>
  <c r="Y100" i="1" s="1"/>
  <c r="AM118" i="1"/>
  <c r="Q22" i="2"/>
  <c r="Q628" i="2"/>
  <c r="K937" i="2"/>
  <c r="K957" i="2"/>
  <c r="K961" i="2"/>
  <c r="K367" i="2"/>
  <c r="X138" i="1"/>
  <c r="AE138" i="1" s="1"/>
  <c r="AM140" i="1"/>
  <c r="K789" i="2"/>
  <c r="K809" i="2"/>
  <c r="O356" i="2"/>
  <c r="P356" i="2" s="1"/>
  <c r="Q683" i="2"/>
  <c r="P893" i="2"/>
  <c r="K234" i="2"/>
  <c r="K560" i="2"/>
  <c r="AN182" i="1"/>
  <c r="X199" i="1"/>
  <c r="AE199" i="1" s="1"/>
  <c r="K204" i="2"/>
  <c r="K686" i="2"/>
  <c r="K781" i="2"/>
  <c r="K908" i="2"/>
  <c r="X152" i="1"/>
  <c r="AE152" i="1" s="1"/>
  <c r="K344" i="2"/>
  <c r="X89" i="1"/>
  <c r="AE89" i="1" s="1"/>
  <c r="AM33" i="1"/>
  <c r="V81" i="1"/>
  <c r="W81" i="1" s="1"/>
  <c r="V108" i="1"/>
  <c r="W108" i="1" s="1"/>
  <c r="X111" i="1"/>
  <c r="Y111" i="1" s="1"/>
  <c r="V124" i="1"/>
  <c r="W124" i="1" s="1"/>
  <c r="U153" i="1"/>
  <c r="W153" i="1" s="1"/>
  <c r="K36" i="2"/>
  <c r="L36" i="2" s="1"/>
  <c r="M36" i="2" s="1"/>
  <c r="N36" i="2" s="1"/>
  <c r="P73" i="2"/>
  <c r="K586" i="2"/>
  <c r="K173" i="2"/>
  <c r="X136" i="1"/>
  <c r="AE136" i="1" s="1"/>
  <c r="X159" i="1"/>
  <c r="Y159" i="1" s="1"/>
  <c r="K546" i="2"/>
  <c r="AM77" i="1"/>
  <c r="U90" i="1"/>
  <c r="W90" i="1" s="1"/>
  <c r="V128" i="1"/>
  <c r="W128" i="1" s="1"/>
  <c r="AM144" i="1"/>
  <c r="AN187" i="1"/>
  <c r="K17" i="2"/>
  <c r="L17" i="2" s="1"/>
  <c r="M17" i="2" s="1"/>
  <c r="N17" i="2" s="1"/>
  <c r="K66" i="2"/>
  <c r="K338" i="2"/>
  <c r="K668" i="2"/>
  <c r="U171" i="1"/>
  <c r="W171" i="1" s="1"/>
  <c r="X94" i="1"/>
  <c r="Y94" i="1" s="1"/>
  <c r="K706" i="2"/>
  <c r="AN14" i="1"/>
  <c r="K93" i="2"/>
  <c r="K260" i="2"/>
  <c r="K342" i="2"/>
  <c r="K450" i="2"/>
  <c r="K458" i="2"/>
  <c r="Q485" i="2"/>
  <c r="K637" i="2"/>
  <c r="P763" i="2"/>
  <c r="K783" i="2"/>
  <c r="AN99" i="1"/>
  <c r="K71" i="2"/>
  <c r="K172" i="2"/>
  <c r="AM62" i="1"/>
  <c r="K710" i="2"/>
  <c r="K21" i="2"/>
  <c r="L21" i="2" s="1"/>
  <c r="M21" i="2" s="1"/>
  <c r="N21" i="2" s="1"/>
  <c r="V92" i="1"/>
  <c r="W92" i="1" s="1"/>
  <c r="U141" i="1"/>
  <c r="W141" i="1" s="1"/>
  <c r="AN41" i="1"/>
  <c r="X104" i="1"/>
  <c r="Y104" i="1" s="1"/>
  <c r="X115" i="1"/>
  <c r="Y115" i="1" s="1"/>
  <c r="X160" i="1"/>
  <c r="AE160" i="1" s="1"/>
  <c r="U162" i="1"/>
  <c r="W162" i="1" s="1"/>
  <c r="P497" i="2"/>
  <c r="Q497" i="2"/>
  <c r="L27" i="1"/>
  <c r="AO27" i="1"/>
  <c r="V27" i="1" s="1"/>
  <c r="U40" i="1"/>
  <c r="V40" i="1"/>
  <c r="P236" i="2"/>
  <c r="Q236" i="2"/>
  <c r="Q848" i="2"/>
  <c r="P848" i="2"/>
  <c r="L11" i="1"/>
  <c r="AO11" i="1"/>
  <c r="U11" i="1" s="1"/>
  <c r="P680" i="2"/>
  <c r="Q680" i="2"/>
  <c r="L21" i="1"/>
  <c r="AO21" i="1"/>
  <c r="L15" i="1"/>
  <c r="AO15" i="1"/>
  <c r="U15" i="1" s="1"/>
  <c r="L20" i="1"/>
  <c r="AO20" i="1"/>
  <c r="AN193" i="1"/>
  <c r="AM193" i="1"/>
  <c r="K41" i="2"/>
  <c r="L41" i="2" s="1"/>
  <c r="M41" i="2" s="1"/>
  <c r="K159" i="2"/>
  <c r="AN58" i="1"/>
  <c r="AQ58" i="1" s="1"/>
  <c r="AN65" i="1"/>
  <c r="AM65" i="1"/>
  <c r="V115" i="1"/>
  <c r="U115" i="1"/>
  <c r="AM143" i="1"/>
  <c r="X173" i="1"/>
  <c r="AE173" i="1" s="1"/>
  <c r="X200" i="1"/>
  <c r="AE200" i="1" s="1"/>
  <c r="K49" i="2"/>
  <c r="L49" i="2" s="1"/>
  <c r="M49" i="2" s="1"/>
  <c r="K167" i="2"/>
  <c r="K299" i="2"/>
  <c r="K333" i="2"/>
  <c r="P337" i="2"/>
  <c r="Q337" i="2"/>
  <c r="P450" i="2"/>
  <c r="Q450" i="2"/>
  <c r="P648" i="2"/>
  <c r="Q648" i="2"/>
  <c r="Q725" i="2"/>
  <c r="K787" i="2"/>
  <c r="AN15" i="1"/>
  <c r="AM67" i="1"/>
  <c r="AN67" i="1"/>
  <c r="X79" i="1"/>
  <c r="AE79" i="1" s="1"/>
  <c r="AM112" i="1"/>
  <c r="AM156" i="1"/>
  <c r="V170" i="1"/>
  <c r="U170" i="1"/>
  <c r="K35" i="2"/>
  <c r="L35" i="2" s="1"/>
  <c r="M35" i="2" s="1"/>
  <c r="N35" i="2" s="1"/>
  <c r="P420" i="2"/>
  <c r="K580" i="2"/>
  <c r="K603" i="2"/>
  <c r="O603" i="2"/>
  <c r="P603" i="2" s="1"/>
  <c r="P625" i="2"/>
  <c r="L41" i="1"/>
  <c r="AO41" i="1"/>
  <c r="U41" i="1" s="1"/>
  <c r="AM126" i="1"/>
  <c r="U130" i="1"/>
  <c r="W130" i="1" s="1"/>
  <c r="V143" i="1"/>
  <c r="U143" i="1"/>
  <c r="X170" i="1"/>
  <c r="AE170" i="1" s="1"/>
  <c r="AM175" i="1"/>
  <c r="AM184" i="1"/>
  <c r="K186" i="2"/>
  <c r="O186" i="2"/>
  <c r="Q186" i="2" s="1"/>
  <c r="K272" i="2"/>
  <c r="P333" i="2"/>
  <c r="K378" i="2"/>
  <c r="O568" i="2"/>
  <c r="P568" i="2" s="1"/>
  <c r="K591" i="2"/>
  <c r="K610" i="2"/>
  <c r="O733" i="2"/>
  <c r="Q733" i="2" s="1"/>
  <c r="K737" i="2"/>
  <c r="P760" i="2"/>
  <c r="K815" i="2"/>
  <c r="Q999" i="2"/>
  <c r="P999" i="2"/>
  <c r="AN27" i="1"/>
  <c r="AM27" i="1"/>
  <c r="U112" i="1"/>
  <c r="V112" i="1"/>
  <c r="U138" i="1"/>
  <c r="V138" i="1"/>
  <c r="X143" i="1"/>
  <c r="AE143" i="1" s="1"/>
  <c r="X175" i="1"/>
  <c r="Y175" i="1" s="1"/>
  <c r="AN188" i="1"/>
  <c r="AM188" i="1"/>
  <c r="K144" i="2"/>
  <c r="K284" i="2"/>
  <c r="K303" i="2"/>
  <c r="K311" i="2"/>
  <c r="Q374" i="2"/>
  <c r="K550" i="2"/>
  <c r="O722" i="2"/>
  <c r="Q722" i="2" s="1"/>
  <c r="K780" i="2"/>
  <c r="P799" i="2"/>
  <c r="AN20" i="1"/>
  <c r="AM20" i="1"/>
  <c r="AM83" i="1"/>
  <c r="X74" i="1"/>
  <c r="AE74" i="1" s="1"/>
  <c r="AN90" i="1"/>
  <c r="AM90" i="1"/>
  <c r="X107" i="1"/>
  <c r="AE107" i="1" s="1"/>
  <c r="AM114" i="1"/>
  <c r="AN145" i="1"/>
  <c r="L40" i="1"/>
  <c r="X40" i="1" s="1"/>
  <c r="Y40" i="1" s="1"/>
  <c r="AN44" i="1"/>
  <c r="AO49" i="1"/>
  <c r="X49" i="1" s="1"/>
  <c r="AN57" i="1"/>
  <c r="AM57" i="1"/>
  <c r="AN64" i="1"/>
  <c r="AQ64" i="1" s="1"/>
  <c r="V73" i="1"/>
  <c r="W73" i="1" s="1"/>
  <c r="U104" i="1"/>
  <c r="W104" i="1" s="1"/>
  <c r="AM142" i="1"/>
  <c r="K262" i="2"/>
  <c r="K547" i="2"/>
  <c r="O547" i="2"/>
  <c r="P547" i="2" s="1"/>
  <c r="AM132" i="1"/>
  <c r="O99" i="2"/>
  <c r="K855" i="2"/>
  <c r="O984" i="2"/>
  <c r="Q984" i="2" s="1"/>
  <c r="X78" i="1"/>
  <c r="Y78" i="1" s="1"/>
  <c r="AM92" i="1"/>
  <c r="AN102" i="1"/>
  <c r="V134" i="1"/>
  <c r="W134" i="1" s="1"/>
  <c r="U159" i="1"/>
  <c r="W159" i="1" s="1"/>
  <c r="X165" i="1"/>
  <c r="AE165" i="1" s="1"/>
  <c r="AM167" i="1"/>
  <c r="V192" i="1"/>
  <c r="U192" i="1"/>
  <c r="K92" i="2"/>
  <c r="K103" i="2"/>
  <c r="K456" i="2"/>
  <c r="K509" i="2"/>
  <c r="K627" i="2"/>
  <c r="K669" i="2"/>
  <c r="K688" i="2"/>
  <c r="K906" i="2"/>
  <c r="O957" i="2"/>
  <c r="P957" i="2" s="1"/>
  <c r="V84" i="1"/>
  <c r="U84" i="1"/>
  <c r="K300" i="2"/>
  <c r="P367" i="2"/>
  <c r="X172" i="1"/>
  <c r="AE172" i="1" s="1"/>
  <c r="AM199" i="1"/>
  <c r="K236" i="2"/>
  <c r="O269" i="2"/>
  <c r="P269" i="2" s="1"/>
  <c r="K539" i="2"/>
  <c r="K680" i="2"/>
  <c r="O917" i="2"/>
  <c r="Q917" i="2" s="1"/>
  <c r="P964" i="2"/>
  <c r="K266" i="2"/>
  <c r="K312" i="2"/>
  <c r="O312" i="2"/>
  <c r="P312" i="2" s="1"/>
  <c r="Q331" i="2"/>
  <c r="P331" i="2"/>
  <c r="K418" i="2"/>
  <c r="O418" i="2"/>
  <c r="K543" i="2"/>
  <c r="Q785" i="2"/>
  <c r="P785" i="2"/>
  <c r="AN192" i="1"/>
  <c r="K297" i="2"/>
  <c r="O297" i="2"/>
  <c r="K727" i="2"/>
  <c r="Q953" i="2"/>
  <c r="AO16" i="1"/>
  <c r="V16" i="1" s="1"/>
  <c r="AM42" i="1"/>
  <c r="AM137" i="1"/>
  <c r="U189" i="1"/>
  <c r="W189" i="1" s="1"/>
  <c r="O126" i="2"/>
  <c r="Q126" i="2" s="1"/>
  <c r="Q134" i="2"/>
  <c r="P134" i="2"/>
  <c r="K247" i="2"/>
  <c r="K270" i="2"/>
  <c r="K335" i="2"/>
  <c r="K361" i="2"/>
  <c r="K460" i="2"/>
  <c r="K513" i="2"/>
  <c r="K673" i="2"/>
  <c r="K677" i="2"/>
  <c r="K875" i="2"/>
  <c r="K879" i="2"/>
  <c r="K926" i="2"/>
  <c r="V173" i="1"/>
  <c r="U173" i="1"/>
  <c r="P370" i="2"/>
  <c r="Q370" i="2"/>
  <c r="K389" i="2"/>
  <c r="K587" i="2"/>
  <c r="V195" i="1"/>
  <c r="U195" i="1"/>
  <c r="P46" i="2"/>
  <c r="Q46" i="2"/>
  <c r="K387" i="2"/>
  <c r="O387" i="2"/>
  <c r="Q387" i="2" s="1"/>
  <c r="K497" i="2"/>
  <c r="Q531" i="2"/>
  <c r="K661" i="2"/>
  <c r="O734" i="2"/>
  <c r="P734" i="2" s="1"/>
  <c r="AM16" i="1"/>
  <c r="AN16" i="1"/>
  <c r="AM194" i="1"/>
  <c r="K233" i="2"/>
  <c r="Q346" i="2"/>
  <c r="K468" i="2"/>
  <c r="K620" i="2"/>
  <c r="K631" i="2"/>
  <c r="AN96" i="1"/>
  <c r="AM96" i="1"/>
  <c r="Q427" i="2"/>
  <c r="AN17" i="1"/>
  <c r="Q272" i="2"/>
  <c r="K508" i="2"/>
  <c r="X140" i="1"/>
  <c r="AE140" i="1" s="1"/>
  <c r="AN172" i="1"/>
  <c r="K110" i="2"/>
  <c r="K467" i="2"/>
  <c r="Q515" i="2"/>
  <c r="Q600" i="2"/>
  <c r="P600" i="2"/>
  <c r="K707" i="2"/>
  <c r="K719" i="2"/>
  <c r="AM2" i="1"/>
  <c r="Q421" i="2"/>
  <c r="K754" i="2"/>
  <c r="AN80" i="1"/>
  <c r="AM80" i="1"/>
  <c r="L45" i="1"/>
  <c r="X45" i="1" s="1"/>
  <c r="AO28" i="1"/>
  <c r="V28" i="1" s="1"/>
  <c r="U191" i="1"/>
  <c r="W191" i="1" s="1"/>
  <c r="AN196" i="1"/>
  <c r="AM196" i="1"/>
  <c r="K55" i="2"/>
  <c r="L55" i="2" s="1"/>
  <c r="M55" i="2" s="1"/>
  <c r="K74" i="2"/>
  <c r="K85" i="2"/>
  <c r="Q123" i="2"/>
  <c r="P123" i="2"/>
  <c r="Q210" i="2"/>
  <c r="P361" i="2"/>
  <c r="K441" i="2"/>
  <c r="K821" i="2"/>
  <c r="K829" i="2"/>
  <c r="K887" i="2"/>
  <c r="V200" i="1"/>
  <c r="U200" i="1"/>
  <c r="P164" i="2"/>
  <c r="Q164" i="2"/>
  <c r="L37" i="1"/>
  <c r="AO37" i="1"/>
  <c r="V37" i="1" s="1"/>
  <c r="V140" i="1"/>
  <c r="U140" i="1"/>
  <c r="P194" i="2"/>
  <c r="Q194" i="2"/>
  <c r="Q436" i="2"/>
  <c r="P436" i="2"/>
  <c r="Q565" i="2"/>
  <c r="K687" i="2"/>
  <c r="K695" i="2"/>
  <c r="K699" i="2"/>
  <c r="AO38" i="1"/>
  <c r="V38" i="1" s="1"/>
  <c r="AN75" i="1"/>
  <c r="AM75" i="1"/>
  <c r="X131" i="1"/>
  <c r="Y131" i="1" s="1"/>
  <c r="X180" i="1"/>
  <c r="Y180" i="1" s="1"/>
  <c r="V180" i="1"/>
  <c r="U180" i="1"/>
  <c r="K44" i="2"/>
  <c r="L44" i="2" s="1"/>
  <c r="M44" i="2" s="1"/>
  <c r="P104" i="2"/>
  <c r="Q104" i="2"/>
  <c r="Q169" i="2"/>
  <c r="O354" i="2"/>
  <c r="Q354" i="2" s="1"/>
  <c r="Q631" i="2"/>
  <c r="K895" i="2"/>
  <c r="Q3" i="2"/>
  <c r="L12" i="1"/>
  <c r="AO12" i="1"/>
  <c r="V12" i="1" s="1"/>
  <c r="AN45" i="1"/>
  <c r="AM45" i="1"/>
  <c r="AN54" i="1"/>
  <c r="AM54" i="1"/>
  <c r="V79" i="1"/>
  <c r="W79" i="1" s="1"/>
  <c r="P74" i="2"/>
  <c r="P112" i="2"/>
  <c r="Q112" i="2"/>
  <c r="O188" i="2"/>
  <c r="Q659" i="2"/>
  <c r="P659" i="2"/>
  <c r="AO33" i="1"/>
  <c r="V33" i="1" s="1"/>
  <c r="L50" i="1"/>
  <c r="AO50" i="1"/>
  <c r="V50" i="1" s="1"/>
  <c r="V89" i="1"/>
  <c r="U89" i="1"/>
  <c r="U118" i="1"/>
  <c r="V118" i="1"/>
  <c r="V184" i="1"/>
  <c r="W184" i="1" s="1"/>
  <c r="Q44" i="2"/>
  <c r="K82" i="2"/>
  <c r="K177" i="2"/>
  <c r="P207" i="2"/>
  <c r="K427" i="2"/>
  <c r="K438" i="2"/>
  <c r="O476" i="2"/>
  <c r="K598" i="2"/>
  <c r="K628" i="2"/>
  <c r="K651" i="2"/>
  <c r="AO31" i="1"/>
  <c r="U31" i="1" s="1"/>
  <c r="X184" i="1"/>
  <c r="AE184" i="1" s="1"/>
  <c r="X189" i="1"/>
  <c r="Y189" i="1" s="1"/>
  <c r="K200" i="2"/>
  <c r="K625" i="2"/>
  <c r="K810" i="2"/>
  <c r="K182" i="2"/>
  <c r="K308" i="2"/>
  <c r="K487" i="2"/>
  <c r="K562" i="2"/>
  <c r="K689" i="2"/>
  <c r="K716" i="2"/>
  <c r="K857" i="2"/>
  <c r="K899" i="2"/>
  <c r="K938" i="2"/>
  <c r="K134" i="2"/>
  <c r="K373" i="2"/>
  <c r="K469" i="2"/>
  <c r="K648" i="2"/>
  <c r="K739" i="2"/>
  <c r="K796" i="2"/>
  <c r="K919" i="2"/>
  <c r="X80" i="1"/>
  <c r="Y80" i="1" s="1"/>
  <c r="X164" i="1"/>
  <c r="Y164" i="1" s="1"/>
  <c r="K120" i="2"/>
  <c r="P219" i="2"/>
  <c r="K227" i="2"/>
  <c r="Q230" i="2"/>
  <c r="Q241" i="2"/>
  <c r="K491" i="2"/>
  <c r="K559" i="2"/>
  <c r="K607" i="2"/>
  <c r="Q861" i="2"/>
  <c r="K865" i="2"/>
  <c r="K888" i="2"/>
  <c r="AM113" i="1"/>
  <c r="AM158" i="1"/>
  <c r="AM198" i="1"/>
  <c r="K31" i="2"/>
  <c r="L31" i="2" s="1"/>
  <c r="M31" i="2" s="1"/>
  <c r="N31" i="2" s="1"/>
  <c r="K50" i="2"/>
  <c r="L50" i="2" s="1"/>
  <c r="M50" i="2" s="1"/>
  <c r="N50" i="2" s="1"/>
  <c r="K331" i="2"/>
  <c r="K370" i="2"/>
  <c r="K388" i="2"/>
  <c r="K466" i="2"/>
  <c r="K525" i="2"/>
  <c r="K633" i="2"/>
  <c r="K682" i="2"/>
  <c r="K713" i="2"/>
  <c r="K839" i="2"/>
  <c r="K146" i="2"/>
  <c r="K194" i="2"/>
  <c r="K363" i="2"/>
  <c r="K415" i="2"/>
  <c r="O458" i="2"/>
  <c r="Q458" i="2" s="1"/>
  <c r="K728" i="2"/>
  <c r="O751" i="2"/>
  <c r="Q751" i="2" s="1"/>
  <c r="X133" i="1"/>
  <c r="AE133" i="1" s="1"/>
  <c r="Q105" i="2"/>
  <c r="K268" i="2"/>
  <c r="O294" i="2"/>
  <c r="Q294" i="2" s="1"/>
  <c r="K328" i="2"/>
  <c r="K377" i="2"/>
  <c r="K385" i="2"/>
  <c r="K392" i="2"/>
  <c r="K488" i="2"/>
  <c r="K533" i="2"/>
  <c r="K563" i="2"/>
  <c r="P626" i="2"/>
  <c r="K916" i="2"/>
  <c r="O935" i="2"/>
  <c r="Q935" i="2" s="1"/>
  <c r="X75" i="1"/>
  <c r="Y75" i="1" s="1"/>
  <c r="AM149" i="1"/>
  <c r="AM155" i="1"/>
  <c r="AM168" i="1"/>
  <c r="K73" i="2"/>
  <c r="K150" i="2"/>
  <c r="K158" i="2"/>
  <c r="K220" i="2"/>
  <c r="P455" i="2"/>
  <c r="Q770" i="2"/>
  <c r="O816" i="2"/>
  <c r="Q816" i="2" s="1"/>
  <c r="K924" i="2"/>
  <c r="AM110" i="1"/>
  <c r="X103" i="1"/>
  <c r="Y103" i="1" s="1"/>
  <c r="AM130" i="1"/>
  <c r="K88" i="2"/>
  <c r="K228" i="2"/>
  <c r="K239" i="2"/>
  <c r="K249" i="2"/>
  <c r="K298" i="2"/>
  <c r="K430" i="2"/>
  <c r="K470" i="2"/>
  <c r="K485" i="2"/>
  <c r="K507" i="2"/>
  <c r="K518" i="2"/>
  <c r="K567" i="2"/>
  <c r="K653" i="2"/>
  <c r="AR26" i="1"/>
  <c r="X169" i="1"/>
  <c r="N330" i="2"/>
  <c r="N634" i="2"/>
  <c r="X85" i="1"/>
  <c r="Y85" i="1" s="1"/>
  <c r="X105" i="1"/>
  <c r="Y105" i="1" s="1"/>
  <c r="X177" i="1"/>
  <c r="Y177" i="1" s="1"/>
  <c r="X145" i="1"/>
  <c r="Y145" i="1" s="1"/>
  <c r="M574" i="2"/>
  <c r="N574" i="2" s="1"/>
  <c r="N404" i="2"/>
  <c r="M536" i="2"/>
  <c r="N536" i="2" s="1"/>
  <c r="N693" i="2"/>
  <c r="M733" i="2"/>
  <c r="N733" i="2" s="1"/>
  <c r="N660" i="2"/>
  <c r="X168" i="1"/>
  <c r="X195" i="1"/>
  <c r="Y195" i="1" s="1"/>
  <c r="M98" i="2"/>
  <c r="N98" i="2" s="1"/>
  <c r="U142" i="1"/>
  <c r="W142" i="1" s="1"/>
  <c r="U146" i="1"/>
  <c r="W146" i="1" s="1"/>
  <c r="U69" i="1"/>
  <c r="W69" i="1" s="1"/>
  <c r="V72" i="1"/>
  <c r="W72" i="1" s="1"/>
  <c r="U80" i="1"/>
  <c r="U83" i="1"/>
  <c r="W83" i="1" s="1"/>
  <c r="X84" i="1"/>
  <c r="AE84" i="1" s="1"/>
  <c r="U100" i="1"/>
  <c r="V120" i="1"/>
  <c r="W120" i="1" s="1"/>
  <c r="X127" i="1"/>
  <c r="AE127" i="1" s="1"/>
  <c r="V169" i="1"/>
  <c r="W169" i="1" s="1"/>
  <c r="X181" i="1"/>
  <c r="AE181" i="1" s="1"/>
  <c r="X190" i="1"/>
  <c r="Q33" i="2"/>
  <c r="M515" i="2"/>
  <c r="N515" i="2" s="1"/>
  <c r="M550" i="2"/>
  <c r="N550" i="2" s="1"/>
  <c r="X72" i="1"/>
  <c r="AE72" i="1" s="1"/>
  <c r="N463" i="2"/>
  <c r="X91" i="1"/>
  <c r="AE91" i="1" s="1"/>
  <c r="N492" i="2"/>
  <c r="N816" i="2"/>
  <c r="N988" i="2"/>
  <c r="N85" i="2"/>
  <c r="N658" i="2"/>
  <c r="X120" i="1"/>
  <c r="U172" i="1"/>
  <c r="U190" i="1"/>
  <c r="W190" i="1" s="1"/>
  <c r="U193" i="1"/>
  <c r="W193" i="1" s="1"/>
  <c r="P3" i="2"/>
  <c r="N229" i="2"/>
  <c r="K332" i="2"/>
  <c r="N875" i="2"/>
  <c r="K1001" i="2"/>
  <c r="X148" i="1"/>
  <c r="AE148" i="1" s="1"/>
  <c r="X193" i="1"/>
  <c r="Y193" i="1" s="1"/>
  <c r="X88" i="1"/>
  <c r="AE88" i="1" s="1"/>
  <c r="N357" i="2"/>
  <c r="N143" i="2"/>
  <c r="M164" i="2"/>
  <c r="N164" i="2" s="1"/>
  <c r="N344" i="2"/>
  <c r="X68" i="1"/>
  <c r="AE68" i="1" s="1"/>
  <c r="X71" i="1"/>
  <c r="Y71" i="1" s="1"/>
  <c r="N511" i="2"/>
  <c r="X142" i="1"/>
  <c r="AE142" i="1" s="1"/>
  <c r="V80" i="1"/>
  <c r="V100" i="1"/>
  <c r="X101" i="1"/>
  <c r="AE101" i="1" s="1"/>
  <c r="V172" i="1"/>
  <c r="K106" i="2"/>
  <c r="N387" i="2"/>
  <c r="N547" i="2"/>
  <c r="K576" i="2"/>
  <c r="K709" i="2"/>
  <c r="X83" i="1"/>
  <c r="Y83" i="1" s="1"/>
  <c r="N826" i="2"/>
  <c r="M485" i="2"/>
  <c r="N485" i="2" s="1"/>
  <c r="N663" i="2"/>
  <c r="N259" i="2"/>
  <c r="X76" i="1"/>
  <c r="Y76" i="1" s="1"/>
  <c r="X128" i="1"/>
  <c r="X197" i="1"/>
  <c r="AE197" i="1" s="1"/>
  <c r="U135" i="1"/>
  <c r="U160" i="1"/>
  <c r="X191" i="1"/>
  <c r="K34" i="2"/>
  <c r="L34" i="2" s="1"/>
  <c r="M34" i="2" s="1"/>
  <c r="N34" i="2" s="1"/>
  <c r="N531" i="2"/>
  <c r="X102" i="1"/>
  <c r="Y102" i="1" s="1"/>
  <c r="X192" i="1"/>
  <c r="Y192" i="1" s="1"/>
  <c r="M182" i="2"/>
  <c r="N182" i="2" s="1"/>
  <c r="X69" i="1"/>
  <c r="AE69" i="1" s="1"/>
  <c r="X118" i="1"/>
  <c r="AE118" i="1" s="1"/>
  <c r="X121" i="1"/>
  <c r="AE121" i="1" s="1"/>
  <c r="X97" i="1"/>
  <c r="Y97" i="1" s="1"/>
  <c r="X110" i="1"/>
  <c r="V135" i="1"/>
  <c r="U145" i="1"/>
  <c r="W145" i="1" s="1"/>
  <c r="V160" i="1"/>
  <c r="X166" i="1"/>
  <c r="Y166" i="1" s="1"/>
  <c r="X201" i="1"/>
  <c r="AE201" i="1" s="1"/>
  <c r="M134" i="2"/>
  <c r="N134" i="2" s="1"/>
  <c r="K274" i="2"/>
  <c r="N339" i="2"/>
  <c r="N402" i="2"/>
  <c r="K459" i="2"/>
  <c r="K745" i="2"/>
  <c r="M872" i="2"/>
  <c r="N872" i="2" s="1"/>
  <c r="K944" i="2"/>
  <c r="N742" i="2"/>
  <c r="K18" i="2"/>
  <c r="L18" i="2" s="1"/>
  <c r="M18" i="2" s="1"/>
  <c r="N18" i="2" s="1"/>
  <c r="N269" i="2"/>
  <c r="V74" i="1"/>
  <c r="W74" i="1" s="1"/>
  <c r="U85" i="1"/>
  <c r="W85" i="1" s="1"/>
  <c r="U91" i="1"/>
  <c r="W91" i="1" s="1"/>
  <c r="U110" i="1"/>
  <c r="W110" i="1" s="1"/>
  <c r="X113" i="1"/>
  <c r="AE113" i="1" s="1"/>
  <c r="V119" i="1"/>
  <c r="W119" i="1" s="1"/>
  <c r="X132" i="1"/>
  <c r="Y132" i="1" s="1"/>
  <c r="X151" i="1"/>
  <c r="AE151" i="1" s="1"/>
  <c r="X157" i="1"/>
  <c r="AE157" i="1" s="1"/>
  <c r="U166" i="1"/>
  <c r="W166" i="1" s="1"/>
  <c r="U201" i="1"/>
  <c r="W201" i="1" s="1"/>
  <c r="Q28" i="2"/>
  <c r="K124" i="2"/>
  <c r="N243" i="2"/>
  <c r="K282" i="2"/>
  <c r="N346" i="2"/>
  <c r="N580" i="2"/>
  <c r="K724" i="2"/>
  <c r="K837" i="2"/>
  <c r="K844" i="2"/>
  <c r="K848" i="2"/>
  <c r="N975" i="2"/>
  <c r="N149" i="2"/>
  <c r="X122" i="1"/>
  <c r="Y122" i="1" s="1"/>
  <c r="N524" i="2"/>
  <c r="V94" i="1"/>
  <c r="W94" i="1" s="1"/>
  <c r="U105" i="1"/>
  <c r="W105" i="1" s="1"/>
  <c r="X116" i="1"/>
  <c r="X119" i="1"/>
  <c r="X141" i="1"/>
  <c r="AE141" i="1" s="1"/>
  <c r="U151" i="1"/>
  <c r="W151" i="1" s="1"/>
  <c r="K11" i="2"/>
  <c r="L11" i="2" s="1"/>
  <c r="M11" i="2" s="1"/>
  <c r="N11" i="2" s="1"/>
  <c r="K80" i="2"/>
  <c r="K170" i="2"/>
  <c r="K237" i="2"/>
  <c r="N315" i="2"/>
  <c r="K350" i="2"/>
  <c r="K463" i="2"/>
  <c r="K609" i="2"/>
  <c r="K804" i="2"/>
  <c r="K964" i="2"/>
  <c r="Q244" i="2"/>
  <c r="P244" i="2"/>
  <c r="Q407" i="2"/>
  <c r="P407" i="2"/>
  <c r="Q255" i="2"/>
  <c r="P255" i="2"/>
  <c r="Q298" i="2"/>
  <c r="P298" i="2"/>
  <c r="Q67" i="2"/>
  <c r="P67" i="2"/>
  <c r="P108" i="2"/>
  <c r="Q108" i="2"/>
  <c r="Q119" i="2"/>
  <c r="P119" i="2"/>
  <c r="Q199" i="2"/>
  <c r="P199" i="2"/>
  <c r="Q217" i="2"/>
  <c r="P217" i="2"/>
  <c r="P92" i="2"/>
  <c r="Q92" i="2"/>
  <c r="P744" i="2"/>
  <c r="Q744" i="2"/>
  <c r="Q445" i="2"/>
  <c r="P445" i="2"/>
  <c r="P537" i="2"/>
  <c r="Q537" i="2"/>
  <c r="Q229" i="2"/>
  <c r="P229" i="2"/>
  <c r="Q273" i="2"/>
  <c r="P273" i="2"/>
  <c r="P376" i="2"/>
  <c r="Q376" i="2"/>
  <c r="Q253" i="2"/>
  <c r="P253" i="2"/>
  <c r="Q110" i="2"/>
  <c r="P110" i="2"/>
  <c r="Q257" i="2"/>
  <c r="P257" i="2"/>
  <c r="P163" i="2"/>
  <c r="Q163" i="2"/>
  <c r="Q271" i="2"/>
  <c r="P271" i="2"/>
  <c r="P410" i="2"/>
  <c r="Q410" i="2"/>
  <c r="K119" i="2"/>
  <c r="Q121" i="2"/>
  <c r="K127" i="2"/>
  <c r="K141" i="2"/>
  <c r="P162" i="2"/>
  <c r="N180" i="2"/>
  <c r="O190" i="2"/>
  <c r="K190" i="2"/>
  <c r="K231" i="2"/>
  <c r="Q240" i="2"/>
  <c r="N267" i="2"/>
  <c r="M281" i="2"/>
  <c r="N281" i="2" s="1"/>
  <c r="O284" i="2"/>
  <c r="Q284" i="2" s="1"/>
  <c r="O395" i="2"/>
  <c r="P395" i="2" s="1"/>
  <c r="K395" i="2"/>
  <c r="N421" i="2"/>
  <c r="O556" i="2"/>
  <c r="Q556" i="2" s="1"/>
  <c r="K556" i="2"/>
  <c r="P566" i="2"/>
  <c r="Q566" i="2"/>
  <c r="P572" i="2"/>
  <c r="P620" i="2"/>
  <c r="Q627" i="2"/>
  <c r="P627" i="2"/>
  <c r="N654" i="2"/>
  <c r="K658" i="2"/>
  <c r="O658" i="2"/>
  <c r="P658" i="2" s="1"/>
  <c r="Q717" i="2"/>
  <c r="P717" i="2"/>
  <c r="M720" i="2"/>
  <c r="N720" i="2" s="1"/>
  <c r="K744" i="2"/>
  <c r="K761" i="2"/>
  <c r="O761" i="2"/>
  <c r="Q761" i="2" s="1"/>
  <c r="K817" i="2"/>
  <c r="O817" i="2"/>
  <c r="Q879" i="2"/>
  <c r="M946" i="2"/>
  <c r="N946" i="2" s="1"/>
  <c r="O64" i="2"/>
  <c r="Q64" i="2" s="1"/>
  <c r="K64" i="2"/>
  <c r="K83" i="2"/>
  <c r="K89" i="2"/>
  <c r="K138" i="2"/>
  <c r="K168" i="2"/>
  <c r="O168" i="2"/>
  <c r="Q228" i="2"/>
  <c r="K252" i="2"/>
  <c r="O261" i="2"/>
  <c r="P261" i="2" s="1"/>
  <c r="K261" i="2"/>
  <c r="P307" i="2"/>
  <c r="Q320" i="2"/>
  <c r="P320" i="2"/>
  <c r="K347" i="2"/>
  <c r="Q431" i="2"/>
  <c r="K474" i="2"/>
  <c r="P513" i="2"/>
  <c r="K516" i="2"/>
  <c r="O519" i="2"/>
  <c r="P519" i="2" s="1"/>
  <c r="K519" i="2"/>
  <c r="Q569" i="2"/>
  <c r="P569" i="2"/>
  <c r="K624" i="2"/>
  <c r="N692" i="2"/>
  <c r="N744" i="2"/>
  <c r="Q765" i="2"/>
  <c r="P765" i="2"/>
  <c r="N876" i="2"/>
  <c r="K928" i="2"/>
  <c r="P63" i="2"/>
  <c r="K362" i="2"/>
  <c r="P703" i="2"/>
  <c r="Q703" i="2"/>
  <c r="O814" i="2"/>
  <c r="P859" i="2"/>
  <c r="Q859" i="2"/>
  <c r="K61" i="2"/>
  <c r="O61" i="2"/>
  <c r="Q61" i="2" s="1"/>
  <c r="Q251" i="2"/>
  <c r="P251" i="2"/>
  <c r="Q522" i="2"/>
  <c r="P522" i="2"/>
  <c r="O589" i="2"/>
  <c r="P589" i="2" s="1"/>
  <c r="K589" i="2"/>
  <c r="P723" i="2"/>
  <c r="Q723" i="2"/>
  <c r="K897" i="2"/>
  <c r="O897" i="2"/>
  <c r="Q897" i="2" s="1"/>
  <c r="M121" i="2"/>
  <c r="N121" i="2" s="1"/>
  <c r="P167" i="2"/>
  <c r="M173" i="2"/>
  <c r="N173" i="2" s="1"/>
  <c r="P192" i="2"/>
  <c r="M240" i="2"/>
  <c r="N240" i="2" s="1"/>
  <c r="Q267" i="2"/>
  <c r="P267" i="2"/>
  <c r="O287" i="2"/>
  <c r="Q287" i="2" s="1"/>
  <c r="K287" i="2"/>
  <c r="M326" i="2"/>
  <c r="N326" i="2" s="1"/>
  <c r="N329" i="2"/>
  <c r="O480" i="2"/>
  <c r="Q480" i="2" s="1"/>
  <c r="K480" i="2"/>
  <c r="P518" i="2"/>
  <c r="P529" i="2"/>
  <c r="P632" i="2"/>
  <c r="P720" i="2"/>
  <c r="Q720" i="2"/>
  <c r="Q775" i="2"/>
  <c r="P775" i="2"/>
  <c r="K60" i="2"/>
  <c r="K67" i="2"/>
  <c r="K76" i="2"/>
  <c r="P97" i="2"/>
  <c r="M112" i="2"/>
  <c r="N112" i="2" s="1"/>
  <c r="Q127" i="2"/>
  <c r="P127" i="2"/>
  <c r="Q170" i="2"/>
  <c r="K183" i="2"/>
  <c r="K267" i="2"/>
  <c r="K281" i="2"/>
  <c r="K359" i="2"/>
  <c r="M398" i="2"/>
  <c r="N398" i="2" s="1"/>
  <c r="O640" i="2"/>
  <c r="Q640" i="2" s="1"/>
  <c r="K640" i="2"/>
  <c r="O768" i="2"/>
  <c r="K768" i="2"/>
  <c r="O820" i="2"/>
  <c r="Q820" i="2" s="1"/>
  <c r="K820" i="2"/>
  <c r="N879" i="2"/>
  <c r="O36" i="2"/>
  <c r="P50" i="2"/>
  <c r="M76" i="2"/>
  <c r="N76" i="2" s="1"/>
  <c r="P94" i="2"/>
  <c r="K147" i="2"/>
  <c r="N257" i="2"/>
  <c r="N284" i="2"/>
  <c r="P300" i="2"/>
  <c r="P329" i="2"/>
  <c r="P474" i="2"/>
  <c r="Q474" i="2"/>
  <c r="O477" i="2"/>
  <c r="Q477" i="2" s="1"/>
  <c r="K477" i="2"/>
  <c r="K510" i="2"/>
  <c r="N513" i="2"/>
  <c r="M572" i="2"/>
  <c r="N572" i="2" s="1"/>
  <c r="Q624" i="2"/>
  <c r="P624" i="2"/>
  <c r="Q644" i="2"/>
  <c r="P644" i="2"/>
  <c r="N723" i="2"/>
  <c r="N757" i="2"/>
  <c r="K905" i="2"/>
  <c r="K946" i="2"/>
  <c r="O95" i="2"/>
  <c r="K95" i="2"/>
  <c r="Q238" i="2"/>
  <c r="P238" i="2"/>
  <c r="P281" i="2"/>
  <c r="O385" i="2"/>
  <c r="P385" i="2" s="1"/>
  <c r="M624" i="2"/>
  <c r="N624" i="2" s="1"/>
  <c r="P429" i="2"/>
  <c r="Q429" i="2"/>
  <c r="M474" i="2"/>
  <c r="N474" i="2" s="1"/>
  <c r="P651" i="2"/>
  <c r="P855" i="2"/>
  <c r="K859" i="2"/>
  <c r="M887" i="2"/>
  <c r="N887" i="2" s="1"/>
  <c r="Q906" i="2"/>
  <c r="P906" i="2"/>
  <c r="Q21" i="2"/>
  <c r="O45" i="2"/>
  <c r="Q45" i="2" s="1"/>
  <c r="N83" i="2"/>
  <c r="M86" i="2"/>
  <c r="N86" i="2" s="1"/>
  <c r="N110" i="2"/>
  <c r="M138" i="2"/>
  <c r="N138" i="2" s="1"/>
  <c r="Q141" i="2"/>
  <c r="N165" i="2"/>
  <c r="K178" i="2"/>
  <c r="P196" i="2"/>
  <c r="K199" i="2"/>
  <c r="K238" i="2"/>
  <c r="K258" i="2"/>
  <c r="O258" i="2"/>
  <c r="Q258" i="2" s="1"/>
  <c r="K275" i="2"/>
  <c r="K382" i="2"/>
  <c r="Q412" i="2"/>
  <c r="K457" i="2"/>
  <c r="O471" i="2"/>
  <c r="Q471" i="2" s="1"/>
  <c r="K471" i="2"/>
  <c r="P516" i="2"/>
  <c r="M546" i="2"/>
  <c r="N546" i="2" s="1"/>
  <c r="K604" i="2"/>
  <c r="O604" i="2"/>
  <c r="P604" i="2" s="1"/>
  <c r="Q606" i="2"/>
  <c r="O614" i="2"/>
  <c r="Q614" i="2" s="1"/>
  <c r="K614" i="2"/>
  <c r="Q645" i="2"/>
  <c r="P645" i="2"/>
  <c r="N699" i="2"/>
  <c r="Q707" i="2"/>
  <c r="P707" i="2"/>
  <c r="O808" i="2"/>
  <c r="K808" i="2"/>
  <c r="K846" i="2"/>
  <c r="Q866" i="2"/>
  <c r="P866" i="2"/>
  <c r="K884" i="2"/>
  <c r="O884" i="2"/>
  <c r="M61" i="2"/>
  <c r="N61" i="2" s="1"/>
  <c r="O83" i="2"/>
  <c r="Q83" i="2" s="1"/>
  <c r="Q89" i="2"/>
  <c r="K163" i="2"/>
  <c r="M184" i="2"/>
  <c r="N184" i="2" s="1"/>
  <c r="O206" i="2"/>
  <c r="P206" i="2" s="1"/>
  <c r="K206" i="2"/>
  <c r="Q270" i="2"/>
  <c r="K314" i="2"/>
  <c r="M382" i="2"/>
  <c r="N382" i="2" s="1"/>
  <c r="K429" i="2"/>
  <c r="M641" i="2"/>
  <c r="N641" i="2" s="1"/>
  <c r="M655" i="2"/>
  <c r="N655" i="2" s="1"/>
  <c r="K696" i="2"/>
  <c r="O755" i="2"/>
  <c r="K755" i="2"/>
  <c r="N859" i="2"/>
  <c r="K877" i="2"/>
  <c r="O877" i="2"/>
  <c r="Q877" i="2" s="1"/>
  <c r="Q939" i="2"/>
  <c r="Q955" i="2"/>
  <c r="P955" i="2"/>
  <c r="P54" i="2"/>
  <c r="P80" i="2"/>
  <c r="Q160" i="2"/>
  <c r="M219" i="2"/>
  <c r="N219" i="2" s="1"/>
  <c r="M226" i="2"/>
  <c r="N226" i="2" s="1"/>
  <c r="K229" i="2"/>
  <c r="Q232" i="2"/>
  <c r="P232" i="2"/>
  <c r="M275" i="2"/>
  <c r="N275" i="2" s="1"/>
  <c r="O348" i="2"/>
  <c r="K348" i="2"/>
  <c r="P382" i="2"/>
  <c r="Q400" i="2"/>
  <c r="P400" i="2"/>
  <c r="P426" i="2"/>
  <c r="Q426" i="2"/>
  <c r="M445" i="2"/>
  <c r="N445" i="2" s="1"/>
  <c r="K448" i="2"/>
  <c r="K451" i="2"/>
  <c r="Q457" i="2"/>
  <c r="P487" i="2"/>
  <c r="M490" i="2"/>
  <c r="N490" i="2" s="1"/>
  <c r="K534" i="2"/>
  <c r="K537" i="2"/>
  <c r="P560" i="2"/>
  <c r="Q652" i="2"/>
  <c r="P652" i="2"/>
  <c r="Q711" i="2"/>
  <c r="P711" i="2"/>
  <c r="M748" i="2"/>
  <c r="N748" i="2" s="1"/>
  <c r="P839" i="2"/>
  <c r="P899" i="2"/>
  <c r="Q899" i="2"/>
  <c r="N981" i="2"/>
  <c r="P33" i="2"/>
  <c r="K108" i="2"/>
  <c r="O142" i="2"/>
  <c r="K142" i="2"/>
  <c r="K152" i="2"/>
  <c r="N158" i="2"/>
  <c r="N163" i="2"/>
  <c r="K166" i="2"/>
  <c r="O166" i="2"/>
  <c r="Q178" i="2"/>
  <c r="M181" i="2"/>
  <c r="N181" i="2" s="1"/>
  <c r="K244" i="2"/>
  <c r="K273" i="2"/>
  <c r="O279" i="2"/>
  <c r="K279" i="2"/>
  <c r="O296" i="2"/>
  <c r="K296" i="2"/>
  <c r="M311" i="2"/>
  <c r="N311" i="2" s="1"/>
  <c r="M317" i="2"/>
  <c r="N317" i="2" s="1"/>
  <c r="O379" i="2"/>
  <c r="Q379" i="2" s="1"/>
  <c r="K379" i="2"/>
  <c r="K410" i="2"/>
  <c r="N493" i="2"/>
  <c r="K504" i="2"/>
  <c r="N540" i="2"/>
  <c r="Q543" i="2"/>
  <c r="N557" i="2"/>
  <c r="K601" i="2"/>
  <c r="N604" i="2"/>
  <c r="Q607" i="2"/>
  <c r="P607" i="2"/>
  <c r="O700" i="2"/>
  <c r="K700" i="2"/>
  <c r="K711" i="2"/>
  <c r="K777" i="2"/>
  <c r="K784" i="2"/>
  <c r="K790" i="2"/>
  <c r="K856" i="2"/>
  <c r="M921" i="2"/>
  <c r="N921" i="2" s="1"/>
  <c r="O997" i="2"/>
  <c r="K997" i="2"/>
  <c r="O31" i="2"/>
  <c r="Q31" i="2" s="1"/>
  <c r="K48" i="2"/>
  <c r="L48" i="2" s="1"/>
  <c r="M48" i="2" s="1"/>
  <c r="N48" i="2" s="1"/>
  <c r="O48" i="2"/>
  <c r="P316" i="2"/>
  <c r="K22" i="2"/>
  <c r="L22" i="2" s="1"/>
  <c r="M22" i="2" s="1"/>
  <c r="N22" i="2" s="1"/>
  <c r="K28" i="2"/>
  <c r="L28" i="2" s="1"/>
  <c r="M28" i="2" s="1"/>
  <c r="K139" i="2"/>
  <c r="O139" i="2"/>
  <c r="Q139" i="2" s="1"/>
  <c r="Q197" i="2"/>
  <c r="P197" i="2"/>
  <c r="K232" i="2"/>
  <c r="K253" i="2"/>
  <c r="O308" i="2"/>
  <c r="K376" i="2"/>
  <c r="K400" i="2"/>
  <c r="K442" i="2"/>
  <c r="Q451" i="2"/>
  <c r="Q587" i="2"/>
  <c r="P587" i="2"/>
  <c r="O598" i="2"/>
  <c r="O735" i="2"/>
  <c r="K735" i="2"/>
  <c r="P22" i="2"/>
  <c r="K52" i="2"/>
  <c r="L52" i="2" s="1"/>
  <c r="M52" i="2" s="1"/>
  <c r="N105" i="2"/>
  <c r="M108" i="2"/>
  <c r="N108" i="2" s="1"/>
  <c r="K129" i="2"/>
  <c r="P158" i="2"/>
  <c r="Q161" i="2"/>
  <c r="P161" i="2"/>
  <c r="M244" i="2"/>
  <c r="N244" i="2" s="1"/>
  <c r="P268" i="2"/>
  <c r="M273" i="2"/>
  <c r="N273" i="2" s="1"/>
  <c r="K289" i="2"/>
  <c r="O305" i="2"/>
  <c r="O311" i="2"/>
  <c r="Q311" i="2" s="1"/>
  <c r="M333" i="2"/>
  <c r="N333" i="2" s="1"/>
  <c r="K340" i="2"/>
  <c r="P342" i="2"/>
  <c r="P373" i="2"/>
  <c r="K407" i="2"/>
  <c r="K413" i="2"/>
  <c r="O416" i="2"/>
  <c r="M436" i="2"/>
  <c r="N436" i="2" s="1"/>
  <c r="K439" i="2"/>
  <c r="K479" i="2"/>
  <c r="Q490" i="2"/>
  <c r="Q584" i="2"/>
  <c r="N601" i="2"/>
  <c r="K646" i="2"/>
  <c r="O646" i="2"/>
  <c r="Q646" i="2" s="1"/>
  <c r="K649" i="2"/>
  <c r="M790" i="2"/>
  <c r="N790" i="2" s="1"/>
  <c r="P19" i="2"/>
  <c r="Q19" i="2"/>
  <c r="K70" i="2"/>
  <c r="Q327" i="2"/>
  <c r="P327" i="2"/>
  <c r="M80" i="2"/>
  <c r="N80" i="2" s="1"/>
  <c r="K202" i="2"/>
  <c r="P81" i="2"/>
  <c r="Q81" i="2"/>
  <c r="K136" i="2"/>
  <c r="O136" i="2"/>
  <c r="O152" i="2"/>
  <c r="Q152" i="2" s="1"/>
  <c r="K156" i="2"/>
  <c r="O179" i="2"/>
  <c r="K179" i="2"/>
  <c r="K217" i="2"/>
  <c r="Q262" i="2"/>
  <c r="K271" i="2"/>
  <c r="K286" i="2"/>
  <c r="O293" i="2"/>
  <c r="P293" i="2" s="1"/>
  <c r="K293" i="2"/>
  <c r="P442" i="2"/>
  <c r="O494" i="2"/>
  <c r="P494" i="2" s="1"/>
  <c r="K494" i="2"/>
  <c r="Q501" i="2"/>
  <c r="P501" i="2"/>
  <c r="P601" i="2"/>
  <c r="Q638" i="2"/>
  <c r="P638" i="2"/>
  <c r="K690" i="2"/>
  <c r="K732" i="2"/>
  <c r="O784" i="2"/>
  <c r="O847" i="2"/>
  <c r="Q847" i="2" s="1"/>
  <c r="K847" i="2"/>
  <c r="P915" i="2"/>
  <c r="Q915" i="2"/>
  <c r="O975" i="2"/>
  <c r="Q975" i="2" s="1"/>
  <c r="K975" i="2"/>
  <c r="K215" i="2"/>
  <c r="M89" i="2"/>
  <c r="N89" i="2" s="1"/>
  <c r="P235" i="2"/>
  <c r="Q235" i="2"/>
  <c r="O1000" i="2"/>
  <c r="P1000" i="2" s="1"/>
  <c r="K1000" i="2"/>
  <c r="Q59" i="2"/>
  <c r="P59" i="2"/>
  <c r="N75" i="2"/>
  <c r="K161" i="2"/>
  <c r="P172" i="2"/>
  <c r="O276" i="2"/>
  <c r="K276" i="2"/>
  <c r="P328" i="2"/>
  <c r="K535" i="2"/>
  <c r="O535" i="2"/>
  <c r="Q558" i="2"/>
  <c r="P558" i="2"/>
  <c r="K578" i="2"/>
  <c r="N770" i="2"/>
  <c r="Q926" i="2"/>
  <c r="P926" i="2"/>
  <c r="Q986" i="2"/>
  <c r="P986" i="2"/>
  <c r="K187" i="2"/>
  <c r="O29" i="2"/>
  <c r="Q29" i="2" s="1"/>
  <c r="K29" i="2"/>
  <c r="L29" i="2" s="1"/>
  <c r="M29" i="2" s="1"/>
  <c r="N29" i="2" s="1"/>
  <c r="Q55" i="2"/>
  <c r="P55" i="2"/>
  <c r="Q380" i="2"/>
  <c r="P380" i="2"/>
  <c r="Q532" i="2"/>
  <c r="P532" i="2"/>
  <c r="O538" i="2"/>
  <c r="Q538" i="2" s="1"/>
  <c r="K538" i="2"/>
  <c r="P585" i="2"/>
  <c r="Q585" i="2"/>
  <c r="Q592" i="2"/>
  <c r="P592" i="2"/>
  <c r="Q739" i="2"/>
  <c r="P739" i="2"/>
  <c r="P35" i="2"/>
  <c r="Q35" i="2"/>
  <c r="P52" i="2"/>
  <c r="Q75" i="2"/>
  <c r="P103" i="2"/>
  <c r="Q103" i="2"/>
  <c r="M126" i="2"/>
  <c r="N126" i="2" s="1"/>
  <c r="M136" i="2"/>
  <c r="N136" i="2" s="1"/>
  <c r="P156" i="2"/>
  <c r="Q159" i="2"/>
  <c r="P159" i="2"/>
  <c r="M250" i="2"/>
  <c r="N250" i="2" s="1"/>
  <c r="P266" i="2"/>
  <c r="M331" i="2"/>
  <c r="N331" i="2" s="1"/>
  <c r="P340" i="2"/>
  <c r="P343" i="2"/>
  <c r="Q343" i="2"/>
  <c r="P483" i="2"/>
  <c r="Q483" i="2"/>
  <c r="Q667" i="2"/>
  <c r="P667" i="2"/>
  <c r="K684" i="2"/>
  <c r="O684" i="2"/>
  <c r="P837" i="2"/>
  <c r="Q837" i="2"/>
  <c r="K15" i="2"/>
  <c r="L15" i="2" s="1"/>
  <c r="M15" i="2" s="1"/>
  <c r="K327" i="2"/>
  <c r="K19" i="2"/>
  <c r="L19" i="2" s="1"/>
  <c r="O24" i="2"/>
  <c r="Q24" i="2" s="1"/>
  <c r="K24" i="2"/>
  <c r="L24" i="2" s="1"/>
  <c r="M24" i="2" s="1"/>
  <c r="N24" i="2" s="1"/>
  <c r="K94" i="2"/>
  <c r="K121" i="2"/>
  <c r="K143" i="2"/>
  <c r="K153" i="2"/>
  <c r="N220" i="2"/>
  <c r="Q227" i="2"/>
  <c r="P227" i="2"/>
  <c r="M297" i="2"/>
  <c r="N297" i="2" s="1"/>
  <c r="N337" i="2"/>
  <c r="K343" i="2"/>
  <c r="K394" i="2"/>
  <c r="K401" i="2"/>
  <c r="Q404" i="2"/>
  <c r="P488" i="2"/>
  <c r="K532" i="2"/>
  <c r="N578" i="2"/>
  <c r="Q596" i="2"/>
  <c r="P596" i="2"/>
  <c r="K612" i="2"/>
  <c r="O612" i="2"/>
  <c r="Q612" i="2" s="1"/>
  <c r="K667" i="2"/>
  <c r="N677" i="2"/>
  <c r="N719" i="2"/>
  <c r="M774" i="2"/>
  <c r="N774" i="2" s="1"/>
  <c r="P819" i="2"/>
  <c r="O823" i="2"/>
  <c r="Q823" i="2" s="1"/>
  <c r="K823" i="2"/>
  <c r="K834" i="2"/>
  <c r="Q908" i="2"/>
  <c r="P908" i="2"/>
  <c r="N915" i="2"/>
  <c r="Q968" i="2"/>
  <c r="P968" i="2"/>
  <c r="Q76" i="2"/>
  <c r="P76" i="2"/>
  <c r="N115" i="2"/>
  <c r="K720" i="2"/>
  <c r="O79" i="2"/>
  <c r="Q79" i="2" s="1"/>
  <c r="K79" i="2"/>
  <c r="O195" i="2"/>
  <c r="Q195" i="2" s="1"/>
  <c r="K195" i="2"/>
  <c r="Q303" i="2"/>
  <c r="P303" i="2"/>
  <c r="P408" i="2"/>
  <c r="Q408" i="2"/>
  <c r="O437" i="2"/>
  <c r="K437" i="2"/>
  <c r="K483" i="2"/>
  <c r="N532" i="2"/>
  <c r="Q575" i="2"/>
  <c r="P575" i="2"/>
  <c r="N667" i="2"/>
  <c r="O912" i="2"/>
  <c r="P912" i="2" s="1"/>
  <c r="K912" i="2"/>
  <c r="K84" i="2"/>
  <c r="K554" i="2"/>
  <c r="P671" i="2"/>
  <c r="M711" i="2"/>
  <c r="N711" i="2" s="1"/>
  <c r="N762" i="2"/>
  <c r="M127" i="2"/>
  <c r="N127" i="2" s="1"/>
  <c r="N209" i="2"/>
  <c r="M215" i="2"/>
  <c r="N215" i="2" s="1"/>
  <c r="M290" i="2"/>
  <c r="N290" i="2" s="1"/>
  <c r="N327" i="2"/>
  <c r="N343" i="2"/>
  <c r="K408" i="2"/>
  <c r="M429" i="2"/>
  <c r="N429" i="2" s="1"/>
  <c r="M437" i="2"/>
  <c r="N437" i="2" s="1"/>
  <c r="M468" i="2"/>
  <c r="N468" i="2" s="1"/>
  <c r="N526" i="2"/>
  <c r="O621" i="2"/>
  <c r="Q621" i="2" s="1"/>
  <c r="K621" i="2"/>
  <c r="N643" i="2"/>
  <c r="O788" i="2"/>
  <c r="P788" i="2" s="1"/>
  <c r="K788" i="2"/>
  <c r="K805" i="2"/>
  <c r="M808" i="2"/>
  <c r="N808" i="2" s="1"/>
  <c r="K968" i="2"/>
  <c r="K46" i="2"/>
  <c r="L46" i="2" s="1"/>
  <c r="M46" i="2" s="1"/>
  <c r="K53" i="2"/>
  <c r="L53" i="2" s="1"/>
  <c r="M53" i="2" s="1"/>
  <c r="N53" i="2" s="1"/>
  <c r="K111" i="2"/>
  <c r="K164" i="2"/>
  <c r="N195" i="2"/>
  <c r="N245" i="2"/>
  <c r="K301" i="2"/>
  <c r="K309" i="2"/>
  <c r="K341" i="2"/>
  <c r="K372" i="2"/>
  <c r="K402" i="2"/>
  <c r="K599" i="2"/>
  <c r="Q602" i="2"/>
  <c r="P602" i="2"/>
  <c r="Q647" i="2"/>
  <c r="P647" i="2"/>
  <c r="K718" i="2"/>
  <c r="O718" i="2"/>
  <c r="M727" i="2"/>
  <c r="N727" i="2" s="1"/>
  <c r="Q743" i="2"/>
  <c r="P743" i="2"/>
  <c r="K759" i="2"/>
  <c r="K775" i="2"/>
  <c r="K798" i="2"/>
  <c r="K828" i="2"/>
  <c r="O844" i="2"/>
  <c r="P888" i="2"/>
  <c r="K955" i="2"/>
  <c r="K20" i="2"/>
  <c r="L20" i="2" s="1"/>
  <c r="M20" i="2" s="1"/>
  <c r="N20" i="2" s="1"/>
  <c r="K30" i="2"/>
  <c r="L30" i="2" s="1"/>
  <c r="K59" i="2"/>
  <c r="K171" i="2"/>
  <c r="K243" i="2"/>
  <c r="K251" i="2"/>
  <c r="K256" i="2"/>
  <c r="K315" i="2"/>
  <c r="K346" i="2"/>
  <c r="K352" i="2"/>
  <c r="K355" i="2"/>
  <c r="K357" i="2"/>
  <c r="K366" i="2"/>
  <c r="K384" i="2"/>
  <c r="P392" i="2"/>
  <c r="M408" i="2"/>
  <c r="N408" i="2" s="1"/>
  <c r="K414" i="2"/>
  <c r="O414" i="2"/>
  <c r="K530" i="2"/>
  <c r="K548" i="2"/>
  <c r="P586" i="2"/>
  <c r="K596" i="2"/>
  <c r="K608" i="2"/>
  <c r="M621" i="2"/>
  <c r="N621" i="2" s="1"/>
  <c r="K675" i="2"/>
  <c r="O779" i="2"/>
  <c r="Q779" i="2" s="1"/>
  <c r="K779" i="2"/>
  <c r="O835" i="2"/>
  <c r="K835" i="2"/>
  <c r="O878" i="2"/>
  <c r="P878" i="2" s="1"/>
  <c r="K878" i="2"/>
  <c r="N892" i="2"/>
  <c r="N895" i="2"/>
  <c r="K934" i="2"/>
  <c r="K125" i="2"/>
  <c r="K162" i="2"/>
  <c r="O200" i="2"/>
  <c r="K241" i="2"/>
  <c r="K254" i="2"/>
  <c r="O282" i="2"/>
  <c r="K318" i="2"/>
  <c r="P372" i="2"/>
  <c r="K432" i="2"/>
  <c r="O435" i="2"/>
  <c r="K435" i="2"/>
  <c r="O498" i="2"/>
  <c r="K564" i="2"/>
  <c r="M596" i="2"/>
  <c r="N596" i="2" s="1"/>
  <c r="K647" i="2"/>
  <c r="O650" i="2"/>
  <c r="P650" i="2" s="1"/>
  <c r="K650" i="2"/>
  <c r="K666" i="2"/>
  <c r="K715" i="2"/>
  <c r="O715" i="2"/>
  <c r="M718" i="2"/>
  <c r="N718" i="2" s="1"/>
  <c r="K731" i="2"/>
  <c r="K740" i="2"/>
  <c r="K743" i="2"/>
  <c r="Q766" i="2"/>
  <c r="P766" i="2"/>
  <c r="K795" i="2"/>
  <c r="Q832" i="2"/>
  <c r="P832" i="2"/>
  <c r="N861" i="2"/>
  <c r="Q875" i="2"/>
  <c r="P875" i="2"/>
  <c r="M937" i="2"/>
  <c r="N937" i="2" s="1"/>
  <c r="K948" i="2"/>
  <c r="M955" i="2"/>
  <c r="N955" i="2" s="1"/>
  <c r="Q990" i="2"/>
  <c r="P53" i="2"/>
  <c r="O90" i="2"/>
  <c r="Q90" i="2" s="1"/>
  <c r="P301" i="2"/>
  <c r="P341" i="2"/>
  <c r="Q402" i="2"/>
  <c r="O405" i="2"/>
  <c r="Q405" i="2" s="1"/>
  <c r="O478" i="2"/>
  <c r="P478" i="2" s="1"/>
  <c r="K478" i="2"/>
  <c r="Q505" i="2"/>
  <c r="P505" i="2"/>
  <c r="Q517" i="2"/>
  <c r="M520" i="2"/>
  <c r="N520" i="2" s="1"/>
  <c r="Q524" i="2"/>
  <c r="P524" i="2"/>
  <c r="Q533" i="2"/>
  <c r="P533" i="2"/>
  <c r="O561" i="2"/>
  <c r="K584" i="2"/>
  <c r="M608" i="2"/>
  <c r="N608" i="2" s="1"/>
  <c r="M934" i="2"/>
  <c r="N934" i="2" s="1"/>
  <c r="K987" i="2"/>
  <c r="O20" i="2"/>
  <c r="P20" i="2" s="1"/>
  <c r="O6" i="2"/>
  <c r="Q6" i="2" s="1"/>
  <c r="O30" i="2"/>
  <c r="Q30" i="2" s="1"/>
  <c r="K40" i="2"/>
  <c r="L40" i="2" s="1"/>
  <c r="M40" i="2" s="1"/>
  <c r="N40" i="2" s="1"/>
  <c r="K118" i="2"/>
  <c r="O145" i="2"/>
  <c r="N151" i="2"/>
  <c r="K207" i="2"/>
  <c r="K210" i="2"/>
  <c r="M230" i="2"/>
  <c r="N230" i="2" s="1"/>
  <c r="K259" i="2"/>
  <c r="O285" i="2"/>
  <c r="K307" i="2"/>
  <c r="O355" i="2"/>
  <c r="O384" i="2"/>
  <c r="K390" i="2"/>
  <c r="N427" i="2"/>
  <c r="K462" i="2"/>
  <c r="K472" i="2"/>
  <c r="P492" i="2"/>
  <c r="O548" i="2"/>
  <c r="Q548" i="2" s="1"/>
  <c r="Q564" i="2"/>
  <c r="K593" i="2"/>
  <c r="K615" i="2"/>
  <c r="K634" i="2"/>
  <c r="N672" i="2"/>
  <c r="Q679" i="2"/>
  <c r="P679" i="2"/>
  <c r="O712" i="2"/>
  <c r="P712" i="2" s="1"/>
  <c r="K712" i="2"/>
  <c r="K725" i="2"/>
  <c r="P740" i="2"/>
  <c r="M763" i="2"/>
  <c r="N763" i="2" s="1"/>
  <c r="K766" i="2"/>
  <c r="P806" i="2"/>
  <c r="Q806" i="2"/>
  <c r="K832" i="2"/>
  <c r="K927" i="2"/>
  <c r="O934" i="2"/>
  <c r="P934" i="2" s="1"/>
  <c r="O17" i="2"/>
  <c r="K349" i="2"/>
  <c r="K381" i="2"/>
  <c r="Q432" i="2"/>
  <c r="K496" i="2"/>
  <c r="M505" i="2"/>
  <c r="N505" i="2" s="1"/>
  <c r="O520" i="2"/>
  <c r="P520" i="2" s="1"/>
  <c r="K524" i="2"/>
  <c r="O577" i="2"/>
  <c r="Q577" i="2" s="1"/>
  <c r="Q608" i="2"/>
  <c r="P666" i="2"/>
  <c r="O731" i="2"/>
  <c r="Q731" i="2" s="1"/>
  <c r="K868" i="2"/>
  <c r="P51" i="2"/>
  <c r="K75" i="2"/>
  <c r="N82" i="2"/>
  <c r="K96" i="2"/>
  <c r="K112" i="2"/>
  <c r="Q131" i="2"/>
  <c r="Q177" i="2"/>
  <c r="K222" i="2"/>
  <c r="K226" i="2"/>
  <c r="M228" i="2"/>
  <c r="N228" i="2" s="1"/>
  <c r="O254" i="2"/>
  <c r="P254" i="2" s="1"/>
  <c r="P299" i="2"/>
  <c r="M304" i="2"/>
  <c r="N304" i="2" s="1"/>
  <c r="Q363" i="2"/>
  <c r="K375" i="2"/>
  <c r="K393" i="2"/>
  <c r="Q406" i="2"/>
  <c r="P406" i="2"/>
  <c r="K421" i="2"/>
  <c r="N447" i="2"/>
  <c r="O459" i="2"/>
  <c r="K490" i="2"/>
  <c r="K502" i="2"/>
  <c r="K606" i="2"/>
  <c r="K638" i="2"/>
  <c r="K660" i="2"/>
  <c r="M712" i="2"/>
  <c r="N712" i="2" s="1"/>
  <c r="P792" i="2"/>
  <c r="K799" i="2"/>
  <c r="K886" i="2"/>
  <c r="O924" i="2"/>
  <c r="Q924" i="2" s="1"/>
  <c r="P826" i="2"/>
  <c r="Q826" i="2"/>
  <c r="N855" i="2"/>
  <c r="P868" i="2"/>
  <c r="K896" i="2"/>
  <c r="P921" i="2"/>
  <c r="Q921" i="2"/>
  <c r="Q959" i="2"/>
  <c r="P959" i="2"/>
  <c r="K977" i="2"/>
  <c r="O988" i="2"/>
  <c r="Q988" i="2" s="1"/>
  <c r="K988" i="2"/>
  <c r="K812" i="2"/>
  <c r="K292" i="2"/>
  <c r="K310" i="2"/>
  <c r="K321" i="2"/>
  <c r="K505" i="2"/>
  <c r="K726" i="2"/>
  <c r="K806" i="2"/>
  <c r="N812" i="2"/>
  <c r="K854" i="2"/>
  <c r="K959" i="2"/>
  <c r="K403" i="2"/>
  <c r="K406" i="2"/>
  <c r="K428" i="2"/>
  <c r="K446" i="2"/>
  <c r="K679" i="2"/>
  <c r="K691" i="2"/>
  <c r="K741" i="2"/>
  <c r="N743" i="2"/>
  <c r="K838" i="2"/>
  <c r="K866" i="2"/>
  <c r="K872" i="2"/>
  <c r="N881" i="2"/>
  <c r="K904" i="2"/>
  <c r="K966" i="2"/>
  <c r="K995" i="2"/>
  <c r="P661" i="2"/>
  <c r="O726" i="2"/>
  <c r="K764" i="2"/>
  <c r="K797" i="2"/>
  <c r="N863" i="2"/>
  <c r="K885" i="2"/>
  <c r="O937" i="2"/>
  <c r="M414" i="2"/>
  <c r="N414" i="2" s="1"/>
  <c r="N422" i="2"/>
  <c r="M428" i="2"/>
  <c r="N428" i="2" s="1"/>
  <c r="N541" i="2"/>
  <c r="Q559" i="2"/>
  <c r="K588" i="2"/>
  <c r="M602" i="2"/>
  <c r="N602" i="2" s="1"/>
  <c r="K986" i="2"/>
  <c r="M995" i="2"/>
  <c r="N995" i="2" s="1"/>
  <c r="K380" i="2"/>
  <c r="K426" i="2"/>
  <c r="K433" i="2"/>
  <c r="K481" i="2"/>
  <c r="K489" i="2"/>
  <c r="K517" i="2"/>
  <c r="K522" i="2"/>
  <c r="K531" i="2"/>
  <c r="N533" i="2"/>
  <c r="K600" i="2"/>
  <c r="M607" i="2"/>
  <c r="N607" i="2" s="1"/>
  <c r="P609" i="2"/>
  <c r="K639" i="2"/>
  <c r="K656" i="2"/>
  <c r="M741" i="2"/>
  <c r="N741" i="2" s="1"/>
  <c r="K746" i="2"/>
  <c r="K749" i="2"/>
  <c r="K758" i="2"/>
  <c r="K901" i="2"/>
  <c r="K979" i="2"/>
  <c r="O1001" i="2"/>
  <c r="Q1001" i="2" s="1"/>
  <c r="M470" i="2"/>
  <c r="N470" i="2" s="1"/>
  <c r="O503" i="2"/>
  <c r="N512" i="2"/>
  <c r="K553" i="2"/>
  <c r="Q562" i="2"/>
  <c r="P567" i="2"/>
  <c r="N576" i="2"/>
  <c r="M594" i="2"/>
  <c r="N594" i="2" s="1"/>
  <c r="M633" i="2"/>
  <c r="N633" i="2" s="1"/>
  <c r="K636" i="2"/>
  <c r="M710" i="2"/>
  <c r="N710" i="2" s="1"/>
  <c r="N724" i="2"/>
  <c r="N746" i="2"/>
  <c r="M794" i="2"/>
  <c r="N794" i="2" s="1"/>
  <c r="M821" i="2"/>
  <c r="N821" i="2" s="1"/>
  <c r="O885" i="2"/>
  <c r="P885" i="2" s="1"/>
  <c r="P904" i="2"/>
  <c r="P928" i="2"/>
  <c r="K932" i="2"/>
  <c r="K940" i="2"/>
  <c r="M992" i="2"/>
  <c r="N992" i="2" s="1"/>
  <c r="K436" i="2"/>
  <c r="K453" i="2"/>
  <c r="K461" i="2"/>
  <c r="N489" i="2"/>
  <c r="K492" i="2"/>
  <c r="O576" i="2"/>
  <c r="P576" i="2" s="1"/>
  <c r="N656" i="2"/>
  <c r="K659" i="2"/>
  <c r="O665" i="2"/>
  <c r="Q665" i="2" s="1"/>
  <c r="M698" i="2"/>
  <c r="N698" i="2" s="1"/>
  <c r="O724" i="2"/>
  <c r="O741" i="2"/>
  <c r="O764" i="2"/>
  <c r="P764" i="2" s="1"/>
  <c r="K767" i="2"/>
  <c r="O797" i="2"/>
  <c r="Q797" i="2" s="1"/>
  <c r="O804" i="2"/>
  <c r="Q833" i="2"/>
  <c r="O857" i="2"/>
  <c r="Q857" i="2" s="1"/>
  <c r="K864" i="2"/>
  <c r="K869" i="2"/>
  <c r="M901" i="2"/>
  <c r="N901" i="2" s="1"/>
  <c r="Q919" i="2"/>
  <c r="P973" i="2"/>
  <c r="K989" i="2"/>
  <c r="K529" i="2"/>
  <c r="Q636" i="2"/>
  <c r="N662" i="2"/>
  <c r="O698" i="2"/>
  <c r="Q698" i="2" s="1"/>
  <c r="K705" i="2"/>
  <c r="Q749" i="2"/>
  <c r="P813" i="2"/>
  <c r="O824" i="2"/>
  <c r="Q901" i="2"/>
  <c r="N907" i="2"/>
  <c r="O944" i="2"/>
  <c r="Q944" i="2" s="1"/>
  <c r="K960" i="2"/>
  <c r="N976" i="2"/>
  <c r="N983" i="2"/>
  <c r="U48" i="1"/>
  <c r="V48" i="1"/>
  <c r="AO30" i="1"/>
  <c r="L30" i="1"/>
  <c r="L2" i="1"/>
  <c r="AO2" i="1"/>
  <c r="L8" i="1"/>
  <c r="AO8" i="1"/>
  <c r="L26" i="1"/>
  <c r="AO26" i="1"/>
  <c r="L35" i="1"/>
  <c r="AO35" i="1"/>
  <c r="L24" i="1"/>
  <c r="AO24" i="1"/>
  <c r="AO3" i="1"/>
  <c r="L3" i="1"/>
  <c r="L36" i="1"/>
  <c r="AO36" i="1"/>
  <c r="L14" i="1"/>
  <c r="AO14" i="1"/>
  <c r="V18" i="1"/>
  <c r="U18" i="1"/>
  <c r="L29" i="1"/>
  <c r="AO29" i="1"/>
  <c r="L9" i="1"/>
  <c r="AO9" i="1"/>
  <c r="L44" i="1"/>
  <c r="AO44" i="1"/>
  <c r="L42" i="1"/>
  <c r="AO42" i="1"/>
  <c r="Q26" i="2"/>
  <c r="P26" i="2"/>
  <c r="AO10" i="1"/>
  <c r="L10" i="1"/>
  <c r="L22" i="1"/>
  <c r="AO22" i="1"/>
  <c r="L25" i="1"/>
  <c r="AO25" i="1"/>
  <c r="AO34" i="1"/>
  <c r="L34" i="1"/>
  <c r="L4" i="1"/>
  <c r="AO4" i="1"/>
  <c r="AO32" i="1"/>
  <c r="L32" i="1"/>
  <c r="U43" i="1"/>
  <c r="V43" i="1"/>
  <c r="K65" i="2"/>
  <c r="O65" i="2"/>
  <c r="M74" i="2"/>
  <c r="N74" i="2" s="1"/>
  <c r="Q215" i="2"/>
  <c r="P215" i="2"/>
  <c r="U88" i="1"/>
  <c r="V88" i="1"/>
  <c r="X126" i="1"/>
  <c r="V154" i="1"/>
  <c r="U154" i="1"/>
  <c r="M68" i="2"/>
  <c r="N68" i="2" s="1"/>
  <c r="P122" i="2"/>
  <c r="Q122" i="2"/>
  <c r="Q212" i="2"/>
  <c r="P260" i="2"/>
  <c r="P292" i="2"/>
  <c r="Q292" i="2"/>
  <c r="M335" i="2"/>
  <c r="N335" i="2" s="1"/>
  <c r="AM29" i="1"/>
  <c r="AM30" i="1"/>
  <c r="AM40" i="1"/>
  <c r="AM60" i="1"/>
  <c r="AN68" i="1"/>
  <c r="X106" i="1"/>
  <c r="P49" i="2"/>
  <c r="M111" i="2"/>
  <c r="N111" i="2" s="1"/>
  <c r="O130" i="2"/>
  <c r="K130" i="2"/>
  <c r="M451" i="2"/>
  <c r="N451" i="2" s="1"/>
  <c r="M534" i="2"/>
  <c r="N534" i="2" s="1"/>
  <c r="AM13" i="1"/>
  <c r="AN39" i="1"/>
  <c r="AN46" i="1"/>
  <c r="AM59" i="1"/>
  <c r="AN81" i="1"/>
  <c r="AM81" i="1"/>
  <c r="AM120" i="1"/>
  <c r="AN148" i="1"/>
  <c r="AM148" i="1"/>
  <c r="AM176" i="1"/>
  <c r="AM180" i="1"/>
  <c r="O4" i="2"/>
  <c r="K47" i="2"/>
  <c r="L47" i="2" s="1"/>
  <c r="M47" i="2" s="1"/>
  <c r="K57" i="2"/>
  <c r="L57" i="2" s="1"/>
  <c r="M57" i="2" s="1"/>
  <c r="N57" i="2" s="1"/>
  <c r="O57" i="2"/>
  <c r="Q71" i="2"/>
  <c r="P71" i="2"/>
  <c r="M328" i="2"/>
  <c r="N328" i="2" s="1"/>
  <c r="AM28" i="1"/>
  <c r="AO46" i="1"/>
  <c r="L48" i="1"/>
  <c r="X48" i="1" s="1"/>
  <c r="AN51" i="1"/>
  <c r="AQ51" i="1" s="1"/>
  <c r="V87" i="1"/>
  <c r="U87" i="1"/>
  <c r="AN94" i="1"/>
  <c r="AN100" i="1"/>
  <c r="AM100" i="1"/>
  <c r="AM105" i="1"/>
  <c r="AN105" i="1"/>
  <c r="AM119" i="1"/>
  <c r="X124" i="1"/>
  <c r="AM138" i="1"/>
  <c r="V167" i="1"/>
  <c r="U167" i="1"/>
  <c r="AM179" i="1"/>
  <c r="AM190" i="1"/>
  <c r="P9" i="2"/>
  <c r="Q9" i="2"/>
  <c r="K26" i="2"/>
  <c r="L26" i="2" s="1"/>
  <c r="N139" i="2"/>
  <c r="N191" i="2"/>
  <c r="O290" i="2"/>
  <c r="K290" i="2"/>
  <c r="O319" i="2"/>
  <c r="K319" i="2"/>
  <c r="AO13" i="1"/>
  <c r="X13" i="1" s="1"/>
  <c r="AM38" i="1"/>
  <c r="U75" i="1"/>
  <c r="V75" i="1"/>
  <c r="AN125" i="1"/>
  <c r="X147" i="1"/>
  <c r="U148" i="1"/>
  <c r="V148" i="1"/>
  <c r="X167" i="1"/>
  <c r="AN186" i="1"/>
  <c r="AM186" i="1"/>
  <c r="P47" i="2"/>
  <c r="P82" i="2"/>
  <c r="Q82" i="2"/>
  <c r="V179" i="1"/>
  <c r="U179" i="1"/>
  <c r="V129" i="1"/>
  <c r="U129" i="1"/>
  <c r="AN55" i="1"/>
  <c r="U106" i="1"/>
  <c r="W106" i="1" s="1"/>
  <c r="AM108" i="1"/>
  <c r="V113" i="1"/>
  <c r="W113" i="1" s="1"/>
  <c r="U126" i="1"/>
  <c r="W126" i="1" s="1"/>
  <c r="AN127" i="1"/>
  <c r="AM127" i="1"/>
  <c r="V132" i="1"/>
  <c r="W132" i="1" s="1"/>
  <c r="X139" i="1"/>
  <c r="V147" i="1"/>
  <c r="U147" i="1"/>
  <c r="AN169" i="1"/>
  <c r="AM169" i="1"/>
  <c r="V175" i="1"/>
  <c r="U175" i="1"/>
  <c r="Q15" i="2"/>
  <c r="P15" i="2"/>
  <c r="O155" i="2"/>
  <c r="K155" i="2"/>
  <c r="N171" i="2"/>
  <c r="P173" i="2"/>
  <c r="M187" i="2"/>
  <c r="N187" i="2" s="1"/>
  <c r="N249" i="2"/>
  <c r="M306" i="2"/>
  <c r="N306" i="2" s="1"/>
  <c r="Q582" i="2"/>
  <c r="P588" i="2"/>
  <c r="Q588" i="2"/>
  <c r="AN95" i="1"/>
  <c r="AM95" i="1"/>
  <c r="L18" i="1"/>
  <c r="X18" i="1" s="1"/>
  <c r="AN25" i="1"/>
  <c r="V86" i="1"/>
  <c r="U86" i="1"/>
  <c r="U122" i="1"/>
  <c r="W122" i="1" s="1"/>
  <c r="Q386" i="2"/>
  <c r="P386" i="2"/>
  <c r="Q812" i="2"/>
  <c r="P812" i="2"/>
  <c r="O985" i="2"/>
  <c r="K985" i="2"/>
  <c r="AM3" i="1"/>
  <c r="AN9" i="1"/>
  <c r="O2" i="2"/>
  <c r="K2" i="2"/>
  <c r="L2" i="2" s="1"/>
  <c r="M137" i="2"/>
  <c r="N137" i="2" s="1"/>
  <c r="M239" i="2"/>
  <c r="N239" i="2" s="1"/>
  <c r="AM22" i="1"/>
  <c r="AN23" i="1"/>
  <c r="V139" i="1"/>
  <c r="W139" i="1" s="1"/>
  <c r="X187" i="1"/>
  <c r="K12" i="2"/>
  <c r="L12" i="2" s="1"/>
  <c r="AO51" i="1"/>
  <c r="P226" i="2"/>
  <c r="O350" i="2"/>
  <c r="M528" i="2"/>
  <c r="N528" i="2" s="1"/>
  <c r="AN79" i="1"/>
  <c r="AM79" i="1"/>
  <c r="P88" i="2"/>
  <c r="Q88" i="2"/>
  <c r="M279" i="2"/>
  <c r="N279" i="2" s="1"/>
  <c r="Q369" i="2"/>
  <c r="P369" i="2"/>
  <c r="O137" i="2"/>
  <c r="K137" i="2"/>
  <c r="M552" i="2"/>
  <c r="N552" i="2" s="1"/>
  <c r="AM4" i="1"/>
  <c r="V178" i="1"/>
  <c r="U178" i="1"/>
  <c r="AM43" i="1"/>
  <c r="V95" i="1"/>
  <c r="W95" i="1" s="1"/>
  <c r="AM97" i="1"/>
  <c r="AO23" i="1"/>
  <c r="AM34" i="1"/>
  <c r="X82" i="1"/>
  <c r="AM21" i="1"/>
  <c r="AM48" i="1"/>
  <c r="AN84" i="1"/>
  <c r="V97" i="1"/>
  <c r="U97" i="1"/>
  <c r="AN103" i="1"/>
  <c r="U131" i="1"/>
  <c r="W131" i="1" s="1"/>
  <c r="X154" i="1"/>
  <c r="AN185" i="1"/>
  <c r="AM195" i="1"/>
  <c r="O16" i="2"/>
  <c r="K16" i="2"/>
  <c r="L16" i="2" s="1"/>
  <c r="M67" i="2"/>
  <c r="N67" i="2" s="1"/>
  <c r="P171" i="2"/>
  <c r="M345" i="2"/>
  <c r="N345" i="2" s="1"/>
  <c r="M522" i="2"/>
  <c r="N522" i="2" s="1"/>
  <c r="O570" i="2"/>
  <c r="K570" i="2"/>
  <c r="K91" i="2"/>
  <c r="O91" i="2"/>
  <c r="L17" i="1"/>
  <c r="X17" i="1" s="1"/>
  <c r="AN50" i="1"/>
  <c r="AM50" i="1"/>
  <c r="M261" i="2"/>
  <c r="N261" i="2" s="1"/>
  <c r="U17" i="1"/>
  <c r="W17" i="1" s="1"/>
  <c r="X186" i="1"/>
  <c r="P430" i="2"/>
  <c r="Q430" i="2"/>
  <c r="AM56" i="1"/>
  <c r="AN66" i="1"/>
  <c r="AM85" i="1"/>
  <c r="AM98" i="1"/>
  <c r="AM128" i="1"/>
  <c r="AN170" i="1"/>
  <c r="AM170" i="1"/>
  <c r="P256" i="2"/>
  <c r="Q256" i="2"/>
  <c r="O991" i="2"/>
  <c r="K991" i="2"/>
  <c r="AN78" i="1"/>
  <c r="AM78" i="1"/>
  <c r="V117" i="1"/>
  <c r="U117" i="1"/>
  <c r="AN124" i="1"/>
  <c r="AN147" i="1"/>
  <c r="AM147" i="1"/>
  <c r="AN8" i="1"/>
  <c r="AN35" i="1"/>
  <c r="N128" i="2"/>
  <c r="AM107" i="1"/>
  <c r="AM115" i="1"/>
  <c r="AN123" i="1"/>
  <c r="AM134" i="1"/>
  <c r="V185" i="1"/>
  <c r="U185" i="1"/>
  <c r="K7" i="2"/>
  <c r="L7" i="2" s="1"/>
  <c r="O7" i="2"/>
  <c r="M169" i="2"/>
  <c r="N169" i="2" s="1"/>
  <c r="M299" i="2"/>
  <c r="N299" i="2" s="1"/>
  <c r="M309" i="2"/>
  <c r="N309" i="2" s="1"/>
  <c r="Q345" i="2"/>
  <c r="P345" i="2"/>
  <c r="M378" i="2"/>
  <c r="N378" i="2" s="1"/>
  <c r="O506" i="2"/>
  <c r="K506" i="2"/>
  <c r="Q682" i="2"/>
  <c r="P682" i="2"/>
  <c r="AN101" i="1"/>
  <c r="AM101" i="1"/>
  <c r="V186" i="1"/>
  <c r="U186" i="1"/>
  <c r="O417" i="2"/>
  <c r="K417" i="2"/>
  <c r="AN36" i="1"/>
  <c r="AN189" i="1"/>
  <c r="AM166" i="1"/>
  <c r="Q120" i="2"/>
  <c r="M669" i="2"/>
  <c r="N669" i="2" s="1"/>
  <c r="AM5" i="1"/>
  <c r="AM6" i="1"/>
  <c r="AM73" i="1"/>
  <c r="U82" i="1"/>
  <c r="W82" i="1" s="1"/>
  <c r="AN91" i="1"/>
  <c r="AM91" i="1"/>
  <c r="AM135" i="1"/>
  <c r="AN151" i="1"/>
  <c r="AM151" i="1"/>
  <c r="V77" i="1"/>
  <c r="U77" i="1"/>
  <c r="V163" i="1"/>
  <c r="W163" i="1" s="1"/>
  <c r="AN191" i="1"/>
  <c r="AM191" i="1"/>
  <c r="O12" i="2"/>
  <c r="P28" i="2"/>
  <c r="O113" i="2"/>
  <c r="K113" i="2"/>
  <c r="O234" i="2"/>
  <c r="Q453" i="2"/>
  <c r="P453" i="2"/>
  <c r="M88" i="2"/>
  <c r="N88" i="2" s="1"/>
  <c r="M251" i="2"/>
  <c r="N251" i="2" s="1"/>
  <c r="Q357" i="2"/>
  <c r="P357" i="2"/>
  <c r="M369" i="2"/>
  <c r="N369" i="2" s="1"/>
  <c r="O994" i="2"/>
  <c r="K994" i="2"/>
  <c r="X125" i="1"/>
  <c r="AN109" i="1"/>
  <c r="AN178" i="1"/>
  <c r="M585" i="2"/>
  <c r="N585" i="2" s="1"/>
  <c r="AN70" i="1"/>
  <c r="AM70" i="1"/>
  <c r="X86" i="1"/>
  <c r="V99" i="1"/>
  <c r="W99" i="1" s="1"/>
  <c r="X123" i="1"/>
  <c r="U125" i="1"/>
  <c r="W125" i="1" s="1"/>
  <c r="AN133" i="1"/>
  <c r="AM133" i="1"/>
  <c r="N59" i="2"/>
  <c r="O218" i="2"/>
  <c r="K218" i="2"/>
  <c r="M283" i="2"/>
  <c r="N283" i="2" s="1"/>
  <c r="Q447" i="2"/>
  <c r="P447" i="2"/>
  <c r="V187" i="1"/>
  <c r="U187" i="1"/>
  <c r="K86" i="2"/>
  <c r="O86" i="2"/>
  <c r="P118" i="2"/>
  <c r="Q118" i="2"/>
  <c r="Q544" i="2"/>
  <c r="P544" i="2"/>
  <c r="M582" i="2"/>
  <c r="N582" i="2" s="1"/>
  <c r="AN49" i="1"/>
  <c r="L47" i="1"/>
  <c r="AO47" i="1"/>
  <c r="AM47" i="1"/>
  <c r="X163" i="1"/>
  <c r="AN164" i="1"/>
  <c r="AM164" i="1"/>
  <c r="AN174" i="1"/>
  <c r="V177" i="1"/>
  <c r="U177" i="1"/>
  <c r="O8" i="2"/>
  <c r="K8" i="2"/>
  <c r="L8" i="2" s="1"/>
  <c r="M146" i="2"/>
  <c r="N146" i="2" s="1"/>
  <c r="M167" i="2"/>
  <c r="N167" i="2" s="1"/>
  <c r="M227" i="2"/>
  <c r="N227" i="2" s="1"/>
  <c r="M506" i="2"/>
  <c r="N506" i="2" s="1"/>
  <c r="P550" i="2"/>
  <c r="Q550" i="2"/>
  <c r="U183" i="1"/>
  <c r="V183" i="1"/>
  <c r="O871" i="2"/>
  <c r="K871" i="2"/>
  <c r="AN117" i="1"/>
  <c r="AM117" i="1"/>
  <c r="M131" i="2"/>
  <c r="N131" i="2" s="1"/>
  <c r="N189" i="2"/>
  <c r="AM24" i="1"/>
  <c r="O635" i="2"/>
  <c r="K635" i="2"/>
  <c r="U45" i="1"/>
  <c r="W45" i="1" s="1"/>
  <c r="AN18" i="1"/>
  <c r="AM89" i="1"/>
  <c r="V93" i="1"/>
  <c r="W93" i="1" s="1"/>
  <c r="X99" i="1"/>
  <c r="AN76" i="1"/>
  <c r="AN121" i="1"/>
  <c r="AM121" i="1"/>
  <c r="X129" i="1"/>
  <c r="X183" i="1"/>
  <c r="M113" i="2"/>
  <c r="N113" i="2" s="1"/>
  <c r="M203" i="2"/>
  <c r="N203" i="2" s="1"/>
  <c r="O224" i="2"/>
  <c r="M260" i="2"/>
  <c r="N260" i="2" s="1"/>
  <c r="O278" i="2"/>
  <c r="K278" i="2"/>
  <c r="Q456" i="2"/>
  <c r="P456" i="2"/>
  <c r="AN150" i="1"/>
  <c r="AM150" i="1"/>
  <c r="X182" i="1"/>
  <c r="V182" i="1"/>
  <c r="U182" i="1"/>
  <c r="K32" i="2"/>
  <c r="L32" i="2" s="1"/>
  <c r="O32" i="2"/>
  <c r="O116" i="2"/>
  <c r="K116" i="2"/>
  <c r="O181" i="2"/>
  <c r="K181" i="2"/>
  <c r="K189" i="2"/>
  <c r="O189" i="2"/>
  <c r="M233" i="2"/>
  <c r="N233" i="2" s="1"/>
  <c r="M236" i="2"/>
  <c r="N236" i="2" s="1"/>
  <c r="Q243" i="2"/>
  <c r="P243" i="2"/>
  <c r="M347" i="2"/>
  <c r="N347" i="2" s="1"/>
  <c r="O383" i="2"/>
  <c r="K383" i="2"/>
  <c r="Q434" i="2"/>
  <c r="P434" i="2"/>
  <c r="M618" i="2"/>
  <c r="N618" i="2" s="1"/>
  <c r="O655" i="2"/>
  <c r="K655" i="2"/>
  <c r="AN111" i="1"/>
  <c r="AM111" i="1"/>
  <c r="AN139" i="1"/>
  <c r="AM139" i="1"/>
  <c r="AN165" i="1"/>
  <c r="AM165" i="1"/>
  <c r="AN181" i="1"/>
  <c r="AM181" i="1"/>
  <c r="Q14" i="2"/>
  <c r="P14" i="2"/>
  <c r="K43" i="2"/>
  <c r="L43" i="2" s="1"/>
  <c r="M43" i="2" s="1"/>
  <c r="O62" i="2"/>
  <c r="K62" i="2"/>
  <c r="Q78" i="2"/>
  <c r="P78" i="2"/>
  <c r="P125" i="2"/>
  <c r="P143" i="2"/>
  <c r="M152" i="2"/>
  <c r="N152" i="2" s="1"/>
  <c r="O201" i="2"/>
  <c r="K201" i="2"/>
  <c r="Q231" i="2"/>
  <c r="P231" i="2"/>
  <c r="O264" i="2"/>
  <c r="K264" i="2"/>
  <c r="M289" i="2"/>
  <c r="N289" i="2" s="1"/>
  <c r="M350" i="2"/>
  <c r="N350" i="2" s="1"/>
  <c r="N599" i="2"/>
  <c r="Q187" i="2"/>
  <c r="P187" i="2"/>
  <c r="Q425" i="2"/>
  <c r="P425" i="2"/>
  <c r="O443" i="2"/>
  <c r="K443" i="2"/>
  <c r="Q539" i="2"/>
  <c r="P539" i="2"/>
  <c r="M560" i="2"/>
  <c r="N560" i="2" s="1"/>
  <c r="O622" i="2"/>
  <c r="K622" i="2"/>
  <c r="AN71" i="1"/>
  <c r="AM71" i="1"/>
  <c r="X179" i="1"/>
  <c r="K5" i="2"/>
  <c r="L5" i="2" s="1"/>
  <c r="O5" i="2"/>
  <c r="K9" i="2"/>
  <c r="L9" i="2" s="1"/>
  <c r="O37" i="2"/>
  <c r="K37" i="2"/>
  <c r="L37" i="2" s="1"/>
  <c r="Q43" i="2"/>
  <c r="Q66" i="2"/>
  <c r="P66" i="2"/>
  <c r="N71" i="2"/>
  <c r="Q84" i="2"/>
  <c r="P84" i="2"/>
  <c r="O101" i="2"/>
  <c r="K101" i="2"/>
  <c r="Q182" i="2"/>
  <c r="P182" i="2"/>
  <c r="Q202" i="2"/>
  <c r="P202" i="2"/>
  <c r="K208" i="2"/>
  <c r="K213" i="2"/>
  <c r="O213" i="2"/>
  <c r="N224" i="2"/>
  <c r="N287" i="2"/>
  <c r="Q332" i="2"/>
  <c r="P332" i="2"/>
  <c r="N341" i="2"/>
  <c r="M384" i="2"/>
  <c r="N384" i="2" s="1"/>
  <c r="O440" i="2"/>
  <c r="K440" i="2"/>
  <c r="M688" i="2"/>
  <c r="N688" i="2" s="1"/>
  <c r="Q757" i="2"/>
  <c r="P757" i="2"/>
  <c r="M101" i="2"/>
  <c r="N101" i="2" s="1"/>
  <c r="K109" i="2"/>
  <c r="O109" i="2"/>
  <c r="P132" i="2"/>
  <c r="Q132" i="2"/>
  <c r="K140" i="2"/>
  <c r="O140" i="2"/>
  <c r="M213" i="2"/>
  <c r="N213" i="2" s="1"/>
  <c r="O216" i="2"/>
  <c r="K216" i="2"/>
  <c r="O252" i="2"/>
  <c r="P330" i="2"/>
  <c r="Q330" i="2"/>
  <c r="Q554" i="2"/>
  <c r="P554" i="2"/>
  <c r="O613" i="2"/>
  <c r="K613" i="2"/>
  <c r="K794" i="2"/>
  <c r="O794" i="2"/>
  <c r="AN131" i="1"/>
  <c r="AM131" i="1"/>
  <c r="V176" i="1"/>
  <c r="W176" i="1" s="1"/>
  <c r="X178" i="1"/>
  <c r="X185" i="1"/>
  <c r="O23" i="2"/>
  <c r="K23" i="2"/>
  <c r="L23" i="2" s="1"/>
  <c r="P98" i="2"/>
  <c r="P135" i="2"/>
  <c r="Q135" i="2"/>
  <c r="P150" i="2"/>
  <c r="Q150" i="2"/>
  <c r="M208" i="2"/>
  <c r="N208" i="2" s="1"/>
  <c r="O250" i="2"/>
  <c r="K250" i="2"/>
  <c r="K339" i="2"/>
  <c r="O339" i="2"/>
  <c r="M365" i="2"/>
  <c r="N365" i="2" s="1"/>
  <c r="Q371" i="2"/>
  <c r="P371" i="2"/>
  <c r="Q378" i="2"/>
  <c r="P378" i="2"/>
  <c r="Q398" i="2"/>
  <c r="P398" i="2"/>
  <c r="O473" i="2"/>
  <c r="K473" i="2"/>
  <c r="P673" i="2"/>
  <c r="Q673" i="2"/>
  <c r="X156" i="1"/>
  <c r="AN159" i="1"/>
  <c r="AM159" i="1"/>
  <c r="V197" i="1"/>
  <c r="U197" i="1"/>
  <c r="Q38" i="2"/>
  <c r="P41" i="2"/>
  <c r="P96" i="2"/>
  <c r="N109" i="2"/>
  <c r="N124" i="2"/>
  <c r="K132" i="2"/>
  <c r="O208" i="2"/>
  <c r="M216" i="2"/>
  <c r="N216" i="2" s="1"/>
  <c r="M247" i="2"/>
  <c r="N247" i="2" s="1"/>
  <c r="O277" i="2"/>
  <c r="K277" i="2"/>
  <c r="P359" i="2"/>
  <c r="N362" i="2"/>
  <c r="N478" i="2"/>
  <c r="Q481" i="2"/>
  <c r="P481" i="2"/>
  <c r="V188" i="1"/>
  <c r="U188" i="1"/>
  <c r="Q10" i="2"/>
  <c r="P10" i="2"/>
  <c r="K13" i="2"/>
  <c r="L13" i="2" s="1"/>
  <c r="Q13" i="2"/>
  <c r="P13" i="2"/>
  <c r="O34" i="2"/>
  <c r="P102" i="2"/>
  <c r="Q102" i="2"/>
  <c r="O107" i="2"/>
  <c r="K107" i="2"/>
  <c r="K122" i="2"/>
  <c r="K135" i="2"/>
  <c r="K148" i="2"/>
  <c r="O148" i="2"/>
  <c r="O193" i="2"/>
  <c r="K193" i="2"/>
  <c r="K211" i="2"/>
  <c r="K225" i="2"/>
  <c r="O225" i="2"/>
  <c r="K371" i="2"/>
  <c r="X188" i="1"/>
  <c r="K38" i="2"/>
  <c r="L38" i="2" s="1"/>
  <c r="Q115" i="2"/>
  <c r="P115" i="2"/>
  <c r="O124" i="2"/>
  <c r="M135" i="2"/>
  <c r="N135" i="2" s="1"/>
  <c r="Q203" i="2"/>
  <c r="P203" i="2"/>
  <c r="Q214" i="2"/>
  <c r="P214" i="2"/>
  <c r="K288" i="2"/>
  <c r="O288" i="2"/>
  <c r="P306" i="2"/>
  <c r="Q306" i="2"/>
  <c r="O323" i="2"/>
  <c r="K323" i="2"/>
  <c r="M352" i="2"/>
  <c r="N352" i="2" s="1"/>
  <c r="M371" i="2"/>
  <c r="N371" i="2" s="1"/>
  <c r="V67" i="1"/>
  <c r="U67" i="1"/>
  <c r="AM177" i="1"/>
  <c r="K10" i="2"/>
  <c r="L10" i="2" s="1"/>
  <c r="O56" i="2"/>
  <c r="K56" i="2"/>
  <c r="L56" i="2" s="1"/>
  <c r="M56" i="2" s="1"/>
  <c r="N56" i="2" s="1"/>
  <c r="Q69" i="2"/>
  <c r="M72" i="2"/>
  <c r="N72" i="2" s="1"/>
  <c r="N92" i="2"/>
  <c r="K102" i="2"/>
  <c r="P129" i="2"/>
  <c r="K157" i="2"/>
  <c r="O157" i="2"/>
  <c r="O175" i="2"/>
  <c r="K175" i="2"/>
  <c r="Q326" i="2"/>
  <c r="P530" i="2"/>
  <c r="AN157" i="1"/>
  <c r="AM157" i="1"/>
  <c r="V199" i="1"/>
  <c r="W199" i="1" s="1"/>
  <c r="P38" i="2"/>
  <c r="M102" i="2"/>
  <c r="N102" i="2" s="1"/>
  <c r="N107" i="2"/>
  <c r="K115" i="2"/>
  <c r="N148" i="2"/>
  <c r="O154" i="2"/>
  <c r="M161" i="2"/>
  <c r="N161" i="2" s="1"/>
  <c r="K191" i="2"/>
  <c r="O191" i="2"/>
  <c r="K203" i="2"/>
  <c r="M206" i="2"/>
  <c r="N206" i="2" s="1"/>
  <c r="O209" i="2"/>
  <c r="K209" i="2"/>
  <c r="K214" i="2"/>
  <c r="K306" i="2"/>
  <c r="M349" i="2"/>
  <c r="N349" i="2" s="1"/>
  <c r="P352" i="2"/>
  <c r="N461" i="2"/>
  <c r="K528" i="2"/>
  <c r="O528" i="2"/>
  <c r="O263" i="2"/>
  <c r="K263" i="2"/>
  <c r="Q335" i="2"/>
  <c r="P335" i="2"/>
  <c r="O360" i="2"/>
  <c r="K360" i="2"/>
  <c r="O521" i="2"/>
  <c r="K521" i="2"/>
  <c r="M615" i="2"/>
  <c r="N615" i="2" s="1"/>
  <c r="V107" i="1"/>
  <c r="U107" i="1"/>
  <c r="X146" i="1"/>
  <c r="Q85" i="2"/>
  <c r="P85" i="2"/>
  <c r="N90" i="2"/>
  <c r="N120" i="2"/>
  <c r="K184" i="2"/>
  <c r="O184" i="2"/>
  <c r="M266" i="2"/>
  <c r="N266" i="2" s="1"/>
  <c r="M272" i="2"/>
  <c r="N272" i="2" s="1"/>
  <c r="N292" i="2"/>
  <c r="O304" i="2"/>
  <c r="K304" i="2"/>
  <c r="P314" i="2"/>
  <c r="Q314" i="2"/>
  <c r="K326" i="2"/>
  <c r="O353" i="2"/>
  <c r="K353" i="2"/>
  <c r="K369" i="2"/>
  <c r="K419" i="2"/>
  <c r="O419" i="2"/>
  <c r="K454" i="2"/>
  <c r="O454" i="2"/>
  <c r="O514" i="2"/>
  <c r="K514" i="2"/>
  <c r="O527" i="2"/>
  <c r="K527" i="2"/>
  <c r="Q534" i="2"/>
  <c r="P534" i="2"/>
  <c r="P545" i="2"/>
  <c r="K583" i="2"/>
  <c r="O583" i="2"/>
  <c r="Q615" i="2"/>
  <c r="P615" i="2"/>
  <c r="O965" i="2"/>
  <c r="K965" i="2"/>
  <c r="AN61" i="1"/>
  <c r="AQ61" i="1" s="1"/>
  <c r="AM61" i="1"/>
  <c r="V127" i="1"/>
  <c r="U127" i="1"/>
  <c r="V168" i="1"/>
  <c r="U168" i="1"/>
  <c r="AN171" i="1"/>
  <c r="AM171" i="1"/>
  <c r="Q18" i="2"/>
  <c r="O72" i="2"/>
  <c r="K72" i="2"/>
  <c r="M144" i="2"/>
  <c r="N144" i="2" s="1"/>
  <c r="O336" i="2"/>
  <c r="K336" i="2"/>
  <c r="N390" i="2"/>
  <c r="Q393" i="2"/>
  <c r="P393" i="2"/>
  <c r="M495" i="2"/>
  <c r="N495" i="2" s="1"/>
  <c r="Q685" i="2"/>
  <c r="P685" i="2"/>
  <c r="P688" i="2"/>
  <c r="Q688" i="2"/>
  <c r="M847" i="2"/>
  <c r="N847" i="2" s="1"/>
  <c r="O863" i="2"/>
  <c r="K863" i="2"/>
  <c r="V137" i="1"/>
  <c r="U137" i="1"/>
  <c r="Q100" i="2"/>
  <c r="P100" i="2"/>
  <c r="Q133" i="2"/>
  <c r="P133" i="2"/>
  <c r="K185" i="2"/>
  <c r="O185" i="2"/>
  <c r="N222" i="2"/>
  <c r="M225" i="2"/>
  <c r="N225" i="2" s="1"/>
  <c r="K245" i="2"/>
  <c r="O245" i="2"/>
  <c r="K313" i="2"/>
  <c r="O313" i="2"/>
  <c r="Q324" i="2"/>
  <c r="P324" i="2"/>
  <c r="M377" i="2"/>
  <c r="N377" i="2" s="1"/>
  <c r="N393" i="2"/>
  <c r="Q396" i="2"/>
  <c r="P396" i="2"/>
  <c r="N405" i="2"/>
  <c r="M443" i="2"/>
  <c r="N443" i="2" s="1"/>
  <c r="M509" i="2"/>
  <c r="N509" i="2" s="1"/>
  <c r="O800" i="2"/>
  <c r="K800" i="2"/>
  <c r="AN141" i="1"/>
  <c r="AM141" i="1"/>
  <c r="V158" i="1"/>
  <c r="U158" i="1"/>
  <c r="AN161" i="1"/>
  <c r="AM161" i="1"/>
  <c r="Q39" i="2"/>
  <c r="P39" i="2"/>
  <c r="P70" i="2"/>
  <c r="Q70" i="2"/>
  <c r="M155" i="2"/>
  <c r="N155" i="2" s="1"/>
  <c r="Q247" i="2"/>
  <c r="P247" i="2"/>
  <c r="K265" i="2"/>
  <c r="O265" i="2"/>
  <c r="M380" i="2"/>
  <c r="N380" i="2" s="1"/>
  <c r="O423" i="2"/>
  <c r="K423" i="2"/>
  <c r="Q662" i="2"/>
  <c r="P662" i="2"/>
  <c r="O674" i="2"/>
  <c r="K674" i="2"/>
  <c r="M680" i="2"/>
  <c r="N680" i="2" s="1"/>
  <c r="V157" i="1"/>
  <c r="U157" i="1"/>
  <c r="K3" i="2"/>
  <c r="L3" i="2" s="1"/>
  <c r="O27" i="2"/>
  <c r="K27" i="2"/>
  <c r="L27" i="2" s="1"/>
  <c r="K100" i="2"/>
  <c r="Q111" i="2"/>
  <c r="P111" i="2"/>
  <c r="M130" i="2"/>
  <c r="N130" i="2" s="1"/>
  <c r="K133" i="2"/>
  <c r="N190" i="2"/>
  <c r="N201" i="2"/>
  <c r="N204" i="2"/>
  <c r="Q220" i="2"/>
  <c r="P220" i="2"/>
  <c r="P222" i="2"/>
  <c r="P275" i="2"/>
  <c r="M288" i="2"/>
  <c r="N288" i="2" s="1"/>
  <c r="P310" i="2"/>
  <c r="Q310" i="2"/>
  <c r="M313" i="2"/>
  <c r="N313" i="2" s="1"/>
  <c r="K324" i="2"/>
  <c r="Q375" i="2"/>
  <c r="P375" i="2"/>
  <c r="M383" i="2"/>
  <c r="N383" i="2" s="1"/>
  <c r="M388" i="2"/>
  <c r="N388" i="2" s="1"/>
  <c r="P391" i="2"/>
  <c r="Q391" i="2"/>
  <c r="K396" i="2"/>
  <c r="P415" i="2"/>
  <c r="M426" i="2"/>
  <c r="N426" i="2" s="1"/>
  <c r="Q428" i="2"/>
  <c r="P428" i="2"/>
  <c r="O493" i="2"/>
  <c r="K493" i="2"/>
  <c r="Q657" i="2"/>
  <c r="P657" i="2"/>
  <c r="P21" i="2"/>
  <c r="K33" i="2"/>
  <c r="L33" i="2" s="1"/>
  <c r="K39" i="2"/>
  <c r="L39" i="2" s="1"/>
  <c r="Q128" i="2"/>
  <c r="P128" i="2"/>
  <c r="M265" i="2"/>
  <c r="N265" i="2" s="1"/>
  <c r="M324" i="2"/>
  <c r="N324" i="2" s="1"/>
  <c r="M396" i="2"/>
  <c r="N396" i="2" s="1"/>
  <c r="Q504" i="2"/>
  <c r="P504" i="2"/>
  <c r="N611" i="2"/>
  <c r="K51" i="2"/>
  <c r="L51" i="2" s="1"/>
  <c r="M51" i="2" s="1"/>
  <c r="K63" i="2"/>
  <c r="K78" i="2"/>
  <c r="M100" i="2"/>
  <c r="N100" i="2" s="1"/>
  <c r="N117" i="2"/>
  <c r="N133" i="2"/>
  <c r="M145" i="2"/>
  <c r="N145" i="2" s="1"/>
  <c r="Q147" i="2"/>
  <c r="P147" i="2"/>
  <c r="N150" i="2"/>
  <c r="M199" i="2"/>
  <c r="N199" i="2" s="1"/>
  <c r="P318" i="2"/>
  <c r="Q318" i="2"/>
  <c r="Q362" i="2"/>
  <c r="P362" i="2"/>
  <c r="K365" i="2"/>
  <c r="O365" i="2"/>
  <c r="Q413" i="2"/>
  <c r="P413" i="2"/>
  <c r="Q502" i="2"/>
  <c r="P502" i="2"/>
  <c r="O629" i="2"/>
  <c r="K629" i="2"/>
  <c r="V198" i="1"/>
  <c r="U198" i="1"/>
  <c r="AN201" i="1"/>
  <c r="AM201" i="1"/>
  <c r="O11" i="2"/>
  <c r="O68" i="2"/>
  <c r="K68" i="2"/>
  <c r="K128" i="2"/>
  <c r="N303" i="2"/>
  <c r="K316" i="2"/>
  <c r="M359" i="2"/>
  <c r="N359" i="2" s="1"/>
  <c r="N375" i="2"/>
  <c r="Q381" i="2"/>
  <c r="P381" i="2"/>
  <c r="Q388" i="2"/>
  <c r="O411" i="2"/>
  <c r="K411" i="2"/>
  <c r="Q461" i="2"/>
  <c r="P461" i="2"/>
  <c r="M467" i="2"/>
  <c r="N467" i="2" s="1"/>
  <c r="Q486" i="2"/>
  <c r="P486" i="2"/>
  <c r="O499" i="2"/>
  <c r="K499" i="2"/>
  <c r="M593" i="2"/>
  <c r="N593" i="2" s="1"/>
  <c r="Q611" i="2"/>
  <c r="P611" i="2"/>
  <c r="N632" i="2"/>
  <c r="K25" i="2"/>
  <c r="L25" i="2" s="1"/>
  <c r="K58" i="2"/>
  <c r="L58" i="2" s="1"/>
  <c r="K114" i="2"/>
  <c r="Q153" i="2"/>
  <c r="P153" i="2"/>
  <c r="P176" i="2"/>
  <c r="Q176" i="2"/>
  <c r="Q274" i="2"/>
  <c r="P274" i="2"/>
  <c r="M293" i="2"/>
  <c r="N293" i="2" s="1"/>
  <c r="M363" i="2"/>
  <c r="N363" i="2" s="1"/>
  <c r="M381" i="2"/>
  <c r="N381" i="2" s="1"/>
  <c r="Q403" i="2"/>
  <c r="P403" i="2"/>
  <c r="N481" i="2"/>
  <c r="O484" i="2"/>
  <c r="K484" i="2"/>
  <c r="Q649" i="2"/>
  <c r="P649" i="2"/>
  <c r="N797" i="2"/>
  <c r="O860" i="2"/>
  <c r="K860" i="2"/>
  <c r="O982" i="2"/>
  <c r="K982" i="2"/>
  <c r="M64" i="2"/>
  <c r="N64" i="2" s="1"/>
  <c r="Q174" i="2"/>
  <c r="P174" i="2"/>
  <c r="Q204" i="2"/>
  <c r="P204" i="2"/>
  <c r="O291" i="2"/>
  <c r="K291" i="2"/>
  <c r="Q334" i="2"/>
  <c r="P334" i="2"/>
  <c r="Q449" i="2"/>
  <c r="P449" i="2"/>
  <c r="O452" i="2"/>
  <c r="K452" i="2"/>
  <c r="Q541" i="2"/>
  <c r="P541" i="2"/>
  <c r="M58" i="2"/>
  <c r="N58" i="2" s="1"/>
  <c r="M70" i="2"/>
  <c r="N70" i="2" s="1"/>
  <c r="M93" i="2"/>
  <c r="N93" i="2" s="1"/>
  <c r="M97" i="2"/>
  <c r="N97" i="2" s="1"/>
  <c r="M114" i="2"/>
  <c r="N114" i="2" s="1"/>
  <c r="Q151" i="2"/>
  <c r="P151" i="2"/>
  <c r="M176" i="2"/>
  <c r="N176" i="2" s="1"/>
  <c r="M207" i="2"/>
  <c r="N207" i="2" s="1"/>
  <c r="O223" i="2"/>
  <c r="K223" i="2"/>
  <c r="M232" i="2"/>
  <c r="N232" i="2" s="1"/>
  <c r="O248" i="2"/>
  <c r="K248" i="2"/>
  <c r="M264" i="2"/>
  <c r="N264" i="2" s="1"/>
  <c r="P286" i="2"/>
  <c r="P309" i="2"/>
  <c r="O322" i="2"/>
  <c r="K322" i="2"/>
  <c r="K325" i="2"/>
  <c r="O325" i="2"/>
  <c r="M348" i="2"/>
  <c r="N348" i="2" s="1"/>
  <c r="M376" i="2"/>
  <c r="N376" i="2" s="1"/>
  <c r="N400" i="2"/>
  <c r="M403" i="2"/>
  <c r="N403" i="2" s="1"/>
  <c r="Q433" i="2"/>
  <c r="P433" i="2"/>
  <c r="M502" i="2"/>
  <c r="N502" i="2" s="1"/>
  <c r="M564" i="2"/>
  <c r="N564" i="2" s="1"/>
  <c r="M598" i="2"/>
  <c r="N598" i="2" s="1"/>
  <c r="M613" i="2"/>
  <c r="N613" i="2" s="1"/>
  <c r="O642" i="2"/>
  <c r="K642" i="2"/>
  <c r="P783" i="2"/>
  <c r="O954" i="2"/>
  <c r="K954" i="2"/>
  <c r="K54" i="2"/>
  <c r="L54" i="2" s="1"/>
  <c r="M54" i="2" s="1"/>
  <c r="N62" i="2"/>
  <c r="K81" i="2"/>
  <c r="K87" i="2"/>
  <c r="N95" i="2"/>
  <c r="P144" i="2"/>
  <c r="P146" i="2"/>
  <c r="M153" i="2"/>
  <c r="N153" i="2" s="1"/>
  <c r="K174" i="2"/>
  <c r="N183" i="2"/>
  <c r="M202" i="2"/>
  <c r="N202" i="2" s="1"/>
  <c r="K230" i="2"/>
  <c r="O237" i="2"/>
  <c r="P239" i="2"/>
  <c r="N277" i="2"/>
  <c r="O280" i="2"/>
  <c r="K280" i="2"/>
  <c r="M298" i="2"/>
  <c r="N298" i="2" s="1"/>
  <c r="M319" i="2"/>
  <c r="N319" i="2" s="1"/>
  <c r="K334" i="2"/>
  <c r="K337" i="2"/>
  <c r="P394" i="2"/>
  <c r="Q394" i="2"/>
  <c r="K449" i="2"/>
  <c r="M494" i="2"/>
  <c r="N494" i="2" s="1"/>
  <c r="Q610" i="2"/>
  <c r="M622" i="2"/>
  <c r="N622" i="2" s="1"/>
  <c r="O25" i="2"/>
  <c r="P42" i="2"/>
  <c r="Q42" i="2"/>
  <c r="O58" i="2"/>
  <c r="K77" i="2"/>
  <c r="O77" i="2"/>
  <c r="N87" i="2"/>
  <c r="O114" i="2"/>
  <c r="K151" i="2"/>
  <c r="N172" i="2"/>
  <c r="P183" i="2"/>
  <c r="K205" i="2"/>
  <c r="O205" i="2"/>
  <c r="K212" i="2"/>
  <c r="K235" i="2"/>
  <c r="M312" i="2"/>
  <c r="N312" i="2" s="1"/>
  <c r="O317" i="2"/>
  <c r="K317" i="2"/>
  <c r="O364" i="2"/>
  <c r="K364" i="2"/>
  <c r="M389" i="2"/>
  <c r="N389" i="2" s="1"/>
  <c r="K398" i="2"/>
  <c r="O424" i="2"/>
  <c r="K424" i="2"/>
  <c r="Q441" i="2"/>
  <c r="P441" i="2"/>
  <c r="M449" i="2"/>
  <c r="N449" i="2" s="1"/>
  <c r="Q771" i="2"/>
  <c r="P771" i="2"/>
  <c r="M947" i="2"/>
  <c r="N947" i="2" s="1"/>
  <c r="Q149" i="2"/>
  <c r="P149" i="2"/>
  <c r="O221" i="2"/>
  <c r="K221" i="2"/>
  <c r="M235" i="2"/>
  <c r="N235" i="2" s="1"/>
  <c r="M253" i="2"/>
  <c r="N253" i="2" s="1"/>
  <c r="O409" i="2"/>
  <c r="K409" i="2"/>
  <c r="K434" i="2"/>
  <c r="N590" i="2"/>
  <c r="Q593" i="2"/>
  <c r="P593" i="2"/>
  <c r="M636" i="2"/>
  <c r="N636" i="2" s="1"/>
  <c r="Q807" i="2"/>
  <c r="P807" i="2"/>
  <c r="Q40" i="2"/>
  <c r="P40" i="2"/>
  <c r="K42" i="2"/>
  <c r="L42" i="2" s="1"/>
  <c r="M42" i="2" s="1"/>
  <c r="Q60" i="2"/>
  <c r="N79" i="2"/>
  <c r="Q87" i="2"/>
  <c r="O106" i="2"/>
  <c r="K117" i="2"/>
  <c r="O117" i="2"/>
  <c r="M125" i="2"/>
  <c r="N125" i="2" s="1"/>
  <c r="O138" i="2"/>
  <c r="N192" i="2"/>
  <c r="N196" i="2"/>
  <c r="N205" i="2"/>
  <c r="N212" i="2"/>
  <c r="K330" i="2"/>
  <c r="M364" i="2"/>
  <c r="N364" i="2" s="1"/>
  <c r="Q401" i="2"/>
  <c r="P401" i="2"/>
  <c r="M424" i="2"/>
  <c r="N424" i="2" s="1"/>
  <c r="M460" i="2"/>
  <c r="N460" i="2" s="1"/>
  <c r="O463" i="2"/>
  <c r="N539" i="2"/>
  <c r="Q553" i="2"/>
  <c r="P553" i="2"/>
  <c r="K611" i="2"/>
  <c r="K771" i="2"/>
  <c r="M810" i="2"/>
  <c r="N810" i="2" s="1"/>
  <c r="Q233" i="2"/>
  <c r="P233" i="2"/>
  <c r="N262" i="2"/>
  <c r="N332" i="2"/>
  <c r="Q438" i="2"/>
  <c r="P438" i="2"/>
  <c r="M441" i="2"/>
  <c r="N441" i="2" s="1"/>
  <c r="Q472" i="2"/>
  <c r="P472" i="2"/>
  <c r="Q479" i="2"/>
  <c r="P479" i="2"/>
  <c r="O511" i="2"/>
  <c r="K511" i="2"/>
  <c r="K582" i="2"/>
  <c r="K585" i="2"/>
  <c r="P590" i="2"/>
  <c r="Q590" i="2"/>
  <c r="K643" i="2"/>
  <c r="O643" i="2"/>
  <c r="Q690" i="2"/>
  <c r="O697" i="2"/>
  <c r="K697" i="2"/>
  <c r="K197" i="2"/>
  <c r="O295" i="2"/>
  <c r="K295" i="2"/>
  <c r="Q321" i="2"/>
  <c r="P321" i="2"/>
  <c r="O422" i="2"/>
  <c r="K422" i="2"/>
  <c r="Q509" i="2"/>
  <c r="P509" i="2"/>
  <c r="O512" i="2"/>
  <c r="K512" i="2"/>
  <c r="K616" i="2"/>
  <c r="O616" i="2"/>
  <c r="O845" i="2"/>
  <c r="K845" i="2"/>
  <c r="N104" i="2"/>
  <c r="N132" i="2"/>
  <c r="N178" i="2"/>
  <c r="K240" i="2"/>
  <c r="M391" i="2"/>
  <c r="N391" i="2" s="1"/>
  <c r="N411" i="2"/>
  <c r="N432" i="2"/>
  <c r="K465" i="2"/>
  <c r="O465" i="2"/>
  <c r="Q489" i="2"/>
  <c r="P489" i="2"/>
  <c r="K500" i="2"/>
  <c r="O500" i="2"/>
  <c r="Q525" i="2"/>
  <c r="P525" i="2"/>
  <c r="O664" i="2"/>
  <c r="K664" i="2"/>
  <c r="M898" i="2"/>
  <c r="N898" i="2" s="1"/>
  <c r="K165" i="2"/>
  <c r="O165" i="2"/>
  <c r="M223" i="2"/>
  <c r="N223" i="2" s="1"/>
  <c r="K255" i="2"/>
  <c r="M263" i="2"/>
  <c r="N263" i="2" s="1"/>
  <c r="Q351" i="2"/>
  <c r="P351" i="2"/>
  <c r="K399" i="2"/>
  <c r="O399" i="2"/>
  <c r="N452" i="2"/>
  <c r="Q467" i="2"/>
  <c r="P467" i="2"/>
  <c r="Q475" i="2"/>
  <c r="P475" i="2"/>
  <c r="K541" i="2"/>
  <c r="O597" i="2"/>
  <c r="K597" i="2"/>
  <c r="M631" i="2"/>
  <c r="N631" i="2" s="1"/>
  <c r="M639" i="2"/>
  <c r="N639" i="2" s="1"/>
  <c r="N749" i="2"/>
  <c r="M755" i="2"/>
  <c r="N755" i="2" s="1"/>
  <c r="Q905" i="2"/>
  <c r="P905" i="2"/>
  <c r="O951" i="2"/>
  <c r="K951" i="2"/>
  <c r="O969" i="2"/>
  <c r="K969" i="2"/>
  <c r="K97" i="2"/>
  <c r="K169" i="2"/>
  <c r="N221" i="2"/>
  <c r="N248" i="2"/>
  <c r="K283" i="2"/>
  <c r="Q289" i="2"/>
  <c r="P289" i="2"/>
  <c r="N291" i="2"/>
  <c r="N322" i="2"/>
  <c r="O368" i="2"/>
  <c r="K368" i="2"/>
  <c r="P389" i="2"/>
  <c r="Q389" i="2"/>
  <c r="M407" i="2"/>
  <c r="N407" i="2" s="1"/>
  <c r="M409" i="2"/>
  <c r="N409" i="2" s="1"/>
  <c r="N500" i="2"/>
  <c r="M705" i="2"/>
  <c r="N705" i="2" s="1"/>
  <c r="O708" i="2"/>
  <c r="K708" i="2"/>
  <c r="M761" i="2"/>
  <c r="N761" i="2" s="1"/>
  <c r="M954" i="2"/>
  <c r="N954" i="2" s="1"/>
  <c r="Q259" i="2"/>
  <c r="P259" i="2"/>
  <c r="N276" i="2"/>
  <c r="N423" i="2"/>
  <c r="K495" i="2"/>
  <c r="O495" i="2"/>
  <c r="N592" i="2"/>
  <c r="N597" i="2"/>
  <c r="K618" i="2"/>
  <c r="N626" i="2"/>
  <c r="M650" i="2"/>
  <c r="N650" i="2" s="1"/>
  <c r="K753" i="2"/>
  <c r="O753" i="2"/>
  <c r="M849" i="2"/>
  <c r="N849" i="2" s="1"/>
  <c r="O874" i="2"/>
  <c r="K874" i="2"/>
  <c r="P886" i="2"/>
  <c r="Q895" i="2"/>
  <c r="O929" i="2"/>
  <c r="K929" i="2"/>
  <c r="Q933" i="2"/>
  <c r="P933" i="2"/>
  <c r="P966" i="2"/>
  <c r="K445" i="2"/>
  <c r="Q523" i="2"/>
  <c r="P523" i="2"/>
  <c r="M538" i="2"/>
  <c r="N538" i="2" s="1"/>
  <c r="N584" i="2"/>
  <c r="M589" i="2"/>
  <c r="N589" i="2" s="1"/>
  <c r="Q595" i="2"/>
  <c r="P595" i="2"/>
  <c r="Q687" i="2"/>
  <c r="P687" i="2"/>
  <c r="Q693" i="2"/>
  <c r="P693" i="2"/>
  <c r="P705" i="2"/>
  <c r="O736" i="2"/>
  <c r="K736" i="2"/>
  <c r="O945" i="2"/>
  <c r="K945" i="2"/>
  <c r="M929" i="2"/>
  <c r="N929" i="2" s="1"/>
  <c r="N84" i="2"/>
  <c r="Q246" i="2"/>
  <c r="P246" i="2"/>
  <c r="O283" i="2"/>
  <c r="Q302" i="2"/>
  <c r="P302" i="2"/>
  <c r="O338" i="2"/>
  <c r="Q349" i="2"/>
  <c r="P349" i="2"/>
  <c r="Q358" i="2"/>
  <c r="P358" i="2"/>
  <c r="Q366" i="2"/>
  <c r="P366" i="2"/>
  <c r="Q377" i="2"/>
  <c r="P377" i="2"/>
  <c r="N392" i="2"/>
  <c r="O397" i="2"/>
  <c r="K397" i="2"/>
  <c r="M450" i="2"/>
  <c r="N450" i="2" s="1"/>
  <c r="Q460" i="2"/>
  <c r="P460" i="2"/>
  <c r="P470" i="2"/>
  <c r="Q470" i="2"/>
  <c r="N483" i="2"/>
  <c r="K523" i="2"/>
  <c r="O526" i="2"/>
  <c r="K526" i="2"/>
  <c r="O536" i="2"/>
  <c r="K536" i="2"/>
  <c r="K595" i="2"/>
  <c r="K632" i="2"/>
  <c r="O676" i="2"/>
  <c r="K676" i="2"/>
  <c r="K693" i="2"/>
  <c r="O850" i="2"/>
  <c r="K850" i="2"/>
  <c r="K345" i="2"/>
  <c r="Q508" i="2"/>
  <c r="P508" i="2"/>
  <c r="M523" i="2"/>
  <c r="N523" i="2" s="1"/>
  <c r="K590" i="2"/>
  <c r="Q618" i="2"/>
  <c r="P618" i="2"/>
  <c r="N629" i="2"/>
  <c r="M637" i="2"/>
  <c r="N637" i="2" s="1"/>
  <c r="M648" i="2"/>
  <c r="N648" i="2" s="1"/>
  <c r="M665" i="2"/>
  <c r="N665" i="2" s="1"/>
  <c r="Q865" i="2"/>
  <c r="P865" i="2"/>
  <c r="N440" i="2"/>
  <c r="N472" i="2"/>
  <c r="M508" i="2"/>
  <c r="N508" i="2" s="1"/>
  <c r="K555" i="2"/>
  <c r="O555" i="2"/>
  <c r="K558" i="2"/>
  <c r="K572" i="2"/>
  <c r="Q637" i="2"/>
  <c r="P637" i="2"/>
  <c r="N645" i="2"/>
  <c r="Q482" i="2"/>
  <c r="P482" i="2"/>
  <c r="O542" i="2"/>
  <c r="K542" i="2"/>
  <c r="Q551" i="2"/>
  <c r="P551" i="2"/>
  <c r="M556" i="2"/>
  <c r="N556" i="2" s="1"/>
  <c r="O573" i="2"/>
  <c r="K573" i="2"/>
  <c r="Q617" i="2"/>
  <c r="P617" i="2"/>
  <c r="O630" i="2"/>
  <c r="K630" i="2"/>
  <c r="Q672" i="2"/>
  <c r="P672" i="2"/>
  <c r="Q677" i="2"/>
  <c r="P677" i="2"/>
  <c r="P727" i="2"/>
  <c r="Q727" i="2"/>
  <c r="O747" i="2"/>
  <c r="K747" i="2"/>
  <c r="O894" i="2"/>
  <c r="K894" i="2"/>
  <c r="M278" i="2"/>
  <c r="N278" i="2" s="1"/>
  <c r="M308" i="2"/>
  <c r="N308" i="2" s="1"/>
  <c r="M321" i="2"/>
  <c r="N321" i="2" s="1"/>
  <c r="M336" i="2"/>
  <c r="N336" i="2" s="1"/>
  <c r="P347" i="2"/>
  <c r="M351" i="2"/>
  <c r="N351" i="2" s="1"/>
  <c r="M366" i="2"/>
  <c r="N366" i="2" s="1"/>
  <c r="M379" i="2"/>
  <c r="N379" i="2" s="1"/>
  <c r="M401" i="2"/>
  <c r="N401" i="2" s="1"/>
  <c r="O464" i="2"/>
  <c r="K464" i="2"/>
  <c r="P466" i="2"/>
  <c r="P468" i="2"/>
  <c r="Q491" i="2"/>
  <c r="P491" i="2"/>
  <c r="K515" i="2"/>
  <c r="P546" i="2"/>
  <c r="Q563" i="2"/>
  <c r="M570" i="2"/>
  <c r="N570" i="2" s="1"/>
  <c r="P580" i="2"/>
  <c r="Q591" i="2"/>
  <c r="P591" i="2"/>
  <c r="N609" i="2"/>
  <c r="N625" i="2"/>
  <c r="K644" i="2"/>
  <c r="M646" i="2"/>
  <c r="N646" i="2" s="1"/>
  <c r="N661" i="2"/>
  <c r="P669" i="2"/>
  <c r="O793" i="2"/>
  <c r="K793" i="2"/>
  <c r="M805" i="2"/>
  <c r="N805" i="2" s="1"/>
  <c r="M885" i="2"/>
  <c r="N885" i="2" s="1"/>
  <c r="M252" i="2"/>
  <c r="N252" i="2" s="1"/>
  <c r="N323" i="2"/>
  <c r="K420" i="2"/>
  <c r="M446" i="2"/>
  <c r="N446" i="2" s="1"/>
  <c r="K482" i="2"/>
  <c r="K551" i="2"/>
  <c r="K566" i="2"/>
  <c r="M605" i="2"/>
  <c r="N605" i="2" s="1"/>
  <c r="K617" i="2"/>
  <c r="N620" i="2"/>
  <c r="K641" i="2"/>
  <c r="K672" i="2"/>
  <c r="O704" i="2"/>
  <c r="K704" i="2"/>
  <c r="M725" i="2"/>
  <c r="N725" i="2" s="1"/>
  <c r="M779" i="2"/>
  <c r="N779" i="2" s="1"/>
  <c r="O825" i="2"/>
  <c r="K825" i="2"/>
  <c r="Q909" i="2"/>
  <c r="P909" i="2"/>
  <c r="M912" i="2"/>
  <c r="N912" i="2" s="1"/>
  <c r="O942" i="2"/>
  <c r="K942" i="2"/>
  <c r="N945" i="2"/>
  <c r="O444" i="2"/>
  <c r="K444" i="2"/>
  <c r="Q549" i="2"/>
  <c r="P549" i="2"/>
  <c r="M551" i="2"/>
  <c r="N551" i="2" s="1"/>
  <c r="O803" i="2"/>
  <c r="K803" i="2"/>
  <c r="Q805" i="2"/>
  <c r="P805" i="2"/>
  <c r="O867" i="2"/>
  <c r="K867" i="2"/>
  <c r="Q925" i="2"/>
  <c r="P925" i="2"/>
  <c r="Q979" i="2"/>
  <c r="K386" i="2"/>
  <c r="M416" i="2"/>
  <c r="N416" i="2" s="1"/>
  <c r="K425" i="2"/>
  <c r="P446" i="2"/>
  <c r="P448" i="2"/>
  <c r="N498" i="2"/>
  <c r="Q510" i="2"/>
  <c r="P510" i="2"/>
  <c r="M517" i="2"/>
  <c r="N517" i="2" s="1"/>
  <c r="O540" i="2"/>
  <c r="K540" i="2"/>
  <c r="N568" i="2"/>
  <c r="O578" i="2"/>
  <c r="N586" i="2"/>
  <c r="N591" i="2"/>
  <c r="N603" i="2"/>
  <c r="N617" i="2"/>
  <c r="M644" i="2"/>
  <c r="N644" i="2" s="1"/>
  <c r="Q742" i="2"/>
  <c r="P742" i="2"/>
  <c r="Q790" i="2"/>
  <c r="N814" i="2"/>
  <c r="O876" i="2"/>
  <c r="K876" i="2"/>
  <c r="K909" i="2"/>
  <c r="Q462" i="2"/>
  <c r="P462" i="2"/>
  <c r="Q469" i="2"/>
  <c r="P469" i="2"/>
  <c r="K549" i="2"/>
  <c r="O581" i="2"/>
  <c r="K581" i="2"/>
  <c r="K623" i="2"/>
  <c r="O623" i="2"/>
  <c r="Q639" i="2"/>
  <c r="P639" i="2"/>
  <c r="O670" i="2"/>
  <c r="K670" i="2"/>
  <c r="M695" i="2"/>
  <c r="N695" i="2" s="1"/>
  <c r="Q853" i="2"/>
  <c r="P853" i="2"/>
  <c r="O870" i="2"/>
  <c r="K870" i="2"/>
  <c r="K925" i="2"/>
  <c r="M372" i="2"/>
  <c r="N372" i="2" s="1"/>
  <c r="K404" i="2"/>
  <c r="M406" i="2"/>
  <c r="N406" i="2" s="1"/>
  <c r="M412" i="2"/>
  <c r="N412" i="2" s="1"/>
  <c r="N431" i="2"/>
  <c r="P439" i="2"/>
  <c r="M471" i="2"/>
  <c r="N471" i="2" s="1"/>
  <c r="N480" i="2"/>
  <c r="Q507" i="2"/>
  <c r="N549" i="2"/>
  <c r="M554" i="2"/>
  <c r="N554" i="2" s="1"/>
  <c r="O557" i="2"/>
  <c r="K557" i="2"/>
  <c r="O571" i="2"/>
  <c r="K571" i="2"/>
  <c r="O574" i="2"/>
  <c r="K574" i="2"/>
  <c r="Q599" i="2"/>
  <c r="P599" i="2"/>
  <c r="N659" i="2"/>
  <c r="M681" i="2"/>
  <c r="N681" i="2" s="1"/>
  <c r="O748" i="2"/>
  <c r="K748" i="2"/>
  <c r="M759" i="2"/>
  <c r="N759" i="2" s="1"/>
  <c r="M803" i="2"/>
  <c r="N803" i="2" s="1"/>
  <c r="M867" i="2"/>
  <c r="N867" i="2" s="1"/>
  <c r="P873" i="2"/>
  <c r="O898" i="2"/>
  <c r="K898" i="2"/>
  <c r="O907" i="2"/>
  <c r="K907" i="2"/>
  <c r="Q916" i="2"/>
  <c r="P916" i="2"/>
  <c r="N925" i="2"/>
  <c r="K605" i="2"/>
  <c r="M664" i="2"/>
  <c r="N664" i="2" s="1"/>
  <c r="N690" i="2"/>
  <c r="O774" i="2"/>
  <c r="K774" i="2"/>
  <c r="M783" i="2"/>
  <c r="N783" i="2" s="1"/>
  <c r="O930" i="2"/>
  <c r="K930" i="2"/>
  <c r="M623" i="2"/>
  <c r="N623" i="2" s="1"/>
  <c r="P686" i="2"/>
  <c r="Q686" i="2"/>
  <c r="Q809" i="2"/>
  <c r="P809" i="2"/>
  <c r="Q854" i="2"/>
  <c r="P854" i="2"/>
  <c r="O902" i="2"/>
  <c r="K902" i="2"/>
  <c r="M462" i="2"/>
  <c r="N462" i="2" s="1"/>
  <c r="M482" i="2"/>
  <c r="N482" i="2" s="1"/>
  <c r="M497" i="2"/>
  <c r="N497" i="2" s="1"/>
  <c r="N553" i="2"/>
  <c r="K565" i="2"/>
  <c r="N583" i="2"/>
  <c r="N616" i="2"/>
  <c r="M630" i="2"/>
  <c r="N630" i="2" s="1"/>
  <c r="M642" i="2"/>
  <c r="N642" i="2" s="1"/>
  <c r="P713" i="2"/>
  <c r="M732" i="2"/>
  <c r="N732" i="2" s="1"/>
  <c r="N836" i="2"/>
  <c r="P881" i="2"/>
  <c r="Q881" i="2"/>
  <c r="O914" i="2"/>
  <c r="K914" i="2"/>
  <c r="O962" i="2"/>
  <c r="K962" i="2"/>
  <c r="O998" i="2"/>
  <c r="K998" i="2"/>
  <c r="K455" i="2"/>
  <c r="K475" i="2"/>
  <c r="K486" i="2"/>
  <c r="K501" i="2"/>
  <c r="K544" i="2"/>
  <c r="K569" i="2"/>
  <c r="K575" i="2"/>
  <c r="K579" i="2"/>
  <c r="Q633" i="2"/>
  <c r="P633" i="2"/>
  <c r="M697" i="2"/>
  <c r="N697" i="2" s="1"/>
  <c r="P706" i="2"/>
  <c r="Q706" i="2"/>
  <c r="Q836" i="2"/>
  <c r="P836" i="2"/>
  <c r="M845" i="2"/>
  <c r="N845" i="2" s="1"/>
  <c r="M977" i="2"/>
  <c r="N977" i="2" s="1"/>
  <c r="Q980" i="2"/>
  <c r="P980" i="2"/>
  <c r="K983" i="2"/>
  <c r="M542" i="2"/>
  <c r="N542" i="2" s="1"/>
  <c r="N565" i="2"/>
  <c r="M571" i="2"/>
  <c r="N571" i="2" s="1"/>
  <c r="M573" i="2"/>
  <c r="N573" i="2" s="1"/>
  <c r="N581" i="2"/>
  <c r="K602" i="2"/>
  <c r="M635" i="2"/>
  <c r="N635" i="2" s="1"/>
  <c r="M750" i="2"/>
  <c r="N750" i="2" s="1"/>
  <c r="K807" i="2"/>
  <c r="M809" i="2"/>
  <c r="N809" i="2" s="1"/>
  <c r="Q828" i="2"/>
  <c r="P828" i="2"/>
  <c r="K881" i="2"/>
  <c r="O619" i="2"/>
  <c r="K619" i="2"/>
  <c r="Q692" i="2"/>
  <c r="P692" i="2"/>
  <c r="K950" i="2"/>
  <c r="O950" i="2"/>
  <c r="O956" i="2"/>
  <c r="K956" i="2"/>
  <c r="Q972" i="2"/>
  <c r="P972" i="2"/>
  <c r="P977" i="2"/>
  <c r="K980" i="2"/>
  <c r="M466" i="2"/>
  <c r="N466" i="2" s="1"/>
  <c r="M503" i="2"/>
  <c r="N503" i="2" s="1"/>
  <c r="M529" i="2"/>
  <c r="N529" i="2" s="1"/>
  <c r="M561" i="2"/>
  <c r="N561" i="2" s="1"/>
  <c r="M577" i="2"/>
  <c r="N577" i="2" s="1"/>
  <c r="O594" i="2"/>
  <c r="K594" i="2"/>
  <c r="M610" i="2"/>
  <c r="N610" i="2" s="1"/>
  <c r="N628" i="2"/>
  <c r="M638" i="2"/>
  <c r="N638" i="2" s="1"/>
  <c r="M651" i="2"/>
  <c r="N651" i="2" s="1"/>
  <c r="O653" i="2"/>
  <c r="M673" i="2"/>
  <c r="N673" i="2" s="1"/>
  <c r="P675" i="2"/>
  <c r="N678" i="2"/>
  <c r="M706" i="2"/>
  <c r="N706" i="2" s="1"/>
  <c r="M738" i="2"/>
  <c r="N738" i="2" s="1"/>
  <c r="O745" i="2"/>
  <c r="Q759" i="2"/>
  <c r="P759" i="2"/>
  <c r="Q834" i="2"/>
  <c r="O843" i="2"/>
  <c r="K843" i="2"/>
  <c r="M878" i="2"/>
  <c r="N878" i="2" s="1"/>
  <c r="M896" i="2"/>
  <c r="N896" i="2" s="1"/>
  <c r="M932" i="2"/>
  <c r="N932" i="2" s="1"/>
  <c r="Q983" i="2"/>
  <c r="N563" i="2"/>
  <c r="P579" i="2"/>
  <c r="K592" i="2"/>
  <c r="N619" i="2"/>
  <c r="K626" i="2"/>
  <c r="K645" i="2"/>
  <c r="Q689" i="2"/>
  <c r="P689" i="2"/>
  <c r="K692" i="2"/>
  <c r="Q695" i="2"/>
  <c r="P695" i="2"/>
  <c r="N709" i="2"/>
  <c r="O730" i="2"/>
  <c r="K730" i="2"/>
  <c r="O776" i="2"/>
  <c r="K776" i="2"/>
  <c r="Q810" i="2"/>
  <c r="P810" i="2"/>
  <c r="Q829" i="2"/>
  <c r="P829" i="2"/>
  <c r="N832" i="2"/>
  <c r="O840" i="2"/>
  <c r="K840" i="2"/>
  <c r="M869" i="2"/>
  <c r="N869" i="2" s="1"/>
  <c r="M956" i="2"/>
  <c r="N956" i="2" s="1"/>
  <c r="K972" i="2"/>
  <c r="N612" i="2"/>
  <c r="K662" i="2"/>
  <c r="K678" i="2"/>
  <c r="O678" i="2"/>
  <c r="M708" i="2"/>
  <c r="N708" i="2" s="1"/>
  <c r="O738" i="2"/>
  <c r="K738" i="2"/>
  <c r="O750" i="2"/>
  <c r="K750" i="2"/>
  <c r="M796" i="2"/>
  <c r="N796" i="2" s="1"/>
  <c r="O862" i="2"/>
  <c r="K862" i="2"/>
  <c r="M909" i="2"/>
  <c r="N909" i="2" s="1"/>
  <c r="O663" i="2"/>
  <c r="K663" i="2"/>
  <c r="O701" i="2"/>
  <c r="K701" i="2"/>
  <c r="O721" i="2"/>
  <c r="K721" i="2"/>
  <c r="O778" i="2"/>
  <c r="K778" i="2"/>
  <c r="Q786" i="2"/>
  <c r="P786" i="2"/>
  <c r="M800" i="2"/>
  <c r="N800" i="2" s="1"/>
  <c r="M829" i="2"/>
  <c r="N829" i="2" s="1"/>
  <c r="Q852" i="2"/>
  <c r="P852" i="2"/>
  <c r="O911" i="2"/>
  <c r="K911" i="2"/>
  <c r="N916" i="2"/>
  <c r="M1001" i="2"/>
  <c r="N1001" i="2" s="1"/>
  <c r="O654" i="2"/>
  <c r="K654" i="2"/>
  <c r="Q660" i="2"/>
  <c r="M686" i="2"/>
  <c r="N686" i="2" s="1"/>
  <c r="O714" i="2"/>
  <c r="K714" i="2"/>
  <c r="M739" i="2"/>
  <c r="N739" i="2" s="1"/>
  <c r="Q754" i="2"/>
  <c r="P754" i="2"/>
  <c r="Q883" i="2"/>
  <c r="P883" i="2"/>
  <c r="M948" i="2"/>
  <c r="N948" i="2" s="1"/>
  <c r="O978" i="2"/>
  <c r="K978" i="2"/>
  <c r="P995" i="2"/>
  <c r="K652" i="2"/>
  <c r="N691" i="2"/>
  <c r="M701" i="2"/>
  <c r="N701" i="2" s="1"/>
  <c r="P709" i="2"/>
  <c r="P716" i="2"/>
  <c r="O729" i="2"/>
  <c r="K729" i="2"/>
  <c r="N736" i="2"/>
  <c r="O773" i="2"/>
  <c r="K773" i="2"/>
  <c r="K852" i="2"/>
  <c r="M877" i="2"/>
  <c r="N877" i="2" s="1"/>
  <c r="M894" i="2"/>
  <c r="N894" i="2" s="1"/>
  <c r="O923" i="2"/>
  <c r="K923" i="2"/>
  <c r="Q943" i="2"/>
  <c r="P943" i="2"/>
  <c r="Q948" i="2"/>
  <c r="P948" i="2"/>
  <c r="M969" i="2"/>
  <c r="N969" i="2" s="1"/>
  <c r="O694" i="2"/>
  <c r="K694" i="2"/>
  <c r="P696" i="2"/>
  <c r="Q699" i="2"/>
  <c r="P699" i="2"/>
  <c r="Q801" i="2"/>
  <c r="P801" i="2"/>
  <c r="Q821" i="2"/>
  <c r="P821" i="2"/>
  <c r="Q827" i="2"/>
  <c r="P827" i="2"/>
  <c r="O830" i="2"/>
  <c r="K830" i="2"/>
  <c r="P846" i="2"/>
  <c r="Q880" i="2"/>
  <c r="P880" i="2"/>
  <c r="K883" i="2"/>
  <c r="N914" i="2"/>
  <c r="Q967" i="2"/>
  <c r="P967" i="2"/>
  <c r="N652" i="2"/>
  <c r="M668" i="2"/>
  <c r="N668" i="2" s="1"/>
  <c r="O691" i="2"/>
  <c r="N729" i="2"/>
  <c r="Q732" i="2"/>
  <c r="P732" i="2"/>
  <c r="O752" i="2"/>
  <c r="K752" i="2"/>
  <c r="P781" i="2"/>
  <c r="M852" i="2"/>
  <c r="N852" i="2" s="1"/>
  <c r="O892" i="2"/>
  <c r="K892" i="2"/>
  <c r="O920" i="2"/>
  <c r="K920" i="2"/>
  <c r="Q932" i="2"/>
  <c r="P932" i="2"/>
  <c r="K943" i="2"/>
  <c r="O958" i="2"/>
  <c r="K958" i="2"/>
  <c r="P668" i="2"/>
  <c r="Q668" i="2"/>
  <c r="N734" i="2"/>
  <c r="K801" i="2"/>
  <c r="K827" i="2"/>
  <c r="O849" i="2"/>
  <c r="K849" i="2"/>
  <c r="O858" i="2"/>
  <c r="K858" i="2"/>
  <c r="K880" i="2"/>
  <c r="Q940" i="2"/>
  <c r="P940" i="2"/>
  <c r="K967" i="2"/>
  <c r="P970" i="2"/>
  <c r="Q970" i="2"/>
  <c r="M987" i="2"/>
  <c r="N987" i="2" s="1"/>
  <c r="P993" i="2"/>
  <c r="O996" i="2"/>
  <c r="K996" i="2"/>
  <c r="Q656" i="2"/>
  <c r="N666" i="2"/>
  <c r="N689" i="2"/>
  <c r="O702" i="2"/>
  <c r="K702" i="2"/>
  <c r="P710" i="2"/>
  <c r="Q710" i="2"/>
  <c r="M752" i="2"/>
  <c r="N752" i="2" s="1"/>
  <c r="Q767" i="2"/>
  <c r="P767" i="2"/>
  <c r="M801" i="2"/>
  <c r="N801" i="2" s="1"/>
  <c r="M819" i="2"/>
  <c r="N819" i="2" s="1"/>
  <c r="M827" i="2"/>
  <c r="N827" i="2" s="1"/>
  <c r="M917" i="2"/>
  <c r="N917" i="2" s="1"/>
  <c r="M943" i="2"/>
  <c r="N943" i="2" s="1"/>
  <c r="N958" i="2"/>
  <c r="O961" i="2"/>
  <c r="N967" i="2"/>
  <c r="N999" i="2"/>
  <c r="M857" i="2"/>
  <c r="N857" i="2" s="1"/>
  <c r="O891" i="2"/>
  <c r="K891" i="2"/>
  <c r="Q896" i="2"/>
  <c r="P896" i="2"/>
  <c r="O922" i="2"/>
  <c r="K922" i="2"/>
  <c r="Q927" i="2"/>
  <c r="P927" i="2"/>
  <c r="M972" i="2"/>
  <c r="N972" i="2" s="1"/>
  <c r="M985" i="2"/>
  <c r="N985" i="2" s="1"/>
  <c r="Q719" i="2"/>
  <c r="P719" i="2"/>
  <c r="M721" i="2"/>
  <c r="N721" i="2" s="1"/>
  <c r="Q938" i="2"/>
  <c r="P938" i="2"/>
  <c r="M959" i="2"/>
  <c r="N959" i="2" s="1"/>
  <c r="M670" i="2"/>
  <c r="N670" i="2" s="1"/>
  <c r="K685" i="2"/>
  <c r="Q815" i="2"/>
  <c r="P815" i="2"/>
  <c r="Q818" i="2"/>
  <c r="P818" i="2"/>
  <c r="M830" i="2"/>
  <c r="N830" i="2" s="1"/>
  <c r="Q889" i="2"/>
  <c r="P889" i="2"/>
  <c r="Q952" i="2"/>
  <c r="P952" i="2"/>
  <c r="N965" i="2"/>
  <c r="M994" i="2"/>
  <c r="N994" i="2" s="1"/>
  <c r="O910" i="2"/>
  <c r="K910" i="2"/>
  <c r="O941" i="2"/>
  <c r="K941" i="2"/>
  <c r="Q976" i="2"/>
  <c r="P976" i="2"/>
  <c r="M978" i="2"/>
  <c r="N978" i="2" s="1"/>
  <c r="M685" i="2"/>
  <c r="N685" i="2" s="1"/>
  <c r="K717" i="2"/>
  <c r="M737" i="2"/>
  <c r="N737" i="2" s="1"/>
  <c r="K742" i="2"/>
  <c r="K765" i="2"/>
  <c r="K769" i="2"/>
  <c r="O772" i="2"/>
  <c r="K772" i="2"/>
  <c r="O782" i="2"/>
  <c r="K782" i="2"/>
  <c r="M789" i="2"/>
  <c r="N789" i="2" s="1"/>
  <c r="P796" i="2"/>
  <c r="O811" i="2"/>
  <c r="K811" i="2"/>
  <c r="K818" i="2"/>
  <c r="Q838" i="2"/>
  <c r="P838" i="2"/>
  <c r="M843" i="2"/>
  <c r="N843" i="2" s="1"/>
  <c r="O851" i="2"/>
  <c r="K851" i="2"/>
  <c r="Q856" i="2"/>
  <c r="P856" i="2"/>
  <c r="M858" i="2"/>
  <c r="N858" i="2" s="1"/>
  <c r="Q872" i="2"/>
  <c r="P872" i="2"/>
  <c r="M874" i="2"/>
  <c r="N874" i="2" s="1"/>
  <c r="O882" i="2"/>
  <c r="K882" i="2"/>
  <c r="Q887" i="2"/>
  <c r="P887" i="2"/>
  <c r="K889" i="2"/>
  <c r="M897" i="2"/>
  <c r="N897" i="2" s="1"/>
  <c r="M923" i="2"/>
  <c r="N923" i="2" s="1"/>
  <c r="O931" i="2"/>
  <c r="K931" i="2"/>
  <c r="N938" i="2"/>
  <c r="P946" i="2"/>
  <c r="K952" i="2"/>
  <c r="Q989" i="2"/>
  <c r="P989" i="2"/>
  <c r="Q841" i="2"/>
  <c r="P841" i="2"/>
  <c r="M889" i="2"/>
  <c r="N889" i="2" s="1"/>
  <c r="Q900" i="2"/>
  <c r="P900" i="2"/>
  <c r="Q903" i="2"/>
  <c r="P903" i="2"/>
  <c r="Q918" i="2"/>
  <c r="P918" i="2"/>
  <c r="Q936" i="2"/>
  <c r="P936" i="2"/>
  <c r="Q949" i="2"/>
  <c r="P949" i="2"/>
  <c r="Q963" i="2"/>
  <c r="P963" i="2"/>
  <c r="Q974" i="2"/>
  <c r="P974" i="2"/>
  <c r="K976" i="2"/>
  <c r="K992" i="2"/>
  <c r="O681" i="2"/>
  <c r="K681" i="2"/>
  <c r="M715" i="2"/>
  <c r="N715" i="2" s="1"/>
  <c r="M717" i="2"/>
  <c r="N717" i="2" s="1"/>
  <c r="M726" i="2"/>
  <c r="N726" i="2" s="1"/>
  <c r="M735" i="2"/>
  <c r="N735" i="2" s="1"/>
  <c r="O756" i="2"/>
  <c r="K756" i="2"/>
  <c r="M758" i="2"/>
  <c r="N758" i="2" s="1"/>
  <c r="M765" i="2"/>
  <c r="N765" i="2" s="1"/>
  <c r="M769" i="2"/>
  <c r="N769" i="2" s="1"/>
  <c r="M799" i="2"/>
  <c r="N799" i="2" s="1"/>
  <c r="M818" i="2"/>
  <c r="N818" i="2" s="1"/>
  <c r="P913" i="2"/>
  <c r="M952" i="2"/>
  <c r="N952" i="2" s="1"/>
  <c r="O971" i="2"/>
  <c r="K971" i="2"/>
  <c r="Q981" i="2"/>
  <c r="N683" i="2"/>
  <c r="P728" i="2"/>
  <c r="P737" i="2"/>
  <c r="M767" i="2"/>
  <c r="N767" i="2" s="1"/>
  <c r="Q769" i="2"/>
  <c r="O777" i="2"/>
  <c r="M787" i="2"/>
  <c r="N787" i="2" s="1"/>
  <c r="M792" i="2"/>
  <c r="N792" i="2" s="1"/>
  <c r="N838" i="2"/>
  <c r="K841" i="2"/>
  <c r="P864" i="2"/>
  <c r="Q869" i="2"/>
  <c r="P869" i="2"/>
  <c r="K900" i="2"/>
  <c r="K903" i="2"/>
  <c r="K918" i="2"/>
  <c r="K936" i="2"/>
  <c r="K949" i="2"/>
  <c r="Q960" i="2"/>
  <c r="P960" i="2"/>
  <c r="K963" i="2"/>
  <c r="K974" i="2"/>
  <c r="Q987" i="2"/>
  <c r="P987" i="2"/>
  <c r="M989" i="2"/>
  <c r="N989" i="2" s="1"/>
  <c r="Q746" i="2"/>
  <c r="P746" i="2"/>
  <c r="Q780" i="2"/>
  <c r="P780" i="2"/>
  <c r="Q787" i="2"/>
  <c r="P787" i="2"/>
  <c r="N841" i="2"/>
  <c r="O890" i="2"/>
  <c r="K890" i="2"/>
  <c r="N918" i="2"/>
  <c r="K921" i="2"/>
  <c r="N936" i="2"/>
  <c r="Q947" i="2"/>
  <c r="P947" i="2"/>
  <c r="M949" i="2"/>
  <c r="N949" i="2" s="1"/>
  <c r="M963" i="2"/>
  <c r="N963" i="2" s="1"/>
  <c r="N974" i="2"/>
  <c r="Q992" i="2"/>
  <c r="M740" i="2"/>
  <c r="N740" i="2" s="1"/>
  <c r="K762" i="2"/>
  <c r="M780" i="2"/>
  <c r="N780" i="2" s="1"/>
  <c r="Q791" i="2"/>
  <c r="P791" i="2"/>
  <c r="K683" i="2"/>
  <c r="K703" i="2"/>
  <c r="K723" i="2"/>
  <c r="Q758" i="2"/>
  <c r="P758" i="2"/>
  <c r="K770" i="2"/>
  <c r="M772" i="2"/>
  <c r="N772" i="2" s="1"/>
  <c r="M776" i="2"/>
  <c r="N776" i="2" s="1"/>
  <c r="M778" i="2"/>
  <c r="N778" i="2" s="1"/>
  <c r="Q789" i="2"/>
  <c r="P789" i="2"/>
  <c r="K791" i="2"/>
  <c r="P795" i="2"/>
  <c r="O802" i="2"/>
  <c r="K802" i="2"/>
  <c r="M817" i="2"/>
  <c r="N817" i="2" s="1"/>
  <c r="M839" i="2"/>
  <c r="N839" i="2" s="1"/>
  <c r="M850" i="2"/>
  <c r="N850" i="2" s="1"/>
  <c r="M870" i="2"/>
  <c r="N870" i="2" s="1"/>
  <c r="M890" i="2"/>
  <c r="N890" i="2" s="1"/>
  <c r="M910" i="2"/>
  <c r="N910" i="2" s="1"/>
  <c r="M930" i="2"/>
  <c r="N930" i="2" s="1"/>
  <c r="M941" i="2"/>
  <c r="N941" i="2" s="1"/>
  <c r="K970" i="2"/>
  <c r="K981" i="2"/>
  <c r="M996" i="2"/>
  <c r="N996" i="2" s="1"/>
  <c r="M998" i="2"/>
  <c r="N998" i="2" s="1"/>
  <c r="K760" i="2"/>
  <c r="K785" i="2"/>
  <c r="M950" i="2"/>
  <c r="N950" i="2" s="1"/>
  <c r="M961" i="2"/>
  <c r="N961" i="2" s="1"/>
  <c r="K990" i="2"/>
  <c r="M760" i="2"/>
  <c r="N760" i="2" s="1"/>
  <c r="O762" i="2"/>
  <c r="O822" i="2"/>
  <c r="K822" i="2"/>
  <c r="Q798" i="2"/>
  <c r="P798" i="2"/>
  <c r="O842" i="2"/>
  <c r="K842" i="2"/>
  <c r="O831" i="2"/>
  <c r="K831" i="2"/>
  <c r="M820" i="2"/>
  <c r="N820" i="2" s="1"/>
  <c r="M840" i="2"/>
  <c r="N840" i="2" s="1"/>
  <c r="M860" i="2"/>
  <c r="N860" i="2" s="1"/>
  <c r="M880" i="2"/>
  <c r="N880" i="2" s="1"/>
  <c r="M900" i="2"/>
  <c r="N900" i="2" s="1"/>
  <c r="M920" i="2"/>
  <c r="N920" i="2" s="1"/>
  <c r="M940" i="2"/>
  <c r="N940" i="2" s="1"/>
  <c r="M960" i="2"/>
  <c r="N960" i="2" s="1"/>
  <c r="M980" i="2"/>
  <c r="N980" i="2" s="1"/>
  <c r="M1000" i="2"/>
  <c r="N1000" i="2" s="1"/>
  <c r="M751" i="2"/>
  <c r="N751" i="2" s="1"/>
  <c r="M771" i="2"/>
  <c r="N771" i="2" s="1"/>
  <c r="M791" i="2"/>
  <c r="N791" i="2" s="1"/>
  <c r="M811" i="2"/>
  <c r="N811" i="2" s="1"/>
  <c r="K813" i="2"/>
  <c r="M831" i="2"/>
  <c r="N831" i="2" s="1"/>
  <c r="K833" i="2"/>
  <c r="M851" i="2"/>
  <c r="N851" i="2" s="1"/>
  <c r="K853" i="2"/>
  <c r="M871" i="2"/>
  <c r="N871" i="2" s="1"/>
  <c r="K873" i="2"/>
  <c r="M891" i="2"/>
  <c r="N891" i="2" s="1"/>
  <c r="K893" i="2"/>
  <c r="M911" i="2"/>
  <c r="N911" i="2" s="1"/>
  <c r="K913" i="2"/>
  <c r="M931" i="2"/>
  <c r="N931" i="2" s="1"/>
  <c r="K933" i="2"/>
  <c r="M951" i="2"/>
  <c r="N951" i="2" s="1"/>
  <c r="K953" i="2"/>
  <c r="M971" i="2"/>
  <c r="N971" i="2" s="1"/>
  <c r="K973" i="2"/>
  <c r="M991" i="2"/>
  <c r="N991" i="2" s="1"/>
  <c r="K993" i="2"/>
  <c r="M784" i="2"/>
  <c r="N784" i="2" s="1"/>
  <c r="M804" i="2"/>
  <c r="N804" i="2" s="1"/>
  <c r="M824" i="2"/>
  <c r="N824" i="2" s="1"/>
  <c r="M844" i="2"/>
  <c r="N844" i="2" s="1"/>
  <c r="M864" i="2"/>
  <c r="N864" i="2" s="1"/>
  <c r="M884" i="2"/>
  <c r="N884" i="2" s="1"/>
  <c r="M904" i="2"/>
  <c r="N904" i="2" s="1"/>
  <c r="M924" i="2"/>
  <c r="N924" i="2" s="1"/>
  <c r="M944" i="2"/>
  <c r="N944" i="2" s="1"/>
  <c r="M964" i="2"/>
  <c r="N964" i="2" s="1"/>
  <c r="M984" i="2"/>
  <c r="N984" i="2" s="1"/>
  <c r="X66" i="1" l="1"/>
  <c r="U66" i="1"/>
  <c r="W66" i="1" s="1"/>
  <c r="V68" i="1"/>
  <c r="W68" i="1" s="1"/>
  <c r="X63" i="1"/>
  <c r="X64" i="1"/>
  <c r="AE64" i="1" s="1"/>
  <c r="V65" i="1"/>
  <c r="W65" i="1" s="1"/>
  <c r="U63" i="1"/>
  <c r="W63" i="1" s="1"/>
  <c r="U64" i="1"/>
  <c r="W64" i="1" s="1"/>
  <c r="N55" i="2"/>
  <c r="N54" i="2"/>
  <c r="U62" i="1"/>
  <c r="W62" i="1" s="1"/>
  <c r="X62" i="1"/>
  <c r="AE62" i="1" s="1"/>
  <c r="N52" i="2"/>
  <c r="X59" i="1"/>
  <c r="AE59" i="1" s="1"/>
  <c r="N51" i="2"/>
  <c r="U60" i="1"/>
  <c r="W60" i="1" s="1"/>
  <c r="V53" i="1"/>
  <c r="W53" i="1" s="1"/>
  <c r="V59" i="1"/>
  <c r="W59" i="1" s="1"/>
  <c r="X60" i="1"/>
  <c r="Y60" i="1" s="1"/>
  <c r="X61" i="1"/>
  <c r="AE61" i="1" s="1"/>
  <c r="X53" i="1"/>
  <c r="AE53" i="1" s="1"/>
  <c r="N49" i="2"/>
  <c r="U61" i="1"/>
  <c r="W61" i="1" s="1"/>
  <c r="V57" i="1"/>
  <c r="W57" i="1" s="1"/>
  <c r="V54" i="1"/>
  <c r="W54" i="1" s="1"/>
  <c r="X58" i="1"/>
  <c r="AE58" i="1" s="1"/>
  <c r="X57" i="1"/>
  <c r="Y57" i="1" s="1"/>
  <c r="V58" i="1"/>
  <c r="W58" i="1" s="1"/>
  <c r="X56" i="1"/>
  <c r="Y56" i="1" s="1"/>
  <c r="U55" i="1"/>
  <c r="W55" i="1" s="1"/>
  <c r="U56" i="1"/>
  <c r="W56" i="1" s="1"/>
  <c r="X55" i="1"/>
  <c r="AE55" i="1" s="1"/>
  <c r="X52" i="1"/>
  <c r="AE52" i="1" s="1"/>
  <c r="X54" i="1"/>
  <c r="AE54" i="1" s="1"/>
  <c r="W168" i="1"/>
  <c r="V52" i="1"/>
  <c r="W52" i="1" s="1"/>
  <c r="N47" i="2"/>
  <c r="AE149" i="1"/>
  <c r="N46" i="2"/>
  <c r="N45" i="2"/>
  <c r="B9" i="4"/>
  <c r="P731" i="2"/>
  <c r="N44" i="2"/>
  <c r="AE98" i="1"/>
  <c r="W117" i="1"/>
  <c r="AE158" i="1"/>
  <c r="AE137" i="1"/>
  <c r="Y143" i="1"/>
  <c r="W137" i="1"/>
  <c r="Q1000" i="2"/>
  <c r="AE96" i="1"/>
  <c r="Y117" i="1"/>
  <c r="AE177" i="1"/>
  <c r="Y93" i="1"/>
  <c r="Y7" i="1"/>
  <c r="AE111" i="1"/>
  <c r="Y114" i="1"/>
  <c r="AE145" i="1"/>
  <c r="Y140" i="1"/>
  <c r="Y109" i="1"/>
  <c r="Y201" i="1"/>
  <c r="AE100" i="1"/>
  <c r="W100" i="1"/>
  <c r="N43" i="2"/>
  <c r="Q356" i="2"/>
  <c r="AE135" i="1"/>
  <c r="P751" i="2"/>
  <c r="W180" i="1"/>
  <c r="AE104" i="1"/>
  <c r="AE180" i="1"/>
  <c r="Y73" i="1"/>
  <c r="Y161" i="1"/>
  <c r="X41" i="1"/>
  <c r="AE41" i="1" s="1"/>
  <c r="AE155" i="1"/>
  <c r="W175" i="1"/>
  <c r="AE67" i="1"/>
  <c r="Y81" i="1"/>
  <c r="V5" i="1"/>
  <c r="W5" i="1" s="1"/>
  <c r="W157" i="1"/>
  <c r="AE65" i="1"/>
  <c r="Q576" i="2"/>
  <c r="N42" i="2"/>
  <c r="Q293" i="2"/>
  <c r="P823" i="2"/>
  <c r="Q254" i="2"/>
  <c r="Q395" i="2"/>
  <c r="P405" i="2"/>
  <c r="P665" i="2"/>
  <c r="P311" i="2"/>
  <c r="W129" i="1"/>
  <c r="AE198" i="1"/>
  <c r="AE162" i="1"/>
  <c r="P897" i="2"/>
  <c r="Y70" i="1"/>
  <c r="AE130" i="1"/>
  <c r="W167" i="1"/>
  <c r="AE87" i="1"/>
  <c r="Y108" i="1"/>
  <c r="Y92" i="1"/>
  <c r="AE105" i="1"/>
  <c r="P258" i="2"/>
  <c r="Q712" i="2"/>
  <c r="W77" i="1"/>
  <c r="W140" i="1"/>
  <c r="W40" i="1"/>
  <c r="AE112" i="1"/>
  <c r="W86" i="1"/>
  <c r="Y153" i="1"/>
  <c r="U27" i="1"/>
  <c r="W27" i="1" s="1"/>
  <c r="AE77" i="1"/>
  <c r="V41" i="1"/>
  <c r="W41" i="1" s="1"/>
  <c r="X32" i="1"/>
  <c r="AE32" i="1" s="1"/>
  <c r="X3" i="1"/>
  <c r="AE3" i="1" s="1"/>
  <c r="Y150" i="1"/>
  <c r="Y173" i="1"/>
  <c r="P90" i="2"/>
  <c r="AE71" i="1"/>
  <c r="P877" i="2"/>
  <c r="Q589" i="2"/>
  <c r="Y171" i="1"/>
  <c r="Y174" i="1"/>
  <c r="Y68" i="1"/>
  <c r="P186" i="2"/>
  <c r="P577" i="2"/>
  <c r="W170" i="1"/>
  <c r="U28" i="1"/>
  <c r="W28" i="1" s="1"/>
  <c r="X28" i="1"/>
  <c r="AE28" i="1" s="1"/>
  <c r="X19" i="1"/>
  <c r="Y19" i="1" s="1"/>
  <c r="AE164" i="1"/>
  <c r="X6" i="1"/>
  <c r="Y6" i="1" s="1"/>
  <c r="Y136" i="1"/>
  <c r="Y176" i="1"/>
  <c r="AE194" i="1"/>
  <c r="Y90" i="1"/>
  <c r="X16" i="1"/>
  <c r="AE16" i="1" s="1"/>
  <c r="AE189" i="1"/>
  <c r="Y160" i="1"/>
  <c r="Y184" i="1"/>
  <c r="AE95" i="1"/>
  <c r="AE115" i="1"/>
  <c r="AE134" i="1"/>
  <c r="AE102" i="1"/>
  <c r="Y144" i="1"/>
  <c r="AE192" i="1"/>
  <c r="X15" i="1"/>
  <c r="Y15" i="1" s="1"/>
  <c r="AE122" i="1"/>
  <c r="V31" i="1"/>
  <c r="W31" i="1" s="1"/>
  <c r="AE159" i="1"/>
  <c r="Y133" i="1"/>
  <c r="U19" i="1"/>
  <c r="W19" i="1" s="1"/>
  <c r="AE166" i="1"/>
  <c r="W84" i="1"/>
  <c r="P722" i="2"/>
  <c r="P548" i="2"/>
  <c r="Q788" i="2"/>
  <c r="N4" i="2"/>
  <c r="Q478" i="2"/>
  <c r="Q206" i="2"/>
  <c r="Q519" i="2"/>
  <c r="Q312" i="2"/>
  <c r="P31" i="2"/>
  <c r="N41" i="2"/>
  <c r="P984" i="2"/>
  <c r="P761" i="2"/>
  <c r="Y152" i="1"/>
  <c r="W118" i="1"/>
  <c r="X12" i="1"/>
  <c r="AE12" i="1" s="1"/>
  <c r="X11" i="1"/>
  <c r="Y11" i="1" s="1"/>
  <c r="W67" i="1"/>
  <c r="U6" i="1"/>
  <c r="W6" i="1" s="1"/>
  <c r="V11" i="1"/>
  <c r="W11" i="1" s="1"/>
  <c r="W160" i="1"/>
  <c r="W172" i="1"/>
  <c r="Y138" i="1"/>
  <c r="Y172" i="1"/>
  <c r="W89" i="1"/>
  <c r="W138" i="1"/>
  <c r="W115" i="1"/>
  <c r="U50" i="1"/>
  <c r="W50" i="1" s="1"/>
  <c r="W186" i="1"/>
  <c r="X39" i="1"/>
  <c r="AE39" i="1" s="1"/>
  <c r="P935" i="2"/>
  <c r="X30" i="1"/>
  <c r="AE30" i="1" s="1"/>
  <c r="P820" i="2"/>
  <c r="P816" i="2"/>
  <c r="Q547" i="2"/>
  <c r="Q520" i="2"/>
  <c r="Y199" i="1"/>
  <c r="AE196" i="1"/>
  <c r="Y79" i="1"/>
  <c r="AE83" i="1"/>
  <c r="X31" i="1"/>
  <c r="Y31" i="1" s="1"/>
  <c r="U37" i="1"/>
  <c r="W37" i="1" s="1"/>
  <c r="Y170" i="1"/>
  <c r="Q494" i="2"/>
  <c r="Y74" i="1"/>
  <c r="X33" i="1"/>
  <c r="U39" i="1"/>
  <c r="W39" i="1" s="1"/>
  <c r="U33" i="1"/>
  <c r="W33" i="1" s="1"/>
  <c r="P924" i="2"/>
  <c r="P126" i="2"/>
  <c r="Q878" i="2"/>
  <c r="P387" i="2"/>
  <c r="AE103" i="1"/>
  <c r="P294" i="2"/>
  <c r="AE94" i="1"/>
  <c r="W173" i="1"/>
  <c r="W192" i="1"/>
  <c r="P944" i="2"/>
  <c r="P379" i="2"/>
  <c r="P284" i="2"/>
  <c r="W158" i="1"/>
  <c r="X5" i="1"/>
  <c r="Y89" i="1"/>
  <c r="Q957" i="2"/>
  <c r="P477" i="2"/>
  <c r="V21" i="1"/>
  <c r="U21" i="1"/>
  <c r="P646" i="2"/>
  <c r="P79" i="2"/>
  <c r="P24" i="2"/>
  <c r="AE193" i="1"/>
  <c r="AE40" i="1"/>
  <c r="P797" i="2"/>
  <c r="P779" i="2"/>
  <c r="P917" i="2"/>
  <c r="Q734" i="2"/>
  <c r="P480" i="2"/>
  <c r="V15" i="1"/>
  <c r="W15" i="1" s="1"/>
  <c r="W185" i="1"/>
  <c r="Q568" i="2"/>
  <c r="W112" i="1"/>
  <c r="Q297" i="2"/>
  <c r="P297" i="2"/>
  <c r="P857" i="2"/>
  <c r="P538" i="2"/>
  <c r="X25" i="1"/>
  <c r="Y25" i="1" s="1"/>
  <c r="Y165" i="1"/>
  <c r="AE97" i="1"/>
  <c r="AE75" i="1"/>
  <c r="Q912" i="2"/>
  <c r="P471" i="2"/>
  <c r="P287" i="2"/>
  <c r="Q604" i="2"/>
  <c r="Y200" i="1"/>
  <c r="AE80" i="1"/>
  <c r="Y107" i="1"/>
  <c r="X50" i="1"/>
  <c r="Q418" i="2"/>
  <c r="P418" i="2"/>
  <c r="V49" i="1"/>
  <c r="U49" i="1"/>
  <c r="X21" i="1"/>
  <c r="Q269" i="2"/>
  <c r="Q603" i="2"/>
  <c r="Q650" i="2"/>
  <c r="W188" i="1"/>
  <c r="U16" i="1"/>
  <c r="W16" i="1" s="1"/>
  <c r="Y142" i="1"/>
  <c r="AE78" i="1"/>
  <c r="Y84" i="1"/>
  <c r="X38" i="1"/>
  <c r="X37" i="1"/>
  <c r="W143" i="1"/>
  <c r="Q385" i="2"/>
  <c r="P614" i="2"/>
  <c r="P640" i="2"/>
  <c r="W107" i="1"/>
  <c r="W195" i="1"/>
  <c r="W135" i="1"/>
  <c r="X10" i="1"/>
  <c r="AE10" i="1" s="1"/>
  <c r="Y118" i="1"/>
  <c r="Y91" i="1"/>
  <c r="P354" i="2"/>
  <c r="U38" i="1"/>
  <c r="W38" i="1" s="1"/>
  <c r="U12" i="1"/>
  <c r="W12" i="1" s="1"/>
  <c r="Q99" i="2"/>
  <c r="P99" i="2"/>
  <c r="AE175" i="1"/>
  <c r="P188" i="2"/>
  <c r="Q188" i="2"/>
  <c r="X27" i="1"/>
  <c r="AE85" i="1"/>
  <c r="P733" i="2"/>
  <c r="AE131" i="1"/>
  <c r="P139" i="2"/>
  <c r="Y141" i="1"/>
  <c r="P458" i="2"/>
  <c r="P83" i="2"/>
  <c r="W200" i="1"/>
  <c r="V20" i="1"/>
  <c r="U20" i="1"/>
  <c r="P1001" i="2"/>
  <c r="P612" i="2"/>
  <c r="P975" i="2"/>
  <c r="P195" i="2"/>
  <c r="Q476" i="2"/>
  <c r="P476" i="2"/>
  <c r="X20" i="1"/>
  <c r="AE169" i="1"/>
  <c r="Y169" i="1"/>
  <c r="Y197" i="1"/>
  <c r="Y69" i="1"/>
  <c r="AE128" i="1"/>
  <c r="Y128" i="1"/>
  <c r="Y190" i="1"/>
  <c r="AE190" i="1"/>
  <c r="Y148" i="1"/>
  <c r="Y151" i="1"/>
  <c r="Y157" i="1"/>
  <c r="AE195" i="1"/>
  <c r="AE168" i="1"/>
  <c r="Y168" i="1"/>
  <c r="Y113" i="1"/>
  <c r="W127" i="1"/>
  <c r="X4" i="1"/>
  <c r="Y4" i="1" s="1"/>
  <c r="Y88" i="1"/>
  <c r="Y119" i="1"/>
  <c r="AE119" i="1"/>
  <c r="Y120" i="1"/>
  <c r="AE120" i="1"/>
  <c r="AE76" i="1"/>
  <c r="Y72" i="1"/>
  <c r="Y101" i="1"/>
  <c r="N15" i="2"/>
  <c r="AE132" i="1"/>
  <c r="W80" i="1"/>
  <c r="W177" i="1"/>
  <c r="W87" i="1"/>
  <c r="Y121" i="1"/>
  <c r="AE110" i="1"/>
  <c r="Y110" i="1"/>
  <c r="Y191" i="1"/>
  <c r="AE191" i="1"/>
  <c r="Y116" i="1"/>
  <c r="AE116" i="1"/>
  <c r="AE63" i="1"/>
  <c r="Y63" i="1"/>
  <c r="Y181" i="1"/>
  <c r="Y127" i="1"/>
  <c r="W97" i="1"/>
  <c r="Q261" i="2"/>
  <c r="P847" i="2"/>
  <c r="P824" i="2"/>
  <c r="Q824" i="2"/>
  <c r="M19" i="2"/>
  <c r="N19" i="2" s="1"/>
  <c r="Q179" i="2"/>
  <c r="P179" i="2"/>
  <c r="P308" i="2"/>
  <c r="Q308" i="2"/>
  <c r="P17" i="2"/>
  <c r="Q17" i="2"/>
  <c r="Q282" i="2"/>
  <c r="P282" i="2"/>
  <c r="M30" i="2"/>
  <c r="N30" i="2" s="1"/>
  <c r="P296" i="2"/>
  <c r="Q296" i="2"/>
  <c r="Q784" i="2"/>
  <c r="P784" i="2"/>
  <c r="P755" i="2"/>
  <c r="Q755" i="2"/>
  <c r="P884" i="2"/>
  <c r="Q884" i="2"/>
  <c r="P276" i="2"/>
  <c r="Q276" i="2"/>
  <c r="Q136" i="2"/>
  <c r="P136" i="2"/>
  <c r="Q279" i="2"/>
  <c r="P279" i="2"/>
  <c r="Q95" i="2"/>
  <c r="P95" i="2"/>
  <c r="Q934" i="2"/>
  <c r="Q885" i="2"/>
  <c r="Q200" i="2"/>
  <c r="P200" i="2"/>
  <c r="Q700" i="2"/>
  <c r="P700" i="2"/>
  <c r="P348" i="2"/>
  <c r="Q348" i="2"/>
  <c r="Q715" i="2"/>
  <c r="P715" i="2"/>
  <c r="Q414" i="2"/>
  <c r="P414" i="2"/>
  <c r="Q844" i="2"/>
  <c r="P844" i="2"/>
  <c r="Q384" i="2"/>
  <c r="P384" i="2"/>
  <c r="Q416" i="2"/>
  <c r="P416" i="2"/>
  <c r="Q355" i="2"/>
  <c r="P355" i="2"/>
  <c r="Q684" i="2"/>
  <c r="P684" i="2"/>
  <c r="P30" i="2"/>
  <c r="P561" i="2"/>
  <c r="Q561" i="2"/>
  <c r="Q166" i="2"/>
  <c r="P166" i="2"/>
  <c r="P808" i="2"/>
  <c r="Q808" i="2"/>
  <c r="Q764" i="2"/>
  <c r="P152" i="2"/>
  <c r="Q937" i="2"/>
  <c r="P937" i="2"/>
  <c r="P285" i="2"/>
  <c r="Q285" i="2"/>
  <c r="Q48" i="2"/>
  <c r="P48" i="2"/>
  <c r="Q658" i="2"/>
  <c r="P6" i="2"/>
  <c r="Q598" i="2"/>
  <c r="P598" i="2"/>
  <c r="Q20" i="2"/>
  <c r="P988" i="2"/>
  <c r="P698" i="2"/>
  <c r="P64" i="2"/>
  <c r="Q835" i="2"/>
  <c r="P835" i="2"/>
  <c r="Q718" i="2"/>
  <c r="P718" i="2"/>
  <c r="Q305" i="2"/>
  <c r="P305" i="2"/>
  <c r="Q142" i="2"/>
  <c r="P142" i="2"/>
  <c r="Q814" i="2"/>
  <c r="P814" i="2"/>
  <c r="Q817" i="2"/>
  <c r="P817" i="2"/>
  <c r="P190" i="2"/>
  <c r="Q190" i="2"/>
  <c r="P45" i="2"/>
  <c r="Q735" i="2"/>
  <c r="P735" i="2"/>
  <c r="N28" i="2"/>
  <c r="Q503" i="2"/>
  <c r="P503" i="2"/>
  <c r="P726" i="2"/>
  <c r="Q726" i="2"/>
  <c r="P498" i="2"/>
  <c r="Q498" i="2"/>
  <c r="P997" i="2"/>
  <c r="Q997" i="2"/>
  <c r="P621" i="2"/>
  <c r="P29" i="2"/>
  <c r="P145" i="2"/>
  <c r="Q145" i="2"/>
  <c r="Q435" i="2"/>
  <c r="P435" i="2"/>
  <c r="Q768" i="2"/>
  <c r="P768" i="2"/>
  <c r="Q741" i="2"/>
  <c r="P741" i="2"/>
  <c r="Q168" i="2"/>
  <c r="P168" i="2"/>
  <c r="Q459" i="2"/>
  <c r="P459" i="2"/>
  <c r="Q36" i="2"/>
  <c r="P36" i="2"/>
  <c r="P556" i="2"/>
  <c r="P61" i="2"/>
  <c r="P804" i="2"/>
  <c r="Q804" i="2"/>
  <c r="P724" i="2"/>
  <c r="Q724" i="2"/>
  <c r="Q437" i="2"/>
  <c r="P437" i="2"/>
  <c r="P535" i="2"/>
  <c r="Q535" i="2"/>
  <c r="AE13" i="1"/>
  <c r="Y13" i="1"/>
  <c r="Q941" i="2"/>
  <c r="P941" i="2"/>
  <c r="Q526" i="2"/>
  <c r="P526" i="2"/>
  <c r="P368" i="2"/>
  <c r="Q368" i="2"/>
  <c r="P802" i="2"/>
  <c r="Q802" i="2"/>
  <c r="Q971" i="2"/>
  <c r="P971" i="2"/>
  <c r="Q730" i="2"/>
  <c r="P730" i="2"/>
  <c r="U46" i="1"/>
  <c r="V46" i="1"/>
  <c r="P138" i="2"/>
  <c r="Q138" i="2"/>
  <c r="Q77" i="2"/>
  <c r="P77" i="2"/>
  <c r="Q325" i="2"/>
  <c r="P325" i="2"/>
  <c r="Q11" i="2"/>
  <c r="P11" i="2"/>
  <c r="Q800" i="2"/>
  <c r="P800" i="2"/>
  <c r="Q521" i="2"/>
  <c r="P521" i="2"/>
  <c r="P209" i="2"/>
  <c r="Q209" i="2"/>
  <c r="Q107" i="2"/>
  <c r="P107" i="2"/>
  <c r="Q12" i="2"/>
  <c r="P12" i="2"/>
  <c r="Q417" i="2"/>
  <c r="P417" i="2"/>
  <c r="Q910" i="2"/>
  <c r="P910" i="2"/>
  <c r="Q911" i="2"/>
  <c r="P911" i="2"/>
  <c r="P663" i="2"/>
  <c r="Q663" i="2"/>
  <c r="Q907" i="2"/>
  <c r="P907" i="2"/>
  <c r="Q867" i="2"/>
  <c r="P867" i="2"/>
  <c r="P942" i="2"/>
  <c r="Q942" i="2"/>
  <c r="P630" i="2"/>
  <c r="Q630" i="2"/>
  <c r="Q555" i="2"/>
  <c r="P555" i="2"/>
  <c r="Q283" i="2"/>
  <c r="P283" i="2"/>
  <c r="Q874" i="2"/>
  <c r="P874" i="2"/>
  <c r="Q422" i="2"/>
  <c r="P422" i="2"/>
  <c r="Q511" i="2"/>
  <c r="P511" i="2"/>
  <c r="P409" i="2"/>
  <c r="Q409" i="2"/>
  <c r="P424" i="2"/>
  <c r="Q424" i="2"/>
  <c r="P499" i="2"/>
  <c r="Q499" i="2"/>
  <c r="Q265" i="2"/>
  <c r="P265" i="2"/>
  <c r="Q185" i="2"/>
  <c r="P185" i="2"/>
  <c r="Q277" i="2"/>
  <c r="P277" i="2"/>
  <c r="Q101" i="2"/>
  <c r="P101" i="2"/>
  <c r="Y66" i="1"/>
  <c r="AE66" i="1"/>
  <c r="M8" i="2"/>
  <c r="N8" i="2" s="1"/>
  <c r="M2" i="2"/>
  <c r="N2" i="2" s="1"/>
  <c r="W75" i="1"/>
  <c r="V9" i="1"/>
  <c r="U9" i="1"/>
  <c r="V36" i="1"/>
  <c r="U36" i="1"/>
  <c r="U30" i="1"/>
  <c r="V30" i="1"/>
  <c r="P782" i="2"/>
  <c r="Q782" i="2"/>
  <c r="Q843" i="2"/>
  <c r="P843" i="2"/>
  <c r="Q465" i="2"/>
  <c r="P465" i="2"/>
  <c r="Q117" i="2"/>
  <c r="P117" i="2"/>
  <c r="Q58" i="2"/>
  <c r="P58" i="2"/>
  <c r="Q360" i="2"/>
  <c r="P360" i="2"/>
  <c r="Q124" i="2"/>
  <c r="P124" i="2"/>
  <c r="P252" i="2"/>
  <c r="Q252" i="2"/>
  <c r="Q622" i="2"/>
  <c r="P622" i="2"/>
  <c r="Q264" i="2"/>
  <c r="P264" i="2"/>
  <c r="Q871" i="2"/>
  <c r="P871" i="2"/>
  <c r="Q8" i="2"/>
  <c r="P8" i="2"/>
  <c r="P570" i="2"/>
  <c r="Q570" i="2"/>
  <c r="U23" i="1"/>
  <c r="V23" i="1"/>
  <c r="X23" i="1"/>
  <c r="Q2" i="2"/>
  <c r="P2" i="2"/>
  <c r="V22" i="1"/>
  <c r="U22" i="1"/>
  <c r="V42" i="1"/>
  <c r="U42" i="1"/>
  <c r="X9" i="1"/>
  <c r="X36" i="1"/>
  <c r="P882" i="2"/>
  <c r="Q882" i="2"/>
  <c r="Q898" i="2"/>
  <c r="P898" i="2"/>
  <c r="Q280" i="2"/>
  <c r="P280" i="2"/>
  <c r="Q642" i="2"/>
  <c r="P642" i="2"/>
  <c r="Q322" i="2"/>
  <c r="P322" i="2"/>
  <c r="W198" i="1"/>
  <c r="P336" i="2"/>
  <c r="Q336" i="2"/>
  <c r="P583" i="2"/>
  <c r="Q583" i="2"/>
  <c r="Q34" i="2"/>
  <c r="P34" i="2"/>
  <c r="Q440" i="2"/>
  <c r="P440" i="2"/>
  <c r="Y99" i="1"/>
  <c r="AE99" i="1"/>
  <c r="P218" i="2"/>
  <c r="Q218" i="2"/>
  <c r="AE154" i="1"/>
  <c r="Y154" i="1"/>
  <c r="W147" i="1"/>
  <c r="AE124" i="1"/>
  <c r="Y124" i="1"/>
  <c r="W43" i="1"/>
  <c r="X22" i="1"/>
  <c r="X42" i="1"/>
  <c r="Q965" i="2"/>
  <c r="P965" i="2"/>
  <c r="Y139" i="1"/>
  <c r="AE139" i="1"/>
  <c r="Q831" i="2"/>
  <c r="P831" i="2"/>
  <c r="P729" i="2"/>
  <c r="Q729" i="2"/>
  <c r="P862" i="2"/>
  <c r="Q862" i="2"/>
  <c r="P540" i="2"/>
  <c r="Q540" i="2"/>
  <c r="Q825" i="2"/>
  <c r="P825" i="2"/>
  <c r="Q708" i="2"/>
  <c r="P708" i="2"/>
  <c r="Q221" i="2"/>
  <c r="P221" i="2"/>
  <c r="Q27" i="2"/>
  <c r="P27" i="2"/>
  <c r="Q72" i="2"/>
  <c r="P72" i="2"/>
  <c r="Q157" i="2"/>
  <c r="P157" i="2"/>
  <c r="M23" i="2"/>
  <c r="N23" i="2" s="1"/>
  <c r="Y185" i="1"/>
  <c r="AE185" i="1"/>
  <c r="P702" i="2"/>
  <c r="Q702" i="2"/>
  <c r="Q840" i="2"/>
  <c r="P840" i="2"/>
  <c r="P774" i="2"/>
  <c r="Q774" i="2"/>
  <c r="Q736" i="2"/>
  <c r="P736" i="2"/>
  <c r="P643" i="2"/>
  <c r="Q643" i="2"/>
  <c r="P248" i="2"/>
  <c r="Q248" i="2"/>
  <c r="Q452" i="2"/>
  <c r="P452" i="2"/>
  <c r="Q863" i="2"/>
  <c r="P863" i="2"/>
  <c r="W178" i="1"/>
  <c r="P290" i="2"/>
  <c r="Q290" i="2"/>
  <c r="V4" i="1"/>
  <c r="U4" i="1"/>
  <c r="W18" i="1"/>
  <c r="X26" i="1"/>
  <c r="P250" i="2"/>
  <c r="Q250" i="2"/>
  <c r="Q91" i="2"/>
  <c r="P91" i="2"/>
  <c r="M12" i="2"/>
  <c r="N12" i="2" s="1"/>
  <c r="Q772" i="2"/>
  <c r="P772" i="2"/>
  <c r="Q295" i="2"/>
  <c r="P295" i="2"/>
  <c r="P65" i="2"/>
  <c r="Q65" i="2"/>
  <c r="U29" i="1"/>
  <c r="V29" i="1"/>
  <c r="Q998" i="2"/>
  <c r="P998" i="2"/>
  <c r="Q969" i="2"/>
  <c r="P969" i="2"/>
  <c r="Q37" i="2"/>
  <c r="P37" i="2"/>
  <c r="P777" i="2"/>
  <c r="Q777" i="2"/>
  <c r="Q849" i="2"/>
  <c r="P849" i="2"/>
  <c r="Q830" i="2"/>
  <c r="P830" i="2"/>
  <c r="Q894" i="2"/>
  <c r="P894" i="2"/>
  <c r="Q851" i="2"/>
  <c r="P851" i="2"/>
  <c r="Q961" i="2"/>
  <c r="P961" i="2"/>
  <c r="Q714" i="2"/>
  <c r="P714" i="2"/>
  <c r="Q748" i="2"/>
  <c r="P748" i="2"/>
  <c r="Q876" i="2"/>
  <c r="P876" i="2"/>
  <c r="Q676" i="2"/>
  <c r="P676" i="2"/>
  <c r="Q951" i="2"/>
  <c r="P951" i="2"/>
  <c r="P514" i="2"/>
  <c r="Q514" i="2"/>
  <c r="Q528" i="2"/>
  <c r="P528" i="2"/>
  <c r="P213" i="2"/>
  <c r="Q213" i="2"/>
  <c r="Q5" i="2"/>
  <c r="P5" i="2"/>
  <c r="AE49" i="1"/>
  <c r="Y49" i="1"/>
  <c r="P635" i="2"/>
  <c r="Q635" i="2"/>
  <c r="AE163" i="1"/>
  <c r="Y163" i="1"/>
  <c r="Q7" i="2"/>
  <c r="P7" i="2"/>
  <c r="U44" i="1"/>
  <c r="V44" i="1"/>
  <c r="U24" i="1"/>
  <c r="V24" i="1"/>
  <c r="U8" i="1"/>
  <c r="V8" i="1"/>
  <c r="P922" i="2"/>
  <c r="Q922" i="2"/>
  <c r="Q958" i="2"/>
  <c r="P958" i="2"/>
  <c r="Q678" i="2"/>
  <c r="P678" i="2"/>
  <c r="Q581" i="2"/>
  <c r="P581" i="2"/>
  <c r="P444" i="2"/>
  <c r="Q444" i="2"/>
  <c r="P338" i="2"/>
  <c r="Q338" i="2"/>
  <c r="Q114" i="2"/>
  <c r="P114" i="2"/>
  <c r="P423" i="2"/>
  <c r="Q423" i="2"/>
  <c r="X47" i="1"/>
  <c r="Q619" i="2"/>
  <c r="P619" i="2"/>
  <c r="P573" i="2"/>
  <c r="Q573" i="2"/>
  <c r="M33" i="2"/>
  <c r="N33" i="2" s="1"/>
  <c r="Q473" i="2"/>
  <c r="P473" i="2"/>
  <c r="U32" i="1"/>
  <c r="V32" i="1"/>
  <c r="AE187" i="1"/>
  <c r="Y187" i="1"/>
  <c r="Q858" i="2"/>
  <c r="P858" i="2"/>
  <c r="Q557" i="2"/>
  <c r="P557" i="2"/>
  <c r="Q850" i="2"/>
  <c r="P850" i="2"/>
  <c r="Q945" i="2"/>
  <c r="P945" i="2"/>
  <c r="Q317" i="2"/>
  <c r="P317" i="2"/>
  <c r="P411" i="2"/>
  <c r="Q411" i="2"/>
  <c r="M3" i="2"/>
  <c r="N3" i="2" s="1"/>
  <c r="Q184" i="2"/>
  <c r="P184" i="2"/>
  <c r="Q154" i="2"/>
  <c r="P154" i="2"/>
  <c r="AE188" i="1"/>
  <c r="Y188" i="1"/>
  <c r="P23" i="2"/>
  <c r="Q23" i="2"/>
  <c r="P140" i="2"/>
  <c r="Q140" i="2"/>
  <c r="M37" i="2"/>
  <c r="N37" i="2" s="1"/>
  <c r="Q224" i="2"/>
  <c r="P224" i="2"/>
  <c r="P527" i="2"/>
  <c r="Q527" i="2"/>
  <c r="Q991" i="2"/>
  <c r="P991" i="2"/>
  <c r="Y106" i="1"/>
  <c r="AE106" i="1"/>
  <c r="X29" i="1"/>
  <c r="V26" i="1"/>
  <c r="U26" i="1"/>
  <c r="P263" i="2"/>
  <c r="Q263" i="2"/>
  <c r="P323" i="2"/>
  <c r="Q323" i="2"/>
  <c r="Q225" i="2"/>
  <c r="P225" i="2"/>
  <c r="Y178" i="1"/>
  <c r="AE178" i="1"/>
  <c r="M9" i="2"/>
  <c r="N9" i="2" s="1"/>
  <c r="Q443" i="2"/>
  <c r="P443" i="2"/>
  <c r="P842" i="2"/>
  <c r="Q842" i="2"/>
  <c r="Q752" i="2"/>
  <c r="P752" i="2"/>
  <c r="P670" i="2"/>
  <c r="Q670" i="2"/>
  <c r="Q747" i="2"/>
  <c r="P747" i="2"/>
  <c r="Q542" i="2"/>
  <c r="P542" i="2"/>
  <c r="Q399" i="2"/>
  <c r="P399" i="2"/>
  <c r="P664" i="2"/>
  <c r="Q664" i="2"/>
  <c r="Q365" i="2"/>
  <c r="P365" i="2"/>
  <c r="M5" i="2"/>
  <c r="N5" i="2" s="1"/>
  <c r="P181" i="2"/>
  <c r="Q181" i="2"/>
  <c r="Y125" i="1"/>
  <c r="AE125" i="1"/>
  <c r="M7" i="2"/>
  <c r="N7" i="2" s="1"/>
  <c r="AE167" i="1"/>
  <c r="Y167" i="1"/>
  <c r="W154" i="1"/>
  <c r="X34" i="1"/>
  <c r="X44" i="1"/>
  <c r="V14" i="1"/>
  <c r="U14" i="1"/>
  <c r="X24" i="1"/>
  <c r="X8" i="1"/>
  <c r="Y48" i="1"/>
  <c r="AE48" i="1"/>
  <c r="W88" i="1"/>
  <c r="Q594" i="2"/>
  <c r="P594" i="2"/>
  <c r="P278" i="2"/>
  <c r="Q278" i="2"/>
  <c r="V35" i="1"/>
  <c r="U35" i="1"/>
  <c r="Q319" i="2"/>
  <c r="P319" i="2"/>
  <c r="Q57" i="2"/>
  <c r="P57" i="2"/>
  <c r="X35" i="1"/>
  <c r="AE123" i="1"/>
  <c r="Y123" i="1"/>
  <c r="P234" i="2"/>
  <c r="Q234" i="2"/>
  <c r="P350" i="2"/>
  <c r="Q350" i="2"/>
  <c r="P155" i="2"/>
  <c r="Q155" i="2"/>
  <c r="Q4" i="2"/>
  <c r="P4" i="2"/>
  <c r="U34" i="1"/>
  <c r="V34" i="1"/>
  <c r="X14" i="1"/>
  <c r="B12" i="3"/>
  <c r="B5" i="5" s="1"/>
  <c r="U2" i="1"/>
  <c r="V2" i="1"/>
  <c r="V47" i="1"/>
  <c r="U47" i="1"/>
  <c r="Q891" i="2"/>
  <c r="P891" i="2"/>
  <c r="Q920" i="2"/>
  <c r="P920" i="2"/>
  <c r="Q694" i="2"/>
  <c r="P694" i="2"/>
  <c r="P773" i="2"/>
  <c r="Q773" i="2"/>
  <c r="Q574" i="2"/>
  <c r="P574" i="2"/>
  <c r="Q870" i="2"/>
  <c r="P870" i="2"/>
  <c r="Q578" i="2"/>
  <c r="P578" i="2"/>
  <c r="Q753" i="2"/>
  <c r="P753" i="2"/>
  <c r="P463" i="2"/>
  <c r="Q463" i="2"/>
  <c r="Q106" i="2"/>
  <c r="P106" i="2"/>
  <c r="M39" i="2"/>
  <c r="N39" i="2" s="1"/>
  <c r="Q304" i="2"/>
  <c r="P304" i="2"/>
  <c r="P191" i="2"/>
  <c r="Q191" i="2"/>
  <c r="Q216" i="2"/>
  <c r="P216" i="2"/>
  <c r="Q892" i="2"/>
  <c r="P892" i="2"/>
  <c r="P745" i="2"/>
  <c r="Q745" i="2"/>
  <c r="Q930" i="2"/>
  <c r="P930" i="2"/>
  <c r="P571" i="2"/>
  <c r="Q571" i="2"/>
  <c r="P165" i="2"/>
  <c r="Q165" i="2"/>
  <c r="Q364" i="2"/>
  <c r="P364" i="2"/>
  <c r="Q25" i="2"/>
  <c r="P25" i="2"/>
  <c r="Q237" i="2"/>
  <c r="P237" i="2"/>
  <c r="P982" i="2"/>
  <c r="Q982" i="2"/>
  <c r="Q629" i="2"/>
  <c r="P629" i="2"/>
  <c r="M27" i="2"/>
  <c r="N27" i="2" s="1"/>
  <c r="Q175" i="2"/>
  <c r="P175" i="2"/>
  <c r="M13" i="2"/>
  <c r="N13" i="2" s="1"/>
  <c r="P208" i="2"/>
  <c r="Q208" i="2"/>
  <c r="Q201" i="2"/>
  <c r="P201" i="2"/>
  <c r="Q397" i="2"/>
  <c r="P397" i="2"/>
  <c r="Q697" i="2"/>
  <c r="P697" i="2"/>
  <c r="Q860" i="2"/>
  <c r="P860" i="2"/>
  <c r="Q454" i="2"/>
  <c r="P454" i="2"/>
  <c r="Q288" i="2"/>
  <c r="P288" i="2"/>
  <c r="Q756" i="2"/>
  <c r="P756" i="2"/>
  <c r="Q778" i="2"/>
  <c r="P778" i="2"/>
  <c r="P902" i="2"/>
  <c r="Q902" i="2"/>
  <c r="Q793" i="2"/>
  <c r="P793" i="2"/>
  <c r="Q495" i="2"/>
  <c r="P495" i="2"/>
  <c r="Q616" i="2"/>
  <c r="P616" i="2"/>
  <c r="M25" i="2"/>
  <c r="N25" i="2" s="1"/>
  <c r="P674" i="2"/>
  <c r="Q674" i="2"/>
  <c r="P313" i="2"/>
  <c r="Q313" i="2"/>
  <c r="Y146" i="1"/>
  <c r="AE146" i="1"/>
  <c r="Q193" i="2"/>
  <c r="P193" i="2"/>
  <c r="W197" i="1"/>
  <c r="Q339" i="2"/>
  <c r="P339" i="2"/>
  <c r="Q794" i="2"/>
  <c r="P794" i="2"/>
  <c r="Q109" i="2"/>
  <c r="P109" i="2"/>
  <c r="P62" i="2"/>
  <c r="Q62" i="2"/>
  <c r="Q116" i="2"/>
  <c r="P116" i="2"/>
  <c r="AE183" i="1"/>
  <c r="Y183" i="1"/>
  <c r="Q506" i="2"/>
  <c r="P506" i="2"/>
  <c r="W148" i="1"/>
  <c r="M26" i="2"/>
  <c r="N26" i="2" s="1"/>
  <c r="V25" i="1"/>
  <c r="U25" i="1"/>
  <c r="X2" i="1"/>
  <c r="W48" i="1"/>
  <c r="Y186" i="1"/>
  <c r="AE186" i="1"/>
  <c r="Q803" i="2"/>
  <c r="P803" i="2"/>
  <c r="U13" i="1"/>
  <c r="V13" i="1"/>
  <c r="V10" i="1"/>
  <c r="U10" i="1"/>
  <c r="Q985" i="2"/>
  <c r="P985" i="2"/>
  <c r="V3" i="1"/>
  <c r="U3" i="1"/>
  <c r="Y45" i="1"/>
  <c r="AE45" i="1"/>
  <c r="Q189" i="2"/>
  <c r="P189" i="2"/>
  <c r="Q86" i="2"/>
  <c r="P86" i="2"/>
  <c r="Q750" i="2"/>
  <c r="P750" i="2"/>
  <c r="P962" i="2"/>
  <c r="Q962" i="2"/>
  <c r="Q845" i="2"/>
  <c r="P845" i="2"/>
  <c r="Q205" i="2"/>
  <c r="P205" i="2"/>
  <c r="P223" i="2"/>
  <c r="Q223" i="2"/>
  <c r="Q484" i="2"/>
  <c r="P484" i="2"/>
  <c r="Q493" i="2"/>
  <c r="P493" i="2"/>
  <c r="Q931" i="2"/>
  <c r="P931" i="2"/>
  <c r="Q996" i="2"/>
  <c r="P996" i="2"/>
  <c r="Q654" i="2"/>
  <c r="P654" i="2"/>
  <c r="Q738" i="2"/>
  <c r="P738" i="2"/>
  <c r="P653" i="2"/>
  <c r="Q653" i="2"/>
  <c r="Q914" i="2"/>
  <c r="P914" i="2"/>
  <c r="P623" i="2"/>
  <c r="Q623" i="2"/>
  <c r="Q704" i="2"/>
  <c r="P704" i="2"/>
  <c r="Q536" i="2"/>
  <c r="P536" i="2"/>
  <c r="Q419" i="2"/>
  <c r="P419" i="2"/>
  <c r="P148" i="2"/>
  <c r="Q148" i="2"/>
  <c r="Q32" i="2"/>
  <c r="P32" i="2"/>
  <c r="W187" i="1"/>
  <c r="Y86" i="1"/>
  <c r="AE86" i="1"/>
  <c r="Q994" i="2"/>
  <c r="P994" i="2"/>
  <c r="Q113" i="2"/>
  <c r="P113" i="2"/>
  <c r="M16" i="2"/>
  <c r="N16" i="2" s="1"/>
  <c r="AE147" i="1"/>
  <c r="Y147" i="1"/>
  <c r="P130" i="2"/>
  <c r="Q130" i="2"/>
  <c r="Q701" i="2"/>
  <c r="P701" i="2"/>
  <c r="Q597" i="2"/>
  <c r="P597" i="2"/>
  <c r="Q68" i="2"/>
  <c r="P68" i="2"/>
  <c r="Q353" i="2"/>
  <c r="P353" i="2"/>
  <c r="Y156" i="1"/>
  <c r="AE156" i="1"/>
  <c r="Q383" i="2"/>
  <c r="P383" i="2"/>
  <c r="AE182" i="1"/>
  <c r="Y182" i="1"/>
  <c r="Q681" i="2"/>
  <c r="P681" i="2"/>
  <c r="Q954" i="2"/>
  <c r="P954" i="2"/>
  <c r="M38" i="2"/>
  <c r="N38" i="2" s="1"/>
  <c r="W183" i="1"/>
  <c r="Y179" i="1"/>
  <c r="AE179" i="1"/>
  <c r="Q655" i="2"/>
  <c r="P655" i="2"/>
  <c r="P822" i="2"/>
  <c r="Q822" i="2"/>
  <c r="Q691" i="2"/>
  <c r="P691" i="2"/>
  <c r="Q923" i="2"/>
  <c r="P923" i="2"/>
  <c r="Q978" i="2"/>
  <c r="P978" i="2"/>
  <c r="Q956" i="2"/>
  <c r="P956" i="2"/>
  <c r="P500" i="2"/>
  <c r="Q500" i="2"/>
  <c r="P291" i="2"/>
  <c r="Q291" i="2"/>
  <c r="Q245" i="2"/>
  <c r="P245" i="2"/>
  <c r="Q56" i="2"/>
  <c r="P56" i="2"/>
  <c r="M32" i="2"/>
  <c r="N32" i="2" s="1"/>
  <c r="Q16" i="2"/>
  <c r="P16" i="2"/>
  <c r="Y18" i="1"/>
  <c r="AE18" i="1"/>
  <c r="Y126" i="1"/>
  <c r="AE126" i="1"/>
  <c r="Y43" i="1"/>
  <c r="AE43" i="1"/>
  <c r="Q762" i="2"/>
  <c r="P762" i="2"/>
  <c r="Q890" i="2"/>
  <c r="P890" i="2"/>
  <c r="Q811" i="2"/>
  <c r="P811" i="2"/>
  <c r="Q721" i="2"/>
  <c r="P721" i="2"/>
  <c r="Q776" i="2"/>
  <c r="P776" i="2"/>
  <c r="Q950" i="2"/>
  <c r="P950" i="2"/>
  <c r="P464" i="2"/>
  <c r="Q464" i="2"/>
  <c r="Q929" i="2"/>
  <c r="P929" i="2"/>
  <c r="Q512" i="2"/>
  <c r="P512" i="2"/>
  <c r="M10" i="2"/>
  <c r="N10" i="2" s="1"/>
  <c r="Q613" i="2"/>
  <c r="P613" i="2"/>
  <c r="W182" i="1"/>
  <c r="Y129" i="1"/>
  <c r="AE129" i="1"/>
  <c r="Y17" i="1"/>
  <c r="AE17" i="1"/>
  <c r="AE82" i="1"/>
  <c r="Y82" i="1"/>
  <c r="Q137" i="2"/>
  <c r="P137" i="2"/>
  <c r="X51" i="1"/>
  <c r="V51" i="1"/>
  <c r="U51" i="1"/>
  <c r="W179" i="1"/>
  <c r="X46" i="1"/>
  <c r="Y64" i="1" l="1"/>
  <c r="Y59" i="1"/>
  <c r="Y62" i="1"/>
  <c r="AE60" i="1"/>
  <c r="Y53" i="1"/>
  <c r="Y61" i="1"/>
  <c r="Y58" i="1"/>
  <c r="AE57" i="1"/>
  <c r="AE56" i="1"/>
  <c r="Y55" i="1"/>
  <c r="Y52" i="1"/>
  <c r="Y54" i="1"/>
  <c r="W10" i="1"/>
  <c r="Y32" i="1"/>
  <c r="Y12" i="1"/>
  <c r="W35" i="1"/>
  <c r="Y41" i="1"/>
  <c r="AE25" i="1"/>
  <c r="Y30" i="1"/>
  <c r="AE6" i="1"/>
  <c r="AE19" i="1"/>
  <c r="W3" i="1"/>
  <c r="Y3" i="1"/>
  <c r="W9" i="1"/>
  <c r="W21" i="1"/>
  <c r="AE15" i="1"/>
  <c r="Y28" i="1"/>
  <c r="W49" i="1"/>
  <c r="AE11" i="1"/>
  <c r="W47" i="1"/>
  <c r="Y16" i="1"/>
  <c r="Y39" i="1"/>
  <c r="AE33" i="1"/>
  <c r="Y33" i="1"/>
  <c r="Y10" i="1"/>
  <c r="W4" i="1"/>
  <c r="W36" i="1"/>
  <c r="W22" i="1"/>
  <c r="AE31" i="1"/>
  <c r="AE5" i="1"/>
  <c r="Y5" i="1"/>
  <c r="W2" i="1"/>
  <c r="AE38" i="1"/>
  <c r="Y38" i="1"/>
  <c r="Y20" i="1"/>
  <c r="AE20" i="1"/>
  <c r="Y27" i="1"/>
  <c r="AE27" i="1"/>
  <c r="W25" i="1"/>
  <c r="W26" i="1"/>
  <c r="W20" i="1"/>
  <c r="AE21" i="1"/>
  <c r="Y21" i="1"/>
  <c r="Y50" i="1"/>
  <c r="AE50" i="1"/>
  <c r="Y37" i="1"/>
  <c r="AE37" i="1"/>
  <c r="AE4" i="1"/>
  <c r="W42" i="1"/>
  <c r="AE36" i="1"/>
  <c r="Y36" i="1"/>
  <c r="W23" i="1"/>
  <c r="W51" i="1"/>
  <c r="W44" i="1"/>
  <c r="W32" i="1"/>
  <c r="AE47" i="1"/>
  <c r="Y47" i="1"/>
  <c r="Y51" i="1"/>
  <c r="AE51" i="1"/>
  <c r="AE14" i="1"/>
  <c r="Y14" i="1"/>
  <c r="AE8" i="1"/>
  <c r="Y8" i="1"/>
  <c r="Y44" i="1"/>
  <c r="AE44" i="1"/>
  <c r="W30" i="1"/>
  <c r="AE34" i="1"/>
  <c r="Y34" i="1"/>
  <c r="Y24" i="1"/>
  <c r="AE24" i="1"/>
  <c r="B10" i="3"/>
  <c r="B5" i="3"/>
  <c r="B4" i="3"/>
  <c r="B14" i="4"/>
  <c r="B18" i="4" s="1"/>
  <c r="B8" i="4"/>
  <c r="B3" i="4"/>
  <c r="B11" i="3"/>
  <c r="B3" i="3"/>
  <c r="Y2" i="1"/>
  <c r="AE2" i="1"/>
  <c r="AE9" i="1"/>
  <c r="Y9" i="1"/>
  <c r="W29" i="1"/>
  <c r="W46" i="1"/>
  <c r="AE46" i="1"/>
  <c r="Y46" i="1"/>
  <c r="W34" i="1"/>
  <c r="Y26" i="1"/>
  <c r="AE26" i="1"/>
  <c r="Y42" i="1"/>
  <c r="AE42" i="1"/>
  <c r="W8" i="1"/>
  <c r="AE22" i="1"/>
  <c r="Y22" i="1"/>
  <c r="AE23" i="1"/>
  <c r="Y23" i="1"/>
  <c r="AE29" i="1"/>
  <c r="Y29" i="1"/>
  <c r="W24" i="1"/>
  <c r="W13" i="1"/>
  <c r="AE35" i="1"/>
  <c r="Y35" i="1"/>
  <c r="W14" i="1"/>
  <c r="B6" i="3" l="1"/>
  <c r="B9" i="3"/>
  <c r="B7" i="3"/>
  <c r="B20" i="4"/>
  <c r="B19" i="4"/>
  <c r="B14" i="3"/>
  <c r="B2" i="5"/>
  <c r="B4" i="5" s="1"/>
  <c r="B11" i="4"/>
  <c r="B7" i="4"/>
  <c r="B5" i="4"/>
  <c r="B8" i="3"/>
  <c r="Z14" i="1" s="1"/>
  <c r="AR67" i="1" l="1"/>
  <c r="AR68" i="1"/>
  <c r="AR65" i="1"/>
  <c r="AR66" i="1"/>
  <c r="AR59" i="1"/>
  <c r="AR60" i="1"/>
  <c r="AR56" i="1"/>
  <c r="AR57" i="1"/>
  <c r="AR54" i="1"/>
  <c r="AR55" i="1"/>
  <c r="B21" i="4"/>
  <c r="B22" i="4" s="1"/>
  <c r="B23" i="4" s="1"/>
  <c r="G54" i="1"/>
  <c r="G53" i="1"/>
  <c r="G52" i="1"/>
  <c r="B13" i="3"/>
  <c r="B6" i="5" s="1"/>
  <c r="B7" i="5" s="1"/>
  <c r="Z2" i="1"/>
  <c r="Z8" i="1"/>
  <c r="R34" i="2"/>
  <c r="AR43" i="1" s="1"/>
  <c r="AB195" i="1"/>
  <c r="AC195" i="1" s="1"/>
  <c r="AB185" i="1"/>
  <c r="AC185" i="1" s="1"/>
  <c r="AB175" i="1"/>
  <c r="AC175" i="1" s="1"/>
  <c r="AB165" i="1"/>
  <c r="AC165" i="1" s="1"/>
  <c r="AB155" i="1"/>
  <c r="AC155" i="1" s="1"/>
  <c r="AB41" i="1"/>
  <c r="AC41" i="1" s="1"/>
  <c r="AB194" i="1"/>
  <c r="AC194" i="1" s="1"/>
  <c r="AB184" i="1"/>
  <c r="AC184" i="1" s="1"/>
  <c r="AB174" i="1"/>
  <c r="AC174" i="1" s="1"/>
  <c r="AB164" i="1"/>
  <c r="AC164" i="1" s="1"/>
  <c r="AB154" i="1"/>
  <c r="AC154" i="1" s="1"/>
  <c r="AB144" i="1"/>
  <c r="AC144" i="1" s="1"/>
  <c r="AB134" i="1"/>
  <c r="AC134" i="1" s="1"/>
  <c r="AB124" i="1"/>
  <c r="AC124" i="1" s="1"/>
  <c r="AB114" i="1"/>
  <c r="AC114" i="1" s="1"/>
  <c r="AB104" i="1"/>
  <c r="AC104" i="1" s="1"/>
  <c r="AB94" i="1"/>
  <c r="AC94" i="1" s="1"/>
  <c r="AB84" i="1"/>
  <c r="AC84" i="1" s="1"/>
  <c r="AB74" i="1"/>
  <c r="AC74" i="1" s="1"/>
  <c r="AB64" i="1"/>
  <c r="AC64" i="1" s="1"/>
  <c r="AB54" i="1"/>
  <c r="AC54" i="1" s="1"/>
  <c r="AB192" i="1"/>
  <c r="AC192" i="1" s="1"/>
  <c r="AB191" i="1"/>
  <c r="AC191" i="1" s="1"/>
  <c r="AB178" i="1"/>
  <c r="AC178" i="1" s="1"/>
  <c r="AB109" i="1"/>
  <c r="AC109" i="1" s="1"/>
  <c r="AB105" i="1"/>
  <c r="AC105" i="1" s="1"/>
  <c r="AB102" i="1"/>
  <c r="AC102" i="1" s="1"/>
  <c r="AB101" i="1"/>
  <c r="AC101" i="1" s="1"/>
  <c r="AB189" i="1"/>
  <c r="AC189" i="1" s="1"/>
  <c r="AB187" i="1"/>
  <c r="AC187" i="1" s="1"/>
  <c r="AB153" i="1"/>
  <c r="AC153" i="1" s="1"/>
  <c r="AB201" i="1"/>
  <c r="AC201" i="1" s="1"/>
  <c r="AB188" i="1"/>
  <c r="AC188" i="1" s="1"/>
  <c r="AB96" i="1"/>
  <c r="AC96" i="1" s="1"/>
  <c r="AB90" i="1"/>
  <c r="AC90" i="1" s="1"/>
  <c r="AB83" i="1"/>
  <c r="AC83" i="1" s="1"/>
  <c r="AB44" i="1"/>
  <c r="AC44" i="1" s="1"/>
  <c r="AB43" i="1"/>
  <c r="AC43" i="1" s="1"/>
  <c r="AB29" i="1"/>
  <c r="AC29" i="1" s="1"/>
  <c r="AB16" i="1"/>
  <c r="AC16" i="1" s="1"/>
  <c r="AB200" i="1"/>
  <c r="AC200" i="1" s="1"/>
  <c r="AB196" i="1"/>
  <c r="AC196" i="1" s="1"/>
  <c r="AB152" i="1"/>
  <c r="AC152" i="1" s="1"/>
  <c r="AB151" i="1"/>
  <c r="AC151" i="1" s="1"/>
  <c r="AB198" i="1"/>
  <c r="AC198" i="1" s="1"/>
  <c r="AB162" i="1"/>
  <c r="AC162" i="1" s="1"/>
  <c r="AB161" i="1"/>
  <c r="AC161" i="1" s="1"/>
  <c r="AB149" i="1"/>
  <c r="AC149" i="1" s="1"/>
  <c r="AB145" i="1"/>
  <c r="AC145" i="1" s="1"/>
  <c r="AB142" i="1"/>
  <c r="AC142" i="1" s="1"/>
  <c r="AB141" i="1"/>
  <c r="AC141" i="1" s="1"/>
  <c r="AB88" i="1"/>
  <c r="AC88" i="1" s="1"/>
  <c r="AB87" i="1"/>
  <c r="AC87" i="1" s="1"/>
  <c r="AB129" i="1"/>
  <c r="AC129" i="1" s="1"/>
  <c r="AB125" i="1"/>
  <c r="AC125" i="1" s="1"/>
  <c r="AB122" i="1"/>
  <c r="AC122" i="1" s="1"/>
  <c r="AB121" i="1"/>
  <c r="AC121" i="1" s="1"/>
  <c r="AB68" i="1"/>
  <c r="AC68" i="1" s="1"/>
  <c r="AB67" i="1"/>
  <c r="AC67" i="1" s="1"/>
  <c r="AB36" i="1"/>
  <c r="AC36" i="1" s="1"/>
  <c r="AB10" i="1"/>
  <c r="AC10" i="1" s="1"/>
  <c r="AB156" i="1"/>
  <c r="AC156" i="1" s="1"/>
  <c r="AB112" i="1"/>
  <c r="AC112" i="1" s="1"/>
  <c r="AB89" i="1"/>
  <c r="AC89" i="1" s="1"/>
  <c r="AB76" i="1"/>
  <c r="AC76" i="1" s="1"/>
  <c r="AB50" i="1"/>
  <c r="AC50" i="1" s="1"/>
  <c r="AB182" i="1"/>
  <c r="AC182" i="1" s="1"/>
  <c r="AB91" i="1"/>
  <c r="AC91" i="1" s="1"/>
  <c r="AB63" i="1"/>
  <c r="AC63" i="1" s="1"/>
  <c r="AB61" i="1"/>
  <c r="AC61" i="1" s="1"/>
  <c r="AB60" i="1"/>
  <c r="AC60" i="1" s="1"/>
  <c r="AB59" i="1"/>
  <c r="AC59" i="1" s="1"/>
  <c r="AB53" i="1"/>
  <c r="AC53" i="1" s="1"/>
  <c r="AB51" i="1"/>
  <c r="AC51" i="1" s="1"/>
  <c r="AB166" i="1"/>
  <c r="AC166" i="1" s="1"/>
  <c r="AB183" i="1"/>
  <c r="AC183" i="1" s="1"/>
  <c r="AB176" i="1"/>
  <c r="AC176" i="1" s="1"/>
  <c r="AB167" i="1"/>
  <c r="AC167" i="1" s="1"/>
  <c r="AB157" i="1"/>
  <c r="AC157" i="1" s="1"/>
  <c r="AB168" i="1"/>
  <c r="AC168" i="1" s="1"/>
  <c r="AB159" i="1"/>
  <c r="AC159" i="1" s="1"/>
  <c r="AB158" i="1"/>
  <c r="AC158" i="1" s="1"/>
  <c r="AB128" i="1"/>
  <c r="AC128" i="1" s="1"/>
  <c r="AB119" i="1"/>
  <c r="AC119" i="1" s="1"/>
  <c r="AB118" i="1"/>
  <c r="AC118" i="1" s="1"/>
  <c r="AB34" i="1"/>
  <c r="AC34" i="1" s="1"/>
  <c r="AB33" i="1"/>
  <c r="AC33" i="1" s="1"/>
  <c r="AB32" i="1"/>
  <c r="AC32" i="1" s="1"/>
  <c r="AB14" i="1"/>
  <c r="AC14" i="1" s="1"/>
  <c r="AB13" i="1"/>
  <c r="AC13" i="1" s="1"/>
  <c r="AB11" i="1"/>
  <c r="AC11" i="1" s="1"/>
  <c r="AB9" i="1"/>
  <c r="AC9" i="1" s="1"/>
  <c r="AB199" i="1"/>
  <c r="AC199" i="1" s="1"/>
  <c r="AB107" i="1"/>
  <c r="AC107" i="1" s="1"/>
  <c r="AB99" i="1"/>
  <c r="AC99" i="1" s="1"/>
  <c r="AB98" i="1"/>
  <c r="AC98" i="1" s="1"/>
  <c r="AB46" i="1"/>
  <c r="AC46" i="1" s="1"/>
  <c r="AB190" i="1"/>
  <c r="AC190" i="1" s="1"/>
  <c r="AB180" i="1"/>
  <c r="AC180" i="1" s="1"/>
  <c r="AB179" i="1"/>
  <c r="AC179" i="1" s="1"/>
  <c r="AB131" i="1"/>
  <c r="AC131" i="1" s="1"/>
  <c r="AB111" i="1"/>
  <c r="AC111" i="1" s="1"/>
  <c r="AB38" i="1"/>
  <c r="AC38" i="1" s="1"/>
  <c r="AB28" i="1"/>
  <c r="AC28" i="1" s="1"/>
  <c r="AB39" i="1"/>
  <c r="AC39" i="1" s="1"/>
  <c r="AB40" i="1"/>
  <c r="AC40" i="1" s="1"/>
  <c r="AB169" i="1"/>
  <c r="AC169" i="1" s="1"/>
  <c r="AB135" i="1"/>
  <c r="AC135" i="1" s="1"/>
  <c r="AB58" i="1"/>
  <c r="AC58" i="1" s="1"/>
  <c r="AB173" i="1"/>
  <c r="AC173" i="1" s="1"/>
  <c r="AB138" i="1"/>
  <c r="AC138" i="1" s="1"/>
  <c r="AB120" i="1"/>
  <c r="AC120" i="1" s="1"/>
  <c r="AB75" i="1"/>
  <c r="AC75" i="1" s="1"/>
  <c r="AB160" i="1"/>
  <c r="AC160" i="1" s="1"/>
  <c r="AB97" i="1"/>
  <c r="AC97" i="1" s="1"/>
  <c r="AB170" i="1"/>
  <c r="AC170" i="1" s="1"/>
  <c r="AB115" i="1"/>
  <c r="AC115" i="1" s="1"/>
  <c r="AB21" i="1"/>
  <c r="AC21" i="1" s="1"/>
  <c r="AB20" i="1"/>
  <c r="AC20" i="1" s="1"/>
  <c r="AB108" i="1"/>
  <c r="AC108" i="1" s="1"/>
  <c r="AB81" i="1"/>
  <c r="AC81" i="1" s="1"/>
  <c r="AB12" i="1"/>
  <c r="AC12" i="1" s="1"/>
  <c r="AB197" i="1"/>
  <c r="AC197" i="1" s="1"/>
  <c r="AB150" i="1"/>
  <c r="AC150" i="1" s="1"/>
  <c r="AB139" i="1"/>
  <c r="AC139" i="1" s="1"/>
  <c r="AB132" i="1"/>
  <c r="AC132" i="1" s="1"/>
  <c r="Z120" i="1"/>
  <c r="AB113" i="1"/>
  <c r="AC113" i="1" s="1"/>
  <c r="AB95" i="1"/>
  <c r="AC95" i="1" s="1"/>
  <c r="AB82" i="1"/>
  <c r="AC82" i="1" s="1"/>
  <c r="AB30" i="1"/>
  <c r="AC30" i="1" s="1"/>
  <c r="AB123" i="1"/>
  <c r="AC123" i="1" s="1"/>
  <c r="AB71" i="1"/>
  <c r="AC71" i="1" s="1"/>
  <c r="AB19" i="1"/>
  <c r="AC19" i="1" s="1"/>
  <c r="AB127" i="1"/>
  <c r="AC127" i="1" s="1"/>
  <c r="AB147" i="1"/>
  <c r="AC147" i="1" s="1"/>
  <c r="AB73" i="1"/>
  <c r="AC73" i="1" s="1"/>
  <c r="AB116" i="1"/>
  <c r="AC116" i="1" s="1"/>
  <c r="AB137" i="1"/>
  <c r="AC137" i="1" s="1"/>
  <c r="AB86" i="1"/>
  <c r="AC86" i="1" s="1"/>
  <c r="AB181" i="1"/>
  <c r="AC181" i="1" s="1"/>
  <c r="AB133" i="1"/>
  <c r="AC133" i="1" s="1"/>
  <c r="AB126" i="1"/>
  <c r="AC126" i="1" s="1"/>
  <c r="AB106" i="1"/>
  <c r="AC106" i="1" s="1"/>
  <c r="AB70" i="1"/>
  <c r="AC70" i="1" s="1"/>
  <c r="AB69" i="1"/>
  <c r="AC69" i="1" s="1"/>
  <c r="AB52" i="1"/>
  <c r="AC52" i="1" s="1"/>
  <c r="AB15" i="1"/>
  <c r="AC15" i="1" s="1"/>
  <c r="AB103" i="1"/>
  <c r="AC103" i="1" s="1"/>
  <c r="Z90" i="1"/>
  <c r="Z169" i="1"/>
  <c r="AB22" i="1"/>
  <c r="AC22" i="1" s="1"/>
  <c r="AB55" i="1"/>
  <c r="AC55" i="1" s="1"/>
  <c r="AB35" i="1"/>
  <c r="AC35" i="1" s="1"/>
  <c r="AB140" i="1"/>
  <c r="AC140" i="1" s="1"/>
  <c r="AB31" i="1"/>
  <c r="AC31" i="1" s="1"/>
  <c r="AB47" i="1"/>
  <c r="AC47" i="1" s="1"/>
  <c r="AB17" i="1"/>
  <c r="AC17" i="1" s="1"/>
  <c r="AB42" i="1"/>
  <c r="AC42" i="1" s="1"/>
  <c r="AB18" i="1"/>
  <c r="AC18" i="1" s="1"/>
  <c r="AB48" i="1"/>
  <c r="AC48" i="1" s="1"/>
  <c r="AB177" i="1"/>
  <c r="AC177" i="1" s="1"/>
  <c r="AB146" i="1"/>
  <c r="AC146" i="1" s="1"/>
  <c r="Z168" i="1"/>
  <c r="AB62" i="1"/>
  <c r="AC62" i="1" s="1"/>
  <c r="AB77" i="1"/>
  <c r="AC77" i="1" s="1"/>
  <c r="AB72" i="1"/>
  <c r="AC72" i="1" s="1"/>
  <c r="Z63" i="1"/>
  <c r="AB78" i="1"/>
  <c r="AC78" i="1" s="1"/>
  <c r="AB92" i="1"/>
  <c r="AC92" i="1" s="1"/>
  <c r="AB85" i="1"/>
  <c r="AC85" i="1" s="1"/>
  <c r="AB65" i="1"/>
  <c r="AC65" i="1" s="1"/>
  <c r="AB49" i="1"/>
  <c r="AC49" i="1" s="1"/>
  <c r="AB23" i="1"/>
  <c r="AC23" i="1" s="1"/>
  <c r="AB8" i="1"/>
  <c r="AC8" i="1" s="1"/>
  <c r="AB3" i="1"/>
  <c r="AC3" i="1" s="1"/>
  <c r="AB117" i="1"/>
  <c r="AC117" i="1" s="1"/>
  <c r="AB79" i="1"/>
  <c r="AC79" i="1" s="1"/>
  <c r="AB56" i="1"/>
  <c r="AC56" i="1" s="1"/>
  <c r="AB24" i="1"/>
  <c r="AC24" i="1" s="1"/>
  <c r="AB7" i="1"/>
  <c r="AC7" i="1" s="1"/>
  <c r="AB6" i="1"/>
  <c r="AC6" i="1" s="1"/>
  <c r="AB5" i="1"/>
  <c r="AC5" i="1" s="1"/>
  <c r="AB4" i="1"/>
  <c r="AC4" i="1" s="1"/>
  <c r="AB171" i="1"/>
  <c r="AC171" i="1" s="1"/>
  <c r="Z128" i="1"/>
  <c r="AB93" i="1"/>
  <c r="AC93" i="1" s="1"/>
  <c r="AB66" i="1"/>
  <c r="AC66" i="1" s="1"/>
  <c r="AB2" i="1"/>
  <c r="AC2" i="1" s="1"/>
  <c r="AB186" i="1"/>
  <c r="AC186" i="1" s="1"/>
  <c r="AB143" i="1"/>
  <c r="AC143" i="1" s="1"/>
  <c r="AB136" i="1"/>
  <c r="AC136" i="1" s="1"/>
  <c r="AB110" i="1"/>
  <c r="AC110" i="1" s="1"/>
  <c r="AB80" i="1"/>
  <c r="AC80" i="1" s="1"/>
  <c r="AB57" i="1"/>
  <c r="AC57" i="1" s="1"/>
  <c r="AB25" i="1"/>
  <c r="AC25" i="1" s="1"/>
  <c r="AB193" i="1"/>
  <c r="AC193" i="1" s="1"/>
  <c r="Z162" i="1"/>
  <c r="AB148" i="1"/>
  <c r="AC148" i="1" s="1"/>
  <c r="AB130" i="1"/>
  <c r="AC130" i="1" s="1"/>
  <c r="AB100" i="1"/>
  <c r="AC100" i="1" s="1"/>
  <c r="AB27" i="1"/>
  <c r="AC27" i="1" s="1"/>
  <c r="AB26" i="1"/>
  <c r="AC26" i="1" s="1"/>
  <c r="AB172" i="1"/>
  <c r="AC172" i="1" s="1"/>
  <c r="AB163" i="1"/>
  <c r="AC163" i="1" s="1"/>
  <c r="AB45" i="1"/>
  <c r="AC45" i="1" s="1"/>
  <c r="AB37" i="1"/>
  <c r="AC37" i="1" s="1"/>
  <c r="Z116" i="1"/>
  <c r="Z117" i="1"/>
  <c r="Z94" i="1"/>
  <c r="Z64" i="1"/>
  <c r="Z170" i="1"/>
  <c r="Z108" i="1"/>
  <c r="Z150" i="1"/>
  <c r="Z100" i="1"/>
  <c r="Z148" i="1"/>
  <c r="Z55" i="1"/>
  <c r="Z110" i="1"/>
  <c r="Z89" i="1"/>
  <c r="Z191" i="1"/>
  <c r="Z92" i="1"/>
  <c r="Z130" i="1"/>
  <c r="Z7" i="1"/>
  <c r="Z70" i="1"/>
  <c r="Z141" i="1"/>
  <c r="Z171" i="1"/>
  <c r="Z119" i="1"/>
  <c r="Z59" i="1"/>
  <c r="Z144" i="1"/>
  <c r="Z79" i="1"/>
  <c r="Z197" i="1"/>
  <c r="Z53" i="1"/>
  <c r="Z127" i="1"/>
  <c r="Z101" i="1"/>
  <c r="Z160" i="1"/>
  <c r="Z135" i="1"/>
  <c r="Z104" i="1"/>
  <c r="Z199" i="1"/>
  <c r="Z137" i="1"/>
  <c r="Z54" i="1"/>
  <c r="Z131" i="1"/>
  <c r="Z73" i="1"/>
  <c r="Z109" i="1"/>
  <c r="Z172" i="1"/>
  <c r="Z201" i="1"/>
  <c r="Z74" i="1"/>
  <c r="Z184" i="1"/>
  <c r="Z190" i="1"/>
  <c r="Z5" i="1"/>
  <c r="Z138" i="1"/>
  <c r="Z21" i="1"/>
  <c r="Z50" i="1"/>
  <c r="Z196" i="1"/>
  <c r="Z177" i="1"/>
  <c r="Z68" i="1"/>
  <c r="Z93" i="1"/>
  <c r="Z189" i="1"/>
  <c r="Z83" i="1"/>
  <c r="Z81" i="1"/>
  <c r="Z133" i="1"/>
  <c r="Z37" i="1"/>
  <c r="Z164" i="1"/>
  <c r="Z87" i="1"/>
  <c r="Z105" i="1"/>
  <c r="Z40" i="1"/>
  <c r="Z111" i="1"/>
  <c r="Z157" i="1"/>
  <c r="Z38" i="1"/>
  <c r="Z16" i="1"/>
  <c r="Z6" i="1"/>
  <c r="Z165" i="1"/>
  <c r="Z115" i="1"/>
  <c r="Z143" i="1"/>
  <c r="Z118" i="1"/>
  <c r="Z88" i="1"/>
  <c r="Z71" i="1"/>
  <c r="Z166" i="1"/>
  <c r="Z41" i="1"/>
  <c r="Z174" i="1"/>
  <c r="Z31" i="1"/>
  <c r="Z19" i="1"/>
  <c r="Z103" i="1"/>
  <c r="Z132" i="1"/>
  <c r="Z136" i="1"/>
  <c r="Z175" i="1"/>
  <c r="Z98" i="1"/>
  <c r="Z145" i="1"/>
  <c r="Z95" i="1"/>
  <c r="Z39" i="1"/>
  <c r="Z65" i="1"/>
  <c r="Z122" i="1"/>
  <c r="Z15" i="1"/>
  <c r="Z85" i="1"/>
  <c r="Z78" i="1"/>
  <c r="Z151" i="1"/>
  <c r="Z57" i="1"/>
  <c r="Z60" i="1"/>
  <c r="Z102" i="1"/>
  <c r="Z114" i="1"/>
  <c r="Z134" i="1"/>
  <c r="Z195" i="1"/>
  <c r="Z155" i="1"/>
  <c r="Z96" i="1"/>
  <c r="Z140" i="1"/>
  <c r="Z75" i="1"/>
  <c r="Z198" i="1"/>
  <c r="Z173" i="1"/>
  <c r="Z80" i="1"/>
  <c r="Z11" i="1"/>
  <c r="Z153" i="1"/>
  <c r="Z193" i="1"/>
  <c r="Z159" i="1"/>
  <c r="Z200" i="1"/>
  <c r="Z194" i="1"/>
  <c r="Z161" i="1"/>
  <c r="Z61" i="1"/>
  <c r="Z28" i="1"/>
  <c r="Z72" i="1"/>
  <c r="Z152" i="1"/>
  <c r="Z20" i="1"/>
  <c r="Z176" i="1"/>
  <c r="Z67" i="1"/>
  <c r="Z113" i="1"/>
  <c r="Z91" i="1"/>
  <c r="Z192" i="1"/>
  <c r="Z158" i="1"/>
  <c r="Z149" i="1"/>
  <c r="Z97" i="1"/>
  <c r="Z112" i="1"/>
  <c r="Z33" i="1"/>
  <c r="Z52" i="1"/>
  <c r="Z181" i="1"/>
  <c r="Z77" i="1"/>
  <c r="Z69" i="1"/>
  <c r="Z76" i="1"/>
  <c r="Z121" i="1"/>
  <c r="Z62" i="1"/>
  <c r="Z27" i="1"/>
  <c r="Z84" i="1"/>
  <c r="Z107" i="1"/>
  <c r="Z142" i="1"/>
  <c r="Z180" i="1"/>
  <c r="Z86" i="1"/>
  <c r="Z125" i="1"/>
  <c r="Z183" i="1"/>
  <c r="Z99" i="1"/>
  <c r="Z185" i="1"/>
  <c r="Z139" i="1"/>
  <c r="Z12" i="1"/>
  <c r="Z106" i="1"/>
  <c r="Z17" i="1"/>
  <c r="Z126" i="1"/>
  <c r="Z146" i="1"/>
  <c r="Z49" i="1"/>
  <c r="Z187" i="1"/>
  <c r="Z156" i="1"/>
  <c r="Z13" i="1"/>
  <c r="Z147" i="1"/>
  <c r="Z18" i="1"/>
  <c r="Z129" i="1"/>
  <c r="Z48" i="1"/>
  <c r="Z179" i="1"/>
  <c r="Z3" i="1"/>
  <c r="Z56" i="1"/>
  <c r="Z66" i="1"/>
  <c r="Z45" i="1"/>
  <c r="Z58" i="1"/>
  <c r="Z30" i="1"/>
  <c r="Z188" i="1"/>
  <c r="Z163" i="1"/>
  <c r="Z178" i="1"/>
  <c r="Z10" i="1"/>
  <c r="Z124" i="1"/>
  <c r="Z82" i="1"/>
  <c r="Z182" i="1"/>
  <c r="Z32" i="1"/>
  <c r="Z186" i="1"/>
  <c r="Z25" i="1"/>
  <c r="Z4" i="1"/>
  <c r="Z123" i="1"/>
  <c r="Z167" i="1"/>
  <c r="Z43" i="1"/>
  <c r="Z154" i="1"/>
  <c r="Z42" i="1"/>
  <c r="B10" i="4"/>
  <c r="AR14" i="1"/>
  <c r="AR22" i="1"/>
  <c r="AR42" i="1"/>
  <c r="AR6" i="1"/>
  <c r="AR29" i="1"/>
  <c r="AR25" i="1"/>
  <c r="AR10" i="1"/>
  <c r="AR49" i="1"/>
  <c r="AR40" i="1"/>
  <c r="AR7" i="1"/>
  <c r="AR8" i="1"/>
  <c r="AR23" i="1"/>
  <c r="AR34" i="1"/>
  <c r="AR15" i="1"/>
  <c r="AR2" i="1"/>
  <c r="AR17" i="1"/>
  <c r="AR47" i="1"/>
  <c r="AR44" i="1"/>
  <c r="AR39" i="1"/>
  <c r="AR16" i="1"/>
  <c r="AR32" i="1"/>
  <c r="AR11" i="1"/>
  <c r="AR38" i="1"/>
  <c r="AR20" i="1"/>
  <c r="AR37" i="1"/>
  <c r="AR4" i="1"/>
  <c r="Z47" i="1"/>
  <c r="Z23" i="1"/>
  <c r="Z22" i="1"/>
  <c r="Z34" i="1"/>
  <c r="Z9" i="1"/>
  <c r="Z26" i="1"/>
  <c r="Z29" i="1"/>
  <c r="Z44" i="1"/>
  <c r="Z46" i="1"/>
  <c r="Z51" i="1"/>
  <c r="Z36" i="1"/>
  <c r="Z24" i="1"/>
  <c r="Z35" i="1"/>
  <c r="R58" i="2" l="1"/>
  <c r="G70" i="1"/>
  <c r="R47" i="2"/>
  <c r="AR53" i="1" s="1"/>
  <c r="R42" i="2"/>
  <c r="R57" i="2"/>
  <c r="R32" i="2"/>
  <c r="G69" i="1"/>
  <c r="R35" i="2"/>
  <c r="AR45" i="1" s="1"/>
  <c r="G67" i="1"/>
  <c r="G68" i="1"/>
  <c r="G65" i="1"/>
  <c r="G66" i="1"/>
  <c r="R41" i="2"/>
  <c r="R55" i="2"/>
  <c r="R56" i="2"/>
  <c r="R54" i="2"/>
  <c r="G64" i="1"/>
  <c r="R52" i="2"/>
  <c r="R53" i="2"/>
  <c r="R44" i="2"/>
  <c r="G63" i="1"/>
  <c r="R51" i="2"/>
  <c r="R36" i="2"/>
  <c r="AR46" i="1" s="1"/>
  <c r="G62" i="1"/>
  <c r="R50" i="2"/>
  <c r="AR62" i="1" s="1"/>
  <c r="R22" i="2"/>
  <c r="R49" i="2"/>
  <c r="AR61" i="1" s="1"/>
  <c r="R45" i="2"/>
  <c r="R5" i="2"/>
  <c r="AR9" i="1" s="1"/>
  <c r="R7" i="2"/>
  <c r="AR13" i="1" s="1"/>
  <c r="R6" i="2"/>
  <c r="AR12" i="1" s="1"/>
  <c r="R27" i="2"/>
  <c r="R26" i="2"/>
  <c r="R11" i="2"/>
  <c r="R21" i="2"/>
  <c r="AR28" i="1" s="1"/>
  <c r="R31" i="2"/>
  <c r="R2" i="2"/>
  <c r="R37" i="2"/>
  <c r="AR48" i="1" s="1"/>
  <c r="R39" i="2"/>
  <c r="G60" i="1"/>
  <c r="G61" i="1"/>
  <c r="R46" i="2"/>
  <c r="R12" i="2"/>
  <c r="R9" i="2"/>
  <c r="AR19" i="1" s="1"/>
  <c r="R19" i="2"/>
  <c r="R40" i="2"/>
  <c r="R3" i="2"/>
  <c r="R25" i="2"/>
  <c r="AR31" i="1" s="1"/>
  <c r="R33" i="2"/>
  <c r="AR41" i="1" s="1"/>
  <c r="R24" i="2"/>
  <c r="R38" i="2"/>
  <c r="R18" i="2"/>
  <c r="R29" i="2"/>
  <c r="R20" i="2"/>
  <c r="R13" i="2"/>
  <c r="R30" i="2"/>
  <c r="R23" i="2"/>
  <c r="R8" i="2"/>
  <c r="AR18" i="1" s="1"/>
  <c r="R15" i="2"/>
  <c r="AR24" i="1" s="1"/>
  <c r="R28" i="2"/>
  <c r="R14" i="2"/>
  <c r="R48" i="2"/>
  <c r="AR58" i="1" s="1"/>
  <c r="G59" i="1"/>
  <c r="G57" i="1"/>
  <c r="G58" i="1"/>
  <c r="R10" i="2"/>
  <c r="R43" i="2"/>
  <c r="R4" i="2"/>
  <c r="AR5" i="1" s="1"/>
  <c r="G55" i="1"/>
  <c r="G56" i="1"/>
  <c r="AR69" i="1" l="1"/>
  <c r="AR36" i="1"/>
  <c r="AR64" i="1"/>
  <c r="AR63" i="1"/>
  <c r="AR51" i="1"/>
  <c r="AR52" i="1"/>
  <c r="AR33" i="1"/>
  <c r="AR3" i="1"/>
  <c r="AR50" i="1"/>
  <c r="AR30" i="1"/>
  <c r="AR35" i="1"/>
  <c r="AR27" i="1"/>
  <c r="AR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1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1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1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1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1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1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1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1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1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1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1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1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1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1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1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1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1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1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1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1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1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1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1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1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1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<sst xmlns="http://schemas.openxmlformats.org/spreadsheetml/2006/main" count="425" uniqueCount="163">
  <si>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</si>
  <si>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</si>
  <si>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</si>
  <si>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</si>
  <si>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</si>
  <si>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</si>
  <si>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</si>
  <si>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</si>
  <si>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</si>
  <si>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</si>
  <si>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</si>
  <si>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</si>
  <si>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</si>
  <si>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</si>
  <si>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</si>
  <si>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</si>
  <si>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</si>
  <si>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</si>
  <si>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</si>
  <si>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</si>
  <si>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</si>
  <si>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</si>
  <si>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</si>
  <si>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</si>
  <si>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</si>
  <si>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</si>
  <si>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</si>
  <si>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</si>
  <si>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</si>
  <si>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</si>
  <si>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</si>
  <si>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</si>
  <si>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</si>
  <si>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</si>
  <si>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</si>
  <si>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</si>
  <si>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</si>
  <si>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</si>
  <si>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</si>
  <si>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</si>
  <si>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</si>
  <si>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</si>
  <si>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</si>
  <si>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</si>
  <si>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剑桥科技</t>
  </si>
  <si>
    <t>突破冲新高</t>
  </si>
  <si>
    <t>4～10个交易日</t>
  </si>
  <si>
    <t>交易量没有下跌有支持</t>
  </si>
  <si>
    <t>短期博反弹</t>
  </si>
  <si>
    <t>下跌不当，还是上升</t>
  </si>
  <si>
    <t>趋势波段</t>
  </si>
  <si>
    <t>21～60个交易日</t>
  </si>
  <si>
    <t>还需继续上升也是有风险，小仓尝试</t>
  </si>
  <si>
    <t>弹不上去就要走人</t>
  </si>
  <si>
    <t>1～3个交易日</t>
  </si>
  <si>
    <t>60个交易日以上</t>
  </si>
  <si>
    <t>开始反弹了</t>
  </si>
  <si>
    <t>突破创新高</t>
  </si>
  <si>
    <t>11～20个交易日</t>
  </si>
  <si>
    <t>突破箱体</t>
  </si>
  <si>
    <t>特变电工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</si>
  <si>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</si>
  <si>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</si>
  <si>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</si>
  <si>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</si>
  <si>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</si>
  <si>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</si>
  <si>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</si>
  <si>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</si>
  <si>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</si>
  <si>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</si>
  <si>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</si>
  <si>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</si>
  <si>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</si>
  <si>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</si>
  <si>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</si>
  <si>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</si>
  <si>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</si>
  <si>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</si>
  <si>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</si>
  <si>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</si>
  <si>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</si>
  <si>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</si>
  <si>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</si>
  <si>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</si>
  <si>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</si>
  <si>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</si>
  <si>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</si>
  <si>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</si>
  <si>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</si>
  <si>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</si>
  <si>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</si>
  <si>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</si>
  <si>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</si>
  <si>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</si>
  <si>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</si>
  <si>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</si>
  <si>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</si>
  <si>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</si>
  <si>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</si>
  <si>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</si>
  <si>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</si>
  <si>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</si>
  <si>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</si>
  <si>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</si>
  <si>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</si>
  <si>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</si>
  <si>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</si>
  <si>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</si>
  <si>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</si>
  <si>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</si>
  <si>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</si>
  <si>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</si>
  <si>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</si>
  <si>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</si>
  <si>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</si>
  <si>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</si>
  <si>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</si>
  <si>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</si>
  <si>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</si>
  <si>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</si>
  <si>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</si>
  <si>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</si>
  <si>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</si>
  <si>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</si>
  <si>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</si>
  <si>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</si>
  <si>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</si>
  <si>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</si>
  <si>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</si>
  <si>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</si>
  <si>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</si>
  <si>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</si>
  <si>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</si>
  <si>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</si>
  <si>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</si>
  <si>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</si>
  <si>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</si>
  <si>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</si>
  <si>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</si>
  <si>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</si>
  <si>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</si>
  <si>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</si>
  <si>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</si>
  <si>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</si>
  <si>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</si>
  <si>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</si>
  <si>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</si>
  <si>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</si>
  <si>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</si>
  <si>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</si>
  <si>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</si>
  <si>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</si>
  <si>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</si>
  <si>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</si>
  <si>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</si>
  <si>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</si>
  <si>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</si>
  <si>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</si>
  <si>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</si>
  <si>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</si>
  <si>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</si>
  <si>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浪潮信息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</si>
</sst>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2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11"/>
      <color rgb="FF008000"/>
      <name val="宋体"/>
      <charset val="134"/>
    </font>
    <font>
      <sz val="11"/>
      <color rgb="FFFF0000"/>
      <name val="宋体"/>
      <charset val="134"/>
    </font>
    <font>
      <sz val="10"/>
      <name val="Arial"/>
      <family val="2"/>
    </font>
    <font>
      <sz val="10"/>
      <name val="Noto Sans CJK SC"/>
      <family val="1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D9E2F3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0" borderId="0" xfId="0" applyFont="1"/>
    <xf numFmtId="0" fontId="0" fillId="4" borderId="1" xfId="0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76" fontId="6" fillId="3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176" fontId="5" fillId="4" borderId="1" xfId="0" applyNumberFormat="1" applyFont="1" applyFill="1" applyBorder="1" applyAlignment="1">
      <alignment vertical="top" wrapText="1"/>
    </xf>
    <xf numFmtId="10" fontId="5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77" fontId="5" fillId="4" borderId="1" xfId="0" applyNumberFormat="1" applyFont="1" applyFill="1" applyBorder="1" applyAlignment="1">
      <alignment vertical="top" wrapText="1"/>
    </xf>
    <xf numFmtId="10" fontId="5" fillId="3" borderId="1" xfId="0" applyNumberFormat="1" applyFont="1" applyFill="1" applyBorder="1" applyAlignment="1">
      <alignment vertical="top" wrapText="1"/>
    </xf>
    <xf numFmtId="2" fontId="5" fillId="3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0" fontId="2" fillId="0" borderId="0" xfId="0" applyFont="1"/>
    <xf numFmtId="176" fontId="2" fillId="4" borderId="1" xfId="0" applyNumberFormat="1" applyFon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6" fillId="6" borderId="1" xfId="0" applyNumberFormat="1" applyFont="1" applyFill="1" applyBorder="1" applyAlignment="1">
      <alignment vertical="top" wrapText="1"/>
    </xf>
    <xf numFmtId="176" fontId="6" fillId="6" borderId="1" xfId="0" applyNumberFormat="1" applyFont="1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>
      <calculatedColumnFormula>IF(AP2="","",AP2)</calculatedColumnFormula>
    </tableColumn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IF(OR(AO2="",J2="",AO2&lt;=0),"",(J2-AO2)/AO2)</calculatedColumnFormula>
    </tableColumn>
    <tableColumn id="22" xr3:uid="{00000000-0010-0000-0000-000016000000}" name="期望止损比例">
      <calculatedColumnFormula>IF(OR(AO2="",N2="",AO2&lt;=0),"",(AO2-N2)/AO2)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加权后实际盈亏">
      <calculatedColumnFormula>IF(OR(K2="",L2="",AO2="",AP2=""),"",(K2-AO2)*L2-IF(O2="",0,O2)-IF(P2="",0,P2))</calculatedColumnFormula>
    </tableColumn>
    <tableColumn id="25" xr3:uid="{00000000-0010-0000-0000-000019000000}" name="单笔仓位收益率">
      <calculatedColumnFormula>IF(OR(X2="",AO2="",L2=""),"",IF(AO2*L2+IF(O2="",0,O2)&lt;=0,"",X2/(AO2*L2+IF(O2="",0,O2))))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已执行加仓次数">
      <calculatedColumnFormula>IF(A2="","",COUNTIFS(加仓管理!$A$2:$A$1001,A2,加仓管理!$G$2:$G$1001,"&gt;0"))</calculatedColumnFormula>
    </tableColumn>
    <tableColumn id="38" xr3:uid="{00000000-0010-0000-0000-000026000000}" name="加仓总股数">
      <calculatedColumnFormula>IF(A2="","",SUMIFS(加仓管理!$G$2:$G$1001,加仓管理!$A$2:$A$1001,A2))</calculatedColumnFormula>
    </tableColumn>
    <tableColumn id="39" xr3:uid="{00000000-0010-0000-0000-000027000000}" name="最近加仓价">
      <calculatedColumnFormula>IF(AK2=0,"",IFERROR(LOOKUP(2,1/((加仓管理!$A$2:$A$1001=A2)*(加仓管理!$G$2:$G$1001&gt;0)),加仓管理!$D$2:$D$1001),""))</calculatedColumnFormula>
    </tableColumn>
    <tableColumn id="40" xr3:uid="{00000000-0010-0000-0000-000028000000}" name="最新加仓止损价">
      <calculatedColumnFormula>IF(AK2=0,"",IFERROR(LOOKUP(2,1/((加仓管理!$A$2:$A$1001=A2)*(加仓管理!$G$2:$G$1001&gt;0)),加仓管理!$E$2:$E$1001),""))</calculatedColumnFormula>
    </tableColumn>
    <tableColumn id="41" xr3:uid="{00000000-0010-0000-0000-000029000000}" name="实际加权买入价">
      <calculatedColumnFormula>IF(OR(A2="",H2="",H2&lt;=0),"",(E2*H2+SUMIFS(加仓管理!$H$2:$H$1001,加仓管理!$A$2:$A$1001,A2))/AP2)</calculatedColumnFormula>
    </tableColumn>
    <tableColumn id="42" xr3:uid="{00000000-0010-0000-0000-00002A000000}" name="最终持仓股数">
      <calculatedColumnFormula>IF(OR(A2="",H2="",H2&lt;=0),"",H2+AL2)</calculatedColumnFormula>
    </tableColumn>
    <tableColumn id="43" xr3:uid="{00000000-0010-0000-0000-00002B000000}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xr3:uid="{00000000-0010-0000-0000-00002C000000}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>
      <calculatedColumnFormula>IF(OR(A2="",D2="",G2=""),"",D2*G2)</calculatedColumnFormula>
    </tableColumn>
    <tableColumn id="9" xr3:uid="{00000000-0010-0000-0100-000009000000}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xr3:uid="{00000000-0010-0000-0100-00000A000000}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xr3:uid="{00000000-0010-0000-0100-00000B000000}" name="新止损下底仓锁定利润">
      <calculatedColumnFormula>IF(OR(E2="",I2="",J2=""),"",MAX(E2*I2-J2,0))</calculatedColumnFormula>
    </tableColumn>
    <tableColumn id="12" xr3:uid="{00000000-0010-0000-0100-00000C000000}" name="风险允许股数">
      <calculatedColumnFormula>IF(OR(D2="",E2="",F2="",D2&lt;=E2),"",FLOOR((F2+K2)/(D2-E2),100))</calculatedColumnFormula>
    </tableColumn>
    <tableColumn id="13" xr3:uid="{00000000-0010-0000-0100-00000D000000}" name="金字塔上限股数">
      <calculatedColumnFormula>IF(OR(A2="",B2="",L2=""),"",IF(B2=1,L2,IFERROR(SUMIFS($G$2:$G$1001,$A$2:$A$1001,A2,$B$2:$B$1001,B2-1),0)))</calculatedColumnFormula>
    </tableColumn>
    <tableColumn id="14" xr3:uid="{00000000-0010-0000-0100-00000E000000}" name="建议加仓股数">
      <calculatedColumnFormula>IF(OR(L2="",M2=""),"",MIN(L2,M2))</calculatedColumnFormula>
    </tableColumn>
    <tableColumn id="15" xr3:uid="{00000000-0010-0000-0100-00000F000000}" name="加仓后累计股数">
      <calculatedColumnFormula>IF(OR(I2="",G2=""),"",I2+G2)</calculatedColumnFormula>
    </tableColumn>
    <tableColumn id="16" xr3:uid="{00000000-0010-0000-0100-000010000000}" name="加仓后加权成本">
      <calculatedColumnFormula>IF(OR(O2="",O2=0),"",(J2+H2)/O2)</calculatedColumnFormula>
    </tableColumn>
    <tableColumn id="17" xr3:uid="{00000000-0010-0000-0100-000011000000}" name="加仓后止损风险">
      <calculatedColumnFormula>IF(OR(O2="",E2=""),"",MAX(J2+H2-E2*O2,0))</calculatedColumnFormula>
    </tableColumn>
    <tableColumn id="18" xr3:uid="{00000000-0010-0000-0100-000012000000}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62" zoomScale="115" zoomScaleNormal="115" workbookViewId="0">
      <pane xSplit="2" topLeftCell="C1" activePane="topRight" state="frozen"/>
      <selection pane="topRight" activeCell="E72" sqref="E72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spans="1:44">
      <c r="A2" s="21">
        <v>1</v>
      </c>
      <c r="B2" s="10" t="s">
        <v>44</v>
      </c>
      <c r="C2" s="7">
        <v>100000</v>
      </c>
      <c r="D2" s="4">
        <v>0.02</v>
      </c>
      <c r="E2" s="7">
        <v>29.33</v>
      </c>
      <c r="F2" s="6">
        <f t="shared" ref="F2:F33" si="0">IF(OR(C2="",D2="",E2="",N2="",C2&lt;=0,D2&lt;=0,E2&lt;=N2),"",ROUNDDOWN((C2*D2)/(E2-N2)/100,0)*100)</f>
        <v>600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1">
        <v>600</v>
      </c>
      <c r="I2" s="22">
        <v>43900</v>
      </c>
      <c r="J2" s="7">
        <v>35</v>
      </c>
      <c r="K2" s="7">
        <v>23.79</v>
      </c>
      <c r="L2" s="6">
        <f t="shared" ref="L2:L33" si="1">IF(AP2="","",AP2)</f>
        <v>600</v>
      </c>
      <c r="M2" s="22">
        <v>43906</v>
      </c>
      <c r="N2" s="7">
        <v>26</v>
      </c>
      <c r="O2" s="7"/>
      <c r="P2" s="7"/>
      <c r="Q2" s="21"/>
      <c r="R2" s="21"/>
      <c r="S2" s="21"/>
      <c r="T2" s="21"/>
      <c r="U2" s="5">
        <f t="shared" ref="U2:U33" si="2">IF(OR(AO2="",J2="",AO2&lt;=0),"",(J2-AO2)/AO2)</f>
        <v>0.19331742243436761</v>
      </c>
      <c r="V2" s="5">
        <f t="shared" ref="V2:V33" si="3">IF(OR(AO2="",N2="",AO2&lt;=0),"",(AO2-N2)/AO2)</f>
        <v>0.11353562904875548</v>
      </c>
      <c r="W2" s="23">
        <f t="shared" ref="W2:W33" si="4">IF(OR(U2="",V2="",V2&lt;=0),"",U2/V2)</f>
        <v>1.7027027027027042</v>
      </c>
      <c r="X2" s="3">
        <f t="shared" ref="X2:X33" si="5">IF(OR(K2="",L2="",AO2="",AP2=""),"",(K2-AO2)*L2-IF(O2="",0,O2)-IF(P2="",0,P2))</f>
        <v>-3323.9999999999995</v>
      </c>
      <c r="Y2" s="5">
        <f t="shared" ref="Y2:Y33" si="6">IF(OR(X2="",AO2="",L2=""),"",IF(AO2*L2+IF(O2="",0,O2)&lt;=0,"",X2/(AO2*L2+IF(O2="",0,O2))))</f>
        <v>-0.1888851005796113</v>
      </c>
      <c r="Z2" s="5">
        <f>IF(OR(AE2="",多次统计数据!$B$8=""),"",AE2-多次统计数据!$B$8)</f>
        <v>-0.12426989524033791</v>
      </c>
      <c r="AA2" s="8">
        <f t="shared" ref="AA2:AA33" si="7">IF(OR(I2="",M2="",M2&lt;I2),"",M2-I2)</f>
        <v>6</v>
      </c>
      <c r="AB2" s="5">
        <f>IF(OR(A2="",多次统计数据!$B$8="",多次统计数据!$B$6&lt;=0,多次统计数据!$B$6&gt;=1),"",1-POWER(1+多次统计数据!$B$8,-多次统计数据!$B$6/(1-多次统计数据!$B$6)))</f>
        <v>6.8202299268846023E-2</v>
      </c>
      <c r="AC2" s="6" t="str">
        <f>IF(OR(AB2="",多次统计数据!$B$9=""),"",IF(多次统计数据!$B$9&lt;AB2,"低于上限","达到或超过上限"))</f>
        <v>低于上限</v>
      </c>
      <c r="AD2" s="21"/>
      <c r="AE2" s="5">
        <f t="shared" ref="AE2:AE33" si="8">IF(OR(X2="",C2="",C2&lt;=0),"",X2/C2)</f>
        <v>-3.3239999999999999E-2</v>
      </c>
      <c r="AG2" s="21" t="s">
        <v>45</v>
      </c>
      <c r="AH2" s="21" t="s">
        <v>46</v>
      </c>
      <c r="AI2" s="10" t="s">
        <v>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4">
        <f>IF(A2="","",COUNTIFS(加仓管理!$A$2:$A$1001,A2,加仓管理!$G$2:$G$1001,"&gt;0"))</f>
        <v>0</v>
      </c>
      <c r="AL2" s="24">
        <f>IF(A2="","",SUMIFS(加仓管理!$G$2:$G$1001,加仓管理!$A$2:$A$1001,A2))</f>
        <v>0</v>
      </c>
      <c r="AM2" s="25" t="str">
        <f>IF(AK2=0,"",IFERROR(LOOKUP(2,1/((加仓管理!$A$2:$A$1001=A2)*(加仓管理!$G$2:$G$1001&gt;0)),加仓管理!$D$2:$D$1001),""))</f>
        <v/>
      </c>
      <c r="AN2" s="25" t="str">
        <f>IF(AK2=0,"",IFERROR(LOOKUP(2,1/((加仓管理!$A$2:$A$1001=A2)*(加仓管理!$G$2:$G$1001&gt;0)),加仓管理!$E$2:$E$1001),""))</f>
        <v/>
      </c>
      <c r="AO2" s="25">
        <f>IF(OR(A2="",H2="",H2&lt;=0),"",(E2*H2+SUMIFS(加仓管理!$H$2:$H$1001,加仓管理!$A$2:$A$1001,A2))/AP2)</f>
        <v>29.33</v>
      </c>
      <c r="AP2" s="24">
        <f t="shared" ref="AP2:AP33" si="10">IF(OR(A2="",H2="",H2&lt;=0),"",H2+AL2)</f>
        <v>600</v>
      </c>
      <c r="AQ2" s="25">
        <f>IF(A2="","",IF(M2&lt;&gt;"",0,IF(OR(H2="",N2=""),"",MAX((E2*H2+SUMIFS(加仓管理!$H$2:$H$1001,加仓管理!$A$2:$A$1001,A2))-MAX(N2,AN2)*AP2,0))))</f>
        <v>0</v>
      </c>
      <c r="AR2" s="25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21">
        <v>2</v>
      </c>
      <c r="B3" s="10" t="s">
        <v>44</v>
      </c>
      <c r="C3" s="3">
        <v>96679</v>
      </c>
      <c r="D3" s="4">
        <v>0.02</v>
      </c>
      <c r="E3" s="7">
        <v>23.05</v>
      </c>
      <c r="F3" s="6">
        <f t="shared" si="0"/>
        <v>1200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1">
        <v>1200</v>
      </c>
      <c r="I3" s="22">
        <v>43914</v>
      </c>
      <c r="J3" s="7">
        <v>26</v>
      </c>
      <c r="K3" s="7">
        <v>27.71</v>
      </c>
      <c r="L3" s="6">
        <f t="shared" si="1"/>
        <v>2600</v>
      </c>
      <c r="M3" s="22">
        <v>43972</v>
      </c>
      <c r="N3" s="7">
        <v>21.5</v>
      </c>
      <c r="O3" s="7"/>
      <c r="P3" s="7"/>
      <c r="Q3" s="21"/>
      <c r="R3" s="21"/>
      <c r="S3" s="21"/>
      <c r="T3" s="21"/>
      <c r="U3" s="5">
        <f t="shared" si="2"/>
        <v>-1.9721577726218159E-2</v>
      </c>
      <c r="V3" s="5">
        <f t="shared" si="3"/>
        <v>0.18938515081206503</v>
      </c>
      <c r="W3" s="23">
        <f t="shared" si="4"/>
        <v>-0.10413476263399722</v>
      </c>
      <c r="X3" s="3">
        <f t="shared" si="5"/>
        <v>3085.9999999999977</v>
      </c>
      <c r="Y3" s="5">
        <f t="shared" si="6"/>
        <v>4.4750580046403678E-2</v>
      </c>
      <c r="Z3" s="5">
        <f>IF(OR(AE3="",多次统计数据!$B$8=""),"",AE3-多次统计数据!$B$8)</f>
        <v>-5.9109829869368018E-2</v>
      </c>
      <c r="AA3" s="8">
        <f t="shared" si="7"/>
        <v>58</v>
      </c>
      <c r="AB3" s="5">
        <f>IF(OR(A3="",多次统计数据!$B$8="",多次统计数据!$B$6&lt;=0,多次统计数据!$B$6&gt;=1),"",1-POWER(1+多次统计数据!$B$8,-多次统计数据!$B$6/(1-多次统计数据!$B$6)))</f>
        <v>6.8202299268846023E-2</v>
      </c>
      <c r="AC3" s="6" t="str">
        <f>IF(OR(AB3="",多次统计数据!$B$9=""),"",IF(多次统计数据!$B$9&lt;AB3,"低于上限","达到或超过上限"))</f>
        <v>低于上限</v>
      </c>
      <c r="AD3" s="21"/>
      <c r="AE3" s="5">
        <f t="shared" si="8"/>
        <v>3.1920065370969884E-2</v>
      </c>
      <c r="AG3" s="21" t="s">
        <v>48</v>
      </c>
      <c r="AH3" s="21" t="s">
        <v>46</v>
      </c>
      <c r="AI3" s="10" t="s">
        <v>49</v>
      </c>
      <c r="AJ3" s="6" t="str">
        <f t="shared" si="9"/>
        <v>匹配</v>
      </c>
      <c r="AK3" s="24">
        <f>IF(A3="","",COUNTIFS(加仓管理!$A$2:$A$1001,A3,加仓管理!$G$2:$G$1001,"&gt;0"))</f>
        <v>2</v>
      </c>
      <c r="AL3" s="24">
        <f>IF(A3="","",SUMIFS(加仓管理!$G$2:$G$1001,加仓管理!$A$2:$A$1001,A3))</f>
        <v>1400</v>
      </c>
      <c r="AM3" s="25">
        <f>IF(AK3=0,"",IFERROR(LOOKUP(2,1/((加仓管理!$A$2:$A$1001=A3)*(加仓管理!$G$2:$G$1001&gt;0)),加仓管理!$D$2:$D$1001),""))</f>
        <v>31.05</v>
      </c>
      <c r="AN3" s="25">
        <f>IF(AK3=0,"",IFERROR(LOOKUP(2,1/((加仓管理!$A$2:$A$1001=A3)*(加仓管理!$G$2:$G$1001&gt;0)),加仓管理!$E$2:$E$1001),""))</f>
        <v>29</v>
      </c>
      <c r="AO3" s="25">
        <f>IF(OR(A3="",H3="",H3&lt;=0),"",(E3*H3+SUMIFS(加仓管理!$H$2:$H$1001,加仓管理!$A$2:$A$1001,A3))/AP3)</f>
        <v>26.523076923076925</v>
      </c>
      <c r="AP3" s="24">
        <f t="shared" si="10"/>
        <v>2600</v>
      </c>
      <c r="AQ3" s="25">
        <f>IF(A3="","",IF(M3&lt;&gt;"",0,IF(OR(H3="",N3=""),"",MAX((E3*H3+SUMIFS(加仓管理!$H$2:$H$1001,加仓管理!$A$2:$A$1001,A3))-MAX(N3,AN3)*AP3,0))))</f>
        <v>0</v>
      </c>
      <c r="AR3" s="25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spans="1:44">
      <c r="A4" s="21">
        <v>3</v>
      </c>
      <c r="B4" s="10" t="s">
        <v>44</v>
      </c>
      <c r="C4" s="7">
        <v>99762</v>
      </c>
      <c r="D4" s="4">
        <v>0.02</v>
      </c>
      <c r="E4" s="7">
        <v>28.81</v>
      </c>
      <c r="F4" s="6">
        <f t="shared" si="0"/>
        <v>700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1">
        <v>500</v>
      </c>
      <c r="I4" s="22">
        <v>43984</v>
      </c>
      <c r="J4" s="7">
        <v>35</v>
      </c>
      <c r="K4" s="7">
        <v>26.81</v>
      </c>
      <c r="L4" s="6">
        <f t="shared" si="1"/>
        <v>500</v>
      </c>
      <c r="M4" s="22">
        <v>43992</v>
      </c>
      <c r="N4" s="7">
        <v>26</v>
      </c>
      <c r="O4" s="7"/>
      <c r="P4" s="7"/>
      <c r="Q4" s="21"/>
      <c r="R4" s="21"/>
      <c r="S4" s="21"/>
      <c r="T4" s="21"/>
      <c r="U4" s="5">
        <f t="shared" si="2"/>
        <v>0.21485595279416875</v>
      </c>
      <c r="V4" s="5">
        <f t="shared" si="3"/>
        <v>9.753557792433179E-2</v>
      </c>
      <c r="W4" s="23">
        <f t="shared" si="4"/>
        <v>2.2028469750889696</v>
      </c>
      <c r="X4" s="3">
        <f t="shared" si="5"/>
        <v>-1000</v>
      </c>
      <c r="Y4" s="5">
        <f t="shared" si="6"/>
        <v>-6.9420340159666777E-2</v>
      </c>
      <c r="Z4" s="5">
        <f>IF(OR(AE4="",多次统计数据!$B$8=""),"",AE4-多次统计数据!$B$8)</f>
        <v>-0.10105375201947224</v>
      </c>
      <c r="AA4" s="8">
        <f t="shared" si="7"/>
        <v>8</v>
      </c>
      <c r="AB4" s="5">
        <f>IF(OR(A4="",多次统计数据!$B$8="",多次统计数据!$B$6&lt;=0,多次统计数据!$B$6&gt;=1),"",1-POWER(1+多次统计数据!$B$8,-多次统计数据!$B$6/(1-多次统计数据!$B$6)))</f>
        <v>6.8202299268846023E-2</v>
      </c>
      <c r="AC4" s="6" t="str">
        <f>IF(OR(AB4="",多次统计数据!$B$9=""),"",IF(多次统计数据!$B$9&lt;AB4,"低于上限","达到或超过上限"))</f>
        <v>低于上限</v>
      </c>
      <c r="AD4" s="21"/>
      <c r="AE4" s="5">
        <f t="shared" si="8"/>
        <v>-1.002385677913434E-2</v>
      </c>
      <c r="AG4" s="21" t="s">
        <v>50</v>
      </c>
      <c r="AH4" s="21" t="s">
        <v>51</v>
      </c>
      <c r="AI4" s="10" t="s">
        <v>52</v>
      </c>
      <c r="AJ4" s="6" t="str">
        <f t="shared" si="9"/>
        <v>匹配</v>
      </c>
      <c r="AK4" s="24">
        <f>IF(A4="","",COUNTIFS(加仓管理!$A$2:$A$1001,A4,加仓管理!$G$2:$G$1001,"&gt;0"))</f>
        <v>0</v>
      </c>
      <c r="AL4" s="24">
        <f>IF(A4="","",SUMIFS(加仓管理!$G$2:$G$1001,加仓管理!$A$2:$A$1001,A4))</f>
        <v>0</v>
      </c>
      <c r="AM4" s="25" t="str">
        <f>IF(AK4=0,"",IFERROR(LOOKUP(2,1/((加仓管理!$A$2:$A$1001=A4)*(加仓管理!$G$2:$G$1001&gt;0)),加仓管理!$D$2:$D$1001),""))</f>
        <v/>
      </c>
      <c r="AN4" s="25" t="str">
        <f>IF(AK4=0,"",IFERROR(LOOKUP(2,1/((加仓管理!$A$2:$A$1001=A4)*(加仓管理!$G$2:$G$1001&gt;0)),加仓管理!$E$2:$E$1001),""))</f>
        <v/>
      </c>
      <c r="AO4" s="25">
        <f>IF(OR(A4="",H4="",H4&lt;=0),"",(E4*H4+SUMIFS(加仓管理!$H$2:$H$1001,加仓管理!$A$2:$A$1001,A4))/AP4)</f>
        <v>28.81</v>
      </c>
      <c r="AP4" s="24">
        <f t="shared" si="10"/>
        <v>500</v>
      </c>
      <c r="AQ4" s="25">
        <f>IF(A4="","",IF(M4&lt;&gt;"",0,IF(OR(H4="",N4=""),"",MAX((E4*H4+SUMIFS(加仓管理!$H$2:$H$1001,加仓管理!$A$2:$A$1001,A4))-MAX(N4,AN4)*AP4,0))))</f>
        <v>0</v>
      </c>
      <c r="AR4" s="25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21">
        <v>4</v>
      </c>
      <c r="B5" s="10" t="s">
        <v>44</v>
      </c>
      <c r="C5" s="7">
        <v>98762</v>
      </c>
      <c r="D5" s="4">
        <v>0.02</v>
      </c>
      <c r="E5" s="7">
        <v>27.68</v>
      </c>
      <c r="F5" s="6">
        <f t="shared" si="0"/>
        <v>1100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1">
        <v>500</v>
      </c>
      <c r="I5" s="22">
        <v>43994</v>
      </c>
      <c r="J5" s="7">
        <v>32</v>
      </c>
      <c r="K5" s="7">
        <v>28.83</v>
      </c>
      <c r="L5" s="6">
        <f t="shared" si="1"/>
        <v>500</v>
      </c>
      <c r="M5" s="22">
        <v>44027</v>
      </c>
      <c r="N5" s="7">
        <v>26</v>
      </c>
      <c r="O5" s="7"/>
      <c r="P5" s="7"/>
      <c r="Q5" s="21"/>
      <c r="R5" s="21"/>
      <c r="S5" s="21"/>
      <c r="T5" s="21"/>
      <c r="U5" s="5">
        <f t="shared" si="2"/>
        <v>0.15606936416184972</v>
      </c>
      <c r="V5" s="5">
        <f t="shared" si="3"/>
        <v>6.06936416184971E-2</v>
      </c>
      <c r="W5" s="23">
        <f t="shared" si="4"/>
        <v>2.5714285714285721</v>
      </c>
      <c r="X5" s="3">
        <f t="shared" si="5"/>
        <v>574.99999999999932</v>
      </c>
      <c r="Y5" s="5">
        <f t="shared" si="6"/>
        <v>4.1546242774566422E-2</v>
      </c>
      <c r="Z5" s="5">
        <f>IF(OR(AE5="",多次统计数据!$B$8=""),"",AE5-多次统计数据!$B$8)</f>
        <v>-8.520781792315113E-2</v>
      </c>
      <c r="AA5" s="8">
        <f t="shared" si="7"/>
        <v>33</v>
      </c>
      <c r="AB5" s="5">
        <f>IF(OR(A5="",多次统计数据!$B$8="",多次统计数据!$B$6&lt;=0,多次统计数据!$B$6&gt;=1),"",1-POWER(1+多次统计数据!$B$8,-多次统计数据!$B$6/(1-多次统计数据!$B$6)))</f>
        <v>6.8202299268846023E-2</v>
      </c>
      <c r="AC5" s="6" t="str">
        <f>IF(OR(AB5="",多次统计数据!$B$9=""),"",IF(多次统计数据!$B$9&lt;AB5,"低于上限","达到或超过上限"))</f>
        <v>低于上限</v>
      </c>
      <c r="AD5" s="21"/>
      <c r="AE5" s="5">
        <f t="shared" si="8"/>
        <v>5.8220773171867657E-3</v>
      </c>
      <c r="AG5" s="21" t="s">
        <v>50</v>
      </c>
      <c r="AH5" s="21" t="s">
        <v>51</v>
      </c>
      <c r="AI5" s="10" t="s">
        <v>52</v>
      </c>
      <c r="AJ5" s="6" t="str">
        <f t="shared" si="9"/>
        <v>匹配</v>
      </c>
      <c r="AK5" s="24">
        <f>IF(A5="","",COUNTIFS(加仓管理!$A$2:$A$1001,A5,加仓管理!$G$2:$G$1001,"&gt;0"))</f>
        <v>0</v>
      </c>
      <c r="AL5" s="24">
        <f>IF(A5="","",SUMIFS(加仓管理!$G$2:$G$1001,加仓管理!$A$2:$A$1001,A5))</f>
        <v>0</v>
      </c>
      <c r="AM5" s="25" t="str">
        <f>IF(AK5=0,"",IFERROR(LOOKUP(2,1/((加仓管理!$A$2:$A$1001=A5)*(加仓管理!$G$2:$G$1001&gt;0)),加仓管理!$D$2:$D$1001),""))</f>
        <v/>
      </c>
      <c r="AN5" s="25" t="str">
        <f>IF(AK5=0,"",IFERROR(LOOKUP(2,1/((加仓管理!$A$2:$A$1001=A5)*(加仓管理!$G$2:$G$1001&gt;0)),加仓管理!$E$2:$E$1001),""))</f>
        <v/>
      </c>
      <c r="AO5" s="25">
        <f>IF(OR(A5="",H5="",H5&lt;=0),"",(E5*H5+SUMIFS(加仓管理!$H$2:$H$1001,加仓管理!$A$2:$A$1001,A5))/AP5)</f>
        <v>27.68</v>
      </c>
      <c r="AP5" s="24">
        <f t="shared" si="10"/>
        <v>500</v>
      </c>
      <c r="AQ5" s="25">
        <f>IF(A5="","",IF(M5&lt;&gt;"",0,IF(OR(H5="",N5=""),"",MAX((E5*H5+SUMIFS(加仓管理!$H$2:$H$1001,加仓管理!$A$2:$A$1001,A5))-MAX(N5,AN5)*AP5,0))))</f>
        <v>0</v>
      </c>
      <c r="AR5" s="25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21">
        <v>5</v>
      </c>
      <c r="B6" s="10" t="s">
        <v>44</v>
      </c>
      <c r="C6" s="7">
        <v>99337</v>
      </c>
      <c r="D6" s="4">
        <v>0.02</v>
      </c>
      <c r="E6" s="7">
        <v>28.08</v>
      </c>
      <c r="F6" s="6">
        <f t="shared" si="0"/>
        <v>900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1">
        <v>900</v>
      </c>
      <c r="I6" s="22">
        <v>44032</v>
      </c>
      <c r="J6" s="7">
        <v>26.24</v>
      </c>
      <c r="K6" s="7">
        <v>26.24</v>
      </c>
      <c r="L6" s="6">
        <f t="shared" si="1"/>
        <v>900</v>
      </c>
      <c r="M6" s="22">
        <v>44036</v>
      </c>
      <c r="N6" s="7">
        <v>26</v>
      </c>
      <c r="O6" s="7"/>
      <c r="P6" s="7"/>
      <c r="Q6" s="21"/>
      <c r="R6" s="21"/>
      <c r="S6" s="21"/>
      <c r="T6" s="21"/>
      <c r="U6" s="5">
        <f t="shared" si="2"/>
        <v>-6.5527065527065526E-2</v>
      </c>
      <c r="V6" s="5">
        <f t="shared" si="3"/>
        <v>7.4074074074074014E-2</v>
      </c>
      <c r="W6" s="23">
        <f t="shared" si="4"/>
        <v>-0.88461538461538536</v>
      </c>
      <c r="X6" s="3">
        <f t="shared" si="5"/>
        <v>-1655.9999999999998</v>
      </c>
      <c r="Y6" s="5">
        <f t="shared" si="6"/>
        <v>-6.5527065527065512E-2</v>
      </c>
      <c r="Z6" s="5">
        <f>IF(OR(AE6="",多次统计数据!$B$8=""),"",AE6-多次统计数据!$B$8)</f>
        <v>-0.10770042082496398</v>
      </c>
      <c r="AA6" s="8">
        <f t="shared" si="7"/>
        <v>4</v>
      </c>
      <c r="AB6" s="5">
        <f>IF(OR(A6="",多次统计数据!$B$8="",多次统计数据!$B$6&lt;=0,多次统计数据!$B$6&gt;=1),"",1-POWER(1+多次统计数据!$B$8,-多次统计数据!$B$6/(1-多次统计数据!$B$6)))</f>
        <v>6.8202299268846023E-2</v>
      </c>
      <c r="AC6" s="6" t="str">
        <f>IF(OR(AB6="",多次统计数据!$B$9=""),"",IF(多次统计数据!$B$9&lt;AB6,"低于上限","达到或超过上限"))</f>
        <v>低于上限</v>
      </c>
      <c r="AD6" s="21"/>
      <c r="AE6" s="5">
        <f t="shared" si="8"/>
        <v>-1.6670525584626068E-2</v>
      </c>
      <c r="AG6" s="21" t="s">
        <v>48</v>
      </c>
      <c r="AH6" s="21" t="s">
        <v>46</v>
      </c>
      <c r="AI6" s="10" t="s">
        <v>53</v>
      </c>
      <c r="AJ6" s="6" t="str">
        <f t="shared" si="9"/>
        <v>匹配</v>
      </c>
      <c r="AK6" s="24">
        <f>IF(A6="","",COUNTIFS(加仓管理!$A$2:$A$1001,A6,加仓管理!$G$2:$G$1001,"&gt;0"))</f>
        <v>0</v>
      </c>
      <c r="AL6" s="24">
        <f>IF(A6="","",SUMIFS(加仓管理!$G$2:$G$1001,加仓管理!$A$2:$A$1001,A6))</f>
        <v>0</v>
      </c>
      <c r="AM6" s="25" t="str">
        <f>IF(AK6=0,"",IFERROR(LOOKUP(2,1/((加仓管理!$A$2:$A$1001=A6)*(加仓管理!$G$2:$G$1001&gt;0)),加仓管理!$D$2:$D$1001),""))</f>
        <v/>
      </c>
      <c r="AN6" s="25" t="str">
        <f>IF(AK6=0,"",IFERROR(LOOKUP(2,1/((加仓管理!$A$2:$A$1001=A6)*(加仓管理!$G$2:$G$1001&gt;0)),加仓管理!$E$2:$E$1001),""))</f>
        <v/>
      </c>
      <c r="AO6" s="25">
        <f>IF(OR(A6="",H6="",H6&lt;=0),"",(E6*H6+SUMIFS(加仓管理!$H$2:$H$1001,加仓管理!$A$2:$A$1001,A6))/AP6)</f>
        <v>28.08</v>
      </c>
      <c r="AP6" s="24">
        <f t="shared" si="10"/>
        <v>900</v>
      </c>
      <c r="AQ6" s="25">
        <f>IF(A6="","",IF(M6&lt;&gt;"",0,IF(OR(H6="",N6=""),"",MAX((E6*H6+SUMIFS(加仓管理!$H$2:$H$1001,加仓管理!$A$2:$A$1001,A6))-MAX(N6,AN6)*AP6,0))))</f>
        <v>0</v>
      </c>
      <c r="AR6" s="25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21">
        <v>6</v>
      </c>
      <c r="B7" s="10" t="s">
        <v>44</v>
      </c>
      <c r="C7" s="7">
        <v>97681</v>
      </c>
      <c r="D7" s="4">
        <v>0.02</v>
      </c>
      <c r="E7" s="7">
        <v>26.96</v>
      </c>
      <c r="F7" s="6">
        <f t="shared" si="0"/>
        <v>900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1">
        <v>900</v>
      </c>
      <c r="I7" s="22">
        <v>44046</v>
      </c>
      <c r="J7" s="7">
        <v>30</v>
      </c>
      <c r="K7" s="7">
        <v>26.48</v>
      </c>
      <c r="L7" s="6">
        <f t="shared" si="1"/>
        <v>900</v>
      </c>
      <c r="M7" s="22">
        <v>44053</v>
      </c>
      <c r="N7" s="7">
        <v>25</v>
      </c>
      <c r="O7" s="7"/>
      <c r="P7" s="7"/>
      <c r="Q7" s="21"/>
      <c r="R7" s="21"/>
      <c r="S7" s="21"/>
      <c r="T7" s="21"/>
      <c r="U7" s="5">
        <f t="shared" si="2"/>
        <v>0.11275964391691391</v>
      </c>
      <c r="V7" s="5">
        <f t="shared" si="3"/>
        <v>7.2700296735905071E-2</v>
      </c>
      <c r="W7" s="23">
        <f t="shared" si="4"/>
        <v>1.5510204081632644</v>
      </c>
      <c r="X7" s="3">
        <f t="shared" si="5"/>
        <v>-432.0000000000004</v>
      </c>
      <c r="Y7" s="5">
        <f t="shared" si="6"/>
        <v>-1.7804154302670641E-2</v>
      </c>
      <c r="Z7" s="5">
        <f>IF(OR(AE7="",多次统计数据!$B$8=""),"",AE7-多次统计数据!$B$8)</f>
        <v>-9.5452454386947785E-2</v>
      </c>
      <c r="AA7" s="8">
        <f t="shared" si="7"/>
        <v>7</v>
      </c>
      <c r="AB7" s="5">
        <f>IF(OR(A7="",多次统计数据!$B$8="",多次统计数据!$B$6&lt;=0,多次统计数据!$B$6&gt;=1),"",1-POWER(1+多次统计数据!$B$8,-多次统计数据!$B$6/(1-多次统计数据!$B$6)))</f>
        <v>6.8202299268846023E-2</v>
      </c>
      <c r="AC7" s="6" t="str">
        <f>IF(OR(AB7="",多次统计数据!$B$9=""),"",IF(多次统计数据!$B$9&lt;AB7,"低于上限","达到或超过上限"))</f>
        <v>低于上限</v>
      </c>
      <c r="AD7" s="21"/>
      <c r="AE7" s="5">
        <f t="shared" si="8"/>
        <v>-4.4225591466098869E-3</v>
      </c>
      <c r="AG7" s="21" t="s">
        <v>48</v>
      </c>
      <c r="AH7" s="21" t="s">
        <v>46</v>
      </c>
      <c r="AI7" s="10" t="s">
        <v>53</v>
      </c>
      <c r="AJ7" s="6" t="str">
        <f t="shared" si="9"/>
        <v>匹配</v>
      </c>
      <c r="AK7" s="24">
        <f>IF(A7="","",COUNTIFS(加仓管理!$A$2:$A$1001,A7,加仓管理!$G$2:$G$1001,"&gt;0"))</f>
        <v>0</v>
      </c>
      <c r="AL7" s="24">
        <f>IF(A7="","",SUMIFS(加仓管理!$G$2:$G$1001,加仓管理!$A$2:$A$1001,A7))</f>
        <v>0</v>
      </c>
      <c r="AM7" s="25" t="str">
        <f>IF(AK7=0,"",IFERROR(LOOKUP(2,1/((加仓管理!$A$2:$A$1001=A7)*(加仓管理!$G$2:$G$1001&gt;0)),加仓管理!$D$2:$D$1001),""))</f>
        <v/>
      </c>
      <c r="AN7" s="25" t="str">
        <f>IF(AK7=0,"",IFERROR(LOOKUP(2,1/((加仓管理!$A$2:$A$1001=A7)*(加仓管理!$G$2:$G$1001&gt;0)),加仓管理!$E$2:$E$1001),""))</f>
        <v/>
      </c>
      <c r="AO7" s="25">
        <f>IF(OR(A7="",H7="",H7&lt;=0),"",(E7*H7+SUMIFS(加仓管理!$H$2:$H$1001,加仓管理!$A$2:$A$1001,A7))/AP7)</f>
        <v>26.96</v>
      </c>
      <c r="AP7" s="24">
        <f t="shared" si="10"/>
        <v>900</v>
      </c>
      <c r="AQ7" s="25">
        <f>IF(A7="","",IF(M7&lt;&gt;"",0,IF(OR(H7="",N7=""),"",MAX((E7*H7+SUMIFS(加仓管理!$H$2:$H$1001,加仓管理!$A$2:$A$1001,A7))-MAX(N7,AN7)*AP7,0))))</f>
        <v>0</v>
      </c>
      <c r="AR7" s="25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21">
        <v>7</v>
      </c>
      <c r="B8" s="10" t="s">
        <v>44</v>
      </c>
      <c r="C8" s="7">
        <v>97249</v>
      </c>
      <c r="D8" s="4">
        <v>0.02</v>
      </c>
      <c r="E8" s="7">
        <v>20.75</v>
      </c>
      <c r="F8" s="6">
        <f t="shared" si="0"/>
        <v>700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1">
        <v>700</v>
      </c>
      <c r="I8" s="22">
        <v>44116</v>
      </c>
      <c r="J8" s="7">
        <v>24</v>
      </c>
      <c r="K8" s="7">
        <v>18.05</v>
      </c>
      <c r="L8" s="6">
        <f t="shared" si="1"/>
        <v>700</v>
      </c>
      <c r="M8" s="22">
        <v>44123</v>
      </c>
      <c r="N8" s="7">
        <v>18</v>
      </c>
      <c r="O8" s="7"/>
      <c r="P8" s="7"/>
      <c r="Q8" s="21"/>
      <c r="R8" s="21"/>
      <c r="S8" s="21"/>
      <c r="T8" s="21"/>
      <c r="U8" s="5">
        <f t="shared" si="2"/>
        <v>0.15662650602409639</v>
      </c>
      <c r="V8" s="5">
        <f t="shared" si="3"/>
        <v>0.13253012048192772</v>
      </c>
      <c r="W8" s="23">
        <f t="shared" si="4"/>
        <v>1.1818181818181817</v>
      </c>
      <c r="X8" s="3">
        <f t="shared" si="5"/>
        <v>-1889.9999999999995</v>
      </c>
      <c r="Y8" s="5">
        <f t="shared" si="6"/>
        <v>-0.13012048192771081</v>
      </c>
      <c r="Z8" s="5">
        <f>IF(OR(AE8="",多次统计数据!$B$8=""),"",AE8-多次统计数据!$B$8)</f>
        <v>-0.11046454238323911</v>
      </c>
      <c r="AA8" s="8">
        <f t="shared" si="7"/>
        <v>7</v>
      </c>
      <c r="AB8" s="5">
        <f>IF(OR(A8="",多次统计数据!$B$8="",多次统计数据!$B$6&lt;=0,多次统计数据!$B$6&gt;=1),"",1-POWER(1+多次统计数据!$B$8,-多次统计数据!$B$6/(1-多次统计数据!$B$6)))</f>
        <v>6.8202299268846023E-2</v>
      </c>
      <c r="AC8" s="6" t="str">
        <f>IF(OR(AB8="",多次统计数据!$B$9=""),"",IF(多次统计数据!$B$9&lt;AB8,"低于上限","达到或超过上限"))</f>
        <v>低于上限</v>
      </c>
      <c r="AD8" s="21"/>
      <c r="AE8" s="5">
        <f t="shared" si="8"/>
        <v>-1.9434647142901208E-2</v>
      </c>
      <c r="AG8" s="21" t="s">
        <v>48</v>
      </c>
      <c r="AH8" s="21" t="s">
        <v>54</v>
      </c>
      <c r="AI8" s="10" t="s">
        <v>53</v>
      </c>
      <c r="AJ8" s="6" t="str">
        <f t="shared" si="9"/>
        <v>匹配</v>
      </c>
      <c r="AK8" s="24">
        <f>IF(A8="","",COUNTIFS(加仓管理!$A$2:$A$1001,A8,加仓管理!$G$2:$G$1001,"&gt;0"))</f>
        <v>0</v>
      </c>
      <c r="AL8" s="24">
        <f>IF(A8="","",SUMIFS(加仓管理!$G$2:$G$1001,加仓管理!$A$2:$A$1001,A8))</f>
        <v>0</v>
      </c>
      <c r="AM8" s="25" t="str">
        <f>IF(AK8=0,"",IFERROR(LOOKUP(2,1/((加仓管理!$A$2:$A$1001=A8)*(加仓管理!$G$2:$G$1001&gt;0)),加仓管理!$D$2:$D$1001),""))</f>
        <v/>
      </c>
      <c r="AN8" s="25" t="str">
        <f>IF(AK8=0,"",IFERROR(LOOKUP(2,1/((加仓管理!$A$2:$A$1001=A8)*(加仓管理!$G$2:$G$1001&gt;0)),加仓管理!$E$2:$E$1001),""))</f>
        <v/>
      </c>
      <c r="AO8" s="25">
        <f>IF(OR(A8="",H8="",H8&lt;=0),"",(E8*H8+SUMIFS(加仓管理!$H$2:$H$1001,加仓管理!$A$2:$A$1001,A8))/AP8)</f>
        <v>20.75</v>
      </c>
      <c r="AP8" s="24">
        <f t="shared" si="10"/>
        <v>700</v>
      </c>
      <c r="AQ8" s="25">
        <f>IF(A8="","",IF(M8&lt;&gt;"",0,IF(OR(H8="",N8=""),"",MAX((E8*H8+SUMIFS(加仓管理!$H$2:$H$1001,加仓管理!$A$2:$A$1001,A8))-MAX(N8,AN8)*AP8,0))))</f>
        <v>0</v>
      </c>
      <c r="AR8" s="25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21">
        <v>8</v>
      </c>
      <c r="B9" s="10" t="s">
        <v>44</v>
      </c>
      <c r="C9" s="7">
        <v>95359</v>
      </c>
      <c r="D9" s="4">
        <v>0.02</v>
      </c>
      <c r="E9" s="7">
        <v>13.94</v>
      </c>
      <c r="F9" s="6">
        <f t="shared" si="0"/>
        <v>1300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1">
        <v>1300</v>
      </c>
      <c r="I9" s="22">
        <v>44399</v>
      </c>
      <c r="J9" s="7">
        <v>16</v>
      </c>
      <c r="K9" s="7">
        <v>14.29</v>
      </c>
      <c r="L9" s="6">
        <f t="shared" si="1"/>
        <v>2100</v>
      </c>
      <c r="M9" s="22">
        <v>44425</v>
      </c>
      <c r="N9" s="7">
        <v>12.5</v>
      </c>
      <c r="O9" s="7"/>
      <c r="P9" s="7"/>
      <c r="Q9" s="21"/>
      <c r="R9" s="21"/>
      <c r="S9" s="21"/>
      <c r="T9" s="21"/>
      <c r="U9" s="5">
        <f t="shared" si="2"/>
        <v>0.10344827586206896</v>
      </c>
      <c r="V9" s="5">
        <f t="shared" si="3"/>
        <v>0.13793103448275862</v>
      </c>
      <c r="W9" s="23">
        <f t="shared" si="4"/>
        <v>0.75</v>
      </c>
      <c r="X9" s="3">
        <f t="shared" si="5"/>
        <v>-441.00000000000182</v>
      </c>
      <c r="Y9" s="5">
        <f t="shared" si="6"/>
        <v>-1.4482758620689715E-2</v>
      </c>
      <c r="Z9" s="5">
        <f>IF(OR(AE9="",多次统计数据!$B$8=""),"",AE9-多次统计数据!$B$8)</f>
        <v>-9.5654524273779962E-2</v>
      </c>
      <c r="AA9" s="8">
        <f t="shared" si="7"/>
        <v>26</v>
      </c>
      <c r="AB9" s="5">
        <f>IF(OR(A9="",多次统计数据!$B$8="",多次统计数据!$B$6&lt;=0,多次统计数据!$B$6&gt;=1),"",1-POWER(1+多次统计数据!$B$8,-多次统计数据!$B$6/(1-多次统计数据!$B$6)))</f>
        <v>6.8202299268846023E-2</v>
      </c>
      <c r="AC9" s="6" t="str">
        <f>IF(OR(AB9="",多次统计数据!$B$9=""),"",IF(多次统计数据!$B$9&lt;AB9,"低于上限","达到或超过上限"))</f>
        <v>低于上限</v>
      </c>
      <c r="AD9" s="21"/>
      <c r="AE9" s="5">
        <f t="shared" si="8"/>
        <v>-4.6246290334420641E-3</v>
      </c>
      <c r="AG9" s="21" t="s">
        <v>50</v>
      </c>
      <c r="AH9" s="21" t="s">
        <v>55</v>
      </c>
      <c r="AI9" s="10" t="s">
        <v>56</v>
      </c>
      <c r="AJ9" s="6" t="str">
        <f t="shared" si="9"/>
        <v>匹配</v>
      </c>
      <c r="AK9" s="24">
        <f>IF(A9="","",COUNTIFS(加仓管理!$A$2:$A$1001,A9,加仓管理!$G$2:$G$1001,"&gt;0"))</f>
        <v>1</v>
      </c>
      <c r="AL9" s="24">
        <f>IF(A9="","",SUMIFS(加仓管理!$G$2:$G$1001,加仓管理!$A$2:$A$1001,A9))</f>
        <v>800</v>
      </c>
      <c r="AM9" s="25">
        <f>IF(AK9=0,"",IFERROR(LOOKUP(2,1/((加仓管理!$A$2:$A$1001=A9)*(加仓管理!$G$2:$G$1001&gt;0)),加仓管理!$D$2:$D$1001),""))</f>
        <v>15.41</v>
      </c>
      <c r="AN9" s="25">
        <f>IF(AK9=0,"",IFERROR(LOOKUP(2,1/((加仓管理!$A$2:$A$1001=A9)*(加仓管理!$G$2:$G$1001&gt;0)),加仓管理!$E$2:$E$1001),""))</f>
        <v>14.5</v>
      </c>
      <c r="AO9" s="25">
        <f>IF(OR(A9="",H9="",H9&lt;=0),"",(E9*H9+SUMIFS(加仓管理!$H$2:$H$1001,加仓管理!$A$2:$A$1001,A9))/AP9)</f>
        <v>14.5</v>
      </c>
      <c r="AP9" s="24">
        <f t="shared" si="10"/>
        <v>2100</v>
      </c>
      <c r="AQ9" s="25">
        <f>IF(A9="","",IF(M9&lt;&gt;"",0,IF(OR(H9="",N9=""),"",MAX((E9*H9+SUMIFS(加仓管理!$H$2:$H$1001,加仓管理!$A$2:$A$1001,A9))-MAX(N9,AN9)*AP9,0))))</f>
        <v>0</v>
      </c>
      <c r="AR9" s="25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21">
        <v>9</v>
      </c>
      <c r="B10" s="10" t="s">
        <v>44</v>
      </c>
      <c r="C10" s="7">
        <v>94918</v>
      </c>
      <c r="D10" s="4">
        <v>0.02</v>
      </c>
      <c r="E10" s="7">
        <v>14.49</v>
      </c>
      <c r="F10" s="6">
        <f t="shared" si="0"/>
        <v>1900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1">
        <v>1900</v>
      </c>
      <c r="I10" s="22">
        <v>44427</v>
      </c>
      <c r="J10" s="7">
        <v>16</v>
      </c>
      <c r="K10" s="7">
        <v>13.36</v>
      </c>
      <c r="L10" s="6">
        <f t="shared" si="1"/>
        <v>1900</v>
      </c>
      <c r="M10" s="22">
        <v>44439</v>
      </c>
      <c r="N10" s="7">
        <v>13.5</v>
      </c>
      <c r="O10" s="7"/>
      <c r="P10" s="7"/>
      <c r="Q10" s="21"/>
      <c r="R10" s="21"/>
      <c r="S10" s="21"/>
      <c r="T10" s="21"/>
      <c r="U10" s="5">
        <f t="shared" si="2"/>
        <v>0.10420979986197376</v>
      </c>
      <c r="V10" s="5">
        <f t="shared" si="3"/>
        <v>6.8322981366459645E-2</v>
      </c>
      <c r="W10" s="23">
        <f t="shared" si="4"/>
        <v>1.5252525252525246</v>
      </c>
      <c r="X10" s="3">
        <f t="shared" si="5"/>
        <v>-2147.0000000000014</v>
      </c>
      <c r="Y10" s="5">
        <f t="shared" si="6"/>
        <v>-7.7984817115251945E-2</v>
      </c>
      <c r="Z10" s="5">
        <f>IF(OR(AE10="",多次统计数据!$B$8=""),"",AE10-多次统计数据!$B$8)</f>
        <v>-0.11364941946124438</v>
      </c>
      <c r="AA10" s="8">
        <f t="shared" si="7"/>
        <v>12</v>
      </c>
      <c r="AB10" s="5">
        <f>IF(OR(A10="",多次统计数据!$B$8="",多次统计数据!$B$6&lt;=0,多次统计数据!$B$6&gt;=1),"",1-POWER(1+多次统计数据!$B$8,-多次统计数据!$B$6/(1-多次统计数据!$B$6)))</f>
        <v>6.8202299268846023E-2</v>
      </c>
      <c r="AC10" s="6" t="str">
        <f>IF(OR(AB10="",多次统计数据!$B$9=""),"",IF(多次统计数据!$B$9&lt;AB10,"低于上限","达到或超过上限"))</f>
        <v>低于上限</v>
      </c>
      <c r="AD10" s="21"/>
      <c r="AE10" s="5">
        <f t="shared" si="8"/>
        <v>-2.2619524220906483E-2</v>
      </c>
      <c r="AG10" s="21" t="s">
        <v>50</v>
      </c>
      <c r="AH10" s="21" t="s">
        <v>55</v>
      </c>
      <c r="AI10" s="10" t="s">
        <v>56</v>
      </c>
      <c r="AJ10" s="6" t="str">
        <f t="shared" si="9"/>
        <v>匹配</v>
      </c>
      <c r="AK10" s="24">
        <f>IF(A10="","",COUNTIFS(加仓管理!$A$2:$A$1001,A10,加仓管理!$G$2:$G$1001,"&gt;0"))</f>
        <v>0</v>
      </c>
      <c r="AL10" s="24">
        <f>IF(A10="","",SUMIFS(加仓管理!$G$2:$G$1001,加仓管理!$A$2:$A$1001,A10))</f>
        <v>0</v>
      </c>
      <c r="AM10" s="25" t="str">
        <f>IF(AK10=0,"",IFERROR(LOOKUP(2,1/((加仓管理!$A$2:$A$1001=A10)*(加仓管理!$G$2:$G$1001&gt;0)),加仓管理!$D$2:$D$1001),""))</f>
        <v/>
      </c>
      <c r="AN10" s="25" t="str">
        <f>IF(AK10=0,"",IFERROR(LOOKUP(2,1/((加仓管理!$A$2:$A$1001=A10)*(加仓管理!$G$2:$G$1001&gt;0)),加仓管理!$E$2:$E$1001),""))</f>
        <v/>
      </c>
      <c r="AO10" s="25">
        <f>IF(OR(A10="",H10="",H10&lt;=0),"",(E10*H10+SUMIFS(加仓管理!$H$2:$H$1001,加仓管理!$A$2:$A$1001,A10))/AP10)</f>
        <v>14.49</v>
      </c>
      <c r="AP10" s="24">
        <f t="shared" si="10"/>
        <v>1900</v>
      </c>
      <c r="AQ10" s="25">
        <f>IF(A10="","",IF(M10&lt;&gt;"",0,IF(OR(H10="",N10=""),"",MAX((E10*H10+SUMIFS(加仓管理!$H$2:$H$1001,加仓管理!$A$2:$A$1001,A10))-MAX(N10,AN10)*AP10,0))))</f>
        <v>0</v>
      </c>
      <c r="AR10" s="25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21">
        <v>10</v>
      </c>
      <c r="B11" s="10" t="s">
        <v>44</v>
      </c>
      <c r="C11" s="7">
        <v>92771</v>
      </c>
      <c r="D11" s="4">
        <v>0.02</v>
      </c>
      <c r="E11" s="7">
        <v>14.06</v>
      </c>
      <c r="F11" s="6">
        <f t="shared" si="0"/>
        <v>1700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1">
        <v>1700</v>
      </c>
      <c r="I11" s="22">
        <v>44439</v>
      </c>
      <c r="J11" s="7">
        <v>18</v>
      </c>
      <c r="K11" s="7">
        <v>12.7</v>
      </c>
      <c r="L11" s="6">
        <f t="shared" si="1"/>
        <v>1700</v>
      </c>
      <c r="M11" s="22">
        <v>44461</v>
      </c>
      <c r="N11" s="7">
        <v>13</v>
      </c>
      <c r="O11" s="7"/>
      <c r="P11" s="7"/>
      <c r="Q11" s="21"/>
      <c r="R11" s="21"/>
      <c r="S11" s="21"/>
      <c r="T11" s="21"/>
      <c r="U11" s="5">
        <f t="shared" si="2"/>
        <v>0.28022759601706965</v>
      </c>
      <c r="V11" s="5">
        <f t="shared" si="3"/>
        <v>7.5391180654338585E-2</v>
      </c>
      <c r="W11" s="23">
        <f t="shared" si="4"/>
        <v>3.7169811320754693</v>
      </c>
      <c r="X11" s="3">
        <f t="shared" si="5"/>
        <v>-2312.0000000000023</v>
      </c>
      <c r="Y11" s="5">
        <f t="shared" si="6"/>
        <v>-9.6728307254623141E-2</v>
      </c>
      <c r="Z11" s="5">
        <f>IF(OR(AE11="",多次统计数据!$B$8=""),"",AE11-多次统计数据!$B$8)</f>
        <v>-0.11595147633787918</v>
      </c>
      <c r="AA11" s="8">
        <f t="shared" si="7"/>
        <v>22</v>
      </c>
      <c r="AB11" s="5">
        <f>IF(OR(A11="",多次统计数据!$B$8="",多次统计数据!$B$6&lt;=0,多次统计数据!$B$6&gt;=1),"",1-POWER(1+多次统计数据!$B$8,-多次统计数据!$B$6/(1-多次统计数据!$B$6)))</f>
        <v>6.8202299268846023E-2</v>
      </c>
      <c r="AC11" s="6" t="str">
        <f>IF(OR(AB11="",多次统计数据!$B$9=""),"",IF(多次统计数据!$B$9&lt;AB11,"低于上限","达到或超过上限"))</f>
        <v>低于上限</v>
      </c>
      <c r="AD11" s="21"/>
      <c r="AE11" s="5">
        <f t="shared" si="8"/>
        <v>-2.4921581097541282E-2</v>
      </c>
      <c r="AG11" s="21" t="s">
        <v>50</v>
      </c>
      <c r="AH11" s="21" t="s">
        <v>55</v>
      </c>
      <c r="AI11" s="10" t="s">
        <v>56</v>
      </c>
      <c r="AJ11" s="6" t="str">
        <f t="shared" si="9"/>
        <v>匹配</v>
      </c>
      <c r="AK11" s="24">
        <f>IF(A11="","",COUNTIFS(加仓管理!$A$2:$A$1001,A11,加仓管理!$G$2:$G$1001,"&gt;0"))</f>
        <v>0</v>
      </c>
      <c r="AL11" s="24">
        <f>IF(A11="","",SUMIFS(加仓管理!$G$2:$G$1001,加仓管理!$A$2:$A$1001,A11))</f>
        <v>0</v>
      </c>
      <c r="AM11" s="25" t="str">
        <f>IF(AK11=0,"",IFERROR(LOOKUP(2,1/((加仓管理!$A$2:$A$1001=A11)*(加仓管理!$G$2:$G$1001&gt;0)),加仓管理!$D$2:$D$1001),""))</f>
        <v/>
      </c>
      <c r="AN11" s="25" t="str">
        <f>IF(AK11=0,"",IFERROR(LOOKUP(2,1/((加仓管理!$A$2:$A$1001=A11)*(加仓管理!$G$2:$G$1001&gt;0)),加仓管理!$E$2:$E$1001),""))</f>
        <v/>
      </c>
      <c r="AO11" s="25">
        <f>IF(OR(A11="",H11="",H11&lt;=0),"",(E11*H11+SUMIFS(加仓管理!$H$2:$H$1001,加仓管理!$A$2:$A$1001,A11))/AP11)</f>
        <v>14.06</v>
      </c>
      <c r="AP11" s="24">
        <f t="shared" si="10"/>
        <v>1700</v>
      </c>
      <c r="AQ11" s="25">
        <f>IF(A11="","",IF(M11&lt;&gt;"",0,IF(OR(H11="",N11=""),"",MAX((E11*H11+SUMIFS(加仓管理!$H$2:$H$1001,加仓管理!$A$2:$A$1001,A11))-MAX(N11,AN11)*AP11,0))))</f>
        <v>0</v>
      </c>
      <c r="AR11" s="25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21">
        <v>11</v>
      </c>
      <c r="B12" s="10" t="s">
        <v>44</v>
      </c>
      <c r="C12" s="7">
        <v>90459</v>
      </c>
      <c r="D12" s="4">
        <v>0.02</v>
      </c>
      <c r="E12" s="7">
        <v>12.36</v>
      </c>
      <c r="F12" s="6">
        <f t="shared" si="0"/>
        <v>2100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1">
        <v>2100</v>
      </c>
      <c r="I12" s="22">
        <v>44560</v>
      </c>
      <c r="J12" s="7">
        <v>15</v>
      </c>
      <c r="K12" s="7">
        <v>11.91</v>
      </c>
      <c r="L12" s="6">
        <f t="shared" si="1"/>
        <v>2400</v>
      </c>
      <c r="M12" s="22">
        <v>44586</v>
      </c>
      <c r="N12" s="7">
        <v>11.5</v>
      </c>
      <c r="O12" s="7"/>
      <c r="P12" s="7"/>
      <c r="Q12" s="21"/>
      <c r="R12" s="21"/>
      <c r="S12" s="21"/>
      <c r="T12" s="21"/>
      <c r="U12" s="5">
        <f t="shared" si="2"/>
        <v>0.20132145359895884</v>
      </c>
      <c r="V12" s="5">
        <f t="shared" si="3"/>
        <v>7.8986885574131555E-2</v>
      </c>
      <c r="W12" s="23">
        <f t="shared" si="4"/>
        <v>2.548795944233206</v>
      </c>
      <c r="X12" s="3">
        <f t="shared" si="5"/>
        <v>-1382.9999999999998</v>
      </c>
      <c r="Y12" s="5">
        <f t="shared" si="6"/>
        <v>-4.615076584242666E-2</v>
      </c>
      <c r="Z12" s="5">
        <f>IF(OR(AE12="",多次统计数据!$B$8=""),"",AE12-多次统计数据!$B$8)</f>
        <v>-0.10631858956594398</v>
      </c>
      <c r="AA12" s="8">
        <f t="shared" si="7"/>
        <v>26</v>
      </c>
      <c r="AB12" s="5">
        <f>IF(OR(A12="",多次统计数据!$B$8="",多次统计数据!$B$6&lt;=0,多次统计数据!$B$6&gt;=1),"",1-POWER(1+多次统计数据!$B$8,-多次统计数据!$B$6/(1-多次统计数据!$B$6)))</f>
        <v>6.8202299268846023E-2</v>
      </c>
      <c r="AC12" s="6" t="str">
        <f>IF(OR(AB12="",多次统计数据!$B$9=""),"",IF(多次统计数据!$B$9&lt;AB12,"低于上限","达到或超过上限"))</f>
        <v>低于上限</v>
      </c>
      <c r="AD12" s="21"/>
      <c r="AE12" s="5">
        <f t="shared" si="8"/>
        <v>-1.5288694325606074E-2</v>
      </c>
      <c r="AG12" s="21" t="s">
        <v>50</v>
      </c>
      <c r="AH12" s="21" t="s">
        <v>55</v>
      </c>
      <c r="AI12" s="10" t="s">
        <v>56</v>
      </c>
      <c r="AJ12" s="6" t="str">
        <f t="shared" si="9"/>
        <v>匹配</v>
      </c>
      <c r="AK12" s="24">
        <f>IF(A12="","",COUNTIFS(加仓管理!$A$2:$A$1001,A12,加仓管理!$G$2:$G$1001,"&gt;0"))</f>
        <v>1</v>
      </c>
      <c r="AL12" s="24">
        <f>IF(A12="","",SUMIFS(加仓管理!$G$2:$G$1001,加仓管理!$A$2:$A$1001,A12))</f>
        <v>300</v>
      </c>
      <c r="AM12" s="25">
        <f>IF(AK12=0,"",IFERROR(LOOKUP(2,1/((加仓管理!$A$2:$A$1001=A12)*(加仓管理!$G$2:$G$1001&gt;0)),加仓管理!$D$2:$D$1001),""))</f>
        <v>13.37</v>
      </c>
      <c r="AN12" s="25">
        <f>IF(AK12=0,"",IFERROR(LOOKUP(2,1/((加仓管理!$A$2:$A$1001=A12)*(加仓管理!$G$2:$G$1001&gt;0)),加仓管理!$E$2:$E$1001),""))</f>
        <v>12.5</v>
      </c>
      <c r="AO12" s="25">
        <f>IF(OR(A12="",H12="",H12&lt;=0),"",(E12*H12+SUMIFS(加仓管理!$H$2:$H$1001,加仓管理!$A$2:$A$1001,A12))/AP12)</f>
        <v>12.48625</v>
      </c>
      <c r="AP12" s="24">
        <f t="shared" si="10"/>
        <v>2400</v>
      </c>
      <c r="AQ12" s="25">
        <f>IF(A12="","",IF(M12&lt;&gt;"",0,IF(OR(H12="",N12=""),"",MAX((E12*H12+SUMIFS(加仓管理!$H$2:$H$1001,加仓管理!$A$2:$A$1001,A12))-MAX(N12,AN12)*AP12,0))))</f>
        <v>0</v>
      </c>
      <c r="AR12" s="25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21">
        <v>12</v>
      </c>
      <c r="B13" s="10" t="s">
        <v>44</v>
      </c>
      <c r="C13" s="7">
        <v>89076</v>
      </c>
      <c r="D13" s="4">
        <v>0.02</v>
      </c>
      <c r="E13" s="7">
        <v>11.49</v>
      </c>
      <c r="F13" s="6">
        <f t="shared" si="0"/>
        <v>3600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1">
        <v>3600</v>
      </c>
      <c r="I13" s="22">
        <v>44588</v>
      </c>
      <c r="J13" s="7">
        <v>15</v>
      </c>
      <c r="K13" s="7">
        <v>12.89</v>
      </c>
      <c r="L13" s="6">
        <f t="shared" si="1"/>
        <v>5600</v>
      </c>
      <c r="M13" s="22">
        <v>44635</v>
      </c>
      <c r="N13" s="7">
        <v>11</v>
      </c>
      <c r="O13" s="7"/>
      <c r="P13" s="7"/>
      <c r="Q13" s="21"/>
      <c r="R13" s="21"/>
      <c r="S13" s="21"/>
      <c r="T13" s="21"/>
      <c r="U13" s="5">
        <f t="shared" si="2"/>
        <v>0.20786839986195785</v>
      </c>
      <c r="V13" s="5">
        <f t="shared" si="3"/>
        <v>0.11422984010123091</v>
      </c>
      <c r="W13" s="23">
        <f t="shared" si="4"/>
        <v>1.8197381671701904</v>
      </c>
      <c r="X13" s="3">
        <f t="shared" si="5"/>
        <v>2640.0000000000005</v>
      </c>
      <c r="Y13" s="5">
        <f t="shared" si="6"/>
        <v>3.7961578281375828E-2</v>
      </c>
      <c r="Z13" s="5">
        <f>IF(OR(AE13="",多次统计数据!$B$8=""),"",AE13-多次统计数据!$B$8)</f>
        <v>-6.139228241533453E-2</v>
      </c>
      <c r="AA13" s="8">
        <f t="shared" si="7"/>
        <v>47</v>
      </c>
      <c r="AB13" s="5">
        <f>IF(OR(A13="",多次统计数据!$B$8="",多次统计数据!$B$6&lt;=0,多次统计数据!$B$6&gt;=1),"",1-POWER(1+多次统计数据!$B$8,-多次统计数据!$B$6/(1-多次统计数据!$B$6)))</f>
        <v>6.8202299268846023E-2</v>
      </c>
      <c r="AC13" s="6" t="str">
        <f>IF(OR(AB13="",多次统计数据!$B$9=""),"",IF(多次统计数据!$B$9&lt;AB13,"低于上限","达到或超过上限"))</f>
        <v>低于上限</v>
      </c>
      <c r="AD13" s="21"/>
      <c r="AE13" s="5">
        <f t="shared" si="8"/>
        <v>2.9637612825003372E-2</v>
      </c>
      <c r="AG13" s="21" t="s">
        <v>50</v>
      </c>
      <c r="AH13" s="21" t="s">
        <v>55</v>
      </c>
      <c r="AI13" s="10" t="s">
        <v>56</v>
      </c>
      <c r="AJ13" s="6" t="str">
        <f t="shared" si="9"/>
        <v>匹配</v>
      </c>
      <c r="AK13" s="24">
        <f>IF(A13="","",COUNTIFS(加仓管理!$A$2:$A$1001,A13,加仓管理!$G$2:$G$1001,"&gt;0"))</f>
        <v>1</v>
      </c>
      <c r="AL13" s="24">
        <f>IF(A13="","",SUMIFS(加仓管理!$G$2:$G$1001,加仓管理!$A$2:$A$1001,A13))</f>
        <v>2000</v>
      </c>
      <c r="AM13" s="25">
        <f>IF(AK13=0,"",IFERROR(LOOKUP(2,1/((加仓管理!$A$2:$A$1001=A13)*(加仓管理!$G$2:$G$1001&gt;0)),加仓管理!$D$2:$D$1001),""))</f>
        <v>14.09</v>
      </c>
      <c r="AN13" s="25">
        <f>IF(AK13=0,"",IFERROR(LOOKUP(2,1/((加仓管理!$A$2:$A$1001=A13)*(加仓管理!$G$2:$G$1001&gt;0)),加仓管理!$E$2:$E$1001),""))</f>
        <v>13</v>
      </c>
      <c r="AO13" s="25">
        <f>IF(OR(A13="",H13="",H13&lt;=0),"",(E13*H13+SUMIFS(加仓管理!$H$2:$H$1001,加仓管理!$A$2:$A$1001,A13))/AP13)</f>
        <v>12.418571428571429</v>
      </c>
      <c r="AP13" s="24">
        <f t="shared" si="10"/>
        <v>5600</v>
      </c>
      <c r="AQ13" s="25">
        <f>IF(A13="","",IF(M13&lt;&gt;"",0,IF(OR(H13="",N13=""),"",MAX((E13*H13+SUMIFS(加仓管理!$H$2:$H$1001,加仓管理!$A$2:$A$1001,A13))-MAX(N13,AN13)*AP13,0))))</f>
        <v>0</v>
      </c>
      <c r="AR13" s="25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spans="1:44">
      <c r="A14" s="21">
        <v>13</v>
      </c>
      <c r="B14" s="10" t="s">
        <v>44</v>
      </c>
      <c r="C14" s="7">
        <v>91716</v>
      </c>
      <c r="D14" s="4">
        <v>0.02</v>
      </c>
      <c r="E14" s="7">
        <v>12.72</v>
      </c>
      <c r="F14" s="6">
        <f t="shared" si="0"/>
        <v>1500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1">
        <v>1500</v>
      </c>
      <c r="I14" s="22">
        <v>44631</v>
      </c>
      <c r="J14" s="7">
        <v>15</v>
      </c>
      <c r="K14" s="7">
        <v>10.92</v>
      </c>
      <c r="L14" s="6">
        <f t="shared" si="1"/>
        <v>1500</v>
      </c>
      <c r="M14" s="22">
        <v>44662</v>
      </c>
      <c r="N14" s="7">
        <v>11.5</v>
      </c>
      <c r="O14" s="7"/>
      <c r="P14" s="7"/>
      <c r="Q14" s="21"/>
      <c r="R14" s="21"/>
      <c r="S14" s="21"/>
      <c r="T14" s="21"/>
      <c r="U14" s="5">
        <f t="shared" si="2"/>
        <v>0.17924528301886786</v>
      </c>
      <c r="V14" s="5">
        <f t="shared" si="3"/>
        <v>9.5911949685534639E-2</v>
      </c>
      <c r="W14" s="23">
        <f t="shared" si="4"/>
        <v>1.8688524590163917</v>
      </c>
      <c r="X14" s="3">
        <f t="shared" si="5"/>
        <v>-2700.0000000000009</v>
      </c>
      <c r="Y14" s="5">
        <f t="shared" si="6"/>
        <v>-0.1415094339622642</v>
      </c>
      <c r="Z14" s="5">
        <f>IF(OR(AE14="",多次统计数据!$B$8=""),"",AE14-多次统计数据!$B$8)</f>
        <v>-0.12046859732067286</v>
      </c>
      <c r="AA14" s="8">
        <f t="shared" si="7"/>
        <v>31</v>
      </c>
      <c r="AB14" s="5">
        <f>IF(OR(A14="",多次统计数据!$B$8="",多次统计数据!$B$6&lt;=0,多次统计数据!$B$6&gt;=1),"",1-POWER(1+多次统计数据!$B$8,-多次统计数据!$B$6/(1-多次统计数据!$B$6)))</f>
        <v>6.8202299268846023E-2</v>
      </c>
      <c r="AC14" s="6" t="str">
        <f>IF(OR(AB14="",多次统计数据!$B$9=""),"",IF(多次统计数据!$B$9&lt;AB14,"低于上限","达到或超过上限"))</f>
        <v>低于上限</v>
      </c>
      <c r="AD14" s="21"/>
      <c r="AE14" s="5">
        <f t="shared" si="8"/>
        <v>-2.9438702080334958E-2</v>
      </c>
      <c r="AG14" s="21" t="s">
        <v>45</v>
      </c>
      <c r="AH14" s="21" t="s">
        <v>46</v>
      </c>
      <c r="AI14" s="10" t="s">
        <v>56</v>
      </c>
      <c r="AJ14" s="6" t="str">
        <f t="shared" si="9"/>
        <v>匹配</v>
      </c>
      <c r="AK14" s="24">
        <f>IF(A14="","",COUNTIFS(加仓管理!$A$2:$A$1001,A14,加仓管理!$G$2:$G$1001,"&gt;0"))</f>
        <v>0</v>
      </c>
      <c r="AL14" s="24">
        <f>IF(A14="","",SUMIFS(加仓管理!$G$2:$G$1001,加仓管理!$A$2:$A$1001,A14))</f>
        <v>0</v>
      </c>
      <c r="AM14" s="25" t="str">
        <f>IF(AK14=0,"",IFERROR(LOOKUP(2,1/((加仓管理!$A$2:$A$1001=A14)*(加仓管理!$G$2:$G$1001&gt;0)),加仓管理!$D$2:$D$1001),""))</f>
        <v/>
      </c>
      <c r="AN14" s="25" t="str">
        <f>IF(AK14=0,"",IFERROR(LOOKUP(2,1/((加仓管理!$A$2:$A$1001=A14)*(加仓管理!$G$2:$G$1001&gt;0)),加仓管理!$E$2:$E$1001),""))</f>
        <v/>
      </c>
      <c r="AO14" s="25">
        <f>IF(OR(A14="",H14="",H14&lt;=0),"",(E14*H14+SUMIFS(加仓管理!$H$2:$H$1001,加仓管理!$A$2:$A$1001,A14))/AP14)</f>
        <v>12.72</v>
      </c>
      <c r="AP14" s="24">
        <f t="shared" si="10"/>
        <v>1500</v>
      </c>
      <c r="AQ14" s="25">
        <f>IF(A14="","",IF(M14&lt;&gt;"",0,IF(OR(H14="",N14=""),"",MAX((E14*H14+SUMIFS(加仓管理!$H$2:$H$1001,加仓管理!$A$2:$A$1001,A14))-MAX(N14,AN14)*AP14,0))))</f>
        <v>0</v>
      </c>
      <c r="AR14" s="25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21">
        <v>14</v>
      </c>
      <c r="B15" s="10" t="s">
        <v>44</v>
      </c>
      <c r="C15" s="7">
        <v>89016</v>
      </c>
      <c r="D15" s="4">
        <v>0.02</v>
      </c>
      <c r="E15" s="7">
        <v>10.59</v>
      </c>
      <c r="F15" s="6">
        <f t="shared" si="0"/>
        <v>3000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1">
        <v>3000</v>
      </c>
      <c r="I15" s="22">
        <v>44805</v>
      </c>
      <c r="J15" s="7">
        <v>12</v>
      </c>
      <c r="K15" s="7">
        <v>10.199999999999999</v>
      </c>
      <c r="L15" s="6">
        <f t="shared" si="1"/>
        <v>3000</v>
      </c>
      <c r="M15" s="22">
        <v>44811</v>
      </c>
      <c r="N15" s="7">
        <v>10</v>
      </c>
      <c r="O15" s="7"/>
      <c r="P15" s="7"/>
      <c r="Q15" s="21"/>
      <c r="R15" s="21"/>
      <c r="S15" s="21"/>
      <c r="T15" s="21"/>
      <c r="U15" s="5">
        <f t="shared" si="2"/>
        <v>0.13314447592067991</v>
      </c>
      <c r="V15" s="5">
        <f t="shared" si="3"/>
        <v>5.5712936732766748E-2</v>
      </c>
      <c r="W15" s="23">
        <f t="shared" si="4"/>
        <v>2.389830508474577</v>
      </c>
      <c r="X15" s="3">
        <f t="shared" si="5"/>
        <v>-1170.0000000000018</v>
      </c>
      <c r="Y15" s="5">
        <f t="shared" si="6"/>
        <v>-3.6827195467422157E-2</v>
      </c>
      <c r="Z15" s="5">
        <f>IF(OR(AE15="",多次统计数据!$B$8=""),"",AE15-多次统计数据!$B$8)</f>
        <v>-0.10417359974289926</v>
      </c>
      <c r="AA15" s="8">
        <f t="shared" si="7"/>
        <v>6</v>
      </c>
      <c r="AB15" s="5">
        <f>IF(OR(A15="",多次统计数据!$B$8="",多次统计数据!$B$6&lt;=0,多次统计数据!$B$6&gt;=1),"",1-POWER(1+多次统计数据!$B$8,-多次统计数据!$B$6/(1-多次统计数据!$B$6)))</f>
        <v>6.8202299268846023E-2</v>
      </c>
      <c r="AC15" s="6" t="str">
        <f>IF(OR(AB15="",多次统计数据!$B$9=""),"",IF(多次统计数据!$B$9&lt;AB15,"低于上限","达到或超过上限"))</f>
        <v>低于上限</v>
      </c>
      <c r="AD15" s="21"/>
      <c r="AE15" s="5">
        <f t="shared" si="8"/>
        <v>-1.3143704502561358E-2</v>
      </c>
      <c r="AG15" s="21" t="s">
        <v>50</v>
      </c>
      <c r="AH15" s="21" t="s">
        <v>55</v>
      </c>
      <c r="AI15" s="10" t="s">
        <v>56</v>
      </c>
      <c r="AJ15" s="6" t="str">
        <f t="shared" si="9"/>
        <v>匹配</v>
      </c>
      <c r="AK15" s="24">
        <f>IF(A15="","",COUNTIFS(加仓管理!$A$2:$A$1001,A15,加仓管理!$G$2:$G$1001,"&gt;0"))</f>
        <v>0</v>
      </c>
      <c r="AL15" s="24">
        <f>IF(A15="","",SUMIFS(加仓管理!$G$2:$G$1001,加仓管理!$A$2:$A$1001,A15))</f>
        <v>0</v>
      </c>
      <c r="AM15" s="25" t="str">
        <f>IF(AK15=0,"",IFERROR(LOOKUP(2,1/((加仓管理!$A$2:$A$1001=A15)*(加仓管理!$G$2:$G$1001&gt;0)),加仓管理!$D$2:$D$1001),""))</f>
        <v/>
      </c>
      <c r="AN15" s="25" t="str">
        <f>IF(AK15=0,"",IFERROR(LOOKUP(2,1/((加仓管理!$A$2:$A$1001=A15)*(加仓管理!$G$2:$G$1001&gt;0)),加仓管理!$E$2:$E$1001),""))</f>
        <v/>
      </c>
      <c r="AO15" s="25">
        <f>IF(OR(A15="",H15="",H15&lt;=0),"",(E15*H15+SUMIFS(加仓管理!$H$2:$H$1001,加仓管理!$A$2:$A$1001,A15))/AP15)</f>
        <v>10.59</v>
      </c>
      <c r="AP15" s="24">
        <f t="shared" si="10"/>
        <v>3000</v>
      </c>
      <c r="AQ15" s="25">
        <f>IF(A15="","",IF(M15&lt;&gt;"",0,IF(OR(H15="",N15=""),"",MAX((E15*H15+SUMIFS(加仓管理!$H$2:$H$1001,加仓管理!$A$2:$A$1001,A15))-MAX(N15,AN15)*AP15,0))))</f>
        <v>0</v>
      </c>
      <c r="AR15" s="25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spans="1:44">
      <c r="A16" s="21">
        <v>15</v>
      </c>
      <c r="B16" s="10" t="s">
        <v>44</v>
      </c>
      <c r="C16" s="7">
        <v>87846</v>
      </c>
      <c r="D16" s="4">
        <v>0.02</v>
      </c>
      <c r="E16" s="7">
        <v>9.7200000000000006</v>
      </c>
      <c r="F16" s="6">
        <f t="shared" si="0"/>
        <v>2400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1">
        <v>2400</v>
      </c>
      <c r="I16" s="22">
        <v>44782</v>
      </c>
      <c r="J16" s="7">
        <v>12</v>
      </c>
      <c r="K16" s="7">
        <v>8.85</v>
      </c>
      <c r="L16" s="6">
        <f t="shared" si="1"/>
        <v>2400</v>
      </c>
      <c r="M16" s="22">
        <v>44793</v>
      </c>
      <c r="N16" s="7">
        <v>9</v>
      </c>
      <c r="O16" s="7"/>
      <c r="P16" s="7"/>
      <c r="Q16" s="21"/>
      <c r="R16" s="21"/>
      <c r="S16" s="21"/>
      <c r="T16" s="21"/>
      <c r="U16" s="5">
        <f t="shared" si="2"/>
        <v>0.23456790123456783</v>
      </c>
      <c r="V16" s="5">
        <f t="shared" si="3"/>
        <v>7.4074074074074139E-2</v>
      </c>
      <c r="W16" s="23">
        <f t="shared" si="4"/>
        <v>3.166666666666663</v>
      </c>
      <c r="X16" s="3">
        <f t="shared" si="5"/>
        <v>-2088.0000000000023</v>
      </c>
      <c r="Y16" s="5">
        <f t="shared" si="6"/>
        <v>-8.9506172839506265E-2</v>
      </c>
      <c r="Z16" s="5">
        <f>IF(OR(AE16="",多次统计数据!$B$8=""),"",AE16-多次统计数据!$B$8)</f>
        <v>-0.11479876348704239</v>
      </c>
      <c r="AA16" s="8">
        <f t="shared" si="7"/>
        <v>11</v>
      </c>
      <c r="AB16" s="5">
        <f>IF(OR(A16="",多次统计数据!$B$8="",多次统计数据!$B$6&lt;=0,多次统计数据!$B$6&gt;=1),"",1-POWER(1+多次统计数据!$B$8,-多次统计数据!$B$6/(1-多次统计数据!$B$6)))</f>
        <v>6.8202299268846023E-2</v>
      </c>
      <c r="AC16" s="6" t="str">
        <f>IF(OR(AB16="",多次统计数据!$B$9=""),"",IF(多次统计数据!$B$9&lt;AB16,"低于上限","达到或超过上限"))</f>
        <v>低于上限</v>
      </c>
      <c r="AD16" s="21"/>
      <c r="AE16" s="5">
        <f t="shared" si="8"/>
        <v>-2.3768868246704485E-2</v>
      </c>
      <c r="AG16" s="21" t="s">
        <v>50</v>
      </c>
      <c r="AH16" s="21" t="s">
        <v>55</v>
      </c>
      <c r="AI16" s="10" t="s">
        <v>56</v>
      </c>
      <c r="AJ16" s="6" t="str">
        <f t="shared" si="9"/>
        <v>匹配</v>
      </c>
      <c r="AK16" s="24">
        <f>IF(A16="","",COUNTIFS(加仓管理!$A$2:$A$1001,A16,加仓管理!$G$2:$G$1001,"&gt;0"))</f>
        <v>0</v>
      </c>
      <c r="AL16" s="24">
        <f>IF(A16="","",SUMIFS(加仓管理!$G$2:$G$1001,加仓管理!$A$2:$A$1001,A16))</f>
        <v>0</v>
      </c>
      <c r="AM16" s="25" t="str">
        <f>IF(AK16=0,"",IFERROR(LOOKUP(2,1/((加仓管理!$A$2:$A$1001=A16)*(加仓管理!$G$2:$G$1001&gt;0)),加仓管理!$D$2:$D$1001),""))</f>
        <v/>
      </c>
      <c r="AN16" s="25" t="str">
        <f>IF(AK16=0,"",IFERROR(LOOKUP(2,1/((加仓管理!$A$2:$A$1001=A16)*(加仓管理!$G$2:$G$1001&gt;0)),加仓管理!$E$2:$E$1001),""))</f>
        <v/>
      </c>
      <c r="AO16" s="25">
        <f>IF(OR(A16="",H16="",H16&lt;=0),"",(E16*H16+SUMIFS(加仓管理!$H$2:$H$1001,加仓管理!$A$2:$A$1001,A16))/AP16)</f>
        <v>9.7200000000000006</v>
      </c>
      <c r="AP16" s="24">
        <f t="shared" si="10"/>
        <v>2400</v>
      </c>
      <c r="AQ16" s="25">
        <f>IF(A16="","",IF(M16&lt;&gt;"",0,IF(OR(H16="",N16=""),"",MAX((E16*H16+SUMIFS(加仓管理!$H$2:$H$1001,加仓管理!$A$2:$A$1001,A16))-MAX(N16,AN16)*AP16,0))))</f>
        <v>0</v>
      </c>
      <c r="AR16" s="25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10">
        <v>16</v>
      </c>
      <c r="B17" s="10" t="s">
        <v>44</v>
      </c>
      <c r="C17" s="7">
        <v>85758</v>
      </c>
      <c r="D17" s="4">
        <v>0.02</v>
      </c>
      <c r="E17" s="7">
        <v>11.29</v>
      </c>
      <c r="F17" s="6">
        <f t="shared" si="0"/>
        <v>2100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1">
        <v>2100</v>
      </c>
      <c r="I17" s="22">
        <v>44858</v>
      </c>
      <c r="J17" s="7">
        <v>15</v>
      </c>
      <c r="K17" s="7">
        <v>10.39</v>
      </c>
      <c r="L17" s="6">
        <f t="shared" si="1"/>
        <v>2100</v>
      </c>
      <c r="M17" s="22">
        <v>44917</v>
      </c>
      <c r="N17" s="7">
        <v>10.5</v>
      </c>
      <c r="O17" s="7"/>
      <c r="P17" s="7"/>
      <c r="Q17" s="21"/>
      <c r="R17" s="21"/>
      <c r="S17" s="21"/>
      <c r="T17" s="21"/>
      <c r="U17" s="5">
        <f t="shared" si="2"/>
        <v>0.32860938883968122</v>
      </c>
      <c r="V17" s="5">
        <f t="shared" si="3"/>
        <v>6.9973427812223141E-2</v>
      </c>
      <c r="W17" s="23">
        <f t="shared" si="4"/>
        <v>4.6962025316455751</v>
      </c>
      <c r="X17" s="3">
        <f t="shared" si="5"/>
        <v>-1889.999999999997</v>
      </c>
      <c r="Y17" s="5">
        <f t="shared" si="6"/>
        <v>-7.9716563330380741E-2</v>
      </c>
      <c r="Z17" s="5">
        <f>IF(OR(AE17="",多次统计数据!$B$8=""),"",AE17-多次统计数据!$B$8)</f>
        <v>-0.11306865547261941</v>
      </c>
      <c r="AA17" s="8">
        <f t="shared" si="7"/>
        <v>59</v>
      </c>
      <c r="AB17" s="5">
        <f>IF(OR(A17="",多次统计数据!$B$8="",多次统计数据!$B$6&lt;=0,多次统计数据!$B$6&gt;=1),"",1-POWER(1+多次统计数据!$B$8,-多次统计数据!$B$6/(1-多次统计数据!$B$6)))</f>
        <v>6.8202299268846023E-2</v>
      </c>
      <c r="AC17" s="6" t="str">
        <f>IF(OR(AB17="",多次统计数据!$B$9=""),"",IF(多次统计数据!$B$9&lt;AB17,"低于上限","达到或超过上限"))</f>
        <v>低于上限</v>
      </c>
      <c r="AD17" s="21"/>
      <c r="AE17" s="5">
        <f t="shared" si="8"/>
        <v>-2.2038760232281501E-2</v>
      </c>
      <c r="AG17" s="21" t="s">
        <v>50</v>
      </c>
      <c r="AH17" s="21" t="s">
        <v>51</v>
      </c>
      <c r="AI17" s="10" t="s">
        <v>57</v>
      </c>
      <c r="AJ17" s="6" t="str">
        <f t="shared" si="9"/>
        <v>匹配</v>
      </c>
      <c r="AK17" s="24">
        <f>IF(A17="","",COUNTIFS(加仓管理!$A$2:$A$1001,A17,加仓管理!$G$2:$G$1001,"&gt;0"))</f>
        <v>0</v>
      </c>
      <c r="AL17" s="24">
        <f>IF(A17="","",SUMIFS(加仓管理!$G$2:$G$1001,加仓管理!$A$2:$A$1001,A17))</f>
        <v>0</v>
      </c>
      <c r="AM17" s="25" t="str">
        <f>IF(AK17=0,"",IFERROR(LOOKUP(2,1/((加仓管理!$A$2:$A$1001=A17)*(加仓管理!$G$2:$G$1001&gt;0)),加仓管理!$D$2:$D$1001),""))</f>
        <v/>
      </c>
      <c r="AN17" s="25" t="str">
        <f>IF(AK17=0,"",IFERROR(LOOKUP(2,1/((加仓管理!$A$2:$A$1001=A17)*(加仓管理!$G$2:$G$1001&gt;0)),加仓管理!$E$2:$E$1001),""))</f>
        <v/>
      </c>
      <c r="AO17" s="25">
        <f>IF(OR(A17="",H17="",H17&lt;=0),"",(E17*H17+SUMIFS(加仓管理!$H$2:$H$1001,加仓管理!$A$2:$A$1001,A17))/AP17)</f>
        <v>11.29</v>
      </c>
      <c r="AP17" s="24">
        <f t="shared" si="10"/>
        <v>2100</v>
      </c>
      <c r="AQ17" s="25">
        <f>IF(A17="","",IF(M17&lt;&gt;"",0,IF(OR(H17="",N17=""),"",MAX((E17*H17+SUMIFS(加仓管理!$H$2:$H$1001,加仓管理!$A$2:$A$1001,A17))-MAX(N17,AN17)*AP17,0))))</f>
        <v>0</v>
      </c>
      <c r="AR17" s="25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21">
        <v>17</v>
      </c>
      <c r="B18" s="10" t="s">
        <v>44</v>
      </c>
      <c r="C18" s="7">
        <v>83868</v>
      </c>
      <c r="D18" s="4">
        <v>0.02</v>
      </c>
      <c r="E18" s="7">
        <v>12.37</v>
      </c>
      <c r="F18" s="6">
        <f t="shared" si="0"/>
        <v>2900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1">
        <v>2900</v>
      </c>
      <c r="I18" s="22">
        <v>44859</v>
      </c>
      <c r="J18" s="7">
        <v>15</v>
      </c>
      <c r="K18" s="7">
        <v>14.53</v>
      </c>
      <c r="L18" s="6">
        <f t="shared" si="1"/>
        <v>5100</v>
      </c>
      <c r="M18" s="22">
        <v>44973</v>
      </c>
      <c r="N18" s="7">
        <v>11.8</v>
      </c>
      <c r="O18" s="7"/>
      <c r="P18" s="7"/>
      <c r="Q18" s="21"/>
      <c r="R18" s="21"/>
      <c r="S18" s="21"/>
      <c r="T18" s="21"/>
      <c r="U18" s="5">
        <f t="shared" si="2"/>
        <v>0.155013361919285</v>
      </c>
      <c r="V18" s="5">
        <f t="shared" si="3"/>
        <v>9.1389488623495746E-2</v>
      </c>
      <c r="W18" s="23">
        <f t="shared" si="4"/>
        <v>1.696183710556751</v>
      </c>
      <c r="X18" s="3">
        <f t="shared" si="5"/>
        <v>7869.9999999999991</v>
      </c>
      <c r="Y18" s="5">
        <f t="shared" si="6"/>
        <v>0.11882294324581401</v>
      </c>
      <c r="Z18" s="5">
        <f>IF(OR(AE18="",多次统计数据!$B$8=""),"",AE18-多次统计数据!$B$8)</f>
        <v>2.8080405635443756E-3</v>
      </c>
      <c r="AA18" s="8">
        <f t="shared" si="7"/>
        <v>114</v>
      </c>
      <c r="AB18" s="5">
        <f>IF(OR(A18="",多次统计数据!$B$8="",多次统计数据!$B$6&lt;=0,多次统计数据!$B$6&gt;=1),"",1-POWER(1+多次统计数据!$B$8,-多次统计数据!$B$6/(1-多次统计数据!$B$6)))</f>
        <v>6.8202299268846023E-2</v>
      </c>
      <c r="AC18" s="6" t="str">
        <f>IF(OR(AB18="",多次统计数据!$B$9=""),"",IF(多次统计数据!$B$9&lt;AB18,"低于上限","达到或超过上限"))</f>
        <v>低于上限</v>
      </c>
      <c r="AD18" s="21"/>
      <c r="AE18" s="5">
        <f t="shared" si="8"/>
        <v>9.3837935803882278E-2</v>
      </c>
      <c r="AG18" s="21" t="s">
        <v>50</v>
      </c>
      <c r="AH18" s="21" t="s">
        <v>51</v>
      </c>
      <c r="AI18" s="10" t="s">
        <v>57</v>
      </c>
      <c r="AJ18" s="6" t="str">
        <f t="shared" si="9"/>
        <v>匹配</v>
      </c>
      <c r="AK18" s="24">
        <f>IF(A18="","",COUNTIFS(加仓管理!$A$2:$A$1001,A18,加仓管理!$G$2:$G$1001,"&gt;0"))</f>
        <v>1</v>
      </c>
      <c r="AL18" s="24">
        <f>IF(A18="","",SUMIFS(加仓管理!$G$2:$G$1001,加仓管理!$A$2:$A$1001,A18))</f>
        <v>2200</v>
      </c>
      <c r="AM18" s="25">
        <f>IF(AK18=0,"",IFERROR(LOOKUP(2,1/((加仓管理!$A$2:$A$1001=A18)*(加仓管理!$G$2:$G$1001&gt;0)),加仓管理!$D$2:$D$1001),""))</f>
        <v>13.8</v>
      </c>
      <c r="AN18" s="25">
        <f>IF(AK18=0,"",IFERROR(LOOKUP(2,1/((加仓管理!$A$2:$A$1001=A18)*(加仓管理!$G$2:$G$1001&gt;0)),加仓管理!$E$2:$E$1001),""))</f>
        <v>13</v>
      </c>
      <c r="AO18" s="25">
        <f>IF(OR(A18="",H18="",H18&lt;=0),"",(E18*H18+SUMIFS(加仓管理!$H$2:$H$1001,加仓管理!$A$2:$A$1001,A18))/AP18)</f>
        <v>12.986862745098039</v>
      </c>
      <c r="AP18" s="24">
        <f t="shared" si="10"/>
        <v>5100</v>
      </c>
      <c r="AQ18" s="25">
        <f>IF(A18="","",IF(M18&lt;&gt;"",0,IF(OR(H18="",N18=""),"",MAX((E18*H18+SUMIFS(加仓管理!$H$2:$H$1001,加仓管理!$A$2:$A$1001,A18))-MAX(N18,AN18)*AP18,0))))</f>
        <v>0</v>
      </c>
      <c r="AR18" s="25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spans="1:44">
      <c r="A19" s="21">
        <v>18</v>
      </c>
      <c r="B19" s="10" t="s">
        <v>44</v>
      </c>
      <c r="C19" s="7">
        <v>91738</v>
      </c>
      <c r="D19" s="4">
        <v>0.02</v>
      </c>
      <c r="E19" s="7">
        <v>15.4</v>
      </c>
      <c r="F19" s="6">
        <f t="shared" si="0"/>
        <v>2000</v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1">
        <v>2000</v>
      </c>
      <c r="I19" s="22">
        <v>44977</v>
      </c>
      <c r="J19" s="7">
        <v>18</v>
      </c>
      <c r="K19" s="7">
        <v>20.7</v>
      </c>
      <c r="L19" s="6">
        <f t="shared" si="1"/>
        <v>3900</v>
      </c>
      <c r="M19" s="22">
        <v>44991</v>
      </c>
      <c r="N19" s="7">
        <v>14.5</v>
      </c>
      <c r="O19" s="7"/>
      <c r="P19" s="7"/>
      <c r="Q19" s="21"/>
      <c r="R19" s="21"/>
      <c r="S19" s="21"/>
      <c r="T19" s="21"/>
      <c r="U19" s="5">
        <f t="shared" si="2"/>
        <v>9.1163441361622813E-2</v>
      </c>
      <c r="V19" s="5">
        <f t="shared" si="3"/>
        <v>0.12100722779202606</v>
      </c>
      <c r="W19" s="23">
        <f t="shared" si="4"/>
        <v>0.75337186897880615</v>
      </c>
      <c r="X19" s="3">
        <f t="shared" si="5"/>
        <v>16395</v>
      </c>
      <c r="Y19" s="5">
        <f t="shared" si="6"/>
        <v>0.25483795756586619</v>
      </c>
      <c r="Z19" s="5">
        <f>IF(OR(AE19="",多次统计数据!$B$8=""),"",AE19-多次统计数据!$B$8)</f>
        <v>8.7685577083017732E-2</v>
      </c>
      <c r="AA19" s="8">
        <f t="shared" si="7"/>
        <v>14</v>
      </c>
      <c r="AB19" s="5">
        <f>IF(OR(A19="",多次统计数据!$B$8="",多次统计数据!$B$6&lt;=0,多次统计数据!$B$6&gt;=1),"",1-POWER(1+多次统计数据!$B$8,-多次统计数据!$B$6/(1-多次统计数据!$B$6)))</f>
        <v>6.8202299268846023E-2</v>
      </c>
      <c r="AC19" s="6" t="str">
        <f>IF(OR(AB19="",多次统计数据!$B$9=""),"",IF(多次统计数据!$B$9&lt;AB19,"低于上限","达到或超过上限"))</f>
        <v>低于上限</v>
      </c>
      <c r="AD19" s="21"/>
      <c r="AE19" s="5">
        <f t="shared" si="8"/>
        <v>0.17871547232335563</v>
      </c>
      <c r="AG19" s="21" t="s">
        <v>45</v>
      </c>
      <c r="AH19" s="21" t="s">
        <v>58</v>
      </c>
      <c r="AI19" s="10" t="s">
        <v>57</v>
      </c>
      <c r="AJ19" s="6" t="str">
        <f t="shared" si="9"/>
        <v>匹配</v>
      </c>
      <c r="AK19" s="24">
        <f>IF(A19="","",COUNTIFS(加仓管理!$A$2:$A$1001,A19,加仓管理!$G$2:$G$1001,"&gt;0"))</f>
        <v>1</v>
      </c>
      <c r="AL19" s="24">
        <f>IF(A19="","",SUMIFS(加仓管理!$G$2:$G$1001,加仓管理!$A$2:$A$1001,A19))</f>
        <v>1900</v>
      </c>
      <c r="AM19" s="25">
        <f>IF(AK19=0,"",IFERROR(LOOKUP(2,1/((加仓管理!$A$2:$A$1001=A19)*(加仓管理!$G$2:$G$1001&gt;0)),加仓管理!$D$2:$D$1001),""))</f>
        <v>17.649999999999999</v>
      </c>
      <c r="AN19" s="25">
        <f>IF(AK19=0,"",IFERROR(LOOKUP(2,1/((加仓管理!$A$2:$A$1001=A19)*(加仓管理!$G$2:$G$1001&gt;0)),加仓管理!$E$2:$E$1001),""))</f>
        <v>16.5</v>
      </c>
      <c r="AO19" s="25">
        <f>IF(OR(A19="",H19="",H19&lt;=0),"",(E19*H19+SUMIFS(加仓管理!$H$2:$H$1001,加仓管理!$A$2:$A$1001,A19))/AP19)</f>
        <v>16.496153846153845</v>
      </c>
      <c r="AP19" s="24">
        <f t="shared" si="10"/>
        <v>3900</v>
      </c>
      <c r="AQ19" s="25">
        <f>IF(A19="","",IF(M19&lt;&gt;"",0,IF(OR(H19="",N19=""),"",MAX((E19*H19+SUMIFS(加仓管理!$H$2:$H$1001,加仓管理!$A$2:$A$1001,A19))-MAX(N19,AN19)*AP19,0))))</f>
        <v>0</v>
      </c>
      <c r="AR19" s="25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通过</v>
      </c>
    </row>
    <row r="20" spans="1:44">
      <c r="A20" s="21">
        <v>19</v>
      </c>
      <c r="B20" s="10" t="s">
        <v>44</v>
      </c>
      <c r="C20" s="7">
        <v>108133</v>
      </c>
      <c r="D20" s="4">
        <v>0.02</v>
      </c>
      <c r="E20" s="7">
        <v>21.73</v>
      </c>
      <c r="F20" s="6">
        <f t="shared" si="0"/>
        <v>1200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1">
        <v>1200</v>
      </c>
      <c r="I20" s="22">
        <v>44998</v>
      </c>
      <c r="J20" s="7">
        <v>24</v>
      </c>
      <c r="K20" s="7">
        <v>21.8</v>
      </c>
      <c r="L20" s="6">
        <f t="shared" si="1"/>
        <v>1200</v>
      </c>
      <c r="M20" s="22">
        <v>45000</v>
      </c>
      <c r="N20" s="7">
        <v>20</v>
      </c>
      <c r="O20" s="7"/>
      <c r="P20" s="7"/>
      <c r="Q20" s="21"/>
      <c r="R20" s="21"/>
      <c r="S20" s="21"/>
      <c r="T20" s="21"/>
      <c r="U20" s="5">
        <f t="shared" si="2"/>
        <v>0.1044638748274275</v>
      </c>
      <c r="V20" s="5">
        <f t="shared" si="3"/>
        <v>7.9613437643810417E-2</v>
      </c>
      <c r="W20" s="23">
        <f t="shared" si="4"/>
        <v>1.3121387283236989</v>
      </c>
      <c r="X20" s="3">
        <f t="shared" si="5"/>
        <v>84.000000000000341</v>
      </c>
      <c r="Y20" s="5">
        <f t="shared" si="6"/>
        <v>3.2213529682466767E-3</v>
      </c>
      <c r="Z20" s="5">
        <f>IF(OR(AE20="",多次统计数据!$B$8=""),"",AE20-多次统计数据!$B$8)</f>
        <v>-9.0253074103404676E-2</v>
      </c>
      <c r="AA20" s="8">
        <f t="shared" si="7"/>
        <v>2</v>
      </c>
      <c r="AB20" s="5">
        <f>IF(OR(A20="",多次统计数据!$B$8="",多次统计数据!$B$6&lt;=0,多次统计数据!$B$6&gt;=1),"",1-POWER(1+多次统计数据!$B$8,-多次统计数据!$B$6/(1-多次统计数据!$B$6)))</f>
        <v>6.8202299268846023E-2</v>
      </c>
      <c r="AC20" s="6" t="str">
        <f>IF(OR(AB20="",多次统计数据!$B$9=""),"",IF(多次统计数据!$B$9&lt;AB20,"低于上限","达到或超过上限"))</f>
        <v>低于上限</v>
      </c>
      <c r="AD20" s="21"/>
      <c r="AE20" s="5">
        <f t="shared" si="8"/>
        <v>7.7682113693322433E-4</v>
      </c>
      <c r="AG20" s="21" t="s">
        <v>45</v>
      </c>
      <c r="AH20" s="21" t="s">
        <v>58</v>
      </c>
      <c r="AI20" s="10" t="s">
        <v>57</v>
      </c>
      <c r="AJ20" s="6" t="str">
        <f t="shared" si="9"/>
        <v>匹配</v>
      </c>
      <c r="AK20" s="24">
        <f>IF(A20="","",COUNTIFS(加仓管理!$A$2:$A$1001,A20,加仓管理!$G$2:$G$1001,"&gt;0"))</f>
        <v>0</v>
      </c>
      <c r="AL20" s="24">
        <f>IF(A20="","",SUMIFS(加仓管理!$G$2:$G$1001,加仓管理!$A$2:$A$1001,A20))</f>
        <v>0</v>
      </c>
      <c r="AM20" s="25" t="str">
        <f>IF(AK20=0,"",IFERROR(LOOKUP(2,1/((加仓管理!$A$2:$A$1001=A20)*(加仓管理!$G$2:$G$1001&gt;0)),加仓管理!$D$2:$D$1001),""))</f>
        <v/>
      </c>
      <c r="AN20" s="25" t="str">
        <f>IF(AK20=0,"",IFERROR(LOOKUP(2,1/((加仓管理!$A$2:$A$1001=A20)*(加仓管理!$G$2:$G$1001&gt;0)),加仓管理!$E$2:$E$1001),""))</f>
        <v/>
      </c>
      <c r="AO20" s="25">
        <f>IF(OR(A20="",H20="",H20&lt;=0),"",(E20*H20+SUMIFS(加仓管理!$H$2:$H$1001,加仓管理!$A$2:$A$1001,A20))/AP20)</f>
        <v>21.73</v>
      </c>
      <c r="AP20" s="24">
        <f t="shared" si="10"/>
        <v>1200</v>
      </c>
      <c r="AQ20" s="25">
        <f>IF(A20="","",IF(M20&lt;&gt;"",0,IF(OR(H20="",N20=""),"",MAX((E20*H20+SUMIFS(加仓管理!$H$2:$H$1001,加仓管理!$A$2:$A$1001,A20))-MAX(N20,AN20)*AP20,0))))</f>
        <v>0</v>
      </c>
      <c r="AR20" s="25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spans="1:44">
      <c r="A21" s="21">
        <v>20</v>
      </c>
      <c r="B21" s="10" t="s">
        <v>44</v>
      </c>
      <c r="C21" s="7">
        <v>108217</v>
      </c>
      <c r="D21" s="4">
        <v>0.02</v>
      </c>
      <c r="E21" s="7">
        <v>25.15</v>
      </c>
      <c r="F21" s="6">
        <f t="shared" si="0"/>
        <v>1000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1">
        <v>1000</v>
      </c>
      <c r="I21" s="22">
        <v>45005</v>
      </c>
      <c r="J21" s="7">
        <v>30</v>
      </c>
      <c r="K21" s="7">
        <v>56.96</v>
      </c>
      <c r="L21" s="6">
        <f t="shared" si="1"/>
        <v>3200</v>
      </c>
      <c r="M21" s="22">
        <v>45054</v>
      </c>
      <c r="N21" s="7">
        <v>23</v>
      </c>
      <c r="O21" s="7"/>
      <c r="P21" s="7"/>
      <c r="Q21" s="21"/>
      <c r="R21" s="21"/>
      <c r="S21" s="21"/>
      <c r="T21" s="21"/>
      <c r="U21" s="5">
        <f t="shared" si="2"/>
        <v>-0.10582887800152745</v>
      </c>
      <c r="V21" s="5">
        <f t="shared" si="3"/>
        <v>0.3144688064678377</v>
      </c>
      <c r="W21" s="23">
        <f t="shared" si="4"/>
        <v>-0.33653219595995476</v>
      </c>
      <c r="X21" s="3">
        <f t="shared" si="5"/>
        <v>74910.000000000015</v>
      </c>
      <c r="Y21" s="5">
        <f t="shared" si="6"/>
        <v>0.6977329036344333</v>
      </c>
      <c r="Z21" s="5">
        <f>IF(OR(AE21="",多次统计数据!$B$8=""),"",AE21-多次统计数据!$B$8)</f>
        <v>0.601190365901627</v>
      </c>
      <c r="AA21" s="8">
        <f t="shared" si="7"/>
        <v>49</v>
      </c>
      <c r="AB21" s="5">
        <f>IF(OR(A21="",多次统计数据!$B$8="",多次统计数据!$B$6&lt;=0,多次统计数据!$B$6&gt;=1),"",1-POWER(1+多次统计数据!$B$8,-多次统计数据!$B$6/(1-多次统计数据!$B$6)))</f>
        <v>6.8202299268846023E-2</v>
      </c>
      <c r="AC21" s="6" t="str">
        <f>IF(OR(AB21="",多次统计数据!$B$9=""),"",IF(多次统计数据!$B$9&lt;AB21,"低于上限","达到或超过上限"))</f>
        <v>低于上限</v>
      </c>
      <c r="AD21" s="21"/>
      <c r="AE21" s="5">
        <f t="shared" si="8"/>
        <v>0.69222026114196489</v>
      </c>
      <c r="AG21" s="21" t="s">
        <v>45</v>
      </c>
      <c r="AH21" s="21" t="s">
        <v>58</v>
      </c>
      <c r="AI21" s="10" t="s">
        <v>57</v>
      </c>
      <c r="AJ21" s="6" t="str">
        <f t="shared" si="9"/>
        <v>匹配</v>
      </c>
      <c r="AK21" s="24">
        <f>IF(A21="","",COUNTIFS(加仓管理!$A$2:$A$1001,A21,加仓管理!$G$2:$G$1001,"&gt;0"))</f>
        <v>5</v>
      </c>
      <c r="AL21" s="24">
        <f>IF(A21="","",SUMIFS(加仓管理!$G$2:$G$1001,加仓管理!$A$2:$A$1001,A21))</f>
        <v>2200</v>
      </c>
      <c r="AM21" s="25">
        <f>IF(AK21=0,"",IFERROR(LOOKUP(2,1/((加仓管理!$A$2:$A$1001=A21)*(加仓管理!$G$2:$G$1001&gt;0)),加仓管理!$D$2:$D$1001),""))</f>
        <v>56.96</v>
      </c>
      <c r="AN21" s="25">
        <f>IF(AK21=0,"",IFERROR(LOOKUP(2,1/((加仓管理!$A$2:$A$1001=A21)*(加仓管理!$G$2:$G$1001&gt;0)),加仓管理!$E$2:$E$1001),""))</f>
        <v>50</v>
      </c>
      <c r="AO21" s="25">
        <f>IF(OR(A21="",H21="",H21&lt;=0),"",(E21*H21+SUMIFS(加仓管理!$H$2:$H$1001,加仓管理!$A$2:$A$1001,A21))/AP21)</f>
        <v>33.550624999999997</v>
      </c>
      <c r="AP21" s="24">
        <f t="shared" si="10"/>
        <v>3200</v>
      </c>
      <c r="AQ21" s="25">
        <f>IF(A21="","",IF(M21&lt;&gt;"",0,IF(OR(H21="",N21=""),"",MAX((E21*H21+SUMIFS(加仓管理!$H$2:$H$1001,加仓管理!$A$2:$A$1001,A21))-MAX(N21,AN21)*AP21,0))))</f>
        <v>0</v>
      </c>
      <c r="AR21" s="25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21">
        <v>21</v>
      </c>
      <c r="B22" s="10" t="s">
        <v>44</v>
      </c>
      <c r="C22" s="7">
        <v>183127</v>
      </c>
      <c r="D22" s="4">
        <v>0.02</v>
      </c>
      <c r="E22" s="7">
        <v>70.75</v>
      </c>
      <c r="F22" s="6">
        <f t="shared" si="0"/>
        <v>200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1">
        <v>200</v>
      </c>
      <c r="I22" s="22">
        <v>45071</v>
      </c>
      <c r="J22" s="7">
        <v>80</v>
      </c>
      <c r="K22" s="7">
        <v>69.099999999999994</v>
      </c>
      <c r="L22" s="6">
        <f t="shared" si="1"/>
        <v>200</v>
      </c>
      <c r="M22" s="22">
        <v>45082</v>
      </c>
      <c r="N22" s="7">
        <v>55</v>
      </c>
      <c r="O22" s="7"/>
      <c r="P22" s="7"/>
      <c r="Q22" s="21"/>
      <c r="R22" s="21"/>
      <c r="S22" s="21"/>
      <c r="T22" s="21"/>
      <c r="U22" s="5">
        <f t="shared" si="2"/>
        <v>0.13074204946996468</v>
      </c>
      <c r="V22" s="5">
        <f t="shared" si="3"/>
        <v>0.22261484098939929</v>
      </c>
      <c r="W22" s="23">
        <f t="shared" si="4"/>
        <v>0.58730158730158732</v>
      </c>
      <c r="X22" s="3">
        <f t="shared" si="5"/>
        <v>-330.00000000000114</v>
      </c>
      <c r="Y22" s="5">
        <f t="shared" si="6"/>
        <v>-2.3321554770318102E-2</v>
      </c>
      <c r="Z22" s="5">
        <f>IF(OR(AE22="",多次统计数据!$B$8=""),"",AE22-多次统计数据!$B$8)</f>
        <v>-9.2831923341054903E-2</v>
      </c>
      <c r="AA22" s="8">
        <f t="shared" si="7"/>
        <v>11</v>
      </c>
      <c r="AB22" s="5">
        <f>IF(OR(A22="",多次统计数据!$B$8="",多次统计数据!$B$6&lt;=0,多次统计数据!$B$6&gt;=1),"",1-POWER(1+多次统计数据!$B$8,-多次统计数据!$B$6/(1-多次统计数据!$B$6)))</f>
        <v>6.8202299268846023E-2</v>
      </c>
      <c r="AC22" s="6" t="str">
        <f>IF(OR(AB22="",多次统计数据!$B$9=""),"",IF(多次统计数据!$B$9&lt;AB22,"低于上限","达到或超过上限"))</f>
        <v>低于上限</v>
      </c>
      <c r="AD22" s="21"/>
      <c r="AE22" s="5">
        <f t="shared" si="8"/>
        <v>-1.8020281007169949E-3</v>
      </c>
      <c r="AG22" s="21" t="s">
        <v>45</v>
      </c>
      <c r="AH22" s="21" t="s">
        <v>58</v>
      </c>
      <c r="AI22" s="10" t="s">
        <v>57</v>
      </c>
      <c r="AJ22" s="6" t="str">
        <f t="shared" si="9"/>
        <v>匹配</v>
      </c>
      <c r="AK22" s="24">
        <f>IF(A22="","",COUNTIFS(加仓管理!$A$2:$A$1001,A22,加仓管理!$G$2:$G$1001,"&gt;0"))</f>
        <v>0</v>
      </c>
      <c r="AL22" s="24">
        <f>IF(A22="","",SUMIFS(加仓管理!$G$2:$G$1001,加仓管理!$A$2:$A$1001,A22))</f>
        <v>0</v>
      </c>
      <c r="AM22" s="25" t="str">
        <f>IF(AK22=0,"",IFERROR(LOOKUP(2,1/((加仓管理!$A$2:$A$1001=A22)*(加仓管理!$G$2:$G$1001&gt;0)),加仓管理!$D$2:$D$1001),""))</f>
        <v/>
      </c>
      <c r="AN22" s="25" t="str">
        <f>IF(AK22=0,"",IFERROR(LOOKUP(2,1/((加仓管理!$A$2:$A$1001=A22)*(加仓管理!$G$2:$G$1001&gt;0)),加仓管理!$E$2:$E$1001),""))</f>
        <v/>
      </c>
      <c r="AO22" s="25">
        <f>IF(OR(A22="",H22="",H22&lt;=0),"",(E22*H22+SUMIFS(加仓管理!$H$2:$H$1001,加仓管理!$A$2:$A$1001,A22))/AP22)</f>
        <v>70.75</v>
      </c>
      <c r="AP22" s="24">
        <f t="shared" si="10"/>
        <v>200</v>
      </c>
      <c r="AQ22" s="25">
        <f>IF(A22="","",IF(M22&lt;&gt;"",0,IF(OR(H22="",N22=""),"",MAX((E22*H22+SUMIFS(加仓管理!$H$2:$H$1001,加仓管理!$A$2:$A$1001,A22))-MAX(N22,AN22)*AP22,0))))</f>
        <v>0</v>
      </c>
      <c r="AR22" s="25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通过</v>
      </c>
    </row>
    <row r="23" spans="1:44">
      <c r="A23" s="21">
        <v>22</v>
      </c>
      <c r="B23" s="10" t="s">
        <v>44</v>
      </c>
      <c r="C23" s="7">
        <v>182797</v>
      </c>
      <c r="D23" s="4">
        <v>0.02</v>
      </c>
      <c r="E23" s="7">
        <v>47.77</v>
      </c>
      <c r="F23" s="6">
        <f t="shared" si="0"/>
        <v>1300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1">
        <v>1300</v>
      </c>
      <c r="I23" s="22">
        <v>45355</v>
      </c>
      <c r="J23" s="7">
        <v>55</v>
      </c>
      <c r="K23" s="7">
        <v>48.71</v>
      </c>
      <c r="L23" s="6">
        <f t="shared" si="1"/>
        <v>1300</v>
      </c>
      <c r="M23" s="22">
        <v>45361</v>
      </c>
      <c r="N23" s="7">
        <v>45</v>
      </c>
      <c r="O23" s="7"/>
      <c r="P23" s="7"/>
      <c r="Q23" s="21"/>
      <c r="R23" s="21"/>
      <c r="S23" s="21"/>
      <c r="T23" s="21"/>
      <c r="U23" s="5">
        <f t="shared" si="2"/>
        <v>0.15135021980322372</v>
      </c>
      <c r="V23" s="5">
        <f t="shared" si="3"/>
        <v>5.7986183797362423E-2</v>
      </c>
      <c r="W23" s="23">
        <f t="shared" si="4"/>
        <v>2.6101083032490937</v>
      </c>
      <c r="X23" s="3">
        <f t="shared" si="5"/>
        <v>1221.999999999997</v>
      </c>
      <c r="Y23" s="5">
        <f t="shared" si="6"/>
        <v>1.9677621938455049E-2</v>
      </c>
      <c r="Z23" s="5">
        <f>IF(OR(AE23="",多次统计数据!$B$8=""),"",AE23-多次统计数据!$B$8)</f>
        <v>-8.4344883998359113E-2</v>
      </c>
      <c r="AA23" s="8">
        <f t="shared" si="7"/>
        <v>6</v>
      </c>
      <c r="AB23" s="5">
        <f>IF(OR(A23="",多次统计数据!$B$8="",多次统计数据!$B$6&lt;=0,多次统计数据!$B$6&gt;=1),"",1-POWER(1+多次统计数据!$B$8,-多次统计数据!$B$6/(1-多次统计数据!$B$6)))</f>
        <v>6.8202299268846023E-2</v>
      </c>
      <c r="AC23" s="6" t="str">
        <f>IF(OR(AB23="",多次统计数据!$B$9=""),"",IF(多次统计数据!$B$9&lt;AB23,"低于上限","达到或超过上限"))</f>
        <v>低于上限</v>
      </c>
      <c r="AD23" s="21"/>
      <c r="AE23" s="5">
        <f t="shared" si="8"/>
        <v>6.6850112419787906E-3</v>
      </c>
      <c r="AG23" s="21" t="s">
        <v>50</v>
      </c>
      <c r="AH23" s="21" t="s">
        <v>58</v>
      </c>
      <c r="AI23" s="10" t="s">
        <v>59</v>
      </c>
      <c r="AJ23" s="6" t="str">
        <f t="shared" si="9"/>
        <v>匹配</v>
      </c>
      <c r="AK23" s="24">
        <f>IF(A23="","",COUNTIFS(加仓管理!$A$2:$A$1001,A23,加仓管理!$G$2:$G$1001,"&gt;0"))</f>
        <v>0</v>
      </c>
      <c r="AL23" s="24">
        <f>IF(A23="","",SUMIFS(加仓管理!$G$2:$G$1001,加仓管理!$A$2:$A$1001,A23))</f>
        <v>0</v>
      </c>
      <c r="AM23" s="25" t="str">
        <f>IF(AK23=0,"",IFERROR(LOOKUP(2,1/((加仓管理!$A$2:$A$1001=A23)*(加仓管理!$G$2:$G$1001&gt;0)),加仓管理!$D$2:$D$1001),""))</f>
        <v/>
      </c>
      <c r="AN23" s="25" t="str">
        <f>IF(AK23=0,"",IFERROR(LOOKUP(2,1/((加仓管理!$A$2:$A$1001=A23)*(加仓管理!$G$2:$G$1001&gt;0)),加仓管理!$E$2:$E$1001),""))</f>
        <v/>
      </c>
      <c r="AO23" s="25">
        <f>IF(OR(A23="",H23="",H23&lt;=0),"",(E23*H23+SUMIFS(加仓管理!$H$2:$H$1001,加仓管理!$A$2:$A$1001,A23))/AP23)</f>
        <v>47.77</v>
      </c>
      <c r="AP23" s="24">
        <f t="shared" si="10"/>
        <v>1300</v>
      </c>
      <c r="AQ23" s="25">
        <f>IF(A23="","",IF(M23&lt;&gt;"",0,IF(OR(H23="",N23=""),"",MAX((E23*H23+SUMIFS(加仓管理!$H$2:$H$1001,加仓管理!$A$2:$A$1001,A23))-MAX(N23,AN23)*AP23,0))))</f>
        <v>0</v>
      </c>
      <c r="AR23" s="25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>
      <c r="A24" s="21">
        <v>23</v>
      </c>
      <c r="B24" s="10" t="s">
        <v>44</v>
      </c>
      <c r="C24" s="7">
        <v>184019</v>
      </c>
      <c r="D24" s="4">
        <v>0.02</v>
      </c>
      <c r="E24" s="7">
        <v>33.450000000000003</v>
      </c>
      <c r="F24" s="6">
        <f t="shared" si="0"/>
        <v>1000</v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1">
        <v>1000</v>
      </c>
      <c r="I24" s="22">
        <v>45476</v>
      </c>
      <c r="J24" s="7">
        <v>40</v>
      </c>
      <c r="K24" s="7">
        <v>33.18</v>
      </c>
      <c r="L24" s="6">
        <f t="shared" si="1"/>
        <v>1700</v>
      </c>
      <c r="M24" s="22">
        <v>45574</v>
      </c>
      <c r="N24" s="7">
        <v>30</v>
      </c>
      <c r="O24" s="7"/>
      <c r="P24" s="7"/>
      <c r="Q24" s="21"/>
      <c r="R24" s="21"/>
      <c r="S24" s="21"/>
      <c r="T24" s="21"/>
      <c r="U24" s="5">
        <f t="shared" si="2"/>
        <v>0.14655695690294723</v>
      </c>
      <c r="V24" s="5">
        <f t="shared" si="3"/>
        <v>0.14008228232278958</v>
      </c>
      <c r="W24" s="23">
        <f t="shared" si="4"/>
        <v>1.0462205103514672</v>
      </c>
      <c r="X24" s="3">
        <f t="shared" si="5"/>
        <v>-2902.0000000000059</v>
      </c>
      <c r="Y24" s="5">
        <f t="shared" si="6"/>
        <v>-4.8931004249005289E-2</v>
      </c>
      <c r="Z24" s="5">
        <f>IF(OR(AE24="",多次统计数据!$B$8=""),"",AE24-多次统计数据!$B$8)</f>
        <v>-0.10680000593542921</v>
      </c>
      <c r="AA24" s="8">
        <f t="shared" si="7"/>
        <v>98</v>
      </c>
      <c r="AB24" s="5">
        <f>IF(OR(A24="",多次统计数据!$B$8="",多次统计数据!$B$6&lt;=0,多次统计数据!$B$6&gt;=1),"",1-POWER(1+多次统计数据!$B$8,-多次统计数据!$B$6/(1-多次统计数据!$B$6)))</f>
        <v>6.8202299268846023E-2</v>
      </c>
      <c r="AC24" s="6" t="str">
        <f>IF(OR(AB24="",多次统计数据!$B$9=""),"",IF(多次统计数据!$B$9&lt;AB24,"低于上限","达到或超过上限"))</f>
        <v>低于上限</v>
      </c>
      <c r="AD24" s="21"/>
      <c r="AE24" s="5">
        <f t="shared" si="8"/>
        <v>-1.5770110695091301E-2</v>
      </c>
      <c r="AG24" s="21" t="s">
        <v>50</v>
      </c>
      <c r="AH24" s="21" t="s">
        <v>58</v>
      </c>
      <c r="AI24" s="10" t="s">
        <v>59</v>
      </c>
      <c r="AJ24" s="6" t="str">
        <f t="shared" si="9"/>
        <v>匹配</v>
      </c>
      <c r="AK24" s="24">
        <f>IF(A24="","",COUNTIFS(加仓管理!$A$2:$A$1001,A24,加仓管理!$G$2:$G$1001,"&gt;0"))</f>
        <v>1</v>
      </c>
      <c r="AL24" s="24">
        <f>IF(A24="","",SUMIFS(加仓管理!$G$2:$G$1001,加仓管理!$A$2:$A$1001,A24))</f>
        <v>700</v>
      </c>
      <c r="AM24" s="25">
        <f>IF(AK24=0,"",IFERROR(LOOKUP(2,1/((加仓管理!$A$2:$A$1001=A24)*(加仓管理!$G$2:$G$1001&gt;0)),加仓管理!$D$2:$D$1001),""))</f>
        <v>36.94</v>
      </c>
      <c r="AN24" s="25">
        <f>IF(AK24=0,"",IFERROR(LOOKUP(2,1/((加仓管理!$A$2:$A$1001=A24)*(加仓管理!$G$2:$G$1001&gt;0)),加仓管理!$E$2:$E$1001),""))</f>
        <v>35</v>
      </c>
      <c r="AO24" s="25">
        <f>IF(OR(A24="",H24="",H24&lt;=0),"",(E24*H24+SUMIFS(加仓管理!$H$2:$H$1001,加仓管理!$A$2:$A$1001,A24))/AP24)</f>
        <v>34.887058823529415</v>
      </c>
      <c r="AP24" s="24">
        <f t="shared" si="10"/>
        <v>1700</v>
      </c>
      <c r="AQ24" s="25">
        <f>IF(A24="","",IF(M24&lt;&gt;"",0,IF(OR(H24="",N24=""),"",MAX((E24*H24+SUMIFS(加仓管理!$H$2:$H$1001,加仓管理!$A$2:$A$1001,A24))-MAX(N24,AN24)*AP24,0))))</f>
        <v>0</v>
      </c>
      <c r="AR24" s="25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spans="1:44">
      <c r="A25" s="21">
        <v>24</v>
      </c>
      <c r="B25" s="10" t="s">
        <v>44</v>
      </c>
      <c r="C25" s="7">
        <v>181117</v>
      </c>
      <c r="D25" s="4">
        <v>0.02</v>
      </c>
      <c r="E25" s="7">
        <v>35.25</v>
      </c>
      <c r="F25" s="6">
        <f t="shared" si="0"/>
        <v>1600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1">
        <v>1600</v>
      </c>
      <c r="I25" s="22">
        <v>45586</v>
      </c>
      <c r="J25" s="7">
        <v>40</v>
      </c>
      <c r="K25" s="7">
        <v>35.450000000000003</v>
      </c>
      <c r="L25" s="6">
        <f t="shared" si="1"/>
        <v>1600</v>
      </c>
      <c r="M25" s="22">
        <v>45594</v>
      </c>
      <c r="N25" s="7">
        <v>33</v>
      </c>
      <c r="O25" s="7"/>
      <c r="P25" s="7"/>
      <c r="Q25" s="21"/>
      <c r="R25" s="21"/>
      <c r="S25" s="21"/>
      <c r="T25" s="21"/>
      <c r="U25" s="5">
        <f t="shared" si="2"/>
        <v>0.13475177304964539</v>
      </c>
      <c r="V25" s="5">
        <f t="shared" si="3"/>
        <v>6.3829787234042548E-2</v>
      </c>
      <c r="W25" s="23">
        <f t="shared" si="4"/>
        <v>2.1111111111111112</v>
      </c>
      <c r="X25" s="3">
        <f t="shared" si="5"/>
        <v>320.00000000000455</v>
      </c>
      <c r="Y25" s="5">
        <f t="shared" si="6"/>
        <v>5.673758865248308E-3</v>
      </c>
      <c r="Z25" s="5">
        <f>IF(OR(AE25="",多次统计数据!$B$8=""),"",AE25-多次统计数据!$B$8)</f>
        <v>-8.9263081523237878E-2</v>
      </c>
      <c r="AA25" s="8">
        <f t="shared" si="7"/>
        <v>8</v>
      </c>
      <c r="AB25" s="5">
        <f>IF(OR(A25="",多次统计数据!$B$8="",多次统计数据!$B$6&lt;=0,多次统计数据!$B$6&gt;=1),"",1-POWER(1+多次统计数据!$B$8,-多次统计数据!$B$6/(1-多次统计数据!$B$6)))</f>
        <v>6.8202299268846023E-2</v>
      </c>
      <c r="AC25" s="6" t="str">
        <f>IF(OR(AB25="",多次统计数据!$B$9=""),"",IF(多次统计数据!$B$9&lt;AB25,"低于上限","达到或超过上限"))</f>
        <v>低于上限</v>
      </c>
      <c r="AD25" s="21"/>
      <c r="AE25" s="5">
        <f t="shared" si="8"/>
        <v>1.7668137171000212E-3</v>
      </c>
      <c r="AG25" s="21" t="s">
        <v>50</v>
      </c>
      <c r="AH25" s="21" t="s">
        <v>58</v>
      </c>
      <c r="AI25" s="10" t="s">
        <v>59</v>
      </c>
      <c r="AJ25" s="6" t="str">
        <f t="shared" si="9"/>
        <v>匹配</v>
      </c>
      <c r="AK25" s="24">
        <f>IF(A25="","",COUNTIFS(加仓管理!$A$2:$A$1001,A25,加仓管理!$G$2:$G$1001,"&gt;0"))</f>
        <v>0</v>
      </c>
      <c r="AL25" s="24">
        <f>IF(A25="","",SUMIFS(加仓管理!$G$2:$G$1001,加仓管理!$A$2:$A$1001,A25))</f>
        <v>0</v>
      </c>
      <c r="AM25" s="25" t="str">
        <f>IF(AK25=0,"",IFERROR(LOOKUP(2,1/((加仓管理!$A$2:$A$1001=A25)*(加仓管理!$G$2:$G$1001&gt;0)),加仓管理!$D$2:$D$1001),""))</f>
        <v/>
      </c>
      <c r="AN25" s="25" t="str">
        <f>IF(AK25=0,"",IFERROR(LOOKUP(2,1/((加仓管理!$A$2:$A$1001=A25)*(加仓管理!$G$2:$G$1001&gt;0)),加仓管理!$E$2:$E$1001),""))</f>
        <v/>
      </c>
      <c r="AO25" s="25">
        <f>IF(OR(A25="",H25="",H25&lt;=0),"",(E25*H25+SUMIFS(加仓管理!$H$2:$H$1001,加仓管理!$A$2:$A$1001,A25))/AP25)</f>
        <v>35.25</v>
      </c>
      <c r="AP25" s="24">
        <f t="shared" si="10"/>
        <v>1600</v>
      </c>
      <c r="AQ25" s="25">
        <f>IF(A25="","",IF(M25&lt;&gt;"",0,IF(OR(H25="",N25=""),"",MAX((E25*H25+SUMIFS(加仓管理!$H$2:$H$1001,加仓管理!$A$2:$A$1001,A25))-MAX(N25,AN25)*AP25,0))))</f>
        <v>0</v>
      </c>
      <c r="AR25" s="25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spans="1:44">
      <c r="A26" s="21">
        <v>25</v>
      </c>
      <c r="B26" s="10" t="s">
        <v>44</v>
      </c>
      <c r="C26" s="7">
        <v>181437</v>
      </c>
      <c r="D26" s="4">
        <v>0.02</v>
      </c>
      <c r="E26" s="7">
        <v>40.29</v>
      </c>
      <c r="F26" s="6">
        <f t="shared" si="0"/>
        <v>800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1">
        <v>800</v>
      </c>
      <c r="I26" s="22">
        <v>45594</v>
      </c>
      <c r="J26" s="7">
        <v>50</v>
      </c>
      <c r="K26" s="7">
        <v>50.17</v>
      </c>
      <c r="L26" s="6">
        <f t="shared" si="1"/>
        <v>2100</v>
      </c>
      <c r="M26" s="22">
        <v>45610</v>
      </c>
      <c r="N26" s="7">
        <v>36</v>
      </c>
      <c r="O26" s="7"/>
      <c r="P26" s="7"/>
      <c r="Q26" s="21"/>
      <c r="R26" s="21"/>
      <c r="S26" s="21"/>
      <c r="T26" s="21"/>
      <c r="U26" s="5">
        <f t="shared" si="2"/>
        <v>9.8717116966285157E-2</v>
      </c>
      <c r="V26" s="5">
        <f t="shared" si="3"/>
        <v>0.2089236757842747</v>
      </c>
      <c r="W26" s="23">
        <f t="shared" si="4"/>
        <v>0.47250325553440897</v>
      </c>
      <c r="X26" s="3">
        <f t="shared" si="5"/>
        <v>9791.0000000000091</v>
      </c>
      <c r="Y26" s="5">
        <f t="shared" si="6"/>
        <v>0.10245275516397054</v>
      </c>
      <c r="Z26" s="5">
        <f>IF(OR(AE26="",多次统计数据!$B$8=""),"",AE26-多次统计数据!$B$8)</f>
        <v>-3.7066260480062937E-2</v>
      </c>
      <c r="AA26" s="8">
        <f t="shared" si="7"/>
        <v>16</v>
      </c>
      <c r="AB26" s="5">
        <f>IF(OR(A26="",多次统计数据!$B$8="",多次统计数据!$B$6&lt;=0,多次统计数据!$B$6&gt;=1),"",1-POWER(1+多次统计数据!$B$8,-多次统计数据!$B$6/(1-多次统计数据!$B$6)))</f>
        <v>6.8202299268846023E-2</v>
      </c>
      <c r="AC26" s="6" t="str">
        <f>IF(OR(AB26="",多次统计数据!$B$9=""),"",IF(多次统计数据!$B$9&lt;AB26,"低于上限","达到或超过上限"))</f>
        <v>低于上限</v>
      </c>
      <c r="AD26" s="21"/>
      <c r="AE26" s="5">
        <f t="shared" si="8"/>
        <v>5.3963634760274964E-2</v>
      </c>
      <c r="AG26" s="21" t="s">
        <v>50</v>
      </c>
      <c r="AH26" s="21" t="s">
        <v>58</v>
      </c>
      <c r="AI26" s="10" t="s">
        <v>59</v>
      </c>
      <c r="AJ26" s="6" t="str">
        <f t="shared" si="9"/>
        <v>匹配</v>
      </c>
      <c r="AK26" s="24">
        <f>IF(A26="","",COUNTIFS(加仓管理!$A$2:$A$1001,A26,加仓管理!$G$2:$G$1001,"&gt;0"))</f>
        <v>2</v>
      </c>
      <c r="AL26" s="24">
        <f>IF(A26="","",SUMIFS(加仓管理!$G$2:$G$1001,加仓管理!$A$2:$A$1001,A26))</f>
        <v>1300</v>
      </c>
      <c r="AM26" s="25">
        <f>IF(AK26=0,"",IFERROR(LOOKUP(2,1/((加仓管理!$A$2:$A$1001=A26)*(加仓管理!$G$2:$G$1001&gt;0)),加仓管理!$D$2:$D$1001),""))</f>
        <v>51.43</v>
      </c>
      <c r="AN26" s="25">
        <f>IF(AK26=0,"",IFERROR(LOOKUP(2,1/((加仓管理!$A$2:$A$1001=A26)*(加仓管理!$G$2:$G$1001&gt;0)),加仓管理!$E$2:$E$1001),""))</f>
        <v>46</v>
      </c>
      <c r="AO26" s="25">
        <f>IF(OR(A26="",H26="",H26&lt;=0),"",(E26*H26+SUMIFS(加仓管理!$H$2:$H$1001,加仓管理!$A$2:$A$1001,A26))/AP26)</f>
        <v>45.507619047619045</v>
      </c>
      <c r="AP26" s="24">
        <f t="shared" si="10"/>
        <v>2100</v>
      </c>
      <c r="AQ26" s="25">
        <f>IF(A26="","",IF(M26&lt;&gt;"",0,IF(OR(H26="",N26=""),"",MAX((E26*H26+SUMIFS(加仓管理!$H$2:$H$1001,加仓管理!$A$2:$A$1001,A26))-MAX(N26,AN26)*AP26,0))))</f>
        <v>0</v>
      </c>
      <c r="AR26" s="25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spans="1:44">
      <c r="A27" s="21">
        <v>26</v>
      </c>
      <c r="B27" s="10" t="s">
        <v>44</v>
      </c>
      <c r="C27" s="7">
        <v>191228</v>
      </c>
      <c r="D27" s="4">
        <v>0.02</v>
      </c>
      <c r="E27" s="7">
        <v>43.8</v>
      </c>
      <c r="F27" s="6">
        <f t="shared" si="0"/>
        <v>1000</v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1">
        <v>1000</v>
      </c>
      <c r="I27" s="22">
        <v>45817</v>
      </c>
      <c r="J27" s="7">
        <v>50</v>
      </c>
      <c r="K27" s="7">
        <v>75.55</v>
      </c>
      <c r="L27" s="6">
        <f t="shared" si="1"/>
        <v>3100</v>
      </c>
      <c r="M27" s="22">
        <v>45904</v>
      </c>
      <c r="N27" s="7">
        <v>40</v>
      </c>
      <c r="O27" s="7"/>
      <c r="P27" s="7"/>
      <c r="Q27" s="21"/>
      <c r="R27" s="21"/>
      <c r="S27" s="21"/>
      <c r="T27" s="21"/>
      <c r="U27" s="5">
        <f t="shared" si="2"/>
        <v>-0.19635820647890831</v>
      </c>
      <c r="V27" s="5">
        <f t="shared" si="3"/>
        <v>0.35708656518312665</v>
      </c>
      <c r="W27" s="23">
        <f t="shared" si="4"/>
        <v>-0.54988965036589621</v>
      </c>
      <c r="X27" s="3">
        <f t="shared" si="5"/>
        <v>41332.999999999985</v>
      </c>
      <c r="Y27" s="5">
        <f t="shared" si="6"/>
        <v>0.2143027500103695</v>
      </c>
      <c r="Z27" s="5">
        <f>IF(OR(AE27="",多次统计数据!$B$8=""),"",AE27-多次统计数据!$B$8)</f>
        <v>0.12511522995053365</v>
      </c>
      <c r="AA27" s="8">
        <f t="shared" si="7"/>
        <v>87</v>
      </c>
      <c r="AB27" s="5">
        <f>IF(OR(A27="",多次统计数据!$B$8="",多次统计数据!$B$6&lt;=0,多次统计数据!$B$6&gt;=1),"",1-POWER(1+多次统计数据!$B$8,-多次统计数据!$B$6/(1-多次统计数据!$B$6)))</f>
        <v>6.8202299268846023E-2</v>
      </c>
      <c r="AC27" s="6" t="str">
        <f>IF(OR(AB27="",多次统计数据!$B$9=""),"",IF(多次统计数据!$B$9&lt;AB27,"低于上限","达到或超过上限"))</f>
        <v>低于上限</v>
      </c>
      <c r="AD27" s="21"/>
      <c r="AE27" s="5">
        <f t="shared" si="8"/>
        <v>0.21614512519087156</v>
      </c>
      <c r="AG27" s="21" t="s">
        <v>50</v>
      </c>
      <c r="AH27" s="21" t="s">
        <v>58</v>
      </c>
      <c r="AI27" s="10" t="s">
        <v>59</v>
      </c>
      <c r="AJ27" s="6" t="str">
        <f t="shared" si="9"/>
        <v>匹配</v>
      </c>
      <c r="AK27" s="24">
        <f>IF(A27="","",COUNTIFS(加仓管理!$A$2:$A$1001,A27,加仓管理!$G$2:$G$1001,"&gt;0"))</f>
        <v>3</v>
      </c>
      <c r="AL27" s="24">
        <f>IF(A27="","",SUMIFS(加仓管理!$G$2:$G$1001,加仓管理!$A$2:$A$1001,A27))</f>
        <v>2100</v>
      </c>
      <c r="AM27" s="25">
        <f>IF(AK27=0,"",IFERROR(LOOKUP(2,1/((加仓管理!$A$2:$A$1001=A27)*(加仓管理!$G$2:$G$1001&gt;0)),加仓管理!$D$2:$D$1001),""))</f>
        <v>94.67</v>
      </c>
      <c r="AN27" s="25">
        <f>IF(AK27=0,"",IFERROR(LOOKUP(2,1/((加仓管理!$A$2:$A$1001=A27)*(加仓管理!$G$2:$G$1001&gt;0)),加仓管理!$E$2:$E$1001),""))</f>
        <v>80</v>
      </c>
      <c r="AO27" s="25">
        <f>IF(OR(A27="",H27="",H27&lt;=0),"",(E27*H27+SUMIFS(加仓管理!$H$2:$H$1001,加仓管理!$A$2:$A$1001,A27))/AP27)</f>
        <v>62.216774193548389</v>
      </c>
      <c r="AP27" s="24">
        <f t="shared" si="10"/>
        <v>3100</v>
      </c>
      <c r="AQ27" s="25">
        <f>IF(A27="","",IF(M27&lt;&gt;"",0,IF(OR(H27="",N27=""),"",MAX((E27*H27+SUMIFS(加仓管理!$H$2:$H$1001,加仓管理!$A$2:$A$1001,A27))-MAX(N27,AN27)*AP27,0))))</f>
        <v>0</v>
      </c>
      <c r="AR27" s="25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spans="1:44">
      <c r="A28" s="21">
        <v>27</v>
      </c>
      <c r="B28" s="10" t="s">
        <v>44</v>
      </c>
      <c r="C28" s="7">
        <v>232561</v>
      </c>
      <c r="D28" s="4">
        <v>0.02</v>
      </c>
      <c r="E28" s="7">
        <v>101.08</v>
      </c>
      <c r="F28" s="6">
        <f t="shared" si="0"/>
        <v>700</v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1">
        <v>700</v>
      </c>
      <c r="I28" s="22">
        <v>45832</v>
      </c>
      <c r="J28" s="7">
        <v>120</v>
      </c>
      <c r="K28" s="7">
        <v>108.73</v>
      </c>
      <c r="L28" s="6">
        <f t="shared" si="1"/>
        <v>1100</v>
      </c>
      <c r="M28" s="22">
        <v>45940</v>
      </c>
      <c r="N28" s="7">
        <v>95</v>
      </c>
      <c r="O28" s="7"/>
      <c r="P28" s="7"/>
      <c r="Q28" s="21"/>
      <c r="R28" s="21"/>
      <c r="S28" s="21"/>
      <c r="T28" s="21"/>
      <c r="U28" s="5">
        <f t="shared" si="2"/>
        <v>0.11343545448410818</v>
      </c>
      <c r="V28" s="5">
        <f t="shared" si="3"/>
        <v>0.11853026520008103</v>
      </c>
      <c r="W28" s="23">
        <f t="shared" si="4"/>
        <v>0.95701679476231039</v>
      </c>
      <c r="X28" s="3">
        <f t="shared" si="5"/>
        <v>1050.9999999999977</v>
      </c>
      <c r="Y28" s="5">
        <f t="shared" si="6"/>
        <v>8.8653080504757214E-3</v>
      </c>
      <c r="Z28" s="5">
        <f>IF(OR(AE28="",多次统计数据!$B$8=""),"",AE28-多次统计数据!$B$8)</f>
        <v>-8.6510650827044192E-2</v>
      </c>
      <c r="AA28" s="8">
        <f t="shared" si="7"/>
        <v>108</v>
      </c>
      <c r="AB28" s="5">
        <f>IF(OR(A28="",多次统计数据!$B$8="",多次统计数据!$B$6&lt;=0,多次统计数据!$B$6&gt;=1),"",1-POWER(1+多次统计数据!$B$8,-多次统计数据!$B$6/(1-多次统计数据!$B$6)))</f>
        <v>6.8202299268846023E-2</v>
      </c>
      <c r="AC28" s="6" t="str">
        <f>IF(OR(AB28="",多次统计数据!$B$9=""),"",IF(多次统计数据!$B$9&lt;AB28,"低于上限","达到或超过上限"))</f>
        <v>低于上限</v>
      </c>
      <c r="AD28" s="21"/>
      <c r="AE28" s="5">
        <f t="shared" si="8"/>
        <v>4.5192444132937069E-3</v>
      </c>
      <c r="AG28" s="21" t="s">
        <v>45</v>
      </c>
      <c r="AH28" s="21" t="s">
        <v>58</v>
      </c>
      <c r="AI28" s="10" t="s">
        <v>59</v>
      </c>
      <c r="AJ28" s="6" t="str">
        <f t="shared" si="9"/>
        <v>匹配</v>
      </c>
      <c r="AK28" s="24">
        <f>IF(A28="","",COUNTIFS(加仓管理!$A$2:$A$1001,A28,加仓管理!$G$2:$G$1001,"&gt;0"))</f>
        <v>1</v>
      </c>
      <c r="AL28" s="24">
        <f>IF(A28="","",SUMIFS(加仓管理!$G$2:$G$1001,加仓管理!$A$2:$A$1001,A28))</f>
        <v>400</v>
      </c>
      <c r="AM28" s="25">
        <f>IF(AK28=0,"",IFERROR(LOOKUP(2,1/((加仓管理!$A$2:$A$1001=A28)*(加仓管理!$G$2:$G$1001&gt;0)),加仓管理!$D$2:$D$1001),""))</f>
        <v>119.49</v>
      </c>
      <c r="AN28" s="25">
        <f>IF(AK28=0,"",IFERROR(LOOKUP(2,1/((加仓管理!$A$2:$A$1001=A28)*(加仓管理!$G$2:$G$1001&gt;0)),加仓管理!$E$2:$E$1001),""))</f>
        <v>108</v>
      </c>
      <c r="AO28" s="25">
        <f>IF(OR(A28="",H28="",H28&lt;=0),"",(E28*H28+SUMIFS(加仓管理!$H$2:$H$1001,加仓管理!$A$2:$A$1001,A28))/AP28)</f>
        <v>107.77454545454546</v>
      </c>
      <c r="AP28" s="24">
        <f t="shared" si="10"/>
        <v>1100</v>
      </c>
      <c r="AQ28" s="25">
        <f>IF(A28="","",IF(M28&lt;&gt;"",0,IF(OR(H28="",N28=""),"",MAX((E28*H28+SUMIFS(加仓管理!$H$2:$H$1001,加仓管理!$A$2:$A$1001,A28))-MAX(N28,AN28)*AP28,0))))</f>
        <v>0</v>
      </c>
      <c r="AR28" s="25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spans="1:44">
      <c r="A29" s="21">
        <v>28</v>
      </c>
      <c r="B29" s="10" t="s">
        <v>44</v>
      </c>
      <c r="C29" s="7">
        <v>233612</v>
      </c>
      <c r="D29" s="4">
        <v>0.02</v>
      </c>
      <c r="E29" s="7">
        <v>128.74</v>
      </c>
      <c r="F29" s="6">
        <f t="shared" si="0"/>
        <v>500</v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1">
        <v>500</v>
      </c>
      <c r="I29" s="22">
        <v>45917</v>
      </c>
      <c r="J29" s="7">
        <v>150</v>
      </c>
      <c r="K29" s="7">
        <v>117.03</v>
      </c>
      <c r="L29" s="6">
        <f t="shared" si="1"/>
        <v>500</v>
      </c>
      <c r="M29" s="22">
        <v>46035</v>
      </c>
      <c r="N29" s="7">
        <v>120</v>
      </c>
      <c r="O29" s="7"/>
      <c r="P29" s="7"/>
      <c r="Q29" s="21"/>
      <c r="R29" s="21"/>
      <c r="S29" s="21"/>
      <c r="T29" s="21"/>
      <c r="U29" s="5">
        <f t="shared" si="2"/>
        <v>0.16513903992543102</v>
      </c>
      <c r="V29" s="5">
        <f t="shared" si="3"/>
        <v>6.7888768059655186E-2</v>
      </c>
      <c r="W29" s="23">
        <f t="shared" si="4"/>
        <v>2.4324942791761979</v>
      </c>
      <c r="X29" s="3">
        <f t="shared" si="5"/>
        <v>-5855.0000000000036</v>
      </c>
      <c r="Y29" s="5">
        <f t="shared" si="6"/>
        <v>-9.0958521050178695E-2</v>
      </c>
      <c r="Z29" s="5">
        <f>IF(OR(AE29="",多次统计数据!$B$8=""),"",AE29-多次统计数据!$B$8)</f>
        <v>-0.11609282009008878</v>
      </c>
      <c r="AA29" s="8">
        <f t="shared" si="7"/>
        <v>118</v>
      </c>
      <c r="AB29" s="5">
        <f>IF(OR(A29="",多次统计数据!$B$8="",多次统计数据!$B$6&lt;=0,多次统计数据!$B$6&gt;=1),"",1-POWER(1+多次统计数据!$B$8,-多次统计数据!$B$6/(1-多次统计数据!$B$6)))</f>
        <v>6.8202299268846023E-2</v>
      </c>
      <c r="AC29" s="6" t="str">
        <f>IF(OR(AB29="",多次统计数据!$B$9=""),"",IF(多次统计数据!$B$9&lt;AB29,"低于上限","达到或超过上限"))</f>
        <v>低于上限</v>
      </c>
      <c r="AD29" s="21"/>
      <c r="AE29" s="5">
        <f t="shared" si="8"/>
        <v>-2.5062924849750885E-2</v>
      </c>
      <c r="AG29" s="21" t="s">
        <v>45</v>
      </c>
      <c r="AH29" s="21" t="s">
        <v>58</v>
      </c>
      <c r="AI29" s="10" t="s">
        <v>59</v>
      </c>
      <c r="AJ29" s="6" t="str">
        <f t="shared" si="9"/>
        <v>匹配</v>
      </c>
      <c r="AK29" s="24">
        <f>IF(A29="","",COUNTIFS(加仓管理!$A$2:$A$1001,A29,加仓管理!$G$2:$G$1001,"&gt;0"))</f>
        <v>0</v>
      </c>
      <c r="AL29" s="24">
        <f>IF(A29="","",SUMIFS(加仓管理!$G$2:$G$1001,加仓管理!$A$2:$A$1001,A29))</f>
        <v>0</v>
      </c>
      <c r="AM29" s="25" t="str">
        <f>IF(AK29=0,"",IFERROR(LOOKUP(2,1/((加仓管理!$A$2:$A$1001=A29)*(加仓管理!$G$2:$G$1001&gt;0)),加仓管理!$D$2:$D$1001),""))</f>
        <v/>
      </c>
      <c r="AN29" s="25" t="str">
        <f>IF(AK29=0,"",IFERROR(LOOKUP(2,1/((加仓管理!$A$2:$A$1001=A29)*(加仓管理!$G$2:$G$1001&gt;0)),加仓管理!$E$2:$E$1001),""))</f>
        <v/>
      </c>
      <c r="AO29" s="25">
        <f>IF(OR(A29="",H29="",H29&lt;=0),"",(E29*H29+SUMIFS(加仓管理!$H$2:$H$1001,加仓管理!$A$2:$A$1001,A29))/AP29)</f>
        <v>128.74</v>
      </c>
      <c r="AP29" s="24">
        <f t="shared" si="10"/>
        <v>500</v>
      </c>
      <c r="AQ29" s="25">
        <f>IF(A29="","",IF(M29&lt;&gt;"",0,IF(OR(H29="",N29=""),"",MAX((E29*H29+SUMIFS(加仓管理!$H$2:$H$1001,加仓管理!$A$2:$A$1001,A29))-MAX(N29,AN29)*AP29,0))))</f>
        <v>0</v>
      </c>
      <c r="AR29" s="25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spans="1:44">
      <c r="A30" s="21">
        <v>29</v>
      </c>
      <c r="B30" s="10" t="s">
        <v>44</v>
      </c>
      <c r="C30" s="7">
        <v>227757</v>
      </c>
      <c r="D30" s="4">
        <v>0.02</v>
      </c>
      <c r="E30" s="7">
        <v>131.72999999999999</v>
      </c>
      <c r="F30" s="6">
        <f t="shared" si="0"/>
        <v>600</v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1">
        <v>600</v>
      </c>
      <c r="I30" s="22">
        <v>46092</v>
      </c>
      <c r="J30" s="7">
        <v>150</v>
      </c>
      <c r="K30" s="7">
        <v>188.41</v>
      </c>
      <c r="L30" s="6">
        <f t="shared" si="1"/>
        <v>1500</v>
      </c>
      <c r="M30" s="22">
        <v>46169</v>
      </c>
      <c r="N30" s="7">
        <v>125</v>
      </c>
      <c r="O30" s="7"/>
      <c r="P30" s="7"/>
      <c r="Q30" s="21"/>
      <c r="R30" s="21"/>
      <c r="S30" s="21"/>
      <c r="T30" s="21"/>
      <c r="U30" s="5">
        <f t="shared" si="2"/>
        <v>-4.0098293934701032E-2</v>
      </c>
      <c r="V30" s="5">
        <f t="shared" si="3"/>
        <v>0.20008191161225086</v>
      </c>
      <c r="W30" s="23">
        <f t="shared" si="4"/>
        <v>-0.200409390392119</v>
      </c>
      <c r="X30" s="3">
        <f t="shared" si="5"/>
        <v>48216.000000000007</v>
      </c>
      <c r="Y30" s="5">
        <f t="shared" si="6"/>
        <v>0.2057005362650865</v>
      </c>
      <c r="Z30" s="5">
        <f>IF(OR(AE30="",多次统计数据!$B$8=""),"",AE30-多次统计数据!$B$8)</f>
        <v>0.12066941586755343</v>
      </c>
      <c r="AA30" s="8">
        <f t="shared" si="7"/>
        <v>77</v>
      </c>
      <c r="AB30" s="5">
        <f>IF(OR(A30="",多次统计数据!$B$8="",多次统计数据!$B$6&lt;=0,多次统计数据!$B$6&gt;=1),"",1-POWER(1+多次统计数据!$B$8,-多次统计数据!$B$6/(1-多次统计数据!$B$6)))</f>
        <v>6.8202299268846023E-2</v>
      </c>
      <c r="AC30" s="6" t="str">
        <f>IF(OR(AB30="",多次统计数据!$B$9=""),"",IF(多次统计数据!$B$9&lt;AB30,"低于上限","达到或超过上限"))</f>
        <v>低于上限</v>
      </c>
      <c r="AD30" s="21"/>
      <c r="AE30" s="5">
        <f t="shared" si="8"/>
        <v>0.21169931110789134</v>
      </c>
      <c r="AG30" s="21" t="s">
        <v>45</v>
      </c>
      <c r="AH30" s="21" t="s">
        <v>58</v>
      </c>
      <c r="AI30" s="10" t="s">
        <v>59</v>
      </c>
      <c r="AJ30" s="6" t="str">
        <f t="shared" si="9"/>
        <v>匹配</v>
      </c>
      <c r="AK30" s="24">
        <f>IF(A30="","",COUNTIFS(加仓管理!$A$2:$A$1001,A30,加仓管理!$G$2:$G$1001,"&gt;0"))</f>
        <v>3</v>
      </c>
      <c r="AL30" s="24">
        <f>IF(A30="","",SUMIFS(加仓管理!$G$2:$G$1001,加仓管理!$A$2:$A$1001,A30))</f>
        <v>900</v>
      </c>
      <c r="AM30" s="25">
        <f>IF(AK30=0,"",IFERROR(LOOKUP(2,1/((加仓管理!$A$2:$A$1001=A30)*(加仓管理!$G$2:$G$1001&gt;0)),加仓管理!$D$2:$D$1001),""))</f>
        <v>194.13</v>
      </c>
      <c r="AN30" s="25">
        <f>IF(AK30=0,"",IFERROR(LOOKUP(2,1/((加仓管理!$A$2:$A$1001=A30)*(加仓管理!$G$2:$G$1001&gt;0)),加仓管理!$E$2:$E$1001),""))</f>
        <v>170</v>
      </c>
      <c r="AO30" s="25">
        <f>IF(OR(A30="",H30="",H30&lt;=0),"",(E30*H30+SUMIFS(加仓管理!$H$2:$H$1001,加仓管理!$A$2:$A$1001,A30))/AP30)</f>
        <v>156.26599999999999</v>
      </c>
      <c r="AP30" s="24">
        <f t="shared" si="10"/>
        <v>1500</v>
      </c>
      <c r="AQ30" s="25">
        <f>IF(A30="","",IF(M30&lt;&gt;"",0,IF(OR(H30="",N30=""),"",MAX((E30*H30+SUMIFS(加仓管理!$H$2:$H$1001,加仓管理!$A$2:$A$1001,A30))-MAX(N30,AN30)*AP30,0))))</f>
        <v>0</v>
      </c>
      <c r="AR30" s="25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通过</v>
      </c>
    </row>
    <row r="31" spans="1:44">
      <c r="A31" s="21">
        <v>30</v>
      </c>
      <c r="B31" s="10" t="s">
        <v>44</v>
      </c>
      <c r="C31" s="7">
        <v>275973</v>
      </c>
      <c r="D31" s="4">
        <v>0.02</v>
      </c>
      <c r="E31" s="7">
        <v>214.45</v>
      </c>
      <c r="F31" s="6">
        <f t="shared" si="0"/>
        <v>300</v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1">
        <v>300</v>
      </c>
      <c r="I31" s="22">
        <v>46171</v>
      </c>
      <c r="J31" s="7">
        <v>250</v>
      </c>
      <c r="K31" s="7">
        <v>254.78</v>
      </c>
      <c r="L31" s="6">
        <f t="shared" si="1"/>
        <v>600</v>
      </c>
      <c r="M31" s="22">
        <v>46203</v>
      </c>
      <c r="N31" s="7">
        <v>200</v>
      </c>
      <c r="O31" s="7"/>
      <c r="P31" s="7"/>
      <c r="Q31" s="21"/>
      <c r="R31" s="21"/>
      <c r="S31" s="21"/>
      <c r="T31" s="21"/>
      <c r="U31" s="5">
        <f t="shared" si="2"/>
        <v>4.9428061706370055E-2</v>
      </c>
      <c r="V31" s="5">
        <f t="shared" si="3"/>
        <v>0.16045755063490397</v>
      </c>
      <c r="W31" s="23">
        <f t="shared" si="4"/>
        <v>0.30804447351209957</v>
      </c>
      <c r="X31" s="3">
        <f t="shared" si="5"/>
        <v>9933.0000000000036</v>
      </c>
      <c r="Y31" s="5">
        <f t="shared" si="6"/>
        <v>6.9493126246195844E-2</v>
      </c>
      <c r="Z31" s="5">
        <f>IF(OR(AE31="",多次统计数据!$B$8=""),"",AE31-多次统计数据!$B$8)</f>
        <v>-5.5037243785304245E-2</v>
      </c>
      <c r="AA31" s="8">
        <f t="shared" si="7"/>
        <v>32</v>
      </c>
      <c r="AB31" s="5">
        <f>IF(OR(A31="",多次统计数据!$B$8="",多次统计数据!$B$6&lt;=0,多次统计数据!$B$6&gt;=1),"",1-POWER(1+多次统计数据!$B$8,-多次统计数据!$B$6/(1-多次统计数据!$B$6)))</f>
        <v>6.8202299268846023E-2</v>
      </c>
      <c r="AC31" s="6" t="str">
        <f>IF(OR(AB31="",多次统计数据!$B$9=""),"",IF(多次统计数据!$B$9&lt;AB31,"低于上限","达到或超过上限"))</f>
        <v>低于上限</v>
      </c>
      <c r="AD31" s="21"/>
      <c r="AE31" s="5">
        <f t="shared" si="8"/>
        <v>3.5992651455033657E-2</v>
      </c>
      <c r="AG31" s="21" t="s">
        <v>45</v>
      </c>
      <c r="AH31" s="21" t="s">
        <v>46</v>
      </c>
      <c r="AI31" s="10" t="s">
        <v>59</v>
      </c>
      <c r="AJ31" s="6" t="str">
        <f t="shared" si="9"/>
        <v>匹配</v>
      </c>
      <c r="AK31" s="24">
        <f>IF(A31="","",COUNTIFS(加仓管理!$A$2:$A$1001,A31,加仓管理!$G$2:$G$1001,"&gt;0"))</f>
        <v>1</v>
      </c>
      <c r="AL31" s="24">
        <f>IF(A31="","",SUMIFS(加仓管理!$G$2:$G$1001,加仓管理!$A$2:$A$1001,A31))</f>
        <v>300</v>
      </c>
      <c r="AM31" s="25">
        <f>IF(AK31=0,"",IFERROR(LOOKUP(2,1/((加仓管理!$A$2:$A$1001=A31)*(加仓管理!$G$2:$G$1001&gt;0)),加仓管理!$D$2:$D$1001),""))</f>
        <v>262</v>
      </c>
      <c r="AN31" s="25">
        <f>IF(AK31=0,"",IFERROR(LOOKUP(2,1/((加仓管理!$A$2:$A$1001=A31)*(加仓管理!$G$2:$G$1001&gt;0)),加仓管理!$E$2:$E$1001),""))</f>
        <v>240</v>
      </c>
      <c r="AO31" s="25">
        <f>IF(OR(A31="",H31="",H31&lt;=0),"",(E31*H31+SUMIFS(加仓管理!$H$2:$H$1001,加仓管理!$A$2:$A$1001,A31))/AP31)</f>
        <v>238.22499999999999</v>
      </c>
      <c r="AP31" s="24">
        <f t="shared" si="10"/>
        <v>600</v>
      </c>
      <c r="AQ31" s="25">
        <f>IF(A31="","",IF(M31&lt;&gt;"",0,IF(OR(H31="",N31=""),"",MAX((E31*H31+SUMIFS(加仓管理!$H$2:$H$1001,加仓管理!$A$2:$A$1001,A31))-MAX(N31,AN31)*AP31,0))))</f>
        <v>0</v>
      </c>
      <c r="AR31" s="25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spans="1:44">
      <c r="A32" s="21">
        <v>31</v>
      </c>
      <c r="B32" s="10" t="s">
        <v>44</v>
      </c>
      <c r="C32" s="7">
        <v>285906</v>
      </c>
      <c r="D32" s="4">
        <v>0.02</v>
      </c>
      <c r="E32" s="7">
        <v>185.81</v>
      </c>
      <c r="F32" s="6">
        <f t="shared" si="0"/>
        <v>300</v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1">
        <v>300</v>
      </c>
      <c r="I32" s="22">
        <v>46248</v>
      </c>
      <c r="J32" s="7">
        <v>210</v>
      </c>
      <c r="K32" s="7">
        <v>167.36</v>
      </c>
      <c r="L32" s="6">
        <f t="shared" si="1"/>
        <v>300</v>
      </c>
      <c r="M32" s="22">
        <v>46253</v>
      </c>
      <c r="N32" s="7">
        <v>170</v>
      </c>
      <c r="O32" s="7"/>
      <c r="P32" s="7"/>
      <c r="Q32" s="21"/>
      <c r="R32" s="21"/>
      <c r="S32" s="21"/>
      <c r="T32" s="21"/>
      <c r="U32" s="5">
        <f t="shared" si="2"/>
        <v>0.13018674990581774</v>
      </c>
      <c r="V32" s="5">
        <f t="shared" si="3"/>
        <v>8.5086916742909441E-2</v>
      </c>
      <c r="W32" s="23">
        <f t="shared" si="4"/>
        <v>1.5300442757748254</v>
      </c>
      <c r="X32" s="3">
        <f t="shared" si="5"/>
        <v>-5534.9999999999964</v>
      </c>
      <c r="Y32" s="5">
        <f t="shared" si="6"/>
        <v>-9.9294978741725354E-2</v>
      </c>
      <c r="Z32" s="5">
        <f>IF(OR(AE32="",多次统计数据!$B$8=""),"",AE32-多次统计数据!$B$8)</f>
        <v>-0.11038940500928293</v>
      </c>
      <c r="AA32" s="8">
        <f t="shared" si="7"/>
        <v>5</v>
      </c>
      <c r="AB32" s="5">
        <f>IF(OR(A32="",多次统计数据!$B$8="",多次统计数据!$B$6&lt;=0,多次统计数据!$B$6&gt;=1),"",1-POWER(1+多次统计数据!$B$8,-多次统计数据!$B$6/(1-多次统计数据!$B$6)))</f>
        <v>6.8202299268846023E-2</v>
      </c>
      <c r="AC32" s="6" t="str">
        <f>IF(OR(AB32="",多次统计数据!$B$9=""),"",IF(多次统计数据!$B$9&lt;AB32,"低于上限","达到或超过上限"))</f>
        <v>低于上限</v>
      </c>
      <c r="AD32" s="21"/>
      <c r="AE32" s="5">
        <f t="shared" si="8"/>
        <v>-1.9359509768945026E-2</v>
      </c>
      <c r="AG32" s="21" t="s">
        <v>45</v>
      </c>
      <c r="AH32" s="21" t="s">
        <v>46</v>
      </c>
      <c r="AI32" s="10" t="s">
        <v>59</v>
      </c>
      <c r="AJ32" s="6" t="str">
        <f t="shared" si="9"/>
        <v>匹配</v>
      </c>
      <c r="AK32" s="24">
        <f>IF(A32="","",COUNTIFS(加仓管理!$A$2:$A$1001,A32,加仓管理!$G$2:$G$1001,"&gt;0"))</f>
        <v>0</v>
      </c>
      <c r="AL32" s="24">
        <f>IF(A32="","",SUMIFS(加仓管理!$G$2:$G$1001,加仓管理!$A$2:$A$1001,A32))</f>
        <v>0</v>
      </c>
      <c r="AM32" s="25" t="str">
        <f>IF(AK32=0,"",IFERROR(LOOKUP(2,1/((加仓管理!$A$2:$A$1001=A32)*(加仓管理!$G$2:$G$1001&gt;0)),加仓管理!$D$2:$D$1001),""))</f>
        <v/>
      </c>
      <c r="AN32" s="25" t="str">
        <f>IF(AK32=0,"",IFERROR(LOOKUP(2,1/((加仓管理!$A$2:$A$1001=A32)*(加仓管理!$G$2:$G$1001&gt;0)),加仓管理!$E$2:$E$1001),""))</f>
        <v/>
      </c>
      <c r="AO32" s="25">
        <f>IF(OR(A32="",H32="",H32&lt;=0),"",(E32*H32+SUMIFS(加仓管理!$H$2:$H$1001,加仓管理!$A$2:$A$1001,A32))/AP32)</f>
        <v>185.81</v>
      </c>
      <c r="AP32" s="24">
        <f t="shared" si="10"/>
        <v>300</v>
      </c>
      <c r="AQ32" s="25">
        <f>IF(A32="","",IF(M32&lt;&gt;"",0,IF(OR(H32="",N32=""),"",MAX((E32*H32+SUMIFS(加仓管理!$H$2:$H$1001,加仓管理!$A$2:$A$1001,A32))-MAX(N32,AN32)*AP32,0))))</f>
        <v>0</v>
      </c>
      <c r="AR32" s="25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通过</v>
      </c>
    </row>
    <row r="33" spans="1:44">
      <c r="A33" s="21">
        <v>32</v>
      </c>
      <c r="B33" s="10" t="s">
        <v>60</v>
      </c>
      <c r="C33" s="7">
        <v>280371</v>
      </c>
      <c r="D33" s="4">
        <v>0.02</v>
      </c>
      <c r="E33" s="7">
        <v>3.75</v>
      </c>
      <c r="F33" s="6">
        <f t="shared" si="0"/>
        <v>22400</v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1">
        <v>22400</v>
      </c>
      <c r="I33" s="22">
        <v>41520</v>
      </c>
      <c r="J33" s="7">
        <v>4.5</v>
      </c>
      <c r="K33" s="7">
        <v>4.95</v>
      </c>
      <c r="L33" s="6">
        <f t="shared" si="1"/>
        <v>47800</v>
      </c>
      <c r="M33" s="22">
        <v>41563</v>
      </c>
      <c r="N33" s="7">
        <v>3.5</v>
      </c>
      <c r="O33" s="7"/>
      <c r="P33" s="7"/>
      <c r="Q33" s="21"/>
      <c r="R33" s="21"/>
      <c r="S33" s="21"/>
      <c r="T33" s="21"/>
      <c r="U33" s="5">
        <f t="shared" si="2"/>
        <v>5.5648529404547502E-2</v>
      </c>
      <c r="V33" s="5">
        <f t="shared" si="3"/>
        <v>0.17894003268535194</v>
      </c>
      <c r="W33" s="23">
        <f t="shared" si="4"/>
        <v>0.31098982474424741</v>
      </c>
      <c r="X33" s="3">
        <f t="shared" si="5"/>
        <v>32849.000000000015</v>
      </c>
      <c r="Y33" s="5">
        <f t="shared" si="6"/>
        <v>0.16121338234500229</v>
      </c>
      <c r="Z33" s="5">
        <f>IF(OR(AE33="",多次统计数据!$B$8=""),"",AE33-多次统计数据!$B$8)</f>
        <v>2.6132721435423903E-2</v>
      </c>
      <c r="AA33" s="8">
        <f t="shared" si="7"/>
        <v>43</v>
      </c>
      <c r="AB33" s="5">
        <f>IF(OR(A33="",多次统计数据!$B$8="",多次统计数据!$B$6&lt;=0,多次统计数据!$B$6&gt;=1),"",1-POWER(1+多次统计数据!$B$8,-多次统计数据!$B$6/(1-多次统计数据!$B$6)))</f>
        <v>6.8202299268846023E-2</v>
      </c>
      <c r="AC33" s="6" t="str">
        <f>IF(OR(AB33="",多次统计数据!$B$9=""),"",IF(多次统计数据!$B$9&lt;AB33,"低于上限","达到或超过上限"))</f>
        <v>低于上限</v>
      </c>
      <c r="AD33" s="21"/>
      <c r="AE33" s="5">
        <f t="shared" si="8"/>
        <v>0.1171626166757618</v>
      </c>
      <c r="AG33" s="21" t="s">
        <v>50</v>
      </c>
      <c r="AH33" s="21" t="s">
        <v>58</v>
      </c>
      <c r="AI33" s="10" t="s">
        <v>59</v>
      </c>
      <c r="AJ33" s="6" t="str">
        <f t="shared" si="9"/>
        <v>匹配</v>
      </c>
      <c r="AK33" s="24">
        <f>IF(A33="","",COUNTIFS(加仓管理!$A$2:$A$1001,A33,加仓管理!$G$2:$G$1001,"&gt;0"))</f>
        <v>2</v>
      </c>
      <c r="AL33" s="24">
        <f>IF(A33="","",SUMIFS(加仓管理!$G$2:$G$1001,加仓管理!$A$2:$A$1001,A33))</f>
        <v>25400</v>
      </c>
      <c r="AM33" s="25">
        <f>IF(AK33=0,"",IFERROR(LOOKUP(2,1/((加仓管理!$A$2:$A$1001=A33)*(加仓管理!$G$2:$G$1001&gt;0)),加仓管理!$D$2:$D$1001),""))</f>
        <v>4.99</v>
      </c>
      <c r="AN33" s="25">
        <f>IF(AK33=0,"",IFERROR(LOOKUP(2,1/((加仓管理!$A$2:$A$1001=A33)*(加仓管理!$G$2:$G$1001&gt;0)),加仓管理!$E$2:$E$1001),""))</f>
        <v>4.5</v>
      </c>
      <c r="AO33" s="25">
        <f>IF(OR(A33="",H33="",H33&lt;=0),"",(E33*H33+SUMIFS(加仓管理!$H$2:$H$1001,加仓管理!$A$2:$A$1001,A33))/AP33)</f>
        <v>4.2627824267782426</v>
      </c>
      <c r="AP33" s="24">
        <f t="shared" si="10"/>
        <v>47800</v>
      </c>
      <c r="AQ33" s="25">
        <f>IF(A33="","",IF(M33&lt;&gt;"",0,IF(OR(H33="",N33=""),"",MAX((E33*H33+SUMIFS(加仓管理!$H$2:$H$1001,加仓管理!$A$2:$A$1001,A33))-MAX(N33,AN33)*AP33,0))))</f>
        <v>0</v>
      </c>
      <c r="AR33" s="25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spans="1:44">
      <c r="A34" s="21">
        <v>33</v>
      </c>
      <c r="B34" s="10" t="s">
        <v>60</v>
      </c>
      <c r="C34" s="7">
        <v>313220</v>
      </c>
      <c r="D34" s="4">
        <v>0.02</v>
      </c>
      <c r="E34" s="7">
        <v>4.2699999999999996</v>
      </c>
      <c r="F34" s="6">
        <f t="shared" ref="F34:F65" si="11">IF(OR(C34="",D34="",E34="",N34="",C34&lt;=0,D34&lt;=0,E34&lt;=N34),"",ROUNDDOWN((C34*D34)/(E34-N34)/100,0)*100)</f>
        <v>23200</v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1">
        <v>23200</v>
      </c>
      <c r="I34" s="22">
        <v>41886</v>
      </c>
      <c r="J34" s="7">
        <v>5</v>
      </c>
      <c r="K34" s="7">
        <v>4.16</v>
      </c>
      <c r="L34" s="6">
        <f t="shared" ref="L34:L65" si="12">IF(AP34="","",AP34)</f>
        <v>23200</v>
      </c>
      <c r="M34" s="22">
        <v>41898</v>
      </c>
      <c r="N34" s="7">
        <v>4</v>
      </c>
      <c r="O34" s="7"/>
      <c r="P34" s="7"/>
      <c r="Q34" s="21"/>
      <c r="R34" s="21"/>
      <c r="S34" s="21"/>
      <c r="T34" s="21"/>
      <c r="U34" s="5">
        <f t="shared" ref="U34:U65" si="13">IF(OR(AO34="",J34="",AO34&lt;=0),"",(J34-AO34)/AO34)</f>
        <v>0.17096018735363008</v>
      </c>
      <c r="V34" s="5">
        <f t="shared" ref="V34:V65" si="14">IF(OR(AO34="",N34="",AO34&lt;=0),"",(AO34-N34)/AO34)</f>
        <v>6.3231850117095922E-2</v>
      </c>
      <c r="W34" s="23">
        <f t="shared" ref="W34:W65" si="15">IF(OR(U34="",V34="",V34&lt;=0),"",U34/V34)</f>
        <v>2.7037037037037095</v>
      </c>
      <c r="X34" s="3">
        <f t="shared" ref="X34:X65" si="16">IF(OR(K34="",L34="",AO34="",AP34=""),"",(K34-AO34)*L34-IF(O34="",0,O34)-IF(P34="",0,P34))</f>
        <v>-2551.9999999999868</v>
      </c>
      <c r="Y34" s="5">
        <f t="shared" ref="Y34:Y65" si="17">IF(OR(X34="",AO34="",L34=""),"",IF(AO34*L34+IF(O34="",0,O34)&lt;=0,"",X34/(AO34*L34+IF(O34="",0,O34))))</f>
        <v>-2.5761124121779728E-2</v>
      </c>
      <c r="Z34" s="5">
        <f>IF(OR(AE34="",多次统计数据!$B$8=""),"",AE34-多次统计数据!$B$8)</f>
        <v>-9.9177523105735979E-2</v>
      </c>
      <c r="AA34" s="8">
        <f t="shared" ref="AA34:AA65" si="18">IF(OR(I34="",M34="",M34&lt;I34),"",M34-I34)</f>
        <v>12</v>
      </c>
      <c r="AB34" s="5">
        <f>IF(OR(A34="",多次统计数据!$B$8="",多次统计数据!$B$6&lt;=0,多次统计数据!$B$6&gt;=1),"",1-POWER(1+多次统计数据!$B$8,-多次统计数据!$B$6/(1-多次统计数据!$B$6)))</f>
        <v>6.8202299268846023E-2</v>
      </c>
      <c r="AC34" s="6" t="str">
        <f>IF(OR(AB34="",多次统计数据!$B$9=""),"",IF(多次统计数据!$B$9&lt;AB34,"低于上限","达到或超过上限"))</f>
        <v>低于上限</v>
      </c>
      <c r="AD34" s="21"/>
      <c r="AE34" s="5">
        <f t="shared" ref="AE34:AE65" si="19">IF(OR(X34="",C34="",C34&lt;=0),"",X34/C34)</f>
        <v>-8.1476278653980806E-3</v>
      </c>
      <c r="AG34" s="21" t="s">
        <v>45</v>
      </c>
      <c r="AH34" s="21" t="s">
        <v>46</v>
      </c>
      <c r="AI34" s="10" t="s">
        <v>59</v>
      </c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>匹配</v>
      </c>
      <c r="AK34" s="24">
        <f>IF(A34="","",COUNTIFS(加仓管理!$A$2:$A$1001,A34,加仓管理!$G$2:$G$1001,"&gt;0"))</f>
        <v>0</v>
      </c>
      <c r="AL34" s="24">
        <f>IF(A34="","",SUMIFS(加仓管理!$G$2:$G$1001,加仓管理!$A$2:$A$1001,A34))</f>
        <v>0</v>
      </c>
      <c r="AM34" s="25" t="str">
        <f>IF(AK34=0,"",IFERROR(LOOKUP(2,1/((加仓管理!$A$2:$A$1001=A34)*(加仓管理!$G$2:$G$1001&gt;0)),加仓管理!$D$2:$D$1001),""))</f>
        <v/>
      </c>
      <c r="AN34" s="25" t="str">
        <f>IF(AK34=0,"",IFERROR(LOOKUP(2,1/((加仓管理!$A$2:$A$1001=A34)*(加仓管理!$G$2:$G$1001&gt;0)),加仓管理!$E$2:$E$1001),""))</f>
        <v/>
      </c>
      <c r="AO34" s="25">
        <f>IF(OR(A34="",H34="",H34&lt;=0),"",(E34*H34+SUMIFS(加仓管理!$H$2:$H$1001,加仓管理!$A$2:$A$1001,A34))/AP34)</f>
        <v>4.2699999999999996</v>
      </c>
      <c r="AP34" s="24">
        <f t="shared" ref="AP34:AP65" si="21">IF(OR(A34="",H34="",H34&lt;=0),"",H34+AL34)</f>
        <v>23200</v>
      </c>
      <c r="AQ34" s="25">
        <f>IF(A34="","",IF(M34&lt;&gt;"",0,IF(OR(H34="",N34=""),"",MAX((E34*H34+SUMIFS(加仓管理!$H$2:$H$1001,加仓管理!$A$2:$A$1001,A34))-MAX(N34,AN34)*AP34,0))))</f>
        <v>0</v>
      </c>
      <c r="AR34" s="25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通过</v>
      </c>
    </row>
    <row r="35" spans="1:44">
      <c r="A35" s="21">
        <v>34</v>
      </c>
      <c r="B35" s="10" t="s">
        <v>60</v>
      </c>
      <c r="C35" s="7">
        <v>310668</v>
      </c>
      <c r="D35" s="4">
        <v>0.02</v>
      </c>
      <c r="E35" s="7">
        <v>4.88</v>
      </c>
      <c r="F35" s="6">
        <f t="shared" si="11"/>
        <v>27000</v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1">
        <v>27000</v>
      </c>
      <c r="I35" s="22">
        <v>41967</v>
      </c>
      <c r="J35" s="7">
        <v>5.5</v>
      </c>
      <c r="K35" s="7">
        <v>6.15</v>
      </c>
      <c r="L35" s="6">
        <f t="shared" si="12"/>
        <v>43500</v>
      </c>
      <c r="M35" s="22">
        <v>42016</v>
      </c>
      <c r="N35" s="7">
        <v>4.6500000000000004</v>
      </c>
      <c r="O35" s="7"/>
      <c r="P35" s="7"/>
      <c r="Q35" s="21"/>
      <c r="R35" s="21"/>
      <c r="S35" s="21"/>
      <c r="T35" s="21"/>
      <c r="U35" s="5">
        <f t="shared" si="13"/>
        <v>2.8700419219606626E-2</v>
      </c>
      <c r="V35" s="5">
        <f t="shared" si="14"/>
        <v>0.13028055465978705</v>
      </c>
      <c r="W35" s="23">
        <f t="shared" si="15"/>
        <v>0.22029702970297085</v>
      </c>
      <c r="X35" s="3">
        <f t="shared" si="16"/>
        <v>34950.000000000029</v>
      </c>
      <c r="Y35" s="5">
        <f t="shared" si="17"/>
        <v>0.15027410512737838</v>
      </c>
      <c r="Z35" s="5">
        <f>IF(OR(AE35="",多次统计数据!$B$8=""),"",AE35-多次统计数据!$B$8)</f>
        <v>2.1469621929116403E-2</v>
      </c>
      <c r="AA35" s="8">
        <f t="shared" si="18"/>
        <v>49</v>
      </c>
      <c r="AB35" s="5">
        <f>IF(OR(A35="",多次统计数据!$B$8="",多次统计数据!$B$6&lt;=0,多次统计数据!$B$6&gt;=1),"",1-POWER(1+多次统计数据!$B$8,-多次统计数据!$B$6/(1-多次统计数据!$B$6)))</f>
        <v>6.8202299268846023E-2</v>
      </c>
      <c r="AC35" s="6" t="str">
        <f>IF(OR(AB35="",多次统计数据!$B$9=""),"",IF(多次统计数据!$B$9&lt;AB35,"低于上限","达到或超过上限"))</f>
        <v>低于上限</v>
      </c>
      <c r="AD35" s="21"/>
      <c r="AE35" s="5">
        <f t="shared" si="19"/>
        <v>0.11249951716945431</v>
      </c>
      <c r="AG35" s="21" t="s">
        <v>45</v>
      </c>
      <c r="AH35" s="21" t="s">
        <v>46</v>
      </c>
      <c r="AI35" s="10" t="s">
        <v>59</v>
      </c>
      <c r="AJ35" s="6" t="str">
        <f t="shared" si="20"/>
        <v>匹配</v>
      </c>
      <c r="AK35" s="24">
        <f>IF(A35="","",COUNTIFS(加仓管理!$A$2:$A$1001,A35,加仓管理!$G$2:$G$1001,"&gt;0"))</f>
        <v>3</v>
      </c>
      <c r="AL35" s="24">
        <f>IF(A35="","",SUMIFS(加仓管理!$G$2:$G$1001,加仓管理!$A$2:$A$1001,A35))</f>
        <v>16500</v>
      </c>
      <c r="AM35" s="25">
        <f>IF(AK35=0,"",IFERROR(LOOKUP(2,1/((加仓管理!$A$2:$A$1001=A35)*(加仓管理!$G$2:$G$1001&gt;0)),加仓管理!$D$2:$D$1001),""))</f>
        <v>6.61</v>
      </c>
      <c r="AN35" s="25">
        <f>IF(AK35=0,"",IFERROR(LOOKUP(2,1/((加仓管理!$A$2:$A$1001=A35)*(加仓管理!$G$2:$G$1001&gt;0)),加仓管理!$E$2:$E$1001),""))</f>
        <v>6.2</v>
      </c>
      <c r="AO35" s="25">
        <f>IF(OR(A35="",H35="",H35&lt;=0),"",(E35*H35+SUMIFS(加仓管理!$H$2:$H$1001,加仓管理!$A$2:$A$1001,A35))/AP35)</f>
        <v>5.3465517241379308</v>
      </c>
      <c r="AP35" s="24">
        <f t="shared" si="21"/>
        <v>43500</v>
      </c>
      <c r="AQ35" s="25">
        <f>IF(A35="","",IF(M35&lt;&gt;"",0,IF(OR(H35="",N35=""),"",MAX((E35*H35+SUMIFS(加仓管理!$H$2:$H$1001,加仓管理!$A$2:$A$1001,A35))-MAX(N35,AN35)*AP35,0))))</f>
        <v>0</v>
      </c>
      <c r="AR35" s="25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spans="1:44">
      <c r="A36" s="21">
        <v>35</v>
      </c>
      <c r="B36" s="10" t="s">
        <v>60</v>
      </c>
      <c r="C36" s="7">
        <v>345618</v>
      </c>
      <c r="D36" s="4">
        <v>0.02</v>
      </c>
      <c r="E36" s="7">
        <v>6.98</v>
      </c>
      <c r="F36" s="6">
        <f t="shared" si="11"/>
        <v>14400</v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1">
        <v>14400</v>
      </c>
      <c r="I36" s="22">
        <v>42041</v>
      </c>
      <c r="J36" s="7">
        <v>8</v>
      </c>
      <c r="K36" s="7">
        <v>9.09</v>
      </c>
      <c r="L36" s="6">
        <f t="shared" si="12"/>
        <v>43200</v>
      </c>
      <c r="M36" s="22">
        <v>42122</v>
      </c>
      <c r="N36" s="7">
        <v>6.5</v>
      </c>
      <c r="O36" s="7"/>
      <c r="P36" s="7"/>
      <c r="Q36" s="21"/>
      <c r="R36" s="21"/>
      <c r="S36" s="21"/>
      <c r="T36" s="21"/>
      <c r="U36" s="5">
        <f t="shared" si="13"/>
        <v>-1.5586546349466808E-2</v>
      </c>
      <c r="V36" s="5">
        <f t="shared" si="14"/>
        <v>0.20016406890894178</v>
      </c>
      <c r="W36" s="23">
        <f t="shared" si="15"/>
        <v>-7.7868852459016535E-2</v>
      </c>
      <c r="X36" s="3">
        <f t="shared" si="16"/>
        <v>41615.999999999985</v>
      </c>
      <c r="Y36" s="5">
        <f t="shared" si="17"/>
        <v>0.11853978671041833</v>
      </c>
      <c r="Z36" s="5">
        <f>IF(OR(AE36="",多次统计数据!$B$8=""),"",AE36-多次统计数据!$B$8)</f>
        <v>2.938050005157393E-2</v>
      </c>
      <c r="AA36" s="8">
        <f t="shared" si="18"/>
        <v>81</v>
      </c>
      <c r="AB36" s="5">
        <f>IF(OR(A36="",多次统计数据!$B$8="",多次统计数据!$B$6&lt;=0,多次统计数据!$B$6&gt;=1),"",1-POWER(1+多次统计数据!$B$8,-多次统计数据!$B$6/(1-多次统计数据!$B$6)))</f>
        <v>6.8202299268846023E-2</v>
      </c>
      <c r="AC36" s="6" t="str">
        <f>IF(OR(AB36="",多次统计数据!$B$9=""),"",IF(多次统计数据!$B$9&lt;AB36,"低于上限","达到或超过上限"))</f>
        <v>低于上限</v>
      </c>
      <c r="AD36" s="21"/>
      <c r="AE36" s="5">
        <f t="shared" si="19"/>
        <v>0.12041039529191183</v>
      </c>
      <c r="AG36" s="21" t="s">
        <v>45</v>
      </c>
      <c r="AH36" s="21" t="s">
        <v>46</v>
      </c>
      <c r="AI36" s="10" t="s">
        <v>59</v>
      </c>
      <c r="AJ36" s="6" t="str">
        <f t="shared" si="20"/>
        <v>匹配</v>
      </c>
      <c r="AK36" s="24">
        <f>IF(A36="","",COUNTIFS(加仓管理!$A$2:$A$1001,A36,加仓管理!$G$2:$G$1001,"&gt;0"))</f>
        <v>2</v>
      </c>
      <c r="AL36" s="24">
        <f>IF(A36="","",SUMIFS(加仓管理!$G$2:$G$1001,加仓管理!$A$2:$A$1001,A36))</f>
        <v>28800</v>
      </c>
      <c r="AM36" s="25">
        <f>IF(AK36=0,"",IFERROR(LOOKUP(2,1/((加仓管理!$A$2:$A$1001=A36)*(加仓管理!$G$2:$G$1001&gt;0)),加仓管理!$D$2:$D$1001),""))</f>
        <v>9.18</v>
      </c>
      <c r="AN36" s="25">
        <f>IF(AK36=0,"",IFERROR(LOOKUP(2,1/((加仓管理!$A$2:$A$1001=A36)*(加仓管理!$G$2:$G$1001&gt;0)),加仓管理!$E$2:$E$1001),""))</f>
        <v>8.5</v>
      </c>
      <c r="AO36" s="25">
        <f>IF(OR(A36="",H36="",H36&lt;=0),"",(E36*H36+SUMIFS(加仓管理!$H$2:$H$1001,加仓管理!$A$2:$A$1001,A36))/AP36)</f>
        <v>8.1266666666666669</v>
      </c>
      <c r="AP36" s="24">
        <f t="shared" si="21"/>
        <v>43200</v>
      </c>
      <c r="AQ36" s="25">
        <f>IF(A36="","",IF(M36&lt;&gt;"",0,IF(OR(H36="",N36=""),"",MAX((E36*H36+SUMIFS(加仓管理!$H$2:$H$1001,加仓管理!$A$2:$A$1001,A36))-MAX(N36,AN36)*AP36,0))))</f>
        <v>0</v>
      </c>
      <c r="AR36" s="25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spans="1:44">
      <c r="A37" s="21">
        <v>36</v>
      </c>
      <c r="B37" s="10" t="s">
        <v>60</v>
      </c>
      <c r="C37" s="7">
        <v>387234</v>
      </c>
      <c r="D37" s="4">
        <v>0.02</v>
      </c>
      <c r="E37" s="7">
        <v>10.220000000000001</v>
      </c>
      <c r="F37" s="6">
        <f t="shared" si="11"/>
        <v>10700</v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1">
        <v>10700</v>
      </c>
      <c r="I37" s="22">
        <v>42149</v>
      </c>
      <c r="J37" s="7">
        <v>12</v>
      </c>
      <c r="K37" s="7">
        <v>8.94</v>
      </c>
      <c r="L37" s="6">
        <f t="shared" si="12"/>
        <v>10700</v>
      </c>
      <c r="M37" s="22">
        <v>42152</v>
      </c>
      <c r="N37" s="7">
        <v>9.5</v>
      </c>
      <c r="O37" s="7"/>
      <c r="P37" s="7"/>
      <c r="Q37" s="21"/>
      <c r="R37" s="21"/>
      <c r="S37" s="21"/>
      <c r="T37" s="21"/>
      <c r="U37" s="5">
        <f t="shared" si="13"/>
        <v>0.17416829745596862</v>
      </c>
      <c r="V37" s="5">
        <f t="shared" si="14"/>
        <v>7.0450097847358173E-2</v>
      </c>
      <c r="W37" s="23">
        <f t="shared" si="15"/>
        <v>2.4722222222222197</v>
      </c>
      <c r="X37" s="3">
        <f t="shared" si="16"/>
        <v>-13696.000000000013</v>
      </c>
      <c r="Y37" s="5">
        <f t="shared" si="17"/>
        <v>-0.12524461839530343</v>
      </c>
      <c r="Z37" s="5">
        <f>IF(OR(AE37="",多次统计数据!$B$8=""),"",AE37-多次统计数据!$B$8)</f>
        <v>-0.12639869033580992</v>
      </c>
      <c r="AA37" s="8">
        <f t="shared" si="18"/>
        <v>3</v>
      </c>
      <c r="AB37" s="5">
        <f>IF(OR(A37="",多次统计数据!$B$8="",多次统计数据!$B$6&lt;=0,多次统计数据!$B$6&gt;=1),"",1-POWER(1+多次统计数据!$B$8,-多次统计数据!$B$6/(1-多次统计数据!$B$6)))</f>
        <v>6.8202299268846023E-2</v>
      </c>
      <c r="AC37" s="6" t="str">
        <f>IF(OR(AB37="",多次统计数据!$B$9=""),"",IF(多次统计数据!$B$9&lt;AB37,"低于上限","达到或超过上限"))</f>
        <v>低于上限</v>
      </c>
      <c r="AD37" s="21"/>
      <c r="AE37" s="5">
        <f t="shared" si="19"/>
        <v>-3.5368795095472021E-2</v>
      </c>
      <c r="AG37" s="21" t="s">
        <v>45</v>
      </c>
      <c r="AH37" s="21" t="s">
        <v>46</v>
      </c>
      <c r="AI37" s="10" t="s">
        <v>59</v>
      </c>
      <c r="AJ37" s="6" t="str">
        <f t="shared" si="20"/>
        <v>匹配</v>
      </c>
      <c r="AK37" s="24">
        <f>IF(A37="","",COUNTIFS(加仓管理!$A$2:$A$1001,A37,加仓管理!$G$2:$G$1001,"&gt;0"))</f>
        <v>0</v>
      </c>
      <c r="AL37" s="24">
        <f>IF(A37="","",SUMIFS(加仓管理!$G$2:$G$1001,加仓管理!$A$2:$A$1001,A37))</f>
        <v>0</v>
      </c>
      <c r="AM37" s="25" t="str">
        <f>IF(AK37=0,"",IFERROR(LOOKUP(2,1/((加仓管理!$A$2:$A$1001=A37)*(加仓管理!$G$2:$G$1001&gt;0)),加仓管理!$D$2:$D$1001),""))</f>
        <v/>
      </c>
      <c r="AN37" s="25" t="str">
        <f>IF(AK37=0,"",IFERROR(LOOKUP(2,1/((加仓管理!$A$2:$A$1001=A37)*(加仓管理!$G$2:$G$1001&gt;0)),加仓管理!$E$2:$E$1001),""))</f>
        <v/>
      </c>
      <c r="AO37" s="25">
        <f>IF(OR(A37="",H37="",H37&lt;=0),"",(E37*H37+SUMIFS(加仓管理!$H$2:$H$1001,加仓管理!$A$2:$A$1001,A37))/AP37)</f>
        <v>10.220000000000001</v>
      </c>
      <c r="AP37" s="24">
        <f t="shared" si="21"/>
        <v>10700</v>
      </c>
      <c r="AQ37" s="25">
        <f>IF(A37="","",IF(M37&lt;&gt;"",0,IF(OR(H37="",N37=""),"",MAX((E37*H37+SUMIFS(加仓管理!$H$2:$H$1001,加仓管理!$A$2:$A$1001,A37))-MAX(N37,AN37)*AP37,0))))</f>
        <v>0</v>
      </c>
      <c r="AR37" s="25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通过</v>
      </c>
    </row>
    <row r="38" spans="1:44" s="20" customFormat="1">
      <c r="A38" s="26">
        <v>37</v>
      </c>
      <c r="B38" s="27" t="s">
        <v>60</v>
      </c>
      <c r="C38" s="28">
        <v>373538</v>
      </c>
      <c r="D38" s="29">
        <v>0.02</v>
      </c>
      <c r="E38" s="28">
        <v>11.09</v>
      </c>
      <c r="F38" s="30">
        <f t="shared" si="11"/>
        <v>12600</v>
      </c>
      <c r="G38" s="30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6">
        <v>12600</v>
      </c>
      <c r="I38" s="31">
        <v>42160</v>
      </c>
      <c r="J38" s="28">
        <v>12.5</v>
      </c>
      <c r="K38" s="28">
        <v>9.65</v>
      </c>
      <c r="L38" s="30">
        <f t="shared" si="12"/>
        <v>12600</v>
      </c>
      <c r="M38" s="31">
        <v>42171</v>
      </c>
      <c r="N38" s="28">
        <v>10.5</v>
      </c>
      <c r="O38" s="28"/>
      <c r="P38" s="28"/>
      <c r="Q38" s="26"/>
      <c r="R38" s="26"/>
      <c r="S38" s="26"/>
      <c r="T38" s="26"/>
      <c r="U38" s="32">
        <f t="shared" si="13"/>
        <v>0.12714156898106405</v>
      </c>
      <c r="V38" s="32">
        <f t="shared" si="14"/>
        <v>5.3201082055906207E-2</v>
      </c>
      <c r="W38" s="33">
        <f t="shared" si="15"/>
        <v>2.3898305084745775</v>
      </c>
      <c r="X38" s="34">
        <f t="shared" si="16"/>
        <v>-18143.999999999993</v>
      </c>
      <c r="Y38" s="32">
        <f t="shared" si="17"/>
        <v>-0.12984670874661852</v>
      </c>
      <c r="Z38" s="32">
        <f>IF(OR(AE38="",多次统计数据!$B$8=""),"",AE38-多次统计数据!$B$8)</f>
        <v>-0.13960326662423991</v>
      </c>
      <c r="AA38" s="35">
        <f t="shared" si="18"/>
        <v>11</v>
      </c>
      <c r="AB38" s="32">
        <f>IF(OR(A38="",多次统计数据!$B$8="",多次统计数据!$B$6&lt;=0,多次统计数据!$B$6&gt;=1),"",1-POWER(1+多次统计数据!$B$8,-多次统计数据!$B$6/(1-多次统计数据!$B$6)))</f>
        <v>6.8202299268846023E-2</v>
      </c>
      <c r="AC38" s="30" t="str">
        <f>IF(OR(AB38="",多次统计数据!$B$9=""),"",IF(多次统计数据!$B$9&lt;AB38,"低于上限","达到或超过上限"))</f>
        <v>低于上限</v>
      </c>
      <c r="AD38" s="26"/>
      <c r="AE38" s="32">
        <f t="shared" si="19"/>
        <v>-4.8573371383902018E-2</v>
      </c>
      <c r="AG38" s="26" t="s">
        <v>45</v>
      </c>
      <c r="AH38" s="26" t="s">
        <v>46</v>
      </c>
      <c r="AI38" s="27" t="s">
        <v>59</v>
      </c>
      <c r="AJ38" s="30" t="str">
        <f t="shared" si="20"/>
        <v>匹配</v>
      </c>
      <c r="AK38" s="36">
        <f>IF(A38="","",COUNTIFS(加仓管理!$A$2:$A$1001,A38,加仓管理!$G$2:$G$1001,"&gt;0"))</f>
        <v>0</v>
      </c>
      <c r="AL38" s="36">
        <f>IF(A38="","",SUMIFS(加仓管理!$G$2:$G$1001,加仓管理!$A$2:$A$1001,A38))</f>
        <v>0</v>
      </c>
      <c r="AM38" s="37" t="str">
        <f>IF(AK38=0,"",IFERROR(LOOKUP(2,1/((加仓管理!$A$2:$A$1001=A38)*(加仓管理!$G$2:$G$1001&gt;0)),加仓管理!$D$2:$D$1001),""))</f>
        <v/>
      </c>
      <c r="AN38" s="37" t="str">
        <f>IF(AK38=0,"",IFERROR(LOOKUP(2,1/((加仓管理!$A$2:$A$1001=A38)*(加仓管理!$G$2:$G$1001&gt;0)),加仓管理!$E$2:$E$1001),""))</f>
        <v/>
      </c>
      <c r="AO38" s="37">
        <f>IF(OR(A38="",H38="",H38&lt;=0),"",(E38*H38+SUMIFS(加仓管理!$H$2:$H$1001,加仓管理!$A$2:$A$1001,A38))/AP38)</f>
        <v>11.09</v>
      </c>
      <c r="AP38" s="36">
        <f t="shared" si="21"/>
        <v>12600</v>
      </c>
      <c r="AQ38" s="37">
        <f>IF(A38="","",IF(M38&lt;&gt;"",0,IF(OR(H38="",N38=""),"",MAX((E38*H38+SUMIFS(加仓管理!$H$2:$H$1001,加仓管理!$A$2:$A$1001,A38))-MAX(N38,AN38)*AP38,0))))</f>
        <v>0</v>
      </c>
      <c r="AR38" s="37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spans="1:44">
      <c r="A39" s="21">
        <v>38</v>
      </c>
      <c r="B39" s="10" t="s">
        <v>60</v>
      </c>
      <c r="C39" s="7">
        <v>355394</v>
      </c>
      <c r="D39" s="4">
        <v>0.02</v>
      </c>
      <c r="E39" s="7">
        <v>4.33</v>
      </c>
      <c r="F39" s="6">
        <f t="shared" si="11"/>
        <v>21500</v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1">
        <v>21500</v>
      </c>
      <c r="I39" s="22">
        <v>42702</v>
      </c>
      <c r="J39" s="7">
        <v>5</v>
      </c>
      <c r="K39" s="7">
        <v>4.1900000000000004</v>
      </c>
      <c r="L39" s="6">
        <f t="shared" si="12"/>
        <v>21500</v>
      </c>
      <c r="M39" s="22">
        <v>42710</v>
      </c>
      <c r="N39" s="7">
        <v>4</v>
      </c>
      <c r="O39" s="7"/>
      <c r="P39" s="7"/>
      <c r="Q39" s="21"/>
      <c r="R39" s="21"/>
      <c r="S39" s="21"/>
      <c r="T39" s="21"/>
      <c r="U39" s="5">
        <f t="shared" si="13"/>
        <v>0.15473441108545033</v>
      </c>
      <c r="V39" s="5">
        <f t="shared" si="14"/>
        <v>7.6212471131639745E-2</v>
      </c>
      <c r="W39" s="23">
        <f t="shared" si="15"/>
        <v>2.0303030303030294</v>
      </c>
      <c r="X39" s="3">
        <f t="shared" si="16"/>
        <v>-3009.9999999999932</v>
      </c>
      <c r="Y39" s="5">
        <f t="shared" si="17"/>
        <v>-3.2332563510392535E-2</v>
      </c>
      <c r="Z39" s="5">
        <f>IF(OR(AE39="",多次统计数据!$B$8=""),"",AE39-多次统计数据!$B$8)</f>
        <v>-9.9499368557276271E-2</v>
      </c>
      <c r="AA39" s="8">
        <f t="shared" si="18"/>
        <v>8</v>
      </c>
      <c r="AB39" s="5">
        <f>IF(OR(A39="",多次统计数据!$B$8="",多次统计数据!$B$6&lt;=0,多次统计数据!$B$6&gt;=1),"",1-POWER(1+多次统计数据!$B$8,-多次统计数据!$B$6/(1-多次统计数据!$B$6)))</f>
        <v>6.8202299268846023E-2</v>
      </c>
      <c r="AC39" s="6" t="str">
        <f>IF(OR(AB39="",多次统计数据!$B$9=""),"",IF(多次统计数据!$B$9&lt;AB39,"低于上限","达到或超过上限"))</f>
        <v>低于上限</v>
      </c>
      <c r="AD39" s="21"/>
      <c r="AE39" s="5">
        <f t="shared" si="19"/>
        <v>-8.4694733169383644E-3</v>
      </c>
      <c r="AG39" s="21" t="s">
        <v>50</v>
      </c>
      <c r="AH39" s="21" t="s">
        <v>58</v>
      </c>
      <c r="AI39" s="10" t="s">
        <v>59</v>
      </c>
      <c r="AJ39" s="6" t="str">
        <f t="shared" si="20"/>
        <v>匹配</v>
      </c>
      <c r="AK39" s="24">
        <f>IF(A39="","",COUNTIFS(加仓管理!$A$2:$A$1001,A39,加仓管理!$G$2:$G$1001,"&gt;0"))</f>
        <v>0</v>
      </c>
      <c r="AL39" s="24">
        <f>IF(A39="","",SUMIFS(加仓管理!$G$2:$G$1001,加仓管理!$A$2:$A$1001,A39))</f>
        <v>0</v>
      </c>
      <c r="AM39" s="25" t="str">
        <f>IF(AK39=0,"",IFERROR(LOOKUP(2,1/((加仓管理!$A$2:$A$1001=A39)*(加仓管理!$G$2:$G$1001&gt;0)),加仓管理!$D$2:$D$1001),""))</f>
        <v/>
      </c>
      <c r="AN39" s="25" t="str">
        <f>IF(AK39=0,"",IFERROR(LOOKUP(2,1/((加仓管理!$A$2:$A$1001=A39)*(加仓管理!$G$2:$G$1001&gt;0)),加仓管理!$E$2:$E$1001),""))</f>
        <v/>
      </c>
      <c r="AO39" s="25">
        <f>IF(OR(A39="",H39="",H39&lt;=0),"",(E39*H39+SUMIFS(加仓管理!$H$2:$H$1001,加仓管理!$A$2:$A$1001,A39))/AP39)</f>
        <v>4.33</v>
      </c>
      <c r="AP39" s="24">
        <f t="shared" si="21"/>
        <v>21500</v>
      </c>
      <c r="AQ39" s="25">
        <f>IF(A39="","",IF(M39&lt;&gt;"",0,IF(OR(H39="",N39=""),"",MAX((E39*H39+SUMIFS(加仓管理!$H$2:$H$1001,加仓管理!$A$2:$A$1001,A39))-MAX(N39,AN39)*AP39,0))))</f>
        <v>0</v>
      </c>
      <c r="AR39" s="25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spans="1:44">
      <c r="A40" s="21">
        <v>39</v>
      </c>
      <c r="B40" s="10" t="s">
        <v>60</v>
      </c>
      <c r="C40" s="7">
        <v>352384</v>
      </c>
      <c r="D40" s="4">
        <v>0.02</v>
      </c>
      <c r="E40" s="7">
        <v>4.79</v>
      </c>
      <c r="F40" s="6">
        <f t="shared" si="11"/>
        <v>18000</v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1">
        <v>18000</v>
      </c>
      <c r="I40" s="22">
        <v>42780</v>
      </c>
      <c r="J40" s="7">
        <v>5.5</v>
      </c>
      <c r="K40" s="7">
        <v>4.79</v>
      </c>
      <c r="L40" s="6">
        <f t="shared" si="12"/>
        <v>18000</v>
      </c>
      <c r="M40" s="22">
        <v>42800</v>
      </c>
      <c r="N40" s="7">
        <v>4.4000000000000004</v>
      </c>
      <c r="O40" s="7"/>
      <c r="P40" s="7"/>
      <c r="Q40" s="21"/>
      <c r="R40" s="21"/>
      <c r="S40" s="21"/>
      <c r="T40" s="21"/>
      <c r="U40" s="5">
        <f t="shared" si="13"/>
        <v>0.14822546972860123</v>
      </c>
      <c r="V40" s="5">
        <f t="shared" si="14"/>
        <v>8.141962421711893E-2</v>
      </c>
      <c r="W40" s="23">
        <f t="shared" si="15"/>
        <v>1.8205128205128218</v>
      </c>
      <c r="X40" s="3">
        <f t="shared" si="16"/>
        <v>0</v>
      </c>
      <c r="Y40" s="5">
        <f t="shared" si="17"/>
        <v>0</v>
      </c>
      <c r="Z40" s="5">
        <f>IF(OR(AE40="",多次统计数据!$B$8=""),"",AE40-多次统计数据!$B$8)</f>
        <v>-9.1029895240337902E-2</v>
      </c>
      <c r="AA40" s="8">
        <f t="shared" si="18"/>
        <v>20</v>
      </c>
      <c r="AB40" s="5">
        <f>IF(OR(A40="",多次统计数据!$B$8="",多次统计数据!$B$6&lt;=0,多次统计数据!$B$6&gt;=1),"",1-POWER(1+多次统计数据!$B$8,-多次统计数据!$B$6/(1-多次统计数据!$B$6)))</f>
        <v>6.8202299268846023E-2</v>
      </c>
      <c r="AC40" s="6" t="str">
        <f>IF(OR(AB40="",多次统计数据!$B$9=""),"",IF(多次统计数据!$B$9&lt;AB40,"低于上限","达到或超过上限"))</f>
        <v>低于上限</v>
      </c>
      <c r="AD40" s="21"/>
      <c r="AE40" s="5">
        <f t="shared" si="19"/>
        <v>0</v>
      </c>
      <c r="AG40" s="21" t="s">
        <v>50</v>
      </c>
      <c r="AH40" s="21" t="s">
        <v>58</v>
      </c>
      <c r="AI40" s="10" t="s">
        <v>59</v>
      </c>
      <c r="AJ40" s="6" t="str">
        <f t="shared" si="20"/>
        <v>匹配</v>
      </c>
      <c r="AK40" s="24">
        <f>IF(A40="","",COUNTIFS(加仓管理!$A$2:$A$1001,A40,加仓管理!$G$2:$G$1001,"&gt;0"))</f>
        <v>0</v>
      </c>
      <c r="AL40" s="24">
        <f>IF(A40="","",SUMIFS(加仓管理!$G$2:$G$1001,加仓管理!$A$2:$A$1001,A40))</f>
        <v>0</v>
      </c>
      <c r="AM40" s="25" t="str">
        <f>IF(AK40=0,"",IFERROR(LOOKUP(2,1/((加仓管理!$A$2:$A$1001=A40)*(加仓管理!$G$2:$G$1001&gt;0)),加仓管理!$D$2:$D$1001),""))</f>
        <v/>
      </c>
      <c r="AN40" s="25" t="str">
        <f>IF(AK40=0,"",IFERROR(LOOKUP(2,1/((加仓管理!$A$2:$A$1001=A40)*(加仓管理!$G$2:$G$1001&gt;0)),加仓管理!$E$2:$E$1001),""))</f>
        <v/>
      </c>
      <c r="AO40" s="25">
        <f>IF(OR(A40="",H40="",H40&lt;=0),"",(E40*H40+SUMIFS(加仓管理!$H$2:$H$1001,加仓管理!$A$2:$A$1001,A40))/AP40)</f>
        <v>4.79</v>
      </c>
      <c r="AP40" s="24">
        <f t="shared" si="21"/>
        <v>18000</v>
      </c>
      <c r="AQ40" s="25">
        <f>IF(A40="","",IF(M40&lt;&gt;"",0,IF(OR(H40="",N40=""),"",MAX((E40*H40+SUMIFS(加仓管理!$H$2:$H$1001,加仓管理!$A$2:$A$1001,A40))-MAX(N40,AN40)*AP40,0))))</f>
        <v>0</v>
      </c>
      <c r="AR40" s="25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spans="1:44">
      <c r="A41" s="21">
        <v>40</v>
      </c>
      <c r="B41" s="10" t="s">
        <v>60</v>
      </c>
      <c r="C41" s="7">
        <v>352384</v>
      </c>
      <c r="D41" s="4">
        <v>0.02</v>
      </c>
      <c r="E41" s="7">
        <v>5.28</v>
      </c>
      <c r="F41" s="6">
        <f t="shared" si="11"/>
        <v>16300</v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1">
        <v>16300</v>
      </c>
      <c r="I41" s="22">
        <v>42823</v>
      </c>
      <c r="J41" s="7">
        <v>6</v>
      </c>
      <c r="K41" s="7">
        <v>5.6</v>
      </c>
      <c r="L41" s="6">
        <f t="shared" si="12"/>
        <v>31300</v>
      </c>
      <c r="M41" s="22">
        <v>42846</v>
      </c>
      <c r="N41" s="7">
        <v>4.8499999999999996</v>
      </c>
      <c r="O41" s="7"/>
      <c r="P41" s="7"/>
      <c r="Q41" s="21"/>
      <c r="R41" s="21"/>
      <c r="S41" s="21"/>
      <c r="T41" s="21"/>
      <c r="U41" s="5">
        <f t="shared" si="13"/>
        <v>5.0547090018124421E-2</v>
      </c>
      <c r="V41" s="5">
        <f t="shared" si="14"/>
        <v>0.15080776890201616</v>
      </c>
      <c r="W41" s="23">
        <f t="shared" si="15"/>
        <v>0.33517563707852621</v>
      </c>
      <c r="X41" s="3">
        <f t="shared" si="16"/>
        <v>-3484.0000000000168</v>
      </c>
      <c r="Y41" s="5">
        <f t="shared" si="17"/>
        <v>-1.9489382649750604E-2</v>
      </c>
      <c r="Z41" s="5">
        <f>IF(OR(AE41="",多次统计数据!$B$8=""),"",AE41-多次统计数据!$B$8)</f>
        <v>-0.10091683675868157</v>
      </c>
      <c r="AA41" s="8">
        <f t="shared" si="18"/>
        <v>23</v>
      </c>
      <c r="AB41" s="5">
        <f>IF(OR(A41="",多次统计数据!$B$8="",多次统计数据!$B$6&lt;=0,多次统计数据!$B$6&gt;=1),"",1-POWER(1+多次统计数据!$B$8,-多次统计数据!$B$6/(1-多次统计数据!$B$6)))</f>
        <v>6.8202299268846023E-2</v>
      </c>
      <c r="AC41" s="6" t="str">
        <f>IF(OR(AB41="",多次统计数据!$B$9=""),"",IF(多次统计数据!$B$9&lt;AB41,"低于上限","达到或超过上限"))</f>
        <v>低于上限</v>
      </c>
      <c r="AD41" s="21"/>
      <c r="AE41" s="5">
        <f t="shared" si="19"/>
        <v>-9.8869415183436733E-3</v>
      </c>
      <c r="AG41" s="21" t="s">
        <v>50</v>
      </c>
      <c r="AH41" s="21" t="s">
        <v>58</v>
      </c>
      <c r="AI41" s="10" t="s">
        <v>59</v>
      </c>
      <c r="AJ41" s="6" t="str">
        <f t="shared" si="20"/>
        <v>匹配</v>
      </c>
      <c r="AK41" s="24">
        <f>IF(A41="","",COUNTIFS(加仓管理!$A$2:$A$1001,A41,加仓管理!$G$2:$G$1001,"&gt;0"))</f>
        <v>1</v>
      </c>
      <c r="AL41" s="24">
        <f>IF(A41="","",SUMIFS(加仓管理!$G$2:$G$1001,加仓管理!$A$2:$A$1001,A41))</f>
        <v>15000</v>
      </c>
      <c r="AM41" s="25">
        <f>IF(AK41=0,"",IFERROR(LOOKUP(2,1/((加仓管理!$A$2:$A$1001=A41)*(加仓管理!$G$2:$G$1001&gt;0)),加仓管理!$D$2:$D$1001),""))</f>
        <v>6.18</v>
      </c>
      <c r="AN41" s="25">
        <f>IF(AK41=0,"",IFERROR(LOOKUP(2,1/((加仓管理!$A$2:$A$1001=A41)*(加仓管理!$G$2:$G$1001&gt;0)),加仓管理!$E$2:$E$1001),""))</f>
        <v>5.8</v>
      </c>
      <c r="AO41" s="25">
        <f>IF(OR(A41="",H41="",H41&lt;=0),"",(E41*H41+SUMIFS(加仓管理!$H$2:$H$1001,加仓管理!$A$2:$A$1001,A41))/AP41)</f>
        <v>5.7113099041533548</v>
      </c>
      <c r="AP41" s="24">
        <f t="shared" si="21"/>
        <v>31300</v>
      </c>
      <c r="AQ41" s="25">
        <f>IF(A41="","",IF(M41&lt;&gt;"",0,IF(OR(H41="",N41=""),"",MAX((E41*H41+SUMIFS(加仓管理!$H$2:$H$1001,加仓管理!$A$2:$A$1001,A41))-MAX(N41,AN41)*AP41,0))))</f>
        <v>0</v>
      </c>
      <c r="AR41" s="25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通过</v>
      </c>
    </row>
    <row r="42" spans="1:44">
      <c r="A42" s="21">
        <v>41</v>
      </c>
      <c r="B42" s="10" t="s">
        <v>60</v>
      </c>
      <c r="C42" s="7">
        <v>348900</v>
      </c>
      <c r="D42" s="4">
        <v>0.02</v>
      </c>
      <c r="E42" s="7">
        <v>5.85</v>
      </c>
      <c r="F42" s="6">
        <f t="shared" si="11"/>
        <v>19900</v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1">
        <v>19900</v>
      </c>
      <c r="I42" s="22">
        <v>42968</v>
      </c>
      <c r="J42" s="7">
        <v>6.5</v>
      </c>
      <c r="K42" s="7">
        <v>5.44</v>
      </c>
      <c r="L42" s="6">
        <f t="shared" si="12"/>
        <v>19900</v>
      </c>
      <c r="M42" s="22">
        <v>43056</v>
      </c>
      <c r="N42" s="7">
        <v>5.5</v>
      </c>
      <c r="O42" s="7"/>
      <c r="P42" s="7"/>
      <c r="Q42" s="21"/>
      <c r="R42" s="21"/>
      <c r="S42" s="21"/>
      <c r="T42" s="21"/>
      <c r="U42" s="5">
        <f t="shared" si="13"/>
        <v>0.11111111111111117</v>
      </c>
      <c r="V42" s="5">
        <f t="shared" si="14"/>
        <v>5.9829059829059769E-2</v>
      </c>
      <c r="W42" s="23">
        <f t="shared" si="15"/>
        <v>1.8571428571428601</v>
      </c>
      <c r="X42" s="3">
        <f t="shared" si="16"/>
        <v>-8158.9999999999854</v>
      </c>
      <c r="Y42" s="5">
        <f t="shared" si="17"/>
        <v>-7.0085470085469961E-2</v>
      </c>
      <c r="Z42" s="5">
        <f>IF(OR(AE42="",多次统计数据!$B$8=""),"",AE42-多次统计数据!$B$8)</f>
        <v>-0.11441481928734273</v>
      </c>
      <c r="AA42" s="8">
        <f t="shared" si="18"/>
        <v>88</v>
      </c>
      <c r="AB42" s="5">
        <f>IF(OR(A42="",多次统计数据!$B$8="",多次统计数据!$B$6&lt;=0,多次统计数据!$B$6&gt;=1),"",1-POWER(1+多次统计数据!$B$8,-多次统计数据!$B$6/(1-多次统计数据!$B$6)))</f>
        <v>6.8202299268846023E-2</v>
      </c>
      <c r="AC42" s="6" t="str">
        <f>IF(OR(AB42="",多次统计数据!$B$9=""),"",IF(多次统计数据!$B$9&lt;AB42,"低于上限","达到或超过上限"))</f>
        <v>低于上限</v>
      </c>
      <c r="AD42" s="21"/>
      <c r="AE42" s="5">
        <f t="shared" si="19"/>
        <v>-2.3384924047004832E-2</v>
      </c>
      <c r="AG42" s="21" t="s">
        <v>45</v>
      </c>
      <c r="AH42" s="21" t="s">
        <v>46</v>
      </c>
      <c r="AI42" s="10" t="s">
        <v>59</v>
      </c>
      <c r="AJ42" s="6" t="str">
        <f t="shared" si="20"/>
        <v>匹配</v>
      </c>
      <c r="AK42" s="24">
        <f>IF(A42="","",COUNTIFS(加仓管理!$A$2:$A$1001,A42,加仓管理!$G$2:$G$1001,"&gt;0"))</f>
        <v>0</v>
      </c>
      <c r="AL42" s="24">
        <f>IF(A42="","",SUMIFS(加仓管理!$G$2:$G$1001,加仓管理!$A$2:$A$1001,A42))</f>
        <v>0</v>
      </c>
      <c r="AM42" s="25" t="str">
        <f>IF(AK42=0,"",IFERROR(LOOKUP(2,1/((加仓管理!$A$2:$A$1001=A42)*(加仓管理!$G$2:$G$1001&gt;0)),加仓管理!$D$2:$D$1001),""))</f>
        <v/>
      </c>
      <c r="AN42" s="25" t="str">
        <f>IF(AK42=0,"",IFERROR(LOOKUP(2,1/((加仓管理!$A$2:$A$1001=A42)*(加仓管理!$G$2:$G$1001&gt;0)),加仓管理!$E$2:$E$1001),""))</f>
        <v/>
      </c>
      <c r="AO42" s="25">
        <f>IF(OR(A42="",H42="",H42&lt;=0),"",(E42*H42+SUMIFS(加仓管理!$H$2:$H$1001,加仓管理!$A$2:$A$1001,A42))/AP42)</f>
        <v>5.85</v>
      </c>
      <c r="AP42" s="24">
        <f t="shared" si="21"/>
        <v>19900</v>
      </c>
      <c r="AQ42" s="25">
        <f>IF(A42="","",IF(M42&lt;&gt;"",0,IF(OR(H42="",N42=""),"",MAX((E42*H42+SUMIFS(加仓管理!$H$2:$H$1001,加仓管理!$A$2:$A$1001,A42))-MAX(N42,AN42)*AP42,0))))</f>
        <v>0</v>
      </c>
      <c r="AR42" s="25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spans="1:44">
      <c r="A43" s="21">
        <v>42</v>
      </c>
      <c r="B43" s="10" t="s">
        <v>60</v>
      </c>
      <c r="C43" s="7">
        <v>340741</v>
      </c>
      <c r="D43" s="4">
        <v>0.02</v>
      </c>
      <c r="E43" s="7">
        <v>3.27</v>
      </c>
      <c r="F43" s="6">
        <f t="shared" si="11"/>
        <v>25200</v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1">
        <v>25200</v>
      </c>
      <c r="I43" s="22">
        <v>43515</v>
      </c>
      <c r="J43" s="7">
        <v>4</v>
      </c>
      <c r="K43" s="7">
        <v>3.44</v>
      </c>
      <c r="L43" s="6">
        <f t="shared" si="12"/>
        <v>42600</v>
      </c>
      <c r="M43" s="22">
        <v>43532</v>
      </c>
      <c r="N43" s="7">
        <v>3</v>
      </c>
      <c r="O43" s="7"/>
      <c r="P43" s="7"/>
      <c r="Q43" s="21"/>
      <c r="R43" s="21"/>
      <c r="S43" s="21"/>
      <c r="T43" s="21"/>
      <c r="U43" s="5">
        <f t="shared" si="13"/>
        <v>0.15951496345894742</v>
      </c>
      <c r="V43" s="5">
        <f t="shared" si="14"/>
        <v>0.13036377740578944</v>
      </c>
      <c r="W43" s="23">
        <f t="shared" si="15"/>
        <v>1.2236141559661755</v>
      </c>
      <c r="X43" s="3">
        <f t="shared" si="16"/>
        <v>-414.00000000000796</v>
      </c>
      <c r="Y43" s="5">
        <f t="shared" si="17"/>
        <v>-2.8171314253052433E-3</v>
      </c>
      <c r="Z43" s="5">
        <f>IF(OR(AE43="",多次统计数据!$B$8=""),"",AE43-多次统计数据!$B$8)</f>
        <v>-9.2244894315882106E-2</v>
      </c>
      <c r="AA43" s="8">
        <f t="shared" si="18"/>
        <v>17</v>
      </c>
      <c r="AB43" s="5">
        <f>IF(OR(A43="",多次统计数据!$B$8="",多次统计数据!$B$6&lt;=0,多次统计数据!$B$6&gt;=1),"",1-POWER(1+多次统计数据!$B$8,-多次统计数据!$B$6/(1-多次统计数据!$B$6)))</f>
        <v>6.8202299268846023E-2</v>
      </c>
      <c r="AC43" s="6" t="str">
        <f>IF(OR(AB43="",多次统计数据!$B$9=""),"",IF(多次统计数据!$B$9&lt;AB43,"低于上限","达到或超过上限"))</f>
        <v>低于上限</v>
      </c>
      <c r="AD43" s="21"/>
      <c r="AE43" s="5">
        <f t="shared" si="19"/>
        <v>-1.214999075544205E-3</v>
      </c>
      <c r="AG43" s="21" t="s">
        <v>50</v>
      </c>
      <c r="AH43" s="21" t="s">
        <v>58</v>
      </c>
      <c r="AI43" s="10" t="s">
        <v>59</v>
      </c>
      <c r="AJ43" s="6" t="str">
        <f t="shared" si="20"/>
        <v>匹配</v>
      </c>
      <c r="AK43" s="24">
        <f>IF(A43="","",COUNTIFS(加仓管理!$A$2:$A$1001,A43,加仓管理!$G$2:$G$1001,"&gt;0"))</f>
        <v>1</v>
      </c>
      <c r="AL43" s="24">
        <f>IF(A43="","",SUMIFS(加仓管理!$G$2:$G$1001,加仓管理!$A$2:$A$1001,A43))</f>
        <v>17400</v>
      </c>
      <c r="AM43" s="25">
        <f>IF(AK43=0,"",IFERROR(LOOKUP(2,1/((加仓管理!$A$2:$A$1001=A43)*(加仓管理!$G$2:$G$1001&gt;0)),加仓管理!$D$2:$D$1001),""))</f>
        <v>3.71</v>
      </c>
      <c r="AN43" s="25">
        <f>IF(AK43=0,"",IFERROR(LOOKUP(2,1/((加仓管理!$A$2:$A$1001=A43)*(加仓管理!$G$2:$G$1001&gt;0)),加仓管理!$E$2:$E$1001),""))</f>
        <v>3.45</v>
      </c>
      <c r="AO43" s="25">
        <f>IF(OR(A43="",H43="",H43&lt;=0),"",(E43*H43+SUMIFS(加仓管理!$H$2:$H$1001,加仓管理!$A$2:$A$1001,A43))/AP43)</f>
        <v>3.4497183098591551</v>
      </c>
      <c r="AP43" s="24">
        <f t="shared" si="21"/>
        <v>42600</v>
      </c>
      <c r="AQ43" s="25">
        <f>IF(A43="","",IF(M43&lt;&gt;"",0,IF(OR(H43="",N43=""),"",MAX((E43*H43+SUMIFS(加仓管理!$H$2:$H$1001,加仓管理!$A$2:$A$1001,A43))-MAX(N43,AN43)*AP43,0))))</f>
        <v>0</v>
      </c>
      <c r="AR43" s="25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通过</v>
      </c>
    </row>
    <row r="44" spans="1:44">
      <c r="A44" s="21">
        <v>43</v>
      </c>
      <c r="B44" s="10" t="s">
        <v>60</v>
      </c>
      <c r="C44" s="7">
        <v>340327</v>
      </c>
      <c r="D44" s="4">
        <v>0.02</v>
      </c>
      <c r="E44" s="7">
        <v>4.04</v>
      </c>
      <c r="F44" s="6">
        <f t="shared" si="11"/>
        <v>15400</v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1">
        <v>15400</v>
      </c>
      <c r="I44" s="22">
        <v>43535</v>
      </c>
      <c r="J44" s="7">
        <v>5</v>
      </c>
      <c r="K44" s="7">
        <v>3.89</v>
      </c>
      <c r="L44" s="6">
        <f t="shared" si="12"/>
        <v>15400</v>
      </c>
      <c r="M44" s="22">
        <v>43549</v>
      </c>
      <c r="N44" s="7">
        <v>3.6</v>
      </c>
      <c r="O44" s="7"/>
      <c r="P44" s="7"/>
      <c r="Q44" s="21"/>
      <c r="R44" s="21"/>
      <c r="S44" s="21"/>
      <c r="T44" s="21"/>
      <c r="U44" s="5">
        <f t="shared" si="13"/>
        <v>0.23762376237623761</v>
      </c>
      <c r="V44" s="5">
        <f t="shared" si="14"/>
        <v>0.1089108910891089</v>
      </c>
      <c r="W44" s="23">
        <f t="shared" si="15"/>
        <v>2.1818181818181821</v>
      </c>
      <c r="X44" s="3">
        <f t="shared" si="16"/>
        <v>-2309.9999999999986</v>
      </c>
      <c r="Y44" s="5">
        <f t="shared" si="17"/>
        <v>-3.7128712871287106E-2</v>
      </c>
      <c r="Z44" s="5">
        <f>IF(OR(AE44="",多次统计数据!$B$8=""),"",AE44-多次统计数据!$B$8)</f>
        <v>-9.7817484823297815E-2</v>
      </c>
      <c r="AA44" s="8">
        <f t="shared" si="18"/>
        <v>14</v>
      </c>
      <c r="AB44" s="5">
        <f>IF(OR(A44="",多次统计数据!$B$8="",多次统计数据!$B$6&lt;=0,多次统计数据!$B$6&gt;=1),"",1-POWER(1+多次统计数据!$B$8,-多次统计数据!$B$6/(1-多次统计数据!$B$6)))</f>
        <v>6.8202299268846023E-2</v>
      </c>
      <c r="AC44" s="6" t="str">
        <f>IF(OR(AB44="",多次统计数据!$B$9=""),"",IF(多次统计数据!$B$9&lt;AB44,"低于上限","达到或超过上限"))</f>
        <v>低于上限</v>
      </c>
      <c r="AD44" s="21"/>
      <c r="AE44" s="5">
        <f t="shared" si="19"/>
        <v>-6.787589582959914E-3</v>
      </c>
      <c r="AG44" s="21" t="s">
        <v>50</v>
      </c>
      <c r="AH44" s="21" t="s">
        <v>58</v>
      </c>
      <c r="AI44" s="10" t="s">
        <v>59</v>
      </c>
      <c r="AJ44" s="6" t="str">
        <f t="shared" si="20"/>
        <v>匹配</v>
      </c>
      <c r="AK44" s="24">
        <f>IF(A44="","",COUNTIFS(加仓管理!$A$2:$A$1001,A44,加仓管理!$G$2:$G$1001,"&gt;0"))</f>
        <v>0</v>
      </c>
      <c r="AL44" s="24">
        <f>IF(A44="","",SUMIFS(加仓管理!$G$2:$G$1001,加仓管理!$A$2:$A$1001,A44))</f>
        <v>0</v>
      </c>
      <c r="AM44" s="25" t="str">
        <f>IF(AK44=0,"",IFERROR(LOOKUP(2,1/((加仓管理!$A$2:$A$1001=A44)*(加仓管理!$G$2:$G$1001&gt;0)),加仓管理!$D$2:$D$1001),""))</f>
        <v/>
      </c>
      <c r="AN44" s="25" t="str">
        <f>IF(AK44=0,"",IFERROR(LOOKUP(2,1/((加仓管理!$A$2:$A$1001=A44)*(加仓管理!$G$2:$G$1001&gt;0)),加仓管理!$E$2:$E$1001),""))</f>
        <v/>
      </c>
      <c r="AO44" s="25">
        <f>IF(OR(A44="",H44="",H44&lt;=0),"",(E44*H44+SUMIFS(加仓管理!$H$2:$H$1001,加仓管理!$A$2:$A$1001,A44))/AP44)</f>
        <v>4.04</v>
      </c>
      <c r="AP44" s="24">
        <f t="shared" si="21"/>
        <v>15400</v>
      </c>
      <c r="AQ44" s="25">
        <f>IF(A44="","",IF(M44&lt;&gt;"",0,IF(OR(H44="",N44=""),"",MAX((E44*H44+SUMIFS(加仓管理!$H$2:$H$1001,加仓管理!$A$2:$A$1001,A44))-MAX(N44,AN44)*AP44,0))))</f>
        <v>0</v>
      </c>
      <c r="AR44" s="25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通过</v>
      </c>
    </row>
    <row r="45" spans="1:44">
      <c r="A45" s="21">
        <v>44</v>
      </c>
      <c r="B45" s="10" t="s">
        <v>60</v>
      </c>
      <c r="C45" s="7">
        <v>338017</v>
      </c>
      <c r="D45" s="4">
        <v>0.02</v>
      </c>
      <c r="E45" s="7">
        <v>3.26</v>
      </c>
      <c r="F45" s="6">
        <f t="shared" si="11"/>
        <v>26000</v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1">
        <v>26000</v>
      </c>
      <c r="I45" s="22">
        <v>43895</v>
      </c>
      <c r="J45" s="7">
        <v>4</v>
      </c>
      <c r="K45" s="7">
        <v>3.3</v>
      </c>
      <c r="L45" s="6">
        <f t="shared" si="12"/>
        <v>45500</v>
      </c>
      <c r="M45" s="22">
        <v>43913</v>
      </c>
      <c r="N45" s="7">
        <v>3</v>
      </c>
      <c r="O45" s="7"/>
      <c r="P45" s="7"/>
      <c r="Q45" s="21"/>
      <c r="R45" s="21"/>
      <c r="S45" s="21"/>
      <c r="T45" s="21"/>
      <c r="U45" s="5">
        <f t="shared" si="13"/>
        <v>0.14285714285714285</v>
      </c>
      <c r="V45" s="5">
        <f t="shared" si="14"/>
        <v>0.14285714285714285</v>
      </c>
      <c r="W45" s="23">
        <f t="shared" si="15"/>
        <v>1</v>
      </c>
      <c r="X45" s="3">
        <f t="shared" si="16"/>
        <v>-9100.0000000000073</v>
      </c>
      <c r="Y45" s="5">
        <f t="shared" si="17"/>
        <v>-5.714285714285719E-2</v>
      </c>
      <c r="Z45" s="5">
        <f>IF(OR(AE45="",多次统计数据!$B$8=""),"",AE45-多次统计数据!$B$8)</f>
        <v>-0.11795161811226448</v>
      </c>
      <c r="AA45" s="8">
        <f t="shared" si="18"/>
        <v>18</v>
      </c>
      <c r="AB45" s="5">
        <f>IF(OR(A45="",多次统计数据!$B$8="",多次统计数据!$B$6&lt;=0,多次统计数据!$B$6&gt;=1),"",1-POWER(1+多次统计数据!$B$8,-多次统计数据!$B$6/(1-多次统计数据!$B$6)))</f>
        <v>6.8202299268846023E-2</v>
      </c>
      <c r="AC45" s="6" t="str">
        <f>IF(OR(AB45="",多次统计数据!$B$9=""),"",IF(多次统计数据!$B$9&lt;AB45,"低于上限","达到或超过上限"))</f>
        <v>低于上限</v>
      </c>
      <c r="AD45" s="21"/>
      <c r="AE45" s="5">
        <f t="shared" si="19"/>
        <v>-2.6921722871926582E-2</v>
      </c>
      <c r="AG45" s="21" t="s">
        <v>50</v>
      </c>
      <c r="AH45" s="21" t="s">
        <v>58</v>
      </c>
      <c r="AI45" s="10" t="s">
        <v>59</v>
      </c>
      <c r="AJ45" s="6" t="str">
        <f t="shared" si="20"/>
        <v>匹配</v>
      </c>
      <c r="AK45" s="24">
        <f>IF(A45="","",COUNTIFS(加仓管理!$A$2:$A$1001,A45,加仓管理!$G$2:$G$1001,"&gt;0"))</f>
        <v>1</v>
      </c>
      <c r="AL45" s="24">
        <f>IF(A45="","",SUMIFS(加仓管理!$G$2:$G$1001,加仓管理!$A$2:$A$1001,A45))</f>
        <v>19500</v>
      </c>
      <c r="AM45" s="25">
        <f>IF(AK45=0,"",IFERROR(LOOKUP(2,1/((加仓管理!$A$2:$A$1001=A45)*(加仓管理!$G$2:$G$1001&gt;0)),加仓管理!$D$2:$D$1001),""))</f>
        <v>3.82</v>
      </c>
      <c r="AN45" s="25">
        <f>IF(AK45=0,"",IFERROR(LOOKUP(2,1/((加仓管理!$A$2:$A$1001=A45)*(加仓管理!$G$2:$G$1001&gt;0)),加仓管理!$E$2:$E$1001),""))</f>
        <v>3.5</v>
      </c>
      <c r="AO45" s="25">
        <f>IF(OR(A45="",H45="",H45&lt;=0),"",(E45*H45+SUMIFS(加仓管理!$H$2:$H$1001,加仓管理!$A$2:$A$1001,A45))/AP45)</f>
        <v>3.5</v>
      </c>
      <c r="AP45" s="24">
        <f t="shared" si="21"/>
        <v>45500</v>
      </c>
      <c r="AQ45" s="25">
        <f>IF(A45="","",IF(M45&lt;&gt;"",0,IF(OR(H45="",N45=""),"",MAX((E45*H45+SUMIFS(加仓管理!$H$2:$H$1001,加仓管理!$A$2:$A$1001,A45))-MAX(N45,AN45)*AP45,0))))</f>
        <v>0</v>
      </c>
      <c r="AR45" s="25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spans="1:44">
      <c r="A46" s="21">
        <v>45</v>
      </c>
      <c r="B46" s="10" t="s">
        <v>60</v>
      </c>
      <c r="C46" s="7">
        <v>328917</v>
      </c>
      <c r="D46" s="4">
        <v>0.02</v>
      </c>
      <c r="E46" s="7">
        <v>4.04</v>
      </c>
      <c r="F46" s="6">
        <f>IF(OR(C46="",D46="",E46="",N46="",C46&lt;=0,D46&lt;=0,E46&lt;=N46),"",ROUNDDOWN((C46*D46)/(E46-N46)/100,0)*100)</f>
        <v>14900</v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1">
        <v>14900</v>
      </c>
      <c r="I46" s="22">
        <v>44033</v>
      </c>
      <c r="J46" s="7">
        <v>5</v>
      </c>
      <c r="K46" s="7">
        <v>4.38</v>
      </c>
      <c r="L46" s="6">
        <f t="shared" si="12"/>
        <v>31600</v>
      </c>
      <c r="M46" s="22">
        <v>44060</v>
      </c>
      <c r="N46" s="7">
        <v>3.6</v>
      </c>
      <c r="O46" s="7"/>
      <c r="P46" s="7"/>
      <c r="Q46" s="21"/>
      <c r="R46" s="21"/>
      <c r="S46" s="21"/>
      <c r="T46" s="21"/>
      <c r="U46" s="5">
        <f t="shared" si="13"/>
        <v>0.13652711840023021</v>
      </c>
      <c r="V46" s="5">
        <f t="shared" si="14"/>
        <v>0.18170047475183423</v>
      </c>
      <c r="W46" s="23">
        <f t="shared" si="15"/>
        <v>0.75138558986540016</v>
      </c>
      <c r="X46" s="3">
        <f t="shared" si="16"/>
        <v>-612.00000000000045</v>
      </c>
      <c r="Y46" s="5">
        <f t="shared" si="17"/>
        <v>-4.4022442813983634E-3</v>
      </c>
      <c r="Z46" s="5">
        <f>IF(OR(AE46="",多次统计数据!$B$8=""),"",AE46-多次统计数据!$B$8)</f>
        <v>-9.2890547015709812E-2</v>
      </c>
      <c r="AA46" s="8">
        <f t="shared" si="18"/>
        <v>27</v>
      </c>
      <c r="AB46" s="5">
        <f>IF(OR(A46="",多次统计数据!$B$8="",多次统计数据!$B$6&lt;=0,多次统计数据!$B$6&gt;=1),"",1-POWER(1+多次统计数据!$B$8,-多次统计数据!$B$6/(1-多次统计数据!$B$6)))</f>
        <v>6.8202299268846023E-2</v>
      </c>
      <c r="AC46" s="6" t="str">
        <f>IF(OR(AB46="",多次统计数据!$B$9=""),"",IF(多次统计数据!$B$9&lt;AB46,"低于上限","达到或超过上限"))</f>
        <v>低于上限</v>
      </c>
      <c r="AD46" s="21"/>
      <c r="AE46" s="5">
        <f t="shared" si="19"/>
        <v>-1.8606517753719037E-3</v>
      </c>
      <c r="AG46" s="21" t="s">
        <v>50</v>
      </c>
      <c r="AH46" s="21" t="s">
        <v>58</v>
      </c>
      <c r="AI46" s="10" t="s">
        <v>59</v>
      </c>
      <c r="AJ46" s="6" t="str">
        <f t="shared" si="20"/>
        <v>匹配</v>
      </c>
      <c r="AK46" s="24">
        <f>IF(A46="","",COUNTIFS(加仓管理!$A$2:$A$1001,A46,加仓管理!$G$2:$G$1001,"&gt;0"))</f>
        <v>1</v>
      </c>
      <c r="AL46" s="24">
        <f>IF(A46="","",SUMIFS(加仓管理!$G$2:$G$1001,加仓管理!$A$2:$A$1001,A46))</f>
        <v>16700</v>
      </c>
      <c r="AM46" s="25">
        <f>IF(AK46=0,"",IFERROR(LOOKUP(2,1/((加仓管理!$A$2:$A$1001=A46)*(加仓管理!$G$2:$G$1001&gt;0)),加仓管理!$D$2:$D$1001),""))</f>
        <v>4.72</v>
      </c>
      <c r="AN46" s="25">
        <f>IF(AK46=0,"",IFERROR(LOOKUP(2,1/((加仓管理!$A$2:$A$1001=A46)*(加仓管理!$G$2:$G$1001&gt;0)),加仓管理!$E$2:$E$1001),""))</f>
        <v>4.4000000000000004</v>
      </c>
      <c r="AO46" s="25">
        <f>IF(OR(A46="",H46="",H46&lt;=0),"",(E46*H46+SUMIFS(加仓管理!$H$2:$H$1001,加仓管理!$A$2:$A$1001,A46))/AP46)</f>
        <v>4.3993670886075948</v>
      </c>
      <c r="AP46" s="24">
        <f t="shared" si="21"/>
        <v>31600</v>
      </c>
      <c r="AQ46" s="25">
        <f>IF(A46="","",IF(M46&lt;&gt;"",0,IF(OR(H46="",N46=""),"",MAX((E46*H46+SUMIFS(加仓管理!$H$2:$H$1001,加仓管理!$A$2:$A$1001,A46))-MAX(N46,AN46)*AP46,0))))</f>
        <v>0</v>
      </c>
      <c r="AR46" s="25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通过</v>
      </c>
    </row>
    <row r="47" spans="1:44">
      <c r="A47" s="21">
        <v>46</v>
      </c>
      <c r="B47" s="10" t="s">
        <v>60</v>
      </c>
      <c r="C47" s="7">
        <v>328305</v>
      </c>
      <c r="D47" s="4">
        <v>0.02</v>
      </c>
      <c r="E47" s="7">
        <v>4.9400000000000004</v>
      </c>
      <c r="F47" s="6">
        <f t="shared" si="11"/>
        <v>14900</v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1">
        <v>14900</v>
      </c>
      <c r="I47" s="22">
        <v>44116</v>
      </c>
      <c r="J47" s="7">
        <v>6</v>
      </c>
      <c r="K47" s="7">
        <v>4.51</v>
      </c>
      <c r="L47" s="6">
        <f t="shared" si="12"/>
        <v>14900</v>
      </c>
      <c r="M47" s="22">
        <v>44125</v>
      </c>
      <c r="N47" s="7">
        <v>4.5</v>
      </c>
      <c r="O47" s="7"/>
      <c r="P47" s="7"/>
      <c r="Q47" s="21"/>
      <c r="R47" s="21"/>
      <c r="S47" s="21"/>
      <c r="T47" s="21"/>
      <c r="U47" s="5">
        <f t="shared" si="13"/>
        <v>0.21457489878542502</v>
      </c>
      <c r="V47" s="5">
        <f t="shared" si="14"/>
        <v>8.9068825910931251E-2</v>
      </c>
      <c r="W47" s="23">
        <f t="shared" si="15"/>
        <v>2.4090909090909061</v>
      </c>
      <c r="X47" s="3">
        <f t="shared" si="16"/>
        <v>-6407.0000000000091</v>
      </c>
      <c r="Y47" s="5">
        <f t="shared" si="17"/>
        <v>-8.7044534412955593E-2</v>
      </c>
      <c r="Z47" s="5">
        <f>IF(OR(AE47="",多次统计数据!$B$8=""),"",AE47-多次统计数据!$B$8)</f>
        <v>-0.11054528489325213</v>
      </c>
      <c r="AA47" s="8">
        <f t="shared" si="18"/>
        <v>9</v>
      </c>
      <c r="AB47" s="5">
        <f>IF(OR(A47="",多次统计数据!$B$8="",多次统计数据!$B$6&lt;=0,多次统计数据!$B$6&gt;=1),"",1-POWER(1+多次统计数据!$B$8,-多次统计数据!$B$6/(1-多次统计数据!$B$6)))</f>
        <v>6.8202299268846023E-2</v>
      </c>
      <c r="AC47" s="6" t="str">
        <f>IF(OR(AB47="",多次统计数据!$B$9=""),"",IF(多次统计数据!$B$9&lt;AB47,"低于上限","达到或超过上限"))</f>
        <v>低于上限</v>
      </c>
      <c r="AD47" s="21"/>
      <c r="AE47" s="5">
        <f t="shared" si="19"/>
        <v>-1.9515389652914238E-2</v>
      </c>
      <c r="AG47" s="21" t="s">
        <v>50</v>
      </c>
      <c r="AH47" s="21" t="s">
        <v>58</v>
      </c>
      <c r="AI47" s="10" t="s">
        <v>59</v>
      </c>
      <c r="AJ47" s="6" t="str">
        <f t="shared" si="20"/>
        <v>匹配</v>
      </c>
      <c r="AK47" s="24">
        <f>IF(A47="","",COUNTIFS(加仓管理!$A$2:$A$1001,A47,加仓管理!$G$2:$G$1001,"&gt;0"))</f>
        <v>0</v>
      </c>
      <c r="AL47" s="24">
        <f>IF(A47="","",SUMIFS(加仓管理!$G$2:$G$1001,加仓管理!$A$2:$A$1001,A47))</f>
        <v>0</v>
      </c>
      <c r="AM47" s="25" t="str">
        <f>IF(AK47=0,"",IFERROR(LOOKUP(2,1/((加仓管理!$A$2:$A$1001=A47)*(加仓管理!$G$2:$G$1001&gt;0)),加仓管理!$D$2:$D$1001),""))</f>
        <v/>
      </c>
      <c r="AN47" s="25" t="str">
        <f>IF(AK47=0,"",IFERROR(LOOKUP(2,1/((加仓管理!$A$2:$A$1001=A47)*(加仓管理!$G$2:$G$1001&gt;0)),加仓管理!$E$2:$E$1001),""))</f>
        <v/>
      </c>
      <c r="AO47" s="25">
        <f>IF(OR(A47="",H47="",H47&lt;=0),"",(E47*H47+SUMIFS(加仓管理!$H$2:$H$1001,加仓管理!$A$2:$A$1001,A47))/AP47)</f>
        <v>4.9400000000000004</v>
      </c>
      <c r="AP47" s="24">
        <f t="shared" si="21"/>
        <v>14900</v>
      </c>
      <c r="AQ47" s="25">
        <f>IF(A47="","",IF(M47&lt;&gt;"",0,IF(OR(H47="",N47=""),"",MAX((E47*H47+SUMIFS(加仓管理!$H$2:$H$1001,加仓管理!$A$2:$A$1001,A47))-MAX(N47,AN47)*AP47,0))))</f>
        <v>0</v>
      </c>
      <c r="AR47" s="25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spans="1:44">
      <c r="A48" s="21">
        <v>47</v>
      </c>
      <c r="B48" s="10" t="s">
        <v>60</v>
      </c>
      <c r="C48" s="7">
        <v>321898</v>
      </c>
      <c r="D48" s="4">
        <v>0.02</v>
      </c>
      <c r="E48" s="7">
        <v>5.27</v>
      </c>
      <c r="F48" s="6">
        <f t="shared" si="11"/>
        <v>23800</v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1">
        <v>23800</v>
      </c>
      <c r="I48" s="22">
        <v>44188</v>
      </c>
      <c r="J48" s="7">
        <v>6</v>
      </c>
      <c r="K48" s="7">
        <v>5.24</v>
      </c>
      <c r="L48" s="6">
        <f t="shared" si="12"/>
        <v>37800</v>
      </c>
      <c r="M48" s="22">
        <v>44194</v>
      </c>
      <c r="N48" s="7">
        <v>5</v>
      </c>
      <c r="O48" s="7"/>
      <c r="P48" s="7"/>
      <c r="Q48" s="21"/>
      <c r="R48" s="21"/>
      <c r="S48" s="21"/>
      <c r="T48" s="21"/>
      <c r="U48" s="5">
        <f t="shared" si="13"/>
        <v>9.0982557747996448E-2</v>
      </c>
      <c r="V48" s="5">
        <f t="shared" si="14"/>
        <v>9.0847868543336291E-2</v>
      </c>
      <c r="W48" s="23">
        <f t="shared" si="15"/>
        <v>1.0014825796886573</v>
      </c>
      <c r="X48" s="3">
        <f t="shared" si="16"/>
        <v>-9814.0000000000018</v>
      </c>
      <c r="Y48" s="5">
        <f t="shared" si="17"/>
        <v>-4.7208566233416398E-2</v>
      </c>
      <c r="Z48" s="5">
        <f>IF(OR(AE48="",多次统计数据!$B$8=""),"",AE48-多次统计数据!$B$8)</f>
        <v>-0.12151781377353786</v>
      </c>
      <c r="AA48" s="8">
        <f t="shared" si="18"/>
        <v>6</v>
      </c>
      <c r="AB48" s="5">
        <f>IF(OR(A48="",多次统计数据!$B$8="",多次统计数据!$B$6&lt;=0,多次统计数据!$B$6&gt;=1),"",1-POWER(1+多次统计数据!$B$8,-多次统计数据!$B$6/(1-多次统计数据!$B$6)))</f>
        <v>6.8202299268846023E-2</v>
      </c>
      <c r="AC48" s="6" t="str">
        <f>IF(OR(AB48="",多次统计数据!$B$9=""),"",IF(多次统计数据!$B$9&lt;AB48,"低于上限","达到或超过上限"))</f>
        <v>低于上限</v>
      </c>
      <c r="AD48" s="21"/>
      <c r="AE48" s="5">
        <f t="shared" si="19"/>
        <v>-3.0487918533199963E-2</v>
      </c>
      <c r="AG48" s="21" t="s">
        <v>45</v>
      </c>
      <c r="AH48" s="21" t="s">
        <v>46</v>
      </c>
      <c r="AI48" s="10" t="s">
        <v>59</v>
      </c>
      <c r="AJ48" s="6" t="str">
        <f t="shared" si="20"/>
        <v>匹配</v>
      </c>
      <c r="AK48" s="24">
        <f>IF(A48="","",COUNTIFS(加仓管理!$A$2:$A$1001,A48,加仓管理!$G$2:$G$1001,"&gt;0"))</f>
        <v>1</v>
      </c>
      <c r="AL48" s="24">
        <f>IF(A48="","",SUMIFS(加仓管理!$G$2:$G$1001,加仓管理!$A$2:$A$1001,A48))</f>
        <v>14000</v>
      </c>
      <c r="AM48" s="25">
        <f>IF(AK48=0,"",IFERROR(LOOKUP(2,1/((加仓管理!$A$2:$A$1001=A48)*(加仓管理!$G$2:$G$1001&gt;0)),加仓管理!$D$2:$D$1001),""))</f>
        <v>5.89</v>
      </c>
      <c r="AN48" s="25">
        <f>IF(AK48=0,"",IFERROR(LOOKUP(2,1/((加仓管理!$A$2:$A$1001=A48)*(加仓管理!$G$2:$G$1001&gt;0)),加仓管理!$E$2:$E$1001),""))</f>
        <v>5.5</v>
      </c>
      <c r="AO48" s="25">
        <f>IF(OR(A48="",H48="",H48&lt;=0),"",(E48*H48+SUMIFS(加仓管理!$H$2:$H$1001,加仓管理!$A$2:$A$1001,A48))/AP48)</f>
        <v>5.4996296296296299</v>
      </c>
      <c r="AP48" s="24">
        <f t="shared" si="21"/>
        <v>37800</v>
      </c>
      <c r="AQ48" s="25">
        <f>IF(A48="","",IF(M48&lt;&gt;"",0,IF(OR(H48="",N48=""),"",MAX((E48*H48+SUMIFS(加仓管理!$H$2:$H$1001,加仓管理!$A$2:$A$1001,A48))-MAX(N48,AN48)*AP48,0))))</f>
        <v>0</v>
      </c>
      <c r="AR48" s="25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通过</v>
      </c>
    </row>
    <row r="49" spans="1:44">
      <c r="A49" s="21">
        <v>48</v>
      </c>
      <c r="B49" s="10" t="s">
        <v>60</v>
      </c>
      <c r="C49" s="7">
        <v>312084</v>
      </c>
      <c r="D49" s="4">
        <v>0.02</v>
      </c>
      <c r="E49" s="7">
        <v>6.11</v>
      </c>
      <c r="F49" s="6">
        <f t="shared" si="11"/>
        <v>20100</v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1">
        <v>20100</v>
      </c>
      <c r="I49" s="22">
        <v>44201</v>
      </c>
      <c r="J49" s="7">
        <v>7</v>
      </c>
      <c r="K49" s="7">
        <v>5.77</v>
      </c>
      <c r="L49" s="6">
        <f t="shared" si="12"/>
        <v>20100</v>
      </c>
      <c r="M49" s="22">
        <v>44211</v>
      </c>
      <c r="N49" s="7">
        <v>5.8</v>
      </c>
      <c r="O49" s="7"/>
      <c r="P49" s="7"/>
      <c r="Q49" s="21"/>
      <c r="R49" s="21"/>
      <c r="S49" s="21"/>
      <c r="T49" s="21"/>
      <c r="U49" s="5">
        <f t="shared" si="13"/>
        <v>0.14566284779050731</v>
      </c>
      <c r="V49" s="5">
        <f t="shared" si="14"/>
        <v>5.0736497545008259E-2</v>
      </c>
      <c r="W49" s="23">
        <f t="shared" si="15"/>
        <v>2.8709677419354787</v>
      </c>
      <c r="X49" s="3">
        <f t="shared" si="16"/>
        <v>-6834.0000000000146</v>
      </c>
      <c r="Y49" s="5">
        <f t="shared" si="17"/>
        <v>-5.5646481178396191E-2</v>
      </c>
      <c r="Z49" s="5">
        <f>IF(OR(AE49="",多次统计数据!$B$8=""),"",AE49-多次统计数据!$B$8)</f>
        <v>-0.11292784579211247</v>
      </c>
      <c r="AA49" s="8">
        <f t="shared" si="18"/>
        <v>10</v>
      </c>
      <c r="AB49" s="5">
        <f>IF(OR(A49="",多次统计数据!$B$8="",多次统计数据!$B$6&lt;=0,多次统计数据!$B$6&gt;=1),"",1-POWER(1+多次统计数据!$B$8,-多次统计数据!$B$6/(1-多次统计数据!$B$6)))</f>
        <v>6.8202299268846023E-2</v>
      </c>
      <c r="AC49" s="6" t="str">
        <f>IF(OR(AB49="",多次统计数据!$B$9=""),"",IF(多次统计数据!$B$9&lt;AB49,"低于上限","达到或超过上限"))</f>
        <v>低于上限</v>
      </c>
      <c r="AD49" s="21"/>
      <c r="AE49" s="5">
        <f t="shared" si="19"/>
        <v>-2.189795055177457E-2</v>
      </c>
      <c r="AG49" s="21" t="s">
        <v>45</v>
      </c>
      <c r="AH49" s="21" t="s">
        <v>46</v>
      </c>
      <c r="AI49" s="10" t="s">
        <v>59</v>
      </c>
      <c r="AJ49" s="6" t="str">
        <f t="shared" si="20"/>
        <v>匹配</v>
      </c>
      <c r="AK49" s="24">
        <f>IF(A49="","",COUNTIFS(加仓管理!$A$2:$A$1001,A49,加仓管理!$G$2:$G$1001,"&gt;0"))</f>
        <v>0</v>
      </c>
      <c r="AL49" s="24">
        <f>IF(A49="","",SUMIFS(加仓管理!$G$2:$G$1001,加仓管理!$A$2:$A$1001,A49))</f>
        <v>0</v>
      </c>
      <c r="AM49" s="25" t="str">
        <f>IF(AK49=0,"",IFERROR(LOOKUP(2,1/((加仓管理!$A$2:$A$1001=A49)*(加仓管理!$G$2:$G$1001&gt;0)),加仓管理!$D$2:$D$1001),""))</f>
        <v/>
      </c>
      <c r="AN49" s="25" t="str">
        <f>IF(AK49=0,"",IFERROR(LOOKUP(2,1/((加仓管理!$A$2:$A$1001=A49)*(加仓管理!$G$2:$G$1001&gt;0)),加仓管理!$E$2:$E$1001),""))</f>
        <v/>
      </c>
      <c r="AO49" s="25">
        <f>IF(OR(A49="",H49="",H49&lt;=0),"",(E49*H49+SUMIFS(加仓管理!$H$2:$H$1001,加仓管理!$A$2:$A$1001,A49))/AP49)</f>
        <v>6.11</v>
      </c>
      <c r="AP49" s="24">
        <f t="shared" si="21"/>
        <v>20100</v>
      </c>
      <c r="AQ49" s="25">
        <f>IF(A49="","",IF(M49&lt;&gt;"",0,IF(OR(H49="",N49=""),"",MAX((E49*H49+SUMIFS(加仓管理!$H$2:$H$1001,加仓管理!$A$2:$A$1001,A49))-MAX(N49,AN49)*AP49,0))))</f>
        <v>0</v>
      </c>
      <c r="AR49" s="25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通过</v>
      </c>
    </row>
    <row r="50" spans="1:44">
      <c r="A50" s="21">
        <v>49</v>
      </c>
      <c r="B50" s="10" t="s">
        <v>60</v>
      </c>
      <c r="C50" s="7">
        <v>305250</v>
      </c>
      <c r="D50" s="4">
        <v>0.02</v>
      </c>
      <c r="E50" s="7">
        <v>6.4</v>
      </c>
      <c r="F50" s="6">
        <f t="shared" si="11"/>
        <v>15200</v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1">
        <v>15200</v>
      </c>
      <c r="I50" s="22">
        <v>44214</v>
      </c>
      <c r="J50" s="7">
        <v>7.5</v>
      </c>
      <c r="K50" s="7">
        <v>7.84</v>
      </c>
      <c r="L50" s="6">
        <f t="shared" si="12"/>
        <v>39400</v>
      </c>
      <c r="M50" s="22">
        <v>44224</v>
      </c>
      <c r="N50" s="7">
        <v>6</v>
      </c>
      <c r="O50" s="7"/>
      <c r="P50" s="7"/>
      <c r="Q50" s="21"/>
      <c r="R50" s="21"/>
      <c r="S50" s="21"/>
      <c r="T50" s="21"/>
      <c r="U50" s="5">
        <f t="shared" si="13"/>
        <v>6.821170842731498E-3</v>
      </c>
      <c r="V50" s="5">
        <f t="shared" si="14"/>
        <v>0.19454306332581481</v>
      </c>
      <c r="W50" s="23">
        <f t="shared" si="15"/>
        <v>3.5062524081404069E-2</v>
      </c>
      <c r="X50" s="3">
        <f t="shared" si="16"/>
        <v>15398.000000000004</v>
      </c>
      <c r="Y50" s="5">
        <f t="shared" si="17"/>
        <v>5.2463730587601974E-2</v>
      </c>
      <c r="Z50" s="5">
        <f>IF(OR(AE50="",多次统计数据!$B$8=""),"",AE50-多次统计数据!$B$8)</f>
        <v>-4.0585996796439448E-2</v>
      </c>
      <c r="AA50" s="8">
        <f t="shared" si="18"/>
        <v>10</v>
      </c>
      <c r="AB50" s="5">
        <f>IF(OR(A50="",多次统计数据!$B$8="",多次统计数据!$B$6&lt;=0,多次统计数据!$B$6&gt;=1),"",1-POWER(1+多次统计数据!$B$8,-多次统计数据!$B$6/(1-多次统计数据!$B$6)))</f>
        <v>6.8202299268846023E-2</v>
      </c>
      <c r="AC50" s="6" t="str">
        <f>IF(OR(AB50="",多次统计数据!$B$9=""),"",IF(多次统计数据!$B$9&lt;AB50,"低于上限","达到或超过上限"))</f>
        <v>低于上限</v>
      </c>
      <c r="AD50" s="21"/>
      <c r="AE50" s="5">
        <f t="shared" si="19"/>
        <v>5.0443898443898454E-2</v>
      </c>
      <c r="AG50" s="21" t="s">
        <v>45</v>
      </c>
      <c r="AH50" s="21" t="s">
        <v>46</v>
      </c>
      <c r="AI50" s="10" t="s">
        <v>59</v>
      </c>
      <c r="AJ50" s="6" t="str">
        <f t="shared" si="20"/>
        <v>匹配</v>
      </c>
      <c r="AK50" s="24">
        <f>IF(A50="","",COUNTIFS(加仓管理!$A$2:$A$1001,A50,加仓管理!$G$2:$G$1001,"&gt;0"))</f>
        <v>2</v>
      </c>
      <c r="AL50" s="24">
        <f>IF(A50="","",SUMIFS(加仓管理!$G$2:$G$1001,加仓管理!$A$2:$A$1001,A50))</f>
        <v>24200</v>
      </c>
      <c r="AM50" s="25">
        <f>IF(AK50=0,"",IFERROR(LOOKUP(2,1/((加仓管理!$A$2:$A$1001=A50)*(加仓管理!$G$2:$G$1001&gt;0)),加仓管理!$D$2:$D$1001),""))</f>
        <v>8.61</v>
      </c>
      <c r="AN50" s="25">
        <f>IF(AK50=0,"",IFERROR(LOOKUP(2,1/((加仓管理!$A$2:$A$1001=A50)*(加仓管理!$G$2:$G$1001&gt;0)),加仓管理!$E$2:$E$1001),""))</f>
        <v>8</v>
      </c>
      <c r="AO50" s="25">
        <f>IF(OR(A50="",H50="",H50&lt;=0),"",(E50*H50+SUMIFS(加仓管理!$H$2:$H$1001,加仓管理!$A$2:$A$1001,A50))/AP50)</f>
        <v>7.449187817258883</v>
      </c>
      <c r="AP50" s="24">
        <f t="shared" si="21"/>
        <v>39400</v>
      </c>
      <c r="AQ50" s="25">
        <f>IF(A50="","",IF(M50&lt;&gt;"",0,IF(OR(H50="",N50=""),"",MAX((E50*H50+SUMIFS(加仓管理!$H$2:$H$1001,加仓管理!$A$2:$A$1001,A50))-MAX(N50,AN50)*AP50,0))))</f>
        <v>0</v>
      </c>
      <c r="AR50" s="25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spans="1:44">
      <c r="A51" s="21">
        <v>50</v>
      </c>
      <c r="B51" s="10" t="s">
        <v>60</v>
      </c>
      <c r="C51" s="7">
        <v>320648</v>
      </c>
      <c r="D51" s="4">
        <v>0.02</v>
      </c>
      <c r="E51" s="7">
        <v>7.69</v>
      </c>
      <c r="F51" s="6">
        <f t="shared" si="11"/>
        <v>9200</v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1">
        <v>9200</v>
      </c>
      <c r="I51" s="22">
        <v>44376</v>
      </c>
      <c r="J51" s="7">
        <v>9</v>
      </c>
      <c r="K51" s="7">
        <v>15.04</v>
      </c>
      <c r="L51" s="6">
        <f t="shared" si="12"/>
        <v>23200</v>
      </c>
      <c r="M51" s="22">
        <v>44438</v>
      </c>
      <c r="N51" s="7">
        <v>7</v>
      </c>
      <c r="O51" s="7"/>
      <c r="P51" s="7"/>
      <c r="Q51" s="21"/>
      <c r="R51" s="21"/>
      <c r="S51" s="21"/>
      <c r="T51" s="21"/>
      <c r="U51" s="5">
        <f t="shared" si="13"/>
        <v>-8.5878397310170926E-2</v>
      </c>
      <c r="V51" s="5">
        <f t="shared" si="14"/>
        <v>0.28901653124124405</v>
      </c>
      <c r="W51" s="23">
        <f t="shared" si="15"/>
        <v>-0.29714008725157542</v>
      </c>
      <c r="X51" s="3">
        <f t="shared" si="16"/>
        <v>120511.99999999999</v>
      </c>
      <c r="Y51" s="5">
        <f t="shared" si="17"/>
        <v>0.52759876716166987</v>
      </c>
      <c r="Z51" s="5">
        <f>IF(OR(AE51="",多次统计数据!$B$8=""),"",AE51-多次统计数据!$B$8)</f>
        <v>0.28480903093415871</v>
      </c>
      <c r="AA51" s="8">
        <f t="shared" si="18"/>
        <v>62</v>
      </c>
      <c r="AB51" s="5">
        <f>IF(OR(A51="",多次统计数据!$B$8="",多次统计数据!$B$6&lt;=0,多次统计数据!$B$6&gt;=1),"",1-POWER(1+多次统计数据!$B$8,-多次统计数据!$B$6/(1-多次统计数据!$B$6)))</f>
        <v>6.8202299268846023E-2</v>
      </c>
      <c r="AC51" s="6" t="str">
        <f>IF(OR(AB51="",多次统计数据!$B$9=""),"",IF(多次统计数据!$B$9&lt;AB51,"低于上限","达到或超过上限"))</f>
        <v>低于上限</v>
      </c>
      <c r="AD51" s="21"/>
      <c r="AE51" s="5">
        <f t="shared" si="19"/>
        <v>0.3758389261744966</v>
      </c>
      <c r="AG51" s="21" t="s">
        <v>50</v>
      </c>
      <c r="AH51" s="21" t="s">
        <v>51</v>
      </c>
      <c r="AI51" s="10" t="s">
        <v>59</v>
      </c>
      <c r="AJ51" s="6" t="str">
        <f t="shared" si="20"/>
        <v>匹配</v>
      </c>
      <c r="AK51" s="24">
        <f>IF(A51="","",COUNTIFS(加仓管理!$A$2:$A$1001,A51,加仓管理!$G$2:$G$1001,"&gt;0"))</f>
        <v>5</v>
      </c>
      <c r="AL51" s="24">
        <f>IF(A51="","",SUMIFS(加仓管理!$G$2:$G$1001,加仓管理!$A$2:$A$1001,A51))</f>
        <v>14000</v>
      </c>
      <c r="AM51" s="25">
        <f>IF(AK51=0,"",IFERROR(LOOKUP(2,1/((加仓管理!$A$2:$A$1001=A51)*(加仓管理!$G$2:$G$1001&gt;0)),加仓管理!$D$2:$D$1001),""))</f>
        <v>13.67</v>
      </c>
      <c r="AN51" s="25">
        <f>IF(AK51=0,"",IFERROR(LOOKUP(2,1/((加仓管理!$A$2:$A$1001=A51)*(加仓管理!$G$2:$G$1001&gt;0)),加仓管理!$E$2:$E$1001),""))</f>
        <v>12.4</v>
      </c>
      <c r="AO51" s="25">
        <f>IF(OR(A51="",H51="",H51&lt;=0),"",(E51*H51+SUMIFS(加仓管理!$H$2:$H$1001,加仓管理!$A$2:$A$1001,A51))/AP51)</f>
        <v>9.8455172413793104</v>
      </c>
      <c r="AP51" s="24">
        <f t="shared" si="21"/>
        <v>23200</v>
      </c>
      <c r="AQ51" s="25">
        <f>IF(A51="","",IF(M51&lt;&gt;"",0,IF(OR(H51="",N51=""),"",MAX((E51*H51+SUMIFS(加仓管理!$H$2:$H$1001,加仓管理!$A$2:$A$1001,A51))-MAX(N51,AN51)*AP51,0))))</f>
        <v>0</v>
      </c>
      <c r="AR51" s="25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通过</v>
      </c>
    </row>
    <row r="52" spans="1:44" s="51" customFormat="1">
      <c r="A52" s="41">
        <v>51</v>
      </c>
      <c r="B52" s="42" t="s">
        <v>60</v>
      </c>
      <c r="C52" s="43">
        <v>441160</v>
      </c>
      <c r="D52" s="44">
        <v>0.02</v>
      </c>
      <c r="E52" s="43">
        <v>15.04</v>
      </c>
      <c r="F52" s="45">
        <f t="shared" si="11"/>
        <v>220500</v>
      </c>
      <c r="G52" s="45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41">
        <v>26600</v>
      </c>
      <c r="I52" s="46">
        <v>44438</v>
      </c>
      <c r="J52" s="43">
        <v>18</v>
      </c>
      <c r="K52" s="43">
        <v>16.649999999999999</v>
      </c>
      <c r="L52" s="45">
        <f t="shared" si="12"/>
        <v>32200</v>
      </c>
      <c r="M52" s="46">
        <v>44455</v>
      </c>
      <c r="N52" s="43">
        <v>15</v>
      </c>
      <c r="O52" s="43"/>
      <c r="P52" s="43"/>
      <c r="Q52" s="41"/>
      <c r="R52" s="41"/>
      <c r="S52" s="41"/>
      <c r="T52" s="41"/>
      <c r="U52" s="47">
        <f t="shared" si="13"/>
        <v>0.16116003814438778</v>
      </c>
      <c r="V52" s="47">
        <f t="shared" si="14"/>
        <v>3.2366634879676844E-2</v>
      </c>
      <c r="W52" s="48">
        <f t="shared" si="15"/>
        <v>4.9792027729636148</v>
      </c>
      <c r="X52" s="49">
        <f t="shared" si="16"/>
        <v>36973.999999999978</v>
      </c>
      <c r="Y52" s="47">
        <f t="shared" si="17"/>
        <v>7.4073035283558603E-2</v>
      </c>
      <c r="Z52" s="47">
        <f>IF(OR(AE52="",多次统计数据!$B$8=""),"",AE52-多次统计数据!$B$8)</f>
        <v>-7.2190329681464521E-3</v>
      </c>
      <c r="AA52" s="50">
        <f t="shared" si="18"/>
        <v>17</v>
      </c>
      <c r="AB52" s="47">
        <f>IF(OR(A52="",多次统计数据!$B$8="",多次统计数据!$B$6&lt;=0,多次统计数据!$B$6&gt;=1),"",1-POWER(1+多次统计数据!$B$8,-多次统计数据!$B$6/(1-多次统计数据!$B$6)))</f>
        <v>6.8202299268846023E-2</v>
      </c>
      <c r="AC52" s="45" t="str">
        <f>IF(OR(AB52="",多次统计数据!$B$9=""),"",IF(多次统计数据!$B$9&lt;AB52,"低于上限","达到或超过上限"))</f>
        <v>低于上限</v>
      </c>
      <c r="AD52" s="41"/>
      <c r="AE52" s="47">
        <f t="shared" si="19"/>
        <v>8.381086227219145E-2</v>
      </c>
      <c r="AG52" s="41" t="s">
        <v>50</v>
      </c>
      <c r="AH52" s="41" t="s">
        <v>51</v>
      </c>
      <c r="AI52" s="42" t="s">
        <v>59</v>
      </c>
      <c r="AJ52" s="45" t="str">
        <f t="shared" si="20"/>
        <v>匹配</v>
      </c>
      <c r="AK52" s="52">
        <f>IF(A52="","",COUNTIFS(加仓管理!$A$2:$A$1001,A52,加仓管理!$G$2:$G$1001,"&gt;0"))</f>
        <v>2</v>
      </c>
      <c r="AL52" s="52">
        <f>IF(A52="","",SUMIFS(加仓管理!$G$2:$G$1001,加仓管理!$A$2:$A$1001,A52))</f>
        <v>5600</v>
      </c>
      <c r="AM52" s="53">
        <f>IF(AK52=0,"",IFERROR(LOOKUP(2,1/((加仓管理!$A$2:$A$1001=A52)*(加仓管理!$G$2:$G$1001&gt;0)),加仓管理!$D$2:$D$1001),""))</f>
        <v>18.64</v>
      </c>
      <c r="AN52" s="53">
        <f>IF(AK52=0,"",IFERROR(LOOKUP(2,1/((加仓管理!$A$2:$A$1001=A52)*(加仓管理!$G$2:$G$1001&gt;0)),加仓管理!$E$2:$E$1001),""))</f>
        <v>16.75</v>
      </c>
      <c r="AO52" s="53">
        <f>IF(OR(A52="",H52="",H52&lt;=0),"",(E52*H52+SUMIFS(加仓管理!$H$2:$H$1001,加仓管理!$A$2:$A$1001,A52))/AP52)</f>
        <v>15.501739130434782</v>
      </c>
      <c r="AP52" s="52">
        <f t="shared" si="21"/>
        <v>32200</v>
      </c>
      <c r="AQ52" s="53">
        <f>IF(A52="","",IF(M52&lt;&gt;"",0,IF(OR(H52="",N52=""),"",MAX((E52*H52+SUMIFS(加仓管理!$H$2:$H$1001,加仓管理!$A$2:$A$1001,A52))-MAX(N52,AN52)*AP52,0))))</f>
        <v>0</v>
      </c>
      <c r="AR52" s="5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spans="1:44">
      <c r="A53" s="21">
        <v>52</v>
      </c>
      <c r="B53" s="10" t="s">
        <v>60</v>
      </c>
      <c r="C53" s="7">
        <v>478174</v>
      </c>
      <c r="D53" s="4">
        <v>0.02</v>
      </c>
      <c r="E53" s="7">
        <v>16.899999999999999</v>
      </c>
      <c r="F53" s="6">
        <f t="shared" si="11"/>
        <v>10600</v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1">
        <v>10600</v>
      </c>
      <c r="I53" s="22">
        <v>44720</v>
      </c>
      <c r="J53" s="7">
        <v>19</v>
      </c>
      <c r="K53" s="7">
        <v>17.920000000000002</v>
      </c>
      <c r="L53" s="6">
        <f t="shared" si="12"/>
        <v>13600</v>
      </c>
      <c r="M53" s="22">
        <v>44734</v>
      </c>
      <c r="N53" s="7">
        <v>16</v>
      </c>
      <c r="O53" s="7"/>
      <c r="P53" s="7"/>
      <c r="Q53" s="21"/>
      <c r="R53" s="21"/>
      <c r="S53" s="21"/>
      <c r="T53" s="21"/>
      <c r="U53" s="5">
        <f t="shared" si="13"/>
        <v>9.3710319139930637E-2</v>
      </c>
      <c r="V53" s="5">
        <f t="shared" si="14"/>
        <v>7.8980783882163674E-2</v>
      </c>
      <c r="W53" s="23">
        <f t="shared" si="15"/>
        <v>1.1864951768488758</v>
      </c>
      <c r="X53" s="3">
        <f t="shared" si="16"/>
        <v>7452.0000000000355</v>
      </c>
      <c r="Y53" s="5">
        <f t="shared" si="17"/>
        <v>3.1541522051976786E-2</v>
      </c>
      <c r="Z53" s="5">
        <f>IF(OR(AE53="",多次统计数据!$B$8=""),"",AE53-多次统计数据!$B$8)</f>
        <v>-7.5445610021986353E-2</v>
      </c>
      <c r="AA53" s="8">
        <f t="shared" si="18"/>
        <v>14</v>
      </c>
      <c r="AB53" s="5">
        <f>IF(OR(A53="",多次统计数据!$B$8="",多次统计数据!$B$6&lt;=0,多次统计数据!$B$6&gt;=1),"",1-POWER(1+多次统计数据!$B$8,-多次统计数据!$B$6/(1-多次统计数据!$B$6)))</f>
        <v>6.8202299268846023E-2</v>
      </c>
      <c r="AC53" s="6" t="str">
        <f>IF(OR(AB53="",多次统计数据!$B$9=""),"",IF(多次统计数据!$B$9&lt;AB53,"低于上限","达到或超过上限"))</f>
        <v>低于上限</v>
      </c>
      <c r="AD53" s="21"/>
      <c r="AE53" s="5">
        <f t="shared" si="19"/>
        <v>1.5584285218351554E-2</v>
      </c>
      <c r="AG53" s="21" t="s">
        <v>50</v>
      </c>
      <c r="AH53" s="21" t="s">
        <v>51</v>
      </c>
      <c r="AI53" s="10" t="s">
        <v>59</v>
      </c>
      <c r="AJ53" s="6" t="str">
        <f t="shared" si="20"/>
        <v>匹配</v>
      </c>
      <c r="AK53" s="24">
        <f>IF(A53="","",COUNTIFS(加仓管理!$A$2:$A$1001,A53,加仓管理!$G$2:$G$1001,"&gt;0"))</f>
        <v>1</v>
      </c>
      <c r="AL53" s="24">
        <f>IF(A53="","",SUMIFS(加仓管理!$G$2:$G$1001,加仓管理!$A$2:$A$1001,A53))</f>
        <v>3000</v>
      </c>
      <c r="AM53" s="25">
        <f>IF(AK53=0,"",IFERROR(LOOKUP(2,1/((加仓管理!$A$2:$A$1001=A53)*(加仓管理!$G$2:$G$1001&gt;0)),加仓管理!$D$2:$D$1001),""))</f>
        <v>19.04</v>
      </c>
      <c r="AN53" s="25">
        <f>IF(AK53=0,"",IFERROR(LOOKUP(2,1/((加仓管理!$A$2:$A$1001=A53)*(加仓管理!$G$2:$G$1001&gt;0)),加仓管理!$E$2:$E$1001),""))</f>
        <v>18</v>
      </c>
      <c r="AO53" s="25">
        <f>IF(OR(A53="",H53="",H53&lt;=0),"",(E53*H53+SUMIFS(加仓管理!$H$2:$H$1001,加仓管理!$A$2:$A$1001,A53))/AP53)</f>
        <v>17.372058823529411</v>
      </c>
      <c r="AP53" s="24">
        <f t="shared" si="21"/>
        <v>13600</v>
      </c>
      <c r="AQ53" s="25">
        <f>IF(A53="","",IF(M53&lt;&gt;"",0,IF(OR(H53="",N53=""),"",MAX((E53*H53+SUMIFS(加仓管理!$H$2:$H$1001,加仓管理!$A$2:$A$1001,A53))-MAX(N53,AN53)*AP53,0))))</f>
        <v>0</v>
      </c>
      <c r="AR53" s="25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通过</v>
      </c>
    </row>
    <row r="54" spans="1:44">
      <c r="A54" s="21">
        <v>53</v>
      </c>
      <c r="B54" s="10" t="s">
        <v>60</v>
      </c>
      <c r="C54" s="7">
        <v>485586</v>
      </c>
      <c r="D54" s="4">
        <v>0.02</v>
      </c>
      <c r="E54" s="7">
        <v>20.84</v>
      </c>
      <c r="F54" s="6">
        <f t="shared" si="11"/>
        <v>7200</v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1">
        <v>7200</v>
      </c>
      <c r="I54" s="22">
        <v>44746</v>
      </c>
      <c r="J54" s="7">
        <v>24</v>
      </c>
      <c r="K54" s="7">
        <v>19.34</v>
      </c>
      <c r="L54" s="6">
        <f t="shared" si="12"/>
        <v>7200</v>
      </c>
      <c r="M54" s="22">
        <v>44753</v>
      </c>
      <c r="N54" s="7">
        <v>19.5</v>
      </c>
      <c r="O54" s="7"/>
      <c r="P54" s="7"/>
      <c r="Q54" s="21"/>
      <c r="R54" s="21"/>
      <c r="S54" s="21"/>
      <c r="T54" s="21"/>
      <c r="U54" s="5">
        <f t="shared" si="13"/>
        <v>0.15163147792706336</v>
      </c>
      <c r="V54" s="5">
        <f t="shared" si="14"/>
        <v>6.4299424184261031E-2</v>
      </c>
      <c r="W54" s="23">
        <f t="shared" si="15"/>
        <v>2.3582089552238812</v>
      </c>
      <c r="X54" s="3">
        <f t="shared" si="16"/>
        <v>-10800</v>
      </c>
      <c r="Y54" s="5">
        <f t="shared" si="17"/>
        <v>-7.1976967370441458E-2</v>
      </c>
      <c r="Z54" s="5">
        <f>IF(OR(AE54="",多次统计数据!$B$8=""),"",AE54-多次统计数据!$B$8)</f>
        <v>-0.11327106364305133</v>
      </c>
      <c r="AA54" s="8">
        <f t="shared" si="18"/>
        <v>7</v>
      </c>
      <c r="AB54" s="5">
        <f>IF(OR(A54="",多次统计数据!$B$8="",多次统计数据!$B$6&lt;=0,多次统计数据!$B$6&gt;=1),"",1-POWER(1+多次统计数据!$B$8,-多次统计数据!$B$6/(1-多次统计数据!$B$6)))</f>
        <v>6.8202299268846023E-2</v>
      </c>
      <c r="AC54" s="6" t="str">
        <f>IF(OR(AB54="",多次统计数据!$B$9=""),"",IF(多次统计数据!$B$9&lt;AB54,"低于上限","达到或超过上限"))</f>
        <v>低于上限</v>
      </c>
      <c r="AD54" s="21"/>
      <c r="AE54" s="5">
        <f t="shared" si="19"/>
        <v>-2.2241168402713424E-2</v>
      </c>
      <c r="AG54" s="21" t="s">
        <v>45</v>
      </c>
      <c r="AH54" s="21" t="s">
        <v>46</v>
      </c>
      <c r="AI54" s="10" t="s">
        <v>59</v>
      </c>
      <c r="AJ54" s="6" t="str">
        <f t="shared" si="20"/>
        <v>匹配</v>
      </c>
      <c r="AK54" s="24">
        <f>IF(A54="","",COUNTIFS(加仓管理!$A$2:$A$1001,A54,加仓管理!$G$2:$G$1001,"&gt;0"))</f>
        <v>0</v>
      </c>
      <c r="AL54" s="24">
        <f>IF(A54="","",SUMIFS(加仓管理!$G$2:$G$1001,加仓管理!$A$2:$A$1001,A54))</f>
        <v>0</v>
      </c>
      <c r="AM54" s="25" t="str">
        <f>IF(AK54=0,"",IFERROR(LOOKUP(2,1/((加仓管理!$A$2:$A$1001=A54)*(加仓管理!$G$2:$G$1001&gt;0)),加仓管理!$D$2:$D$1001),""))</f>
        <v/>
      </c>
      <c r="AN54" s="25" t="str">
        <f>IF(AK54=0,"",IFERROR(LOOKUP(2,1/((加仓管理!$A$2:$A$1001=A54)*(加仓管理!$G$2:$G$1001&gt;0)),加仓管理!$E$2:$E$1001),""))</f>
        <v/>
      </c>
      <c r="AO54" s="25">
        <f>IF(OR(A54="",H54="",H54&lt;=0),"",(E54*H54+SUMIFS(加仓管理!$H$2:$H$1001,加仓管理!$A$2:$A$1001,A54))/AP54)</f>
        <v>20.84</v>
      </c>
      <c r="AP54" s="24">
        <f t="shared" si="21"/>
        <v>7200</v>
      </c>
      <c r="AQ54" s="25">
        <f>IF(A54="","",IF(M54&lt;&gt;"",0,IF(OR(H54="",N54=""),"",MAX((E54*H54+SUMIFS(加仓管理!$H$2:$H$1001,加仓管理!$A$2:$A$1001,A54))-MAX(N54,AN54)*AP54,0))))</f>
        <v>0</v>
      </c>
      <c r="AR54" s="25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通过</v>
      </c>
    </row>
    <row r="55" spans="1:44">
      <c r="A55" s="21">
        <v>54</v>
      </c>
      <c r="B55" s="10" t="s">
        <v>60</v>
      </c>
      <c r="C55" s="7">
        <v>474786</v>
      </c>
      <c r="D55" s="4">
        <v>0.02</v>
      </c>
      <c r="E55" s="7">
        <v>16.690000000000001</v>
      </c>
      <c r="F55" s="6">
        <f t="shared" si="11"/>
        <v>13700</v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21">
        <v>13700</v>
      </c>
      <c r="I55" s="22">
        <v>45054</v>
      </c>
      <c r="J55" s="7">
        <v>18</v>
      </c>
      <c r="K55" s="7">
        <v>16.34</v>
      </c>
      <c r="L55" s="6">
        <f t="shared" si="12"/>
        <v>13700</v>
      </c>
      <c r="M55" s="22">
        <v>44702</v>
      </c>
      <c r="N55" s="7">
        <v>16</v>
      </c>
      <c r="O55" s="7"/>
      <c r="P55" s="7"/>
      <c r="Q55" s="21"/>
      <c r="R55" s="21"/>
      <c r="S55" s="21"/>
      <c r="T55" s="21"/>
      <c r="U55" s="5">
        <f t="shared" si="13"/>
        <v>7.8490113840623044E-2</v>
      </c>
      <c r="V55" s="5">
        <f t="shared" si="14"/>
        <v>4.1342121030557295E-2</v>
      </c>
      <c r="W55" s="23">
        <f t="shared" si="15"/>
        <v>1.8985507246376756</v>
      </c>
      <c r="X55" s="3">
        <f t="shared" si="16"/>
        <v>-4795.0000000000191</v>
      </c>
      <c r="Y55" s="5">
        <f t="shared" si="17"/>
        <v>-2.0970641102456642E-2</v>
      </c>
      <c r="Z55" s="5">
        <f>IF(OR(AE55="",多次统计数据!$B$8=""),"",AE55-多次统计数据!$B$8)</f>
        <v>-0.1011291820769338</v>
      </c>
      <c r="AA55" s="8" t="str">
        <f t="shared" si="18"/>
        <v/>
      </c>
      <c r="AB55" s="5">
        <f>IF(OR(A55="",多次统计数据!$B$8="",多次统计数据!$B$6&lt;=0,多次统计数据!$B$6&gt;=1),"",1-POWER(1+多次统计数据!$B$8,-多次统计数据!$B$6/(1-多次统计数据!$B$6)))</f>
        <v>6.8202299268846023E-2</v>
      </c>
      <c r="AC55" s="6" t="str">
        <f>IF(OR(AB55="",多次统计数据!$B$9=""),"",IF(多次统计数据!$B$9&lt;AB55,"低于上限","达到或超过上限"))</f>
        <v>低于上限</v>
      </c>
      <c r="AD55" s="21"/>
      <c r="AE55" s="5">
        <f t="shared" si="19"/>
        <v>-1.0099286836595896E-2</v>
      </c>
      <c r="AG55" s="21" t="s">
        <v>50</v>
      </c>
      <c r="AH55" s="21" t="s">
        <v>51</v>
      </c>
      <c r="AI55" s="10" t="s">
        <v>59</v>
      </c>
      <c r="AJ55" s="6" t="str">
        <f t="shared" si="20"/>
        <v>匹配</v>
      </c>
      <c r="AK55" s="24">
        <f>IF(A55="","",COUNTIFS(加仓管理!$A$2:$A$1001,A55,加仓管理!$G$2:$G$1001,"&gt;0"))</f>
        <v>0</v>
      </c>
      <c r="AL55" s="24">
        <f>IF(A55="","",SUMIFS(加仓管理!$G$2:$G$1001,加仓管理!$A$2:$A$1001,A55))</f>
        <v>0</v>
      </c>
      <c r="AM55" s="25" t="str">
        <f>IF(AK55=0,"",IFERROR(LOOKUP(2,1/((加仓管理!$A$2:$A$1001=A55)*(加仓管理!$G$2:$G$1001&gt;0)),加仓管理!$D$2:$D$1001),""))</f>
        <v/>
      </c>
      <c r="AN55" s="25" t="str">
        <f>IF(AK55=0,"",IFERROR(LOOKUP(2,1/((加仓管理!$A$2:$A$1001=A55)*(加仓管理!$G$2:$G$1001&gt;0)),加仓管理!$E$2:$E$1001),""))</f>
        <v/>
      </c>
      <c r="AO55" s="25">
        <f>IF(OR(A55="",H55="",H55&lt;=0),"",(E55*H55+SUMIFS(加仓管理!$H$2:$H$1001,加仓管理!$A$2:$A$1001,A55))/AP55)</f>
        <v>16.690000000000001</v>
      </c>
      <c r="AP55" s="24">
        <f t="shared" si="21"/>
        <v>13700</v>
      </c>
      <c r="AQ55" s="25">
        <f>IF(A55="","",IF(M55&lt;&gt;"",0,IF(OR(H55="",N55=""),"",MAX((E55*H55+SUMIFS(加仓管理!$H$2:$H$1001,加仓管理!$A$2:$A$1001,A55))-MAX(N55,AN55)*AP55,0))))</f>
        <v>0</v>
      </c>
      <c r="AR55" s="25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spans="1:44">
      <c r="A56" s="21">
        <v>55</v>
      </c>
      <c r="B56" s="10" t="s">
        <v>60</v>
      </c>
      <c r="C56" s="7">
        <v>469991</v>
      </c>
      <c r="D56" s="4">
        <v>0.02</v>
      </c>
      <c r="E56" s="7">
        <v>15.57</v>
      </c>
      <c r="F56" s="6">
        <f t="shared" si="11"/>
        <v>8700</v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21">
        <v>8700</v>
      </c>
      <c r="I56" s="22">
        <v>45357</v>
      </c>
      <c r="J56" s="7">
        <v>18</v>
      </c>
      <c r="K56" s="7">
        <v>14.31</v>
      </c>
      <c r="L56" s="6">
        <f t="shared" si="12"/>
        <v>8700</v>
      </c>
      <c r="M56" s="22">
        <v>45378</v>
      </c>
      <c r="N56" s="7">
        <v>14.5</v>
      </c>
      <c r="O56" s="7"/>
      <c r="P56" s="7"/>
      <c r="Q56" s="21"/>
      <c r="R56" s="21"/>
      <c r="S56" s="21"/>
      <c r="T56" s="21"/>
      <c r="U56" s="5">
        <f t="shared" si="13"/>
        <v>0.15606936416184969</v>
      </c>
      <c r="V56" s="5">
        <f t="shared" si="14"/>
        <v>6.8721901091843299E-2</v>
      </c>
      <c r="W56" s="23">
        <f t="shared" si="15"/>
        <v>2.2710280373831768</v>
      </c>
      <c r="X56" s="3">
        <f t="shared" si="16"/>
        <v>-10961.999999999998</v>
      </c>
      <c r="Y56" s="5">
        <f t="shared" si="17"/>
        <v>-8.0924855491329467E-2</v>
      </c>
      <c r="Z56" s="5">
        <f>IF(OR(AE56="",多次统计数据!$B$8=""),"",AE56-多次统计数据!$B$8)</f>
        <v>-0.11435374612258883</v>
      </c>
      <c r="AA56" s="8">
        <f t="shared" si="18"/>
        <v>21</v>
      </c>
      <c r="AB56" s="5">
        <f>IF(OR(A56="",多次统计数据!$B$8="",多次统计数据!$B$6&lt;=0,多次统计数据!$B$6&gt;=1),"",1-POWER(1+多次统计数据!$B$8,-多次统计数据!$B$6/(1-多次统计数据!$B$6)))</f>
        <v>6.8202299268846023E-2</v>
      </c>
      <c r="AC56" s="6" t="str">
        <f>IF(OR(AB56="",多次统计数据!$B$9=""),"",IF(多次统计数据!$B$9&lt;AB56,"低于上限","达到或超过上限"))</f>
        <v>低于上限</v>
      </c>
      <c r="AD56" s="21"/>
      <c r="AE56" s="5">
        <f t="shared" si="19"/>
        <v>-2.3323850882250932E-2</v>
      </c>
      <c r="AG56" s="21" t="s">
        <v>50</v>
      </c>
      <c r="AH56" s="21" t="s">
        <v>51</v>
      </c>
      <c r="AI56" s="10" t="s">
        <v>59</v>
      </c>
      <c r="AJ56" s="6" t="str">
        <f t="shared" si="20"/>
        <v>匹配</v>
      </c>
      <c r="AK56" s="24">
        <f>IF(A56="","",COUNTIFS(加仓管理!$A$2:$A$1001,A56,加仓管理!$G$2:$G$1001,"&gt;0"))</f>
        <v>0</v>
      </c>
      <c r="AL56" s="24">
        <f>IF(A56="","",SUMIFS(加仓管理!$G$2:$G$1001,加仓管理!$A$2:$A$1001,A56))</f>
        <v>0</v>
      </c>
      <c r="AM56" s="25" t="str">
        <f>IF(AK56=0,"",IFERROR(LOOKUP(2,1/((加仓管理!$A$2:$A$1001=A56)*(加仓管理!$G$2:$G$1001&gt;0)),加仓管理!$D$2:$D$1001),""))</f>
        <v/>
      </c>
      <c r="AN56" s="25" t="str">
        <f>IF(AK56=0,"",IFERROR(LOOKUP(2,1/((加仓管理!$A$2:$A$1001=A56)*(加仓管理!$G$2:$G$1001&gt;0)),加仓管理!$E$2:$E$1001),""))</f>
        <v/>
      </c>
      <c r="AO56" s="25">
        <f>IF(OR(A56="",H56="",H56&lt;=0),"",(E56*H56+SUMIFS(加仓管理!$H$2:$H$1001,加仓管理!$A$2:$A$1001,A56))/AP56)</f>
        <v>15.57</v>
      </c>
      <c r="AP56" s="24">
        <f t="shared" si="21"/>
        <v>8700</v>
      </c>
      <c r="AQ56" s="25">
        <f>IF(A56="","",IF(M56&lt;&gt;"",0,IF(OR(H56="",N56=""),"",MAX((E56*H56+SUMIFS(加仓管理!$H$2:$H$1001,加仓管理!$A$2:$A$1001,A56))-MAX(N56,AN56)*AP56,0))))</f>
        <v>0</v>
      </c>
      <c r="AR56" s="25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pans="1:44" s="51" customFormat="1">
      <c r="A57" s="41">
        <v>56</v>
      </c>
      <c r="B57" s="42" t="s">
        <v>60</v>
      </c>
      <c r="C57" s="43">
        <v>459029</v>
      </c>
      <c r="D57" s="44">
        <v>0.02</v>
      </c>
      <c r="E57" s="43">
        <v>15.79</v>
      </c>
      <c r="F57" s="45">
        <f t="shared" si="11"/>
        <v>7100</v>
      </c>
      <c r="G57" s="45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41">
        <v>7100</v>
      </c>
      <c r="I57" s="46">
        <v>45917</v>
      </c>
      <c r="J57" s="43">
        <v>18</v>
      </c>
      <c r="K57" s="43">
        <v>15.86</v>
      </c>
      <c r="L57" s="45">
        <f t="shared" si="12"/>
        <v>7100</v>
      </c>
      <c r="M57" s="46">
        <v>45834</v>
      </c>
      <c r="N57" s="43">
        <v>14.5</v>
      </c>
      <c r="O57" s="43"/>
      <c r="P57" s="43"/>
      <c r="Q57" s="41"/>
      <c r="R57" s="41"/>
      <c r="S57" s="41"/>
      <c r="T57" s="41"/>
      <c r="U57" s="47">
        <f t="shared" si="13"/>
        <v>0.1399620012666245</v>
      </c>
      <c r="V57" s="47">
        <f t="shared" si="14"/>
        <v>8.1697276757441373E-2</v>
      </c>
      <c r="W57" s="48">
        <f t="shared" si="15"/>
        <v>1.7131782945736451</v>
      </c>
      <c r="X57" s="49">
        <f t="shared" si="16"/>
        <v>497.00000000000205</v>
      </c>
      <c r="Y57" s="47">
        <f t="shared" si="17"/>
        <v>4.4331855604813359E-3</v>
      </c>
      <c r="Z57" s="47">
        <f>IF(OR(AE57="",多次统计数据!$B$8=""),"",AE57-多次统计数据!$B$8)</f>
        <v>-8.9947174976476571E-2</v>
      </c>
      <c r="AA57" s="50" t="str">
        <f t="shared" si="18"/>
        <v/>
      </c>
      <c r="AB57" s="47">
        <f>IF(OR(A57="",多次统计数据!$B$8="",多次统计数据!$B$6&lt;=0,多次统计数据!$B$6&gt;=1),"",1-POWER(1+多次统计数据!$B$8,-多次统计数据!$B$6/(1-多次统计数据!$B$6)))</f>
        <v>6.8202299268846023E-2</v>
      </c>
      <c r="AC57" s="45" t="str">
        <f>IF(OR(AB57="",多次统计数据!$B$9=""),"",IF(多次统计数据!$B$9&lt;AB57,"低于上限","达到或超过上限"))</f>
        <v>低于上限</v>
      </c>
      <c r="AD57" s="41"/>
      <c r="AE57" s="47">
        <f t="shared" si="19"/>
        <v>1.0827202638613292E-3</v>
      </c>
      <c r="AG57" s="41" t="s">
        <v>50</v>
      </c>
      <c r="AH57" s="41" t="s">
        <v>51</v>
      </c>
      <c r="AI57" s="42" t="s">
        <v>59</v>
      </c>
      <c r="AJ57" s="45" t="str">
        <f t="shared" si="20"/>
        <v>匹配</v>
      </c>
      <c r="AK57" s="52">
        <f>IF(A57="","",COUNTIFS(加仓管理!$A$2:$A$1001,A57,加仓管理!$G$2:$G$1001,"&gt;0"))</f>
        <v>0</v>
      </c>
      <c r="AL57" s="52">
        <f>IF(A57="","",SUMIFS(加仓管理!$G$2:$G$1001,加仓管理!$A$2:$A$1001,A57))</f>
        <v>0</v>
      </c>
      <c r="AM57" s="53" t="str">
        <f>IF(AK57=0,"",IFERROR(LOOKUP(2,1/((加仓管理!$A$2:$A$1001=A57)*(加仓管理!$G$2:$G$1001&gt;0)),加仓管理!$D$2:$D$1001),""))</f>
        <v/>
      </c>
      <c r="AN57" s="53" t="str">
        <f>IF(AK57=0,"",IFERROR(LOOKUP(2,1/((加仓管理!$A$2:$A$1001=A57)*(加仓管理!$G$2:$G$1001&gt;0)),加仓管理!$E$2:$E$1001),""))</f>
        <v/>
      </c>
      <c r="AO57" s="53">
        <f>IF(OR(A57="",H57="",H57&lt;=0),"",(E57*H57+SUMIFS(加仓管理!$H$2:$H$1001,加仓管理!$A$2:$A$1001,A57))/AP57)</f>
        <v>15.79</v>
      </c>
      <c r="AP57" s="52">
        <f t="shared" si="21"/>
        <v>7100</v>
      </c>
      <c r="AQ57" s="53">
        <f>IF(A57="","",IF(M57&lt;&gt;"",0,IF(OR(H57="",N57=""),"",MAX((E57*H57+SUMIFS(加仓管理!$H$2:$H$1001,加仓管理!$A$2:$A$1001,A57))-MAX(N57,AN57)*AP57,0))))</f>
        <v>0</v>
      </c>
      <c r="AR57" s="5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通过</v>
      </c>
    </row>
    <row r="58" spans="1:44">
      <c r="A58" s="21">
        <v>57</v>
      </c>
      <c r="B58" s="10" t="s">
        <v>60</v>
      </c>
      <c r="C58" s="7">
        <v>459526</v>
      </c>
      <c r="D58" s="4">
        <v>0.02</v>
      </c>
      <c r="E58" s="7">
        <v>21.18</v>
      </c>
      <c r="F58" s="6">
        <f t="shared" si="11"/>
        <v>7700</v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21">
        <v>7700</v>
      </c>
      <c r="I58" s="22">
        <v>45926</v>
      </c>
      <c r="J58" s="7">
        <v>24</v>
      </c>
      <c r="K58" s="7">
        <v>24.05</v>
      </c>
      <c r="L58" s="6">
        <f t="shared" si="12"/>
        <v>9700</v>
      </c>
      <c r="M58" s="22">
        <v>45973</v>
      </c>
      <c r="N58" s="7">
        <v>20</v>
      </c>
      <c r="O58" s="7"/>
      <c r="P58" s="7"/>
      <c r="Q58" s="21"/>
      <c r="R58" s="21"/>
      <c r="S58" s="21"/>
      <c r="T58" s="21"/>
      <c r="U58" s="5">
        <f t="shared" si="13"/>
        <v>0.10548659455044487</v>
      </c>
      <c r="V58" s="5">
        <f t="shared" si="14"/>
        <v>7.8761171207962596E-2</v>
      </c>
      <c r="W58" s="23">
        <f t="shared" si="15"/>
        <v>1.3393223200289381</v>
      </c>
      <c r="X58" s="3">
        <f t="shared" si="16"/>
        <v>22698.999999999993</v>
      </c>
      <c r="Y58" s="5">
        <f t="shared" si="17"/>
        <v>0.10778969162242501</v>
      </c>
      <c r="Z58" s="5">
        <f>IF(OR(AE58="",多次统计数据!$B$8=""),"",AE58-多次统计数据!$B$8)</f>
        <v>-4.1633343141000777E-2</v>
      </c>
      <c r="AA58" s="8">
        <f t="shared" si="18"/>
        <v>47</v>
      </c>
      <c r="AB58" s="5">
        <f>IF(OR(A58="",多次统计数据!$B$8="",多次统计数据!$B$6&lt;=0,多次统计数据!$B$6&gt;=1),"",1-POWER(1+多次统计数据!$B$8,-多次统计数据!$B$6/(1-多次统计数据!$B$6)))</f>
        <v>6.8202299268846023E-2</v>
      </c>
      <c r="AC58" s="6" t="str">
        <f>IF(OR(AB58="",多次统计数据!$B$9=""),"",IF(多次统计数据!$B$9&lt;AB58,"低于上限","达到或超过上限"))</f>
        <v>低于上限</v>
      </c>
      <c r="AD58" s="21"/>
      <c r="AE58" s="5">
        <f t="shared" si="19"/>
        <v>4.9396552099337125E-2</v>
      </c>
      <c r="AG58" s="21" t="s">
        <v>45</v>
      </c>
      <c r="AH58" s="21" t="s">
        <v>46</v>
      </c>
      <c r="AI58" s="10" t="s">
        <v>59</v>
      </c>
      <c r="AJ58" s="6" t="str">
        <f t="shared" si="20"/>
        <v>匹配</v>
      </c>
      <c r="AK58" s="24">
        <f>IF(A58="","",COUNTIFS(加仓管理!$A$2:$A$1001,A58,加仓管理!$G$2:$G$1001,"&gt;0"))</f>
        <v>1</v>
      </c>
      <c r="AL58" s="24">
        <f>IF(A58="","",SUMIFS(加仓管理!$G$2:$G$1001,加仓管理!$A$2:$A$1001,A58))</f>
        <v>2000</v>
      </c>
      <c r="AM58" s="25">
        <f>IF(AK58=0,"",IFERROR(LOOKUP(2,1/((加仓管理!$A$2:$A$1001=A58)*(加仓管理!$G$2:$G$1001&gt;0)),加仓管理!$D$2:$D$1001),""))</f>
        <v>23.75</v>
      </c>
      <c r="AN58" s="25">
        <f>IF(AK58=0,"",IFERROR(LOOKUP(2,1/((加仓管理!$A$2:$A$1001=A58)*(加仓管理!$G$2:$G$1001&gt;0)),加仓管理!$E$2:$E$1001),""))</f>
        <v>21.05</v>
      </c>
      <c r="AO58" s="25">
        <f>IF(OR(A58="",H58="",H58&lt;=0),"",(E58*H58+SUMIFS(加仓管理!$H$2:$H$1001,加仓管理!$A$2:$A$1001,A58))/AP58)</f>
        <v>21.709896907216496</v>
      </c>
      <c r="AP58" s="24">
        <f t="shared" si="21"/>
        <v>9700</v>
      </c>
      <c r="AQ58" s="25">
        <f>IF(A58="","",IF(M58&lt;&gt;"",0,IF(OR(H58="",N58=""),"",MAX((E58*H58+SUMIFS(加仓管理!$H$2:$H$1001,加仓管理!$A$2:$A$1001,A58))-MAX(N58,AN58)*AP58,0))))</f>
        <v>0</v>
      </c>
      <c r="AR58" s="25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违规：请检查加仓管理表</v>
      </c>
    </row>
    <row r="59" spans="1:44">
      <c r="A59" s="21">
        <v>58</v>
      </c>
      <c r="B59" s="10" t="s">
        <v>60</v>
      </c>
      <c r="C59" s="7">
        <v>482225</v>
      </c>
      <c r="D59" s="4">
        <v>0.02</v>
      </c>
      <c r="E59" s="7">
        <v>28.13</v>
      </c>
      <c r="F59" s="6">
        <f t="shared" si="11"/>
        <v>5900</v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21">
        <v>5900</v>
      </c>
      <c r="I59" s="22">
        <v>46037</v>
      </c>
      <c r="J59" s="7">
        <v>30</v>
      </c>
      <c r="K59" s="7">
        <v>28.54</v>
      </c>
      <c r="L59" s="6">
        <f t="shared" si="12"/>
        <v>5900</v>
      </c>
      <c r="M59" s="22">
        <v>46044</v>
      </c>
      <c r="N59" s="7">
        <v>26.5</v>
      </c>
      <c r="O59" s="7"/>
      <c r="P59" s="7"/>
      <c r="Q59" s="21"/>
      <c r="R59" s="21"/>
      <c r="S59" s="21"/>
      <c r="T59" s="21"/>
      <c r="U59" s="5">
        <f t="shared" si="13"/>
        <v>6.6477070742979066E-2</v>
      </c>
      <c r="V59" s="5">
        <f t="shared" si="14"/>
        <v>5.7945254177035159E-2</v>
      </c>
      <c r="W59" s="23">
        <f t="shared" si="15"/>
        <v>1.1472392638036824</v>
      </c>
      <c r="X59" s="3">
        <f t="shared" si="16"/>
        <v>2419.0000000000009</v>
      </c>
      <c r="Y59" s="5">
        <f t="shared" si="17"/>
        <v>1.4575186633487386E-2</v>
      </c>
      <c r="Z59" s="5">
        <f>IF(OR(AE59="",多次统计数据!$B$8=""),"",AE59-多次统计数据!$B$8)</f>
        <v>-8.6013564689246605E-2</v>
      </c>
      <c r="AA59" s="8">
        <f t="shared" si="18"/>
        <v>7</v>
      </c>
      <c r="AB59" s="5">
        <f>IF(OR(A59="",多次统计数据!$B$8="",多次统计数据!$B$6&lt;=0,多次统计数据!$B$6&gt;=1),"",1-POWER(1+多次统计数据!$B$8,-多次统计数据!$B$6/(1-多次统计数据!$B$6)))</f>
        <v>6.8202299268846023E-2</v>
      </c>
      <c r="AC59" s="6" t="str">
        <f>IF(OR(AB59="",多次统计数据!$B$9=""),"",IF(多次统计数据!$B$9&lt;AB59,"低于上限","达到或超过上限"))</f>
        <v>低于上限</v>
      </c>
      <c r="AD59" s="21"/>
      <c r="AE59" s="5">
        <f t="shared" si="19"/>
        <v>5.0163305510912979E-3</v>
      </c>
      <c r="AG59" s="21" t="s">
        <v>45</v>
      </c>
      <c r="AH59" s="21" t="s">
        <v>46</v>
      </c>
      <c r="AI59" s="10" t="s">
        <v>59</v>
      </c>
      <c r="AJ59" s="6" t="str">
        <f t="shared" si="20"/>
        <v>匹配</v>
      </c>
      <c r="AK59" s="24">
        <f>IF(A59="","",COUNTIFS(加仓管理!$A$2:$A$1001,A59,加仓管理!$G$2:$G$1001,"&gt;0"))</f>
        <v>0</v>
      </c>
      <c r="AL59" s="24">
        <f>IF(A59="","",SUMIFS(加仓管理!$G$2:$G$1001,加仓管理!$A$2:$A$1001,A59))</f>
        <v>0</v>
      </c>
      <c r="AM59" s="25" t="str">
        <f>IF(AK59=0,"",IFERROR(LOOKUP(2,1/((加仓管理!$A$2:$A$1001=A59)*(加仓管理!$G$2:$G$1001&gt;0)),加仓管理!$D$2:$D$1001),""))</f>
        <v/>
      </c>
      <c r="AN59" s="25" t="str">
        <f>IF(AK59=0,"",IFERROR(LOOKUP(2,1/((加仓管理!$A$2:$A$1001=A59)*(加仓管理!$G$2:$G$1001&gt;0)),加仓管理!$E$2:$E$1001),""))</f>
        <v/>
      </c>
      <c r="AO59" s="25">
        <f>IF(OR(A59="",H59="",H59&lt;=0),"",(E59*H59+SUMIFS(加仓管理!$H$2:$H$1001,加仓管理!$A$2:$A$1001,A59))/AP59)</f>
        <v>28.13</v>
      </c>
      <c r="AP59" s="24">
        <f t="shared" si="21"/>
        <v>5900</v>
      </c>
      <c r="AQ59" s="25">
        <f>IF(A59="","",IF(M59&lt;&gt;"",0,IF(OR(H59="",N59=""),"",MAX((E59*H59+SUMIFS(加仓管理!$H$2:$H$1001,加仓管理!$A$2:$A$1001,A59))-MAX(N59,AN59)*AP59,0))))</f>
        <v>0</v>
      </c>
      <c r="AR59" s="25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spans="1:44">
      <c r="A60" s="21">
        <v>59</v>
      </c>
      <c r="B60" s="10" t="s">
        <v>60</v>
      </c>
      <c r="C60" s="7">
        <v>484644</v>
      </c>
      <c r="D60" s="4">
        <v>0.02</v>
      </c>
      <c r="E60" s="7">
        <v>31.13</v>
      </c>
      <c r="F60" s="6">
        <f t="shared" si="11"/>
        <v>5900</v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21">
        <v>5900</v>
      </c>
      <c r="I60" s="22">
        <v>46083</v>
      </c>
      <c r="J60" s="7">
        <v>35</v>
      </c>
      <c r="K60" s="7">
        <v>29.32</v>
      </c>
      <c r="L60" s="6">
        <f t="shared" si="12"/>
        <v>5900</v>
      </c>
      <c r="M60" s="22">
        <v>46084</v>
      </c>
      <c r="N60" s="7">
        <v>29.5</v>
      </c>
      <c r="O60" s="7"/>
      <c r="P60" s="7"/>
      <c r="Q60" s="21"/>
      <c r="R60" s="21"/>
      <c r="S60" s="21"/>
      <c r="T60" s="21"/>
      <c r="U60" s="5">
        <f t="shared" si="13"/>
        <v>0.1243173787343399</v>
      </c>
      <c r="V60" s="5">
        <f t="shared" si="14"/>
        <v>5.2361066495342085E-2</v>
      </c>
      <c r="W60" s="23">
        <f t="shared" si="15"/>
        <v>2.3742331288343577</v>
      </c>
      <c r="X60" s="3">
        <f t="shared" si="16"/>
        <v>-10678.999999999993</v>
      </c>
      <c r="Y60" s="5">
        <f t="shared" si="17"/>
        <v>-5.8143270157404392E-2</v>
      </c>
      <c r="Z60" s="5">
        <f>IF(OR(AE60="",多次统计数据!$B$8=""),"",AE60-多次统计数据!$B$8)</f>
        <v>-0.11306462588798853</v>
      </c>
      <c r="AA60" s="8">
        <f t="shared" si="18"/>
        <v>1</v>
      </c>
      <c r="AB60" s="5">
        <f>IF(OR(A60="",多次统计数据!$B$8="",多次统计数据!$B$6&lt;=0,多次统计数据!$B$6&gt;=1),"",1-POWER(1+多次统计数据!$B$8,-多次统计数据!$B$6/(1-多次统计数据!$B$6)))</f>
        <v>6.8202299268846023E-2</v>
      </c>
      <c r="AC60" s="6" t="str">
        <f>IF(OR(AB60="",多次统计数据!$B$9=""),"",IF(多次统计数据!$B$9&lt;AB60,"低于上限","达到或超过上限"))</f>
        <v>低于上限</v>
      </c>
      <c r="AD60" s="21"/>
      <c r="AE60" s="5">
        <f t="shared" si="19"/>
        <v>-2.203473064765063E-2</v>
      </c>
      <c r="AG60" s="21" t="s">
        <v>45</v>
      </c>
      <c r="AH60" s="21" t="s">
        <v>46</v>
      </c>
      <c r="AI60" s="10" t="s">
        <v>59</v>
      </c>
      <c r="AJ60" s="6" t="str">
        <f t="shared" si="20"/>
        <v>匹配</v>
      </c>
      <c r="AK60" s="24">
        <f>IF(A60="","",COUNTIFS(加仓管理!$A$2:$A$1001,A60,加仓管理!$G$2:$G$1001,"&gt;0"))</f>
        <v>0</v>
      </c>
      <c r="AL60" s="24">
        <f>IF(A60="","",SUMIFS(加仓管理!$G$2:$G$1001,加仓管理!$A$2:$A$1001,A60))</f>
        <v>0</v>
      </c>
      <c r="AM60" s="25" t="str">
        <f>IF(AK60=0,"",IFERROR(LOOKUP(2,1/((加仓管理!$A$2:$A$1001=A60)*(加仓管理!$G$2:$G$1001&gt;0)),加仓管理!$D$2:$D$1001),""))</f>
        <v/>
      </c>
      <c r="AN60" s="25" t="str">
        <f>IF(AK60=0,"",IFERROR(LOOKUP(2,1/((加仓管理!$A$2:$A$1001=A60)*(加仓管理!$G$2:$G$1001&gt;0)),加仓管理!$E$2:$E$1001),""))</f>
        <v/>
      </c>
      <c r="AO60" s="25">
        <f>IF(OR(A60="",H60="",H60&lt;=0),"",(E60*H60+SUMIFS(加仓管理!$H$2:$H$1001,加仓管理!$A$2:$A$1001,A60))/AP60)</f>
        <v>31.13</v>
      </c>
      <c r="AP60" s="24">
        <f t="shared" si="21"/>
        <v>5900</v>
      </c>
      <c r="AQ60" s="25">
        <f>IF(A60="","",IF(M60&lt;&gt;"",0,IF(OR(H60="",N60=""),"",MAX((E60*H60+SUMIFS(加仓管理!$H$2:$H$1001,加仓管理!$A$2:$A$1001,A60))-MAX(N60,AN60)*AP60,0))))</f>
        <v>0</v>
      </c>
      <c r="AR60" s="25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spans="1:44">
      <c r="A61" s="21">
        <v>60</v>
      </c>
      <c r="B61" s="54" t="s">
        <v>162</v>
      </c>
      <c r="C61" s="7">
        <v>473965</v>
      </c>
      <c r="D61" s="4">
        <v>0.02</v>
      </c>
      <c r="E61" s="7">
        <v>5.44</v>
      </c>
      <c r="F61" s="6">
        <f t="shared" si="11"/>
        <v>21500</v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1" s="21">
        <v>21500</v>
      </c>
      <c r="I61" s="22">
        <v>44978</v>
      </c>
      <c r="J61" s="7">
        <v>6.5</v>
      </c>
      <c r="K61" s="7">
        <v>6</v>
      </c>
      <c r="L61" s="6">
        <f t="shared" si="12"/>
        <v>31500</v>
      </c>
      <c r="M61" s="22">
        <v>41366</v>
      </c>
      <c r="N61" s="7">
        <v>5</v>
      </c>
      <c r="O61" s="7"/>
      <c r="P61" s="7"/>
      <c r="Q61" s="21"/>
      <c r="R61" s="21"/>
      <c r="S61" s="21"/>
      <c r="T61" s="21"/>
      <c r="U61" s="5">
        <f t="shared" si="13"/>
        <v>0.14155887600356817</v>
      </c>
      <c r="V61" s="5">
        <f t="shared" si="14"/>
        <v>0.12187778768956295</v>
      </c>
      <c r="W61" s="23">
        <f t="shared" si="15"/>
        <v>1.1614821591948754</v>
      </c>
      <c r="X61" s="3">
        <f t="shared" si="16"/>
        <v>9639.9999999999873</v>
      </c>
      <c r="Y61" s="5">
        <f t="shared" si="17"/>
        <v>5.3746654772524459E-2</v>
      </c>
      <c r="Z61" s="5">
        <f>IF(OR(AE61="",多次统计数据!$B$8=""),"",AE61-多次统计数据!$B$8)</f>
        <v>-7.0690840668797841E-2</v>
      </c>
      <c r="AA61" s="8" t="str">
        <f t="shared" si="18"/>
        <v/>
      </c>
      <c r="AB61" s="5">
        <f>IF(OR(A61="",多次统计数据!$B$8="",多次统计数据!$B$6&lt;=0,多次统计数据!$B$6&gt;=1),"",1-POWER(1+多次统计数据!$B$8,-多次统计数据!$B$6/(1-多次统计数据!$B$6)))</f>
        <v>6.8202299268846023E-2</v>
      </c>
      <c r="AC61" s="6" t="str">
        <f>IF(OR(AB61="",多次统计数据!$B$9=""),"",IF(多次统计数据!$B$9&lt;AB61,"低于上限","达到或超过上限"))</f>
        <v>低于上限</v>
      </c>
      <c r="AD61" s="21"/>
      <c r="AE61" s="5">
        <f t="shared" si="19"/>
        <v>2.0339054571540064E-2</v>
      </c>
      <c r="AG61" s="21" t="s">
        <v>45</v>
      </c>
      <c r="AH61" s="21" t="s">
        <v>46</v>
      </c>
      <c r="AI61" s="10" t="s">
        <v>59</v>
      </c>
      <c r="AJ61" s="6" t="str">
        <f t="shared" si="20"/>
        <v>匹配</v>
      </c>
      <c r="AK61" s="24">
        <f>IF(A61="","",COUNTIFS(加仓管理!$A$2:$A$1001,A61,加仓管理!$G$2:$G$1001,"&gt;0"))</f>
        <v>1</v>
      </c>
      <c r="AL61" s="24">
        <f>IF(A61="","",SUMIFS(加仓管理!$G$2:$G$1001,加仓管理!$A$2:$A$1001,A61))</f>
        <v>10000</v>
      </c>
      <c r="AM61" s="25">
        <f>IF(AK61=0,"",IFERROR(LOOKUP(2,1/((加仓管理!$A$2:$A$1001=A61)*(加仓管理!$G$2:$G$1001&gt;0)),加仓管理!$D$2:$D$1001),""))</f>
        <v>6.24</v>
      </c>
      <c r="AN61" s="25">
        <f>IF(AK61=0,"",IFERROR(LOOKUP(2,1/((加仓管理!$A$2:$A$1001=A61)*(加仓管理!$G$2:$G$1001&gt;0)),加仓管理!$E$2:$E$1001),""))</f>
        <v>5.95</v>
      </c>
      <c r="AO61" s="25">
        <f>IF(OR(A61="",H61="",H61&lt;=0),"",(E61*H61+SUMIFS(加仓管理!$H$2:$H$1001,加仓管理!$A$2:$A$1001,A61))/AP61)</f>
        <v>5.6939682539682543</v>
      </c>
      <c r="AP61" s="24">
        <f t="shared" si="21"/>
        <v>31500</v>
      </c>
      <c r="AQ61" s="25">
        <f>IF(A61="","",IF(M61&lt;&gt;"",0,IF(OR(H61="",N61=""),"",MAX((E61*H61+SUMIFS(加仓管理!$H$2:$H$1001,加仓管理!$A$2:$A$1001,A61))-MAX(N61,AN61)*AP61,0))))</f>
        <v>0</v>
      </c>
      <c r="AR61" s="25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>通过</v>
      </c>
    </row>
    <row r="62" spans="1:44">
      <c r="A62" s="21">
        <v>61</v>
      </c>
      <c r="B62" s="54" t="s">
        <v>162</v>
      </c>
      <c r="C62" s="7">
        <v>483605</v>
      </c>
      <c r="D62" s="4">
        <v>0.02</v>
      </c>
      <c r="E62" s="7">
        <v>6.5</v>
      </c>
      <c r="F62" s="6">
        <f t="shared" si="11"/>
        <v>19300</v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2" s="21">
        <v>19300</v>
      </c>
      <c r="I62" s="22">
        <v>45052</v>
      </c>
      <c r="J62" s="7">
        <v>8</v>
      </c>
      <c r="K62" s="7">
        <v>6.9</v>
      </c>
      <c r="L62" s="6">
        <f t="shared" si="12"/>
        <v>29300</v>
      </c>
      <c r="M62" s="22">
        <v>41432</v>
      </c>
      <c r="N62" s="7">
        <v>6</v>
      </c>
      <c r="O62" s="7"/>
      <c r="P62" s="7"/>
      <c r="Q62" s="21"/>
      <c r="R62" s="21"/>
      <c r="S62" s="21"/>
      <c r="T62" s="21"/>
      <c r="U62" s="5">
        <f t="shared" si="13"/>
        <v>0.18473591104372003</v>
      </c>
      <c r="V62" s="5">
        <f t="shared" si="14"/>
        <v>0.11144806671720997</v>
      </c>
      <c r="W62" s="23">
        <f t="shared" si="15"/>
        <v>1.6575963718820872</v>
      </c>
      <c r="X62" s="3">
        <f t="shared" si="16"/>
        <v>4320.0000000000173</v>
      </c>
      <c r="Y62" s="5">
        <f t="shared" si="17"/>
        <v>2.1834723275208578E-2</v>
      </c>
      <c r="Z62" s="5">
        <f>IF(OR(AE62="",多次统计数据!$B$8=""),"",AE62-多次统计数据!$B$8)</f>
        <v>-8.2096985117406956E-2</v>
      </c>
      <c r="AA62" s="8" t="str">
        <f t="shared" si="18"/>
        <v/>
      </c>
      <c r="AB62" s="5">
        <f>IF(OR(A62="",多次统计数据!$B$8="",多次统计数据!$B$6&lt;=0,多次统计数据!$B$6&gt;=1),"",1-POWER(1+多次统计数据!$B$8,-多次统计数据!$B$6/(1-多次统计数据!$B$6)))</f>
        <v>6.8202299268846023E-2</v>
      </c>
      <c r="AC62" s="6" t="str">
        <f>IF(OR(AB62="",多次统计数据!$B$9=""),"",IF(多次统计数据!$B$9&lt;AB62,"低于上限","达到或超过上限"))</f>
        <v>低于上限</v>
      </c>
      <c r="AD62" s="21"/>
      <c r="AE62" s="5">
        <f t="shared" si="19"/>
        <v>8.9329101229309402E-3</v>
      </c>
      <c r="AG62" s="21" t="s">
        <v>45</v>
      </c>
      <c r="AH62" s="21" t="s">
        <v>46</v>
      </c>
      <c r="AI62" s="10" t="s">
        <v>59</v>
      </c>
      <c r="AJ62" s="6" t="str">
        <f t="shared" si="20"/>
        <v>匹配</v>
      </c>
      <c r="AK62" s="24">
        <f>IF(A62="","",COUNTIFS(加仓管理!$A$2:$A$1001,A62,加仓管理!$G$2:$G$1001,"&gt;0"))</f>
        <v>1</v>
      </c>
      <c r="AL62" s="24">
        <f>IF(A62="","",SUMIFS(加仓管理!$G$2:$G$1001,加仓管理!$A$2:$A$1001,A62))</f>
        <v>10000</v>
      </c>
      <c r="AM62" s="25">
        <f>IF(AK62=0,"",IFERROR(LOOKUP(2,1/((加仓管理!$A$2:$A$1001=A62)*(加仓管理!$G$2:$G$1001&gt;0)),加仓管理!$D$2:$D$1001),""))</f>
        <v>7.24</v>
      </c>
      <c r="AN62" s="25">
        <f>IF(AK62=0,"",IFERROR(LOOKUP(2,1/((加仓管理!$A$2:$A$1001=A62)*(加仓管理!$G$2:$G$1001&gt;0)),加仓管理!$E$2:$E$1001),""))</f>
        <v>6.8</v>
      </c>
      <c r="AO62" s="25">
        <f>IF(OR(A62="",H62="",H62&lt;=0),"",(E62*H62+SUMIFS(加仓管理!$H$2:$H$1001,加仓管理!$A$2:$A$1001,A62))/AP62)</f>
        <v>6.7525597269624571</v>
      </c>
      <c r="AP62" s="24">
        <f t="shared" si="21"/>
        <v>29300</v>
      </c>
      <c r="AQ62" s="25">
        <f>IF(A62="","",IF(M62&lt;&gt;"",0,IF(OR(H62="",N62=""),"",MAX((E62*H62+SUMIFS(加仓管理!$H$2:$H$1001,加仓管理!$A$2:$A$1001,A62))-MAX(N62,AN62)*AP62,0))))</f>
        <v>0</v>
      </c>
      <c r="AR62" s="25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>通过</v>
      </c>
    </row>
    <row r="63" spans="1:44">
      <c r="A63" s="21">
        <v>62</v>
      </c>
      <c r="B63" s="54" t="s">
        <v>162</v>
      </c>
      <c r="C63" s="7">
        <v>487925</v>
      </c>
      <c r="D63" s="4">
        <v>0.02</v>
      </c>
      <c r="E63" s="7">
        <v>7.58</v>
      </c>
      <c r="F63" s="6">
        <f t="shared" si="11"/>
        <v>16800</v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3" s="21">
        <v>16800</v>
      </c>
      <c r="I63" s="22">
        <v>41487</v>
      </c>
      <c r="J63" s="7">
        <v>9</v>
      </c>
      <c r="K63" s="7">
        <v>10.74</v>
      </c>
      <c r="L63" s="6">
        <f t="shared" si="12"/>
        <v>48800</v>
      </c>
      <c r="M63" s="22">
        <v>41570</v>
      </c>
      <c r="N63" s="7">
        <v>7</v>
      </c>
      <c r="O63" s="7"/>
      <c r="P63" s="7"/>
      <c r="Q63" s="21"/>
      <c r="R63" s="21"/>
      <c r="S63" s="21"/>
      <c r="T63" s="21"/>
      <c r="U63" s="5">
        <f t="shared" si="13"/>
        <v>-8.8105726872246774E-3</v>
      </c>
      <c r="V63" s="5">
        <f t="shared" si="14"/>
        <v>0.22907488986784141</v>
      </c>
      <c r="W63" s="23">
        <f t="shared" si="15"/>
        <v>-3.8461538461538491E-2</v>
      </c>
      <c r="X63" s="3">
        <f t="shared" si="16"/>
        <v>81008</v>
      </c>
      <c r="Y63" s="5">
        <f t="shared" si="17"/>
        <v>0.1828193832599119</v>
      </c>
      <c r="Z63" s="5">
        <f>IF(OR(AE63="",多次统计数据!$B$8=""),"",AE63-多次统计数据!$B$8)</f>
        <v>7.4995620976293739E-2</v>
      </c>
      <c r="AA63" s="8">
        <f t="shared" si="18"/>
        <v>83</v>
      </c>
      <c r="AB63" s="5">
        <f>IF(OR(A63="",多次统计数据!$B$8="",多次统计数据!$B$6&lt;=0,多次统计数据!$B$6&gt;=1),"",1-POWER(1+多次统计数据!$B$8,-多次统计数据!$B$6/(1-多次统计数据!$B$6)))</f>
        <v>6.8202299268846023E-2</v>
      </c>
      <c r="AC63" s="6" t="str">
        <f>IF(OR(AB63="",多次统计数据!$B$9=""),"",IF(多次统计数据!$B$9&lt;AB63,"低于上限","达到或超过上限"))</f>
        <v>低于上限</v>
      </c>
      <c r="AD63" s="21"/>
      <c r="AE63" s="5">
        <f t="shared" si="19"/>
        <v>0.16602551621663164</v>
      </c>
      <c r="AG63" s="21" t="s">
        <v>45</v>
      </c>
      <c r="AH63" s="21" t="s">
        <v>46</v>
      </c>
      <c r="AI63" s="10" t="s">
        <v>59</v>
      </c>
      <c r="AJ63" s="6" t="str">
        <f t="shared" si="20"/>
        <v>匹配</v>
      </c>
      <c r="AK63" s="24">
        <f>IF(A63="","",COUNTIFS(加仓管理!$A$2:$A$1001,A63,加仓管理!$G$2:$G$1001,"&gt;0"))</f>
        <v>4</v>
      </c>
      <c r="AL63" s="24">
        <f>IF(A63="","",SUMIFS(加仓管理!$G$2:$G$1001,加仓管理!$A$2:$A$1001,A63))</f>
        <v>32000</v>
      </c>
      <c r="AM63" s="25">
        <f>IF(AK63=0,"",IFERROR(LOOKUP(2,1/((加仓管理!$A$2:$A$1001=A63)*(加仓管理!$G$2:$G$1001&gt;0)),加仓管理!$D$2:$D$1001),""))</f>
        <v>11.61</v>
      </c>
      <c r="AN63" s="25">
        <f>IF(AK63=0,"",IFERROR(LOOKUP(2,1/((加仓管理!$A$2:$A$1001=A63)*(加仓管理!$G$2:$G$1001&gt;0)),加仓管理!$E$2:$E$1001),""))</f>
        <v>10</v>
      </c>
      <c r="AO63" s="25">
        <f>IF(OR(A63="",H63="",H63&lt;=0),"",(E63*H63+SUMIFS(加仓管理!$H$2:$H$1001,加仓管理!$A$2:$A$1001,A63))/AP63)</f>
        <v>9.08</v>
      </c>
      <c r="AP63" s="24">
        <f t="shared" si="21"/>
        <v>48800</v>
      </c>
      <c r="AQ63" s="25">
        <f>IF(A63="","",IF(M63&lt;&gt;"",0,IF(OR(H63="",N63=""),"",MAX((E63*H63+SUMIFS(加仓管理!$H$2:$H$1001,加仓管理!$A$2:$A$1001,A63))-MAX(N63,AN63)*AP63,0))))</f>
        <v>0</v>
      </c>
      <c r="AR63" s="25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>通过</v>
      </c>
    </row>
    <row r="64" spans="1:44">
      <c r="A64" s="21">
        <v>63</v>
      </c>
      <c r="B64" s="54" t="s">
        <v>162</v>
      </c>
      <c r="C64" s="7">
        <v>568933</v>
      </c>
      <c r="D64" s="4">
        <v>0.02</v>
      </c>
      <c r="E64" s="7">
        <v>12.71</v>
      </c>
      <c r="F64" s="6">
        <f t="shared" si="11"/>
        <v>16000</v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4" s="21">
        <v>16000</v>
      </c>
      <c r="I64" s="22">
        <v>41420</v>
      </c>
      <c r="J64" s="7">
        <v>15</v>
      </c>
      <c r="K64" s="7">
        <v>14.24</v>
      </c>
      <c r="L64" s="6">
        <f t="shared" si="12"/>
        <v>26000</v>
      </c>
      <c r="M64" s="22">
        <v>41809</v>
      </c>
      <c r="N64" s="7">
        <v>12</v>
      </c>
      <c r="O64" s="7"/>
      <c r="P64" s="7"/>
      <c r="Q64" s="21"/>
      <c r="R64" s="21"/>
      <c r="S64" s="21"/>
      <c r="T64" s="21"/>
      <c r="U64" s="5">
        <f t="shared" si="13"/>
        <v>0.10682256782835732</v>
      </c>
      <c r="V64" s="5">
        <f t="shared" si="14"/>
        <v>0.11454194573731415</v>
      </c>
      <c r="W64" s="23">
        <f t="shared" si="15"/>
        <v>0.93260654112983088</v>
      </c>
      <c r="X64" s="3">
        <f t="shared" si="16"/>
        <v>17879.999999999993</v>
      </c>
      <c r="Y64" s="5">
        <f t="shared" si="17"/>
        <v>5.07435577250539E-2</v>
      </c>
      <c r="Z64" s="5">
        <f>IF(OR(AE64="",多次统计数据!$B$8=""),"",AE64-多次统计数据!$B$8)</f>
        <v>-5.9602644579891076E-2</v>
      </c>
      <c r="AA64" s="8">
        <f t="shared" si="18"/>
        <v>389</v>
      </c>
      <c r="AB64" s="5">
        <f>IF(OR(A64="",多次统计数据!$B$8="",多次统计数据!$B$6&lt;=0,多次统计数据!$B$6&gt;=1),"",1-POWER(1+多次统计数据!$B$8,-多次统计数据!$B$6/(1-多次统计数据!$B$6)))</f>
        <v>6.8202299268846023E-2</v>
      </c>
      <c r="AC64" s="6" t="str">
        <f>IF(OR(AB64="",多次统计数据!$B$9=""),"",IF(多次统计数据!$B$9&lt;AB64,"低于上限","达到或超过上限"))</f>
        <v>低于上限</v>
      </c>
      <c r="AD64" s="21"/>
      <c r="AE64" s="5">
        <f t="shared" si="19"/>
        <v>3.1427250660446826E-2</v>
      </c>
      <c r="AG64" s="21" t="s">
        <v>45</v>
      </c>
      <c r="AH64" s="21" t="s">
        <v>46</v>
      </c>
      <c r="AI64" s="10" t="s">
        <v>59</v>
      </c>
      <c r="AJ64" s="6" t="str">
        <f t="shared" si="20"/>
        <v>匹配</v>
      </c>
      <c r="AK64" s="24">
        <f>IF(A64="","",COUNTIFS(加仓管理!$A$2:$A$1001,A64,加仓管理!$G$2:$G$1001,"&gt;0"))</f>
        <v>2</v>
      </c>
      <c r="AL64" s="24">
        <f>IF(A64="","",SUMIFS(加仓管理!$G$2:$G$1001,加仓管理!$A$2:$A$1001,A64))</f>
        <v>10000</v>
      </c>
      <c r="AM64" s="25">
        <f>IF(AK64=0,"",IFERROR(LOOKUP(2,1/((加仓管理!$A$2:$A$1001=A64)*(加仓管理!$G$2:$G$1001&gt;0)),加仓管理!$D$2:$D$1001),""))</f>
        <v>15.54</v>
      </c>
      <c r="AN64" s="25">
        <f>IF(AK64=0,"",IFERROR(LOOKUP(2,1/((加仓管理!$A$2:$A$1001=A64)*(加仓管理!$G$2:$G$1001&gt;0)),加仓管理!$E$2:$E$1001),""))</f>
        <v>14.5</v>
      </c>
      <c r="AO64" s="25">
        <f>IF(OR(A64="",H64="",H64&lt;=0),"",(E64*H64+SUMIFS(加仓管理!$H$2:$H$1001,加仓管理!$A$2:$A$1001,A64))/AP64)</f>
        <v>13.552307692307693</v>
      </c>
      <c r="AP64" s="24">
        <f t="shared" si="21"/>
        <v>26000</v>
      </c>
      <c r="AQ64" s="25">
        <f>IF(A64="","",IF(M64&lt;&gt;"",0,IF(OR(H64="",N64=""),"",MAX((E64*H64+SUMIFS(加仓管理!$H$2:$H$1001,加仓管理!$A$2:$A$1001,A64))-MAX(N64,AN64)*AP64,0))))</f>
        <v>0</v>
      </c>
      <c r="AR64" s="25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>通过</v>
      </c>
    </row>
    <row r="65" spans="1:44">
      <c r="A65" s="21">
        <v>64</v>
      </c>
      <c r="B65" s="54" t="s">
        <v>162</v>
      </c>
      <c r="C65" s="7">
        <v>586813</v>
      </c>
      <c r="D65" s="4">
        <v>0.02</v>
      </c>
      <c r="E65" s="7">
        <v>16.23</v>
      </c>
      <c r="F65" s="6">
        <f t="shared" si="11"/>
        <v>16000</v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5" s="21">
        <v>16000</v>
      </c>
      <c r="I65" s="22">
        <v>41828</v>
      </c>
      <c r="J65" s="7">
        <v>20</v>
      </c>
      <c r="K65" s="7">
        <v>15.19</v>
      </c>
      <c r="L65" s="6">
        <f t="shared" si="12"/>
        <v>16000</v>
      </c>
      <c r="M65" s="22">
        <v>41836</v>
      </c>
      <c r="N65" s="7">
        <v>15.5</v>
      </c>
      <c r="O65" s="7"/>
      <c r="P65" s="7"/>
      <c r="Q65" s="21"/>
      <c r="R65" s="21"/>
      <c r="S65" s="21"/>
      <c r="T65" s="21"/>
      <c r="U65" s="5">
        <f t="shared" si="13"/>
        <v>0.23228589032655572</v>
      </c>
      <c r="V65" s="5">
        <f t="shared" si="14"/>
        <v>4.4978434996919309E-2</v>
      </c>
      <c r="W65" s="23">
        <f t="shared" si="15"/>
        <v>5.1643835616438318</v>
      </c>
      <c r="X65" s="3">
        <f t="shared" si="16"/>
        <v>-16640.000000000015</v>
      </c>
      <c r="Y65" s="5">
        <f t="shared" si="17"/>
        <v>-6.4078866296980952E-2</v>
      </c>
      <c r="Z65" s="5">
        <f>IF(OR(AE65="",多次统计数据!$B$8=""),"",AE65-多次统计数据!$B$8)</f>
        <v>-0.11938645857482438</v>
      </c>
      <c r="AA65" s="8">
        <f t="shared" si="18"/>
        <v>8</v>
      </c>
      <c r="AB65" s="5">
        <f>IF(OR(A65="",多次统计数据!$B$8="",多次统计数据!$B$6&lt;=0,多次统计数据!$B$6&gt;=1),"",1-POWER(1+多次统计数据!$B$8,-多次统计数据!$B$6/(1-多次统计数据!$B$6)))</f>
        <v>6.8202299268846023E-2</v>
      </c>
      <c r="AC65" s="6" t="str">
        <f>IF(OR(AB65="",多次统计数据!$B$9=""),"",IF(多次统计数据!$B$9&lt;AB65,"低于上限","达到或超过上限"))</f>
        <v>低于上限</v>
      </c>
      <c r="AD65" s="21"/>
      <c r="AE65" s="5">
        <f t="shared" si="19"/>
        <v>-2.8356563334486478E-2</v>
      </c>
      <c r="AG65" s="21" t="s">
        <v>45</v>
      </c>
      <c r="AH65" s="21" t="s">
        <v>46</v>
      </c>
      <c r="AI65" s="10" t="s">
        <v>59</v>
      </c>
      <c r="AJ65" s="6" t="str">
        <f t="shared" si="20"/>
        <v>匹配</v>
      </c>
      <c r="AK65" s="24">
        <f>IF(A65="","",COUNTIFS(加仓管理!$A$2:$A$1001,A65,加仓管理!$G$2:$G$1001,"&gt;0"))</f>
        <v>0</v>
      </c>
      <c r="AL65" s="24">
        <f>IF(A65="","",SUMIFS(加仓管理!$G$2:$G$1001,加仓管理!$A$2:$A$1001,A65))</f>
        <v>0</v>
      </c>
      <c r="AM65" s="25" t="str">
        <f>IF(AK65=0,"",IFERROR(LOOKUP(2,1/((加仓管理!$A$2:$A$1001=A65)*(加仓管理!$G$2:$G$1001&gt;0)),加仓管理!$D$2:$D$1001),""))</f>
        <v/>
      </c>
      <c r="AN65" s="25" t="str">
        <f>IF(AK65=0,"",IFERROR(LOOKUP(2,1/((加仓管理!$A$2:$A$1001=A65)*(加仓管理!$G$2:$G$1001&gt;0)),加仓管理!$E$2:$E$1001),""))</f>
        <v/>
      </c>
      <c r="AO65" s="25">
        <f>IF(OR(A65="",H65="",H65&lt;=0),"",(E65*H65+SUMIFS(加仓管理!$H$2:$H$1001,加仓管理!$A$2:$A$1001,A65))/AP65)</f>
        <v>16.23</v>
      </c>
      <c r="AP65" s="24">
        <f t="shared" si="21"/>
        <v>16000</v>
      </c>
      <c r="AQ65" s="25">
        <f>IF(A65="","",IF(M65&lt;&gt;"",0,IF(OR(H65="",N65=""),"",MAX((E65*H65+SUMIFS(加仓管理!$H$2:$H$1001,加仓管理!$A$2:$A$1001,A65))-MAX(N65,AN65)*AP65,0))))</f>
        <v>0</v>
      </c>
      <c r="AR65" s="25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>通过</v>
      </c>
    </row>
    <row r="66" spans="1:44">
      <c r="A66" s="21">
        <v>65</v>
      </c>
      <c r="B66" s="54" t="s">
        <v>162</v>
      </c>
      <c r="C66" s="7">
        <v>570173</v>
      </c>
      <c r="D66" s="4">
        <v>0.02</v>
      </c>
      <c r="E66" s="7">
        <v>17.41</v>
      </c>
      <c r="F66" s="6">
        <f t="shared" ref="F66:F97" si="22">IF(OR(C66="",D66="",E66="",N66="",C66&lt;=0,D66&lt;=0,E66&lt;=N66),"",ROUNDDOWN((C66*D66)/(E66-N66)/100,0)*100)</f>
        <v>12500</v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6" s="21">
        <v>12500</v>
      </c>
      <c r="I66" s="22">
        <v>41883</v>
      </c>
      <c r="J66" s="7">
        <v>20</v>
      </c>
      <c r="K66" s="7">
        <v>16.309999999999999</v>
      </c>
      <c r="L66" s="6">
        <f t="shared" ref="L66:L97" si="23">IF(AP66="","",AP66)</f>
        <v>12500</v>
      </c>
      <c r="M66" s="22">
        <v>41898</v>
      </c>
      <c r="N66" s="7">
        <v>16.5</v>
      </c>
      <c r="O66" s="7"/>
      <c r="P66" s="7"/>
      <c r="Q66" s="21"/>
      <c r="R66" s="21"/>
      <c r="S66" s="21"/>
      <c r="T66" s="21"/>
      <c r="U66" s="5">
        <f t="shared" ref="U66:U97" si="24">IF(OR(AO66="",J66="",AO66&lt;=0),"",(J66-AO66)/AO66)</f>
        <v>0.14876507754164273</v>
      </c>
      <c r="V66" s="5">
        <f t="shared" ref="V66:V97" si="25">IF(OR(AO66="",N66="",AO66&lt;=0),"",(AO66-N66)/AO66)</f>
        <v>5.2268811028144749E-2</v>
      </c>
      <c r="W66" s="23">
        <f t="shared" ref="W66:W97" si="26">IF(OR(U66="",V66="",V66&lt;=0),"",U66/V66)</f>
        <v>2.8461538461538458</v>
      </c>
      <c r="X66" s="3">
        <f t="shared" ref="X66:X97" si="27">IF(OR(K66="",L66="",AO66="",AP66=""),"",(K66-AO66)*L66-IF(O66="",0,O66)-IF(P66="",0,P66))</f>
        <v>-13750.000000000018</v>
      </c>
      <c r="Y66" s="5">
        <f t="shared" ref="Y66:Y97" si="28">IF(OR(X66="",AO66="",L66=""),"",IF(AO66*L66+IF(O66="",0,O66)&lt;=0,"",X66/(AO66*L66+IF(O66="",0,O66))))</f>
        <v>-6.3182079264790428E-2</v>
      </c>
      <c r="Z66" s="5">
        <f>IF(OR(AE66="",多次统计数据!$B$8=""),"",AE66-多次统计数据!$B$8)</f>
        <v>-0.11514538299580865</v>
      </c>
      <c r="AA66" s="8">
        <f t="shared" ref="AA66:AA97" si="29">IF(OR(I66="",M66="",M66&lt;I66),"",M66-I66)</f>
        <v>15</v>
      </c>
      <c r="AB66" s="5">
        <f>IF(OR(A66="",多次统计数据!$B$8="",多次统计数据!$B$6&lt;=0,多次统计数据!$B$6&gt;=1),"",1-POWER(1+多次统计数据!$B$8,-多次统计数据!$B$6/(1-多次统计数据!$B$6)))</f>
        <v>6.8202299268846023E-2</v>
      </c>
      <c r="AC66" s="6" t="str">
        <f>IF(OR(AB66="",多次统计数据!$B$9=""),"",IF(多次统计数据!$B$9&lt;AB66,"低于上限","达到或超过上限"))</f>
        <v>低于上限</v>
      </c>
      <c r="AD66" s="21"/>
      <c r="AE66" s="5">
        <f t="shared" ref="AE66:AE97" si="30">IF(OR(X66="",C66="",C66&lt;=0),"",X66/C66)</f>
        <v>-2.4115487755470739E-2</v>
      </c>
      <c r="AG66" s="21" t="s">
        <v>45</v>
      </c>
      <c r="AH66" s="21" t="s">
        <v>46</v>
      </c>
      <c r="AI66" s="10" t="s">
        <v>59</v>
      </c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>匹配</v>
      </c>
      <c r="AK66" s="24">
        <f>IF(A66="","",COUNTIFS(加仓管理!$A$2:$A$1001,A66,加仓管理!$G$2:$G$1001,"&gt;0"))</f>
        <v>0</v>
      </c>
      <c r="AL66" s="24">
        <f>IF(A66="","",SUMIFS(加仓管理!$G$2:$G$1001,加仓管理!$A$2:$A$1001,A66))</f>
        <v>0</v>
      </c>
      <c r="AM66" s="25" t="str">
        <f>IF(AK66=0,"",IFERROR(LOOKUP(2,1/((加仓管理!$A$2:$A$1001=A66)*(加仓管理!$G$2:$G$1001&gt;0)),加仓管理!$D$2:$D$1001),""))</f>
        <v/>
      </c>
      <c r="AN66" s="25" t="str">
        <f>IF(AK66=0,"",IFERROR(LOOKUP(2,1/((加仓管理!$A$2:$A$1001=A66)*(加仓管理!$G$2:$G$1001&gt;0)),加仓管理!$E$2:$E$1001),""))</f>
        <v/>
      </c>
      <c r="AO66" s="25">
        <f>IF(OR(A66="",H66="",H66&lt;=0),"",(E66*H66+SUMIFS(加仓管理!$H$2:$H$1001,加仓管理!$A$2:$A$1001,A66))/AP66)</f>
        <v>17.41</v>
      </c>
      <c r="AP66" s="24">
        <f t="shared" ref="AP66:AP97" si="32">IF(OR(A66="",H66="",H66&lt;=0),"",H66+AL66)</f>
        <v>12500</v>
      </c>
      <c r="AQ66" s="25">
        <f>IF(A66="","",IF(M66&lt;&gt;"",0,IF(OR(H66="",N66=""),"",MAX((E66*H66+SUMIFS(加仓管理!$H$2:$H$1001,加仓管理!$A$2:$A$1001,A66))-MAX(N66,AN66)*AP66,0))))</f>
        <v>0</v>
      </c>
      <c r="AR66" s="25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>通过</v>
      </c>
    </row>
    <row r="67" spans="1:44">
      <c r="A67" s="21">
        <v>66</v>
      </c>
      <c r="B67" s="54" t="s">
        <v>162</v>
      </c>
      <c r="C67" s="7">
        <v>556423</v>
      </c>
      <c r="D67" s="4">
        <v>0.02</v>
      </c>
      <c r="E67" s="7">
        <v>19.75</v>
      </c>
      <c r="F67" s="6">
        <f t="shared" si="22"/>
        <v>14800</v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7" s="21">
        <v>14800</v>
      </c>
      <c r="I67" s="22">
        <v>42041</v>
      </c>
      <c r="J67" s="7">
        <v>22</v>
      </c>
      <c r="K67" s="7">
        <v>19.559999999999999</v>
      </c>
      <c r="L67" s="6">
        <f t="shared" si="23"/>
        <v>14800</v>
      </c>
      <c r="M67" s="22">
        <v>42074</v>
      </c>
      <c r="N67" s="7">
        <v>19</v>
      </c>
      <c r="O67" s="7"/>
      <c r="P67" s="7"/>
      <c r="Q67" s="21"/>
      <c r="R67" s="21"/>
      <c r="S67" s="21"/>
      <c r="T67" s="21"/>
      <c r="U67" s="5">
        <f t="shared" si="24"/>
        <v>0.11392405063291139</v>
      </c>
      <c r="V67" s="5">
        <f t="shared" si="25"/>
        <v>3.7974683544303799E-2</v>
      </c>
      <c r="W67" s="23">
        <f t="shared" si="26"/>
        <v>3</v>
      </c>
      <c r="X67" s="3">
        <f t="shared" si="27"/>
        <v>-2812.0000000000191</v>
      </c>
      <c r="Y67" s="5">
        <f t="shared" si="28"/>
        <v>-9.6202531645570282E-3</v>
      </c>
      <c r="Z67" s="5">
        <f>IF(OR(AE67="",多次统计数据!$B$8=""),"",AE67-多次统计数据!$B$8)</f>
        <v>-9.6083604378889007E-2</v>
      </c>
      <c r="AA67" s="8">
        <f t="shared" si="29"/>
        <v>33</v>
      </c>
      <c r="AB67" s="5">
        <f>IF(OR(A67="",多次统计数据!$B$8="",多次统计数据!$B$6&lt;=0,多次统计数据!$B$6&gt;=1),"",1-POWER(1+多次统计数据!$B$8,-多次统计数据!$B$6/(1-多次统计数据!$B$6)))</f>
        <v>6.8202299268846023E-2</v>
      </c>
      <c r="AC67" s="6" t="str">
        <f>IF(OR(AB67="",多次统计数据!$B$9=""),"",IF(多次统计数据!$B$9&lt;AB67,"低于上限","达到或超过上限"))</f>
        <v>低于上限</v>
      </c>
      <c r="AD67" s="21"/>
      <c r="AE67" s="5">
        <f t="shared" si="30"/>
        <v>-5.0537091385511003E-3</v>
      </c>
      <c r="AG67" s="21" t="s">
        <v>45</v>
      </c>
      <c r="AH67" s="21" t="s">
        <v>46</v>
      </c>
      <c r="AI67" s="10" t="s">
        <v>59</v>
      </c>
      <c r="AJ67" s="6" t="str">
        <f t="shared" si="31"/>
        <v>匹配</v>
      </c>
      <c r="AK67" s="24">
        <f>IF(A67="","",COUNTIFS(加仓管理!$A$2:$A$1001,A67,加仓管理!$G$2:$G$1001,"&gt;0"))</f>
        <v>0</v>
      </c>
      <c r="AL67" s="24">
        <f>IF(A67="","",SUMIFS(加仓管理!$G$2:$G$1001,加仓管理!$A$2:$A$1001,A67))</f>
        <v>0</v>
      </c>
      <c r="AM67" s="25" t="str">
        <f>IF(AK67=0,"",IFERROR(LOOKUP(2,1/((加仓管理!$A$2:$A$1001=A67)*(加仓管理!$G$2:$G$1001&gt;0)),加仓管理!$D$2:$D$1001),""))</f>
        <v/>
      </c>
      <c r="AN67" s="25" t="str">
        <f>IF(AK67=0,"",IFERROR(LOOKUP(2,1/((加仓管理!$A$2:$A$1001=A67)*(加仓管理!$G$2:$G$1001&gt;0)),加仓管理!$E$2:$E$1001),""))</f>
        <v/>
      </c>
      <c r="AO67" s="25">
        <f>IF(OR(A67="",H67="",H67&lt;=0),"",(E67*H67+SUMIFS(加仓管理!$H$2:$H$1001,加仓管理!$A$2:$A$1001,A67))/AP67)</f>
        <v>19.75</v>
      </c>
      <c r="AP67" s="24">
        <f t="shared" si="32"/>
        <v>14800</v>
      </c>
      <c r="AQ67" s="25">
        <f>IF(A67="","",IF(M67&lt;&gt;"",0,IF(OR(H67="",N67=""),"",MAX((E67*H67+SUMIFS(加仓管理!$H$2:$H$1001,加仓管理!$A$2:$A$1001,A67))-MAX(N67,AN67)*AP67,0))))</f>
        <v>0</v>
      </c>
      <c r="AR67" s="25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>通过</v>
      </c>
    </row>
    <row r="68" spans="1:44">
      <c r="A68" s="21">
        <v>67</v>
      </c>
      <c r="B68" s="54" t="s">
        <v>162</v>
      </c>
      <c r="C68" s="7">
        <v>553611</v>
      </c>
      <c r="D68" s="4">
        <v>0.02</v>
      </c>
      <c r="E68" s="7">
        <v>22.51</v>
      </c>
      <c r="F68" s="6">
        <f t="shared" si="22"/>
        <v>10900</v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8" s="21">
        <v>10900</v>
      </c>
      <c r="I68" s="22">
        <v>42083</v>
      </c>
      <c r="J68" s="7">
        <v>25</v>
      </c>
      <c r="K68" s="7">
        <v>22.78</v>
      </c>
      <c r="L68" s="6">
        <f t="shared" si="23"/>
        <v>10900</v>
      </c>
      <c r="M68" s="22">
        <v>42109</v>
      </c>
      <c r="N68" s="7">
        <v>21.5</v>
      </c>
      <c r="O68" s="7"/>
      <c r="P68" s="7"/>
      <c r="Q68" s="21"/>
      <c r="R68" s="21"/>
      <c r="S68" s="21"/>
      <c r="T68" s="21"/>
      <c r="U68" s="5">
        <f t="shared" si="24"/>
        <v>0.11061750333185243</v>
      </c>
      <c r="V68" s="5">
        <f t="shared" si="25"/>
        <v>4.4868947134606908E-2</v>
      </c>
      <c r="W68" s="23">
        <f t="shared" si="26"/>
        <v>2.46534653465346</v>
      </c>
      <c r="X68" s="3">
        <f t="shared" si="27"/>
        <v>2942.9999999999955</v>
      </c>
      <c r="Y68" s="5">
        <f t="shared" si="28"/>
        <v>1.1994669035983988E-2</v>
      </c>
      <c r="Z68" s="5">
        <f>IF(OR(AE68="",多次统计数据!$B$8=""),"",AE68-多次统计数据!$B$8)</f>
        <v>-8.5713888152328457E-2</v>
      </c>
      <c r="AA68" s="8">
        <f t="shared" si="29"/>
        <v>26</v>
      </c>
      <c r="AB68" s="5">
        <f>IF(OR(A68="",多次统计数据!$B$8="",多次统计数据!$B$6&lt;=0,多次统计数据!$B$6&gt;=1),"",1-POWER(1+多次统计数据!$B$8,-多次统计数据!$B$6/(1-多次统计数据!$B$6)))</f>
        <v>6.8202299268846023E-2</v>
      </c>
      <c r="AC68" s="6" t="str">
        <f>IF(OR(AB68="",多次统计数据!$B$9=""),"",IF(多次统计数据!$B$9&lt;AB68,"低于上限","达到或超过上限"))</f>
        <v>低于上限</v>
      </c>
      <c r="AD68" s="21"/>
      <c r="AE68" s="5">
        <f t="shared" si="30"/>
        <v>5.3160070880094428E-3</v>
      </c>
      <c r="AG68" s="21" t="s">
        <v>45</v>
      </c>
      <c r="AH68" s="21" t="s">
        <v>46</v>
      </c>
      <c r="AI68" s="10" t="s">
        <v>59</v>
      </c>
      <c r="AJ68" s="6" t="str">
        <f t="shared" si="31"/>
        <v>匹配</v>
      </c>
      <c r="AK68" s="24">
        <f>IF(A68="","",COUNTIFS(加仓管理!$A$2:$A$1001,A68,加仓管理!$G$2:$G$1001,"&gt;0"))</f>
        <v>0</v>
      </c>
      <c r="AL68" s="24">
        <f>IF(A68="","",SUMIFS(加仓管理!$G$2:$G$1001,加仓管理!$A$2:$A$1001,A68))</f>
        <v>0</v>
      </c>
      <c r="AM68" s="25" t="str">
        <f>IF(AK68=0,"",IFERROR(LOOKUP(2,1/((加仓管理!$A$2:$A$1001=A68)*(加仓管理!$G$2:$G$1001&gt;0)),加仓管理!$D$2:$D$1001),""))</f>
        <v/>
      </c>
      <c r="AN68" s="25" t="str">
        <f>IF(AK68=0,"",IFERROR(LOOKUP(2,1/((加仓管理!$A$2:$A$1001=A68)*(加仓管理!$G$2:$G$1001&gt;0)),加仓管理!$E$2:$E$1001),""))</f>
        <v/>
      </c>
      <c r="AO68" s="25">
        <f>IF(OR(A68="",H68="",H68&lt;=0),"",(E68*H68+SUMIFS(加仓管理!$H$2:$H$1001,加仓管理!$A$2:$A$1001,A68))/AP68)</f>
        <v>22.51</v>
      </c>
      <c r="AP68" s="24">
        <f t="shared" si="32"/>
        <v>10900</v>
      </c>
      <c r="AQ68" s="25">
        <f>IF(A68="","",IF(M68&lt;&gt;"",0,IF(OR(H68="",N68=""),"",MAX((E68*H68+SUMIFS(加仓管理!$H$2:$H$1001,加仓管理!$A$2:$A$1001,A68))-MAX(N68,AN68)*AP68,0))))</f>
        <v>0</v>
      </c>
      <c r="AR68" s="25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>通过</v>
      </c>
    </row>
    <row r="69" spans="1:44">
      <c r="A69" s="21">
        <v>68</v>
      </c>
      <c r="B69" s="54" t="s">
        <v>162</v>
      </c>
      <c r="C69" s="7">
        <v>556554</v>
      </c>
      <c r="D69" s="4">
        <v>0.02</v>
      </c>
      <c r="E69" s="7">
        <v>27.22</v>
      </c>
      <c r="F69" s="6">
        <f t="shared" si="22"/>
        <v>5000</v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9" s="21">
        <v>5000</v>
      </c>
      <c r="I69" s="22">
        <v>42118</v>
      </c>
      <c r="J69" s="7">
        <v>30</v>
      </c>
      <c r="K69" s="7">
        <v>30</v>
      </c>
      <c r="L69" s="6">
        <f t="shared" si="23"/>
        <v>10000</v>
      </c>
      <c r="M69" s="22">
        <v>42171</v>
      </c>
      <c r="N69" s="7">
        <v>25</v>
      </c>
      <c r="O69" s="7"/>
      <c r="P69" s="7"/>
      <c r="Q69" s="21"/>
      <c r="R69" s="21"/>
      <c r="S69" s="21"/>
      <c r="T69" s="21"/>
      <c r="U69" s="5">
        <f t="shared" si="24"/>
        <v>7.3029463611181443E-3</v>
      </c>
      <c r="V69" s="5">
        <f t="shared" si="25"/>
        <v>0.16058087803240154</v>
      </c>
      <c r="W69" s="23">
        <f t="shared" si="26"/>
        <v>4.5478306325144005E-2</v>
      </c>
      <c r="X69" s="3">
        <f t="shared" si="27"/>
        <v>2175.0000000000114</v>
      </c>
      <c r="Y69" s="5">
        <f t="shared" si="28"/>
        <v>7.3029463611181443E-3</v>
      </c>
      <c r="Z69" s="5">
        <f>IF(OR(AE69="",多次统计数据!$B$8=""),"",AE69-多次统计数据!$B$8)</f>
        <v>-8.7121918655855515E-2</v>
      </c>
      <c r="AA69" s="8">
        <f t="shared" si="29"/>
        <v>53</v>
      </c>
      <c r="AB69" s="5">
        <f>IF(OR(A69="",多次统计数据!$B$8="",多次统计数据!$B$6&lt;=0,多次统计数据!$B$6&gt;=1),"",1-POWER(1+多次统计数据!$B$8,-多次统计数据!$B$6/(1-多次统计数据!$B$6)))</f>
        <v>6.8202299268846023E-2</v>
      </c>
      <c r="AC69" s="6" t="str">
        <f>IF(OR(AB69="",多次统计数据!$B$9=""),"",IF(多次统计数据!$B$9&lt;AB69,"低于上限","达到或超过上限"))</f>
        <v>低于上限</v>
      </c>
      <c r="AD69" s="21"/>
      <c r="AE69" s="5">
        <f t="shared" si="30"/>
        <v>3.9079765844823883E-3</v>
      </c>
      <c r="AG69" s="21" t="s">
        <v>45</v>
      </c>
      <c r="AH69" s="21" t="s">
        <v>46</v>
      </c>
      <c r="AI69" s="10" t="s">
        <v>59</v>
      </c>
      <c r="AJ69" s="6" t="str">
        <f t="shared" si="31"/>
        <v>匹配</v>
      </c>
      <c r="AK69" s="24">
        <f>IF(A69="","",COUNTIFS(加仓管理!$A$2:$A$1001,A69,加仓管理!$G$2:$G$1001,"&gt;0"))</f>
        <v>2</v>
      </c>
      <c r="AL69" s="24">
        <f>IF(A69="","",SUMIFS(加仓管理!$G$2:$G$1001,加仓管理!$A$2:$A$1001,A69))</f>
        <v>5000</v>
      </c>
      <c r="AM69" s="25">
        <f>IF(AK69=0,"",IFERROR(LOOKUP(2,1/((加仓管理!$A$2:$A$1001=A69)*(加仓管理!$G$2:$G$1001&gt;0)),加仓管理!$D$2:$D$1001),""))</f>
        <v>33.909999999999997</v>
      </c>
      <c r="AN69" s="25">
        <f>IF(AK69=0,"",IFERROR(LOOKUP(2,1/((加仓管理!$A$2:$A$1001=A69)*(加仓管理!$G$2:$G$1001&gt;0)),加仓管理!$E$2:$E$1001),""))</f>
        <v>30.5</v>
      </c>
      <c r="AO69" s="25">
        <f>IF(OR(A69="",H69="",H69&lt;=0),"",(E69*H69+SUMIFS(加仓管理!$H$2:$H$1001,加仓管理!$A$2:$A$1001,A69))/AP69)</f>
        <v>29.782499999999999</v>
      </c>
      <c r="AP69" s="24">
        <f t="shared" si="32"/>
        <v>10000</v>
      </c>
      <c r="AQ69" s="25">
        <f>IF(A69="","",IF(M69&lt;&gt;"",0,IF(OR(H69="",N69=""),"",MAX((E69*H69+SUMIFS(加仓管理!$H$2:$H$1001,加仓管理!$A$2:$A$1001,A69))-MAX(N69,AN69)*AP69,0))))</f>
        <v>0</v>
      </c>
      <c r="AR69" s="25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>通过</v>
      </c>
    </row>
    <row r="70" spans="1:44">
      <c r="A70" s="21">
        <v>69</v>
      </c>
      <c r="B70" s="54" t="s">
        <v>162</v>
      </c>
      <c r="C70" s="7">
        <v>558729</v>
      </c>
      <c r="D70" s="4">
        <v>0.02</v>
      </c>
      <c r="E70" s="7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21"/>
      <c r="I70" s="22"/>
      <c r="J70" s="7"/>
      <c r="K70" s="7"/>
      <c r="L70" s="6" t="str">
        <f t="shared" si="23"/>
        <v/>
      </c>
      <c r="M70" s="22"/>
      <c r="N70" s="7"/>
      <c r="O70" s="7"/>
      <c r="P70" s="7"/>
      <c r="Q70" s="21"/>
      <c r="R70" s="21"/>
      <c r="S70" s="21"/>
      <c r="T70" s="21"/>
      <c r="U70" s="5" t="str">
        <f t="shared" si="24"/>
        <v/>
      </c>
      <c r="V70" s="5" t="str">
        <f t="shared" si="25"/>
        <v/>
      </c>
      <c r="W70" s="23" t="str">
        <f t="shared" si="26"/>
        <v/>
      </c>
      <c r="X70" s="3" t="str">
        <f t="shared" si="27"/>
        <v/>
      </c>
      <c r="Y70" s="5" t="str">
        <f t="shared" si="28"/>
        <v/>
      </c>
      <c r="Z70" s="5" t="str">
        <f>IF(OR(AE70="",多次统计数据!$B$8=""),"",AE70-多次统计数据!$B$8)</f>
        <v/>
      </c>
      <c r="AA70" s="8" t="str">
        <f t="shared" si="29"/>
        <v/>
      </c>
      <c r="AB70" s="5">
        <f>IF(OR(A70="",多次统计数据!$B$8="",多次统计数据!$B$6&lt;=0,多次统计数据!$B$6&gt;=1),"",1-POWER(1+多次统计数据!$B$8,-多次统计数据!$B$6/(1-多次统计数据!$B$6)))</f>
        <v>6.8202299268846023E-2</v>
      </c>
      <c r="AC70" s="6" t="str">
        <f>IF(OR(AB70="",多次统计数据!$B$9=""),"",IF(多次统计数据!$B$9&lt;AB70,"低于上限","达到或超过上限"))</f>
        <v>低于上限</v>
      </c>
      <c r="AD70" s="21"/>
      <c r="AE70" s="5" t="str">
        <f t="shared" si="30"/>
        <v/>
      </c>
      <c r="AG70" s="21"/>
      <c r="AH70" s="21"/>
      <c r="AI70" s="21"/>
      <c r="AJ70" s="6" t="str">
        <f t="shared" si="31"/>
        <v/>
      </c>
      <c r="AK70" s="24">
        <f>IF(A70="","",COUNTIFS(加仓管理!$A$2:$A$1001,A70,加仓管理!$G$2:$G$1001,"&gt;0"))</f>
        <v>0</v>
      </c>
      <c r="AL70" s="24">
        <f>IF(A70="","",SUMIFS(加仓管理!$G$2:$G$1001,加仓管理!$A$2:$A$1001,A70))</f>
        <v>0</v>
      </c>
      <c r="AM70" s="25" t="str">
        <f>IF(AK70=0,"",IFERROR(LOOKUP(2,1/((加仓管理!$A$2:$A$1001=A70)*(加仓管理!$G$2:$G$1001&gt;0)),加仓管理!$D$2:$D$1001),""))</f>
        <v/>
      </c>
      <c r="AN70" s="25" t="str">
        <f>IF(AK70=0,"",IFERROR(LOOKUP(2,1/((加仓管理!$A$2:$A$1001=A70)*(加仓管理!$G$2:$G$1001&gt;0)),加仓管理!$E$2:$E$1001),""))</f>
        <v/>
      </c>
      <c r="AO70" s="25" t="str">
        <f>IF(OR(A70="",H70="",H70&lt;=0),"",(E70*H70+SUMIFS(加仓管理!$H$2:$H$1001,加仓管理!$A$2:$A$1001,A70))/AP70)</f>
        <v/>
      </c>
      <c r="AP70" s="24" t="str">
        <f t="shared" si="32"/>
        <v/>
      </c>
      <c r="AQ70" s="25" t="str">
        <f>IF(A70="","",IF(M70&lt;&gt;"",0,IF(OR(H70="",N70=""),"",MAX((E70*H70+SUMIFS(加仓管理!$H$2:$H$1001,加仓管理!$A$2:$A$1001,A70))-MAX(N70,AN70)*AP70,0))))</f>
        <v/>
      </c>
      <c r="AR70" s="25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>违规：首次买入价格或股数缺失</v>
      </c>
    </row>
    <row r="71" spans="1:44">
      <c r="A71" s="21"/>
      <c r="B71" s="21"/>
      <c r="C71" s="7"/>
      <c r="D71" s="4"/>
      <c r="E71" s="7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21"/>
      <c r="I71" s="22"/>
      <c r="J71" s="7"/>
      <c r="K71" s="7"/>
      <c r="L71" s="6" t="str">
        <f t="shared" si="23"/>
        <v/>
      </c>
      <c r="M71" s="22"/>
      <c r="N71" s="7"/>
      <c r="O71" s="7"/>
      <c r="P71" s="7"/>
      <c r="Q71" s="21"/>
      <c r="R71" s="21"/>
      <c r="S71" s="21"/>
      <c r="T71" s="21"/>
      <c r="U71" s="5" t="str">
        <f t="shared" si="24"/>
        <v/>
      </c>
      <c r="V71" s="5" t="str">
        <f t="shared" si="25"/>
        <v/>
      </c>
      <c r="W71" s="23" t="str">
        <f t="shared" si="26"/>
        <v/>
      </c>
      <c r="X71" s="3" t="str">
        <f t="shared" si="27"/>
        <v/>
      </c>
      <c r="Y71" s="5" t="str">
        <f t="shared" si="28"/>
        <v/>
      </c>
      <c r="Z71" s="5" t="str">
        <f>IF(OR(AE71="",多次统计数据!$B$8=""),"",AE71-多次统计数据!$B$8)</f>
        <v/>
      </c>
      <c r="AA71" s="8" t="str">
        <f t="shared" si="29"/>
        <v/>
      </c>
      <c r="AB71" s="5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21"/>
      <c r="AE71" s="5" t="str">
        <f t="shared" si="30"/>
        <v/>
      </c>
      <c r="AG71" s="21"/>
      <c r="AH71" s="21"/>
      <c r="AI71" s="21"/>
      <c r="AJ71" s="6" t="str">
        <f t="shared" si="31"/>
        <v/>
      </c>
      <c r="AK71" s="24" t="str">
        <f>IF(A71="","",COUNTIFS(加仓管理!$A$2:$A$1001,A71,加仓管理!$G$2:$G$1001,"&gt;0"))</f>
        <v/>
      </c>
      <c r="AL71" s="24" t="str">
        <f>IF(A71="","",SUMIFS(加仓管理!$G$2:$G$1001,加仓管理!$A$2:$A$1001,A71))</f>
        <v/>
      </c>
      <c r="AM71" s="25" t="str">
        <f>IF(AK71=0,"",IFERROR(LOOKUP(2,1/((加仓管理!$A$2:$A$1001=A71)*(加仓管理!$G$2:$G$1001&gt;0)),加仓管理!$D$2:$D$1001),""))</f>
        <v/>
      </c>
      <c r="AN71" s="25" t="str">
        <f>IF(AK71=0,"",IFERROR(LOOKUP(2,1/((加仓管理!$A$2:$A$1001=A71)*(加仓管理!$G$2:$G$1001&gt;0)),加仓管理!$E$2:$E$1001),""))</f>
        <v/>
      </c>
      <c r="AO71" s="25" t="str">
        <f>IF(OR(A71="",H71="",H71&lt;=0),"",(E71*H71+SUMIFS(加仓管理!$H$2:$H$1001,加仓管理!$A$2:$A$1001,A71))/AP71)</f>
        <v/>
      </c>
      <c r="AP71" s="24" t="str">
        <f t="shared" si="32"/>
        <v/>
      </c>
      <c r="AQ71" s="25" t="str">
        <f>IF(A71="","",IF(M71&lt;&gt;"",0,IF(OR(H71="",N71=""),"",MAX((E71*H71+SUMIFS(加仓管理!$H$2:$H$1001,加仓管理!$A$2:$A$1001,A71))-MAX(N71,AN71)*AP71,0))))</f>
        <v/>
      </c>
      <c r="AR71" s="25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21"/>
      <c r="B72" s="21"/>
      <c r="C72" s="7"/>
      <c r="D72" s="4"/>
      <c r="E72" s="7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21"/>
      <c r="I72" s="22"/>
      <c r="J72" s="7"/>
      <c r="K72" s="7"/>
      <c r="L72" s="6" t="str">
        <f t="shared" si="23"/>
        <v/>
      </c>
      <c r="M72" s="22"/>
      <c r="N72" s="7"/>
      <c r="O72" s="7"/>
      <c r="P72" s="7"/>
      <c r="Q72" s="21"/>
      <c r="R72" s="21"/>
      <c r="S72" s="21"/>
      <c r="T72" s="21"/>
      <c r="U72" s="5" t="str">
        <f t="shared" si="24"/>
        <v/>
      </c>
      <c r="V72" s="5" t="str">
        <f t="shared" si="25"/>
        <v/>
      </c>
      <c r="W72" s="23" t="str">
        <f t="shared" si="26"/>
        <v/>
      </c>
      <c r="X72" s="3" t="str">
        <f t="shared" si="27"/>
        <v/>
      </c>
      <c r="Y72" s="5" t="str">
        <f t="shared" si="28"/>
        <v/>
      </c>
      <c r="Z72" s="5" t="str">
        <f>IF(OR(AE72="",多次统计数据!$B$8=""),"",AE72-多次统计数据!$B$8)</f>
        <v/>
      </c>
      <c r="AA72" s="8" t="str">
        <f t="shared" si="29"/>
        <v/>
      </c>
      <c r="AB72" s="5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21"/>
      <c r="AE72" s="5" t="str">
        <f t="shared" si="30"/>
        <v/>
      </c>
      <c r="AG72" s="21"/>
      <c r="AH72" s="21"/>
      <c r="AI72" s="21"/>
      <c r="AJ72" s="6" t="str">
        <f t="shared" si="31"/>
        <v/>
      </c>
      <c r="AK72" s="24" t="str">
        <f>IF(A72="","",COUNTIFS(加仓管理!$A$2:$A$1001,A72,加仓管理!$G$2:$G$1001,"&gt;0"))</f>
        <v/>
      </c>
      <c r="AL72" s="24" t="str">
        <f>IF(A72="","",SUMIFS(加仓管理!$G$2:$G$1001,加仓管理!$A$2:$A$1001,A72))</f>
        <v/>
      </c>
      <c r="AM72" s="25" t="str">
        <f>IF(AK72=0,"",IFERROR(LOOKUP(2,1/((加仓管理!$A$2:$A$1001=A72)*(加仓管理!$G$2:$G$1001&gt;0)),加仓管理!$D$2:$D$1001),""))</f>
        <v/>
      </c>
      <c r="AN72" s="25" t="str">
        <f>IF(AK72=0,"",IFERROR(LOOKUP(2,1/((加仓管理!$A$2:$A$1001=A72)*(加仓管理!$G$2:$G$1001&gt;0)),加仓管理!$E$2:$E$1001),""))</f>
        <v/>
      </c>
      <c r="AO72" s="25" t="str">
        <f>IF(OR(A72="",H72="",H72&lt;=0),"",(E72*H72+SUMIFS(加仓管理!$H$2:$H$1001,加仓管理!$A$2:$A$1001,A72))/AP72)</f>
        <v/>
      </c>
      <c r="AP72" s="24" t="str">
        <f t="shared" si="32"/>
        <v/>
      </c>
      <c r="AQ72" s="25" t="str">
        <f>IF(A72="","",IF(M72&lt;&gt;"",0,IF(OR(H72="",N72=""),"",MAX((E72*H72+SUMIFS(加仓管理!$H$2:$H$1001,加仓管理!$A$2:$A$1001,A72))-MAX(N72,AN72)*AP72,0))))</f>
        <v/>
      </c>
      <c r="AR72" s="25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21"/>
      <c r="B73" s="21"/>
      <c r="C73" s="7"/>
      <c r="D73" s="4"/>
      <c r="E73" s="7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21"/>
      <c r="I73" s="22"/>
      <c r="J73" s="7"/>
      <c r="K73" s="7"/>
      <c r="L73" s="6" t="str">
        <f t="shared" si="23"/>
        <v/>
      </c>
      <c r="M73" s="22"/>
      <c r="N73" s="7"/>
      <c r="O73" s="7"/>
      <c r="P73" s="7"/>
      <c r="Q73" s="21"/>
      <c r="R73" s="21"/>
      <c r="S73" s="21"/>
      <c r="T73" s="21"/>
      <c r="U73" s="5" t="str">
        <f t="shared" si="24"/>
        <v/>
      </c>
      <c r="V73" s="5" t="str">
        <f t="shared" si="25"/>
        <v/>
      </c>
      <c r="W73" s="23" t="str">
        <f t="shared" si="26"/>
        <v/>
      </c>
      <c r="X73" s="3" t="str">
        <f t="shared" si="27"/>
        <v/>
      </c>
      <c r="Y73" s="5" t="str">
        <f t="shared" si="28"/>
        <v/>
      </c>
      <c r="Z73" s="5" t="str">
        <f>IF(OR(AE73="",多次统计数据!$B$8=""),"",AE73-多次统计数据!$B$8)</f>
        <v/>
      </c>
      <c r="AA73" s="8" t="str">
        <f t="shared" si="29"/>
        <v/>
      </c>
      <c r="AB73" s="5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21"/>
      <c r="AE73" s="5" t="str">
        <f t="shared" si="30"/>
        <v/>
      </c>
      <c r="AG73" s="21"/>
      <c r="AH73" s="21"/>
      <c r="AI73" s="21"/>
      <c r="AJ73" s="6" t="str">
        <f t="shared" si="31"/>
        <v/>
      </c>
      <c r="AK73" s="24" t="str">
        <f>IF(A73="","",COUNTIFS(加仓管理!$A$2:$A$1001,A73,加仓管理!$G$2:$G$1001,"&gt;0"))</f>
        <v/>
      </c>
      <c r="AL73" s="24" t="str">
        <f>IF(A73="","",SUMIFS(加仓管理!$G$2:$G$1001,加仓管理!$A$2:$A$1001,A73))</f>
        <v/>
      </c>
      <c r="AM73" s="25" t="str">
        <f>IF(AK73=0,"",IFERROR(LOOKUP(2,1/((加仓管理!$A$2:$A$1001=A73)*(加仓管理!$G$2:$G$1001&gt;0)),加仓管理!$D$2:$D$1001),""))</f>
        <v/>
      </c>
      <c r="AN73" s="25" t="str">
        <f>IF(AK73=0,"",IFERROR(LOOKUP(2,1/((加仓管理!$A$2:$A$1001=A73)*(加仓管理!$G$2:$G$1001&gt;0)),加仓管理!$E$2:$E$1001),""))</f>
        <v/>
      </c>
      <c r="AO73" s="25" t="str">
        <f>IF(OR(A73="",H73="",H73&lt;=0),"",(E73*H73+SUMIFS(加仓管理!$H$2:$H$1001,加仓管理!$A$2:$A$1001,A73))/AP73)</f>
        <v/>
      </c>
      <c r="AP73" s="24" t="str">
        <f t="shared" si="32"/>
        <v/>
      </c>
      <c r="AQ73" s="25" t="str">
        <f>IF(A73="","",IF(M73&lt;&gt;"",0,IF(OR(H73="",N73=""),"",MAX((E73*H73+SUMIFS(加仓管理!$H$2:$H$1001,加仓管理!$A$2:$A$1001,A73))-MAX(N73,AN73)*AP73,0))))</f>
        <v/>
      </c>
      <c r="AR73" s="25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21"/>
      <c r="B74" s="21"/>
      <c r="C74" s="7"/>
      <c r="D74" s="4"/>
      <c r="E74" s="7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21"/>
      <c r="I74" s="22"/>
      <c r="J74" s="7"/>
      <c r="K74" s="7"/>
      <c r="L74" s="6" t="str">
        <f t="shared" si="23"/>
        <v/>
      </c>
      <c r="M74" s="22"/>
      <c r="N74" s="7"/>
      <c r="O74" s="7"/>
      <c r="P74" s="7"/>
      <c r="Q74" s="21"/>
      <c r="R74" s="21"/>
      <c r="S74" s="21"/>
      <c r="T74" s="21"/>
      <c r="U74" s="5" t="str">
        <f t="shared" si="24"/>
        <v/>
      </c>
      <c r="V74" s="5" t="str">
        <f t="shared" si="25"/>
        <v/>
      </c>
      <c r="W74" s="23" t="str">
        <f t="shared" si="26"/>
        <v/>
      </c>
      <c r="X74" s="3" t="str">
        <f t="shared" si="27"/>
        <v/>
      </c>
      <c r="Y74" s="5" t="str">
        <f t="shared" si="28"/>
        <v/>
      </c>
      <c r="Z74" s="5" t="str">
        <f>IF(OR(AE74="",多次统计数据!$B$8=""),"",AE74-多次统计数据!$B$8)</f>
        <v/>
      </c>
      <c r="AA74" s="8" t="str">
        <f t="shared" si="29"/>
        <v/>
      </c>
      <c r="AB74" s="5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21"/>
      <c r="AE74" s="5" t="str">
        <f t="shared" si="30"/>
        <v/>
      </c>
      <c r="AG74" s="21"/>
      <c r="AH74" s="21"/>
      <c r="AI74" s="21"/>
      <c r="AJ74" s="6" t="str">
        <f t="shared" si="31"/>
        <v/>
      </c>
      <c r="AK74" s="24" t="str">
        <f>IF(A74="","",COUNTIFS(加仓管理!$A$2:$A$1001,A74,加仓管理!$G$2:$G$1001,"&gt;0"))</f>
        <v/>
      </c>
      <c r="AL74" s="24" t="str">
        <f>IF(A74="","",SUMIFS(加仓管理!$G$2:$G$1001,加仓管理!$A$2:$A$1001,A74))</f>
        <v/>
      </c>
      <c r="AM74" s="25" t="str">
        <f>IF(AK74=0,"",IFERROR(LOOKUP(2,1/((加仓管理!$A$2:$A$1001=A74)*(加仓管理!$G$2:$G$1001&gt;0)),加仓管理!$D$2:$D$1001),""))</f>
        <v/>
      </c>
      <c r="AN74" s="25" t="str">
        <f>IF(AK74=0,"",IFERROR(LOOKUP(2,1/((加仓管理!$A$2:$A$1001=A74)*(加仓管理!$G$2:$G$1001&gt;0)),加仓管理!$E$2:$E$1001),""))</f>
        <v/>
      </c>
      <c r="AO74" s="25" t="str">
        <f>IF(OR(A74="",H74="",H74&lt;=0),"",(E74*H74+SUMIFS(加仓管理!$H$2:$H$1001,加仓管理!$A$2:$A$1001,A74))/AP74)</f>
        <v/>
      </c>
      <c r="AP74" s="24" t="str">
        <f t="shared" si="32"/>
        <v/>
      </c>
      <c r="AQ74" s="25" t="str">
        <f>IF(A74="","",IF(M74&lt;&gt;"",0,IF(OR(H74="",N74=""),"",MAX((E74*H74+SUMIFS(加仓管理!$H$2:$H$1001,加仓管理!$A$2:$A$1001,A74))-MAX(N74,AN74)*AP74,0))))</f>
        <v/>
      </c>
      <c r="AR74" s="25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21"/>
      <c r="B75" s="10"/>
      <c r="C75" s="7"/>
      <c r="D75" s="4"/>
      <c r="E75" s="7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21"/>
      <c r="I75" s="22"/>
      <c r="J75" s="7"/>
      <c r="K75" s="7"/>
      <c r="L75" s="6" t="str">
        <f t="shared" si="23"/>
        <v/>
      </c>
      <c r="M75" s="22"/>
      <c r="N75" s="7"/>
      <c r="O75" s="7"/>
      <c r="P75" s="7"/>
      <c r="Q75" s="21"/>
      <c r="R75" s="21"/>
      <c r="S75" s="21"/>
      <c r="T75" s="21"/>
      <c r="U75" s="5" t="str">
        <f t="shared" si="24"/>
        <v/>
      </c>
      <c r="V75" s="5" t="str">
        <f t="shared" si="25"/>
        <v/>
      </c>
      <c r="W75" s="23" t="str">
        <f t="shared" si="26"/>
        <v/>
      </c>
      <c r="X75" s="3" t="str">
        <f t="shared" si="27"/>
        <v/>
      </c>
      <c r="Y75" s="5" t="str">
        <f t="shared" si="28"/>
        <v/>
      </c>
      <c r="Z75" s="5" t="str">
        <f>IF(OR(AE75="",多次统计数据!$B$8=""),"",AE75-多次统计数据!$B$8)</f>
        <v/>
      </c>
      <c r="AA75" s="8" t="str">
        <f t="shared" si="29"/>
        <v/>
      </c>
      <c r="AB75" s="5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21"/>
      <c r="AE75" s="5" t="str">
        <f t="shared" si="30"/>
        <v/>
      </c>
      <c r="AF75" s="38"/>
      <c r="AG75" s="21"/>
      <c r="AH75" s="21"/>
      <c r="AI75" s="21"/>
      <c r="AJ75" s="6" t="str">
        <f t="shared" si="31"/>
        <v/>
      </c>
      <c r="AK75" s="24" t="str">
        <f>IF(A75="","",COUNTIFS(加仓管理!$A$2:$A$1001,A75,加仓管理!$G$2:$G$1001,"&gt;0"))</f>
        <v/>
      </c>
      <c r="AL75" s="24" t="str">
        <f>IF(A75="","",SUMIFS(加仓管理!$G$2:$G$1001,加仓管理!$A$2:$A$1001,A75))</f>
        <v/>
      </c>
      <c r="AM75" s="25" t="str">
        <f>IF(AK75=0,"",IFERROR(LOOKUP(2,1/((加仓管理!$A$2:$A$1001=A75)*(加仓管理!$G$2:$G$1001&gt;0)),加仓管理!$D$2:$D$1001),""))</f>
        <v/>
      </c>
      <c r="AN75" s="25" t="str">
        <f>IF(AK75=0,"",IFERROR(LOOKUP(2,1/((加仓管理!$A$2:$A$1001=A75)*(加仓管理!$G$2:$G$1001&gt;0)),加仓管理!$E$2:$E$1001),""))</f>
        <v/>
      </c>
      <c r="AO75" s="25" t="str">
        <f>IF(OR(A75="",H75="",H75&lt;=0),"",(E75*H75+SUMIFS(加仓管理!$H$2:$H$1001,加仓管理!$A$2:$A$1001,A75))/AP75)</f>
        <v/>
      </c>
      <c r="AP75" s="24" t="str">
        <f t="shared" si="32"/>
        <v/>
      </c>
      <c r="AQ75" s="25" t="str">
        <f>IF(A75="","",IF(M75&lt;&gt;"",0,IF(OR(H75="",N75=""),"",MAX((E75*H75+SUMIFS(加仓管理!$H$2:$H$1001,加仓管理!$A$2:$A$1001,A75))-MAX(N75,AN75)*AP75,0))))</f>
        <v/>
      </c>
      <c r="AR75" s="25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21"/>
      <c r="B76" s="10"/>
      <c r="C76" s="7"/>
      <c r="D76" s="4"/>
      <c r="E76" s="7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21"/>
      <c r="I76" s="22"/>
      <c r="J76" s="7"/>
      <c r="K76" s="7"/>
      <c r="L76" s="6" t="str">
        <f t="shared" si="23"/>
        <v/>
      </c>
      <c r="M76" s="22"/>
      <c r="N76" s="7"/>
      <c r="O76" s="7"/>
      <c r="P76" s="7"/>
      <c r="Q76" s="21"/>
      <c r="R76" s="21"/>
      <c r="S76" s="21"/>
      <c r="T76" s="21"/>
      <c r="U76" s="5" t="str">
        <f t="shared" si="24"/>
        <v/>
      </c>
      <c r="V76" s="5" t="str">
        <f t="shared" si="25"/>
        <v/>
      </c>
      <c r="W76" s="23" t="str">
        <f t="shared" si="26"/>
        <v/>
      </c>
      <c r="X76" s="3" t="str">
        <f t="shared" si="27"/>
        <v/>
      </c>
      <c r="Y76" s="5" t="str">
        <f t="shared" si="28"/>
        <v/>
      </c>
      <c r="Z76" s="5" t="str">
        <f>IF(OR(AE76="",多次统计数据!$B$8=""),"",AE76-多次统计数据!$B$8)</f>
        <v/>
      </c>
      <c r="AA76" s="8" t="str">
        <f t="shared" si="29"/>
        <v/>
      </c>
      <c r="AB76" s="5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21"/>
      <c r="AE76" s="5" t="str">
        <f t="shared" si="30"/>
        <v/>
      </c>
      <c r="AF76" s="38"/>
      <c r="AG76" s="21"/>
      <c r="AH76" s="21"/>
      <c r="AI76" s="21"/>
      <c r="AJ76" s="6" t="str">
        <f t="shared" si="31"/>
        <v/>
      </c>
      <c r="AK76" s="24" t="str">
        <f>IF(A76="","",COUNTIFS(加仓管理!$A$2:$A$1001,A76,加仓管理!$G$2:$G$1001,"&gt;0"))</f>
        <v/>
      </c>
      <c r="AL76" s="24" t="str">
        <f>IF(A76="","",SUMIFS(加仓管理!$G$2:$G$1001,加仓管理!$A$2:$A$1001,A76))</f>
        <v/>
      </c>
      <c r="AM76" s="25" t="str">
        <f>IF(AK76=0,"",IFERROR(LOOKUP(2,1/((加仓管理!$A$2:$A$1001=A76)*(加仓管理!$G$2:$G$1001&gt;0)),加仓管理!$D$2:$D$1001),""))</f>
        <v/>
      </c>
      <c r="AN76" s="25" t="str">
        <f>IF(AK76=0,"",IFERROR(LOOKUP(2,1/((加仓管理!$A$2:$A$1001=A76)*(加仓管理!$G$2:$G$1001&gt;0)),加仓管理!$E$2:$E$1001),""))</f>
        <v/>
      </c>
      <c r="AO76" s="25" t="str">
        <f>IF(OR(A76="",H76="",H76&lt;=0),"",(E76*H76+SUMIFS(加仓管理!$H$2:$H$1001,加仓管理!$A$2:$A$1001,A76))/AP76)</f>
        <v/>
      </c>
      <c r="AP76" s="24" t="str">
        <f t="shared" si="32"/>
        <v/>
      </c>
      <c r="AQ76" s="25" t="str">
        <f>IF(A76="","",IF(M76&lt;&gt;"",0,IF(OR(H76="",N76=""),"",MAX((E76*H76+SUMIFS(加仓管理!$H$2:$H$1001,加仓管理!$A$2:$A$1001,A76))-MAX(N76,AN76)*AP76,0))))</f>
        <v/>
      </c>
      <c r="AR76" s="25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21"/>
      <c r="B77" s="10"/>
      <c r="C77" s="7"/>
      <c r="D77" s="4"/>
      <c r="E77" s="7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21"/>
      <c r="I77" s="22"/>
      <c r="J77" s="7"/>
      <c r="K77" s="7"/>
      <c r="L77" s="6" t="str">
        <f t="shared" si="23"/>
        <v/>
      </c>
      <c r="M77" s="22"/>
      <c r="N77" s="7"/>
      <c r="O77" s="7"/>
      <c r="P77" s="7"/>
      <c r="Q77" s="21"/>
      <c r="R77" s="21"/>
      <c r="S77" s="21"/>
      <c r="T77" s="21"/>
      <c r="U77" s="5" t="str">
        <f t="shared" si="24"/>
        <v/>
      </c>
      <c r="V77" s="5" t="str">
        <f t="shared" si="25"/>
        <v/>
      </c>
      <c r="W77" s="23" t="str">
        <f t="shared" si="26"/>
        <v/>
      </c>
      <c r="X77" s="3" t="str">
        <f t="shared" si="27"/>
        <v/>
      </c>
      <c r="Y77" s="5" t="str">
        <f t="shared" si="28"/>
        <v/>
      </c>
      <c r="Z77" s="5" t="str">
        <f>IF(OR(AE77="",多次统计数据!$B$8=""),"",AE77-多次统计数据!$B$8)</f>
        <v/>
      </c>
      <c r="AA77" s="8" t="str">
        <f t="shared" si="29"/>
        <v/>
      </c>
      <c r="AB77" s="5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21"/>
      <c r="AE77" s="5" t="str">
        <f t="shared" si="30"/>
        <v/>
      </c>
      <c r="AF77" s="38"/>
      <c r="AG77" s="21"/>
      <c r="AH77" s="21"/>
      <c r="AI77" s="21"/>
      <c r="AJ77" s="6" t="str">
        <f t="shared" si="31"/>
        <v/>
      </c>
      <c r="AK77" s="24" t="str">
        <f>IF(A77="","",COUNTIFS(加仓管理!$A$2:$A$1001,A77,加仓管理!$G$2:$G$1001,"&gt;0"))</f>
        <v/>
      </c>
      <c r="AL77" s="24" t="str">
        <f>IF(A77="","",SUMIFS(加仓管理!$G$2:$G$1001,加仓管理!$A$2:$A$1001,A77))</f>
        <v/>
      </c>
      <c r="AM77" s="25" t="str">
        <f>IF(AK77=0,"",IFERROR(LOOKUP(2,1/((加仓管理!$A$2:$A$1001=A77)*(加仓管理!$G$2:$G$1001&gt;0)),加仓管理!$D$2:$D$1001),""))</f>
        <v/>
      </c>
      <c r="AN77" s="25" t="str">
        <f>IF(AK77=0,"",IFERROR(LOOKUP(2,1/((加仓管理!$A$2:$A$1001=A77)*(加仓管理!$G$2:$G$1001&gt;0)),加仓管理!$E$2:$E$1001),""))</f>
        <v/>
      </c>
      <c r="AO77" s="25" t="str">
        <f>IF(OR(A77="",H77="",H77&lt;=0),"",(E77*H77+SUMIFS(加仓管理!$H$2:$H$1001,加仓管理!$A$2:$A$1001,A77))/AP77)</f>
        <v/>
      </c>
      <c r="AP77" s="24" t="str">
        <f t="shared" si="32"/>
        <v/>
      </c>
      <c r="AQ77" s="25" t="str">
        <f>IF(A77="","",IF(M77&lt;&gt;"",0,IF(OR(H77="",N77=""),"",MAX((E77*H77+SUMIFS(加仓管理!$H$2:$H$1001,加仓管理!$A$2:$A$1001,A77))-MAX(N77,AN77)*AP77,0))))</f>
        <v/>
      </c>
      <c r="AR77" s="25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21"/>
      <c r="B78" s="21"/>
      <c r="C78" s="7"/>
      <c r="D78" s="4"/>
      <c r="E78" s="7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21"/>
      <c r="I78" s="22"/>
      <c r="J78" s="7"/>
      <c r="K78" s="7"/>
      <c r="L78" s="6" t="str">
        <f t="shared" si="23"/>
        <v/>
      </c>
      <c r="M78" s="22"/>
      <c r="N78" s="7"/>
      <c r="O78" s="7"/>
      <c r="P78" s="7"/>
      <c r="Q78" s="21"/>
      <c r="R78" s="21"/>
      <c r="S78" s="21"/>
      <c r="T78" s="21"/>
      <c r="U78" s="5" t="str">
        <f t="shared" si="24"/>
        <v/>
      </c>
      <c r="V78" s="5" t="str">
        <f t="shared" si="25"/>
        <v/>
      </c>
      <c r="W78" s="23" t="str">
        <f t="shared" si="26"/>
        <v/>
      </c>
      <c r="X78" s="3" t="str">
        <f t="shared" si="27"/>
        <v/>
      </c>
      <c r="Y78" s="5" t="str">
        <f t="shared" si="28"/>
        <v/>
      </c>
      <c r="Z78" s="5" t="str">
        <f>IF(OR(AE78="",多次统计数据!$B$8=""),"",AE78-多次统计数据!$B$8)</f>
        <v/>
      </c>
      <c r="AA78" s="8" t="str">
        <f t="shared" si="29"/>
        <v/>
      </c>
      <c r="AB78" s="5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21"/>
      <c r="AE78" s="5" t="str">
        <f t="shared" si="30"/>
        <v/>
      </c>
      <c r="AG78" s="21"/>
      <c r="AH78" s="21"/>
      <c r="AI78" s="21"/>
      <c r="AJ78" s="6" t="str">
        <f t="shared" si="31"/>
        <v/>
      </c>
      <c r="AK78" s="24" t="str">
        <f>IF(A78="","",COUNTIFS(加仓管理!$A$2:$A$1001,A78,加仓管理!$G$2:$G$1001,"&gt;0"))</f>
        <v/>
      </c>
      <c r="AL78" s="24" t="str">
        <f>IF(A78="","",SUMIFS(加仓管理!$G$2:$G$1001,加仓管理!$A$2:$A$1001,A78))</f>
        <v/>
      </c>
      <c r="AM78" s="25" t="str">
        <f>IF(AK78=0,"",IFERROR(LOOKUP(2,1/((加仓管理!$A$2:$A$1001=A78)*(加仓管理!$G$2:$G$1001&gt;0)),加仓管理!$D$2:$D$1001),""))</f>
        <v/>
      </c>
      <c r="AN78" s="25" t="str">
        <f>IF(AK78=0,"",IFERROR(LOOKUP(2,1/((加仓管理!$A$2:$A$1001=A78)*(加仓管理!$G$2:$G$1001&gt;0)),加仓管理!$E$2:$E$1001),""))</f>
        <v/>
      </c>
      <c r="AO78" s="25" t="str">
        <f>IF(OR(A78="",H78="",H78&lt;=0),"",(E78*H78+SUMIFS(加仓管理!$H$2:$H$1001,加仓管理!$A$2:$A$1001,A78))/AP78)</f>
        <v/>
      </c>
      <c r="AP78" s="24" t="str">
        <f t="shared" si="32"/>
        <v/>
      </c>
      <c r="AQ78" s="25" t="str">
        <f>IF(A78="","",IF(M78&lt;&gt;"",0,IF(OR(H78="",N78=""),"",MAX((E78*H78+SUMIFS(加仓管理!$H$2:$H$1001,加仓管理!$A$2:$A$1001,A78))-MAX(N78,AN78)*AP78,0))))</f>
        <v/>
      </c>
      <c r="AR78" s="25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21"/>
      <c r="B79" s="21"/>
      <c r="C79" s="7"/>
      <c r="D79" s="4"/>
      <c r="E79" s="7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21"/>
      <c r="I79" s="22"/>
      <c r="J79" s="7"/>
      <c r="K79" s="7"/>
      <c r="L79" s="6" t="str">
        <f t="shared" si="23"/>
        <v/>
      </c>
      <c r="M79" s="22"/>
      <c r="N79" s="7"/>
      <c r="O79" s="7"/>
      <c r="P79" s="7"/>
      <c r="Q79" s="21"/>
      <c r="R79" s="21"/>
      <c r="S79" s="21"/>
      <c r="T79" s="21"/>
      <c r="U79" s="5" t="str">
        <f t="shared" si="24"/>
        <v/>
      </c>
      <c r="V79" s="5" t="str">
        <f t="shared" si="25"/>
        <v/>
      </c>
      <c r="W79" s="23" t="str">
        <f t="shared" si="26"/>
        <v/>
      </c>
      <c r="X79" s="3" t="str">
        <f t="shared" si="27"/>
        <v/>
      </c>
      <c r="Y79" s="5" t="str">
        <f t="shared" si="28"/>
        <v/>
      </c>
      <c r="Z79" s="5" t="str">
        <f>IF(OR(AE79="",多次统计数据!$B$8=""),"",AE79-多次统计数据!$B$8)</f>
        <v/>
      </c>
      <c r="AA79" s="8" t="str">
        <f t="shared" si="29"/>
        <v/>
      </c>
      <c r="AB79" s="5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21"/>
      <c r="AE79" s="5" t="str">
        <f t="shared" si="30"/>
        <v/>
      </c>
      <c r="AG79" s="21"/>
      <c r="AH79" s="21"/>
      <c r="AI79" s="21"/>
      <c r="AJ79" s="6" t="str">
        <f t="shared" si="31"/>
        <v/>
      </c>
      <c r="AK79" s="24" t="str">
        <f>IF(A79="","",COUNTIFS(加仓管理!$A$2:$A$1001,A79,加仓管理!$G$2:$G$1001,"&gt;0"))</f>
        <v/>
      </c>
      <c r="AL79" s="24" t="str">
        <f>IF(A79="","",SUMIFS(加仓管理!$G$2:$G$1001,加仓管理!$A$2:$A$1001,A79))</f>
        <v/>
      </c>
      <c r="AM79" s="25" t="str">
        <f>IF(AK79=0,"",IFERROR(LOOKUP(2,1/((加仓管理!$A$2:$A$1001=A79)*(加仓管理!$G$2:$G$1001&gt;0)),加仓管理!$D$2:$D$1001),""))</f>
        <v/>
      </c>
      <c r="AN79" s="25" t="str">
        <f>IF(AK79=0,"",IFERROR(LOOKUP(2,1/((加仓管理!$A$2:$A$1001=A79)*(加仓管理!$G$2:$G$1001&gt;0)),加仓管理!$E$2:$E$1001),""))</f>
        <v/>
      </c>
      <c r="AO79" s="25" t="str">
        <f>IF(OR(A79="",H79="",H79&lt;=0),"",(E79*H79+SUMIFS(加仓管理!$H$2:$H$1001,加仓管理!$A$2:$A$1001,A79))/AP79)</f>
        <v/>
      </c>
      <c r="AP79" s="24" t="str">
        <f t="shared" si="32"/>
        <v/>
      </c>
      <c r="AQ79" s="25" t="str">
        <f>IF(A79="","",IF(M79&lt;&gt;"",0,IF(OR(H79="",N79=""),"",MAX((E79*H79+SUMIFS(加仓管理!$H$2:$H$1001,加仓管理!$A$2:$A$1001,A79))-MAX(N79,AN79)*AP79,0))))</f>
        <v/>
      </c>
      <c r="AR79" s="25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21"/>
      <c r="B80" s="21"/>
      <c r="C80" s="7"/>
      <c r="D80" s="4"/>
      <c r="E80" s="7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21"/>
      <c r="I80" s="22"/>
      <c r="J80" s="7"/>
      <c r="K80" s="7"/>
      <c r="L80" s="6" t="str">
        <f t="shared" si="23"/>
        <v/>
      </c>
      <c r="M80" s="22"/>
      <c r="N80" s="7"/>
      <c r="O80" s="7"/>
      <c r="P80" s="7"/>
      <c r="Q80" s="21"/>
      <c r="R80" s="21"/>
      <c r="S80" s="21"/>
      <c r="T80" s="21"/>
      <c r="U80" s="5" t="str">
        <f t="shared" si="24"/>
        <v/>
      </c>
      <c r="V80" s="5" t="str">
        <f t="shared" si="25"/>
        <v/>
      </c>
      <c r="W80" s="23" t="str">
        <f t="shared" si="26"/>
        <v/>
      </c>
      <c r="X80" s="3" t="str">
        <f t="shared" si="27"/>
        <v/>
      </c>
      <c r="Y80" s="5" t="str">
        <f t="shared" si="28"/>
        <v/>
      </c>
      <c r="Z80" s="5" t="str">
        <f>IF(OR(AE80="",多次统计数据!$B$8=""),"",AE80-多次统计数据!$B$8)</f>
        <v/>
      </c>
      <c r="AA80" s="8" t="str">
        <f t="shared" si="29"/>
        <v/>
      </c>
      <c r="AB80" s="5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21"/>
      <c r="AE80" s="5" t="str">
        <f t="shared" si="30"/>
        <v/>
      </c>
      <c r="AG80" s="21"/>
      <c r="AH80" s="21"/>
      <c r="AI80" s="21"/>
      <c r="AJ80" s="6" t="str">
        <f t="shared" si="31"/>
        <v/>
      </c>
      <c r="AK80" s="24" t="str">
        <f>IF(A80="","",COUNTIFS(加仓管理!$A$2:$A$1001,A80,加仓管理!$G$2:$G$1001,"&gt;0"))</f>
        <v/>
      </c>
      <c r="AL80" s="24" t="str">
        <f>IF(A80="","",SUMIFS(加仓管理!$G$2:$G$1001,加仓管理!$A$2:$A$1001,A80))</f>
        <v/>
      </c>
      <c r="AM80" s="25" t="str">
        <f>IF(AK80=0,"",IFERROR(LOOKUP(2,1/((加仓管理!$A$2:$A$1001=A80)*(加仓管理!$G$2:$G$1001&gt;0)),加仓管理!$D$2:$D$1001),""))</f>
        <v/>
      </c>
      <c r="AN80" s="25" t="str">
        <f>IF(AK80=0,"",IFERROR(LOOKUP(2,1/((加仓管理!$A$2:$A$1001=A80)*(加仓管理!$G$2:$G$1001&gt;0)),加仓管理!$E$2:$E$1001),""))</f>
        <v/>
      </c>
      <c r="AO80" s="25" t="str">
        <f>IF(OR(A80="",H80="",H80&lt;=0),"",(E80*H80+SUMIFS(加仓管理!$H$2:$H$1001,加仓管理!$A$2:$A$1001,A80))/AP80)</f>
        <v/>
      </c>
      <c r="AP80" s="24" t="str">
        <f t="shared" si="32"/>
        <v/>
      </c>
      <c r="AQ80" s="25" t="str">
        <f>IF(A80="","",IF(M80&lt;&gt;"",0,IF(OR(H80="",N80=""),"",MAX((E80*H80+SUMIFS(加仓管理!$H$2:$H$1001,加仓管理!$A$2:$A$1001,A80))-MAX(N80,AN80)*AP80,0))))</f>
        <v/>
      </c>
      <c r="AR80" s="25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21"/>
      <c r="B81" s="21"/>
      <c r="C81" s="7"/>
      <c r="D81" s="4"/>
      <c r="E81" s="7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21"/>
      <c r="I81" s="22"/>
      <c r="J81" s="7"/>
      <c r="K81" s="7"/>
      <c r="L81" s="6" t="str">
        <f t="shared" si="23"/>
        <v/>
      </c>
      <c r="M81" s="22"/>
      <c r="N81" s="7"/>
      <c r="O81" s="7"/>
      <c r="P81" s="7"/>
      <c r="Q81" s="21"/>
      <c r="R81" s="21"/>
      <c r="S81" s="21"/>
      <c r="T81" s="21"/>
      <c r="U81" s="5" t="str">
        <f t="shared" si="24"/>
        <v/>
      </c>
      <c r="V81" s="5" t="str">
        <f t="shared" si="25"/>
        <v/>
      </c>
      <c r="W81" s="23" t="str">
        <f t="shared" si="26"/>
        <v/>
      </c>
      <c r="X81" s="3" t="str">
        <f t="shared" si="27"/>
        <v/>
      </c>
      <c r="Y81" s="5" t="str">
        <f t="shared" si="28"/>
        <v/>
      </c>
      <c r="Z81" s="5" t="str">
        <f>IF(OR(AE81="",多次统计数据!$B$8=""),"",AE81-多次统计数据!$B$8)</f>
        <v/>
      </c>
      <c r="AA81" s="8" t="str">
        <f t="shared" si="29"/>
        <v/>
      </c>
      <c r="AB81" s="5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21"/>
      <c r="AE81" s="5" t="str">
        <f t="shared" si="30"/>
        <v/>
      </c>
      <c r="AG81" s="21"/>
      <c r="AH81" s="21"/>
      <c r="AI81" s="21"/>
      <c r="AJ81" s="6" t="str">
        <f t="shared" si="31"/>
        <v/>
      </c>
      <c r="AK81" s="24" t="str">
        <f>IF(A81="","",COUNTIFS(加仓管理!$A$2:$A$1001,A81,加仓管理!$G$2:$G$1001,"&gt;0"))</f>
        <v/>
      </c>
      <c r="AL81" s="24" t="str">
        <f>IF(A81="","",SUMIFS(加仓管理!$G$2:$G$1001,加仓管理!$A$2:$A$1001,A81))</f>
        <v/>
      </c>
      <c r="AM81" s="25" t="str">
        <f>IF(AK81=0,"",IFERROR(LOOKUP(2,1/((加仓管理!$A$2:$A$1001=A81)*(加仓管理!$G$2:$G$1001&gt;0)),加仓管理!$D$2:$D$1001),""))</f>
        <v/>
      </c>
      <c r="AN81" s="25" t="str">
        <f>IF(AK81=0,"",IFERROR(LOOKUP(2,1/((加仓管理!$A$2:$A$1001=A81)*(加仓管理!$G$2:$G$1001&gt;0)),加仓管理!$E$2:$E$1001),""))</f>
        <v/>
      </c>
      <c r="AO81" s="25" t="str">
        <f>IF(OR(A81="",H81="",H81&lt;=0),"",(E81*H81+SUMIFS(加仓管理!$H$2:$H$1001,加仓管理!$A$2:$A$1001,A81))/AP81)</f>
        <v/>
      </c>
      <c r="AP81" s="24" t="str">
        <f t="shared" si="32"/>
        <v/>
      </c>
      <c r="AQ81" s="25" t="str">
        <f>IF(A81="","",IF(M81&lt;&gt;"",0,IF(OR(H81="",N81=""),"",MAX((E81*H81+SUMIFS(加仓管理!$H$2:$H$1001,加仓管理!$A$2:$A$1001,A81))-MAX(N81,AN81)*AP81,0))))</f>
        <v/>
      </c>
      <c r="AR81" s="25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21"/>
      <c r="B82" s="21"/>
      <c r="C82" s="7"/>
      <c r="D82" s="4"/>
      <c r="E82" s="7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21"/>
      <c r="I82" s="22"/>
      <c r="J82" s="7"/>
      <c r="K82" s="7"/>
      <c r="L82" s="6" t="str">
        <f t="shared" si="23"/>
        <v/>
      </c>
      <c r="M82" s="22"/>
      <c r="N82" s="7"/>
      <c r="O82" s="7"/>
      <c r="P82" s="7"/>
      <c r="Q82" s="21"/>
      <c r="R82" s="21"/>
      <c r="S82" s="21"/>
      <c r="T82" s="21"/>
      <c r="U82" s="5" t="str">
        <f t="shared" si="24"/>
        <v/>
      </c>
      <c r="V82" s="5" t="str">
        <f t="shared" si="25"/>
        <v/>
      </c>
      <c r="W82" s="23" t="str">
        <f t="shared" si="26"/>
        <v/>
      </c>
      <c r="X82" s="3" t="str">
        <f t="shared" si="27"/>
        <v/>
      </c>
      <c r="Y82" s="5" t="str">
        <f t="shared" si="28"/>
        <v/>
      </c>
      <c r="Z82" s="5" t="str">
        <f>IF(OR(AE82="",多次统计数据!$B$8=""),"",AE82-多次统计数据!$B$8)</f>
        <v/>
      </c>
      <c r="AA82" s="8" t="str">
        <f t="shared" si="29"/>
        <v/>
      </c>
      <c r="AB82" s="5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21"/>
      <c r="AE82" s="5" t="str">
        <f t="shared" si="30"/>
        <v/>
      </c>
      <c r="AG82" s="21"/>
      <c r="AH82" s="21"/>
      <c r="AI82" s="21"/>
      <c r="AJ82" s="6" t="str">
        <f t="shared" si="31"/>
        <v/>
      </c>
      <c r="AK82" s="24" t="str">
        <f>IF(A82="","",COUNTIFS(加仓管理!$A$2:$A$1001,A82,加仓管理!$G$2:$G$1001,"&gt;0"))</f>
        <v/>
      </c>
      <c r="AL82" s="24" t="str">
        <f>IF(A82="","",SUMIFS(加仓管理!$G$2:$G$1001,加仓管理!$A$2:$A$1001,A82))</f>
        <v/>
      </c>
      <c r="AM82" s="25" t="str">
        <f>IF(AK82=0,"",IFERROR(LOOKUP(2,1/((加仓管理!$A$2:$A$1001=A82)*(加仓管理!$G$2:$G$1001&gt;0)),加仓管理!$D$2:$D$1001),""))</f>
        <v/>
      </c>
      <c r="AN82" s="25" t="str">
        <f>IF(AK82=0,"",IFERROR(LOOKUP(2,1/((加仓管理!$A$2:$A$1001=A82)*(加仓管理!$G$2:$G$1001&gt;0)),加仓管理!$E$2:$E$1001),""))</f>
        <v/>
      </c>
      <c r="AO82" s="25" t="str">
        <f>IF(OR(A82="",H82="",H82&lt;=0),"",(E82*H82+SUMIFS(加仓管理!$H$2:$H$1001,加仓管理!$A$2:$A$1001,A82))/AP82)</f>
        <v/>
      </c>
      <c r="AP82" s="24" t="str">
        <f t="shared" si="32"/>
        <v/>
      </c>
      <c r="AQ82" s="25" t="str">
        <f>IF(A82="","",IF(M82&lt;&gt;"",0,IF(OR(H82="",N82=""),"",MAX((E82*H82+SUMIFS(加仓管理!$H$2:$H$1001,加仓管理!$A$2:$A$1001,A82))-MAX(N82,AN82)*AP82,0))))</f>
        <v/>
      </c>
      <c r="AR82" s="25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21"/>
      <c r="B83" s="21"/>
      <c r="C83" s="7"/>
      <c r="D83" s="4"/>
      <c r="E83" s="7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21"/>
      <c r="I83" s="22"/>
      <c r="J83" s="7"/>
      <c r="K83" s="7"/>
      <c r="L83" s="6" t="str">
        <f t="shared" si="23"/>
        <v/>
      </c>
      <c r="M83" s="22"/>
      <c r="N83" s="7"/>
      <c r="O83" s="7"/>
      <c r="P83" s="7"/>
      <c r="Q83" s="21"/>
      <c r="R83" s="21"/>
      <c r="S83" s="21"/>
      <c r="T83" s="21"/>
      <c r="U83" s="5" t="str">
        <f t="shared" si="24"/>
        <v/>
      </c>
      <c r="V83" s="5" t="str">
        <f t="shared" si="25"/>
        <v/>
      </c>
      <c r="W83" s="23" t="str">
        <f t="shared" si="26"/>
        <v/>
      </c>
      <c r="X83" s="3" t="str">
        <f t="shared" si="27"/>
        <v/>
      </c>
      <c r="Y83" s="5" t="str">
        <f t="shared" si="28"/>
        <v/>
      </c>
      <c r="Z83" s="5" t="str">
        <f>IF(OR(AE83="",多次统计数据!$B$8=""),"",AE83-多次统计数据!$B$8)</f>
        <v/>
      </c>
      <c r="AA83" s="8" t="str">
        <f t="shared" si="29"/>
        <v/>
      </c>
      <c r="AB83" s="5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21"/>
      <c r="AE83" s="5" t="str">
        <f t="shared" si="30"/>
        <v/>
      </c>
      <c r="AG83" s="21"/>
      <c r="AH83" s="21"/>
      <c r="AI83" s="21"/>
      <c r="AJ83" s="6" t="str">
        <f t="shared" si="31"/>
        <v/>
      </c>
      <c r="AK83" s="24" t="str">
        <f>IF(A83="","",COUNTIFS(加仓管理!$A$2:$A$1001,A83,加仓管理!$G$2:$G$1001,"&gt;0"))</f>
        <v/>
      </c>
      <c r="AL83" s="24" t="str">
        <f>IF(A83="","",SUMIFS(加仓管理!$G$2:$G$1001,加仓管理!$A$2:$A$1001,A83))</f>
        <v/>
      </c>
      <c r="AM83" s="25" t="str">
        <f>IF(AK83=0,"",IFERROR(LOOKUP(2,1/((加仓管理!$A$2:$A$1001=A83)*(加仓管理!$G$2:$G$1001&gt;0)),加仓管理!$D$2:$D$1001),""))</f>
        <v/>
      </c>
      <c r="AN83" s="25" t="str">
        <f>IF(AK83=0,"",IFERROR(LOOKUP(2,1/((加仓管理!$A$2:$A$1001=A83)*(加仓管理!$G$2:$G$1001&gt;0)),加仓管理!$E$2:$E$1001),""))</f>
        <v/>
      </c>
      <c r="AO83" s="25" t="str">
        <f>IF(OR(A83="",H83="",H83&lt;=0),"",(E83*H83+SUMIFS(加仓管理!$H$2:$H$1001,加仓管理!$A$2:$A$1001,A83))/AP83)</f>
        <v/>
      </c>
      <c r="AP83" s="24" t="str">
        <f t="shared" si="32"/>
        <v/>
      </c>
      <c r="AQ83" s="25" t="str">
        <f>IF(A83="","",IF(M83&lt;&gt;"",0,IF(OR(H83="",N83=""),"",MAX((E83*H83+SUMIFS(加仓管理!$H$2:$H$1001,加仓管理!$A$2:$A$1001,A83))-MAX(N83,AN83)*AP83,0))))</f>
        <v/>
      </c>
      <c r="AR83" s="25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21"/>
      <c r="B84" s="21"/>
      <c r="C84" s="7"/>
      <c r="D84" s="4"/>
      <c r="E84" s="7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21"/>
      <c r="I84" s="22"/>
      <c r="J84" s="7"/>
      <c r="K84" s="7"/>
      <c r="L84" s="6" t="str">
        <f t="shared" si="23"/>
        <v/>
      </c>
      <c r="M84" s="22"/>
      <c r="N84" s="7"/>
      <c r="O84" s="7"/>
      <c r="P84" s="7"/>
      <c r="Q84" s="21"/>
      <c r="R84" s="21"/>
      <c r="S84" s="21"/>
      <c r="T84" s="21"/>
      <c r="U84" s="5" t="str">
        <f t="shared" si="24"/>
        <v/>
      </c>
      <c r="V84" s="5" t="str">
        <f t="shared" si="25"/>
        <v/>
      </c>
      <c r="W84" s="23" t="str">
        <f t="shared" si="26"/>
        <v/>
      </c>
      <c r="X84" s="3" t="str">
        <f t="shared" si="27"/>
        <v/>
      </c>
      <c r="Y84" s="5" t="str">
        <f t="shared" si="28"/>
        <v/>
      </c>
      <c r="Z84" s="5" t="str">
        <f>IF(OR(AE84="",多次统计数据!$B$8=""),"",AE84-多次统计数据!$B$8)</f>
        <v/>
      </c>
      <c r="AA84" s="8" t="str">
        <f t="shared" si="29"/>
        <v/>
      </c>
      <c r="AB84" s="5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21"/>
      <c r="AE84" s="5" t="str">
        <f t="shared" si="30"/>
        <v/>
      </c>
      <c r="AG84" s="21"/>
      <c r="AH84" s="21"/>
      <c r="AI84" s="21"/>
      <c r="AJ84" s="6" t="str">
        <f t="shared" si="31"/>
        <v/>
      </c>
      <c r="AK84" s="24" t="str">
        <f>IF(A84="","",COUNTIFS(加仓管理!$A$2:$A$1001,A84,加仓管理!$G$2:$G$1001,"&gt;0"))</f>
        <v/>
      </c>
      <c r="AL84" s="24" t="str">
        <f>IF(A84="","",SUMIFS(加仓管理!$G$2:$G$1001,加仓管理!$A$2:$A$1001,A84))</f>
        <v/>
      </c>
      <c r="AM84" s="25" t="str">
        <f>IF(AK84=0,"",IFERROR(LOOKUP(2,1/((加仓管理!$A$2:$A$1001=A84)*(加仓管理!$G$2:$G$1001&gt;0)),加仓管理!$D$2:$D$1001),""))</f>
        <v/>
      </c>
      <c r="AN84" s="25" t="str">
        <f>IF(AK84=0,"",IFERROR(LOOKUP(2,1/((加仓管理!$A$2:$A$1001=A84)*(加仓管理!$G$2:$G$1001&gt;0)),加仓管理!$E$2:$E$1001),""))</f>
        <v/>
      </c>
      <c r="AO84" s="25" t="str">
        <f>IF(OR(A84="",H84="",H84&lt;=0),"",(E84*H84+SUMIFS(加仓管理!$H$2:$H$1001,加仓管理!$A$2:$A$1001,A84))/AP84)</f>
        <v/>
      </c>
      <c r="AP84" s="24" t="str">
        <f t="shared" si="32"/>
        <v/>
      </c>
      <c r="AQ84" s="25" t="str">
        <f>IF(A84="","",IF(M84&lt;&gt;"",0,IF(OR(H84="",N84=""),"",MAX((E84*H84+SUMIFS(加仓管理!$H$2:$H$1001,加仓管理!$A$2:$A$1001,A84))-MAX(N84,AN84)*AP84,0))))</f>
        <v/>
      </c>
      <c r="AR84" s="25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21"/>
      <c r="B85" s="21"/>
      <c r="C85" s="7"/>
      <c r="D85" s="4"/>
      <c r="E85" s="7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21"/>
      <c r="I85" s="22"/>
      <c r="J85" s="7"/>
      <c r="K85" s="7"/>
      <c r="L85" s="6" t="str">
        <f t="shared" si="23"/>
        <v/>
      </c>
      <c r="M85" s="22"/>
      <c r="N85" s="7"/>
      <c r="O85" s="7"/>
      <c r="P85" s="7"/>
      <c r="Q85" s="21"/>
      <c r="R85" s="21"/>
      <c r="S85" s="21"/>
      <c r="T85" s="21"/>
      <c r="U85" s="5" t="str">
        <f t="shared" si="24"/>
        <v/>
      </c>
      <c r="V85" s="5" t="str">
        <f t="shared" si="25"/>
        <v/>
      </c>
      <c r="W85" s="23" t="str">
        <f t="shared" si="26"/>
        <v/>
      </c>
      <c r="X85" s="3" t="str">
        <f t="shared" si="27"/>
        <v/>
      </c>
      <c r="Y85" s="5" t="str">
        <f t="shared" si="28"/>
        <v/>
      </c>
      <c r="Z85" s="5" t="str">
        <f>IF(OR(AE85="",多次统计数据!$B$8=""),"",AE85-多次统计数据!$B$8)</f>
        <v/>
      </c>
      <c r="AA85" s="8" t="str">
        <f t="shared" si="29"/>
        <v/>
      </c>
      <c r="AB85" s="5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21"/>
      <c r="AE85" s="5" t="str">
        <f t="shared" si="30"/>
        <v/>
      </c>
      <c r="AG85" s="21"/>
      <c r="AH85" s="21"/>
      <c r="AI85" s="21"/>
      <c r="AJ85" s="6" t="str">
        <f t="shared" si="31"/>
        <v/>
      </c>
      <c r="AK85" s="24" t="str">
        <f>IF(A85="","",COUNTIFS(加仓管理!$A$2:$A$1001,A85,加仓管理!$G$2:$G$1001,"&gt;0"))</f>
        <v/>
      </c>
      <c r="AL85" s="24" t="str">
        <f>IF(A85="","",SUMIFS(加仓管理!$G$2:$G$1001,加仓管理!$A$2:$A$1001,A85))</f>
        <v/>
      </c>
      <c r="AM85" s="25" t="str">
        <f>IF(AK85=0,"",IFERROR(LOOKUP(2,1/((加仓管理!$A$2:$A$1001=A85)*(加仓管理!$G$2:$G$1001&gt;0)),加仓管理!$D$2:$D$1001),""))</f>
        <v/>
      </c>
      <c r="AN85" s="25" t="str">
        <f>IF(AK85=0,"",IFERROR(LOOKUP(2,1/((加仓管理!$A$2:$A$1001=A85)*(加仓管理!$G$2:$G$1001&gt;0)),加仓管理!$E$2:$E$1001),""))</f>
        <v/>
      </c>
      <c r="AO85" s="25" t="str">
        <f>IF(OR(A85="",H85="",H85&lt;=0),"",(E85*H85+SUMIFS(加仓管理!$H$2:$H$1001,加仓管理!$A$2:$A$1001,A85))/AP85)</f>
        <v/>
      </c>
      <c r="AP85" s="24" t="str">
        <f t="shared" si="32"/>
        <v/>
      </c>
      <c r="AQ85" s="25" t="str">
        <f>IF(A85="","",IF(M85&lt;&gt;"",0,IF(OR(H85="",N85=""),"",MAX((E85*H85+SUMIFS(加仓管理!$H$2:$H$1001,加仓管理!$A$2:$A$1001,A85))-MAX(N85,AN85)*AP85,0))))</f>
        <v/>
      </c>
      <c r="AR85" s="25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21"/>
      <c r="B86" s="21"/>
      <c r="C86" s="7"/>
      <c r="D86" s="4"/>
      <c r="E86" s="7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21"/>
      <c r="I86" s="22"/>
      <c r="J86" s="7"/>
      <c r="K86" s="7"/>
      <c r="L86" s="6" t="str">
        <f t="shared" si="23"/>
        <v/>
      </c>
      <c r="M86" s="22"/>
      <c r="N86" s="7"/>
      <c r="O86" s="7"/>
      <c r="P86" s="7"/>
      <c r="Q86" s="21"/>
      <c r="R86" s="21"/>
      <c r="S86" s="21"/>
      <c r="T86" s="21"/>
      <c r="U86" s="5" t="str">
        <f t="shared" si="24"/>
        <v/>
      </c>
      <c r="V86" s="5" t="str">
        <f t="shared" si="25"/>
        <v/>
      </c>
      <c r="W86" s="23" t="str">
        <f t="shared" si="26"/>
        <v/>
      </c>
      <c r="X86" s="3" t="str">
        <f t="shared" si="27"/>
        <v/>
      </c>
      <c r="Y86" s="5" t="str">
        <f t="shared" si="28"/>
        <v/>
      </c>
      <c r="Z86" s="5" t="str">
        <f>IF(OR(AE86="",多次统计数据!$B$8=""),"",AE86-多次统计数据!$B$8)</f>
        <v/>
      </c>
      <c r="AA86" s="8" t="str">
        <f t="shared" si="29"/>
        <v/>
      </c>
      <c r="AB86" s="5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21"/>
      <c r="AE86" s="5" t="str">
        <f t="shared" si="30"/>
        <v/>
      </c>
      <c r="AG86" s="21"/>
      <c r="AH86" s="21"/>
      <c r="AI86" s="21"/>
      <c r="AJ86" s="6" t="str">
        <f t="shared" si="31"/>
        <v/>
      </c>
      <c r="AK86" s="24" t="str">
        <f>IF(A86="","",COUNTIFS(加仓管理!$A$2:$A$1001,A86,加仓管理!$G$2:$G$1001,"&gt;0"))</f>
        <v/>
      </c>
      <c r="AL86" s="24" t="str">
        <f>IF(A86="","",SUMIFS(加仓管理!$G$2:$G$1001,加仓管理!$A$2:$A$1001,A86))</f>
        <v/>
      </c>
      <c r="AM86" s="25" t="str">
        <f>IF(AK86=0,"",IFERROR(LOOKUP(2,1/((加仓管理!$A$2:$A$1001=A86)*(加仓管理!$G$2:$G$1001&gt;0)),加仓管理!$D$2:$D$1001),""))</f>
        <v/>
      </c>
      <c r="AN86" s="25" t="str">
        <f>IF(AK86=0,"",IFERROR(LOOKUP(2,1/((加仓管理!$A$2:$A$1001=A86)*(加仓管理!$G$2:$G$1001&gt;0)),加仓管理!$E$2:$E$1001),""))</f>
        <v/>
      </c>
      <c r="AO86" s="25" t="str">
        <f>IF(OR(A86="",H86="",H86&lt;=0),"",(E86*H86+SUMIFS(加仓管理!$H$2:$H$1001,加仓管理!$A$2:$A$1001,A86))/AP86)</f>
        <v/>
      </c>
      <c r="AP86" s="24" t="str">
        <f t="shared" si="32"/>
        <v/>
      </c>
      <c r="AQ86" s="25" t="str">
        <f>IF(A86="","",IF(M86&lt;&gt;"",0,IF(OR(H86="",N86=""),"",MAX((E86*H86+SUMIFS(加仓管理!$H$2:$H$1001,加仓管理!$A$2:$A$1001,A86))-MAX(N86,AN86)*AP86,0))))</f>
        <v/>
      </c>
      <c r="AR86" s="25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21"/>
      <c r="B87" s="21"/>
      <c r="C87" s="7"/>
      <c r="D87" s="4"/>
      <c r="E87" s="7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21"/>
      <c r="I87" s="22"/>
      <c r="J87" s="7"/>
      <c r="K87" s="7"/>
      <c r="L87" s="6" t="str">
        <f t="shared" si="23"/>
        <v/>
      </c>
      <c r="M87" s="22"/>
      <c r="N87" s="7"/>
      <c r="O87" s="7"/>
      <c r="P87" s="7"/>
      <c r="Q87" s="21"/>
      <c r="R87" s="21"/>
      <c r="S87" s="21"/>
      <c r="T87" s="21"/>
      <c r="U87" s="5" t="str">
        <f t="shared" si="24"/>
        <v/>
      </c>
      <c r="V87" s="5" t="str">
        <f t="shared" si="25"/>
        <v/>
      </c>
      <c r="W87" s="23" t="str">
        <f t="shared" si="26"/>
        <v/>
      </c>
      <c r="X87" s="3" t="str">
        <f t="shared" si="27"/>
        <v/>
      </c>
      <c r="Y87" s="5" t="str">
        <f t="shared" si="28"/>
        <v/>
      </c>
      <c r="Z87" s="5" t="str">
        <f>IF(OR(AE87="",多次统计数据!$B$8=""),"",AE87-多次统计数据!$B$8)</f>
        <v/>
      </c>
      <c r="AA87" s="8" t="str">
        <f t="shared" si="29"/>
        <v/>
      </c>
      <c r="AB87" s="5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21"/>
      <c r="AE87" s="5" t="str">
        <f t="shared" si="30"/>
        <v/>
      </c>
      <c r="AG87" s="21"/>
      <c r="AH87" s="21"/>
      <c r="AI87" s="21"/>
      <c r="AJ87" s="6" t="str">
        <f t="shared" si="31"/>
        <v/>
      </c>
      <c r="AK87" s="24" t="str">
        <f>IF(A87="","",COUNTIFS(加仓管理!$A$2:$A$1001,A87,加仓管理!$G$2:$G$1001,"&gt;0"))</f>
        <v/>
      </c>
      <c r="AL87" s="24" t="str">
        <f>IF(A87="","",SUMIFS(加仓管理!$G$2:$G$1001,加仓管理!$A$2:$A$1001,A87))</f>
        <v/>
      </c>
      <c r="AM87" s="25" t="str">
        <f>IF(AK87=0,"",IFERROR(LOOKUP(2,1/((加仓管理!$A$2:$A$1001=A87)*(加仓管理!$G$2:$G$1001&gt;0)),加仓管理!$D$2:$D$1001),""))</f>
        <v/>
      </c>
      <c r="AN87" s="25" t="str">
        <f>IF(AK87=0,"",IFERROR(LOOKUP(2,1/((加仓管理!$A$2:$A$1001=A87)*(加仓管理!$G$2:$G$1001&gt;0)),加仓管理!$E$2:$E$1001),""))</f>
        <v/>
      </c>
      <c r="AO87" s="25" t="str">
        <f>IF(OR(A87="",H87="",H87&lt;=0),"",(E87*H87+SUMIFS(加仓管理!$H$2:$H$1001,加仓管理!$A$2:$A$1001,A87))/AP87)</f>
        <v/>
      </c>
      <c r="AP87" s="24" t="str">
        <f t="shared" si="32"/>
        <v/>
      </c>
      <c r="AQ87" s="25" t="str">
        <f>IF(A87="","",IF(M87&lt;&gt;"",0,IF(OR(H87="",N87=""),"",MAX((E87*H87+SUMIFS(加仓管理!$H$2:$H$1001,加仓管理!$A$2:$A$1001,A87))-MAX(N87,AN87)*AP87,0))))</f>
        <v/>
      </c>
      <c r="AR87" s="25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21"/>
      <c r="B88" s="21"/>
      <c r="C88" s="7"/>
      <c r="D88" s="4"/>
      <c r="E88" s="7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21"/>
      <c r="I88" s="22"/>
      <c r="J88" s="7"/>
      <c r="K88" s="7"/>
      <c r="L88" s="6" t="str">
        <f t="shared" si="23"/>
        <v/>
      </c>
      <c r="M88" s="22"/>
      <c r="N88" s="7"/>
      <c r="O88" s="7"/>
      <c r="P88" s="7"/>
      <c r="Q88" s="21"/>
      <c r="R88" s="21"/>
      <c r="S88" s="21"/>
      <c r="T88" s="21"/>
      <c r="U88" s="5" t="str">
        <f t="shared" si="24"/>
        <v/>
      </c>
      <c r="V88" s="5" t="str">
        <f t="shared" si="25"/>
        <v/>
      </c>
      <c r="W88" s="23" t="str">
        <f t="shared" si="26"/>
        <v/>
      </c>
      <c r="X88" s="3" t="str">
        <f t="shared" si="27"/>
        <v/>
      </c>
      <c r="Y88" s="5" t="str">
        <f t="shared" si="28"/>
        <v/>
      </c>
      <c r="Z88" s="5" t="str">
        <f>IF(OR(AE88="",多次统计数据!$B$8=""),"",AE88-多次统计数据!$B$8)</f>
        <v/>
      </c>
      <c r="AA88" s="8" t="str">
        <f t="shared" si="29"/>
        <v/>
      </c>
      <c r="AB88" s="5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21"/>
      <c r="AE88" s="5" t="str">
        <f t="shared" si="30"/>
        <v/>
      </c>
      <c r="AG88" s="21"/>
      <c r="AH88" s="21"/>
      <c r="AI88" s="21"/>
      <c r="AJ88" s="6" t="str">
        <f t="shared" si="31"/>
        <v/>
      </c>
      <c r="AK88" s="24" t="str">
        <f>IF(A88="","",COUNTIFS(加仓管理!$A$2:$A$1001,A88,加仓管理!$G$2:$G$1001,"&gt;0"))</f>
        <v/>
      </c>
      <c r="AL88" s="24" t="str">
        <f>IF(A88="","",SUMIFS(加仓管理!$G$2:$G$1001,加仓管理!$A$2:$A$1001,A88))</f>
        <v/>
      </c>
      <c r="AM88" s="25" t="str">
        <f>IF(AK88=0,"",IFERROR(LOOKUP(2,1/((加仓管理!$A$2:$A$1001=A88)*(加仓管理!$G$2:$G$1001&gt;0)),加仓管理!$D$2:$D$1001),""))</f>
        <v/>
      </c>
      <c r="AN88" s="25" t="str">
        <f>IF(AK88=0,"",IFERROR(LOOKUP(2,1/((加仓管理!$A$2:$A$1001=A88)*(加仓管理!$G$2:$G$1001&gt;0)),加仓管理!$E$2:$E$1001),""))</f>
        <v/>
      </c>
      <c r="AO88" s="25" t="str">
        <f>IF(OR(A88="",H88="",H88&lt;=0),"",(E88*H88+SUMIFS(加仓管理!$H$2:$H$1001,加仓管理!$A$2:$A$1001,A88))/AP88)</f>
        <v/>
      </c>
      <c r="AP88" s="24" t="str">
        <f t="shared" si="32"/>
        <v/>
      </c>
      <c r="AQ88" s="25" t="str">
        <f>IF(A88="","",IF(M88&lt;&gt;"",0,IF(OR(H88="",N88=""),"",MAX((E88*H88+SUMIFS(加仓管理!$H$2:$H$1001,加仓管理!$A$2:$A$1001,A88))-MAX(N88,AN88)*AP88,0))))</f>
        <v/>
      </c>
      <c r="AR88" s="25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21"/>
      <c r="B89" s="21"/>
      <c r="C89" s="7"/>
      <c r="D89" s="4"/>
      <c r="E89" s="7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21"/>
      <c r="I89" s="22"/>
      <c r="J89" s="7"/>
      <c r="K89" s="7"/>
      <c r="L89" s="6" t="str">
        <f t="shared" si="23"/>
        <v/>
      </c>
      <c r="M89" s="22"/>
      <c r="N89" s="7"/>
      <c r="O89" s="7"/>
      <c r="P89" s="7"/>
      <c r="Q89" s="21"/>
      <c r="R89" s="21"/>
      <c r="S89" s="21"/>
      <c r="T89" s="21"/>
      <c r="U89" s="5" t="str">
        <f t="shared" si="24"/>
        <v/>
      </c>
      <c r="V89" s="5" t="str">
        <f t="shared" si="25"/>
        <v/>
      </c>
      <c r="W89" s="23" t="str">
        <f t="shared" si="26"/>
        <v/>
      </c>
      <c r="X89" s="3" t="str">
        <f t="shared" si="27"/>
        <v/>
      </c>
      <c r="Y89" s="5" t="str">
        <f t="shared" si="28"/>
        <v/>
      </c>
      <c r="Z89" s="5" t="str">
        <f>IF(OR(AE89="",多次统计数据!$B$8=""),"",AE89-多次统计数据!$B$8)</f>
        <v/>
      </c>
      <c r="AA89" s="8" t="str">
        <f t="shared" si="29"/>
        <v/>
      </c>
      <c r="AB89" s="5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21"/>
      <c r="AE89" s="5" t="str">
        <f t="shared" si="30"/>
        <v/>
      </c>
      <c r="AG89" s="21"/>
      <c r="AH89" s="21"/>
      <c r="AI89" s="21"/>
      <c r="AJ89" s="6" t="str">
        <f t="shared" si="31"/>
        <v/>
      </c>
      <c r="AK89" s="24" t="str">
        <f>IF(A89="","",COUNTIFS(加仓管理!$A$2:$A$1001,A89,加仓管理!$G$2:$G$1001,"&gt;0"))</f>
        <v/>
      </c>
      <c r="AL89" s="24" t="str">
        <f>IF(A89="","",SUMIFS(加仓管理!$G$2:$G$1001,加仓管理!$A$2:$A$1001,A89))</f>
        <v/>
      </c>
      <c r="AM89" s="25" t="str">
        <f>IF(AK89=0,"",IFERROR(LOOKUP(2,1/((加仓管理!$A$2:$A$1001=A89)*(加仓管理!$G$2:$G$1001&gt;0)),加仓管理!$D$2:$D$1001),""))</f>
        <v/>
      </c>
      <c r="AN89" s="25" t="str">
        <f>IF(AK89=0,"",IFERROR(LOOKUP(2,1/((加仓管理!$A$2:$A$1001=A89)*(加仓管理!$G$2:$G$1001&gt;0)),加仓管理!$E$2:$E$1001),""))</f>
        <v/>
      </c>
      <c r="AO89" s="25" t="str">
        <f>IF(OR(A89="",H89="",H89&lt;=0),"",(E89*H89+SUMIFS(加仓管理!$H$2:$H$1001,加仓管理!$A$2:$A$1001,A89))/AP89)</f>
        <v/>
      </c>
      <c r="AP89" s="24" t="str">
        <f t="shared" si="32"/>
        <v/>
      </c>
      <c r="AQ89" s="25" t="str">
        <f>IF(A89="","",IF(M89&lt;&gt;"",0,IF(OR(H89="",N89=""),"",MAX((E89*H89+SUMIFS(加仓管理!$H$2:$H$1001,加仓管理!$A$2:$A$1001,A89))-MAX(N89,AN89)*AP89,0))))</f>
        <v/>
      </c>
      <c r="AR89" s="25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21"/>
      <c r="B90" s="21"/>
      <c r="C90" s="7"/>
      <c r="D90" s="4"/>
      <c r="E90" s="7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21"/>
      <c r="I90" s="22"/>
      <c r="J90" s="7"/>
      <c r="K90" s="7"/>
      <c r="L90" s="6" t="str">
        <f t="shared" si="23"/>
        <v/>
      </c>
      <c r="M90" s="22"/>
      <c r="N90" s="7"/>
      <c r="O90" s="7"/>
      <c r="P90" s="7"/>
      <c r="Q90" s="21"/>
      <c r="R90" s="21"/>
      <c r="S90" s="21"/>
      <c r="T90" s="21"/>
      <c r="U90" s="5" t="str">
        <f t="shared" si="24"/>
        <v/>
      </c>
      <c r="V90" s="5" t="str">
        <f t="shared" si="25"/>
        <v/>
      </c>
      <c r="W90" s="23" t="str">
        <f t="shared" si="26"/>
        <v/>
      </c>
      <c r="X90" s="3" t="str">
        <f t="shared" si="27"/>
        <v/>
      </c>
      <c r="Y90" s="5" t="str">
        <f t="shared" si="28"/>
        <v/>
      </c>
      <c r="Z90" s="5" t="str">
        <f>IF(OR(AE90="",多次统计数据!$B$8=""),"",AE90-多次统计数据!$B$8)</f>
        <v/>
      </c>
      <c r="AA90" s="8" t="str">
        <f t="shared" si="29"/>
        <v/>
      </c>
      <c r="AB90" s="5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21"/>
      <c r="AE90" s="5" t="str">
        <f t="shared" si="30"/>
        <v/>
      </c>
      <c r="AG90" s="21"/>
      <c r="AH90" s="21"/>
      <c r="AI90" s="21"/>
      <c r="AJ90" s="6" t="str">
        <f t="shared" si="31"/>
        <v/>
      </c>
      <c r="AK90" s="24" t="str">
        <f>IF(A90="","",COUNTIFS(加仓管理!$A$2:$A$1001,A90,加仓管理!$G$2:$G$1001,"&gt;0"))</f>
        <v/>
      </c>
      <c r="AL90" s="24" t="str">
        <f>IF(A90="","",SUMIFS(加仓管理!$G$2:$G$1001,加仓管理!$A$2:$A$1001,A90))</f>
        <v/>
      </c>
      <c r="AM90" s="25" t="str">
        <f>IF(AK90=0,"",IFERROR(LOOKUP(2,1/((加仓管理!$A$2:$A$1001=A90)*(加仓管理!$G$2:$G$1001&gt;0)),加仓管理!$D$2:$D$1001),""))</f>
        <v/>
      </c>
      <c r="AN90" s="25" t="str">
        <f>IF(AK90=0,"",IFERROR(LOOKUP(2,1/((加仓管理!$A$2:$A$1001=A90)*(加仓管理!$G$2:$G$1001&gt;0)),加仓管理!$E$2:$E$1001),""))</f>
        <v/>
      </c>
      <c r="AO90" s="25" t="str">
        <f>IF(OR(A90="",H90="",H90&lt;=0),"",(E90*H90+SUMIFS(加仓管理!$H$2:$H$1001,加仓管理!$A$2:$A$1001,A90))/AP90)</f>
        <v/>
      </c>
      <c r="AP90" s="24" t="str">
        <f t="shared" si="32"/>
        <v/>
      </c>
      <c r="AQ90" s="25" t="str">
        <f>IF(A90="","",IF(M90&lt;&gt;"",0,IF(OR(H90="",N90=""),"",MAX((E90*H90+SUMIFS(加仓管理!$H$2:$H$1001,加仓管理!$A$2:$A$1001,A90))-MAX(N90,AN90)*AP90,0))))</f>
        <v/>
      </c>
      <c r="AR90" s="25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21"/>
      <c r="B91" s="21"/>
      <c r="C91" s="7"/>
      <c r="D91" s="4"/>
      <c r="E91" s="7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21"/>
      <c r="I91" s="22"/>
      <c r="J91" s="7"/>
      <c r="K91" s="7"/>
      <c r="L91" s="6" t="str">
        <f t="shared" si="23"/>
        <v/>
      </c>
      <c r="M91" s="22"/>
      <c r="N91" s="7"/>
      <c r="O91" s="7"/>
      <c r="P91" s="7"/>
      <c r="Q91" s="21"/>
      <c r="R91" s="21"/>
      <c r="S91" s="21"/>
      <c r="T91" s="21"/>
      <c r="U91" s="5" t="str">
        <f t="shared" si="24"/>
        <v/>
      </c>
      <c r="V91" s="5" t="str">
        <f t="shared" si="25"/>
        <v/>
      </c>
      <c r="W91" s="23" t="str">
        <f t="shared" si="26"/>
        <v/>
      </c>
      <c r="X91" s="3" t="str">
        <f t="shared" si="27"/>
        <v/>
      </c>
      <c r="Y91" s="5" t="str">
        <f t="shared" si="28"/>
        <v/>
      </c>
      <c r="Z91" s="5" t="str">
        <f>IF(OR(AE91="",多次统计数据!$B$8=""),"",AE91-多次统计数据!$B$8)</f>
        <v/>
      </c>
      <c r="AA91" s="8" t="str">
        <f t="shared" si="29"/>
        <v/>
      </c>
      <c r="AB91" s="5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21"/>
      <c r="AE91" s="5" t="str">
        <f t="shared" si="30"/>
        <v/>
      </c>
      <c r="AG91" s="21"/>
      <c r="AH91" s="21"/>
      <c r="AI91" s="21"/>
      <c r="AJ91" s="6" t="str">
        <f t="shared" si="31"/>
        <v/>
      </c>
      <c r="AK91" s="24" t="str">
        <f>IF(A91="","",COUNTIFS(加仓管理!$A$2:$A$1001,A91,加仓管理!$G$2:$G$1001,"&gt;0"))</f>
        <v/>
      </c>
      <c r="AL91" s="24" t="str">
        <f>IF(A91="","",SUMIFS(加仓管理!$G$2:$G$1001,加仓管理!$A$2:$A$1001,A91))</f>
        <v/>
      </c>
      <c r="AM91" s="25" t="str">
        <f>IF(AK91=0,"",IFERROR(LOOKUP(2,1/((加仓管理!$A$2:$A$1001=A91)*(加仓管理!$G$2:$G$1001&gt;0)),加仓管理!$D$2:$D$1001),""))</f>
        <v/>
      </c>
      <c r="AN91" s="25" t="str">
        <f>IF(AK91=0,"",IFERROR(LOOKUP(2,1/((加仓管理!$A$2:$A$1001=A91)*(加仓管理!$G$2:$G$1001&gt;0)),加仓管理!$E$2:$E$1001),""))</f>
        <v/>
      </c>
      <c r="AO91" s="25" t="str">
        <f>IF(OR(A91="",H91="",H91&lt;=0),"",(E91*H91+SUMIFS(加仓管理!$H$2:$H$1001,加仓管理!$A$2:$A$1001,A91))/AP91)</f>
        <v/>
      </c>
      <c r="AP91" s="24" t="str">
        <f t="shared" si="32"/>
        <v/>
      </c>
      <c r="AQ91" s="25" t="str">
        <f>IF(A91="","",IF(M91&lt;&gt;"",0,IF(OR(H91="",N91=""),"",MAX((E91*H91+SUMIFS(加仓管理!$H$2:$H$1001,加仓管理!$A$2:$A$1001,A91))-MAX(N91,AN91)*AP91,0))))</f>
        <v/>
      </c>
      <c r="AR91" s="25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21"/>
      <c r="B92" s="21"/>
      <c r="C92" s="7"/>
      <c r="D92" s="4"/>
      <c r="E92" s="7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21"/>
      <c r="I92" s="22"/>
      <c r="J92" s="7"/>
      <c r="K92" s="7"/>
      <c r="L92" s="6" t="str">
        <f t="shared" si="23"/>
        <v/>
      </c>
      <c r="M92" s="22"/>
      <c r="N92" s="7"/>
      <c r="O92" s="7"/>
      <c r="P92" s="7"/>
      <c r="Q92" s="21"/>
      <c r="R92" s="21"/>
      <c r="S92" s="21"/>
      <c r="T92" s="21"/>
      <c r="U92" s="5" t="str">
        <f t="shared" si="24"/>
        <v/>
      </c>
      <c r="V92" s="5" t="str">
        <f t="shared" si="25"/>
        <v/>
      </c>
      <c r="W92" s="23" t="str">
        <f t="shared" si="26"/>
        <v/>
      </c>
      <c r="X92" s="3" t="str">
        <f t="shared" si="27"/>
        <v/>
      </c>
      <c r="Y92" s="5" t="str">
        <f t="shared" si="28"/>
        <v/>
      </c>
      <c r="Z92" s="5" t="str">
        <f>IF(OR(AE92="",多次统计数据!$B$8=""),"",AE92-多次统计数据!$B$8)</f>
        <v/>
      </c>
      <c r="AA92" s="8" t="str">
        <f t="shared" si="29"/>
        <v/>
      </c>
      <c r="AB92" s="5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21"/>
      <c r="AE92" s="5" t="str">
        <f t="shared" si="30"/>
        <v/>
      </c>
      <c r="AG92" s="21"/>
      <c r="AH92" s="21"/>
      <c r="AI92" s="21"/>
      <c r="AJ92" s="6" t="str">
        <f t="shared" si="31"/>
        <v/>
      </c>
      <c r="AK92" s="24" t="str">
        <f>IF(A92="","",COUNTIFS(加仓管理!$A$2:$A$1001,A92,加仓管理!$G$2:$G$1001,"&gt;0"))</f>
        <v/>
      </c>
      <c r="AL92" s="24" t="str">
        <f>IF(A92="","",SUMIFS(加仓管理!$G$2:$G$1001,加仓管理!$A$2:$A$1001,A92))</f>
        <v/>
      </c>
      <c r="AM92" s="25" t="str">
        <f>IF(AK92=0,"",IFERROR(LOOKUP(2,1/((加仓管理!$A$2:$A$1001=A92)*(加仓管理!$G$2:$G$1001&gt;0)),加仓管理!$D$2:$D$1001),""))</f>
        <v/>
      </c>
      <c r="AN92" s="25" t="str">
        <f>IF(AK92=0,"",IFERROR(LOOKUP(2,1/((加仓管理!$A$2:$A$1001=A92)*(加仓管理!$G$2:$G$1001&gt;0)),加仓管理!$E$2:$E$1001),""))</f>
        <v/>
      </c>
      <c r="AO92" s="25" t="str">
        <f>IF(OR(A92="",H92="",H92&lt;=0),"",(E92*H92+SUMIFS(加仓管理!$H$2:$H$1001,加仓管理!$A$2:$A$1001,A92))/AP92)</f>
        <v/>
      </c>
      <c r="AP92" s="24" t="str">
        <f t="shared" si="32"/>
        <v/>
      </c>
      <c r="AQ92" s="25" t="str">
        <f>IF(A92="","",IF(M92&lt;&gt;"",0,IF(OR(H92="",N92=""),"",MAX((E92*H92+SUMIFS(加仓管理!$H$2:$H$1001,加仓管理!$A$2:$A$1001,A92))-MAX(N92,AN92)*AP92,0))))</f>
        <v/>
      </c>
      <c r="AR92" s="25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21"/>
      <c r="B93" s="21"/>
      <c r="C93" s="7"/>
      <c r="D93" s="4"/>
      <c r="E93" s="7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21"/>
      <c r="I93" s="22"/>
      <c r="J93" s="7"/>
      <c r="K93" s="7"/>
      <c r="L93" s="6" t="str">
        <f t="shared" si="23"/>
        <v/>
      </c>
      <c r="M93" s="22"/>
      <c r="N93" s="7"/>
      <c r="O93" s="7"/>
      <c r="P93" s="7"/>
      <c r="Q93" s="21"/>
      <c r="R93" s="21"/>
      <c r="S93" s="21"/>
      <c r="T93" s="21"/>
      <c r="U93" s="5" t="str">
        <f t="shared" si="24"/>
        <v/>
      </c>
      <c r="V93" s="5" t="str">
        <f t="shared" si="25"/>
        <v/>
      </c>
      <c r="W93" s="23" t="str">
        <f t="shared" si="26"/>
        <v/>
      </c>
      <c r="X93" s="3" t="str">
        <f t="shared" si="27"/>
        <v/>
      </c>
      <c r="Y93" s="5" t="str">
        <f t="shared" si="28"/>
        <v/>
      </c>
      <c r="Z93" s="5" t="str">
        <f>IF(OR(AE93="",多次统计数据!$B$8=""),"",AE93-多次统计数据!$B$8)</f>
        <v/>
      </c>
      <c r="AA93" s="8" t="str">
        <f t="shared" si="29"/>
        <v/>
      </c>
      <c r="AB93" s="5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21"/>
      <c r="AE93" s="5" t="str">
        <f t="shared" si="30"/>
        <v/>
      </c>
      <c r="AG93" s="21"/>
      <c r="AH93" s="21"/>
      <c r="AI93" s="21"/>
      <c r="AJ93" s="6" t="str">
        <f t="shared" si="31"/>
        <v/>
      </c>
      <c r="AK93" s="24" t="str">
        <f>IF(A93="","",COUNTIFS(加仓管理!$A$2:$A$1001,A93,加仓管理!$G$2:$G$1001,"&gt;0"))</f>
        <v/>
      </c>
      <c r="AL93" s="24" t="str">
        <f>IF(A93="","",SUMIFS(加仓管理!$G$2:$G$1001,加仓管理!$A$2:$A$1001,A93))</f>
        <v/>
      </c>
      <c r="AM93" s="25" t="str">
        <f>IF(AK93=0,"",IFERROR(LOOKUP(2,1/((加仓管理!$A$2:$A$1001=A93)*(加仓管理!$G$2:$G$1001&gt;0)),加仓管理!$D$2:$D$1001),""))</f>
        <v/>
      </c>
      <c r="AN93" s="25" t="str">
        <f>IF(AK93=0,"",IFERROR(LOOKUP(2,1/((加仓管理!$A$2:$A$1001=A93)*(加仓管理!$G$2:$G$1001&gt;0)),加仓管理!$E$2:$E$1001),""))</f>
        <v/>
      </c>
      <c r="AO93" s="25" t="str">
        <f>IF(OR(A93="",H93="",H93&lt;=0),"",(E93*H93+SUMIFS(加仓管理!$H$2:$H$1001,加仓管理!$A$2:$A$1001,A93))/AP93)</f>
        <v/>
      </c>
      <c r="AP93" s="24" t="str">
        <f t="shared" si="32"/>
        <v/>
      </c>
      <c r="AQ93" s="25" t="str">
        <f>IF(A93="","",IF(M93&lt;&gt;"",0,IF(OR(H93="",N93=""),"",MAX((E93*H93+SUMIFS(加仓管理!$H$2:$H$1001,加仓管理!$A$2:$A$1001,A93))-MAX(N93,AN93)*AP93,0))))</f>
        <v/>
      </c>
      <c r="AR93" s="25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21"/>
      <c r="B94" s="21"/>
      <c r="C94" s="7"/>
      <c r="D94" s="4"/>
      <c r="E94" s="7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21"/>
      <c r="I94" s="22"/>
      <c r="J94" s="7"/>
      <c r="K94" s="7"/>
      <c r="L94" s="6" t="str">
        <f t="shared" si="23"/>
        <v/>
      </c>
      <c r="M94" s="22"/>
      <c r="N94" s="7"/>
      <c r="O94" s="7"/>
      <c r="P94" s="7"/>
      <c r="Q94" s="21"/>
      <c r="R94" s="21"/>
      <c r="S94" s="21"/>
      <c r="T94" s="21"/>
      <c r="U94" s="5" t="str">
        <f t="shared" si="24"/>
        <v/>
      </c>
      <c r="V94" s="5" t="str">
        <f t="shared" si="25"/>
        <v/>
      </c>
      <c r="W94" s="23" t="str">
        <f t="shared" si="26"/>
        <v/>
      </c>
      <c r="X94" s="3" t="str">
        <f t="shared" si="27"/>
        <v/>
      </c>
      <c r="Y94" s="5" t="str">
        <f t="shared" si="28"/>
        <v/>
      </c>
      <c r="Z94" s="5" t="str">
        <f>IF(OR(AE94="",多次统计数据!$B$8=""),"",AE94-多次统计数据!$B$8)</f>
        <v/>
      </c>
      <c r="AA94" s="8" t="str">
        <f t="shared" si="29"/>
        <v/>
      </c>
      <c r="AB94" s="5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21"/>
      <c r="AE94" s="5" t="str">
        <f t="shared" si="30"/>
        <v/>
      </c>
      <c r="AG94" s="21"/>
      <c r="AH94" s="21"/>
      <c r="AI94" s="21"/>
      <c r="AJ94" s="6" t="str">
        <f t="shared" si="31"/>
        <v/>
      </c>
      <c r="AK94" s="24" t="str">
        <f>IF(A94="","",COUNTIFS(加仓管理!$A$2:$A$1001,A94,加仓管理!$G$2:$G$1001,"&gt;0"))</f>
        <v/>
      </c>
      <c r="AL94" s="24" t="str">
        <f>IF(A94="","",SUMIFS(加仓管理!$G$2:$G$1001,加仓管理!$A$2:$A$1001,A94))</f>
        <v/>
      </c>
      <c r="AM94" s="25" t="str">
        <f>IF(AK94=0,"",IFERROR(LOOKUP(2,1/((加仓管理!$A$2:$A$1001=A94)*(加仓管理!$G$2:$G$1001&gt;0)),加仓管理!$D$2:$D$1001),""))</f>
        <v/>
      </c>
      <c r="AN94" s="25" t="str">
        <f>IF(AK94=0,"",IFERROR(LOOKUP(2,1/((加仓管理!$A$2:$A$1001=A94)*(加仓管理!$G$2:$G$1001&gt;0)),加仓管理!$E$2:$E$1001),""))</f>
        <v/>
      </c>
      <c r="AO94" s="25" t="str">
        <f>IF(OR(A94="",H94="",H94&lt;=0),"",(E94*H94+SUMIFS(加仓管理!$H$2:$H$1001,加仓管理!$A$2:$A$1001,A94))/AP94)</f>
        <v/>
      </c>
      <c r="AP94" s="24" t="str">
        <f t="shared" si="32"/>
        <v/>
      </c>
      <c r="AQ94" s="25" t="str">
        <f>IF(A94="","",IF(M94&lt;&gt;"",0,IF(OR(H94="",N94=""),"",MAX((E94*H94+SUMIFS(加仓管理!$H$2:$H$1001,加仓管理!$A$2:$A$1001,A94))-MAX(N94,AN94)*AP94,0))))</f>
        <v/>
      </c>
      <c r="AR94" s="25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21"/>
      <c r="B95" s="21"/>
      <c r="C95" s="7"/>
      <c r="D95" s="4"/>
      <c r="E95" s="7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21"/>
      <c r="I95" s="22"/>
      <c r="J95" s="7"/>
      <c r="K95" s="7"/>
      <c r="L95" s="6" t="str">
        <f t="shared" si="23"/>
        <v/>
      </c>
      <c r="M95" s="22"/>
      <c r="N95" s="7"/>
      <c r="O95" s="7"/>
      <c r="P95" s="7"/>
      <c r="Q95" s="21"/>
      <c r="R95" s="21"/>
      <c r="S95" s="21"/>
      <c r="T95" s="21"/>
      <c r="U95" s="5" t="str">
        <f t="shared" si="24"/>
        <v/>
      </c>
      <c r="V95" s="5" t="str">
        <f t="shared" si="25"/>
        <v/>
      </c>
      <c r="W95" s="23" t="str">
        <f t="shared" si="26"/>
        <v/>
      </c>
      <c r="X95" s="3" t="str">
        <f t="shared" si="27"/>
        <v/>
      </c>
      <c r="Y95" s="5" t="str">
        <f t="shared" si="28"/>
        <v/>
      </c>
      <c r="Z95" s="5" t="str">
        <f>IF(OR(AE95="",多次统计数据!$B$8=""),"",AE95-多次统计数据!$B$8)</f>
        <v/>
      </c>
      <c r="AA95" s="8" t="str">
        <f t="shared" si="29"/>
        <v/>
      </c>
      <c r="AB95" s="5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21"/>
      <c r="AE95" s="5" t="str">
        <f t="shared" si="30"/>
        <v/>
      </c>
      <c r="AG95" s="21"/>
      <c r="AH95" s="21"/>
      <c r="AI95" s="21"/>
      <c r="AJ95" s="6" t="str">
        <f t="shared" si="31"/>
        <v/>
      </c>
      <c r="AK95" s="24" t="str">
        <f>IF(A95="","",COUNTIFS(加仓管理!$A$2:$A$1001,A95,加仓管理!$G$2:$G$1001,"&gt;0"))</f>
        <v/>
      </c>
      <c r="AL95" s="24" t="str">
        <f>IF(A95="","",SUMIFS(加仓管理!$G$2:$G$1001,加仓管理!$A$2:$A$1001,A95))</f>
        <v/>
      </c>
      <c r="AM95" s="25" t="str">
        <f>IF(AK95=0,"",IFERROR(LOOKUP(2,1/((加仓管理!$A$2:$A$1001=A95)*(加仓管理!$G$2:$G$1001&gt;0)),加仓管理!$D$2:$D$1001),""))</f>
        <v/>
      </c>
      <c r="AN95" s="25" t="str">
        <f>IF(AK95=0,"",IFERROR(LOOKUP(2,1/((加仓管理!$A$2:$A$1001=A95)*(加仓管理!$G$2:$G$1001&gt;0)),加仓管理!$E$2:$E$1001),""))</f>
        <v/>
      </c>
      <c r="AO95" s="25" t="str">
        <f>IF(OR(A95="",H95="",H95&lt;=0),"",(E95*H95+SUMIFS(加仓管理!$H$2:$H$1001,加仓管理!$A$2:$A$1001,A95))/AP95)</f>
        <v/>
      </c>
      <c r="AP95" s="24" t="str">
        <f t="shared" si="32"/>
        <v/>
      </c>
      <c r="AQ95" s="25" t="str">
        <f>IF(A95="","",IF(M95&lt;&gt;"",0,IF(OR(H95="",N95=""),"",MAX((E95*H95+SUMIFS(加仓管理!$H$2:$H$1001,加仓管理!$A$2:$A$1001,A95))-MAX(N95,AN95)*AP95,0))))</f>
        <v/>
      </c>
      <c r="AR95" s="25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21"/>
      <c r="B96" s="21"/>
      <c r="C96" s="7"/>
      <c r="D96" s="4"/>
      <c r="E96" s="7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21"/>
      <c r="I96" s="22"/>
      <c r="J96" s="7"/>
      <c r="K96" s="7"/>
      <c r="L96" s="6" t="str">
        <f t="shared" si="23"/>
        <v/>
      </c>
      <c r="M96" s="22"/>
      <c r="N96" s="7"/>
      <c r="O96" s="7"/>
      <c r="P96" s="7"/>
      <c r="Q96" s="21"/>
      <c r="R96" s="21"/>
      <c r="S96" s="21"/>
      <c r="T96" s="21"/>
      <c r="U96" s="5" t="str">
        <f t="shared" si="24"/>
        <v/>
      </c>
      <c r="V96" s="5" t="str">
        <f t="shared" si="25"/>
        <v/>
      </c>
      <c r="W96" s="23" t="str">
        <f t="shared" si="26"/>
        <v/>
      </c>
      <c r="X96" s="3" t="str">
        <f t="shared" si="27"/>
        <v/>
      </c>
      <c r="Y96" s="5" t="str">
        <f t="shared" si="28"/>
        <v/>
      </c>
      <c r="Z96" s="5" t="str">
        <f>IF(OR(AE96="",多次统计数据!$B$8=""),"",AE96-多次统计数据!$B$8)</f>
        <v/>
      </c>
      <c r="AA96" s="8" t="str">
        <f t="shared" si="29"/>
        <v/>
      </c>
      <c r="AB96" s="5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21"/>
      <c r="AE96" s="5" t="str">
        <f t="shared" si="30"/>
        <v/>
      </c>
      <c r="AG96" s="21"/>
      <c r="AH96" s="21"/>
      <c r="AI96" s="21"/>
      <c r="AJ96" s="6" t="str">
        <f t="shared" si="31"/>
        <v/>
      </c>
      <c r="AK96" s="24" t="str">
        <f>IF(A96="","",COUNTIFS(加仓管理!$A$2:$A$1001,A96,加仓管理!$G$2:$G$1001,"&gt;0"))</f>
        <v/>
      </c>
      <c r="AL96" s="24" t="str">
        <f>IF(A96="","",SUMIFS(加仓管理!$G$2:$G$1001,加仓管理!$A$2:$A$1001,A96))</f>
        <v/>
      </c>
      <c r="AM96" s="25" t="str">
        <f>IF(AK96=0,"",IFERROR(LOOKUP(2,1/((加仓管理!$A$2:$A$1001=A96)*(加仓管理!$G$2:$G$1001&gt;0)),加仓管理!$D$2:$D$1001),""))</f>
        <v/>
      </c>
      <c r="AN96" s="25" t="str">
        <f>IF(AK96=0,"",IFERROR(LOOKUP(2,1/((加仓管理!$A$2:$A$1001=A96)*(加仓管理!$G$2:$G$1001&gt;0)),加仓管理!$E$2:$E$1001),""))</f>
        <v/>
      </c>
      <c r="AO96" s="25" t="str">
        <f>IF(OR(A96="",H96="",H96&lt;=0),"",(E96*H96+SUMIFS(加仓管理!$H$2:$H$1001,加仓管理!$A$2:$A$1001,A96))/AP96)</f>
        <v/>
      </c>
      <c r="AP96" s="24" t="str">
        <f t="shared" si="32"/>
        <v/>
      </c>
      <c r="AQ96" s="25" t="str">
        <f>IF(A96="","",IF(M96&lt;&gt;"",0,IF(OR(H96="",N96=""),"",MAX((E96*H96+SUMIFS(加仓管理!$H$2:$H$1001,加仓管理!$A$2:$A$1001,A96))-MAX(N96,AN96)*AP96,0))))</f>
        <v/>
      </c>
      <c r="AR96" s="25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21"/>
      <c r="B97" s="10"/>
      <c r="C97" s="7"/>
      <c r="D97" s="4"/>
      <c r="E97" s="7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21"/>
      <c r="I97" s="22"/>
      <c r="J97" s="7"/>
      <c r="K97" s="7"/>
      <c r="L97" s="6" t="str">
        <f t="shared" si="23"/>
        <v/>
      </c>
      <c r="M97" s="22"/>
      <c r="N97" s="7"/>
      <c r="O97" s="7"/>
      <c r="P97" s="7"/>
      <c r="Q97" s="21"/>
      <c r="R97" s="21"/>
      <c r="S97" s="21"/>
      <c r="T97" s="21"/>
      <c r="U97" s="5" t="str">
        <f t="shared" si="24"/>
        <v/>
      </c>
      <c r="V97" s="5" t="str">
        <f t="shared" si="25"/>
        <v/>
      </c>
      <c r="W97" s="23" t="str">
        <f t="shared" si="26"/>
        <v/>
      </c>
      <c r="X97" s="3" t="str">
        <f t="shared" si="27"/>
        <v/>
      </c>
      <c r="Y97" s="5" t="str">
        <f t="shared" si="28"/>
        <v/>
      </c>
      <c r="Z97" s="5" t="str">
        <f>IF(OR(AE97="",多次统计数据!$B$8=""),"",AE97-多次统计数据!$B$8)</f>
        <v/>
      </c>
      <c r="AA97" s="8" t="str">
        <f t="shared" si="29"/>
        <v/>
      </c>
      <c r="AB97" s="5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21"/>
      <c r="AE97" s="5" t="str">
        <f t="shared" si="30"/>
        <v/>
      </c>
      <c r="AF97" s="38"/>
      <c r="AG97" s="21"/>
      <c r="AH97" s="21"/>
      <c r="AI97" s="21"/>
      <c r="AJ97" s="6" t="str">
        <f t="shared" si="31"/>
        <v/>
      </c>
      <c r="AK97" s="24" t="str">
        <f>IF(A97="","",COUNTIFS(加仓管理!$A$2:$A$1001,A97,加仓管理!$G$2:$G$1001,"&gt;0"))</f>
        <v/>
      </c>
      <c r="AL97" s="24" t="str">
        <f>IF(A97="","",SUMIFS(加仓管理!$G$2:$G$1001,加仓管理!$A$2:$A$1001,A97))</f>
        <v/>
      </c>
      <c r="AM97" s="25" t="str">
        <f>IF(AK97=0,"",IFERROR(LOOKUP(2,1/((加仓管理!$A$2:$A$1001=A97)*(加仓管理!$G$2:$G$1001&gt;0)),加仓管理!$D$2:$D$1001),""))</f>
        <v/>
      </c>
      <c r="AN97" s="25" t="str">
        <f>IF(AK97=0,"",IFERROR(LOOKUP(2,1/((加仓管理!$A$2:$A$1001=A97)*(加仓管理!$G$2:$G$1001&gt;0)),加仓管理!$E$2:$E$1001),""))</f>
        <v/>
      </c>
      <c r="AO97" s="25" t="str">
        <f>IF(OR(A97="",H97="",H97&lt;=0),"",(E97*H97+SUMIFS(加仓管理!$H$2:$H$1001,加仓管理!$A$2:$A$1001,A97))/AP97)</f>
        <v/>
      </c>
      <c r="AP97" s="24" t="str">
        <f t="shared" si="32"/>
        <v/>
      </c>
      <c r="AQ97" s="25" t="str">
        <f>IF(A97="","",IF(M97&lt;&gt;"",0,IF(OR(H97="",N97=""),"",MAX((E97*H97+SUMIFS(加仓管理!$H$2:$H$1001,加仓管理!$A$2:$A$1001,A97))-MAX(N97,AN97)*AP97,0))))</f>
        <v/>
      </c>
      <c r="AR97" s="25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21"/>
      <c r="B98" s="10"/>
      <c r="C98" s="7"/>
      <c r="D98" s="4"/>
      <c r="E98" s="7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21"/>
      <c r="I98" s="22"/>
      <c r="J98" s="7"/>
      <c r="K98" s="7"/>
      <c r="L98" s="6" t="str">
        <f t="shared" ref="L98:L129" si="34">IF(AP98="","",AP98)</f>
        <v/>
      </c>
      <c r="M98" s="22"/>
      <c r="N98" s="7"/>
      <c r="O98" s="7"/>
      <c r="P98" s="7"/>
      <c r="Q98" s="21"/>
      <c r="R98" s="21"/>
      <c r="S98" s="21"/>
      <c r="T98" s="21"/>
      <c r="U98" s="5" t="str">
        <f t="shared" ref="U98:U129" si="35">IF(OR(AO98="",J98="",AO98&lt;=0),"",(J98-AO98)/AO98)</f>
        <v/>
      </c>
      <c r="V98" s="5" t="str">
        <f t="shared" ref="V98:V129" si="36">IF(OR(AO98="",N98="",AO98&lt;=0),"",(AO98-N98)/AO98)</f>
        <v/>
      </c>
      <c r="W98" s="23" t="str">
        <f t="shared" ref="W98:W129" si="37">IF(OR(U98="",V98="",V98&lt;=0),"",U98/V98)</f>
        <v/>
      </c>
      <c r="X98" s="3" t="str">
        <f t="shared" ref="X98:X129" si="38">IF(OR(K98="",L98="",AO98="",AP98=""),"",(K98-AO98)*L98-IF(O98="",0,O98)-IF(P98="",0,P98))</f>
        <v/>
      </c>
      <c r="Y98" s="5" t="str">
        <f t="shared" ref="Y98:Y129" si="39">IF(OR(X98="",AO98="",L98=""),"",IF(AO98*L98+IF(O98="",0,O98)&lt;=0,"",X98/(AO98*L98+IF(O98="",0,O98))))</f>
        <v/>
      </c>
      <c r="Z98" s="5" t="str">
        <f>IF(OR(AE98="",多次统计数据!$B$8=""),"",AE98-多次统计数据!$B$8)</f>
        <v/>
      </c>
      <c r="AA98" s="8" t="str">
        <f t="shared" ref="AA98:AA129" si="40">IF(OR(I98="",M98="",M98&lt;I98),"",M98-I98)</f>
        <v/>
      </c>
      <c r="AB98" s="5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21"/>
      <c r="AE98" s="5" t="str">
        <f t="shared" ref="AE98:AE129" si="41">IF(OR(X98="",C98="",C98&lt;=0),"",X98/C98)</f>
        <v/>
      </c>
      <c r="AF98" s="38"/>
      <c r="AG98" s="21"/>
      <c r="AH98" s="21"/>
      <c r="AI98" s="21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24" t="str">
        <f>IF(A98="","",COUNTIFS(加仓管理!$A$2:$A$1001,A98,加仓管理!$G$2:$G$1001,"&gt;0"))</f>
        <v/>
      </c>
      <c r="AL98" s="24" t="str">
        <f>IF(A98="","",SUMIFS(加仓管理!$G$2:$G$1001,加仓管理!$A$2:$A$1001,A98))</f>
        <v/>
      </c>
      <c r="AM98" s="25" t="str">
        <f>IF(AK98=0,"",IFERROR(LOOKUP(2,1/((加仓管理!$A$2:$A$1001=A98)*(加仓管理!$G$2:$G$1001&gt;0)),加仓管理!$D$2:$D$1001),""))</f>
        <v/>
      </c>
      <c r="AN98" s="25" t="str">
        <f>IF(AK98=0,"",IFERROR(LOOKUP(2,1/((加仓管理!$A$2:$A$1001=A98)*(加仓管理!$G$2:$G$1001&gt;0)),加仓管理!$E$2:$E$1001),""))</f>
        <v/>
      </c>
      <c r="AO98" s="25" t="str">
        <f>IF(OR(A98="",H98="",H98&lt;=0),"",(E98*H98+SUMIFS(加仓管理!$H$2:$H$1001,加仓管理!$A$2:$A$1001,A98))/AP98)</f>
        <v/>
      </c>
      <c r="AP98" s="24" t="str">
        <f t="shared" ref="AP98:AP129" si="43">IF(OR(A98="",H98="",H98&lt;=0),"",H98+AL98)</f>
        <v/>
      </c>
      <c r="AQ98" s="25" t="str">
        <f>IF(A98="","",IF(M98&lt;&gt;"",0,IF(OR(H98="",N98=""),"",MAX((E98*H98+SUMIFS(加仓管理!$H$2:$H$1001,加仓管理!$A$2:$A$1001,A98))-MAX(N98,AN98)*AP98,0))))</f>
        <v/>
      </c>
      <c r="AR98" s="25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21"/>
      <c r="B99" s="10"/>
      <c r="C99" s="7"/>
      <c r="D99" s="4"/>
      <c r="E99" s="7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21"/>
      <c r="I99" s="22"/>
      <c r="J99" s="7"/>
      <c r="K99" s="7"/>
      <c r="L99" s="6" t="str">
        <f t="shared" si="34"/>
        <v/>
      </c>
      <c r="M99" s="22"/>
      <c r="N99" s="7"/>
      <c r="O99" s="7"/>
      <c r="P99" s="7"/>
      <c r="Q99" s="21"/>
      <c r="R99" s="21"/>
      <c r="S99" s="21"/>
      <c r="T99" s="21"/>
      <c r="U99" s="5" t="str">
        <f t="shared" si="35"/>
        <v/>
      </c>
      <c r="V99" s="5" t="str">
        <f t="shared" si="36"/>
        <v/>
      </c>
      <c r="W99" s="23" t="str">
        <f t="shared" si="37"/>
        <v/>
      </c>
      <c r="X99" s="3" t="str">
        <f t="shared" si="38"/>
        <v/>
      </c>
      <c r="Y99" s="5" t="str">
        <f t="shared" si="39"/>
        <v/>
      </c>
      <c r="Z99" s="5" t="str">
        <f>IF(OR(AE99="",多次统计数据!$B$8=""),"",AE99-多次统计数据!$B$8)</f>
        <v/>
      </c>
      <c r="AA99" s="8" t="str">
        <f t="shared" si="40"/>
        <v/>
      </c>
      <c r="AB99" s="5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21"/>
      <c r="AE99" s="5" t="str">
        <f t="shared" si="41"/>
        <v/>
      </c>
      <c r="AF99" s="38"/>
      <c r="AG99" s="21"/>
      <c r="AH99" s="21"/>
      <c r="AI99" s="21"/>
      <c r="AJ99" s="6" t="str">
        <f t="shared" si="42"/>
        <v/>
      </c>
      <c r="AK99" s="24" t="str">
        <f>IF(A99="","",COUNTIFS(加仓管理!$A$2:$A$1001,A99,加仓管理!$G$2:$G$1001,"&gt;0"))</f>
        <v/>
      </c>
      <c r="AL99" s="24" t="str">
        <f>IF(A99="","",SUMIFS(加仓管理!$G$2:$G$1001,加仓管理!$A$2:$A$1001,A99))</f>
        <v/>
      </c>
      <c r="AM99" s="25" t="str">
        <f>IF(AK99=0,"",IFERROR(LOOKUP(2,1/((加仓管理!$A$2:$A$1001=A99)*(加仓管理!$G$2:$G$1001&gt;0)),加仓管理!$D$2:$D$1001),""))</f>
        <v/>
      </c>
      <c r="AN99" s="25" t="str">
        <f>IF(AK99=0,"",IFERROR(LOOKUP(2,1/((加仓管理!$A$2:$A$1001=A99)*(加仓管理!$G$2:$G$1001&gt;0)),加仓管理!$E$2:$E$1001),""))</f>
        <v/>
      </c>
      <c r="AO99" s="25" t="str">
        <f>IF(OR(A99="",H99="",H99&lt;=0),"",(E99*H99+SUMIFS(加仓管理!$H$2:$H$1001,加仓管理!$A$2:$A$1001,A99))/AP99)</f>
        <v/>
      </c>
      <c r="AP99" s="24" t="str">
        <f t="shared" si="43"/>
        <v/>
      </c>
      <c r="AQ99" s="25" t="str">
        <f>IF(A99="","",IF(M99&lt;&gt;"",0,IF(OR(H99="",N99=""),"",MAX((E99*H99+SUMIFS(加仓管理!$H$2:$H$1001,加仓管理!$A$2:$A$1001,A99))-MAX(N99,AN99)*AP99,0))))</f>
        <v/>
      </c>
      <c r="AR99" s="25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21"/>
      <c r="B100" s="10"/>
      <c r="C100" s="7"/>
      <c r="D100" s="4"/>
      <c r="E100" s="7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1"/>
      <c r="I100" s="22"/>
      <c r="J100" s="7"/>
      <c r="K100" s="7"/>
      <c r="L100" s="6" t="str">
        <f t="shared" si="34"/>
        <v/>
      </c>
      <c r="M100" s="22"/>
      <c r="N100" s="7"/>
      <c r="O100" s="7"/>
      <c r="P100" s="7"/>
      <c r="Q100" s="21"/>
      <c r="R100" s="21"/>
      <c r="S100" s="21"/>
      <c r="T100" s="21"/>
      <c r="U100" s="5" t="str">
        <f t="shared" si="35"/>
        <v/>
      </c>
      <c r="V100" s="5" t="str">
        <f t="shared" si="36"/>
        <v/>
      </c>
      <c r="W100" s="23" t="str">
        <f t="shared" si="37"/>
        <v/>
      </c>
      <c r="X100" s="3" t="str">
        <f t="shared" si="38"/>
        <v/>
      </c>
      <c r="Y100" s="5" t="str">
        <f t="shared" si="39"/>
        <v/>
      </c>
      <c r="Z100" s="5" t="str">
        <f>IF(OR(AE100="",多次统计数据!$B$8=""),"",AE100-多次统计数据!$B$8)</f>
        <v/>
      </c>
      <c r="AA100" s="8" t="str">
        <f t="shared" si="40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1"/>
      <c r="AE100" s="5" t="str">
        <f t="shared" si="41"/>
        <v/>
      </c>
      <c r="AG100" s="21"/>
      <c r="AH100" s="21"/>
      <c r="AI100" s="21"/>
      <c r="AJ100" s="6" t="str">
        <f t="shared" si="42"/>
        <v/>
      </c>
      <c r="AK100" s="24" t="str">
        <f>IF(A100="","",COUNTIFS(加仓管理!$A$2:$A$1001,A100,加仓管理!$G$2:$G$1001,"&gt;0"))</f>
        <v/>
      </c>
      <c r="AL100" s="24" t="str">
        <f>IF(A100="","",SUMIFS(加仓管理!$G$2:$G$1001,加仓管理!$A$2:$A$1001,A100))</f>
        <v/>
      </c>
      <c r="AM100" s="25" t="str">
        <f>IF(AK100=0,"",IFERROR(LOOKUP(2,1/((加仓管理!$A$2:$A$1001=A100)*(加仓管理!$G$2:$G$1001&gt;0)),加仓管理!$D$2:$D$1001),""))</f>
        <v/>
      </c>
      <c r="AN100" s="25" t="str">
        <f>IF(AK100=0,"",IFERROR(LOOKUP(2,1/((加仓管理!$A$2:$A$1001=A100)*(加仓管理!$G$2:$G$1001&gt;0)),加仓管理!$E$2:$E$1001),""))</f>
        <v/>
      </c>
      <c r="AO100" s="25" t="str">
        <f>IF(OR(A100="",H100="",H100&lt;=0),"",(E100*H100+SUMIFS(加仓管理!$H$2:$H$1001,加仓管理!$A$2:$A$1001,A100))/AP100)</f>
        <v/>
      </c>
      <c r="AP100" s="24" t="str">
        <f t="shared" si="43"/>
        <v/>
      </c>
      <c r="AQ100" s="25" t="str">
        <f>IF(A100="","",IF(M100&lt;&gt;"",0,IF(OR(H100="",N100=""),"",MAX((E100*H100+SUMIFS(加仓管理!$H$2:$H$1001,加仓管理!$A$2:$A$1001,A100))-MAX(N100,AN100)*AP100,0))))</f>
        <v/>
      </c>
      <c r="AR100" s="25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21"/>
      <c r="B101" s="10"/>
      <c r="C101" s="7"/>
      <c r="D101" s="4"/>
      <c r="E101" s="7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1"/>
      <c r="I101" s="22"/>
      <c r="J101" s="7"/>
      <c r="K101" s="7"/>
      <c r="L101" s="6" t="str">
        <f t="shared" si="34"/>
        <v/>
      </c>
      <c r="M101" s="22"/>
      <c r="N101" s="7"/>
      <c r="O101" s="7"/>
      <c r="P101" s="7"/>
      <c r="Q101" s="21"/>
      <c r="R101" s="21"/>
      <c r="S101" s="21"/>
      <c r="T101" s="21"/>
      <c r="U101" s="5" t="str">
        <f t="shared" si="35"/>
        <v/>
      </c>
      <c r="V101" s="5" t="str">
        <f t="shared" si="36"/>
        <v/>
      </c>
      <c r="W101" s="23" t="str">
        <f t="shared" si="37"/>
        <v/>
      </c>
      <c r="X101" s="3" t="str">
        <f t="shared" si="38"/>
        <v/>
      </c>
      <c r="Y101" s="5" t="str">
        <f t="shared" si="39"/>
        <v/>
      </c>
      <c r="Z101" s="5" t="str">
        <f>IF(OR(AE101="",多次统计数据!$B$8=""),"",AE101-多次统计数据!$B$8)</f>
        <v/>
      </c>
      <c r="AA101" s="8" t="str">
        <f t="shared" si="40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1"/>
      <c r="AE101" s="5" t="str">
        <f t="shared" si="41"/>
        <v/>
      </c>
      <c r="AG101" s="21"/>
      <c r="AH101" s="21"/>
      <c r="AI101" s="21"/>
      <c r="AJ101" s="6" t="str">
        <f t="shared" si="42"/>
        <v/>
      </c>
      <c r="AK101" s="24" t="str">
        <f>IF(A101="","",COUNTIFS(加仓管理!$A$2:$A$1001,A101,加仓管理!$G$2:$G$1001,"&gt;0"))</f>
        <v/>
      </c>
      <c r="AL101" s="24" t="str">
        <f>IF(A101="","",SUMIFS(加仓管理!$G$2:$G$1001,加仓管理!$A$2:$A$1001,A101))</f>
        <v/>
      </c>
      <c r="AM101" s="25" t="str">
        <f>IF(AK101=0,"",IFERROR(LOOKUP(2,1/((加仓管理!$A$2:$A$1001=A101)*(加仓管理!$G$2:$G$1001&gt;0)),加仓管理!$D$2:$D$1001),""))</f>
        <v/>
      </c>
      <c r="AN101" s="25" t="str">
        <f>IF(AK101=0,"",IFERROR(LOOKUP(2,1/((加仓管理!$A$2:$A$1001=A101)*(加仓管理!$G$2:$G$1001&gt;0)),加仓管理!$E$2:$E$1001),""))</f>
        <v/>
      </c>
      <c r="AO101" s="25" t="str">
        <f>IF(OR(A101="",H101="",H101&lt;=0),"",(E101*H101+SUMIFS(加仓管理!$H$2:$H$1001,加仓管理!$A$2:$A$1001,A101))/AP101)</f>
        <v/>
      </c>
      <c r="AP101" s="24" t="str">
        <f t="shared" si="43"/>
        <v/>
      </c>
      <c r="AQ101" s="25" t="str">
        <f>IF(A101="","",IF(M101&lt;&gt;"",0,IF(OR(H101="",N101=""),"",MAX((E101*H101+SUMIFS(加仓管理!$H$2:$H$1001,加仓管理!$A$2:$A$1001,A101))-MAX(N101,AN101)*AP101,0))))</f>
        <v/>
      </c>
      <c r="AR101" s="25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21"/>
      <c r="B102" s="10"/>
      <c r="C102" s="7"/>
      <c r="D102" s="4"/>
      <c r="E102" s="7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1"/>
      <c r="I102" s="22"/>
      <c r="J102" s="7"/>
      <c r="K102" s="39"/>
      <c r="L102" s="6" t="str">
        <f t="shared" si="34"/>
        <v/>
      </c>
      <c r="M102" s="22"/>
      <c r="N102" s="7"/>
      <c r="O102" s="7"/>
      <c r="P102" s="7"/>
      <c r="Q102" s="21"/>
      <c r="R102" s="21"/>
      <c r="S102" s="21"/>
      <c r="T102" s="21"/>
      <c r="U102" s="5" t="str">
        <f t="shared" si="35"/>
        <v/>
      </c>
      <c r="V102" s="5" t="str">
        <f t="shared" si="36"/>
        <v/>
      </c>
      <c r="W102" s="23" t="str">
        <f t="shared" si="37"/>
        <v/>
      </c>
      <c r="X102" s="3" t="str">
        <f t="shared" si="38"/>
        <v/>
      </c>
      <c r="Y102" s="5" t="str">
        <f t="shared" si="39"/>
        <v/>
      </c>
      <c r="Z102" s="5" t="str">
        <f>IF(OR(AE102="",多次统计数据!$B$8=""),"",AE102-多次统计数据!$B$8)</f>
        <v/>
      </c>
      <c r="AA102" s="8" t="str">
        <f t="shared" si="40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1"/>
      <c r="AE102" s="5" t="str">
        <f t="shared" si="41"/>
        <v/>
      </c>
      <c r="AG102" s="21"/>
      <c r="AH102" s="21"/>
      <c r="AI102" s="21"/>
      <c r="AJ102" s="6" t="str">
        <f t="shared" si="42"/>
        <v/>
      </c>
      <c r="AK102" s="24" t="str">
        <f>IF(A102="","",COUNTIFS(加仓管理!$A$2:$A$1001,A102,加仓管理!$G$2:$G$1001,"&gt;0"))</f>
        <v/>
      </c>
      <c r="AL102" s="24" t="str">
        <f>IF(A102="","",SUMIFS(加仓管理!$G$2:$G$1001,加仓管理!$A$2:$A$1001,A102))</f>
        <v/>
      </c>
      <c r="AM102" s="25" t="str">
        <f>IF(AK102=0,"",IFERROR(LOOKUP(2,1/((加仓管理!$A$2:$A$1001=A102)*(加仓管理!$G$2:$G$1001&gt;0)),加仓管理!$D$2:$D$1001),""))</f>
        <v/>
      </c>
      <c r="AN102" s="25" t="str">
        <f>IF(AK102=0,"",IFERROR(LOOKUP(2,1/((加仓管理!$A$2:$A$1001=A102)*(加仓管理!$G$2:$G$1001&gt;0)),加仓管理!$E$2:$E$1001),""))</f>
        <v/>
      </c>
      <c r="AO102" s="25" t="str">
        <f>IF(OR(A102="",H102="",H102&lt;=0),"",(E102*H102+SUMIFS(加仓管理!$H$2:$H$1001,加仓管理!$A$2:$A$1001,A102))/AP102)</f>
        <v/>
      </c>
      <c r="AP102" s="24" t="str">
        <f t="shared" si="43"/>
        <v/>
      </c>
      <c r="AQ102" s="25" t="str">
        <f>IF(A102="","",IF(M102&lt;&gt;"",0,IF(OR(H102="",N102=""),"",MAX((E102*H102+SUMIFS(加仓管理!$H$2:$H$1001,加仓管理!$A$2:$A$1001,A102))-MAX(N102,AN102)*AP102,0))))</f>
        <v/>
      </c>
      <c r="AR102" s="25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21"/>
      <c r="B103" s="10"/>
      <c r="C103" s="7"/>
      <c r="D103" s="4"/>
      <c r="E103" s="7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1"/>
      <c r="I103" s="22"/>
      <c r="J103" s="7"/>
      <c r="K103" s="7"/>
      <c r="L103" s="6" t="str">
        <f t="shared" si="34"/>
        <v/>
      </c>
      <c r="M103" s="22"/>
      <c r="N103" s="7"/>
      <c r="O103" s="7"/>
      <c r="P103" s="7"/>
      <c r="Q103" s="21"/>
      <c r="R103" s="21"/>
      <c r="S103" s="21"/>
      <c r="T103" s="21"/>
      <c r="U103" s="5" t="str">
        <f t="shared" si="35"/>
        <v/>
      </c>
      <c r="V103" s="5" t="str">
        <f t="shared" si="36"/>
        <v/>
      </c>
      <c r="W103" s="23" t="str">
        <f t="shared" si="37"/>
        <v/>
      </c>
      <c r="X103" s="3" t="str">
        <f t="shared" si="38"/>
        <v/>
      </c>
      <c r="Y103" s="5" t="str">
        <f t="shared" si="39"/>
        <v/>
      </c>
      <c r="Z103" s="5" t="str">
        <f>IF(OR(AE103="",多次统计数据!$B$8=""),"",AE103-多次统计数据!$B$8)</f>
        <v/>
      </c>
      <c r="AA103" s="8" t="str">
        <f t="shared" si="40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1"/>
      <c r="AE103" s="5" t="str">
        <f t="shared" si="41"/>
        <v/>
      </c>
      <c r="AG103" s="21"/>
      <c r="AH103" s="21"/>
      <c r="AI103" s="21"/>
      <c r="AJ103" s="6" t="str">
        <f t="shared" si="42"/>
        <v/>
      </c>
      <c r="AK103" s="24" t="str">
        <f>IF(A103="","",COUNTIFS(加仓管理!$A$2:$A$1001,A103,加仓管理!$G$2:$G$1001,"&gt;0"))</f>
        <v/>
      </c>
      <c r="AL103" s="24" t="str">
        <f>IF(A103="","",SUMIFS(加仓管理!$G$2:$G$1001,加仓管理!$A$2:$A$1001,A103))</f>
        <v/>
      </c>
      <c r="AM103" s="25" t="str">
        <f>IF(AK103=0,"",IFERROR(LOOKUP(2,1/((加仓管理!$A$2:$A$1001=A103)*(加仓管理!$G$2:$G$1001&gt;0)),加仓管理!$D$2:$D$1001),""))</f>
        <v/>
      </c>
      <c r="AN103" s="25" t="str">
        <f>IF(AK103=0,"",IFERROR(LOOKUP(2,1/((加仓管理!$A$2:$A$1001=A103)*(加仓管理!$G$2:$G$1001&gt;0)),加仓管理!$E$2:$E$1001),""))</f>
        <v/>
      </c>
      <c r="AO103" s="25" t="str">
        <f>IF(OR(A103="",H103="",H103&lt;=0),"",(E103*H103+SUMIFS(加仓管理!$H$2:$H$1001,加仓管理!$A$2:$A$1001,A103))/AP103)</f>
        <v/>
      </c>
      <c r="AP103" s="24" t="str">
        <f t="shared" si="43"/>
        <v/>
      </c>
      <c r="AQ103" s="25" t="str">
        <f>IF(A103="","",IF(M103&lt;&gt;"",0,IF(OR(H103="",N103=""),"",MAX((E103*H103+SUMIFS(加仓管理!$H$2:$H$1001,加仓管理!$A$2:$A$1001,A103))-MAX(N103,AN103)*AP103,0))))</f>
        <v/>
      </c>
      <c r="AR103" s="25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21"/>
      <c r="B104" s="10"/>
      <c r="C104" s="7"/>
      <c r="D104" s="4"/>
      <c r="E104" s="7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1"/>
      <c r="I104" s="22"/>
      <c r="J104" s="7"/>
      <c r="K104" s="3"/>
      <c r="L104" s="6" t="str">
        <f t="shared" si="34"/>
        <v/>
      </c>
      <c r="M104" s="40"/>
      <c r="N104" s="7"/>
      <c r="O104" s="7"/>
      <c r="P104" s="3"/>
      <c r="Q104" s="21"/>
      <c r="R104" s="21"/>
      <c r="S104" s="21"/>
      <c r="T104" s="21"/>
      <c r="U104" s="5" t="str">
        <f t="shared" si="35"/>
        <v/>
      </c>
      <c r="V104" s="5" t="str">
        <f t="shared" si="36"/>
        <v/>
      </c>
      <c r="W104" s="23" t="str">
        <f t="shared" si="37"/>
        <v/>
      </c>
      <c r="X104" s="3" t="str">
        <f t="shared" si="38"/>
        <v/>
      </c>
      <c r="Y104" s="5" t="str">
        <f t="shared" si="39"/>
        <v/>
      </c>
      <c r="Z104" s="5" t="str">
        <f>IF(OR(AE104="",多次统计数据!$B$8=""),"",AE104-多次统计数据!$B$8)</f>
        <v/>
      </c>
      <c r="AA104" s="8" t="str">
        <f t="shared" si="40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1"/>
      <c r="AE104" s="5" t="str">
        <f t="shared" si="41"/>
        <v/>
      </c>
      <c r="AF104" s="38"/>
      <c r="AG104" s="21"/>
      <c r="AH104" s="21"/>
      <c r="AI104" s="10"/>
      <c r="AJ104" s="6" t="str">
        <f t="shared" si="42"/>
        <v/>
      </c>
      <c r="AK104" s="24" t="str">
        <f>IF(A104="","",COUNTIFS(加仓管理!$A$2:$A$1001,A104,加仓管理!$G$2:$G$1001,"&gt;0"))</f>
        <v/>
      </c>
      <c r="AL104" s="24" t="str">
        <f>IF(A104="","",SUMIFS(加仓管理!$G$2:$G$1001,加仓管理!$A$2:$A$1001,A104))</f>
        <v/>
      </c>
      <c r="AM104" s="25" t="str">
        <f>IF(AK104=0,"",IFERROR(LOOKUP(2,1/((加仓管理!$A$2:$A$1001=A104)*(加仓管理!$G$2:$G$1001&gt;0)),加仓管理!$D$2:$D$1001),""))</f>
        <v/>
      </c>
      <c r="AN104" s="25" t="str">
        <f>IF(AK104=0,"",IFERROR(LOOKUP(2,1/((加仓管理!$A$2:$A$1001=A104)*(加仓管理!$G$2:$G$1001&gt;0)),加仓管理!$E$2:$E$1001),""))</f>
        <v/>
      </c>
      <c r="AO104" s="25" t="str">
        <f>IF(OR(A104="",H104="",H104&lt;=0),"",(E104*H104+SUMIFS(加仓管理!$H$2:$H$1001,加仓管理!$A$2:$A$1001,A104))/AP104)</f>
        <v/>
      </c>
      <c r="AP104" s="24" t="str">
        <f t="shared" si="43"/>
        <v/>
      </c>
      <c r="AQ104" s="25" t="str">
        <f>IF(A104="","",IF(M104&lt;&gt;"",0,IF(OR(H104="",N104=""),"",MAX((E104*H104+SUMIFS(加仓管理!$H$2:$H$1001,加仓管理!$A$2:$A$1001,A104))-MAX(N104,AN104)*AP104,0))))</f>
        <v/>
      </c>
      <c r="AR104" s="25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21"/>
      <c r="B105" s="10"/>
      <c r="C105" s="7"/>
      <c r="D105" s="4"/>
      <c r="E105" s="7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1"/>
      <c r="I105" s="22"/>
      <c r="J105" s="7"/>
      <c r="K105" s="3"/>
      <c r="L105" s="6" t="str">
        <f t="shared" si="34"/>
        <v/>
      </c>
      <c r="M105" s="40"/>
      <c r="N105" s="7"/>
      <c r="O105" s="7"/>
      <c r="P105" s="3"/>
      <c r="Q105" s="21"/>
      <c r="R105" s="21"/>
      <c r="S105" s="21"/>
      <c r="T105" s="21"/>
      <c r="U105" s="5" t="str">
        <f t="shared" si="35"/>
        <v/>
      </c>
      <c r="V105" s="5" t="str">
        <f t="shared" si="36"/>
        <v/>
      </c>
      <c r="W105" s="23" t="str">
        <f t="shared" si="37"/>
        <v/>
      </c>
      <c r="X105" s="3" t="str">
        <f t="shared" si="38"/>
        <v/>
      </c>
      <c r="Y105" s="5" t="str">
        <f t="shared" si="39"/>
        <v/>
      </c>
      <c r="Z105" s="5" t="str">
        <f>IF(OR(AE105="",多次统计数据!$B$8=""),"",AE105-多次统计数据!$B$8)</f>
        <v/>
      </c>
      <c r="AA105" s="8" t="str">
        <f t="shared" si="40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1"/>
      <c r="AE105" s="5" t="str">
        <f t="shared" si="41"/>
        <v/>
      </c>
      <c r="AG105" s="21"/>
      <c r="AH105" s="21"/>
      <c r="AI105" s="10"/>
      <c r="AJ105" s="6" t="str">
        <f t="shared" si="42"/>
        <v/>
      </c>
      <c r="AK105" s="24" t="str">
        <f>IF(A105="","",COUNTIFS(加仓管理!$A$2:$A$1001,A105,加仓管理!$G$2:$G$1001,"&gt;0"))</f>
        <v/>
      </c>
      <c r="AL105" s="24" t="str">
        <f>IF(A105="","",SUMIFS(加仓管理!$G$2:$G$1001,加仓管理!$A$2:$A$1001,A105))</f>
        <v/>
      </c>
      <c r="AM105" s="25" t="str">
        <f>IF(AK105=0,"",IFERROR(LOOKUP(2,1/((加仓管理!$A$2:$A$1001=A105)*(加仓管理!$G$2:$G$1001&gt;0)),加仓管理!$D$2:$D$1001),""))</f>
        <v/>
      </c>
      <c r="AN105" s="25" t="str">
        <f>IF(AK105=0,"",IFERROR(LOOKUP(2,1/((加仓管理!$A$2:$A$1001=A105)*(加仓管理!$G$2:$G$1001&gt;0)),加仓管理!$E$2:$E$1001),""))</f>
        <v/>
      </c>
      <c r="AO105" s="25" t="str">
        <f>IF(OR(A105="",H105="",H105&lt;=0),"",(E105*H105+SUMIFS(加仓管理!$H$2:$H$1001,加仓管理!$A$2:$A$1001,A105))/AP105)</f>
        <v/>
      </c>
      <c r="AP105" s="24" t="str">
        <f t="shared" si="43"/>
        <v/>
      </c>
      <c r="AQ105" s="25" t="str">
        <f>IF(A105="","",IF(M105&lt;&gt;"",0,IF(OR(H105="",N105=""),"",MAX((E105*H105+SUMIFS(加仓管理!$H$2:$H$1001,加仓管理!$A$2:$A$1001,A105))-MAX(N105,AN105)*AP105,0))))</f>
        <v/>
      </c>
      <c r="AR105" s="25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21"/>
      <c r="B106" s="10"/>
      <c r="C106" s="7"/>
      <c r="D106" s="4"/>
      <c r="E106" s="7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1"/>
      <c r="I106" s="22"/>
      <c r="J106" s="7"/>
      <c r="K106" s="3"/>
      <c r="L106" s="6" t="str">
        <f t="shared" si="34"/>
        <v/>
      </c>
      <c r="M106" s="40"/>
      <c r="N106" s="7"/>
      <c r="O106" s="7"/>
      <c r="P106" s="3"/>
      <c r="Q106" s="21"/>
      <c r="R106" s="21"/>
      <c r="S106" s="21"/>
      <c r="T106" s="21"/>
      <c r="U106" s="5" t="str">
        <f t="shared" si="35"/>
        <v/>
      </c>
      <c r="V106" s="5" t="str">
        <f t="shared" si="36"/>
        <v/>
      </c>
      <c r="W106" s="23" t="str">
        <f t="shared" si="37"/>
        <v/>
      </c>
      <c r="X106" s="3" t="str">
        <f t="shared" si="38"/>
        <v/>
      </c>
      <c r="Y106" s="5" t="str">
        <f t="shared" si="39"/>
        <v/>
      </c>
      <c r="Z106" s="5" t="str">
        <f>IF(OR(AE106="",多次统计数据!$B$8=""),"",AE106-多次统计数据!$B$8)</f>
        <v/>
      </c>
      <c r="AA106" s="8" t="str">
        <f t="shared" si="40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1"/>
      <c r="AE106" s="5" t="str">
        <f t="shared" si="41"/>
        <v/>
      </c>
      <c r="AG106" s="21"/>
      <c r="AH106" s="21"/>
      <c r="AI106" s="21"/>
      <c r="AJ106" s="6" t="str">
        <f t="shared" si="42"/>
        <v/>
      </c>
      <c r="AK106" s="24" t="str">
        <f>IF(A106="","",COUNTIFS(加仓管理!$A$2:$A$1001,A106,加仓管理!$G$2:$G$1001,"&gt;0"))</f>
        <v/>
      </c>
      <c r="AL106" s="24" t="str">
        <f>IF(A106="","",SUMIFS(加仓管理!$G$2:$G$1001,加仓管理!$A$2:$A$1001,A106))</f>
        <v/>
      </c>
      <c r="AM106" s="25" t="str">
        <f>IF(AK106=0,"",IFERROR(LOOKUP(2,1/((加仓管理!$A$2:$A$1001=A106)*(加仓管理!$G$2:$G$1001&gt;0)),加仓管理!$D$2:$D$1001),""))</f>
        <v/>
      </c>
      <c r="AN106" s="25" t="str">
        <f>IF(AK106=0,"",IFERROR(LOOKUP(2,1/((加仓管理!$A$2:$A$1001=A106)*(加仓管理!$G$2:$G$1001&gt;0)),加仓管理!$E$2:$E$1001),""))</f>
        <v/>
      </c>
      <c r="AO106" s="25" t="str">
        <f>IF(OR(A106="",H106="",H106&lt;=0),"",(E106*H106+SUMIFS(加仓管理!$H$2:$H$1001,加仓管理!$A$2:$A$1001,A106))/AP106)</f>
        <v/>
      </c>
      <c r="AP106" s="24" t="str">
        <f t="shared" si="43"/>
        <v/>
      </c>
      <c r="AQ106" s="25" t="str">
        <f>IF(A106="","",IF(M106&lt;&gt;"",0,IF(OR(H106="",N106=""),"",MAX((E106*H106+SUMIFS(加仓管理!$H$2:$H$1001,加仓管理!$A$2:$A$1001,A106))-MAX(N106,AN106)*AP106,0))))</f>
        <v/>
      </c>
      <c r="AR106" s="25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21"/>
      <c r="B107" s="10"/>
      <c r="C107" s="7"/>
      <c r="D107" s="4"/>
      <c r="E107" s="7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1"/>
      <c r="I107" s="22"/>
      <c r="J107" s="7"/>
      <c r="K107" s="3"/>
      <c r="L107" s="6" t="str">
        <f t="shared" si="34"/>
        <v/>
      </c>
      <c r="M107" s="40"/>
      <c r="N107" s="7"/>
      <c r="O107" s="7"/>
      <c r="P107" s="3"/>
      <c r="Q107" s="21"/>
      <c r="R107" s="21"/>
      <c r="S107" s="21"/>
      <c r="T107" s="21"/>
      <c r="U107" s="5" t="str">
        <f t="shared" si="35"/>
        <v/>
      </c>
      <c r="V107" s="5" t="str">
        <f t="shared" si="36"/>
        <v/>
      </c>
      <c r="W107" s="23" t="str">
        <f t="shared" si="37"/>
        <v/>
      </c>
      <c r="X107" s="3" t="str">
        <f t="shared" si="38"/>
        <v/>
      </c>
      <c r="Y107" s="5" t="str">
        <f t="shared" si="39"/>
        <v/>
      </c>
      <c r="Z107" s="5" t="str">
        <f>IF(OR(AE107="",多次统计数据!$B$8=""),"",AE107-多次统计数据!$B$8)</f>
        <v/>
      </c>
      <c r="AA107" s="8" t="str">
        <f t="shared" si="40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1"/>
      <c r="AE107" s="5" t="str">
        <f t="shared" si="41"/>
        <v/>
      </c>
      <c r="AG107" s="21"/>
      <c r="AH107" s="21"/>
      <c r="AI107" s="21"/>
      <c r="AJ107" s="6" t="str">
        <f t="shared" si="42"/>
        <v/>
      </c>
      <c r="AK107" s="24" t="str">
        <f>IF(A107="","",COUNTIFS(加仓管理!$A$2:$A$1001,A107,加仓管理!$G$2:$G$1001,"&gt;0"))</f>
        <v/>
      </c>
      <c r="AL107" s="24" t="str">
        <f>IF(A107="","",SUMIFS(加仓管理!$G$2:$G$1001,加仓管理!$A$2:$A$1001,A107))</f>
        <v/>
      </c>
      <c r="AM107" s="25" t="str">
        <f>IF(AK107=0,"",IFERROR(LOOKUP(2,1/((加仓管理!$A$2:$A$1001=A107)*(加仓管理!$G$2:$G$1001&gt;0)),加仓管理!$D$2:$D$1001),""))</f>
        <v/>
      </c>
      <c r="AN107" s="25" t="str">
        <f>IF(AK107=0,"",IFERROR(LOOKUP(2,1/((加仓管理!$A$2:$A$1001=A107)*(加仓管理!$G$2:$G$1001&gt;0)),加仓管理!$E$2:$E$1001),""))</f>
        <v/>
      </c>
      <c r="AO107" s="25" t="str">
        <f>IF(OR(A107="",H107="",H107&lt;=0),"",(E107*H107+SUMIFS(加仓管理!$H$2:$H$1001,加仓管理!$A$2:$A$1001,A107))/AP107)</f>
        <v/>
      </c>
      <c r="AP107" s="24" t="str">
        <f t="shared" si="43"/>
        <v/>
      </c>
      <c r="AQ107" s="25" t="str">
        <f>IF(A107="","",IF(M107&lt;&gt;"",0,IF(OR(H107="",N107=""),"",MAX((E107*H107+SUMIFS(加仓管理!$H$2:$H$1001,加仓管理!$A$2:$A$1001,A107))-MAX(N107,AN107)*AP107,0))))</f>
        <v/>
      </c>
      <c r="AR107" s="25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21"/>
      <c r="B108" s="21"/>
      <c r="C108" s="7"/>
      <c r="D108" s="4"/>
      <c r="E108" s="7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1"/>
      <c r="I108" s="22"/>
      <c r="J108" s="7"/>
      <c r="K108" s="3"/>
      <c r="L108" s="6" t="str">
        <f t="shared" si="34"/>
        <v/>
      </c>
      <c r="M108" s="40"/>
      <c r="N108" s="7"/>
      <c r="O108" s="7"/>
      <c r="P108" s="3"/>
      <c r="Q108" s="21"/>
      <c r="R108" s="21"/>
      <c r="S108" s="21"/>
      <c r="T108" s="21"/>
      <c r="U108" s="5" t="str">
        <f t="shared" si="35"/>
        <v/>
      </c>
      <c r="V108" s="5" t="str">
        <f t="shared" si="36"/>
        <v/>
      </c>
      <c r="W108" s="23" t="str">
        <f t="shared" si="37"/>
        <v/>
      </c>
      <c r="X108" s="3" t="str">
        <f t="shared" si="38"/>
        <v/>
      </c>
      <c r="Y108" s="5" t="str">
        <f t="shared" si="39"/>
        <v/>
      </c>
      <c r="Z108" s="5" t="str">
        <f>IF(OR(AE108="",多次统计数据!$B$8=""),"",AE108-多次统计数据!$B$8)</f>
        <v/>
      </c>
      <c r="AA108" s="8" t="str">
        <f t="shared" si="40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1"/>
      <c r="AE108" s="5" t="str">
        <f t="shared" si="41"/>
        <v/>
      </c>
      <c r="AG108" s="21"/>
      <c r="AH108" s="21"/>
      <c r="AI108" s="21"/>
      <c r="AJ108" s="6" t="str">
        <f t="shared" si="42"/>
        <v/>
      </c>
      <c r="AK108" s="24" t="str">
        <f>IF(A108="","",COUNTIFS(加仓管理!$A$2:$A$1001,A108,加仓管理!$G$2:$G$1001,"&gt;0"))</f>
        <v/>
      </c>
      <c r="AL108" s="24" t="str">
        <f>IF(A108="","",SUMIFS(加仓管理!$G$2:$G$1001,加仓管理!$A$2:$A$1001,A108))</f>
        <v/>
      </c>
      <c r="AM108" s="25" t="str">
        <f>IF(AK108=0,"",IFERROR(LOOKUP(2,1/((加仓管理!$A$2:$A$1001=A108)*(加仓管理!$G$2:$G$1001&gt;0)),加仓管理!$D$2:$D$1001),""))</f>
        <v/>
      </c>
      <c r="AN108" s="25" t="str">
        <f>IF(AK108=0,"",IFERROR(LOOKUP(2,1/((加仓管理!$A$2:$A$1001=A108)*(加仓管理!$G$2:$G$1001&gt;0)),加仓管理!$E$2:$E$1001),""))</f>
        <v/>
      </c>
      <c r="AO108" s="25" t="str">
        <f>IF(OR(A108="",H108="",H108&lt;=0),"",(E108*H108+SUMIFS(加仓管理!$H$2:$H$1001,加仓管理!$A$2:$A$1001,A108))/AP108)</f>
        <v/>
      </c>
      <c r="AP108" s="24" t="str">
        <f t="shared" si="43"/>
        <v/>
      </c>
      <c r="AQ108" s="25" t="str">
        <f>IF(A108="","",IF(M108&lt;&gt;"",0,IF(OR(H108="",N108=""),"",MAX((E108*H108+SUMIFS(加仓管理!$H$2:$H$1001,加仓管理!$A$2:$A$1001,A108))-MAX(N108,AN108)*AP108,0))))</f>
        <v/>
      </c>
      <c r="AR108" s="25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21"/>
      <c r="B109" s="21"/>
      <c r="C109" s="7"/>
      <c r="D109" s="4"/>
      <c r="E109" s="7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1"/>
      <c r="I109" s="22"/>
      <c r="J109" s="7"/>
      <c r="K109" s="3"/>
      <c r="L109" s="6" t="str">
        <f t="shared" si="34"/>
        <v/>
      </c>
      <c r="M109" s="40"/>
      <c r="N109" s="7"/>
      <c r="O109" s="7"/>
      <c r="P109" s="3"/>
      <c r="Q109" s="21"/>
      <c r="R109" s="21"/>
      <c r="S109" s="21"/>
      <c r="T109" s="21"/>
      <c r="U109" s="5" t="str">
        <f t="shared" si="35"/>
        <v/>
      </c>
      <c r="V109" s="5" t="str">
        <f t="shared" si="36"/>
        <v/>
      </c>
      <c r="W109" s="23" t="str">
        <f t="shared" si="37"/>
        <v/>
      </c>
      <c r="X109" s="3" t="str">
        <f t="shared" si="38"/>
        <v/>
      </c>
      <c r="Y109" s="5" t="str">
        <f t="shared" si="39"/>
        <v/>
      </c>
      <c r="Z109" s="5" t="str">
        <f>IF(OR(AE109="",多次统计数据!$B$8=""),"",AE109-多次统计数据!$B$8)</f>
        <v/>
      </c>
      <c r="AA109" s="8" t="str">
        <f t="shared" si="40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1"/>
      <c r="AE109" s="5" t="str">
        <f t="shared" si="41"/>
        <v/>
      </c>
      <c r="AG109" s="21"/>
      <c r="AH109" s="21"/>
      <c r="AI109" s="21"/>
      <c r="AJ109" s="6" t="str">
        <f t="shared" si="42"/>
        <v/>
      </c>
      <c r="AK109" s="24" t="str">
        <f>IF(A109="","",COUNTIFS(加仓管理!$A$2:$A$1001,A109,加仓管理!$G$2:$G$1001,"&gt;0"))</f>
        <v/>
      </c>
      <c r="AL109" s="24" t="str">
        <f>IF(A109="","",SUMIFS(加仓管理!$G$2:$G$1001,加仓管理!$A$2:$A$1001,A109))</f>
        <v/>
      </c>
      <c r="AM109" s="25" t="str">
        <f>IF(AK109=0,"",IFERROR(LOOKUP(2,1/((加仓管理!$A$2:$A$1001=A109)*(加仓管理!$G$2:$G$1001&gt;0)),加仓管理!$D$2:$D$1001),""))</f>
        <v/>
      </c>
      <c r="AN109" s="25" t="str">
        <f>IF(AK109=0,"",IFERROR(LOOKUP(2,1/((加仓管理!$A$2:$A$1001=A109)*(加仓管理!$G$2:$G$1001&gt;0)),加仓管理!$E$2:$E$1001),""))</f>
        <v/>
      </c>
      <c r="AO109" s="25" t="str">
        <f>IF(OR(A109="",H109="",H109&lt;=0),"",(E109*H109+SUMIFS(加仓管理!$H$2:$H$1001,加仓管理!$A$2:$A$1001,A109))/AP109)</f>
        <v/>
      </c>
      <c r="AP109" s="24" t="str">
        <f t="shared" si="43"/>
        <v/>
      </c>
      <c r="AQ109" s="25" t="str">
        <f>IF(A109="","",IF(M109&lt;&gt;"",0,IF(OR(H109="",N109=""),"",MAX((E109*H109+SUMIFS(加仓管理!$H$2:$H$1001,加仓管理!$A$2:$A$1001,A109))-MAX(N109,AN109)*AP109,0))))</f>
        <v/>
      </c>
      <c r="AR109" s="25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21"/>
      <c r="B110" s="21"/>
      <c r="C110" s="7"/>
      <c r="D110" s="4"/>
      <c r="E110" s="7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1"/>
      <c r="I110" s="22"/>
      <c r="J110" s="7"/>
      <c r="K110" s="3"/>
      <c r="L110" s="6" t="str">
        <f t="shared" si="34"/>
        <v/>
      </c>
      <c r="M110" s="40"/>
      <c r="N110" s="7"/>
      <c r="O110" s="7"/>
      <c r="P110" s="3"/>
      <c r="Q110" s="21"/>
      <c r="R110" s="21"/>
      <c r="S110" s="21"/>
      <c r="T110" s="21"/>
      <c r="U110" s="5" t="str">
        <f t="shared" si="35"/>
        <v/>
      </c>
      <c r="V110" s="5" t="str">
        <f t="shared" si="36"/>
        <v/>
      </c>
      <c r="W110" s="23" t="str">
        <f t="shared" si="37"/>
        <v/>
      </c>
      <c r="X110" s="3" t="str">
        <f t="shared" si="38"/>
        <v/>
      </c>
      <c r="Y110" s="5" t="str">
        <f t="shared" si="39"/>
        <v/>
      </c>
      <c r="Z110" s="5" t="str">
        <f>IF(OR(AE110="",多次统计数据!$B$8=""),"",AE110-多次统计数据!$B$8)</f>
        <v/>
      </c>
      <c r="AA110" s="8" t="str">
        <f t="shared" si="40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1"/>
      <c r="AE110" s="5" t="str">
        <f t="shared" si="41"/>
        <v/>
      </c>
      <c r="AG110" s="21"/>
      <c r="AH110" s="21"/>
      <c r="AI110" s="21"/>
      <c r="AJ110" s="6" t="str">
        <f t="shared" si="42"/>
        <v/>
      </c>
      <c r="AK110" s="24" t="str">
        <f>IF(A110="","",COUNTIFS(加仓管理!$A$2:$A$1001,A110,加仓管理!$G$2:$G$1001,"&gt;0"))</f>
        <v/>
      </c>
      <c r="AL110" s="24" t="str">
        <f>IF(A110="","",SUMIFS(加仓管理!$G$2:$G$1001,加仓管理!$A$2:$A$1001,A110))</f>
        <v/>
      </c>
      <c r="AM110" s="25" t="str">
        <f>IF(AK110=0,"",IFERROR(LOOKUP(2,1/((加仓管理!$A$2:$A$1001=A110)*(加仓管理!$G$2:$G$1001&gt;0)),加仓管理!$D$2:$D$1001),""))</f>
        <v/>
      </c>
      <c r="AN110" s="25" t="str">
        <f>IF(AK110=0,"",IFERROR(LOOKUP(2,1/((加仓管理!$A$2:$A$1001=A110)*(加仓管理!$G$2:$G$1001&gt;0)),加仓管理!$E$2:$E$1001),""))</f>
        <v/>
      </c>
      <c r="AO110" s="25" t="str">
        <f>IF(OR(A110="",H110="",H110&lt;=0),"",(E110*H110+SUMIFS(加仓管理!$H$2:$H$1001,加仓管理!$A$2:$A$1001,A110))/AP110)</f>
        <v/>
      </c>
      <c r="AP110" s="24" t="str">
        <f t="shared" si="43"/>
        <v/>
      </c>
      <c r="AQ110" s="25" t="str">
        <f>IF(A110="","",IF(M110&lt;&gt;"",0,IF(OR(H110="",N110=""),"",MAX((E110*H110+SUMIFS(加仓管理!$H$2:$H$1001,加仓管理!$A$2:$A$1001,A110))-MAX(N110,AN110)*AP110,0))))</f>
        <v/>
      </c>
      <c r="AR110" s="25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21"/>
      <c r="B111" s="21"/>
      <c r="C111" s="7"/>
      <c r="D111" s="4"/>
      <c r="E111" s="7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1"/>
      <c r="I111" s="22"/>
      <c r="J111" s="7"/>
      <c r="K111" s="3"/>
      <c r="L111" s="6" t="str">
        <f t="shared" si="34"/>
        <v/>
      </c>
      <c r="M111" s="40"/>
      <c r="N111" s="7"/>
      <c r="O111" s="7"/>
      <c r="P111" s="3"/>
      <c r="Q111" s="21"/>
      <c r="R111" s="21"/>
      <c r="S111" s="21"/>
      <c r="T111" s="21"/>
      <c r="U111" s="5" t="str">
        <f t="shared" si="35"/>
        <v/>
      </c>
      <c r="V111" s="5" t="str">
        <f t="shared" si="36"/>
        <v/>
      </c>
      <c r="W111" s="23" t="str">
        <f t="shared" si="37"/>
        <v/>
      </c>
      <c r="X111" s="3" t="str">
        <f t="shared" si="38"/>
        <v/>
      </c>
      <c r="Y111" s="5" t="str">
        <f t="shared" si="39"/>
        <v/>
      </c>
      <c r="Z111" s="5" t="str">
        <f>IF(OR(AE111="",多次统计数据!$B$8=""),"",AE111-多次统计数据!$B$8)</f>
        <v/>
      </c>
      <c r="AA111" s="8" t="str">
        <f t="shared" si="40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1"/>
      <c r="AE111" s="5" t="str">
        <f t="shared" si="41"/>
        <v/>
      </c>
      <c r="AG111" s="21"/>
      <c r="AH111" s="21"/>
      <c r="AI111" s="21"/>
      <c r="AJ111" s="6" t="str">
        <f t="shared" si="42"/>
        <v/>
      </c>
      <c r="AK111" s="24" t="str">
        <f>IF(A111="","",COUNTIFS(加仓管理!$A$2:$A$1001,A111,加仓管理!$G$2:$G$1001,"&gt;0"))</f>
        <v/>
      </c>
      <c r="AL111" s="24" t="str">
        <f>IF(A111="","",SUMIFS(加仓管理!$G$2:$G$1001,加仓管理!$A$2:$A$1001,A111))</f>
        <v/>
      </c>
      <c r="AM111" s="25" t="str">
        <f>IF(AK111=0,"",IFERROR(LOOKUP(2,1/((加仓管理!$A$2:$A$1001=A111)*(加仓管理!$G$2:$G$1001&gt;0)),加仓管理!$D$2:$D$1001),""))</f>
        <v/>
      </c>
      <c r="AN111" s="25" t="str">
        <f>IF(AK111=0,"",IFERROR(LOOKUP(2,1/((加仓管理!$A$2:$A$1001=A111)*(加仓管理!$G$2:$G$1001&gt;0)),加仓管理!$E$2:$E$1001),""))</f>
        <v/>
      </c>
      <c r="AO111" s="25" t="str">
        <f>IF(OR(A111="",H111="",H111&lt;=0),"",(E111*H111+SUMIFS(加仓管理!$H$2:$H$1001,加仓管理!$A$2:$A$1001,A111))/AP111)</f>
        <v/>
      </c>
      <c r="AP111" s="24" t="str">
        <f t="shared" si="43"/>
        <v/>
      </c>
      <c r="AQ111" s="25" t="str">
        <f>IF(A111="","",IF(M111&lt;&gt;"",0,IF(OR(H111="",N111=""),"",MAX((E111*H111+SUMIFS(加仓管理!$H$2:$H$1001,加仓管理!$A$2:$A$1001,A111))-MAX(N111,AN111)*AP111,0))))</f>
        <v/>
      </c>
      <c r="AR111" s="25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21"/>
      <c r="B112" s="21"/>
      <c r="C112" s="7"/>
      <c r="D112" s="4"/>
      <c r="E112" s="7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1"/>
      <c r="I112" s="22"/>
      <c r="J112" s="7"/>
      <c r="K112" s="3"/>
      <c r="L112" s="6" t="str">
        <f t="shared" si="34"/>
        <v/>
      </c>
      <c r="M112" s="40"/>
      <c r="N112" s="7"/>
      <c r="O112" s="7"/>
      <c r="P112" s="3"/>
      <c r="Q112" s="21"/>
      <c r="R112" s="21"/>
      <c r="S112" s="21"/>
      <c r="T112" s="21"/>
      <c r="U112" s="5" t="str">
        <f t="shared" si="35"/>
        <v/>
      </c>
      <c r="V112" s="5" t="str">
        <f t="shared" si="36"/>
        <v/>
      </c>
      <c r="W112" s="23" t="str">
        <f t="shared" si="37"/>
        <v/>
      </c>
      <c r="X112" s="3" t="str">
        <f t="shared" si="38"/>
        <v/>
      </c>
      <c r="Y112" s="5" t="str">
        <f t="shared" si="39"/>
        <v/>
      </c>
      <c r="Z112" s="5" t="str">
        <f>IF(OR(AE112="",多次统计数据!$B$8=""),"",AE112-多次统计数据!$B$8)</f>
        <v/>
      </c>
      <c r="AA112" s="8" t="str">
        <f t="shared" si="40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1"/>
      <c r="AE112" s="5" t="str">
        <f t="shared" si="41"/>
        <v/>
      </c>
      <c r="AG112" s="21"/>
      <c r="AH112" s="21"/>
      <c r="AI112" s="21"/>
      <c r="AJ112" s="6" t="str">
        <f t="shared" si="42"/>
        <v/>
      </c>
      <c r="AK112" s="24" t="str">
        <f>IF(A112="","",COUNTIFS(加仓管理!$A$2:$A$1001,A112,加仓管理!$G$2:$G$1001,"&gt;0"))</f>
        <v/>
      </c>
      <c r="AL112" s="24" t="str">
        <f>IF(A112="","",SUMIFS(加仓管理!$G$2:$G$1001,加仓管理!$A$2:$A$1001,A112))</f>
        <v/>
      </c>
      <c r="AM112" s="25" t="str">
        <f>IF(AK112=0,"",IFERROR(LOOKUP(2,1/((加仓管理!$A$2:$A$1001=A112)*(加仓管理!$G$2:$G$1001&gt;0)),加仓管理!$D$2:$D$1001),""))</f>
        <v/>
      </c>
      <c r="AN112" s="25" t="str">
        <f>IF(AK112=0,"",IFERROR(LOOKUP(2,1/((加仓管理!$A$2:$A$1001=A112)*(加仓管理!$G$2:$G$1001&gt;0)),加仓管理!$E$2:$E$1001),""))</f>
        <v/>
      </c>
      <c r="AO112" s="25" t="str">
        <f>IF(OR(A112="",H112="",H112&lt;=0),"",(E112*H112+SUMIFS(加仓管理!$H$2:$H$1001,加仓管理!$A$2:$A$1001,A112))/AP112)</f>
        <v/>
      </c>
      <c r="AP112" s="24" t="str">
        <f t="shared" si="43"/>
        <v/>
      </c>
      <c r="AQ112" s="25" t="str">
        <f>IF(A112="","",IF(M112&lt;&gt;"",0,IF(OR(H112="",N112=""),"",MAX((E112*H112+SUMIFS(加仓管理!$H$2:$H$1001,加仓管理!$A$2:$A$1001,A112))-MAX(N112,AN112)*AP112,0))))</f>
        <v/>
      </c>
      <c r="AR112" s="25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21"/>
      <c r="B113" s="21"/>
      <c r="C113" s="7"/>
      <c r="D113" s="4"/>
      <c r="E113" s="7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1"/>
      <c r="I113" s="22"/>
      <c r="J113" s="7"/>
      <c r="K113" s="3"/>
      <c r="L113" s="6" t="str">
        <f t="shared" si="34"/>
        <v/>
      </c>
      <c r="M113" s="40"/>
      <c r="N113" s="7"/>
      <c r="O113" s="7"/>
      <c r="P113" s="3"/>
      <c r="Q113" s="21"/>
      <c r="R113" s="21"/>
      <c r="S113" s="21"/>
      <c r="T113" s="21"/>
      <c r="U113" s="5" t="str">
        <f t="shared" si="35"/>
        <v/>
      </c>
      <c r="V113" s="5" t="str">
        <f t="shared" si="36"/>
        <v/>
      </c>
      <c r="W113" s="23" t="str">
        <f t="shared" si="37"/>
        <v/>
      </c>
      <c r="X113" s="3" t="str">
        <f t="shared" si="38"/>
        <v/>
      </c>
      <c r="Y113" s="5" t="str">
        <f t="shared" si="39"/>
        <v/>
      </c>
      <c r="Z113" s="5" t="str">
        <f>IF(OR(AE113="",多次统计数据!$B$8=""),"",AE113-多次统计数据!$B$8)</f>
        <v/>
      </c>
      <c r="AA113" s="8" t="str">
        <f t="shared" si="40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1"/>
      <c r="AE113" s="5" t="str">
        <f t="shared" si="41"/>
        <v/>
      </c>
      <c r="AG113" s="21"/>
      <c r="AH113" s="21"/>
      <c r="AI113" s="21"/>
      <c r="AJ113" s="6" t="str">
        <f t="shared" si="42"/>
        <v/>
      </c>
      <c r="AK113" s="24" t="str">
        <f>IF(A113="","",COUNTIFS(加仓管理!$A$2:$A$1001,A113,加仓管理!$G$2:$G$1001,"&gt;0"))</f>
        <v/>
      </c>
      <c r="AL113" s="24" t="str">
        <f>IF(A113="","",SUMIFS(加仓管理!$G$2:$G$1001,加仓管理!$A$2:$A$1001,A113))</f>
        <v/>
      </c>
      <c r="AM113" s="25" t="str">
        <f>IF(AK113=0,"",IFERROR(LOOKUP(2,1/((加仓管理!$A$2:$A$1001=A113)*(加仓管理!$G$2:$G$1001&gt;0)),加仓管理!$D$2:$D$1001),""))</f>
        <v/>
      </c>
      <c r="AN113" s="25" t="str">
        <f>IF(AK113=0,"",IFERROR(LOOKUP(2,1/((加仓管理!$A$2:$A$1001=A113)*(加仓管理!$G$2:$G$1001&gt;0)),加仓管理!$E$2:$E$1001),""))</f>
        <v/>
      </c>
      <c r="AO113" s="25" t="str">
        <f>IF(OR(A113="",H113="",H113&lt;=0),"",(E113*H113+SUMIFS(加仓管理!$H$2:$H$1001,加仓管理!$A$2:$A$1001,A113))/AP113)</f>
        <v/>
      </c>
      <c r="AP113" s="24" t="str">
        <f t="shared" si="43"/>
        <v/>
      </c>
      <c r="AQ113" s="25" t="str">
        <f>IF(A113="","",IF(M113&lt;&gt;"",0,IF(OR(H113="",N113=""),"",MAX((E113*H113+SUMIFS(加仓管理!$H$2:$H$1001,加仓管理!$A$2:$A$1001,A113))-MAX(N113,AN113)*AP113,0))))</f>
        <v/>
      </c>
      <c r="AR113" s="25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21"/>
      <c r="B114" s="21"/>
      <c r="C114" s="7"/>
      <c r="D114" s="4"/>
      <c r="E114" s="7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1"/>
      <c r="I114" s="22"/>
      <c r="J114" s="7"/>
      <c r="K114" s="3"/>
      <c r="L114" s="6" t="str">
        <f t="shared" si="34"/>
        <v/>
      </c>
      <c r="M114" s="40"/>
      <c r="N114" s="7"/>
      <c r="O114" s="7"/>
      <c r="P114" s="3"/>
      <c r="Q114" s="21"/>
      <c r="R114" s="21"/>
      <c r="S114" s="21"/>
      <c r="T114" s="21"/>
      <c r="U114" s="5" t="str">
        <f t="shared" si="35"/>
        <v/>
      </c>
      <c r="V114" s="5" t="str">
        <f t="shared" si="36"/>
        <v/>
      </c>
      <c r="W114" s="23" t="str">
        <f t="shared" si="37"/>
        <v/>
      </c>
      <c r="X114" s="3" t="str">
        <f t="shared" si="38"/>
        <v/>
      </c>
      <c r="Y114" s="5" t="str">
        <f t="shared" si="39"/>
        <v/>
      </c>
      <c r="Z114" s="5" t="str">
        <f>IF(OR(AE114="",多次统计数据!$B$8=""),"",AE114-多次统计数据!$B$8)</f>
        <v/>
      </c>
      <c r="AA114" s="8" t="str">
        <f t="shared" si="40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1"/>
      <c r="AE114" s="5" t="str">
        <f t="shared" si="41"/>
        <v/>
      </c>
      <c r="AG114" s="21"/>
      <c r="AH114" s="21"/>
      <c r="AI114" s="21"/>
      <c r="AJ114" s="6" t="str">
        <f t="shared" si="42"/>
        <v/>
      </c>
      <c r="AK114" s="24" t="str">
        <f>IF(A114="","",COUNTIFS(加仓管理!$A$2:$A$1001,A114,加仓管理!$G$2:$G$1001,"&gt;0"))</f>
        <v/>
      </c>
      <c r="AL114" s="24" t="str">
        <f>IF(A114="","",SUMIFS(加仓管理!$G$2:$G$1001,加仓管理!$A$2:$A$1001,A114))</f>
        <v/>
      </c>
      <c r="AM114" s="25" t="str">
        <f>IF(AK114=0,"",IFERROR(LOOKUP(2,1/((加仓管理!$A$2:$A$1001=A114)*(加仓管理!$G$2:$G$1001&gt;0)),加仓管理!$D$2:$D$1001),""))</f>
        <v/>
      </c>
      <c r="AN114" s="25" t="str">
        <f>IF(AK114=0,"",IFERROR(LOOKUP(2,1/((加仓管理!$A$2:$A$1001=A114)*(加仓管理!$G$2:$G$1001&gt;0)),加仓管理!$E$2:$E$1001),""))</f>
        <v/>
      </c>
      <c r="AO114" s="25" t="str">
        <f>IF(OR(A114="",H114="",H114&lt;=0),"",(E114*H114+SUMIFS(加仓管理!$H$2:$H$1001,加仓管理!$A$2:$A$1001,A114))/AP114)</f>
        <v/>
      </c>
      <c r="AP114" s="24" t="str">
        <f t="shared" si="43"/>
        <v/>
      </c>
      <c r="AQ114" s="25" t="str">
        <f>IF(A114="","",IF(M114&lt;&gt;"",0,IF(OR(H114="",N114=""),"",MAX((E114*H114+SUMIFS(加仓管理!$H$2:$H$1001,加仓管理!$A$2:$A$1001,A114))-MAX(N114,AN114)*AP114,0))))</f>
        <v/>
      </c>
      <c r="AR114" s="25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21"/>
      <c r="B115" s="21"/>
      <c r="C115" s="7"/>
      <c r="D115" s="4"/>
      <c r="E115" s="7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1"/>
      <c r="I115" s="22"/>
      <c r="J115" s="7"/>
      <c r="K115" s="3"/>
      <c r="L115" s="6" t="str">
        <f t="shared" si="34"/>
        <v/>
      </c>
      <c r="M115" s="40"/>
      <c r="N115" s="7"/>
      <c r="O115" s="7"/>
      <c r="P115" s="3"/>
      <c r="Q115" s="21"/>
      <c r="R115" s="21"/>
      <c r="S115" s="21"/>
      <c r="T115" s="21"/>
      <c r="U115" s="5" t="str">
        <f t="shared" si="35"/>
        <v/>
      </c>
      <c r="V115" s="5" t="str">
        <f t="shared" si="36"/>
        <v/>
      </c>
      <c r="W115" s="23" t="str">
        <f t="shared" si="37"/>
        <v/>
      </c>
      <c r="X115" s="3" t="str">
        <f t="shared" si="38"/>
        <v/>
      </c>
      <c r="Y115" s="5" t="str">
        <f t="shared" si="39"/>
        <v/>
      </c>
      <c r="Z115" s="5" t="str">
        <f>IF(OR(AE115="",多次统计数据!$B$8=""),"",AE115-多次统计数据!$B$8)</f>
        <v/>
      </c>
      <c r="AA115" s="8" t="str">
        <f t="shared" si="40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1"/>
      <c r="AE115" s="5" t="str">
        <f t="shared" si="41"/>
        <v/>
      </c>
      <c r="AG115" s="21"/>
      <c r="AH115" s="21"/>
      <c r="AI115" s="21"/>
      <c r="AJ115" s="6" t="str">
        <f t="shared" si="42"/>
        <v/>
      </c>
      <c r="AK115" s="24" t="str">
        <f>IF(A115="","",COUNTIFS(加仓管理!$A$2:$A$1001,A115,加仓管理!$G$2:$G$1001,"&gt;0"))</f>
        <v/>
      </c>
      <c r="AL115" s="24" t="str">
        <f>IF(A115="","",SUMIFS(加仓管理!$G$2:$G$1001,加仓管理!$A$2:$A$1001,A115))</f>
        <v/>
      </c>
      <c r="AM115" s="25" t="str">
        <f>IF(AK115=0,"",IFERROR(LOOKUP(2,1/((加仓管理!$A$2:$A$1001=A115)*(加仓管理!$G$2:$G$1001&gt;0)),加仓管理!$D$2:$D$1001),""))</f>
        <v/>
      </c>
      <c r="AN115" s="25" t="str">
        <f>IF(AK115=0,"",IFERROR(LOOKUP(2,1/((加仓管理!$A$2:$A$1001=A115)*(加仓管理!$G$2:$G$1001&gt;0)),加仓管理!$E$2:$E$1001),""))</f>
        <v/>
      </c>
      <c r="AO115" s="25" t="str">
        <f>IF(OR(A115="",H115="",H115&lt;=0),"",(E115*H115+SUMIFS(加仓管理!$H$2:$H$1001,加仓管理!$A$2:$A$1001,A115))/AP115)</f>
        <v/>
      </c>
      <c r="AP115" s="24" t="str">
        <f t="shared" si="43"/>
        <v/>
      </c>
      <c r="AQ115" s="25" t="str">
        <f>IF(A115="","",IF(M115&lt;&gt;"",0,IF(OR(H115="",N115=""),"",MAX((E115*H115+SUMIFS(加仓管理!$H$2:$H$1001,加仓管理!$A$2:$A$1001,A115))-MAX(N115,AN115)*AP115,0))))</f>
        <v/>
      </c>
      <c r="AR115" s="25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21"/>
      <c r="B116" s="21"/>
      <c r="C116" s="7"/>
      <c r="D116" s="4"/>
      <c r="E116" s="7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1"/>
      <c r="I116" s="22"/>
      <c r="J116" s="7"/>
      <c r="K116" s="3"/>
      <c r="L116" s="6" t="str">
        <f t="shared" si="34"/>
        <v/>
      </c>
      <c r="M116" s="40"/>
      <c r="N116" s="7"/>
      <c r="O116" s="7"/>
      <c r="P116" s="3"/>
      <c r="Q116" s="21"/>
      <c r="R116" s="21"/>
      <c r="S116" s="21"/>
      <c r="T116" s="21"/>
      <c r="U116" s="5" t="str">
        <f t="shared" si="35"/>
        <v/>
      </c>
      <c r="V116" s="5" t="str">
        <f t="shared" si="36"/>
        <v/>
      </c>
      <c r="W116" s="23" t="str">
        <f t="shared" si="37"/>
        <v/>
      </c>
      <c r="X116" s="3" t="str">
        <f t="shared" si="38"/>
        <v/>
      </c>
      <c r="Y116" s="5" t="str">
        <f t="shared" si="39"/>
        <v/>
      </c>
      <c r="Z116" s="5" t="str">
        <f>IF(OR(AE116="",多次统计数据!$B$8=""),"",AE116-多次统计数据!$B$8)</f>
        <v/>
      </c>
      <c r="AA116" s="8" t="str">
        <f t="shared" si="40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1"/>
      <c r="AE116" s="5" t="str">
        <f t="shared" si="41"/>
        <v/>
      </c>
      <c r="AG116" s="21"/>
      <c r="AH116" s="21"/>
      <c r="AI116" s="21"/>
      <c r="AJ116" s="6" t="str">
        <f t="shared" si="42"/>
        <v/>
      </c>
      <c r="AK116" s="24" t="str">
        <f>IF(A116="","",COUNTIFS(加仓管理!$A$2:$A$1001,A116,加仓管理!$G$2:$G$1001,"&gt;0"))</f>
        <v/>
      </c>
      <c r="AL116" s="24" t="str">
        <f>IF(A116="","",SUMIFS(加仓管理!$G$2:$G$1001,加仓管理!$A$2:$A$1001,A116))</f>
        <v/>
      </c>
      <c r="AM116" s="25" t="str">
        <f>IF(AK116=0,"",IFERROR(LOOKUP(2,1/((加仓管理!$A$2:$A$1001=A116)*(加仓管理!$G$2:$G$1001&gt;0)),加仓管理!$D$2:$D$1001),""))</f>
        <v/>
      </c>
      <c r="AN116" s="25" t="str">
        <f>IF(AK116=0,"",IFERROR(LOOKUP(2,1/((加仓管理!$A$2:$A$1001=A116)*(加仓管理!$G$2:$G$1001&gt;0)),加仓管理!$E$2:$E$1001),""))</f>
        <v/>
      </c>
      <c r="AO116" s="25" t="str">
        <f>IF(OR(A116="",H116="",H116&lt;=0),"",(E116*H116+SUMIFS(加仓管理!$H$2:$H$1001,加仓管理!$A$2:$A$1001,A116))/AP116)</f>
        <v/>
      </c>
      <c r="AP116" s="24" t="str">
        <f t="shared" si="43"/>
        <v/>
      </c>
      <c r="AQ116" s="25" t="str">
        <f>IF(A116="","",IF(M116&lt;&gt;"",0,IF(OR(H116="",N116=""),"",MAX((E116*H116+SUMIFS(加仓管理!$H$2:$H$1001,加仓管理!$A$2:$A$1001,A116))-MAX(N116,AN116)*AP116,0))))</f>
        <v/>
      </c>
      <c r="AR116" s="25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21"/>
      <c r="B117" s="21"/>
      <c r="C117" s="7"/>
      <c r="D117" s="4"/>
      <c r="E117" s="7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1"/>
      <c r="I117" s="22"/>
      <c r="J117" s="7"/>
      <c r="K117" s="3"/>
      <c r="L117" s="6" t="str">
        <f t="shared" si="34"/>
        <v/>
      </c>
      <c r="M117" s="40"/>
      <c r="N117" s="7"/>
      <c r="O117" s="7"/>
      <c r="P117" s="3"/>
      <c r="Q117" s="21"/>
      <c r="R117" s="21"/>
      <c r="S117" s="21"/>
      <c r="T117" s="21"/>
      <c r="U117" s="5" t="str">
        <f t="shared" si="35"/>
        <v/>
      </c>
      <c r="V117" s="5" t="str">
        <f t="shared" si="36"/>
        <v/>
      </c>
      <c r="W117" s="23" t="str">
        <f t="shared" si="37"/>
        <v/>
      </c>
      <c r="X117" s="3" t="str">
        <f t="shared" si="38"/>
        <v/>
      </c>
      <c r="Y117" s="5" t="str">
        <f t="shared" si="39"/>
        <v/>
      </c>
      <c r="Z117" s="5" t="str">
        <f>IF(OR(AE117="",多次统计数据!$B$8=""),"",AE117-多次统计数据!$B$8)</f>
        <v/>
      </c>
      <c r="AA117" s="8" t="str">
        <f t="shared" si="40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1"/>
      <c r="AE117" s="5" t="str">
        <f t="shared" si="41"/>
        <v/>
      </c>
      <c r="AG117" s="21"/>
      <c r="AH117" s="21"/>
      <c r="AI117" s="21"/>
      <c r="AJ117" s="6" t="str">
        <f t="shared" si="42"/>
        <v/>
      </c>
      <c r="AK117" s="24" t="str">
        <f>IF(A117="","",COUNTIFS(加仓管理!$A$2:$A$1001,A117,加仓管理!$G$2:$G$1001,"&gt;0"))</f>
        <v/>
      </c>
      <c r="AL117" s="24" t="str">
        <f>IF(A117="","",SUMIFS(加仓管理!$G$2:$G$1001,加仓管理!$A$2:$A$1001,A117))</f>
        <v/>
      </c>
      <c r="AM117" s="25" t="str">
        <f>IF(AK117=0,"",IFERROR(LOOKUP(2,1/((加仓管理!$A$2:$A$1001=A117)*(加仓管理!$G$2:$G$1001&gt;0)),加仓管理!$D$2:$D$1001),""))</f>
        <v/>
      </c>
      <c r="AN117" s="25" t="str">
        <f>IF(AK117=0,"",IFERROR(LOOKUP(2,1/((加仓管理!$A$2:$A$1001=A117)*(加仓管理!$G$2:$G$1001&gt;0)),加仓管理!$E$2:$E$1001),""))</f>
        <v/>
      </c>
      <c r="AO117" s="25" t="str">
        <f>IF(OR(A117="",H117="",H117&lt;=0),"",(E117*H117+SUMIFS(加仓管理!$H$2:$H$1001,加仓管理!$A$2:$A$1001,A117))/AP117)</f>
        <v/>
      </c>
      <c r="AP117" s="24" t="str">
        <f t="shared" si="43"/>
        <v/>
      </c>
      <c r="AQ117" s="25" t="str">
        <f>IF(A117="","",IF(M117&lt;&gt;"",0,IF(OR(H117="",N117=""),"",MAX((E117*H117+SUMIFS(加仓管理!$H$2:$H$1001,加仓管理!$A$2:$A$1001,A117))-MAX(N117,AN117)*AP117,0))))</f>
        <v/>
      </c>
      <c r="AR117" s="25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21"/>
      <c r="B118" s="21"/>
      <c r="C118" s="7"/>
      <c r="D118" s="4"/>
      <c r="E118" s="7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1"/>
      <c r="I118" s="22"/>
      <c r="J118" s="7"/>
      <c r="K118" s="3"/>
      <c r="L118" s="6" t="str">
        <f t="shared" si="34"/>
        <v/>
      </c>
      <c r="M118" s="40"/>
      <c r="N118" s="7"/>
      <c r="O118" s="7"/>
      <c r="P118" s="3"/>
      <c r="Q118" s="21"/>
      <c r="R118" s="21"/>
      <c r="S118" s="21"/>
      <c r="T118" s="21"/>
      <c r="U118" s="5" t="str">
        <f t="shared" si="35"/>
        <v/>
      </c>
      <c r="V118" s="5" t="str">
        <f t="shared" si="36"/>
        <v/>
      </c>
      <c r="W118" s="23" t="str">
        <f t="shared" si="37"/>
        <v/>
      </c>
      <c r="X118" s="3" t="str">
        <f t="shared" si="38"/>
        <v/>
      </c>
      <c r="Y118" s="5" t="str">
        <f t="shared" si="39"/>
        <v/>
      </c>
      <c r="Z118" s="5" t="str">
        <f>IF(OR(AE118="",多次统计数据!$B$8=""),"",AE118-多次统计数据!$B$8)</f>
        <v/>
      </c>
      <c r="AA118" s="8" t="str">
        <f t="shared" si="40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1"/>
      <c r="AE118" s="5" t="str">
        <f t="shared" si="41"/>
        <v/>
      </c>
      <c r="AG118" s="21"/>
      <c r="AH118" s="21"/>
      <c r="AI118" s="21"/>
      <c r="AJ118" s="6" t="str">
        <f t="shared" si="42"/>
        <v/>
      </c>
      <c r="AK118" s="24" t="str">
        <f>IF(A118="","",COUNTIFS(加仓管理!$A$2:$A$1001,A118,加仓管理!$G$2:$G$1001,"&gt;0"))</f>
        <v/>
      </c>
      <c r="AL118" s="24" t="str">
        <f>IF(A118="","",SUMIFS(加仓管理!$G$2:$G$1001,加仓管理!$A$2:$A$1001,A118))</f>
        <v/>
      </c>
      <c r="AM118" s="25" t="str">
        <f>IF(AK118=0,"",IFERROR(LOOKUP(2,1/((加仓管理!$A$2:$A$1001=A118)*(加仓管理!$G$2:$G$1001&gt;0)),加仓管理!$D$2:$D$1001),""))</f>
        <v/>
      </c>
      <c r="AN118" s="25" t="str">
        <f>IF(AK118=0,"",IFERROR(LOOKUP(2,1/((加仓管理!$A$2:$A$1001=A118)*(加仓管理!$G$2:$G$1001&gt;0)),加仓管理!$E$2:$E$1001),""))</f>
        <v/>
      </c>
      <c r="AO118" s="25" t="str">
        <f>IF(OR(A118="",H118="",H118&lt;=0),"",(E118*H118+SUMIFS(加仓管理!$H$2:$H$1001,加仓管理!$A$2:$A$1001,A118))/AP118)</f>
        <v/>
      </c>
      <c r="AP118" s="24" t="str">
        <f t="shared" si="43"/>
        <v/>
      </c>
      <c r="AQ118" s="25" t="str">
        <f>IF(A118="","",IF(M118&lt;&gt;"",0,IF(OR(H118="",N118=""),"",MAX((E118*H118+SUMIFS(加仓管理!$H$2:$H$1001,加仓管理!$A$2:$A$1001,A118))-MAX(N118,AN118)*AP118,0))))</f>
        <v/>
      </c>
      <c r="AR118" s="25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21"/>
      <c r="B119" s="21"/>
      <c r="C119" s="7"/>
      <c r="D119" s="4"/>
      <c r="E119" s="7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1"/>
      <c r="I119" s="22"/>
      <c r="J119" s="7"/>
      <c r="K119" s="3"/>
      <c r="L119" s="6" t="str">
        <f t="shared" si="34"/>
        <v/>
      </c>
      <c r="M119" s="40"/>
      <c r="N119" s="7"/>
      <c r="O119" s="7"/>
      <c r="P119" s="3"/>
      <c r="Q119" s="21"/>
      <c r="R119" s="21"/>
      <c r="S119" s="21"/>
      <c r="T119" s="21"/>
      <c r="U119" s="5" t="str">
        <f t="shared" si="35"/>
        <v/>
      </c>
      <c r="V119" s="5" t="str">
        <f t="shared" si="36"/>
        <v/>
      </c>
      <c r="W119" s="23" t="str">
        <f t="shared" si="37"/>
        <v/>
      </c>
      <c r="X119" s="3" t="str">
        <f t="shared" si="38"/>
        <v/>
      </c>
      <c r="Y119" s="5" t="str">
        <f t="shared" si="39"/>
        <v/>
      </c>
      <c r="Z119" s="5" t="str">
        <f>IF(OR(AE119="",多次统计数据!$B$8=""),"",AE119-多次统计数据!$B$8)</f>
        <v/>
      </c>
      <c r="AA119" s="8" t="str">
        <f t="shared" si="40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1"/>
      <c r="AE119" s="5" t="str">
        <f t="shared" si="41"/>
        <v/>
      </c>
      <c r="AG119" s="21"/>
      <c r="AH119" s="21"/>
      <c r="AI119" s="21"/>
      <c r="AJ119" s="6" t="str">
        <f t="shared" si="42"/>
        <v/>
      </c>
      <c r="AK119" s="24" t="str">
        <f>IF(A119="","",COUNTIFS(加仓管理!$A$2:$A$1001,A119,加仓管理!$G$2:$G$1001,"&gt;0"))</f>
        <v/>
      </c>
      <c r="AL119" s="24" t="str">
        <f>IF(A119="","",SUMIFS(加仓管理!$G$2:$G$1001,加仓管理!$A$2:$A$1001,A119))</f>
        <v/>
      </c>
      <c r="AM119" s="25" t="str">
        <f>IF(AK119=0,"",IFERROR(LOOKUP(2,1/((加仓管理!$A$2:$A$1001=A119)*(加仓管理!$G$2:$G$1001&gt;0)),加仓管理!$D$2:$D$1001),""))</f>
        <v/>
      </c>
      <c r="AN119" s="25" t="str">
        <f>IF(AK119=0,"",IFERROR(LOOKUP(2,1/((加仓管理!$A$2:$A$1001=A119)*(加仓管理!$G$2:$G$1001&gt;0)),加仓管理!$E$2:$E$1001),""))</f>
        <v/>
      </c>
      <c r="AO119" s="25" t="str">
        <f>IF(OR(A119="",H119="",H119&lt;=0),"",(E119*H119+SUMIFS(加仓管理!$H$2:$H$1001,加仓管理!$A$2:$A$1001,A119))/AP119)</f>
        <v/>
      </c>
      <c r="AP119" s="24" t="str">
        <f t="shared" si="43"/>
        <v/>
      </c>
      <c r="AQ119" s="25" t="str">
        <f>IF(A119="","",IF(M119&lt;&gt;"",0,IF(OR(H119="",N119=""),"",MAX((E119*H119+SUMIFS(加仓管理!$H$2:$H$1001,加仓管理!$A$2:$A$1001,A119))-MAX(N119,AN119)*AP119,0))))</f>
        <v/>
      </c>
      <c r="AR119" s="25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21"/>
      <c r="B120" s="21"/>
      <c r="C120" s="7"/>
      <c r="D120" s="4"/>
      <c r="E120" s="7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1"/>
      <c r="I120" s="22"/>
      <c r="J120" s="7"/>
      <c r="K120" s="3"/>
      <c r="L120" s="6" t="str">
        <f t="shared" si="34"/>
        <v/>
      </c>
      <c r="M120" s="40"/>
      <c r="N120" s="7"/>
      <c r="O120" s="7"/>
      <c r="P120" s="3"/>
      <c r="Q120" s="21"/>
      <c r="R120" s="21"/>
      <c r="S120" s="21"/>
      <c r="T120" s="21"/>
      <c r="U120" s="5" t="str">
        <f t="shared" si="35"/>
        <v/>
      </c>
      <c r="V120" s="5" t="str">
        <f t="shared" si="36"/>
        <v/>
      </c>
      <c r="W120" s="23" t="str">
        <f t="shared" si="37"/>
        <v/>
      </c>
      <c r="X120" s="3" t="str">
        <f t="shared" si="38"/>
        <v/>
      </c>
      <c r="Y120" s="5" t="str">
        <f t="shared" si="39"/>
        <v/>
      </c>
      <c r="Z120" s="5" t="str">
        <f>IF(OR(AE120="",多次统计数据!$B$8=""),"",AE120-多次统计数据!$B$8)</f>
        <v/>
      </c>
      <c r="AA120" s="8" t="str">
        <f t="shared" si="40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1"/>
      <c r="AE120" s="5" t="str">
        <f t="shared" si="41"/>
        <v/>
      </c>
      <c r="AG120" s="21"/>
      <c r="AH120" s="21"/>
      <c r="AI120" s="21"/>
      <c r="AJ120" s="6" t="str">
        <f t="shared" si="42"/>
        <v/>
      </c>
      <c r="AK120" s="24" t="str">
        <f>IF(A120="","",COUNTIFS(加仓管理!$A$2:$A$1001,A120,加仓管理!$G$2:$G$1001,"&gt;0"))</f>
        <v/>
      </c>
      <c r="AL120" s="24" t="str">
        <f>IF(A120="","",SUMIFS(加仓管理!$G$2:$G$1001,加仓管理!$A$2:$A$1001,A120))</f>
        <v/>
      </c>
      <c r="AM120" s="25" t="str">
        <f>IF(AK120=0,"",IFERROR(LOOKUP(2,1/((加仓管理!$A$2:$A$1001=A120)*(加仓管理!$G$2:$G$1001&gt;0)),加仓管理!$D$2:$D$1001),""))</f>
        <v/>
      </c>
      <c r="AN120" s="25" t="str">
        <f>IF(AK120=0,"",IFERROR(LOOKUP(2,1/((加仓管理!$A$2:$A$1001=A120)*(加仓管理!$G$2:$G$1001&gt;0)),加仓管理!$E$2:$E$1001),""))</f>
        <v/>
      </c>
      <c r="AO120" s="25" t="str">
        <f>IF(OR(A120="",H120="",H120&lt;=0),"",(E120*H120+SUMIFS(加仓管理!$H$2:$H$1001,加仓管理!$A$2:$A$1001,A120))/AP120)</f>
        <v/>
      </c>
      <c r="AP120" s="24" t="str">
        <f t="shared" si="43"/>
        <v/>
      </c>
      <c r="AQ120" s="25" t="str">
        <f>IF(A120="","",IF(M120&lt;&gt;"",0,IF(OR(H120="",N120=""),"",MAX((E120*H120+SUMIFS(加仓管理!$H$2:$H$1001,加仓管理!$A$2:$A$1001,A120))-MAX(N120,AN120)*AP120,0))))</f>
        <v/>
      </c>
      <c r="AR120" s="25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21"/>
      <c r="B121" s="21"/>
      <c r="C121" s="7"/>
      <c r="D121" s="4"/>
      <c r="E121" s="7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1"/>
      <c r="I121" s="22"/>
      <c r="J121" s="7"/>
      <c r="K121" s="3"/>
      <c r="L121" s="6" t="str">
        <f t="shared" si="34"/>
        <v/>
      </c>
      <c r="M121" s="40"/>
      <c r="N121" s="7"/>
      <c r="O121" s="7"/>
      <c r="P121" s="3"/>
      <c r="Q121" s="21"/>
      <c r="R121" s="21"/>
      <c r="S121" s="21"/>
      <c r="T121" s="21"/>
      <c r="U121" s="5" t="str">
        <f t="shared" si="35"/>
        <v/>
      </c>
      <c r="V121" s="5" t="str">
        <f t="shared" si="36"/>
        <v/>
      </c>
      <c r="W121" s="23" t="str">
        <f t="shared" si="37"/>
        <v/>
      </c>
      <c r="X121" s="3" t="str">
        <f t="shared" si="38"/>
        <v/>
      </c>
      <c r="Y121" s="5" t="str">
        <f t="shared" si="39"/>
        <v/>
      </c>
      <c r="Z121" s="5" t="str">
        <f>IF(OR(AE121="",多次统计数据!$B$8=""),"",AE121-多次统计数据!$B$8)</f>
        <v/>
      </c>
      <c r="AA121" s="8" t="str">
        <f t="shared" si="40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1"/>
      <c r="AE121" s="5" t="str">
        <f t="shared" si="41"/>
        <v/>
      </c>
      <c r="AG121" s="21"/>
      <c r="AH121" s="21"/>
      <c r="AI121" s="21"/>
      <c r="AJ121" s="6" t="str">
        <f t="shared" si="42"/>
        <v/>
      </c>
      <c r="AK121" s="24" t="str">
        <f>IF(A121="","",COUNTIFS(加仓管理!$A$2:$A$1001,A121,加仓管理!$G$2:$G$1001,"&gt;0"))</f>
        <v/>
      </c>
      <c r="AL121" s="24" t="str">
        <f>IF(A121="","",SUMIFS(加仓管理!$G$2:$G$1001,加仓管理!$A$2:$A$1001,A121))</f>
        <v/>
      </c>
      <c r="AM121" s="25" t="str">
        <f>IF(AK121=0,"",IFERROR(LOOKUP(2,1/((加仓管理!$A$2:$A$1001=A121)*(加仓管理!$G$2:$G$1001&gt;0)),加仓管理!$D$2:$D$1001),""))</f>
        <v/>
      </c>
      <c r="AN121" s="25" t="str">
        <f>IF(AK121=0,"",IFERROR(LOOKUP(2,1/((加仓管理!$A$2:$A$1001=A121)*(加仓管理!$G$2:$G$1001&gt;0)),加仓管理!$E$2:$E$1001),""))</f>
        <v/>
      </c>
      <c r="AO121" s="25" t="str">
        <f>IF(OR(A121="",H121="",H121&lt;=0),"",(E121*H121+SUMIFS(加仓管理!$H$2:$H$1001,加仓管理!$A$2:$A$1001,A121))/AP121)</f>
        <v/>
      </c>
      <c r="AP121" s="24" t="str">
        <f t="shared" si="43"/>
        <v/>
      </c>
      <c r="AQ121" s="25" t="str">
        <f>IF(A121="","",IF(M121&lt;&gt;"",0,IF(OR(H121="",N121=""),"",MAX((E121*H121+SUMIFS(加仓管理!$H$2:$H$1001,加仓管理!$A$2:$A$1001,A121))-MAX(N121,AN121)*AP121,0))))</f>
        <v/>
      </c>
      <c r="AR121" s="25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21"/>
      <c r="B122" s="21"/>
      <c r="C122" s="7"/>
      <c r="D122" s="4"/>
      <c r="E122" s="7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1"/>
      <c r="I122" s="22"/>
      <c r="J122" s="7"/>
      <c r="K122" s="3"/>
      <c r="L122" s="6" t="str">
        <f t="shared" si="34"/>
        <v/>
      </c>
      <c r="M122" s="40"/>
      <c r="N122" s="7"/>
      <c r="O122" s="7"/>
      <c r="P122" s="3"/>
      <c r="Q122" s="21"/>
      <c r="R122" s="21"/>
      <c r="S122" s="21"/>
      <c r="T122" s="21"/>
      <c r="U122" s="5" t="str">
        <f t="shared" si="35"/>
        <v/>
      </c>
      <c r="V122" s="5" t="str">
        <f t="shared" si="36"/>
        <v/>
      </c>
      <c r="W122" s="23" t="str">
        <f t="shared" si="37"/>
        <v/>
      </c>
      <c r="X122" s="3" t="str">
        <f t="shared" si="38"/>
        <v/>
      </c>
      <c r="Y122" s="5" t="str">
        <f t="shared" si="39"/>
        <v/>
      </c>
      <c r="Z122" s="5" t="str">
        <f>IF(OR(AE122="",多次统计数据!$B$8=""),"",AE122-多次统计数据!$B$8)</f>
        <v/>
      </c>
      <c r="AA122" s="8" t="str">
        <f t="shared" si="40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1"/>
      <c r="AE122" s="5" t="str">
        <f t="shared" si="41"/>
        <v/>
      </c>
      <c r="AG122" s="21"/>
      <c r="AH122" s="21"/>
      <c r="AI122" s="21"/>
      <c r="AJ122" s="6" t="str">
        <f t="shared" si="42"/>
        <v/>
      </c>
      <c r="AK122" s="24" t="str">
        <f>IF(A122="","",COUNTIFS(加仓管理!$A$2:$A$1001,A122,加仓管理!$G$2:$G$1001,"&gt;0"))</f>
        <v/>
      </c>
      <c r="AL122" s="24" t="str">
        <f>IF(A122="","",SUMIFS(加仓管理!$G$2:$G$1001,加仓管理!$A$2:$A$1001,A122))</f>
        <v/>
      </c>
      <c r="AM122" s="25" t="str">
        <f>IF(AK122=0,"",IFERROR(LOOKUP(2,1/((加仓管理!$A$2:$A$1001=A122)*(加仓管理!$G$2:$G$1001&gt;0)),加仓管理!$D$2:$D$1001),""))</f>
        <v/>
      </c>
      <c r="AN122" s="25" t="str">
        <f>IF(AK122=0,"",IFERROR(LOOKUP(2,1/((加仓管理!$A$2:$A$1001=A122)*(加仓管理!$G$2:$G$1001&gt;0)),加仓管理!$E$2:$E$1001),""))</f>
        <v/>
      </c>
      <c r="AO122" s="25" t="str">
        <f>IF(OR(A122="",H122="",H122&lt;=0),"",(E122*H122+SUMIFS(加仓管理!$H$2:$H$1001,加仓管理!$A$2:$A$1001,A122))/AP122)</f>
        <v/>
      </c>
      <c r="AP122" s="24" t="str">
        <f t="shared" si="43"/>
        <v/>
      </c>
      <c r="AQ122" s="25" t="str">
        <f>IF(A122="","",IF(M122&lt;&gt;"",0,IF(OR(H122="",N122=""),"",MAX((E122*H122+SUMIFS(加仓管理!$H$2:$H$1001,加仓管理!$A$2:$A$1001,A122))-MAX(N122,AN122)*AP122,0))))</f>
        <v/>
      </c>
      <c r="AR122" s="25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21"/>
      <c r="B123" s="21"/>
      <c r="C123" s="7"/>
      <c r="D123" s="4"/>
      <c r="E123" s="7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1"/>
      <c r="I123" s="22"/>
      <c r="J123" s="7"/>
      <c r="K123" s="3"/>
      <c r="L123" s="6" t="str">
        <f t="shared" si="34"/>
        <v/>
      </c>
      <c r="M123" s="40"/>
      <c r="N123" s="7"/>
      <c r="O123" s="7"/>
      <c r="P123" s="3"/>
      <c r="Q123" s="21"/>
      <c r="R123" s="21"/>
      <c r="S123" s="21"/>
      <c r="T123" s="21"/>
      <c r="U123" s="5" t="str">
        <f t="shared" si="35"/>
        <v/>
      </c>
      <c r="V123" s="5" t="str">
        <f t="shared" si="36"/>
        <v/>
      </c>
      <c r="W123" s="23" t="str">
        <f t="shared" si="37"/>
        <v/>
      </c>
      <c r="X123" s="3" t="str">
        <f t="shared" si="38"/>
        <v/>
      </c>
      <c r="Y123" s="5" t="str">
        <f t="shared" si="39"/>
        <v/>
      </c>
      <c r="Z123" s="5" t="str">
        <f>IF(OR(AE123="",多次统计数据!$B$8=""),"",AE123-多次统计数据!$B$8)</f>
        <v/>
      </c>
      <c r="AA123" s="8" t="str">
        <f t="shared" si="40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1"/>
      <c r="AE123" s="5" t="str">
        <f t="shared" si="41"/>
        <v/>
      </c>
      <c r="AG123" s="21"/>
      <c r="AH123" s="21"/>
      <c r="AI123" s="21"/>
      <c r="AJ123" s="6" t="str">
        <f t="shared" si="42"/>
        <v/>
      </c>
      <c r="AK123" s="24" t="str">
        <f>IF(A123="","",COUNTIFS(加仓管理!$A$2:$A$1001,A123,加仓管理!$G$2:$G$1001,"&gt;0"))</f>
        <v/>
      </c>
      <c r="AL123" s="24" t="str">
        <f>IF(A123="","",SUMIFS(加仓管理!$G$2:$G$1001,加仓管理!$A$2:$A$1001,A123))</f>
        <v/>
      </c>
      <c r="AM123" s="25" t="str">
        <f>IF(AK123=0,"",IFERROR(LOOKUP(2,1/((加仓管理!$A$2:$A$1001=A123)*(加仓管理!$G$2:$G$1001&gt;0)),加仓管理!$D$2:$D$1001),""))</f>
        <v/>
      </c>
      <c r="AN123" s="25" t="str">
        <f>IF(AK123=0,"",IFERROR(LOOKUP(2,1/((加仓管理!$A$2:$A$1001=A123)*(加仓管理!$G$2:$G$1001&gt;0)),加仓管理!$E$2:$E$1001),""))</f>
        <v/>
      </c>
      <c r="AO123" s="25" t="str">
        <f>IF(OR(A123="",H123="",H123&lt;=0),"",(E123*H123+SUMIFS(加仓管理!$H$2:$H$1001,加仓管理!$A$2:$A$1001,A123))/AP123)</f>
        <v/>
      </c>
      <c r="AP123" s="24" t="str">
        <f t="shared" si="43"/>
        <v/>
      </c>
      <c r="AQ123" s="25" t="str">
        <f>IF(A123="","",IF(M123&lt;&gt;"",0,IF(OR(H123="",N123=""),"",MAX((E123*H123+SUMIFS(加仓管理!$H$2:$H$1001,加仓管理!$A$2:$A$1001,A123))-MAX(N123,AN123)*AP123,0))))</f>
        <v/>
      </c>
      <c r="AR123" s="25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21"/>
      <c r="B124" s="21"/>
      <c r="C124" s="7"/>
      <c r="D124" s="4"/>
      <c r="E124" s="7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1"/>
      <c r="I124" s="22"/>
      <c r="J124" s="7"/>
      <c r="K124" s="3"/>
      <c r="L124" s="6" t="str">
        <f t="shared" si="34"/>
        <v/>
      </c>
      <c r="M124" s="40"/>
      <c r="N124" s="7"/>
      <c r="O124" s="7"/>
      <c r="P124" s="3"/>
      <c r="Q124" s="21"/>
      <c r="R124" s="21"/>
      <c r="S124" s="21"/>
      <c r="T124" s="21"/>
      <c r="U124" s="5" t="str">
        <f t="shared" si="35"/>
        <v/>
      </c>
      <c r="V124" s="5" t="str">
        <f t="shared" si="36"/>
        <v/>
      </c>
      <c r="W124" s="23" t="str">
        <f t="shared" si="37"/>
        <v/>
      </c>
      <c r="X124" s="3" t="str">
        <f t="shared" si="38"/>
        <v/>
      </c>
      <c r="Y124" s="5" t="str">
        <f t="shared" si="39"/>
        <v/>
      </c>
      <c r="Z124" s="5" t="str">
        <f>IF(OR(AE124="",多次统计数据!$B$8=""),"",AE124-多次统计数据!$B$8)</f>
        <v/>
      </c>
      <c r="AA124" s="8" t="str">
        <f t="shared" si="40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1"/>
      <c r="AE124" s="5" t="str">
        <f t="shared" si="41"/>
        <v/>
      </c>
      <c r="AG124" s="21"/>
      <c r="AH124" s="21"/>
      <c r="AI124" s="21"/>
      <c r="AJ124" s="6" t="str">
        <f t="shared" si="42"/>
        <v/>
      </c>
      <c r="AK124" s="24" t="str">
        <f>IF(A124="","",COUNTIFS(加仓管理!$A$2:$A$1001,A124,加仓管理!$G$2:$G$1001,"&gt;0"))</f>
        <v/>
      </c>
      <c r="AL124" s="24" t="str">
        <f>IF(A124="","",SUMIFS(加仓管理!$G$2:$G$1001,加仓管理!$A$2:$A$1001,A124))</f>
        <v/>
      </c>
      <c r="AM124" s="25" t="str">
        <f>IF(AK124=0,"",IFERROR(LOOKUP(2,1/((加仓管理!$A$2:$A$1001=A124)*(加仓管理!$G$2:$G$1001&gt;0)),加仓管理!$D$2:$D$1001),""))</f>
        <v/>
      </c>
      <c r="AN124" s="25" t="str">
        <f>IF(AK124=0,"",IFERROR(LOOKUP(2,1/((加仓管理!$A$2:$A$1001=A124)*(加仓管理!$G$2:$G$1001&gt;0)),加仓管理!$E$2:$E$1001),""))</f>
        <v/>
      </c>
      <c r="AO124" s="25" t="str">
        <f>IF(OR(A124="",H124="",H124&lt;=0),"",(E124*H124+SUMIFS(加仓管理!$H$2:$H$1001,加仓管理!$A$2:$A$1001,A124))/AP124)</f>
        <v/>
      </c>
      <c r="AP124" s="24" t="str">
        <f t="shared" si="43"/>
        <v/>
      </c>
      <c r="AQ124" s="25" t="str">
        <f>IF(A124="","",IF(M124&lt;&gt;"",0,IF(OR(H124="",N124=""),"",MAX((E124*H124+SUMIFS(加仓管理!$H$2:$H$1001,加仓管理!$A$2:$A$1001,A124))-MAX(N124,AN124)*AP124,0))))</f>
        <v/>
      </c>
      <c r="AR124" s="25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21"/>
      <c r="B125" s="21"/>
      <c r="C125" s="7"/>
      <c r="D125" s="4"/>
      <c r="E125" s="7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1"/>
      <c r="I125" s="22"/>
      <c r="J125" s="7"/>
      <c r="K125" s="3"/>
      <c r="L125" s="6" t="str">
        <f t="shared" si="34"/>
        <v/>
      </c>
      <c r="M125" s="40"/>
      <c r="N125" s="7"/>
      <c r="O125" s="7"/>
      <c r="P125" s="3"/>
      <c r="Q125" s="21"/>
      <c r="R125" s="21"/>
      <c r="S125" s="21"/>
      <c r="T125" s="21"/>
      <c r="U125" s="5" t="str">
        <f t="shared" si="35"/>
        <v/>
      </c>
      <c r="V125" s="5" t="str">
        <f t="shared" si="36"/>
        <v/>
      </c>
      <c r="W125" s="23" t="str">
        <f t="shared" si="37"/>
        <v/>
      </c>
      <c r="X125" s="3" t="str">
        <f t="shared" si="38"/>
        <v/>
      </c>
      <c r="Y125" s="5" t="str">
        <f t="shared" si="39"/>
        <v/>
      </c>
      <c r="Z125" s="5" t="str">
        <f>IF(OR(AE125="",多次统计数据!$B$8=""),"",AE125-多次统计数据!$B$8)</f>
        <v/>
      </c>
      <c r="AA125" s="8" t="str">
        <f t="shared" si="40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1"/>
      <c r="AE125" s="5" t="str">
        <f t="shared" si="41"/>
        <v/>
      </c>
      <c r="AG125" s="21"/>
      <c r="AH125" s="21"/>
      <c r="AI125" s="21"/>
      <c r="AJ125" s="6" t="str">
        <f t="shared" si="42"/>
        <v/>
      </c>
      <c r="AK125" s="24" t="str">
        <f>IF(A125="","",COUNTIFS(加仓管理!$A$2:$A$1001,A125,加仓管理!$G$2:$G$1001,"&gt;0"))</f>
        <v/>
      </c>
      <c r="AL125" s="24" t="str">
        <f>IF(A125="","",SUMIFS(加仓管理!$G$2:$G$1001,加仓管理!$A$2:$A$1001,A125))</f>
        <v/>
      </c>
      <c r="AM125" s="25" t="str">
        <f>IF(AK125=0,"",IFERROR(LOOKUP(2,1/((加仓管理!$A$2:$A$1001=A125)*(加仓管理!$G$2:$G$1001&gt;0)),加仓管理!$D$2:$D$1001),""))</f>
        <v/>
      </c>
      <c r="AN125" s="25" t="str">
        <f>IF(AK125=0,"",IFERROR(LOOKUP(2,1/((加仓管理!$A$2:$A$1001=A125)*(加仓管理!$G$2:$G$1001&gt;0)),加仓管理!$E$2:$E$1001),""))</f>
        <v/>
      </c>
      <c r="AO125" s="25" t="str">
        <f>IF(OR(A125="",H125="",H125&lt;=0),"",(E125*H125+SUMIFS(加仓管理!$H$2:$H$1001,加仓管理!$A$2:$A$1001,A125))/AP125)</f>
        <v/>
      </c>
      <c r="AP125" s="24" t="str">
        <f t="shared" si="43"/>
        <v/>
      </c>
      <c r="AQ125" s="25" t="str">
        <f>IF(A125="","",IF(M125&lt;&gt;"",0,IF(OR(H125="",N125=""),"",MAX((E125*H125+SUMIFS(加仓管理!$H$2:$H$1001,加仓管理!$A$2:$A$1001,A125))-MAX(N125,AN125)*AP125,0))))</f>
        <v/>
      </c>
      <c r="AR125" s="25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21"/>
      <c r="B126" s="21"/>
      <c r="C126" s="7"/>
      <c r="D126" s="4"/>
      <c r="E126" s="7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1"/>
      <c r="I126" s="22"/>
      <c r="J126" s="7"/>
      <c r="K126" s="3"/>
      <c r="L126" s="6" t="str">
        <f t="shared" si="34"/>
        <v/>
      </c>
      <c r="M126" s="40"/>
      <c r="N126" s="7"/>
      <c r="O126" s="7"/>
      <c r="P126" s="3"/>
      <c r="Q126" s="21"/>
      <c r="R126" s="21"/>
      <c r="S126" s="21"/>
      <c r="T126" s="21"/>
      <c r="U126" s="5" t="str">
        <f t="shared" si="35"/>
        <v/>
      </c>
      <c r="V126" s="5" t="str">
        <f t="shared" si="36"/>
        <v/>
      </c>
      <c r="W126" s="23" t="str">
        <f t="shared" si="37"/>
        <v/>
      </c>
      <c r="X126" s="3" t="str">
        <f t="shared" si="38"/>
        <v/>
      </c>
      <c r="Y126" s="5" t="str">
        <f t="shared" si="39"/>
        <v/>
      </c>
      <c r="Z126" s="5" t="str">
        <f>IF(OR(AE126="",多次统计数据!$B$8=""),"",AE126-多次统计数据!$B$8)</f>
        <v/>
      </c>
      <c r="AA126" s="8" t="str">
        <f t="shared" si="40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1"/>
      <c r="AE126" s="5" t="str">
        <f t="shared" si="41"/>
        <v/>
      </c>
      <c r="AG126" s="21"/>
      <c r="AH126" s="21"/>
      <c r="AI126" s="21"/>
      <c r="AJ126" s="6" t="str">
        <f t="shared" si="42"/>
        <v/>
      </c>
      <c r="AK126" s="24" t="str">
        <f>IF(A126="","",COUNTIFS(加仓管理!$A$2:$A$1001,A126,加仓管理!$G$2:$G$1001,"&gt;0"))</f>
        <v/>
      </c>
      <c r="AL126" s="24" t="str">
        <f>IF(A126="","",SUMIFS(加仓管理!$G$2:$G$1001,加仓管理!$A$2:$A$1001,A126))</f>
        <v/>
      </c>
      <c r="AM126" s="25" t="str">
        <f>IF(AK126=0,"",IFERROR(LOOKUP(2,1/((加仓管理!$A$2:$A$1001=A126)*(加仓管理!$G$2:$G$1001&gt;0)),加仓管理!$D$2:$D$1001),""))</f>
        <v/>
      </c>
      <c r="AN126" s="25" t="str">
        <f>IF(AK126=0,"",IFERROR(LOOKUP(2,1/((加仓管理!$A$2:$A$1001=A126)*(加仓管理!$G$2:$G$1001&gt;0)),加仓管理!$E$2:$E$1001),""))</f>
        <v/>
      </c>
      <c r="AO126" s="25" t="str">
        <f>IF(OR(A126="",H126="",H126&lt;=0),"",(E126*H126+SUMIFS(加仓管理!$H$2:$H$1001,加仓管理!$A$2:$A$1001,A126))/AP126)</f>
        <v/>
      </c>
      <c r="AP126" s="24" t="str">
        <f t="shared" si="43"/>
        <v/>
      </c>
      <c r="AQ126" s="25" t="str">
        <f>IF(A126="","",IF(M126&lt;&gt;"",0,IF(OR(H126="",N126=""),"",MAX((E126*H126+SUMIFS(加仓管理!$H$2:$H$1001,加仓管理!$A$2:$A$1001,A126))-MAX(N126,AN126)*AP126,0))))</f>
        <v/>
      </c>
      <c r="AR126" s="25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21"/>
      <c r="B127" s="21"/>
      <c r="C127" s="7"/>
      <c r="D127" s="4"/>
      <c r="E127" s="7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1"/>
      <c r="I127" s="22"/>
      <c r="J127" s="7"/>
      <c r="K127" s="3"/>
      <c r="L127" s="6" t="str">
        <f t="shared" si="34"/>
        <v/>
      </c>
      <c r="M127" s="40"/>
      <c r="N127" s="7"/>
      <c r="O127" s="7"/>
      <c r="P127" s="3"/>
      <c r="Q127" s="21"/>
      <c r="R127" s="21"/>
      <c r="S127" s="21"/>
      <c r="T127" s="21"/>
      <c r="U127" s="5" t="str">
        <f t="shared" si="35"/>
        <v/>
      </c>
      <c r="V127" s="5" t="str">
        <f t="shared" si="36"/>
        <v/>
      </c>
      <c r="W127" s="23" t="str">
        <f t="shared" si="37"/>
        <v/>
      </c>
      <c r="X127" s="3" t="str">
        <f t="shared" si="38"/>
        <v/>
      </c>
      <c r="Y127" s="5" t="str">
        <f t="shared" si="39"/>
        <v/>
      </c>
      <c r="Z127" s="5" t="str">
        <f>IF(OR(AE127="",多次统计数据!$B$8=""),"",AE127-多次统计数据!$B$8)</f>
        <v/>
      </c>
      <c r="AA127" s="8" t="str">
        <f t="shared" si="40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1"/>
      <c r="AE127" s="5" t="str">
        <f t="shared" si="41"/>
        <v/>
      </c>
      <c r="AG127" s="21"/>
      <c r="AH127" s="21"/>
      <c r="AI127" s="21"/>
      <c r="AJ127" s="6" t="str">
        <f t="shared" si="42"/>
        <v/>
      </c>
      <c r="AK127" s="24" t="str">
        <f>IF(A127="","",COUNTIFS(加仓管理!$A$2:$A$1001,A127,加仓管理!$G$2:$G$1001,"&gt;0"))</f>
        <v/>
      </c>
      <c r="AL127" s="24" t="str">
        <f>IF(A127="","",SUMIFS(加仓管理!$G$2:$G$1001,加仓管理!$A$2:$A$1001,A127))</f>
        <v/>
      </c>
      <c r="AM127" s="25" t="str">
        <f>IF(AK127=0,"",IFERROR(LOOKUP(2,1/((加仓管理!$A$2:$A$1001=A127)*(加仓管理!$G$2:$G$1001&gt;0)),加仓管理!$D$2:$D$1001),""))</f>
        <v/>
      </c>
      <c r="AN127" s="25" t="str">
        <f>IF(AK127=0,"",IFERROR(LOOKUP(2,1/((加仓管理!$A$2:$A$1001=A127)*(加仓管理!$G$2:$G$1001&gt;0)),加仓管理!$E$2:$E$1001),""))</f>
        <v/>
      </c>
      <c r="AO127" s="25" t="str">
        <f>IF(OR(A127="",H127="",H127&lt;=0),"",(E127*H127+SUMIFS(加仓管理!$H$2:$H$1001,加仓管理!$A$2:$A$1001,A127))/AP127)</f>
        <v/>
      </c>
      <c r="AP127" s="24" t="str">
        <f t="shared" si="43"/>
        <v/>
      </c>
      <c r="AQ127" s="25" t="str">
        <f>IF(A127="","",IF(M127&lt;&gt;"",0,IF(OR(H127="",N127=""),"",MAX((E127*H127+SUMIFS(加仓管理!$H$2:$H$1001,加仓管理!$A$2:$A$1001,A127))-MAX(N127,AN127)*AP127,0))))</f>
        <v/>
      </c>
      <c r="AR127" s="25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21"/>
      <c r="B128" s="21"/>
      <c r="C128" s="7"/>
      <c r="D128" s="4"/>
      <c r="E128" s="7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1"/>
      <c r="I128" s="22"/>
      <c r="J128" s="7"/>
      <c r="K128" s="3"/>
      <c r="L128" s="6" t="str">
        <f t="shared" si="34"/>
        <v/>
      </c>
      <c r="M128" s="40"/>
      <c r="N128" s="7"/>
      <c r="O128" s="7"/>
      <c r="P128" s="3"/>
      <c r="Q128" s="21"/>
      <c r="R128" s="21"/>
      <c r="S128" s="21"/>
      <c r="T128" s="21"/>
      <c r="U128" s="5" t="str">
        <f t="shared" si="35"/>
        <v/>
      </c>
      <c r="V128" s="5" t="str">
        <f t="shared" si="36"/>
        <v/>
      </c>
      <c r="W128" s="23" t="str">
        <f t="shared" si="37"/>
        <v/>
      </c>
      <c r="X128" s="3" t="str">
        <f t="shared" si="38"/>
        <v/>
      </c>
      <c r="Y128" s="5" t="str">
        <f t="shared" si="39"/>
        <v/>
      </c>
      <c r="Z128" s="5" t="str">
        <f>IF(OR(AE128="",多次统计数据!$B$8=""),"",AE128-多次统计数据!$B$8)</f>
        <v/>
      </c>
      <c r="AA128" s="8" t="str">
        <f t="shared" si="40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1"/>
      <c r="AE128" s="5" t="str">
        <f t="shared" si="41"/>
        <v/>
      </c>
      <c r="AG128" s="21"/>
      <c r="AH128" s="21"/>
      <c r="AI128" s="21"/>
      <c r="AJ128" s="6" t="str">
        <f t="shared" si="42"/>
        <v/>
      </c>
      <c r="AK128" s="24" t="str">
        <f>IF(A128="","",COUNTIFS(加仓管理!$A$2:$A$1001,A128,加仓管理!$G$2:$G$1001,"&gt;0"))</f>
        <v/>
      </c>
      <c r="AL128" s="24" t="str">
        <f>IF(A128="","",SUMIFS(加仓管理!$G$2:$G$1001,加仓管理!$A$2:$A$1001,A128))</f>
        <v/>
      </c>
      <c r="AM128" s="25" t="str">
        <f>IF(AK128=0,"",IFERROR(LOOKUP(2,1/((加仓管理!$A$2:$A$1001=A128)*(加仓管理!$G$2:$G$1001&gt;0)),加仓管理!$D$2:$D$1001),""))</f>
        <v/>
      </c>
      <c r="AN128" s="25" t="str">
        <f>IF(AK128=0,"",IFERROR(LOOKUP(2,1/((加仓管理!$A$2:$A$1001=A128)*(加仓管理!$G$2:$G$1001&gt;0)),加仓管理!$E$2:$E$1001),""))</f>
        <v/>
      </c>
      <c r="AO128" s="25" t="str">
        <f>IF(OR(A128="",H128="",H128&lt;=0),"",(E128*H128+SUMIFS(加仓管理!$H$2:$H$1001,加仓管理!$A$2:$A$1001,A128))/AP128)</f>
        <v/>
      </c>
      <c r="AP128" s="24" t="str">
        <f t="shared" si="43"/>
        <v/>
      </c>
      <c r="AQ128" s="25" t="str">
        <f>IF(A128="","",IF(M128&lt;&gt;"",0,IF(OR(H128="",N128=""),"",MAX((E128*H128+SUMIFS(加仓管理!$H$2:$H$1001,加仓管理!$A$2:$A$1001,A128))-MAX(N128,AN128)*AP128,0))))</f>
        <v/>
      </c>
      <c r="AR128" s="25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21"/>
      <c r="B129" s="21"/>
      <c r="C129" s="7"/>
      <c r="D129" s="4"/>
      <c r="E129" s="7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1"/>
      <c r="I129" s="22"/>
      <c r="J129" s="7"/>
      <c r="K129" s="3"/>
      <c r="L129" s="6" t="str">
        <f t="shared" si="34"/>
        <v/>
      </c>
      <c r="M129" s="40"/>
      <c r="N129" s="7"/>
      <c r="O129" s="7"/>
      <c r="P129" s="3"/>
      <c r="Q129" s="21"/>
      <c r="R129" s="21"/>
      <c r="S129" s="21"/>
      <c r="T129" s="21"/>
      <c r="U129" s="5" t="str">
        <f t="shared" si="35"/>
        <v/>
      </c>
      <c r="V129" s="5" t="str">
        <f t="shared" si="36"/>
        <v/>
      </c>
      <c r="W129" s="23" t="str">
        <f t="shared" si="37"/>
        <v/>
      </c>
      <c r="X129" s="3" t="str">
        <f t="shared" si="38"/>
        <v/>
      </c>
      <c r="Y129" s="5" t="str">
        <f t="shared" si="39"/>
        <v/>
      </c>
      <c r="Z129" s="5" t="str">
        <f>IF(OR(AE129="",多次统计数据!$B$8=""),"",AE129-多次统计数据!$B$8)</f>
        <v/>
      </c>
      <c r="AA129" s="8" t="str">
        <f t="shared" si="40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1"/>
      <c r="AE129" s="5" t="str">
        <f t="shared" si="41"/>
        <v/>
      </c>
      <c r="AG129" s="21"/>
      <c r="AH129" s="21"/>
      <c r="AI129" s="21"/>
      <c r="AJ129" s="6" t="str">
        <f t="shared" si="42"/>
        <v/>
      </c>
      <c r="AK129" s="24" t="str">
        <f>IF(A129="","",COUNTIFS(加仓管理!$A$2:$A$1001,A129,加仓管理!$G$2:$G$1001,"&gt;0"))</f>
        <v/>
      </c>
      <c r="AL129" s="24" t="str">
        <f>IF(A129="","",SUMIFS(加仓管理!$G$2:$G$1001,加仓管理!$A$2:$A$1001,A129))</f>
        <v/>
      </c>
      <c r="AM129" s="25" t="str">
        <f>IF(AK129=0,"",IFERROR(LOOKUP(2,1/((加仓管理!$A$2:$A$1001=A129)*(加仓管理!$G$2:$G$1001&gt;0)),加仓管理!$D$2:$D$1001),""))</f>
        <v/>
      </c>
      <c r="AN129" s="25" t="str">
        <f>IF(AK129=0,"",IFERROR(LOOKUP(2,1/((加仓管理!$A$2:$A$1001=A129)*(加仓管理!$G$2:$G$1001&gt;0)),加仓管理!$E$2:$E$1001),""))</f>
        <v/>
      </c>
      <c r="AO129" s="25" t="str">
        <f>IF(OR(A129="",H129="",H129&lt;=0),"",(E129*H129+SUMIFS(加仓管理!$H$2:$H$1001,加仓管理!$A$2:$A$1001,A129))/AP129)</f>
        <v/>
      </c>
      <c r="AP129" s="24" t="str">
        <f t="shared" si="43"/>
        <v/>
      </c>
      <c r="AQ129" s="25" t="str">
        <f>IF(A129="","",IF(M129&lt;&gt;"",0,IF(OR(H129="",N129=""),"",MAX((E129*H129+SUMIFS(加仓管理!$H$2:$H$1001,加仓管理!$A$2:$A$1001,A129))-MAX(N129,AN129)*AP129,0))))</f>
        <v/>
      </c>
      <c r="AR129" s="25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21"/>
      <c r="B130" s="21"/>
      <c r="C130" s="7"/>
      <c r="D130" s="4"/>
      <c r="E130" s="7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1"/>
      <c r="I130" s="22"/>
      <c r="J130" s="7"/>
      <c r="K130" s="3"/>
      <c r="L130" s="6" t="str">
        <f t="shared" ref="L130:L161" si="45">IF(AP130="","",AP130)</f>
        <v/>
      </c>
      <c r="M130" s="40"/>
      <c r="N130" s="7"/>
      <c r="O130" s="7"/>
      <c r="P130" s="3"/>
      <c r="Q130" s="21"/>
      <c r="R130" s="21"/>
      <c r="S130" s="21"/>
      <c r="T130" s="21"/>
      <c r="U130" s="5" t="str">
        <f t="shared" ref="U130:U161" si="46">IF(OR(AO130="",J130="",AO130&lt;=0),"",(J130-AO130)/AO130)</f>
        <v/>
      </c>
      <c r="V130" s="5" t="str">
        <f t="shared" ref="V130:V161" si="47">IF(OR(AO130="",N130="",AO130&lt;=0),"",(AO130-N130)/AO130)</f>
        <v/>
      </c>
      <c r="W130" s="23" t="str">
        <f t="shared" ref="W130:W161" si="48">IF(OR(U130="",V130="",V130&lt;=0),"",U130/V130)</f>
        <v/>
      </c>
      <c r="X130" s="3" t="str">
        <f t="shared" ref="X130:X161" si="49">IF(OR(K130="",L130="",AO130="",AP130=""),"",(K130-AO130)*L130-IF(O130="",0,O130)-IF(P130="",0,P130))</f>
        <v/>
      </c>
      <c r="Y130" s="5" t="str">
        <f t="shared" ref="Y130:Y161" si="50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61" si="51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1"/>
      <c r="AE130" s="5" t="str">
        <f t="shared" ref="AE130:AE161" si="52">IF(OR(X130="",C130="",C130&lt;=0),"",X130/C130)</f>
        <v/>
      </c>
      <c r="AG130" s="21"/>
      <c r="AH130" s="21"/>
      <c r="AI130" s="21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4" t="str">
        <f>IF(A130="","",COUNTIFS(加仓管理!$A$2:$A$1001,A130,加仓管理!$G$2:$G$1001,"&gt;0"))</f>
        <v/>
      </c>
      <c r="AL130" s="24" t="str">
        <f>IF(A130="","",SUMIFS(加仓管理!$G$2:$G$1001,加仓管理!$A$2:$A$1001,A130))</f>
        <v/>
      </c>
      <c r="AM130" s="25" t="str">
        <f>IF(AK130=0,"",IFERROR(LOOKUP(2,1/((加仓管理!$A$2:$A$1001=A130)*(加仓管理!$G$2:$G$1001&gt;0)),加仓管理!$D$2:$D$1001),""))</f>
        <v/>
      </c>
      <c r="AN130" s="25" t="str">
        <f>IF(AK130=0,"",IFERROR(LOOKUP(2,1/((加仓管理!$A$2:$A$1001=A130)*(加仓管理!$G$2:$G$1001&gt;0)),加仓管理!$E$2:$E$1001),""))</f>
        <v/>
      </c>
      <c r="AO130" s="25" t="str">
        <f>IF(OR(A130="",H130="",H130&lt;=0),"",(E130*H130+SUMIFS(加仓管理!$H$2:$H$1001,加仓管理!$A$2:$A$1001,A130))/AP130)</f>
        <v/>
      </c>
      <c r="AP130" s="24" t="str">
        <f t="shared" ref="AP130:AP161" si="54">IF(OR(A130="",H130="",H130&lt;=0),"",H130+AL130)</f>
        <v/>
      </c>
      <c r="AQ130" s="25" t="str">
        <f>IF(A130="","",IF(M130&lt;&gt;"",0,IF(OR(H130="",N130=""),"",MAX((E130*H130+SUMIFS(加仓管理!$H$2:$H$1001,加仓管理!$A$2:$A$1001,A130))-MAX(N130,AN130)*AP130,0))))</f>
        <v/>
      </c>
      <c r="AR130" s="25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21"/>
      <c r="B131" s="21"/>
      <c r="C131" s="7"/>
      <c r="D131" s="4"/>
      <c r="E131" s="7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1"/>
      <c r="I131" s="22"/>
      <c r="J131" s="7"/>
      <c r="K131" s="3"/>
      <c r="L131" s="6" t="str">
        <f t="shared" si="45"/>
        <v/>
      </c>
      <c r="M131" s="40"/>
      <c r="N131" s="7"/>
      <c r="O131" s="7"/>
      <c r="P131" s="3"/>
      <c r="Q131" s="21"/>
      <c r="R131" s="21"/>
      <c r="S131" s="21"/>
      <c r="T131" s="21"/>
      <c r="U131" s="5" t="str">
        <f t="shared" si="46"/>
        <v/>
      </c>
      <c r="V131" s="5" t="str">
        <f t="shared" si="47"/>
        <v/>
      </c>
      <c r="W131" s="23" t="str">
        <f t="shared" si="48"/>
        <v/>
      </c>
      <c r="X131" s="3" t="str">
        <f t="shared" si="49"/>
        <v/>
      </c>
      <c r="Y131" s="5" t="str">
        <f t="shared" si="50"/>
        <v/>
      </c>
      <c r="Z131" s="5" t="str">
        <f>IF(OR(AE131="",多次统计数据!$B$8=""),"",AE131-多次统计数据!$B$8)</f>
        <v/>
      </c>
      <c r="AA131" s="8" t="str">
        <f t="shared" si="51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1"/>
      <c r="AE131" s="5" t="str">
        <f t="shared" si="52"/>
        <v/>
      </c>
      <c r="AG131" s="21"/>
      <c r="AH131" s="21"/>
      <c r="AI131" s="21"/>
      <c r="AJ131" s="6" t="str">
        <f t="shared" si="53"/>
        <v/>
      </c>
      <c r="AK131" s="24" t="str">
        <f>IF(A131="","",COUNTIFS(加仓管理!$A$2:$A$1001,A131,加仓管理!$G$2:$G$1001,"&gt;0"))</f>
        <v/>
      </c>
      <c r="AL131" s="24" t="str">
        <f>IF(A131="","",SUMIFS(加仓管理!$G$2:$G$1001,加仓管理!$A$2:$A$1001,A131))</f>
        <v/>
      </c>
      <c r="AM131" s="25" t="str">
        <f>IF(AK131=0,"",IFERROR(LOOKUP(2,1/((加仓管理!$A$2:$A$1001=A131)*(加仓管理!$G$2:$G$1001&gt;0)),加仓管理!$D$2:$D$1001),""))</f>
        <v/>
      </c>
      <c r="AN131" s="25" t="str">
        <f>IF(AK131=0,"",IFERROR(LOOKUP(2,1/((加仓管理!$A$2:$A$1001=A131)*(加仓管理!$G$2:$G$1001&gt;0)),加仓管理!$E$2:$E$1001),""))</f>
        <v/>
      </c>
      <c r="AO131" s="25" t="str">
        <f>IF(OR(A131="",H131="",H131&lt;=0),"",(E131*H131+SUMIFS(加仓管理!$H$2:$H$1001,加仓管理!$A$2:$A$1001,A131))/AP131)</f>
        <v/>
      </c>
      <c r="AP131" s="24" t="str">
        <f t="shared" si="54"/>
        <v/>
      </c>
      <c r="AQ131" s="25" t="str">
        <f>IF(A131="","",IF(M131&lt;&gt;"",0,IF(OR(H131="",N131=""),"",MAX((E131*H131+SUMIFS(加仓管理!$H$2:$H$1001,加仓管理!$A$2:$A$1001,A131))-MAX(N131,AN131)*AP131,0))))</f>
        <v/>
      </c>
      <c r="AR131" s="25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21"/>
      <c r="B132" s="21"/>
      <c r="C132" s="7"/>
      <c r="D132" s="4"/>
      <c r="E132" s="7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1"/>
      <c r="I132" s="22"/>
      <c r="J132" s="7"/>
      <c r="K132" s="3"/>
      <c r="L132" s="6" t="str">
        <f t="shared" si="45"/>
        <v/>
      </c>
      <c r="M132" s="40"/>
      <c r="N132" s="7"/>
      <c r="O132" s="7"/>
      <c r="P132" s="3"/>
      <c r="Q132" s="21"/>
      <c r="R132" s="21"/>
      <c r="S132" s="21"/>
      <c r="T132" s="21"/>
      <c r="U132" s="5" t="str">
        <f t="shared" si="46"/>
        <v/>
      </c>
      <c r="V132" s="5" t="str">
        <f t="shared" si="47"/>
        <v/>
      </c>
      <c r="W132" s="23" t="str">
        <f t="shared" si="48"/>
        <v/>
      </c>
      <c r="X132" s="3" t="str">
        <f t="shared" si="49"/>
        <v/>
      </c>
      <c r="Y132" s="5" t="str">
        <f t="shared" si="50"/>
        <v/>
      </c>
      <c r="Z132" s="5" t="str">
        <f>IF(OR(AE132="",多次统计数据!$B$8=""),"",AE132-多次统计数据!$B$8)</f>
        <v/>
      </c>
      <c r="AA132" s="8" t="str">
        <f t="shared" si="51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1"/>
      <c r="AE132" s="5" t="str">
        <f t="shared" si="52"/>
        <v/>
      </c>
      <c r="AG132" s="21"/>
      <c r="AH132" s="21"/>
      <c r="AI132" s="21"/>
      <c r="AJ132" s="6" t="str">
        <f t="shared" si="53"/>
        <v/>
      </c>
      <c r="AK132" s="24" t="str">
        <f>IF(A132="","",COUNTIFS(加仓管理!$A$2:$A$1001,A132,加仓管理!$G$2:$G$1001,"&gt;0"))</f>
        <v/>
      </c>
      <c r="AL132" s="24" t="str">
        <f>IF(A132="","",SUMIFS(加仓管理!$G$2:$G$1001,加仓管理!$A$2:$A$1001,A132))</f>
        <v/>
      </c>
      <c r="AM132" s="25" t="str">
        <f>IF(AK132=0,"",IFERROR(LOOKUP(2,1/((加仓管理!$A$2:$A$1001=A132)*(加仓管理!$G$2:$G$1001&gt;0)),加仓管理!$D$2:$D$1001),""))</f>
        <v/>
      </c>
      <c r="AN132" s="25" t="str">
        <f>IF(AK132=0,"",IFERROR(LOOKUP(2,1/((加仓管理!$A$2:$A$1001=A132)*(加仓管理!$G$2:$G$1001&gt;0)),加仓管理!$E$2:$E$1001),""))</f>
        <v/>
      </c>
      <c r="AO132" s="25" t="str">
        <f>IF(OR(A132="",H132="",H132&lt;=0),"",(E132*H132+SUMIFS(加仓管理!$H$2:$H$1001,加仓管理!$A$2:$A$1001,A132))/AP132)</f>
        <v/>
      </c>
      <c r="AP132" s="24" t="str">
        <f t="shared" si="54"/>
        <v/>
      </c>
      <c r="AQ132" s="25" t="str">
        <f>IF(A132="","",IF(M132&lt;&gt;"",0,IF(OR(H132="",N132=""),"",MAX((E132*H132+SUMIFS(加仓管理!$H$2:$H$1001,加仓管理!$A$2:$A$1001,A132))-MAX(N132,AN132)*AP132,0))))</f>
        <v/>
      </c>
      <c r="AR132" s="25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21"/>
      <c r="B133" s="21"/>
      <c r="C133" s="7"/>
      <c r="D133" s="4"/>
      <c r="E133" s="7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1"/>
      <c r="I133" s="22"/>
      <c r="J133" s="7"/>
      <c r="K133" s="3"/>
      <c r="L133" s="6" t="str">
        <f t="shared" si="45"/>
        <v/>
      </c>
      <c r="M133" s="40"/>
      <c r="N133" s="7"/>
      <c r="O133" s="7"/>
      <c r="P133" s="3"/>
      <c r="Q133" s="21"/>
      <c r="R133" s="21"/>
      <c r="S133" s="21"/>
      <c r="T133" s="21"/>
      <c r="U133" s="5" t="str">
        <f t="shared" si="46"/>
        <v/>
      </c>
      <c r="V133" s="5" t="str">
        <f t="shared" si="47"/>
        <v/>
      </c>
      <c r="W133" s="23" t="str">
        <f t="shared" si="48"/>
        <v/>
      </c>
      <c r="X133" s="3" t="str">
        <f t="shared" si="49"/>
        <v/>
      </c>
      <c r="Y133" s="5" t="str">
        <f t="shared" si="50"/>
        <v/>
      </c>
      <c r="Z133" s="5" t="str">
        <f>IF(OR(AE133="",多次统计数据!$B$8=""),"",AE133-多次统计数据!$B$8)</f>
        <v/>
      </c>
      <c r="AA133" s="8" t="str">
        <f t="shared" si="51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1"/>
      <c r="AE133" s="5" t="str">
        <f t="shared" si="52"/>
        <v/>
      </c>
      <c r="AG133" s="21"/>
      <c r="AH133" s="21"/>
      <c r="AI133" s="21"/>
      <c r="AJ133" s="6" t="str">
        <f t="shared" si="53"/>
        <v/>
      </c>
      <c r="AK133" s="24" t="str">
        <f>IF(A133="","",COUNTIFS(加仓管理!$A$2:$A$1001,A133,加仓管理!$G$2:$G$1001,"&gt;0"))</f>
        <v/>
      </c>
      <c r="AL133" s="24" t="str">
        <f>IF(A133="","",SUMIFS(加仓管理!$G$2:$G$1001,加仓管理!$A$2:$A$1001,A133))</f>
        <v/>
      </c>
      <c r="AM133" s="25" t="str">
        <f>IF(AK133=0,"",IFERROR(LOOKUP(2,1/((加仓管理!$A$2:$A$1001=A133)*(加仓管理!$G$2:$G$1001&gt;0)),加仓管理!$D$2:$D$1001),""))</f>
        <v/>
      </c>
      <c r="AN133" s="25" t="str">
        <f>IF(AK133=0,"",IFERROR(LOOKUP(2,1/((加仓管理!$A$2:$A$1001=A133)*(加仓管理!$G$2:$G$1001&gt;0)),加仓管理!$E$2:$E$1001),""))</f>
        <v/>
      </c>
      <c r="AO133" s="25" t="str">
        <f>IF(OR(A133="",H133="",H133&lt;=0),"",(E133*H133+SUMIFS(加仓管理!$H$2:$H$1001,加仓管理!$A$2:$A$1001,A133))/AP133)</f>
        <v/>
      </c>
      <c r="AP133" s="24" t="str">
        <f t="shared" si="54"/>
        <v/>
      </c>
      <c r="AQ133" s="25" t="str">
        <f>IF(A133="","",IF(M133&lt;&gt;"",0,IF(OR(H133="",N133=""),"",MAX((E133*H133+SUMIFS(加仓管理!$H$2:$H$1001,加仓管理!$A$2:$A$1001,A133))-MAX(N133,AN133)*AP133,0))))</f>
        <v/>
      </c>
      <c r="AR133" s="25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21"/>
      <c r="B134" s="21"/>
      <c r="C134" s="7"/>
      <c r="D134" s="4"/>
      <c r="E134" s="7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1"/>
      <c r="I134" s="22"/>
      <c r="J134" s="7"/>
      <c r="K134" s="3"/>
      <c r="L134" s="6" t="str">
        <f t="shared" si="45"/>
        <v/>
      </c>
      <c r="M134" s="40"/>
      <c r="N134" s="7"/>
      <c r="O134" s="7"/>
      <c r="P134" s="3"/>
      <c r="Q134" s="21"/>
      <c r="R134" s="21"/>
      <c r="S134" s="21"/>
      <c r="T134" s="21"/>
      <c r="U134" s="5" t="str">
        <f t="shared" si="46"/>
        <v/>
      </c>
      <c r="V134" s="5" t="str">
        <f t="shared" si="47"/>
        <v/>
      </c>
      <c r="W134" s="23" t="str">
        <f t="shared" si="48"/>
        <v/>
      </c>
      <c r="X134" s="3" t="str">
        <f t="shared" si="49"/>
        <v/>
      </c>
      <c r="Y134" s="5" t="str">
        <f t="shared" si="50"/>
        <v/>
      </c>
      <c r="Z134" s="5" t="str">
        <f>IF(OR(AE134="",多次统计数据!$B$8=""),"",AE134-多次统计数据!$B$8)</f>
        <v/>
      </c>
      <c r="AA134" s="8" t="str">
        <f t="shared" si="51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1"/>
      <c r="AE134" s="5" t="str">
        <f t="shared" si="52"/>
        <v/>
      </c>
      <c r="AG134" s="21"/>
      <c r="AH134" s="21"/>
      <c r="AI134" s="21"/>
      <c r="AJ134" s="6" t="str">
        <f t="shared" si="53"/>
        <v/>
      </c>
      <c r="AK134" s="24" t="str">
        <f>IF(A134="","",COUNTIFS(加仓管理!$A$2:$A$1001,A134,加仓管理!$G$2:$G$1001,"&gt;0"))</f>
        <v/>
      </c>
      <c r="AL134" s="24" t="str">
        <f>IF(A134="","",SUMIFS(加仓管理!$G$2:$G$1001,加仓管理!$A$2:$A$1001,A134))</f>
        <v/>
      </c>
      <c r="AM134" s="25" t="str">
        <f>IF(AK134=0,"",IFERROR(LOOKUP(2,1/((加仓管理!$A$2:$A$1001=A134)*(加仓管理!$G$2:$G$1001&gt;0)),加仓管理!$D$2:$D$1001),""))</f>
        <v/>
      </c>
      <c r="AN134" s="25" t="str">
        <f>IF(AK134=0,"",IFERROR(LOOKUP(2,1/((加仓管理!$A$2:$A$1001=A134)*(加仓管理!$G$2:$G$1001&gt;0)),加仓管理!$E$2:$E$1001),""))</f>
        <v/>
      </c>
      <c r="AO134" s="25" t="str">
        <f>IF(OR(A134="",H134="",H134&lt;=0),"",(E134*H134+SUMIFS(加仓管理!$H$2:$H$1001,加仓管理!$A$2:$A$1001,A134))/AP134)</f>
        <v/>
      </c>
      <c r="AP134" s="24" t="str">
        <f t="shared" si="54"/>
        <v/>
      </c>
      <c r="AQ134" s="25" t="str">
        <f>IF(A134="","",IF(M134&lt;&gt;"",0,IF(OR(H134="",N134=""),"",MAX((E134*H134+SUMIFS(加仓管理!$H$2:$H$1001,加仓管理!$A$2:$A$1001,A134))-MAX(N134,AN134)*AP134,0))))</f>
        <v/>
      </c>
      <c r="AR134" s="25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21"/>
      <c r="B135" s="21"/>
      <c r="C135" s="7"/>
      <c r="D135" s="4"/>
      <c r="E135" s="7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1"/>
      <c r="I135" s="22"/>
      <c r="J135" s="7"/>
      <c r="K135" s="3"/>
      <c r="L135" s="6" t="str">
        <f t="shared" si="45"/>
        <v/>
      </c>
      <c r="M135" s="40"/>
      <c r="N135" s="7"/>
      <c r="O135" s="7"/>
      <c r="P135" s="3"/>
      <c r="Q135" s="21"/>
      <c r="R135" s="21"/>
      <c r="S135" s="21"/>
      <c r="T135" s="21"/>
      <c r="U135" s="5" t="str">
        <f t="shared" si="46"/>
        <v/>
      </c>
      <c r="V135" s="5" t="str">
        <f t="shared" si="47"/>
        <v/>
      </c>
      <c r="W135" s="23" t="str">
        <f t="shared" si="48"/>
        <v/>
      </c>
      <c r="X135" s="3" t="str">
        <f t="shared" si="49"/>
        <v/>
      </c>
      <c r="Y135" s="5" t="str">
        <f t="shared" si="50"/>
        <v/>
      </c>
      <c r="Z135" s="5" t="str">
        <f>IF(OR(AE135="",多次统计数据!$B$8=""),"",AE135-多次统计数据!$B$8)</f>
        <v/>
      </c>
      <c r="AA135" s="8" t="str">
        <f t="shared" si="51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1"/>
      <c r="AE135" s="5" t="str">
        <f t="shared" si="52"/>
        <v/>
      </c>
      <c r="AG135" s="21"/>
      <c r="AH135" s="21"/>
      <c r="AI135" s="21"/>
      <c r="AJ135" s="6" t="str">
        <f t="shared" si="53"/>
        <v/>
      </c>
      <c r="AK135" s="24" t="str">
        <f>IF(A135="","",COUNTIFS(加仓管理!$A$2:$A$1001,A135,加仓管理!$G$2:$G$1001,"&gt;0"))</f>
        <v/>
      </c>
      <c r="AL135" s="24" t="str">
        <f>IF(A135="","",SUMIFS(加仓管理!$G$2:$G$1001,加仓管理!$A$2:$A$1001,A135))</f>
        <v/>
      </c>
      <c r="AM135" s="25" t="str">
        <f>IF(AK135=0,"",IFERROR(LOOKUP(2,1/((加仓管理!$A$2:$A$1001=A135)*(加仓管理!$G$2:$G$1001&gt;0)),加仓管理!$D$2:$D$1001),""))</f>
        <v/>
      </c>
      <c r="AN135" s="25" t="str">
        <f>IF(AK135=0,"",IFERROR(LOOKUP(2,1/((加仓管理!$A$2:$A$1001=A135)*(加仓管理!$G$2:$G$1001&gt;0)),加仓管理!$E$2:$E$1001),""))</f>
        <v/>
      </c>
      <c r="AO135" s="25" t="str">
        <f>IF(OR(A135="",H135="",H135&lt;=0),"",(E135*H135+SUMIFS(加仓管理!$H$2:$H$1001,加仓管理!$A$2:$A$1001,A135))/AP135)</f>
        <v/>
      </c>
      <c r="AP135" s="24" t="str">
        <f t="shared" si="54"/>
        <v/>
      </c>
      <c r="AQ135" s="25" t="str">
        <f>IF(A135="","",IF(M135&lt;&gt;"",0,IF(OR(H135="",N135=""),"",MAX((E135*H135+SUMIFS(加仓管理!$H$2:$H$1001,加仓管理!$A$2:$A$1001,A135))-MAX(N135,AN135)*AP135,0))))</f>
        <v/>
      </c>
      <c r="AR135" s="25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21"/>
      <c r="B136" s="21"/>
      <c r="C136" s="7"/>
      <c r="D136" s="4"/>
      <c r="E136" s="7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1"/>
      <c r="I136" s="22"/>
      <c r="J136" s="7"/>
      <c r="K136" s="3"/>
      <c r="L136" s="6" t="str">
        <f t="shared" si="45"/>
        <v/>
      </c>
      <c r="M136" s="40"/>
      <c r="N136" s="7"/>
      <c r="O136" s="7"/>
      <c r="P136" s="3"/>
      <c r="Q136" s="21"/>
      <c r="R136" s="21"/>
      <c r="S136" s="21"/>
      <c r="T136" s="21"/>
      <c r="U136" s="5" t="str">
        <f t="shared" si="46"/>
        <v/>
      </c>
      <c r="V136" s="5" t="str">
        <f t="shared" si="47"/>
        <v/>
      </c>
      <c r="W136" s="23" t="str">
        <f t="shared" si="48"/>
        <v/>
      </c>
      <c r="X136" s="3" t="str">
        <f t="shared" si="49"/>
        <v/>
      </c>
      <c r="Y136" s="5" t="str">
        <f t="shared" si="50"/>
        <v/>
      </c>
      <c r="Z136" s="5" t="str">
        <f>IF(OR(AE136="",多次统计数据!$B$8=""),"",AE136-多次统计数据!$B$8)</f>
        <v/>
      </c>
      <c r="AA136" s="8" t="str">
        <f t="shared" si="51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1"/>
      <c r="AE136" s="5" t="str">
        <f t="shared" si="52"/>
        <v/>
      </c>
      <c r="AG136" s="21"/>
      <c r="AH136" s="21"/>
      <c r="AI136" s="21"/>
      <c r="AJ136" s="6" t="str">
        <f t="shared" si="53"/>
        <v/>
      </c>
      <c r="AK136" s="24" t="str">
        <f>IF(A136="","",COUNTIFS(加仓管理!$A$2:$A$1001,A136,加仓管理!$G$2:$G$1001,"&gt;0"))</f>
        <v/>
      </c>
      <c r="AL136" s="24" t="str">
        <f>IF(A136="","",SUMIFS(加仓管理!$G$2:$G$1001,加仓管理!$A$2:$A$1001,A136))</f>
        <v/>
      </c>
      <c r="AM136" s="25" t="str">
        <f>IF(AK136=0,"",IFERROR(LOOKUP(2,1/((加仓管理!$A$2:$A$1001=A136)*(加仓管理!$G$2:$G$1001&gt;0)),加仓管理!$D$2:$D$1001),""))</f>
        <v/>
      </c>
      <c r="AN136" s="25" t="str">
        <f>IF(AK136=0,"",IFERROR(LOOKUP(2,1/((加仓管理!$A$2:$A$1001=A136)*(加仓管理!$G$2:$G$1001&gt;0)),加仓管理!$E$2:$E$1001),""))</f>
        <v/>
      </c>
      <c r="AO136" s="25" t="str">
        <f>IF(OR(A136="",H136="",H136&lt;=0),"",(E136*H136+SUMIFS(加仓管理!$H$2:$H$1001,加仓管理!$A$2:$A$1001,A136))/AP136)</f>
        <v/>
      </c>
      <c r="AP136" s="24" t="str">
        <f t="shared" si="54"/>
        <v/>
      </c>
      <c r="AQ136" s="25" t="str">
        <f>IF(A136="","",IF(M136&lt;&gt;"",0,IF(OR(H136="",N136=""),"",MAX((E136*H136+SUMIFS(加仓管理!$H$2:$H$1001,加仓管理!$A$2:$A$1001,A136))-MAX(N136,AN136)*AP136,0))))</f>
        <v/>
      </c>
      <c r="AR136" s="25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21"/>
      <c r="B137" s="21"/>
      <c r="C137" s="7"/>
      <c r="D137" s="4"/>
      <c r="E137" s="7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1"/>
      <c r="I137" s="22"/>
      <c r="J137" s="7"/>
      <c r="K137" s="3"/>
      <c r="L137" s="6" t="str">
        <f t="shared" si="45"/>
        <v/>
      </c>
      <c r="M137" s="40"/>
      <c r="N137" s="7"/>
      <c r="O137" s="7"/>
      <c r="P137" s="3"/>
      <c r="Q137" s="21"/>
      <c r="R137" s="21"/>
      <c r="S137" s="21"/>
      <c r="T137" s="21"/>
      <c r="U137" s="5" t="str">
        <f t="shared" si="46"/>
        <v/>
      </c>
      <c r="V137" s="5" t="str">
        <f t="shared" si="47"/>
        <v/>
      </c>
      <c r="W137" s="23" t="str">
        <f t="shared" si="48"/>
        <v/>
      </c>
      <c r="X137" s="3" t="str">
        <f t="shared" si="49"/>
        <v/>
      </c>
      <c r="Y137" s="5" t="str">
        <f t="shared" si="50"/>
        <v/>
      </c>
      <c r="Z137" s="5" t="str">
        <f>IF(OR(AE137="",多次统计数据!$B$8=""),"",AE137-多次统计数据!$B$8)</f>
        <v/>
      </c>
      <c r="AA137" s="8" t="str">
        <f t="shared" si="51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1"/>
      <c r="AE137" s="5" t="str">
        <f t="shared" si="52"/>
        <v/>
      </c>
      <c r="AG137" s="21"/>
      <c r="AH137" s="21"/>
      <c r="AI137" s="21"/>
      <c r="AJ137" s="6" t="str">
        <f t="shared" si="53"/>
        <v/>
      </c>
      <c r="AK137" s="24" t="str">
        <f>IF(A137="","",COUNTIFS(加仓管理!$A$2:$A$1001,A137,加仓管理!$G$2:$G$1001,"&gt;0"))</f>
        <v/>
      </c>
      <c r="AL137" s="24" t="str">
        <f>IF(A137="","",SUMIFS(加仓管理!$G$2:$G$1001,加仓管理!$A$2:$A$1001,A137))</f>
        <v/>
      </c>
      <c r="AM137" s="25" t="str">
        <f>IF(AK137=0,"",IFERROR(LOOKUP(2,1/((加仓管理!$A$2:$A$1001=A137)*(加仓管理!$G$2:$G$1001&gt;0)),加仓管理!$D$2:$D$1001),""))</f>
        <v/>
      </c>
      <c r="AN137" s="25" t="str">
        <f>IF(AK137=0,"",IFERROR(LOOKUP(2,1/((加仓管理!$A$2:$A$1001=A137)*(加仓管理!$G$2:$G$1001&gt;0)),加仓管理!$E$2:$E$1001),""))</f>
        <v/>
      </c>
      <c r="AO137" s="25" t="str">
        <f>IF(OR(A137="",H137="",H137&lt;=0),"",(E137*H137+SUMIFS(加仓管理!$H$2:$H$1001,加仓管理!$A$2:$A$1001,A137))/AP137)</f>
        <v/>
      </c>
      <c r="AP137" s="24" t="str">
        <f t="shared" si="54"/>
        <v/>
      </c>
      <c r="AQ137" s="25" t="str">
        <f>IF(A137="","",IF(M137&lt;&gt;"",0,IF(OR(H137="",N137=""),"",MAX((E137*H137+SUMIFS(加仓管理!$H$2:$H$1001,加仓管理!$A$2:$A$1001,A137))-MAX(N137,AN137)*AP137,0))))</f>
        <v/>
      </c>
      <c r="AR137" s="25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21"/>
      <c r="B138" s="21"/>
      <c r="C138" s="7"/>
      <c r="D138" s="4"/>
      <c r="E138" s="7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1"/>
      <c r="I138" s="22"/>
      <c r="J138" s="7"/>
      <c r="K138" s="3"/>
      <c r="L138" s="6" t="str">
        <f t="shared" si="45"/>
        <v/>
      </c>
      <c r="M138" s="40"/>
      <c r="N138" s="7"/>
      <c r="O138" s="7"/>
      <c r="P138" s="3"/>
      <c r="Q138" s="21"/>
      <c r="R138" s="21"/>
      <c r="S138" s="21"/>
      <c r="T138" s="21"/>
      <c r="U138" s="5" t="str">
        <f t="shared" si="46"/>
        <v/>
      </c>
      <c r="V138" s="5" t="str">
        <f t="shared" si="47"/>
        <v/>
      </c>
      <c r="W138" s="23" t="str">
        <f t="shared" si="48"/>
        <v/>
      </c>
      <c r="X138" s="3" t="str">
        <f t="shared" si="49"/>
        <v/>
      </c>
      <c r="Y138" s="5" t="str">
        <f t="shared" si="50"/>
        <v/>
      </c>
      <c r="Z138" s="5" t="str">
        <f>IF(OR(AE138="",多次统计数据!$B$8=""),"",AE138-多次统计数据!$B$8)</f>
        <v/>
      </c>
      <c r="AA138" s="8" t="str">
        <f t="shared" si="51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1"/>
      <c r="AE138" s="5" t="str">
        <f t="shared" si="52"/>
        <v/>
      </c>
      <c r="AG138" s="21"/>
      <c r="AH138" s="21"/>
      <c r="AI138" s="21"/>
      <c r="AJ138" s="6" t="str">
        <f t="shared" si="53"/>
        <v/>
      </c>
      <c r="AK138" s="24" t="str">
        <f>IF(A138="","",COUNTIFS(加仓管理!$A$2:$A$1001,A138,加仓管理!$G$2:$G$1001,"&gt;0"))</f>
        <v/>
      </c>
      <c r="AL138" s="24" t="str">
        <f>IF(A138="","",SUMIFS(加仓管理!$G$2:$G$1001,加仓管理!$A$2:$A$1001,A138))</f>
        <v/>
      </c>
      <c r="AM138" s="25" t="str">
        <f>IF(AK138=0,"",IFERROR(LOOKUP(2,1/((加仓管理!$A$2:$A$1001=A138)*(加仓管理!$G$2:$G$1001&gt;0)),加仓管理!$D$2:$D$1001),""))</f>
        <v/>
      </c>
      <c r="AN138" s="25" t="str">
        <f>IF(AK138=0,"",IFERROR(LOOKUP(2,1/((加仓管理!$A$2:$A$1001=A138)*(加仓管理!$G$2:$G$1001&gt;0)),加仓管理!$E$2:$E$1001),""))</f>
        <v/>
      </c>
      <c r="AO138" s="25" t="str">
        <f>IF(OR(A138="",H138="",H138&lt;=0),"",(E138*H138+SUMIFS(加仓管理!$H$2:$H$1001,加仓管理!$A$2:$A$1001,A138))/AP138)</f>
        <v/>
      </c>
      <c r="AP138" s="24" t="str">
        <f t="shared" si="54"/>
        <v/>
      </c>
      <c r="AQ138" s="25" t="str">
        <f>IF(A138="","",IF(M138&lt;&gt;"",0,IF(OR(H138="",N138=""),"",MAX((E138*H138+SUMIFS(加仓管理!$H$2:$H$1001,加仓管理!$A$2:$A$1001,A138))-MAX(N138,AN138)*AP138,0))))</f>
        <v/>
      </c>
      <c r="AR138" s="25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21"/>
      <c r="B139" s="21"/>
      <c r="C139" s="7"/>
      <c r="D139" s="4"/>
      <c r="E139" s="7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1"/>
      <c r="I139" s="22"/>
      <c r="J139" s="7"/>
      <c r="K139" s="3"/>
      <c r="L139" s="6" t="str">
        <f t="shared" si="45"/>
        <v/>
      </c>
      <c r="M139" s="40"/>
      <c r="N139" s="7"/>
      <c r="O139" s="7"/>
      <c r="P139" s="3"/>
      <c r="Q139" s="21"/>
      <c r="R139" s="21"/>
      <c r="S139" s="21"/>
      <c r="T139" s="21"/>
      <c r="U139" s="5" t="str">
        <f t="shared" si="46"/>
        <v/>
      </c>
      <c r="V139" s="5" t="str">
        <f t="shared" si="47"/>
        <v/>
      </c>
      <c r="W139" s="23" t="str">
        <f t="shared" si="48"/>
        <v/>
      </c>
      <c r="X139" s="3" t="str">
        <f t="shared" si="49"/>
        <v/>
      </c>
      <c r="Y139" s="5" t="str">
        <f t="shared" si="50"/>
        <v/>
      </c>
      <c r="Z139" s="5" t="str">
        <f>IF(OR(AE139="",多次统计数据!$B$8=""),"",AE139-多次统计数据!$B$8)</f>
        <v/>
      </c>
      <c r="AA139" s="8" t="str">
        <f t="shared" si="51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1"/>
      <c r="AE139" s="5" t="str">
        <f t="shared" si="52"/>
        <v/>
      </c>
      <c r="AG139" s="21"/>
      <c r="AH139" s="21"/>
      <c r="AI139" s="21"/>
      <c r="AJ139" s="6" t="str">
        <f t="shared" si="53"/>
        <v/>
      </c>
      <c r="AK139" s="24" t="str">
        <f>IF(A139="","",COUNTIFS(加仓管理!$A$2:$A$1001,A139,加仓管理!$G$2:$G$1001,"&gt;0"))</f>
        <v/>
      </c>
      <c r="AL139" s="24" t="str">
        <f>IF(A139="","",SUMIFS(加仓管理!$G$2:$G$1001,加仓管理!$A$2:$A$1001,A139))</f>
        <v/>
      </c>
      <c r="AM139" s="25" t="str">
        <f>IF(AK139=0,"",IFERROR(LOOKUP(2,1/((加仓管理!$A$2:$A$1001=A139)*(加仓管理!$G$2:$G$1001&gt;0)),加仓管理!$D$2:$D$1001),""))</f>
        <v/>
      </c>
      <c r="AN139" s="25" t="str">
        <f>IF(AK139=0,"",IFERROR(LOOKUP(2,1/((加仓管理!$A$2:$A$1001=A139)*(加仓管理!$G$2:$G$1001&gt;0)),加仓管理!$E$2:$E$1001),""))</f>
        <v/>
      </c>
      <c r="AO139" s="25" t="str">
        <f>IF(OR(A139="",H139="",H139&lt;=0),"",(E139*H139+SUMIFS(加仓管理!$H$2:$H$1001,加仓管理!$A$2:$A$1001,A139))/AP139)</f>
        <v/>
      </c>
      <c r="AP139" s="24" t="str">
        <f t="shared" si="54"/>
        <v/>
      </c>
      <c r="AQ139" s="25" t="str">
        <f>IF(A139="","",IF(M139&lt;&gt;"",0,IF(OR(H139="",N139=""),"",MAX((E139*H139+SUMIFS(加仓管理!$H$2:$H$1001,加仓管理!$A$2:$A$1001,A139))-MAX(N139,AN139)*AP139,0))))</f>
        <v/>
      </c>
      <c r="AR139" s="25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21"/>
      <c r="B140" s="21"/>
      <c r="C140" s="7"/>
      <c r="D140" s="4"/>
      <c r="E140" s="7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1"/>
      <c r="I140" s="22"/>
      <c r="J140" s="7"/>
      <c r="K140" s="3"/>
      <c r="L140" s="6" t="str">
        <f t="shared" si="45"/>
        <v/>
      </c>
      <c r="M140" s="40"/>
      <c r="N140" s="7"/>
      <c r="O140" s="7"/>
      <c r="P140" s="3"/>
      <c r="Q140" s="21"/>
      <c r="R140" s="21"/>
      <c r="S140" s="21"/>
      <c r="T140" s="21"/>
      <c r="U140" s="5" t="str">
        <f t="shared" si="46"/>
        <v/>
      </c>
      <c r="V140" s="5" t="str">
        <f t="shared" si="47"/>
        <v/>
      </c>
      <c r="W140" s="23" t="str">
        <f t="shared" si="48"/>
        <v/>
      </c>
      <c r="X140" s="3" t="str">
        <f t="shared" si="49"/>
        <v/>
      </c>
      <c r="Y140" s="5" t="str">
        <f t="shared" si="50"/>
        <v/>
      </c>
      <c r="Z140" s="5" t="str">
        <f>IF(OR(AE140="",多次统计数据!$B$8=""),"",AE140-多次统计数据!$B$8)</f>
        <v/>
      </c>
      <c r="AA140" s="8" t="str">
        <f t="shared" si="51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1"/>
      <c r="AE140" s="5" t="str">
        <f t="shared" si="52"/>
        <v/>
      </c>
      <c r="AG140" s="21"/>
      <c r="AH140" s="21"/>
      <c r="AI140" s="21"/>
      <c r="AJ140" s="6" t="str">
        <f t="shared" si="53"/>
        <v/>
      </c>
      <c r="AK140" s="24" t="str">
        <f>IF(A140="","",COUNTIFS(加仓管理!$A$2:$A$1001,A140,加仓管理!$G$2:$G$1001,"&gt;0"))</f>
        <v/>
      </c>
      <c r="AL140" s="24" t="str">
        <f>IF(A140="","",SUMIFS(加仓管理!$G$2:$G$1001,加仓管理!$A$2:$A$1001,A140))</f>
        <v/>
      </c>
      <c r="AM140" s="25" t="str">
        <f>IF(AK140=0,"",IFERROR(LOOKUP(2,1/((加仓管理!$A$2:$A$1001=A140)*(加仓管理!$G$2:$G$1001&gt;0)),加仓管理!$D$2:$D$1001),""))</f>
        <v/>
      </c>
      <c r="AN140" s="25" t="str">
        <f>IF(AK140=0,"",IFERROR(LOOKUP(2,1/((加仓管理!$A$2:$A$1001=A140)*(加仓管理!$G$2:$G$1001&gt;0)),加仓管理!$E$2:$E$1001),""))</f>
        <v/>
      </c>
      <c r="AO140" s="25" t="str">
        <f>IF(OR(A140="",H140="",H140&lt;=0),"",(E140*H140+SUMIFS(加仓管理!$H$2:$H$1001,加仓管理!$A$2:$A$1001,A140))/AP140)</f>
        <v/>
      </c>
      <c r="AP140" s="24" t="str">
        <f t="shared" si="54"/>
        <v/>
      </c>
      <c r="AQ140" s="25" t="str">
        <f>IF(A140="","",IF(M140&lt;&gt;"",0,IF(OR(H140="",N140=""),"",MAX((E140*H140+SUMIFS(加仓管理!$H$2:$H$1001,加仓管理!$A$2:$A$1001,A140))-MAX(N140,AN140)*AP140,0))))</f>
        <v/>
      </c>
      <c r="AR140" s="25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21"/>
      <c r="B141" s="21"/>
      <c r="C141" s="7"/>
      <c r="D141" s="4"/>
      <c r="E141" s="7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1"/>
      <c r="I141" s="22"/>
      <c r="J141" s="7"/>
      <c r="K141" s="3"/>
      <c r="L141" s="6" t="str">
        <f t="shared" si="45"/>
        <v/>
      </c>
      <c r="M141" s="40"/>
      <c r="N141" s="7"/>
      <c r="O141" s="7"/>
      <c r="P141" s="3"/>
      <c r="Q141" s="21"/>
      <c r="R141" s="21"/>
      <c r="S141" s="21"/>
      <c r="T141" s="21"/>
      <c r="U141" s="5" t="str">
        <f t="shared" si="46"/>
        <v/>
      </c>
      <c r="V141" s="5" t="str">
        <f t="shared" si="47"/>
        <v/>
      </c>
      <c r="W141" s="23" t="str">
        <f t="shared" si="48"/>
        <v/>
      </c>
      <c r="X141" s="3" t="str">
        <f t="shared" si="49"/>
        <v/>
      </c>
      <c r="Y141" s="5" t="str">
        <f t="shared" si="50"/>
        <v/>
      </c>
      <c r="Z141" s="5" t="str">
        <f>IF(OR(AE141="",多次统计数据!$B$8=""),"",AE141-多次统计数据!$B$8)</f>
        <v/>
      </c>
      <c r="AA141" s="8" t="str">
        <f t="shared" si="51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1"/>
      <c r="AE141" s="5" t="str">
        <f t="shared" si="52"/>
        <v/>
      </c>
      <c r="AG141" s="21"/>
      <c r="AH141" s="21"/>
      <c r="AI141" s="21"/>
      <c r="AJ141" s="6" t="str">
        <f t="shared" si="53"/>
        <v/>
      </c>
      <c r="AK141" s="24" t="str">
        <f>IF(A141="","",COUNTIFS(加仓管理!$A$2:$A$1001,A141,加仓管理!$G$2:$G$1001,"&gt;0"))</f>
        <v/>
      </c>
      <c r="AL141" s="24" t="str">
        <f>IF(A141="","",SUMIFS(加仓管理!$G$2:$G$1001,加仓管理!$A$2:$A$1001,A141))</f>
        <v/>
      </c>
      <c r="AM141" s="25" t="str">
        <f>IF(AK141=0,"",IFERROR(LOOKUP(2,1/((加仓管理!$A$2:$A$1001=A141)*(加仓管理!$G$2:$G$1001&gt;0)),加仓管理!$D$2:$D$1001),""))</f>
        <v/>
      </c>
      <c r="AN141" s="25" t="str">
        <f>IF(AK141=0,"",IFERROR(LOOKUP(2,1/((加仓管理!$A$2:$A$1001=A141)*(加仓管理!$G$2:$G$1001&gt;0)),加仓管理!$E$2:$E$1001),""))</f>
        <v/>
      </c>
      <c r="AO141" s="25" t="str">
        <f>IF(OR(A141="",H141="",H141&lt;=0),"",(E141*H141+SUMIFS(加仓管理!$H$2:$H$1001,加仓管理!$A$2:$A$1001,A141))/AP141)</f>
        <v/>
      </c>
      <c r="AP141" s="24" t="str">
        <f t="shared" si="54"/>
        <v/>
      </c>
      <c r="AQ141" s="25" t="str">
        <f>IF(A141="","",IF(M141&lt;&gt;"",0,IF(OR(H141="",N141=""),"",MAX((E141*H141+SUMIFS(加仓管理!$H$2:$H$1001,加仓管理!$A$2:$A$1001,A141))-MAX(N141,AN141)*AP141,0))))</f>
        <v/>
      </c>
      <c r="AR141" s="25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21"/>
      <c r="B142" s="21"/>
      <c r="C142" s="7"/>
      <c r="D142" s="4"/>
      <c r="E142" s="7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1"/>
      <c r="I142" s="22"/>
      <c r="J142" s="7"/>
      <c r="K142" s="3"/>
      <c r="L142" s="6" t="str">
        <f t="shared" si="45"/>
        <v/>
      </c>
      <c r="M142" s="40"/>
      <c r="N142" s="7"/>
      <c r="O142" s="7"/>
      <c r="P142" s="3"/>
      <c r="Q142" s="21"/>
      <c r="R142" s="21"/>
      <c r="S142" s="21"/>
      <c r="T142" s="21"/>
      <c r="U142" s="5" t="str">
        <f t="shared" si="46"/>
        <v/>
      </c>
      <c r="V142" s="5" t="str">
        <f t="shared" si="47"/>
        <v/>
      </c>
      <c r="W142" s="23" t="str">
        <f t="shared" si="48"/>
        <v/>
      </c>
      <c r="X142" s="3" t="str">
        <f t="shared" si="49"/>
        <v/>
      </c>
      <c r="Y142" s="5" t="str">
        <f t="shared" si="50"/>
        <v/>
      </c>
      <c r="Z142" s="5" t="str">
        <f>IF(OR(AE142="",多次统计数据!$B$8=""),"",AE142-多次统计数据!$B$8)</f>
        <v/>
      </c>
      <c r="AA142" s="8" t="str">
        <f t="shared" si="51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1"/>
      <c r="AE142" s="5" t="str">
        <f t="shared" si="52"/>
        <v/>
      </c>
      <c r="AG142" s="21"/>
      <c r="AH142" s="21"/>
      <c r="AI142" s="21"/>
      <c r="AJ142" s="6" t="str">
        <f t="shared" si="53"/>
        <v/>
      </c>
      <c r="AK142" s="24" t="str">
        <f>IF(A142="","",COUNTIFS(加仓管理!$A$2:$A$1001,A142,加仓管理!$G$2:$G$1001,"&gt;0"))</f>
        <v/>
      </c>
      <c r="AL142" s="24" t="str">
        <f>IF(A142="","",SUMIFS(加仓管理!$G$2:$G$1001,加仓管理!$A$2:$A$1001,A142))</f>
        <v/>
      </c>
      <c r="AM142" s="25" t="str">
        <f>IF(AK142=0,"",IFERROR(LOOKUP(2,1/((加仓管理!$A$2:$A$1001=A142)*(加仓管理!$G$2:$G$1001&gt;0)),加仓管理!$D$2:$D$1001),""))</f>
        <v/>
      </c>
      <c r="AN142" s="25" t="str">
        <f>IF(AK142=0,"",IFERROR(LOOKUP(2,1/((加仓管理!$A$2:$A$1001=A142)*(加仓管理!$G$2:$G$1001&gt;0)),加仓管理!$E$2:$E$1001),""))</f>
        <v/>
      </c>
      <c r="AO142" s="25" t="str">
        <f>IF(OR(A142="",H142="",H142&lt;=0),"",(E142*H142+SUMIFS(加仓管理!$H$2:$H$1001,加仓管理!$A$2:$A$1001,A142))/AP142)</f>
        <v/>
      </c>
      <c r="AP142" s="24" t="str">
        <f t="shared" si="54"/>
        <v/>
      </c>
      <c r="AQ142" s="25" t="str">
        <f>IF(A142="","",IF(M142&lt;&gt;"",0,IF(OR(H142="",N142=""),"",MAX((E142*H142+SUMIFS(加仓管理!$H$2:$H$1001,加仓管理!$A$2:$A$1001,A142))-MAX(N142,AN142)*AP142,0))))</f>
        <v/>
      </c>
      <c r="AR142" s="25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21"/>
      <c r="B143" s="21"/>
      <c r="C143" s="7"/>
      <c r="D143" s="4"/>
      <c r="E143" s="7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1"/>
      <c r="I143" s="22"/>
      <c r="J143" s="7"/>
      <c r="K143" s="3"/>
      <c r="L143" s="6" t="str">
        <f t="shared" si="45"/>
        <v/>
      </c>
      <c r="M143" s="40"/>
      <c r="N143" s="7"/>
      <c r="O143" s="7"/>
      <c r="P143" s="3"/>
      <c r="Q143" s="21"/>
      <c r="R143" s="21"/>
      <c r="S143" s="21"/>
      <c r="T143" s="21"/>
      <c r="U143" s="5" t="str">
        <f t="shared" si="46"/>
        <v/>
      </c>
      <c r="V143" s="5" t="str">
        <f t="shared" si="47"/>
        <v/>
      </c>
      <c r="W143" s="23" t="str">
        <f t="shared" si="48"/>
        <v/>
      </c>
      <c r="X143" s="3" t="str">
        <f t="shared" si="49"/>
        <v/>
      </c>
      <c r="Y143" s="5" t="str">
        <f t="shared" si="50"/>
        <v/>
      </c>
      <c r="Z143" s="5" t="str">
        <f>IF(OR(AE143="",多次统计数据!$B$8=""),"",AE143-多次统计数据!$B$8)</f>
        <v/>
      </c>
      <c r="AA143" s="8" t="str">
        <f t="shared" si="51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1"/>
      <c r="AE143" s="5" t="str">
        <f t="shared" si="52"/>
        <v/>
      </c>
      <c r="AG143" s="21"/>
      <c r="AH143" s="21"/>
      <c r="AI143" s="21"/>
      <c r="AJ143" s="6" t="str">
        <f t="shared" si="53"/>
        <v/>
      </c>
      <c r="AK143" s="24" t="str">
        <f>IF(A143="","",COUNTIFS(加仓管理!$A$2:$A$1001,A143,加仓管理!$G$2:$G$1001,"&gt;0"))</f>
        <v/>
      </c>
      <c r="AL143" s="24" t="str">
        <f>IF(A143="","",SUMIFS(加仓管理!$G$2:$G$1001,加仓管理!$A$2:$A$1001,A143))</f>
        <v/>
      </c>
      <c r="AM143" s="25" t="str">
        <f>IF(AK143=0,"",IFERROR(LOOKUP(2,1/((加仓管理!$A$2:$A$1001=A143)*(加仓管理!$G$2:$G$1001&gt;0)),加仓管理!$D$2:$D$1001),""))</f>
        <v/>
      </c>
      <c r="AN143" s="25" t="str">
        <f>IF(AK143=0,"",IFERROR(LOOKUP(2,1/((加仓管理!$A$2:$A$1001=A143)*(加仓管理!$G$2:$G$1001&gt;0)),加仓管理!$E$2:$E$1001),""))</f>
        <v/>
      </c>
      <c r="AO143" s="25" t="str">
        <f>IF(OR(A143="",H143="",H143&lt;=0),"",(E143*H143+SUMIFS(加仓管理!$H$2:$H$1001,加仓管理!$A$2:$A$1001,A143))/AP143)</f>
        <v/>
      </c>
      <c r="AP143" s="24" t="str">
        <f t="shared" si="54"/>
        <v/>
      </c>
      <c r="AQ143" s="25" t="str">
        <f>IF(A143="","",IF(M143&lt;&gt;"",0,IF(OR(H143="",N143=""),"",MAX((E143*H143+SUMIFS(加仓管理!$H$2:$H$1001,加仓管理!$A$2:$A$1001,A143))-MAX(N143,AN143)*AP143,0))))</f>
        <v/>
      </c>
      <c r="AR143" s="25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21"/>
      <c r="B144" s="21"/>
      <c r="C144" s="7"/>
      <c r="D144" s="4"/>
      <c r="E144" s="7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1"/>
      <c r="I144" s="22"/>
      <c r="J144" s="7"/>
      <c r="K144" s="3"/>
      <c r="L144" s="6" t="str">
        <f t="shared" si="45"/>
        <v/>
      </c>
      <c r="M144" s="40"/>
      <c r="N144" s="7"/>
      <c r="O144" s="7"/>
      <c r="P144" s="3"/>
      <c r="Q144" s="21"/>
      <c r="R144" s="21"/>
      <c r="S144" s="21"/>
      <c r="T144" s="21"/>
      <c r="U144" s="5" t="str">
        <f t="shared" si="46"/>
        <v/>
      </c>
      <c r="V144" s="5" t="str">
        <f t="shared" si="47"/>
        <v/>
      </c>
      <c r="W144" s="23" t="str">
        <f t="shared" si="48"/>
        <v/>
      </c>
      <c r="X144" s="3" t="str">
        <f t="shared" si="49"/>
        <v/>
      </c>
      <c r="Y144" s="5" t="str">
        <f t="shared" si="50"/>
        <v/>
      </c>
      <c r="Z144" s="5" t="str">
        <f>IF(OR(AE144="",多次统计数据!$B$8=""),"",AE144-多次统计数据!$B$8)</f>
        <v/>
      </c>
      <c r="AA144" s="8" t="str">
        <f t="shared" si="51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1"/>
      <c r="AE144" s="5" t="str">
        <f t="shared" si="52"/>
        <v/>
      </c>
      <c r="AG144" s="21"/>
      <c r="AH144" s="21"/>
      <c r="AI144" s="21"/>
      <c r="AJ144" s="6" t="str">
        <f t="shared" si="53"/>
        <v/>
      </c>
      <c r="AK144" s="24" t="str">
        <f>IF(A144="","",COUNTIFS(加仓管理!$A$2:$A$1001,A144,加仓管理!$G$2:$G$1001,"&gt;0"))</f>
        <v/>
      </c>
      <c r="AL144" s="24" t="str">
        <f>IF(A144="","",SUMIFS(加仓管理!$G$2:$G$1001,加仓管理!$A$2:$A$1001,A144))</f>
        <v/>
      </c>
      <c r="AM144" s="25" t="str">
        <f>IF(AK144=0,"",IFERROR(LOOKUP(2,1/((加仓管理!$A$2:$A$1001=A144)*(加仓管理!$G$2:$G$1001&gt;0)),加仓管理!$D$2:$D$1001),""))</f>
        <v/>
      </c>
      <c r="AN144" s="25" t="str">
        <f>IF(AK144=0,"",IFERROR(LOOKUP(2,1/((加仓管理!$A$2:$A$1001=A144)*(加仓管理!$G$2:$G$1001&gt;0)),加仓管理!$E$2:$E$1001),""))</f>
        <v/>
      </c>
      <c r="AO144" s="25" t="str">
        <f>IF(OR(A144="",H144="",H144&lt;=0),"",(E144*H144+SUMIFS(加仓管理!$H$2:$H$1001,加仓管理!$A$2:$A$1001,A144))/AP144)</f>
        <v/>
      </c>
      <c r="AP144" s="24" t="str">
        <f t="shared" si="54"/>
        <v/>
      </c>
      <c r="AQ144" s="25" t="str">
        <f>IF(A144="","",IF(M144&lt;&gt;"",0,IF(OR(H144="",N144=""),"",MAX((E144*H144+SUMIFS(加仓管理!$H$2:$H$1001,加仓管理!$A$2:$A$1001,A144))-MAX(N144,AN144)*AP144,0))))</f>
        <v/>
      </c>
      <c r="AR144" s="25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21"/>
      <c r="B145" s="21"/>
      <c r="C145" s="7"/>
      <c r="D145" s="4"/>
      <c r="E145" s="7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1"/>
      <c r="I145" s="22"/>
      <c r="J145" s="7"/>
      <c r="K145" s="3"/>
      <c r="L145" s="6" t="str">
        <f t="shared" si="45"/>
        <v/>
      </c>
      <c r="M145" s="40"/>
      <c r="N145" s="7"/>
      <c r="O145" s="7"/>
      <c r="P145" s="3"/>
      <c r="Q145" s="21"/>
      <c r="R145" s="21"/>
      <c r="S145" s="21"/>
      <c r="T145" s="21"/>
      <c r="U145" s="5" t="str">
        <f t="shared" si="46"/>
        <v/>
      </c>
      <c r="V145" s="5" t="str">
        <f t="shared" si="47"/>
        <v/>
      </c>
      <c r="W145" s="23" t="str">
        <f t="shared" si="48"/>
        <v/>
      </c>
      <c r="X145" s="3" t="str">
        <f t="shared" si="49"/>
        <v/>
      </c>
      <c r="Y145" s="5" t="str">
        <f t="shared" si="50"/>
        <v/>
      </c>
      <c r="Z145" s="5" t="str">
        <f>IF(OR(AE145="",多次统计数据!$B$8=""),"",AE145-多次统计数据!$B$8)</f>
        <v/>
      </c>
      <c r="AA145" s="8" t="str">
        <f t="shared" si="51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1"/>
      <c r="AE145" s="5" t="str">
        <f t="shared" si="52"/>
        <v/>
      </c>
      <c r="AG145" s="21"/>
      <c r="AH145" s="21"/>
      <c r="AI145" s="21"/>
      <c r="AJ145" s="6" t="str">
        <f t="shared" si="53"/>
        <v/>
      </c>
      <c r="AK145" s="24" t="str">
        <f>IF(A145="","",COUNTIFS(加仓管理!$A$2:$A$1001,A145,加仓管理!$G$2:$G$1001,"&gt;0"))</f>
        <v/>
      </c>
      <c r="AL145" s="24" t="str">
        <f>IF(A145="","",SUMIFS(加仓管理!$G$2:$G$1001,加仓管理!$A$2:$A$1001,A145))</f>
        <v/>
      </c>
      <c r="AM145" s="25" t="str">
        <f>IF(AK145=0,"",IFERROR(LOOKUP(2,1/((加仓管理!$A$2:$A$1001=A145)*(加仓管理!$G$2:$G$1001&gt;0)),加仓管理!$D$2:$D$1001),""))</f>
        <v/>
      </c>
      <c r="AN145" s="25" t="str">
        <f>IF(AK145=0,"",IFERROR(LOOKUP(2,1/((加仓管理!$A$2:$A$1001=A145)*(加仓管理!$G$2:$G$1001&gt;0)),加仓管理!$E$2:$E$1001),""))</f>
        <v/>
      </c>
      <c r="AO145" s="25" t="str">
        <f>IF(OR(A145="",H145="",H145&lt;=0),"",(E145*H145+SUMIFS(加仓管理!$H$2:$H$1001,加仓管理!$A$2:$A$1001,A145))/AP145)</f>
        <v/>
      </c>
      <c r="AP145" s="24" t="str">
        <f t="shared" si="54"/>
        <v/>
      </c>
      <c r="AQ145" s="25" t="str">
        <f>IF(A145="","",IF(M145&lt;&gt;"",0,IF(OR(H145="",N145=""),"",MAX((E145*H145+SUMIFS(加仓管理!$H$2:$H$1001,加仓管理!$A$2:$A$1001,A145))-MAX(N145,AN145)*AP145,0))))</f>
        <v/>
      </c>
      <c r="AR145" s="25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21"/>
      <c r="B146" s="21"/>
      <c r="C146" s="7"/>
      <c r="D146" s="4"/>
      <c r="E146" s="7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1"/>
      <c r="I146" s="22"/>
      <c r="J146" s="7"/>
      <c r="K146" s="3"/>
      <c r="L146" s="6" t="str">
        <f t="shared" si="45"/>
        <v/>
      </c>
      <c r="M146" s="40"/>
      <c r="N146" s="7"/>
      <c r="O146" s="7"/>
      <c r="P146" s="3"/>
      <c r="Q146" s="21"/>
      <c r="R146" s="21"/>
      <c r="S146" s="21"/>
      <c r="T146" s="21"/>
      <c r="U146" s="5" t="str">
        <f t="shared" si="46"/>
        <v/>
      </c>
      <c r="V146" s="5" t="str">
        <f t="shared" si="47"/>
        <v/>
      </c>
      <c r="W146" s="23" t="str">
        <f t="shared" si="48"/>
        <v/>
      </c>
      <c r="X146" s="3" t="str">
        <f t="shared" si="49"/>
        <v/>
      </c>
      <c r="Y146" s="5" t="str">
        <f t="shared" si="50"/>
        <v/>
      </c>
      <c r="Z146" s="5" t="str">
        <f>IF(OR(AE146="",多次统计数据!$B$8=""),"",AE146-多次统计数据!$B$8)</f>
        <v/>
      </c>
      <c r="AA146" s="8" t="str">
        <f t="shared" si="51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1"/>
      <c r="AE146" s="5" t="str">
        <f t="shared" si="52"/>
        <v/>
      </c>
      <c r="AG146" s="21"/>
      <c r="AH146" s="21"/>
      <c r="AI146" s="21"/>
      <c r="AJ146" s="6" t="str">
        <f t="shared" si="53"/>
        <v/>
      </c>
      <c r="AK146" s="24" t="str">
        <f>IF(A146="","",COUNTIFS(加仓管理!$A$2:$A$1001,A146,加仓管理!$G$2:$G$1001,"&gt;0"))</f>
        <v/>
      </c>
      <c r="AL146" s="24" t="str">
        <f>IF(A146="","",SUMIFS(加仓管理!$G$2:$G$1001,加仓管理!$A$2:$A$1001,A146))</f>
        <v/>
      </c>
      <c r="AM146" s="25" t="str">
        <f>IF(AK146=0,"",IFERROR(LOOKUP(2,1/((加仓管理!$A$2:$A$1001=A146)*(加仓管理!$G$2:$G$1001&gt;0)),加仓管理!$D$2:$D$1001),""))</f>
        <v/>
      </c>
      <c r="AN146" s="25" t="str">
        <f>IF(AK146=0,"",IFERROR(LOOKUP(2,1/((加仓管理!$A$2:$A$1001=A146)*(加仓管理!$G$2:$G$1001&gt;0)),加仓管理!$E$2:$E$1001),""))</f>
        <v/>
      </c>
      <c r="AO146" s="25" t="str">
        <f>IF(OR(A146="",H146="",H146&lt;=0),"",(E146*H146+SUMIFS(加仓管理!$H$2:$H$1001,加仓管理!$A$2:$A$1001,A146))/AP146)</f>
        <v/>
      </c>
      <c r="AP146" s="24" t="str">
        <f t="shared" si="54"/>
        <v/>
      </c>
      <c r="AQ146" s="25" t="str">
        <f>IF(A146="","",IF(M146&lt;&gt;"",0,IF(OR(H146="",N146=""),"",MAX((E146*H146+SUMIFS(加仓管理!$H$2:$H$1001,加仓管理!$A$2:$A$1001,A146))-MAX(N146,AN146)*AP146,0))))</f>
        <v/>
      </c>
      <c r="AR146" s="25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21"/>
      <c r="B147" s="21"/>
      <c r="C147" s="7"/>
      <c r="D147" s="4"/>
      <c r="E147" s="7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1"/>
      <c r="I147" s="22"/>
      <c r="J147" s="7"/>
      <c r="K147" s="3"/>
      <c r="L147" s="6" t="str">
        <f t="shared" si="45"/>
        <v/>
      </c>
      <c r="M147" s="40"/>
      <c r="N147" s="7"/>
      <c r="O147" s="7"/>
      <c r="P147" s="3"/>
      <c r="Q147" s="21"/>
      <c r="R147" s="21"/>
      <c r="S147" s="21"/>
      <c r="T147" s="21"/>
      <c r="U147" s="5" t="str">
        <f t="shared" si="46"/>
        <v/>
      </c>
      <c r="V147" s="5" t="str">
        <f t="shared" si="47"/>
        <v/>
      </c>
      <c r="W147" s="23" t="str">
        <f t="shared" si="48"/>
        <v/>
      </c>
      <c r="X147" s="3" t="str">
        <f t="shared" si="49"/>
        <v/>
      </c>
      <c r="Y147" s="5" t="str">
        <f t="shared" si="50"/>
        <v/>
      </c>
      <c r="Z147" s="5" t="str">
        <f>IF(OR(AE147="",多次统计数据!$B$8=""),"",AE147-多次统计数据!$B$8)</f>
        <v/>
      </c>
      <c r="AA147" s="8" t="str">
        <f t="shared" si="51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1"/>
      <c r="AE147" s="5" t="str">
        <f t="shared" si="52"/>
        <v/>
      </c>
      <c r="AG147" s="21"/>
      <c r="AH147" s="21"/>
      <c r="AI147" s="21"/>
      <c r="AJ147" s="6" t="str">
        <f t="shared" si="53"/>
        <v/>
      </c>
      <c r="AK147" s="24" t="str">
        <f>IF(A147="","",COUNTIFS(加仓管理!$A$2:$A$1001,A147,加仓管理!$G$2:$G$1001,"&gt;0"))</f>
        <v/>
      </c>
      <c r="AL147" s="24" t="str">
        <f>IF(A147="","",SUMIFS(加仓管理!$G$2:$G$1001,加仓管理!$A$2:$A$1001,A147))</f>
        <v/>
      </c>
      <c r="AM147" s="25" t="str">
        <f>IF(AK147=0,"",IFERROR(LOOKUP(2,1/((加仓管理!$A$2:$A$1001=A147)*(加仓管理!$G$2:$G$1001&gt;0)),加仓管理!$D$2:$D$1001),""))</f>
        <v/>
      </c>
      <c r="AN147" s="25" t="str">
        <f>IF(AK147=0,"",IFERROR(LOOKUP(2,1/((加仓管理!$A$2:$A$1001=A147)*(加仓管理!$G$2:$G$1001&gt;0)),加仓管理!$E$2:$E$1001),""))</f>
        <v/>
      </c>
      <c r="AO147" s="25" t="str">
        <f>IF(OR(A147="",H147="",H147&lt;=0),"",(E147*H147+SUMIFS(加仓管理!$H$2:$H$1001,加仓管理!$A$2:$A$1001,A147))/AP147)</f>
        <v/>
      </c>
      <c r="AP147" s="24" t="str">
        <f t="shared" si="54"/>
        <v/>
      </c>
      <c r="AQ147" s="25" t="str">
        <f>IF(A147="","",IF(M147&lt;&gt;"",0,IF(OR(H147="",N147=""),"",MAX((E147*H147+SUMIFS(加仓管理!$H$2:$H$1001,加仓管理!$A$2:$A$1001,A147))-MAX(N147,AN147)*AP147,0))))</f>
        <v/>
      </c>
      <c r="AR147" s="25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21"/>
      <c r="B148" s="21"/>
      <c r="C148" s="7"/>
      <c r="D148" s="4"/>
      <c r="E148" s="7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1"/>
      <c r="I148" s="22"/>
      <c r="J148" s="7"/>
      <c r="K148" s="3"/>
      <c r="L148" s="6" t="str">
        <f t="shared" si="45"/>
        <v/>
      </c>
      <c r="M148" s="40"/>
      <c r="N148" s="7"/>
      <c r="O148" s="7"/>
      <c r="P148" s="3"/>
      <c r="Q148" s="21"/>
      <c r="R148" s="21"/>
      <c r="S148" s="21"/>
      <c r="T148" s="21"/>
      <c r="U148" s="5" t="str">
        <f t="shared" si="46"/>
        <v/>
      </c>
      <c r="V148" s="5" t="str">
        <f t="shared" si="47"/>
        <v/>
      </c>
      <c r="W148" s="23" t="str">
        <f t="shared" si="48"/>
        <v/>
      </c>
      <c r="X148" s="3" t="str">
        <f t="shared" si="49"/>
        <v/>
      </c>
      <c r="Y148" s="5" t="str">
        <f t="shared" si="50"/>
        <v/>
      </c>
      <c r="Z148" s="5" t="str">
        <f>IF(OR(AE148="",多次统计数据!$B$8=""),"",AE148-多次统计数据!$B$8)</f>
        <v/>
      </c>
      <c r="AA148" s="8" t="str">
        <f t="shared" si="51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1"/>
      <c r="AE148" s="5" t="str">
        <f t="shared" si="52"/>
        <v/>
      </c>
      <c r="AG148" s="21"/>
      <c r="AH148" s="21"/>
      <c r="AI148" s="21"/>
      <c r="AJ148" s="6" t="str">
        <f t="shared" si="53"/>
        <v/>
      </c>
      <c r="AK148" s="24" t="str">
        <f>IF(A148="","",COUNTIFS(加仓管理!$A$2:$A$1001,A148,加仓管理!$G$2:$G$1001,"&gt;0"))</f>
        <v/>
      </c>
      <c r="AL148" s="24" t="str">
        <f>IF(A148="","",SUMIFS(加仓管理!$G$2:$G$1001,加仓管理!$A$2:$A$1001,A148))</f>
        <v/>
      </c>
      <c r="AM148" s="25" t="str">
        <f>IF(AK148=0,"",IFERROR(LOOKUP(2,1/((加仓管理!$A$2:$A$1001=A148)*(加仓管理!$G$2:$G$1001&gt;0)),加仓管理!$D$2:$D$1001),""))</f>
        <v/>
      </c>
      <c r="AN148" s="25" t="str">
        <f>IF(AK148=0,"",IFERROR(LOOKUP(2,1/((加仓管理!$A$2:$A$1001=A148)*(加仓管理!$G$2:$G$1001&gt;0)),加仓管理!$E$2:$E$1001),""))</f>
        <v/>
      </c>
      <c r="AO148" s="25" t="str">
        <f>IF(OR(A148="",H148="",H148&lt;=0),"",(E148*H148+SUMIFS(加仓管理!$H$2:$H$1001,加仓管理!$A$2:$A$1001,A148))/AP148)</f>
        <v/>
      </c>
      <c r="AP148" s="24" t="str">
        <f t="shared" si="54"/>
        <v/>
      </c>
      <c r="AQ148" s="25" t="str">
        <f>IF(A148="","",IF(M148&lt;&gt;"",0,IF(OR(H148="",N148=""),"",MAX((E148*H148+SUMIFS(加仓管理!$H$2:$H$1001,加仓管理!$A$2:$A$1001,A148))-MAX(N148,AN148)*AP148,0))))</f>
        <v/>
      </c>
      <c r="AR148" s="25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21"/>
      <c r="B149" s="21"/>
      <c r="C149" s="7"/>
      <c r="D149" s="4"/>
      <c r="E149" s="7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1"/>
      <c r="I149" s="22"/>
      <c r="J149" s="7"/>
      <c r="K149" s="3"/>
      <c r="L149" s="6" t="str">
        <f t="shared" si="45"/>
        <v/>
      </c>
      <c r="M149" s="40"/>
      <c r="N149" s="7"/>
      <c r="O149" s="7"/>
      <c r="P149" s="3"/>
      <c r="Q149" s="21"/>
      <c r="R149" s="21"/>
      <c r="S149" s="21"/>
      <c r="T149" s="21"/>
      <c r="U149" s="5" t="str">
        <f t="shared" si="46"/>
        <v/>
      </c>
      <c r="V149" s="5" t="str">
        <f t="shared" si="47"/>
        <v/>
      </c>
      <c r="W149" s="23" t="str">
        <f t="shared" si="48"/>
        <v/>
      </c>
      <c r="X149" s="3" t="str">
        <f t="shared" si="49"/>
        <v/>
      </c>
      <c r="Y149" s="5" t="str">
        <f t="shared" si="50"/>
        <v/>
      </c>
      <c r="Z149" s="5" t="str">
        <f>IF(OR(AE149="",多次统计数据!$B$8=""),"",AE149-多次统计数据!$B$8)</f>
        <v/>
      </c>
      <c r="AA149" s="8" t="str">
        <f t="shared" si="51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1"/>
      <c r="AE149" s="5" t="str">
        <f t="shared" si="52"/>
        <v/>
      </c>
      <c r="AG149" s="21"/>
      <c r="AH149" s="21"/>
      <c r="AI149" s="21"/>
      <c r="AJ149" s="6" t="str">
        <f t="shared" si="53"/>
        <v/>
      </c>
      <c r="AK149" s="24" t="str">
        <f>IF(A149="","",COUNTIFS(加仓管理!$A$2:$A$1001,A149,加仓管理!$G$2:$G$1001,"&gt;0"))</f>
        <v/>
      </c>
      <c r="AL149" s="24" t="str">
        <f>IF(A149="","",SUMIFS(加仓管理!$G$2:$G$1001,加仓管理!$A$2:$A$1001,A149))</f>
        <v/>
      </c>
      <c r="AM149" s="25" t="str">
        <f>IF(AK149=0,"",IFERROR(LOOKUP(2,1/((加仓管理!$A$2:$A$1001=A149)*(加仓管理!$G$2:$G$1001&gt;0)),加仓管理!$D$2:$D$1001),""))</f>
        <v/>
      </c>
      <c r="AN149" s="25" t="str">
        <f>IF(AK149=0,"",IFERROR(LOOKUP(2,1/((加仓管理!$A$2:$A$1001=A149)*(加仓管理!$G$2:$G$1001&gt;0)),加仓管理!$E$2:$E$1001),""))</f>
        <v/>
      </c>
      <c r="AO149" s="25" t="str">
        <f>IF(OR(A149="",H149="",H149&lt;=0),"",(E149*H149+SUMIFS(加仓管理!$H$2:$H$1001,加仓管理!$A$2:$A$1001,A149))/AP149)</f>
        <v/>
      </c>
      <c r="AP149" s="24" t="str">
        <f t="shared" si="54"/>
        <v/>
      </c>
      <c r="AQ149" s="25" t="str">
        <f>IF(A149="","",IF(M149&lt;&gt;"",0,IF(OR(H149="",N149=""),"",MAX((E149*H149+SUMIFS(加仓管理!$H$2:$H$1001,加仓管理!$A$2:$A$1001,A149))-MAX(N149,AN149)*AP149,0))))</f>
        <v/>
      </c>
      <c r="AR149" s="25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21"/>
      <c r="B150" s="21"/>
      <c r="C150" s="7"/>
      <c r="D150" s="4"/>
      <c r="E150" s="7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1"/>
      <c r="I150" s="22"/>
      <c r="J150" s="7"/>
      <c r="K150" s="3"/>
      <c r="L150" s="6" t="str">
        <f t="shared" si="45"/>
        <v/>
      </c>
      <c r="M150" s="40"/>
      <c r="N150" s="7"/>
      <c r="O150" s="7"/>
      <c r="P150" s="3"/>
      <c r="Q150" s="21"/>
      <c r="R150" s="21"/>
      <c r="S150" s="21"/>
      <c r="T150" s="21"/>
      <c r="U150" s="5" t="str">
        <f t="shared" si="46"/>
        <v/>
      </c>
      <c r="V150" s="5" t="str">
        <f t="shared" si="47"/>
        <v/>
      </c>
      <c r="W150" s="23" t="str">
        <f t="shared" si="48"/>
        <v/>
      </c>
      <c r="X150" s="3" t="str">
        <f t="shared" si="49"/>
        <v/>
      </c>
      <c r="Y150" s="5" t="str">
        <f t="shared" si="50"/>
        <v/>
      </c>
      <c r="Z150" s="5" t="str">
        <f>IF(OR(AE150="",多次统计数据!$B$8=""),"",AE150-多次统计数据!$B$8)</f>
        <v/>
      </c>
      <c r="AA150" s="8" t="str">
        <f t="shared" si="51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1"/>
      <c r="AE150" s="5" t="str">
        <f t="shared" si="52"/>
        <v/>
      </c>
      <c r="AG150" s="21"/>
      <c r="AH150" s="21"/>
      <c r="AI150" s="21"/>
      <c r="AJ150" s="6" t="str">
        <f t="shared" si="53"/>
        <v/>
      </c>
      <c r="AK150" s="24" t="str">
        <f>IF(A150="","",COUNTIFS(加仓管理!$A$2:$A$1001,A150,加仓管理!$G$2:$G$1001,"&gt;0"))</f>
        <v/>
      </c>
      <c r="AL150" s="24" t="str">
        <f>IF(A150="","",SUMIFS(加仓管理!$G$2:$G$1001,加仓管理!$A$2:$A$1001,A150))</f>
        <v/>
      </c>
      <c r="AM150" s="25" t="str">
        <f>IF(AK150=0,"",IFERROR(LOOKUP(2,1/((加仓管理!$A$2:$A$1001=A150)*(加仓管理!$G$2:$G$1001&gt;0)),加仓管理!$D$2:$D$1001),""))</f>
        <v/>
      </c>
      <c r="AN150" s="25" t="str">
        <f>IF(AK150=0,"",IFERROR(LOOKUP(2,1/((加仓管理!$A$2:$A$1001=A150)*(加仓管理!$G$2:$G$1001&gt;0)),加仓管理!$E$2:$E$1001),""))</f>
        <v/>
      </c>
      <c r="AO150" s="25" t="str">
        <f>IF(OR(A150="",H150="",H150&lt;=0),"",(E150*H150+SUMIFS(加仓管理!$H$2:$H$1001,加仓管理!$A$2:$A$1001,A150))/AP150)</f>
        <v/>
      </c>
      <c r="AP150" s="24" t="str">
        <f t="shared" si="54"/>
        <v/>
      </c>
      <c r="AQ150" s="25" t="str">
        <f>IF(A150="","",IF(M150&lt;&gt;"",0,IF(OR(H150="",N150=""),"",MAX((E150*H150+SUMIFS(加仓管理!$H$2:$H$1001,加仓管理!$A$2:$A$1001,A150))-MAX(N150,AN150)*AP150,0))))</f>
        <v/>
      </c>
      <c r="AR150" s="25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21"/>
      <c r="B151" s="21"/>
      <c r="C151" s="7"/>
      <c r="D151" s="4"/>
      <c r="E151" s="7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1"/>
      <c r="I151" s="22"/>
      <c r="J151" s="7"/>
      <c r="K151" s="3"/>
      <c r="L151" s="6" t="str">
        <f t="shared" si="45"/>
        <v/>
      </c>
      <c r="M151" s="40"/>
      <c r="N151" s="7"/>
      <c r="O151" s="7"/>
      <c r="P151" s="3"/>
      <c r="Q151" s="21"/>
      <c r="R151" s="21"/>
      <c r="S151" s="21"/>
      <c r="T151" s="21"/>
      <c r="U151" s="5" t="str">
        <f t="shared" si="46"/>
        <v/>
      </c>
      <c r="V151" s="5" t="str">
        <f t="shared" si="47"/>
        <v/>
      </c>
      <c r="W151" s="23" t="str">
        <f t="shared" si="48"/>
        <v/>
      </c>
      <c r="X151" s="3" t="str">
        <f t="shared" si="49"/>
        <v/>
      </c>
      <c r="Y151" s="5" t="str">
        <f t="shared" si="50"/>
        <v/>
      </c>
      <c r="Z151" s="5" t="str">
        <f>IF(OR(AE151="",多次统计数据!$B$8=""),"",AE151-多次统计数据!$B$8)</f>
        <v/>
      </c>
      <c r="AA151" s="8" t="str">
        <f t="shared" si="51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1"/>
      <c r="AE151" s="5" t="str">
        <f t="shared" si="52"/>
        <v/>
      </c>
      <c r="AG151" s="21"/>
      <c r="AH151" s="21"/>
      <c r="AI151" s="21"/>
      <c r="AJ151" s="6" t="str">
        <f t="shared" si="53"/>
        <v/>
      </c>
      <c r="AK151" s="24" t="str">
        <f>IF(A151="","",COUNTIFS(加仓管理!$A$2:$A$1001,A151,加仓管理!$G$2:$G$1001,"&gt;0"))</f>
        <v/>
      </c>
      <c r="AL151" s="24" t="str">
        <f>IF(A151="","",SUMIFS(加仓管理!$G$2:$G$1001,加仓管理!$A$2:$A$1001,A151))</f>
        <v/>
      </c>
      <c r="AM151" s="25" t="str">
        <f>IF(AK151=0,"",IFERROR(LOOKUP(2,1/((加仓管理!$A$2:$A$1001=A151)*(加仓管理!$G$2:$G$1001&gt;0)),加仓管理!$D$2:$D$1001),""))</f>
        <v/>
      </c>
      <c r="AN151" s="25" t="str">
        <f>IF(AK151=0,"",IFERROR(LOOKUP(2,1/((加仓管理!$A$2:$A$1001=A151)*(加仓管理!$G$2:$G$1001&gt;0)),加仓管理!$E$2:$E$1001),""))</f>
        <v/>
      </c>
      <c r="AO151" s="25" t="str">
        <f>IF(OR(A151="",H151="",H151&lt;=0),"",(E151*H151+SUMIFS(加仓管理!$H$2:$H$1001,加仓管理!$A$2:$A$1001,A151))/AP151)</f>
        <v/>
      </c>
      <c r="AP151" s="24" t="str">
        <f t="shared" si="54"/>
        <v/>
      </c>
      <c r="AQ151" s="25" t="str">
        <f>IF(A151="","",IF(M151&lt;&gt;"",0,IF(OR(H151="",N151=""),"",MAX((E151*H151+SUMIFS(加仓管理!$H$2:$H$1001,加仓管理!$A$2:$A$1001,A151))-MAX(N151,AN151)*AP151,0))))</f>
        <v/>
      </c>
      <c r="AR151" s="25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21"/>
      <c r="B152" s="21"/>
      <c r="C152" s="7"/>
      <c r="D152" s="4"/>
      <c r="E152" s="7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1"/>
      <c r="I152" s="22"/>
      <c r="J152" s="7"/>
      <c r="K152" s="3"/>
      <c r="L152" s="6" t="str">
        <f t="shared" si="45"/>
        <v/>
      </c>
      <c r="M152" s="40"/>
      <c r="N152" s="7"/>
      <c r="O152" s="7"/>
      <c r="P152" s="3"/>
      <c r="Q152" s="21"/>
      <c r="R152" s="21"/>
      <c r="S152" s="21"/>
      <c r="T152" s="21"/>
      <c r="U152" s="5" t="str">
        <f t="shared" si="46"/>
        <v/>
      </c>
      <c r="V152" s="5" t="str">
        <f t="shared" si="47"/>
        <v/>
      </c>
      <c r="W152" s="23" t="str">
        <f t="shared" si="48"/>
        <v/>
      </c>
      <c r="X152" s="3" t="str">
        <f t="shared" si="49"/>
        <v/>
      </c>
      <c r="Y152" s="5" t="str">
        <f t="shared" si="50"/>
        <v/>
      </c>
      <c r="Z152" s="5" t="str">
        <f>IF(OR(AE152="",多次统计数据!$B$8=""),"",AE152-多次统计数据!$B$8)</f>
        <v/>
      </c>
      <c r="AA152" s="8" t="str">
        <f t="shared" si="51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1"/>
      <c r="AE152" s="5" t="str">
        <f t="shared" si="52"/>
        <v/>
      </c>
      <c r="AG152" s="21"/>
      <c r="AH152" s="21"/>
      <c r="AI152" s="21"/>
      <c r="AJ152" s="6" t="str">
        <f t="shared" si="53"/>
        <v/>
      </c>
      <c r="AK152" s="24" t="str">
        <f>IF(A152="","",COUNTIFS(加仓管理!$A$2:$A$1001,A152,加仓管理!$G$2:$G$1001,"&gt;0"))</f>
        <v/>
      </c>
      <c r="AL152" s="24" t="str">
        <f>IF(A152="","",SUMIFS(加仓管理!$G$2:$G$1001,加仓管理!$A$2:$A$1001,A152))</f>
        <v/>
      </c>
      <c r="AM152" s="25" t="str">
        <f>IF(AK152=0,"",IFERROR(LOOKUP(2,1/((加仓管理!$A$2:$A$1001=A152)*(加仓管理!$G$2:$G$1001&gt;0)),加仓管理!$D$2:$D$1001),""))</f>
        <v/>
      </c>
      <c r="AN152" s="25" t="str">
        <f>IF(AK152=0,"",IFERROR(LOOKUP(2,1/((加仓管理!$A$2:$A$1001=A152)*(加仓管理!$G$2:$G$1001&gt;0)),加仓管理!$E$2:$E$1001),""))</f>
        <v/>
      </c>
      <c r="AO152" s="25" t="str">
        <f>IF(OR(A152="",H152="",H152&lt;=0),"",(E152*H152+SUMIFS(加仓管理!$H$2:$H$1001,加仓管理!$A$2:$A$1001,A152))/AP152)</f>
        <v/>
      </c>
      <c r="AP152" s="24" t="str">
        <f t="shared" si="54"/>
        <v/>
      </c>
      <c r="AQ152" s="25" t="str">
        <f>IF(A152="","",IF(M152&lt;&gt;"",0,IF(OR(H152="",N152=""),"",MAX((E152*H152+SUMIFS(加仓管理!$H$2:$H$1001,加仓管理!$A$2:$A$1001,A152))-MAX(N152,AN152)*AP152,0))))</f>
        <v/>
      </c>
      <c r="AR152" s="25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21"/>
      <c r="B153" s="21"/>
      <c r="C153" s="7"/>
      <c r="D153" s="4"/>
      <c r="E153" s="7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1"/>
      <c r="I153" s="22"/>
      <c r="J153" s="7"/>
      <c r="K153" s="3"/>
      <c r="L153" s="6" t="str">
        <f t="shared" si="45"/>
        <v/>
      </c>
      <c r="M153" s="40"/>
      <c r="N153" s="7"/>
      <c r="O153" s="7"/>
      <c r="P153" s="3"/>
      <c r="Q153" s="21"/>
      <c r="R153" s="21"/>
      <c r="S153" s="21"/>
      <c r="T153" s="21"/>
      <c r="U153" s="5" t="str">
        <f t="shared" si="46"/>
        <v/>
      </c>
      <c r="V153" s="5" t="str">
        <f t="shared" si="47"/>
        <v/>
      </c>
      <c r="W153" s="23" t="str">
        <f t="shared" si="48"/>
        <v/>
      </c>
      <c r="X153" s="3" t="str">
        <f t="shared" si="49"/>
        <v/>
      </c>
      <c r="Y153" s="5" t="str">
        <f t="shared" si="50"/>
        <v/>
      </c>
      <c r="Z153" s="5" t="str">
        <f>IF(OR(AE153="",多次统计数据!$B$8=""),"",AE153-多次统计数据!$B$8)</f>
        <v/>
      </c>
      <c r="AA153" s="8" t="str">
        <f t="shared" si="51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1"/>
      <c r="AE153" s="5" t="str">
        <f t="shared" si="52"/>
        <v/>
      </c>
      <c r="AG153" s="21"/>
      <c r="AH153" s="21"/>
      <c r="AI153" s="21"/>
      <c r="AJ153" s="6" t="str">
        <f t="shared" si="53"/>
        <v/>
      </c>
      <c r="AK153" s="24" t="str">
        <f>IF(A153="","",COUNTIFS(加仓管理!$A$2:$A$1001,A153,加仓管理!$G$2:$G$1001,"&gt;0"))</f>
        <v/>
      </c>
      <c r="AL153" s="24" t="str">
        <f>IF(A153="","",SUMIFS(加仓管理!$G$2:$G$1001,加仓管理!$A$2:$A$1001,A153))</f>
        <v/>
      </c>
      <c r="AM153" s="25" t="str">
        <f>IF(AK153=0,"",IFERROR(LOOKUP(2,1/((加仓管理!$A$2:$A$1001=A153)*(加仓管理!$G$2:$G$1001&gt;0)),加仓管理!$D$2:$D$1001),""))</f>
        <v/>
      </c>
      <c r="AN153" s="25" t="str">
        <f>IF(AK153=0,"",IFERROR(LOOKUP(2,1/((加仓管理!$A$2:$A$1001=A153)*(加仓管理!$G$2:$G$1001&gt;0)),加仓管理!$E$2:$E$1001),""))</f>
        <v/>
      </c>
      <c r="AO153" s="25" t="str">
        <f>IF(OR(A153="",H153="",H153&lt;=0),"",(E153*H153+SUMIFS(加仓管理!$H$2:$H$1001,加仓管理!$A$2:$A$1001,A153))/AP153)</f>
        <v/>
      </c>
      <c r="AP153" s="24" t="str">
        <f t="shared" si="54"/>
        <v/>
      </c>
      <c r="AQ153" s="25" t="str">
        <f>IF(A153="","",IF(M153&lt;&gt;"",0,IF(OR(H153="",N153=""),"",MAX((E153*H153+SUMIFS(加仓管理!$H$2:$H$1001,加仓管理!$A$2:$A$1001,A153))-MAX(N153,AN153)*AP153,0))))</f>
        <v/>
      </c>
      <c r="AR153" s="25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21"/>
      <c r="B154" s="21"/>
      <c r="C154" s="7"/>
      <c r="D154" s="4"/>
      <c r="E154" s="7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1"/>
      <c r="I154" s="22"/>
      <c r="J154" s="7"/>
      <c r="K154" s="3"/>
      <c r="L154" s="6" t="str">
        <f t="shared" si="45"/>
        <v/>
      </c>
      <c r="M154" s="40"/>
      <c r="N154" s="7"/>
      <c r="O154" s="7"/>
      <c r="P154" s="3"/>
      <c r="Q154" s="21"/>
      <c r="R154" s="21"/>
      <c r="S154" s="21"/>
      <c r="T154" s="21"/>
      <c r="U154" s="5" t="str">
        <f t="shared" si="46"/>
        <v/>
      </c>
      <c r="V154" s="5" t="str">
        <f t="shared" si="47"/>
        <v/>
      </c>
      <c r="W154" s="23" t="str">
        <f t="shared" si="48"/>
        <v/>
      </c>
      <c r="X154" s="3" t="str">
        <f t="shared" si="49"/>
        <v/>
      </c>
      <c r="Y154" s="5" t="str">
        <f t="shared" si="50"/>
        <v/>
      </c>
      <c r="Z154" s="5" t="str">
        <f>IF(OR(AE154="",多次统计数据!$B$8=""),"",AE154-多次统计数据!$B$8)</f>
        <v/>
      </c>
      <c r="AA154" s="8" t="str">
        <f t="shared" si="51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1"/>
      <c r="AE154" s="5" t="str">
        <f t="shared" si="52"/>
        <v/>
      </c>
      <c r="AG154" s="21"/>
      <c r="AH154" s="21"/>
      <c r="AI154" s="21"/>
      <c r="AJ154" s="6" t="str">
        <f t="shared" si="53"/>
        <v/>
      </c>
      <c r="AK154" s="24" t="str">
        <f>IF(A154="","",COUNTIFS(加仓管理!$A$2:$A$1001,A154,加仓管理!$G$2:$G$1001,"&gt;0"))</f>
        <v/>
      </c>
      <c r="AL154" s="24" t="str">
        <f>IF(A154="","",SUMIFS(加仓管理!$G$2:$G$1001,加仓管理!$A$2:$A$1001,A154))</f>
        <v/>
      </c>
      <c r="AM154" s="25" t="str">
        <f>IF(AK154=0,"",IFERROR(LOOKUP(2,1/((加仓管理!$A$2:$A$1001=A154)*(加仓管理!$G$2:$G$1001&gt;0)),加仓管理!$D$2:$D$1001),""))</f>
        <v/>
      </c>
      <c r="AN154" s="25" t="str">
        <f>IF(AK154=0,"",IFERROR(LOOKUP(2,1/((加仓管理!$A$2:$A$1001=A154)*(加仓管理!$G$2:$G$1001&gt;0)),加仓管理!$E$2:$E$1001),""))</f>
        <v/>
      </c>
      <c r="AO154" s="25" t="str">
        <f>IF(OR(A154="",H154="",H154&lt;=0),"",(E154*H154+SUMIFS(加仓管理!$H$2:$H$1001,加仓管理!$A$2:$A$1001,A154))/AP154)</f>
        <v/>
      </c>
      <c r="AP154" s="24" t="str">
        <f t="shared" si="54"/>
        <v/>
      </c>
      <c r="AQ154" s="25" t="str">
        <f>IF(A154="","",IF(M154&lt;&gt;"",0,IF(OR(H154="",N154=""),"",MAX((E154*H154+SUMIFS(加仓管理!$H$2:$H$1001,加仓管理!$A$2:$A$1001,A154))-MAX(N154,AN154)*AP154,0))))</f>
        <v/>
      </c>
      <c r="AR154" s="25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21"/>
      <c r="B155" s="21"/>
      <c r="C155" s="7"/>
      <c r="D155" s="4"/>
      <c r="E155" s="7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1"/>
      <c r="I155" s="22"/>
      <c r="J155" s="7"/>
      <c r="K155" s="3"/>
      <c r="L155" s="6" t="str">
        <f t="shared" si="45"/>
        <v/>
      </c>
      <c r="M155" s="40"/>
      <c r="N155" s="7"/>
      <c r="O155" s="7"/>
      <c r="P155" s="3"/>
      <c r="Q155" s="21"/>
      <c r="R155" s="21"/>
      <c r="S155" s="21"/>
      <c r="T155" s="21"/>
      <c r="U155" s="5" t="str">
        <f t="shared" si="46"/>
        <v/>
      </c>
      <c r="V155" s="5" t="str">
        <f t="shared" si="47"/>
        <v/>
      </c>
      <c r="W155" s="23" t="str">
        <f t="shared" si="48"/>
        <v/>
      </c>
      <c r="X155" s="3" t="str">
        <f t="shared" si="49"/>
        <v/>
      </c>
      <c r="Y155" s="5" t="str">
        <f t="shared" si="50"/>
        <v/>
      </c>
      <c r="Z155" s="5" t="str">
        <f>IF(OR(AE155="",多次统计数据!$B$8=""),"",AE155-多次统计数据!$B$8)</f>
        <v/>
      </c>
      <c r="AA155" s="8" t="str">
        <f t="shared" si="51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1"/>
      <c r="AE155" s="5" t="str">
        <f t="shared" si="52"/>
        <v/>
      </c>
      <c r="AG155" s="21"/>
      <c r="AH155" s="21"/>
      <c r="AI155" s="21"/>
      <c r="AJ155" s="6" t="str">
        <f t="shared" si="53"/>
        <v/>
      </c>
      <c r="AK155" s="24" t="str">
        <f>IF(A155="","",COUNTIFS(加仓管理!$A$2:$A$1001,A155,加仓管理!$G$2:$G$1001,"&gt;0"))</f>
        <v/>
      </c>
      <c r="AL155" s="24" t="str">
        <f>IF(A155="","",SUMIFS(加仓管理!$G$2:$G$1001,加仓管理!$A$2:$A$1001,A155))</f>
        <v/>
      </c>
      <c r="AM155" s="25" t="str">
        <f>IF(AK155=0,"",IFERROR(LOOKUP(2,1/((加仓管理!$A$2:$A$1001=A155)*(加仓管理!$G$2:$G$1001&gt;0)),加仓管理!$D$2:$D$1001),""))</f>
        <v/>
      </c>
      <c r="AN155" s="25" t="str">
        <f>IF(AK155=0,"",IFERROR(LOOKUP(2,1/((加仓管理!$A$2:$A$1001=A155)*(加仓管理!$G$2:$G$1001&gt;0)),加仓管理!$E$2:$E$1001),""))</f>
        <v/>
      </c>
      <c r="AO155" s="25" t="str">
        <f>IF(OR(A155="",H155="",H155&lt;=0),"",(E155*H155+SUMIFS(加仓管理!$H$2:$H$1001,加仓管理!$A$2:$A$1001,A155))/AP155)</f>
        <v/>
      </c>
      <c r="AP155" s="24" t="str">
        <f t="shared" si="54"/>
        <v/>
      </c>
      <c r="AQ155" s="25" t="str">
        <f>IF(A155="","",IF(M155&lt;&gt;"",0,IF(OR(H155="",N155=""),"",MAX((E155*H155+SUMIFS(加仓管理!$H$2:$H$1001,加仓管理!$A$2:$A$1001,A155))-MAX(N155,AN155)*AP155,0))))</f>
        <v/>
      </c>
      <c r="AR155" s="25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21"/>
      <c r="B156" s="21"/>
      <c r="C156" s="7"/>
      <c r="D156" s="4"/>
      <c r="E156" s="7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1"/>
      <c r="I156" s="22"/>
      <c r="J156" s="7"/>
      <c r="K156" s="3"/>
      <c r="L156" s="6" t="str">
        <f t="shared" si="45"/>
        <v/>
      </c>
      <c r="M156" s="40"/>
      <c r="N156" s="7"/>
      <c r="O156" s="7"/>
      <c r="P156" s="3"/>
      <c r="Q156" s="21"/>
      <c r="R156" s="21"/>
      <c r="S156" s="21"/>
      <c r="T156" s="21"/>
      <c r="U156" s="5" t="str">
        <f t="shared" si="46"/>
        <v/>
      </c>
      <c r="V156" s="5" t="str">
        <f t="shared" si="47"/>
        <v/>
      </c>
      <c r="W156" s="23" t="str">
        <f t="shared" si="48"/>
        <v/>
      </c>
      <c r="X156" s="3" t="str">
        <f t="shared" si="49"/>
        <v/>
      </c>
      <c r="Y156" s="5" t="str">
        <f t="shared" si="50"/>
        <v/>
      </c>
      <c r="Z156" s="5" t="str">
        <f>IF(OR(AE156="",多次统计数据!$B$8=""),"",AE156-多次统计数据!$B$8)</f>
        <v/>
      </c>
      <c r="AA156" s="8" t="str">
        <f t="shared" si="51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1"/>
      <c r="AE156" s="5" t="str">
        <f t="shared" si="52"/>
        <v/>
      </c>
      <c r="AG156" s="21"/>
      <c r="AH156" s="21"/>
      <c r="AI156" s="21"/>
      <c r="AJ156" s="6" t="str">
        <f t="shared" si="53"/>
        <v/>
      </c>
      <c r="AK156" s="24" t="str">
        <f>IF(A156="","",COUNTIFS(加仓管理!$A$2:$A$1001,A156,加仓管理!$G$2:$G$1001,"&gt;0"))</f>
        <v/>
      </c>
      <c r="AL156" s="24" t="str">
        <f>IF(A156="","",SUMIFS(加仓管理!$G$2:$G$1001,加仓管理!$A$2:$A$1001,A156))</f>
        <v/>
      </c>
      <c r="AM156" s="25" t="str">
        <f>IF(AK156=0,"",IFERROR(LOOKUP(2,1/((加仓管理!$A$2:$A$1001=A156)*(加仓管理!$G$2:$G$1001&gt;0)),加仓管理!$D$2:$D$1001),""))</f>
        <v/>
      </c>
      <c r="AN156" s="25" t="str">
        <f>IF(AK156=0,"",IFERROR(LOOKUP(2,1/((加仓管理!$A$2:$A$1001=A156)*(加仓管理!$G$2:$G$1001&gt;0)),加仓管理!$E$2:$E$1001),""))</f>
        <v/>
      </c>
      <c r="AO156" s="25" t="str">
        <f>IF(OR(A156="",H156="",H156&lt;=0),"",(E156*H156+SUMIFS(加仓管理!$H$2:$H$1001,加仓管理!$A$2:$A$1001,A156))/AP156)</f>
        <v/>
      </c>
      <c r="AP156" s="24" t="str">
        <f t="shared" si="54"/>
        <v/>
      </c>
      <c r="AQ156" s="25" t="str">
        <f>IF(A156="","",IF(M156&lt;&gt;"",0,IF(OR(H156="",N156=""),"",MAX((E156*H156+SUMIFS(加仓管理!$H$2:$H$1001,加仓管理!$A$2:$A$1001,A156))-MAX(N156,AN156)*AP156,0))))</f>
        <v/>
      </c>
      <c r="AR156" s="25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21"/>
      <c r="B157" s="21"/>
      <c r="C157" s="7"/>
      <c r="D157" s="4"/>
      <c r="E157" s="7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1"/>
      <c r="I157" s="22"/>
      <c r="J157" s="7"/>
      <c r="K157" s="3"/>
      <c r="L157" s="6" t="str">
        <f t="shared" si="45"/>
        <v/>
      </c>
      <c r="M157" s="40"/>
      <c r="N157" s="7"/>
      <c r="O157" s="7"/>
      <c r="P157" s="3"/>
      <c r="Q157" s="21"/>
      <c r="R157" s="21"/>
      <c r="S157" s="21"/>
      <c r="T157" s="21"/>
      <c r="U157" s="5" t="str">
        <f t="shared" si="46"/>
        <v/>
      </c>
      <c r="V157" s="5" t="str">
        <f t="shared" si="47"/>
        <v/>
      </c>
      <c r="W157" s="23" t="str">
        <f t="shared" si="48"/>
        <v/>
      </c>
      <c r="X157" s="3" t="str">
        <f t="shared" si="49"/>
        <v/>
      </c>
      <c r="Y157" s="5" t="str">
        <f t="shared" si="50"/>
        <v/>
      </c>
      <c r="Z157" s="5" t="str">
        <f>IF(OR(AE157="",多次统计数据!$B$8=""),"",AE157-多次统计数据!$B$8)</f>
        <v/>
      </c>
      <c r="AA157" s="8" t="str">
        <f t="shared" si="51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1"/>
      <c r="AE157" s="5" t="str">
        <f t="shared" si="52"/>
        <v/>
      </c>
      <c r="AG157" s="21"/>
      <c r="AH157" s="21"/>
      <c r="AI157" s="21"/>
      <c r="AJ157" s="6" t="str">
        <f t="shared" si="53"/>
        <v/>
      </c>
      <c r="AK157" s="24" t="str">
        <f>IF(A157="","",COUNTIFS(加仓管理!$A$2:$A$1001,A157,加仓管理!$G$2:$G$1001,"&gt;0"))</f>
        <v/>
      </c>
      <c r="AL157" s="24" t="str">
        <f>IF(A157="","",SUMIFS(加仓管理!$G$2:$G$1001,加仓管理!$A$2:$A$1001,A157))</f>
        <v/>
      </c>
      <c r="AM157" s="25" t="str">
        <f>IF(AK157=0,"",IFERROR(LOOKUP(2,1/((加仓管理!$A$2:$A$1001=A157)*(加仓管理!$G$2:$G$1001&gt;0)),加仓管理!$D$2:$D$1001),""))</f>
        <v/>
      </c>
      <c r="AN157" s="25" t="str">
        <f>IF(AK157=0,"",IFERROR(LOOKUP(2,1/((加仓管理!$A$2:$A$1001=A157)*(加仓管理!$G$2:$G$1001&gt;0)),加仓管理!$E$2:$E$1001),""))</f>
        <v/>
      </c>
      <c r="AO157" s="25" t="str">
        <f>IF(OR(A157="",H157="",H157&lt;=0),"",(E157*H157+SUMIFS(加仓管理!$H$2:$H$1001,加仓管理!$A$2:$A$1001,A157))/AP157)</f>
        <v/>
      </c>
      <c r="AP157" s="24" t="str">
        <f t="shared" si="54"/>
        <v/>
      </c>
      <c r="AQ157" s="25" t="str">
        <f>IF(A157="","",IF(M157&lt;&gt;"",0,IF(OR(H157="",N157=""),"",MAX((E157*H157+SUMIFS(加仓管理!$H$2:$H$1001,加仓管理!$A$2:$A$1001,A157))-MAX(N157,AN157)*AP157,0))))</f>
        <v/>
      </c>
      <c r="AR157" s="25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21"/>
      <c r="B158" s="21"/>
      <c r="C158" s="7"/>
      <c r="D158" s="4"/>
      <c r="E158" s="7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1"/>
      <c r="I158" s="22"/>
      <c r="J158" s="7"/>
      <c r="K158" s="3"/>
      <c r="L158" s="6" t="str">
        <f t="shared" si="45"/>
        <v/>
      </c>
      <c r="M158" s="40"/>
      <c r="N158" s="7"/>
      <c r="O158" s="7"/>
      <c r="P158" s="3"/>
      <c r="Q158" s="21"/>
      <c r="R158" s="21"/>
      <c r="S158" s="21"/>
      <c r="T158" s="21"/>
      <c r="U158" s="5" t="str">
        <f t="shared" si="46"/>
        <v/>
      </c>
      <c r="V158" s="5" t="str">
        <f t="shared" si="47"/>
        <v/>
      </c>
      <c r="W158" s="23" t="str">
        <f t="shared" si="48"/>
        <v/>
      </c>
      <c r="X158" s="3" t="str">
        <f t="shared" si="49"/>
        <v/>
      </c>
      <c r="Y158" s="5" t="str">
        <f t="shared" si="50"/>
        <v/>
      </c>
      <c r="Z158" s="5" t="str">
        <f>IF(OR(AE158="",多次统计数据!$B$8=""),"",AE158-多次统计数据!$B$8)</f>
        <v/>
      </c>
      <c r="AA158" s="8" t="str">
        <f t="shared" si="51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1"/>
      <c r="AE158" s="5" t="str">
        <f t="shared" si="52"/>
        <v/>
      </c>
      <c r="AG158" s="21"/>
      <c r="AH158" s="21"/>
      <c r="AI158" s="21"/>
      <c r="AJ158" s="6" t="str">
        <f t="shared" si="53"/>
        <v/>
      </c>
      <c r="AK158" s="24" t="str">
        <f>IF(A158="","",COUNTIFS(加仓管理!$A$2:$A$1001,A158,加仓管理!$G$2:$G$1001,"&gt;0"))</f>
        <v/>
      </c>
      <c r="AL158" s="24" t="str">
        <f>IF(A158="","",SUMIFS(加仓管理!$G$2:$G$1001,加仓管理!$A$2:$A$1001,A158))</f>
        <v/>
      </c>
      <c r="AM158" s="25" t="str">
        <f>IF(AK158=0,"",IFERROR(LOOKUP(2,1/((加仓管理!$A$2:$A$1001=A158)*(加仓管理!$G$2:$G$1001&gt;0)),加仓管理!$D$2:$D$1001),""))</f>
        <v/>
      </c>
      <c r="AN158" s="25" t="str">
        <f>IF(AK158=0,"",IFERROR(LOOKUP(2,1/((加仓管理!$A$2:$A$1001=A158)*(加仓管理!$G$2:$G$1001&gt;0)),加仓管理!$E$2:$E$1001),""))</f>
        <v/>
      </c>
      <c r="AO158" s="25" t="str">
        <f>IF(OR(A158="",H158="",H158&lt;=0),"",(E158*H158+SUMIFS(加仓管理!$H$2:$H$1001,加仓管理!$A$2:$A$1001,A158))/AP158)</f>
        <v/>
      </c>
      <c r="AP158" s="24" t="str">
        <f t="shared" si="54"/>
        <v/>
      </c>
      <c r="AQ158" s="25" t="str">
        <f>IF(A158="","",IF(M158&lt;&gt;"",0,IF(OR(H158="",N158=""),"",MAX((E158*H158+SUMIFS(加仓管理!$H$2:$H$1001,加仓管理!$A$2:$A$1001,A158))-MAX(N158,AN158)*AP158,0))))</f>
        <v/>
      </c>
      <c r="AR158" s="25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21"/>
      <c r="B159" s="21"/>
      <c r="C159" s="7"/>
      <c r="D159" s="4"/>
      <c r="E159" s="7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1"/>
      <c r="I159" s="22"/>
      <c r="J159" s="7"/>
      <c r="K159" s="3"/>
      <c r="L159" s="6" t="str">
        <f t="shared" si="45"/>
        <v/>
      </c>
      <c r="M159" s="40"/>
      <c r="N159" s="7"/>
      <c r="O159" s="7"/>
      <c r="P159" s="3"/>
      <c r="Q159" s="21"/>
      <c r="R159" s="21"/>
      <c r="S159" s="21"/>
      <c r="T159" s="21"/>
      <c r="U159" s="5" t="str">
        <f t="shared" si="46"/>
        <v/>
      </c>
      <c r="V159" s="5" t="str">
        <f t="shared" si="47"/>
        <v/>
      </c>
      <c r="W159" s="23" t="str">
        <f t="shared" si="48"/>
        <v/>
      </c>
      <c r="X159" s="3" t="str">
        <f t="shared" si="49"/>
        <v/>
      </c>
      <c r="Y159" s="5" t="str">
        <f t="shared" si="50"/>
        <v/>
      </c>
      <c r="Z159" s="5" t="str">
        <f>IF(OR(AE159="",多次统计数据!$B$8=""),"",AE159-多次统计数据!$B$8)</f>
        <v/>
      </c>
      <c r="AA159" s="8" t="str">
        <f t="shared" si="51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1"/>
      <c r="AE159" s="5" t="str">
        <f t="shared" si="52"/>
        <v/>
      </c>
      <c r="AG159" s="21"/>
      <c r="AH159" s="21"/>
      <c r="AI159" s="21"/>
      <c r="AJ159" s="6" t="str">
        <f t="shared" si="53"/>
        <v/>
      </c>
      <c r="AK159" s="24" t="str">
        <f>IF(A159="","",COUNTIFS(加仓管理!$A$2:$A$1001,A159,加仓管理!$G$2:$G$1001,"&gt;0"))</f>
        <v/>
      </c>
      <c r="AL159" s="24" t="str">
        <f>IF(A159="","",SUMIFS(加仓管理!$G$2:$G$1001,加仓管理!$A$2:$A$1001,A159))</f>
        <v/>
      </c>
      <c r="AM159" s="25" t="str">
        <f>IF(AK159=0,"",IFERROR(LOOKUP(2,1/((加仓管理!$A$2:$A$1001=A159)*(加仓管理!$G$2:$G$1001&gt;0)),加仓管理!$D$2:$D$1001),""))</f>
        <v/>
      </c>
      <c r="AN159" s="25" t="str">
        <f>IF(AK159=0,"",IFERROR(LOOKUP(2,1/((加仓管理!$A$2:$A$1001=A159)*(加仓管理!$G$2:$G$1001&gt;0)),加仓管理!$E$2:$E$1001),""))</f>
        <v/>
      </c>
      <c r="AO159" s="25" t="str">
        <f>IF(OR(A159="",H159="",H159&lt;=0),"",(E159*H159+SUMIFS(加仓管理!$H$2:$H$1001,加仓管理!$A$2:$A$1001,A159))/AP159)</f>
        <v/>
      </c>
      <c r="AP159" s="24" t="str">
        <f t="shared" si="54"/>
        <v/>
      </c>
      <c r="AQ159" s="25" t="str">
        <f>IF(A159="","",IF(M159&lt;&gt;"",0,IF(OR(H159="",N159=""),"",MAX((E159*H159+SUMIFS(加仓管理!$H$2:$H$1001,加仓管理!$A$2:$A$1001,A159))-MAX(N159,AN159)*AP159,0))))</f>
        <v/>
      </c>
      <c r="AR159" s="25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21"/>
      <c r="B160" s="21"/>
      <c r="C160" s="7"/>
      <c r="D160" s="4"/>
      <c r="E160" s="7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1"/>
      <c r="I160" s="22"/>
      <c r="J160" s="7"/>
      <c r="K160" s="3"/>
      <c r="L160" s="6" t="str">
        <f t="shared" si="45"/>
        <v/>
      </c>
      <c r="M160" s="40"/>
      <c r="N160" s="7"/>
      <c r="O160" s="7"/>
      <c r="P160" s="3"/>
      <c r="Q160" s="21"/>
      <c r="R160" s="21"/>
      <c r="S160" s="21"/>
      <c r="T160" s="21"/>
      <c r="U160" s="5" t="str">
        <f t="shared" si="46"/>
        <v/>
      </c>
      <c r="V160" s="5" t="str">
        <f t="shared" si="47"/>
        <v/>
      </c>
      <c r="W160" s="23" t="str">
        <f t="shared" si="48"/>
        <v/>
      </c>
      <c r="X160" s="3" t="str">
        <f t="shared" si="49"/>
        <v/>
      </c>
      <c r="Y160" s="5" t="str">
        <f t="shared" si="50"/>
        <v/>
      </c>
      <c r="Z160" s="5" t="str">
        <f>IF(OR(AE160="",多次统计数据!$B$8=""),"",AE160-多次统计数据!$B$8)</f>
        <v/>
      </c>
      <c r="AA160" s="8" t="str">
        <f t="shared" si="51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1"/>
      <c r="AE160" s="5" t="str">
        <f t="shared" si="52"/>
        <v/>
      </c>
      <c r="AG160" s="21"/>
      <c r="AH160" s="21"/>
      <c r="AI160" s="21"/>
      <c r="AJ160" s="6" t="str">
        <f t="shared" si="53"/>
        <v/>
      </c>
      <c r="AK160" s="24" t="str">
        <f>IF(A160="","",COUNTIFS(加仓管理!$A$2:$A$1001,A160,加仓管理!$G$2:$G$1001,"&gt;0"))</f>
        <v/>
      </c>
      <c r="AL160" s="24" t="str">
        <f>IF(A160="","",SUMIFS(加仓管理!$G$2:$G$1001,加仓管理!$A$2:$A$1001,A160))</f>
        <v/>
      </c>
      <c r="AM160" s="25" t="str">
        <f>IF(AK160=0,"",IFERROR(LOOKUP(2,1/((加仓管理!$A$2:$A$1001=A160)*(加仓管理!$G$2:$G$1001&gt;0)),加仓管理!$D$2:$D$1001),""))</f>
        <v/>
      </c>
      <c r="AN160" s="25" t="str">
        <f>IF(AK160=0,"",IFERROR(LOOKUP(2,1/((加仓管理!$A$2:$A$1001=A160)*(加仓管理!$G$2:$G$1001&gt;0)),加仓管理!$E$2:$E$1001),""))</f>
        <v/>
      </c>
      <c r="AO160" s="25" t="str">
        <f>IF(OR(A160="",H160="",H160&lt;=0),"",(E160*H160+SUMIFS(加仓管理!$H$2:$H$1001,加仓管理!$A$2:$A$1001,A160))/AP160)</f>
        <v/>
      </c>
      <c r="AP160" s="24" t="str">
        <f t="shared" si="54"/>
        <v/>
      </c>
      <c r="AQ160" s="25" t="str">
        <f>IF(A160="","",IF(M160&lt;&gt;"",0,IF(OR(H160="",N160=""),"",MAX((E160*H160+SUMIFS(加仓管理!$H$2:$H$1001,加仓管理!$A$2:$A$1001,A160))-MAX(N160,AN160)*AP160,0))))</f>
        <v/>
      </c>
      <c r="AR160" s="25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21"/>
      <c r="B161" s="21"/>
      <c r="C161" s="7"/>
      <c r="D161" s="4"/>
      <c r="E161" s="7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1"/>
      <c r="I161" s="22"/>
      <c r="J161" s="7"/>
      <c r="K161" s="3"/>
      <c r="L161" s="6" t="str">
        <f t="shared" si="45"/>
        <v/>
      </c>
      <c r="M161" s="40"/>
      <c r="N161" s="7"/>
      <c r="O161" s="7"/>
      <c r="P161" s="3"/>
      <c r="Q161" s="21"/>
      <c r="R161" s="21"/>
      <c r="S161" s="21"/>
      <c r="T161" s="21"/>
      <c r="U161" s="5" t="str">
        <f t="shared" si="46"/>
        <v/>
      </c>
      <c r="V161" s="5" t="str">
        <f t="shared" si="47"/>
        <v/>
      </c>
      <c r="W161" s="23" t="str">
        <f t="shared" si="48"/>
        <v/>
      </c>
      <c r="X161" s="3" t="str">
        <f t="shared" si="49"/>
        <v/>
      </c>
      <c r="Y161" s="5" t="str">
        <f t="shared" si="50"/>
        <v/>
      </c>
      <c r="Z161" s="5" t="str">
        <f>IF(OR(AE161="",多次统计数据!$B$8=""),"",AE161-多次统计数据!$B$8)</f>
        <v/>
      </c>
      <c r="AA161" s="8" t="str">
        <f t="shared" si="51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1"/>
      <c r="AE161" s="5" t="str">
        <f t="shared" si="52"/>
        <v/>
      </c>
      <c r="AG161" s="21"/>
      <c r="AH161" s="21"/>
      <c r="AI161" s="21"/>
      <c r="AJ161" s="6" t="str">
        <f t="shared" si="53"/>
        <v/>
      </c>
      <c r="AK161" s="24" t="str">
        <f>IF(A161="","",COUNTIFS(加仓管理!$A$2:$A$1001,A161,加仓管理!$G$2:$G$1001,"&gt;0"))</f>
        <v/>
      </c>
      <c r="AL161" s="24" t="str">
        <f>IF(A161="","",SUMIFS(加仓管理!$G$2:$G$1001,加仓管理!$A$2:$A$1001,A161))</f>
        <v/>
      </c>
      <c r="AM161" s="25" t="str">
        <f>IF(AK161=0,"",IFERROR(LOOKUP(2,1/((加仓管理!$A$2:$A$1001=A161)*(加仓管理!$G$2:$G$1001&gt;0)),加仓管理!$D$2:$D$1001),""))</f>
        <v/>
      </c>
      <c r="AN161" s="25" t="str">
        <f>IF(AK161=0,"",IFERROR(LOOKUP(2,1/((加仓管理!$A$2:$A$1001=A161)*(加仓管理!$G$2:$G$1001&gt;0)),加仓管理!$E$2:$E$1001),""))</f>
        <v/>
      </c>
      <c r="AO161" s="25" t="str">
        <f>IF(OR(A161="",H161="",H161&lt;=0),"",(E161*H161+SUMIFS(加仓管理!$H$2:$H$1001,加仓管理!$A$2:$A$1001,A161))/AP161)</f>
        <v/>
      </c>
      <c r="AP161" s="24" t="str">
        <f t="shared" si="54"/>
        <v/>
      </c>
      <c r="AQ161" s="25" t="str">
        <f>IF(A161="","",IF(M161&lt;&gt;"",0,IF(OR(H161="",N161=""),"",MAX((E161*H161+SUMIFS(加仓管理!$H$2:$H$1001,加仓管理!$A$2:$A$1001,A161))-MAX(N161,AN161)*AP161,0))))</f>
        <v/>
      </c>
      <c r="AR161" s="25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21"/>
      <c r="B162" s="21"/>
      <c r="C162" s="7"/>
      <c r="D162" s="4"/>
      <c r="E162" s="7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1"/>
      <c r="I162" s="22"/>
      <c r="J162" s="7"/>
      <c r="K162" s="3"/>
      <c r="L162" s="6" t="str">
        <f t="shared" ref="L162:L193" si="56">IF(AP162="","",AP162)</f>
        <v/>
      </c>
      <c r="M162" s="40"/>
      <c r="N162" s="7"/>
      <c r="O162" s="7"/>
      <c r="P162" s="3"/>
      <c r="Q162" s="21"/>
      <c r="R162" s="21"/>
      <c r="S162" s="21"/>
      <c r="T162" s="21"/>
      <c r="U162" s="5" t="str">
        <f t="shared" ref="U162:U193" si="57">IF(OR(AO162="",J162="",AO162&lt;=0),"",(J162-AO162)/AO162)</f>
        <v/>
      </c>
      <c r="V162" s="5" t="str">
        <f t="shared" ref="V162:V193" si="58">IF(OR(AO162="",N162="",AO162&lt;=0),"",(AO162-N162)/AO162)</f>
        <v/>
      </c>
      <c r="W162" s="23" t="str">
        <f t="shared" ref="W162:W193" si="59">IF(OR(U162="",V162="",V162&lt;=0),"",U162/V162)</f>
        <v/>
      </c>
      <c r="X162" s="3" t="str">
        <f t="shared" ref="X162:X193" si="60">IF(OR(K162="",L162="",AO162="",AP162=""),"",(K162-AO162)*L162-IF(O162="",0,O162)-IF(P162="",0,P162))</f>
        <v/>
      </c>
      <c r="Y162" s="5" t="str">
        <f t="shared" ref="Y162:Y193" si="61">IF(OR(X162="",AO162="",L162=""),"",IF(AO162*L162+IF(O162="",0,O162)&lt;=0,"",X162/(AO162*L162+IF(O162="",0,O162))))</f>
        <v/>
      </c>
      <c r="Z162" s="5" t="str">
        <f>IF(OR(AE162="",多次统计数据!$B$8=""),"",AE162-多次统计数据!$B$8)</f>
        <v/>
      </c>
      <c r="AA162" s="8" t="str">
        <f t="shared" ref="AA162:AA193" si="62">IF(OR(I162="",M162="",M162&lt;I162),"",M162-I162)</f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1"/>
      <c r="AE162" s="5" t="str">
        <f t="shared" ref="AE162:AE193" si="63">IF(OR(X162="",C162="",C162&lt;=0),"",X162/C162)</f>
        <v/>
      </c>
      <c r="AG162" s="21"/>
      <c r="AH162" s="21"/>
      <c r="AI162" s="21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24" t="str">
        <f>IF(A162="","",COUNTIFS(加仓管理!$A$2:$A$1001,A162,加仓管理!$G$2:$G$1001,"&gt;0"))</f>
        <v/>
      </c>
      <c r="AL162" s="24" t="str">
        <f>IF(A162="","",SUMIFS(加仓管理!$G$2:$G$1001,加仓管理!$A$2:$A$1001,A162))</f>
        <v/>
      </c>
      <c r="AM162" s="25" t="str">
        <f>IF(AK162=0,"",IFERROR(LOOKUP(2,1/((加仓管理!$A$2:$A$1001=A162)*(加仓管理!$G$2:$G$1001&gt;0)),加仓管理!$D$2:$D$1001),""))</f>
        <v/>
      </c>
      <c r="AN162" s="25" t="str">
        <f>IF(AK162=0,"",IFERROR(LOOKUP(2,1/((加仓管理!$A$2:$A$1001=A162)*(加仓管理!$G$2:$G$1001&gt;0)),加仓管理!$E$2:$E$1001),""))</f>
        <v/>
      </c>
      <c r="AO162" s="25" t="str">
        <f>IF(OR(A162="",H162="",H162&lt;=0),"",(E162*H162+SUMIFS(加仓管理!$H$2:$H$1001,加仓管理!$A$2:$A$1001,A162))/AP162)</f>
        <v/>
      </c>
      <c r="AP162" s="24" t="str">
        <f t="shared" ref="AP162:AP193" si="65">IF(OR(A162="",H162="",H162&lt;=0),"",H162+AL162)</f>
        <v/>
      </c>
      <c r="AQ162" s="25" t="str">
        <f>IF(A162="","",IF(M162&lt;&gt;"",0,IF(OR(H162="",N162=""),"",MAX((E162*H162+SUMIFS(加仓管理!$H$2:$H$1001,加仓管理!$A$2:$A$1001,A162))-MAX(N162,AN162)*AP162,0))))</f>
        <v/>
      </c>
      <c r="AR162" s="25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21"/>
      <c r="B163" s="21"/>
      <c r="C163" s="7"/>
      <c r="D163" s="4"/>
      <c r="E163" s="7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1"/>
      <c r="I163" s="22"/>
      <c r="J163" s="7"/>
      <c r="K163" s="3"/>
      <c r="L163" s="6" t="str">
        <f t="shared" si="56"/>
        <v/>
      </c>
      <c r="M163" s="40"/>
      <c r="N163" s="7"/>
      <c r="O163" s="7"/>
      <c r="P163" s="3"/>
      <c r="Q163" s="21"/>
      <c r="R163" s="21"/>
      <c r="S163" s="21"/>
      <c r="T163" s="21"/>
      <c r="U163" s="5" t="str">
        <f t="shared" si="57"/>
        <v/>
      </c>
      <c r="V163" s="5" t="str">
        <f t="shared" si="58"/>
        <v/>
      </c>
      <c r="W163" s="23" t="str">
        <f t="shared" si="59"/>
        <v/>
      </c>
      <c r="X163" s="3" t="str">
        <f t="shared" si="60"/>
        <v/>
      </c>
      <c r="Y163" s="5" t="str">
        <f t="shared" si="61"/>
        <v/>
      </c>
      <c r="Z163" s="5" t="str">
        <f>IF(OR(AE163="",多次统计数据!$B$8=""),"",AE163-多次统计数据!$B$8)</f>
        <v/>
      </c>
      <c r="AA163" s="8" t="str">
        <f t="shared" si="62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1"/>
      <c r="AE163" s="5" t="str">
        <f t="shared" si="63"/>
        <v/>
      </c>
      <c r="AG163" s="21"/>
      <c r="AH163" s="21"/>
      <c r="AI163" s="21"/>
      <c r="AJ163" s="6" t="str">
        <f t="shared" si="64"/>
        <v/>
      </c>
      <c r="AK163" s="24" t="str">
        <f>IF(A163="","",COUNTIFS(加仓管理!$A$2:$A$1001,A163,加仓管理!$G$2:$G$1001,"&gt;0"))</f>
        <v/>
      </c>
      <c r="AL163" s="24" t="str">
        <f>IF(A163="","",SUMIFS(加仓管理!$G$2:$G$1001,加仓管理!$A$2:$A$1001,A163))</f>
        <v/>
      </c>
      <c r="AM163" s="25" t="str">
        <f>IF(AK163=0,"",IFERROR(LOOKUP(2,1/((加仓管理!$A$2:$A$1001=A163)*(加仓管理!$G$2:$G$1001&gt;0)),加仓管理!$D$2:$D$1001),""))</f>
        <v/>
      </c>
      <c r="AN163" s="25" t="str">
        <f>IF(AK163=0,"",IFERROR(LOOKUP(2,1/((加仓管理!$A$2:$A$1001=A163)*(加仓管理!$G$2:$G$1001&gt;0)),加仓管理!$E$2:$E$1001),""))</f>
        <v/>
      </c>
      <c r="AO163" s="25" t="str">
        <f>IF(OR(A163="",H163="",H163&lt;=0),"",(E163*H163+SUMIFS(加仓管理!$H$2:$H$1001,加仓管理!$A$2:$A$1001,A163))/AP163)</f>
        <v/>
      </c>
      <c r="AP163" s="24" t="str">
        <f t="shared" si="65"/>
        <v/>
      </c>
      <c r="AQ163" s="25" t="str">
        <f>IF(A163="","",IF(M163&lt;&gt;"",0,IF(OR(H163="",N163=""),"",MAX((E163*H163+SUMIFS(加仓管理!$H$2:$H$1001,加仓管理!$A$2:$A$1001,A163))-MAX(N163,AN163)*AP163,0))))</f>
        <v/>
      </c>
      <c r="AR163" s="25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21"/>
      <c r="B164" s="21"/>
      <c r="C164" s="7"/>
      <c r="D164" s="4"/>
      <c r="E164" s="7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1"/>
      <c r="I164" s="22"/>
      <c r="J164" s="7"/>
      <c r="K164" s="3"/>
      <c r="L164" s="6" t="str">
        <f t="shared" si="56"/>
        <v/>
      </c>
      <c r="M164" s="40"/>
      <c r="N164" s="7"/>
      <c r="O164" s="7"/>
      <c r="P164" s="3"/>
      <c r="Q164" s="21"/>
      <c r="R164" s="21"/>
      <c r="S164" s="21"/>
      <c r="T164" s="21"/>
      <c r="U164" s="5" t="str">
        <f t="shared" si="57"/>
        <v/>
      </c>
      <c r="V164" s="5" t="str">
        <f t="shared" si="58"/>
        <v/>
      </c>
      <c r="W164" s="23" t="str">
        <f t="shared" si="59"/>
        <v/>
      </c>
      <c r="X164" s="3" t="str">
        <f t="shared" si="60"/>
        <v/>
      </c>
      <c r="Y164" s="5" t="str">
        <f t="shared" si="61"/>
        <v/>
      </c>
      <c r="Z164" s="5" t="str">
        <f>IF(OR(AE164="",多次统计数据!$B$8=""),"",AE164-多次统计数据!$B$8)</f>
        <v/>
      </c>
      <c r="AA164" s="8" t="str">
        <f t="shared" si="62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1"/>
      <c r="AE164" s="5" t="str">
        <f t="shared" si="63"/>
        <v/>
      </c>
      <c r="AG164" s="21"/>
      <c r="AH164" s="21"/>
      <c r="AI164" s="21"/>
      <c r="AJ164" s="6" t="str">
        <f t="shared" si="64"/>
        <v/>
      </c>
      <c r="AK164" s="24" t="str">
        <f>IF(A164="","",COUNTIFS(加仓管理!$A$2:$A$1001,A164,加仓管理!$G$2:$G$1001,"&gt;0"))</f>
        <v/>
      </c>
      <c r="AL164" s="24" t="str">
        <f>IF(A164="","",SUMIFS(加仓管理!$G$2:$G$1001,加仓管理!$A$2:$A$1001,A164))</f>
        <v/>
      </c>
      <c r="AM164" s="25" t="str">
        <f>IF(AK164=0,"",IFERROR(LOOKUP(2,1/((加仓管理!$A$2:$A$1001=A164)*(加仓管理!$G$2:$G$1001&gt;0)),加仓管理!$D$2:$D$1001),""))</f>
        <v/>
      </c>
      <c r="AN164" s="25" t="str">
        <f>IF(AK164=0,"",IFERROR(LOOKUP(2,1/((加仓管理!$A$2:$A$1001=A164)*(加仓管理!$G$2:$G$1001&gt;0)),加仓管理!$E$2:$E$1001),""))</f>
        <v/>
      </c>
      <c r="AO164" s="25" t="str">
        <f>IF(OR(A164="",H164="",H164&lt;=0),"",(E164*H164+SUMIFS(加仓管理!$H$2:$H$1001,加仓管理!$A$2:$A$1001,A164))/AP164)</f>
        <v/>
      </c>
      <c r="AP164" s="24" t="str">
        <f t="shared" si="65"/>
        <v/>
      </c>
      <c r="AQ164" s="25" t="str">
        <f>IF(A164="","",IF(M164&lt;&gt;"",0,IF(OR(H164="",N164=""),"",MAX((E164*H164+SUMIFS(加仓管理!$H$2:$H$1001,加仓管理!$A$2:$A$1001,A164))-MAX(N164,AN164)*AP164,0))))</f>
        <v/>
      </c>
      <c r="AR164" s="25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21"/>
      <c r="B165" s="21"/>
      <c r="C165" s="7"/>
      <c r="D165" s="4"/>
      <c r="E165" s="7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1"/>
      <c r="I165" s="22"/>
      <c r="J165" s="7"/>
      <c r="K165" s="3"/>
      <c r="L165" s="6" t="str">
        <f t="shared" si="56"/>
        <v/>
      </c>
      <c r="M165" s="40"/>
      <c r="N165" s="7"/>
      <c r="O165" s="7"/>
      <c r="P165" s="3"/>
      <c r="Q165" s="21"/>
      <c r="R165" s="21"/>
      <c r="S165" s="21"/>
      <c r="T165" s="21"/>
      <c r="U165" s="5" t="str">
        <f t="shared" si="57"/>
        <v/>
      </c>
      <c r="V165" s="5" t="str">
        <f t="shared" si="58"/>
        <v/>
      </c>
      <c r="W165" s="23" t="str">
        <f t="shared" si="59"/>
        <v/>
      </c>
      <c r="X165" s="3" t="str">
        <f t="shared" si="60"/>
        <v/>
      </c>
      <c r="Y165" s="5" t="str">
        <f t="shared" si="61"/>
        <v/>
      </c>
      <c r="Z165" s="5" t="str">
        <f>IF(OR(AE165="",多次统计数据!$B$8=""),"",AE165-多次统计数据!$B$8)</f>
        <v/>
      </c>
      <c r="AA165" s="8" t="str">
        <f t="shared" si="62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1"/>
      <c r="AE165" s="5" t="str">
        <f t="shared" si="63"/>
        <v/>
      </c>
      <c r="AG165" s="21"/>
      <c r="AH165" s="21"/>
      <c r="AI165" s="21"/>
      <c r="AJ165" s="6" t="str">
        <f t="shared" si="64"/>
        <v/>
      </c>
      <c r="AK165" s="24" t="str">
        <f>IF(A165="","",COUNTIFS(加仓管理!$A$2:$A$1001,A165,加仓管理!$G$2:$G$1001,"&gt;0"))</f>
        <v/>
      </c>
      <c r="AL165" s="24" t="str">
        <f>IF(A165="","",SUMIFS(加仓管理!$G$2:$G$1001,加仓管理!$A$2:$A$1001,A165))</f>
        <v/>
      </c>
      <c r="AM165" s="25" t="str">
        <f>IF(AK165=0,"",IFERROR(LOOKUP(2,1/((加仓管理!$A$2:$A$1001=A165)*(加仓管理!$G$2:$G$1001&gt;0)),加仓管理!$D$2:$D$1001),""))</f>
        <v/>
      </c>
      <c r="AN165" s="25" t="str">
        <f>IF(AK165=0,"",IFERROR(LOOKUP(2,1/((加仓管理!$A$2:$A$1001=A165)*(加仓管理!$G$2:$G$1001&gt;0)),加仓管理!$E$2:$E$1001),""))</f>
        <v/>
      </c>
      <c r="AO165" s="25" t="str">
        <f>IF(OR(A165="",H165="",H165&lt;=0),"",(E165*H165+SUMIFS(加仓管理!$H$2:$H$1001,加仓管理!$A$2:$A$1001,A165))/AP165)</f>
        <v/>
      </c>
      <c r="AP165" s="24" t="str">
        <f t="shared" si="65"/>
        <v/>
      </c>
      <c r="AQ165" s="25" t="str">
        <f>IF(A165="","",IF(M165&lt;&gt;"",0,IF(OR(H165="",N165=""),"",MAX((E165*H165+SUMIFS(加仓管理!$H$2:$H$1001,加仓管理!$A$2:$A$1001,A165))-MAX(N165,AN165)*AP165,0))))</f>
        <v/>
      </c>
      <c r="AR165" s="25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21"/>
      <c r="B166" s="21"/>
      <c r="C166" s="7"/>
      <c r="D166" s="4"/>
      <c r="E166" s="7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1"/>
      <c r="I166" s="22"/>
      <c r="J166" s="7"/>
      <c r="K166" s="3"/>
      <c r="L166" s="6" t="str">
        <f t="shared" si="56"/>
        <v/>
      </c>
      <c r="M166" s="40"/>
      <c r="N166" s="7"/>
      <c r="O166" s="7"/>
      <c r="P166" s="3"/>
      <c r="Q166" s="21"/>
      <c r="R166" s="21"/>
      <c r="S166" s="21"/>
      <c r="T166" s="21"/>
      <c r="U166" s="5" t="str">
        <f t="shared" si="57"/>
        <v/>
      </c>
      <c r="V166" s="5" t="str">
        <f t="shared" si="58"/>
        <v/>
      </c>
      <c r="W166" s="23" t="str">
        <f t="shared" si="59"/>
        <v/>
      </c>
      <c r="X166" s="3" t="str">
        <f t="shared" si="60"/>
        <v/>
      </c>
      <c r="Y166" s="5" t="str">
        <f t="shared" si="61"/>
        <v/>
      </c>
      <c r="Z166" s="5" t="str">
        <f>IF(OR(AE166="",多次统计数据!$B$8=""),"",AE166-多次统计数据!$B$8)</f>
        <v/>
      </c>
      <c r="AA166" s="8" t="str">
        <f t="shared" si="62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1"/>
      <c r="AE166" s="5" t="str">
        <f t="shared" si="63"/>
        <v/>
      </c>
      <c r="AG166" s="21"/>
      <c r="AH166" s="21"/>
      <c r="AI166" s="21"/>
      <c r="AJ166" s="6" t="str">
        <f t="shared" si="64"/>
        <v/>
      </c>
      <c r="AK166" s="24" t="str">
        <f>IF(A166="","",COUNTIFS(加仓管理!$A$2:$A$1001,A166,加仓管理!$G$2:$G$1001,"&gt;0"))</f>
        <v/>
      </c>
      <c r="AL166" s="24" t="str">
        <f>IF(A166="","",SUMIFS(加仓管理!$G$2:$G$1001,加仓管理!$A$2:$A$1001,A166))</f>
        <v/>
      </c>
      <c r="AM166" s="25" t="str">
        <f>IF(AK166=0,"",IFERROR(LOOKUP(2,1/((加仓管理!$A$2:$A$1001=A166)*(加仓管理!$G$2:$G$1001&gt;0)),加仓管理!$D$2:$D$1001),""))</f>
        <v/>
      </c>
      <c r="AN166" s="25" t="str">
        <f>IF(AK166=0,"",IFERROR(LOOKUP(2,1/((加仓管理!$A$2:$A$1001=A166)*(加仓管理!$G$2:$G$1001&gt;0)),加仓管理!$E$2:$E$1001),""))</f>
        <v/>
      </c>
      <c r="AO166" s="25" t="str">
        <f>IF(OR(A166="",H166="",H166&lt;=0),"",(E166*H166+SUMIFS(加仓管理!$H$2:$H$1001,加仓管理!$A$2:$A$1001,A166))/AP166)</f>
        <v/>
      </c>
      <c r="AP166" s="24" t="str">
        <f t="shared" si="65"/>
        <v/>
      </c>
      <c r="AQ166" s="25" t="str">
        <f>IF(A166="","",IF(M166&lt;&gt;"",0,IF(OR(H166="",N166=""),"",MAX((E166*H166+SUMIFS(加仓管理!$H$2:$H$1001,加仓管理!$A$2:$A$1001,A166))-MAX(N166,AN166)*AP166,0))))</f>
        <v/>
      </c>
      <c r="AR166" s="25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21"/>
      <c r="B167" s="21"/>
      <c r="C167" s="7"/>
      <c r="D167" s="4"/>
      <c r="E167" s="7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1"/>
      <c r="I167" s="22"/>
      <c r="J167" s="7"/>
      <c r="K167" s="3"/>
      <c r="L167" s="6" t="str">
        <f t="shared" si="56"/>
        <v/>
      </c>
      <c r="M167" s="40"/>
      <c r="N167" s="7"/>
      <c r="O167" s="7"/>
      <c r="P167" s="3"/>
      <c r="Q167" s="21"/>
      <c r="R167" s="21"/>
      <c r="S167" s="21"/>
      <c r="T167" s="21"/>
      <c r="U167" s="5" t="str">
        <f t="shared" si="57"/>
        <v/>
      </c>
      <c r="V167" s="5" t="str">
        <f t="shared" si="58"/>
        <v/>
      </c>
      <c r="W167" s="23" t="str">
        <f t="shared" si="59"/>
        <v/>
      </c>
      <c r="X167" s="3" t="str">
        <f t="shared" si="60"/>
        <v/>
      </c>
      <c r="Y167" s="5" t="str">
        <f t="shared" si="61"/>
        <v/>
      </c>
      <c r="Z167" s="5" t="str">
        <f>IF(OR(AE167="",多次统计数据!$B$8=""),"",AE167-多次统计数据!$B$8)</f>
        <v/>
      </c>
      <c r="AA167" s="8" t="str">
        <f t="shared" si="62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1"/>
      <c r="AE167" s="5" t="str">
        <f t="shared" si="63"/>
        <v/>
      </c>
      <c r="AG167" s="21"/>
      <c r="AH167" s="21"/>
      <c r="AI167" s="21"/>
      <c r="AJ167" s="6" t="str">
        <f t="shared" si="64"/>
        <v/>
      </c>
      <c r="AK167" s="24" t="str">
        <f>IF(A167="","",COUNTIFS(加仓管理!$A$2:$A$1001,A167,加仓管理!$G$2:$G$1001,"&gt;0"))</f>
        <v/>
      </c>
      <c r="AL167" s="24" t="str">
        <f>IF(A167="","",SUMIFS(加仓管理!$G$2:$G$1001,加仓管理!$A$2:$A$1001,A167))</f>
        <v/>
      </c>
      <c r="AM167" s="25" t="str">
        <f>IF(AK167=0,"",IFERROR(LOOKUP(2,1/((加仓管理!$A$2:$A$1001=A167)*(加仓管理!$G$2:$G$1001&gt;0)),加仓管理!$D$2:$D$1001),""))</f>
        <v/>
      </c>
      <c r="AN167" s="25" t="str">
        <f>IF(AK167=0,"",IFERROR(LOOKUP(2,1/((加仓管理!$A$2:$A$1001=A167)*(加仓管理!$G$2:$G$1001&gt;0)),加仓管理!$E$2:$E$1001),""))</f>
        <v/>
      </c>
      <c r="AO167" s="25" t="str">
        <f>IF(OR(A167="",H167="",H167&lt;=0),"",(E167*H167+SUMIFS(加仓管理!$H$2:$H$1001,加仓管理!$A$2:$A$1001,A167))/AP167)</f>
        <v/>
      </c>
      <c r="AP167" s="24" t="str">
        <f t="shared" si="65"/>
        <v/>
      </c>
      <c r="AQ167" s="25" t="str">
        <f>IF(A167="","",IF(M167&lt;&gt;"",0,IF(OR(H167="",N167=""),"",MAX((E167*H167+SUMIFS(加仓管理!$H$2:$H$1001,加仓管理!$A$2:$A$1001,A167))-MAX(N167,AN167)*AP167,0))))</f>
        <v/>
      </c>
      <c r="AR167" s="25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21"/>
      <c r="B168" s="21"/>
      <c r="C168" s="7"/>
      <c r="D168" s="4"/>
      <c r="E168" s="7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1"/>
      <c r="I168" s="22"/>
      <c r="J168" s="7"/>
      <c r="K168" s="3"/>
      <c r="L168" s="6" t="str">
        <f t="shared" si="56"/>
        <v/>
      </c>
      <c r="M168" s="40"/>
      <c r="N168" s="7"/>
      <c r="O168" s="7"/>
      <c r="P168" s="3"/>
      <c r="Q168" s="21"/>
      <c r="R168" s="21"/>
      <c r="S168" s="21"/>
      <c r="T168" s="21"/>
      <c r="U168" s="5" t="str">
        <f t="shared" si="57"/>
        <v/>
      </c>
      <c r="V168" s="5" t="str">
        <f t="shared" si="58"/>
        <v/>
      </c>
      <c r="W168" s="23" t="str">
        <f t="shared" si="59"/>
        <v/>
      </c>
      <c r="X168" s="3" t="str">
        <f t="shared" si="60"/>
        <v/>
      </c>
      <c r="Y168" s="5" t="str">
        <f t="shared" si="61"/>
        <v/>
      </c>
      <c r="Z168" s="5" t="str">
        <f>IF(OR(AE168="",多次统计数据!$B$8=""),"",AE168-多次统计数据!$B$8)</f>
        <v/>
      </c>
      <c r="AA168" s="8" t="str">
        <f t="shared" si="62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1"/>
      <c r="AE168" s="5" t="str">
        <f t="shared" si="63"/>
        <v/>
      </c>
      <c r="AG168" s="21"/>
      <c r="AH168" s="21"/>
      <c r="AI168" s="21"/>
      <c r="AJ168" s="6" t="str">
        <f t="shared" si="64"/>
        <v/>
      </c>
      <c r="AK168" s="24" t="str">
        <f>IF(A168="","",COUNTIFS(加仓管理!$A$2:$A$1001,A168,加仓管理!$G$2:$G$1001,"&gt;0"))</f>
        <v/>
      </c>
      <c r="AL168" s="24" t="str">
        <f>IF(A168="","",SUMIFS(加仓管理!$G$2:$G$1001,加仓管理!$A$2:$A$1001,A168))</f>
        <v/>
      </c>
      <c r="AM168" s="25" t="str">
        <f>IF(AK168=0,"",IFERROR(LOOKUP(2,1/((加仓管理!$A$2:$A$1001=A168)*(加仓管理!$G$2:$G$1001&gt;0)),加仓管理!$D$2:$D$1001),""))</f>
        <v/>
      </c>
      <c r="AN168" s="25" t="str">
        <f>IF(AK168=0,"",IFERROR(LOOKUP(2,1/((加仓管理!$A$2:$A$1001=A168)*(加仓管理!$G$2:$G$1001&gt;0)),加仓管理!$E$2:$E$1001),""))</f>
        <v/>
      </c>
      <c r="AO168" s="25" t="str">
        <f>IF(OR(A168="",H168="",H168&lt;=0),"",(E168*H168+SUMIFS(加仓管理!$H$2:$H$1001,加仓管理!$A$2:$A$1001,A168))/AP168)</f>
        <v/>
      </c>
      <c r="AP168" s="24" t="str">
        <f t="shared" si="65"/>
        <v/>
      </c>
      <c r="AQ168" s="25" t="str">
        <f>IF(A168="","",IF(M168&lt;&gt;"",0,IF(OR(H168="",N168=""),"",MAX((E168*H168+SUMIFS(加仓管理!$H$2:$H$1001,加仓管理!$A$2:$A$1001,A168))-MAX(N168,AN168)*AP168,0))))</f>
        <v/>
      </c>
      <c r="AR168" s="25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21"/>
      <c r="B169" s="21"/>
      <c r="C169" s="7"/>
      <c r="D169" s="4"/>
      <c r="E169" s="7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1"/>
      <c r="I169" s="22"/>
      <c r="J169" s="7"/>
      <c r="K169" s="3"/>
      <c r="L169" s="6" t="str">
        <f t="shared" si="56"/>
        <v/>
      </c>
      <c r="M169" s="40"/>
      <c r="N169" s="7"/>
      <c r="O169" s="7"/>
      <c r="P169" s="3"/>
      <c r="Q169" s="21"/>
      <c r="R169" s="21"/>
      <c r="S169" s="21"/>
      <c r="T169" s="21"/>
      <c r="U169" s="5" t="str">
        <f t="shared" si="57"/>
        <v/>
      </c>
      <c r="V169" s="5" t="str">
        <f t="shared" si="58"/>
        <v/>
      </c>
      <c r="W169" s="23" t="str">
        <f t="shared" si="59"/>
        <v/>
      </c>
      <c r="X169" s="3" t="str">
        <f t="shared" si="60"/>
        <v/>
      </c>
      <c r="Y169" s="5" t="str">
        <f t="shared" si="61"/>
        <v/>
      </c>
      <c r="Z169" s="5" t="str">
        <f>IF(OR(AE169="",多次统计数据!$B$8=""),"",AE169-多次统计数据!$B$8)</f>
        <v/>
      </c>
      <c r="AA169" s="8" t="str">
        <f t="shared" si="62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1"/>
      <c r="AE169" s="5" t="str">
        <f t="shared" si="63"/>
        <v/>
      </c>
      <c r="AG169" s="21"/>
      <c r="AH169" s="21"/>
      <c r="AI169" s="21"/>
      <c r="AJ169" s="6" t="str">
        <f t="shared" si="64"/>
        <v/>
      </c>
      <c r="AK169" s="24" t="str">
        <f>IF(A169="","",COUNTIFS(加仓管理!$A$2:$A$1001,A169,加仓管理!$G$2:$G$1001,"&gt;0"))</f>
        <v/>
      </c>
      <c r="AL169" s="24" t="str">
        <f>IF(A169="","",SUMIFS(加仓管理!$G$2:$G$1001,加仓管理!$A$2:$A$1001,A169))</f>
        <v/>
      </c>
      <c r="AM169" s="25" t="str">
        <f>IF(AK169=0,"",IFERROR(LOOKUP(2,1/((加仓管理!$A$2:$A$1001=A169)*(加仓管理!$G$2:$G$1001&gt;0)),加仓管理!$D$2:$D$1001),""))</f>
        <v/>
      </c>
      <c r="AN169" s="25" t="str">
        <f>IF(AK169=0,"",IFERROR(LOOKUP(2,1/((加仓管理!$A$2:$A$1001=A169)*(加仓管理!$G$2:$G$1001&gt;0)),加仓管理!$E$2:$E$1001),""))</f>
        <v/>
      </c>
      <c r="AO169" s="25" t="str">
        <f>IF(OR(A169="",H169="",H169&lt;=0),"",(E169*H169+SUMIFS(加仓管理!$H$2:$H$1001,加仓管理!$A$2:$A$1001,A169))/AP169)</f>
        <v/>
      </c>
      <c r="AP169" s="24" t="str">
        <f t="shared" si="65"/>
        <v/>
      </c>
      <c r="AQ169" s="25" t="str">
        <f>IF(A169="","",IF(M169&lt;&gt;"",0,IF(OR(H169="",N169=""),"",MAX((E169*H169+SUMIFS(加仓管理!$H$2:$H$1001,加仓管理!$A$2:$A$1001,A169))-MAX(N169,AN169)*AP169,0))))</f>
        <v/>
      </c>
      <c r="AR169" s="25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21"/>
      <c r="B170" s="21"/>
      <c r="C170" s="7"/>
      <c r="D170" s="4"/>
      <c r="E170" s="7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1"/>
      <c r="I170" s="22"/>
      <c r="J170" s="7"/>
      <c r="K170" s="3"/>
      <c r="L170" s="6" t="str">
        <f t="shared" si="56"/>
        <v/>
      </c>
      <c r="M170" s="40"/>
      <c r="N170" s="7"/>
      <c r="O170" s="7"/>
      <c r="P170" s="3"/>
      <c r="Q170" s="21"/>
      <c r="R170" s="21"/>
      <c r="S170" s="21"/>
      <c r="T170" s="21"/>
      <c r="U170" s="5" t="str">
        <f t="shared" si="57"/>
        <v/>
      </c>
      <c r="V170" s="5" t="str">
        <f t="shared" si="58"/>
        <v/>
      </c>
      <c r="W170" s="23" t="str">
        <f t="shared" si="59"/>
        <v/>
      </c>
      <c r="X170" s="3" t="str">
        <f t="shared" si="60"/>
        <v/>
      </c>
      <c r="Y170" s="5" t="str">
        <f t="shared" si="61"/>
        <v/>
      </c>
      <c r="Z170" s="5" t="str">
        <f>IF(OR(AE170="",多次统计数据!$B$8=""),"",AE170-多次统计数据!$B$8)</f>
        <v/>
      </c>
      <c r="AA170" s="8" t="str">
        <f t="shared" si="62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1"/>
      <c r="AE170" s="5" t="str">
        <f t="shared" si="63"/>
        <v/>
      </c>
      <c r="AG170" s="21"/>
      <c r="AH170" s="21"/>
      <c r="AI170" s="21"/>
      <c r="AJ170" s="6" t="str">
        <f t="shared" si="64"/>
        <v/>
      </c>
      <c r="AK170" s="24" t="str">
        <f>IF(A170="","",COUNTIFS(加仓管理!$A$2:$A$1001,A170,加仓管理!$G$2:$G$1001,"&gt;0"))</f>
        <v/>
      </c>
      <c r="AL170" s="24" t="str">
        <f>IF(A170="","",SUMIFS(加仓管理!$G$2:$G$1001,加仓管理!$A$2:$A$1001,A170))</f>
        <v/>
      </c>
      <c r="AM170" s="25" t="str">
        <f>IF(AK170=0,"",IFERROR(LOOKUP(2,1/((加仓管理!$A$2:$A$1001=A170)*(加仓管理!$G$2:$G$1001&gt;0)),加仓管理!$D$2:$D$1001),""))</f>
        <v/>
      </c>
      <c r="AN170" s="25" t="str">
        <f>IF(AK170=0,"",IFERROR(LOOKUP(2,1/((加仓管理!$A$2:$A$1001=A170)*(加仓管理!$G$2:$G$1001&gt;0)),加仓管理!$E$2:$E$1001),""))</f>
        <v/>
      </c>
      <c r="AO170" s="25" t="str">
        <f>IF(OR(A170="",H170="",H170&lt;=0),"",(E170*H170+SUMIFS(加仓管理!$H$2:$H$1001,加仓管理!$A$2:$A$1001,A170))/AP170)</f>
        <v/>
      </c>
      <c r="AP170" s="24" t="str">
        <f t="shared" si="65"/>
        <v/>
      </c>
      <c r="AQ170" s="25" t="str">
        <f>IF(A170="","",IF(M170&lt;&gt;"",0,IF(OR(H170="",N170=""),"",MAX((E170*H170+SUMIFS(加仓管理!$H$2:$H$1001,加仓管理!$A$2:$A$1001,A170))-MAX(N170,AN170)*AP170,0))))</f>
        <v/>
      </c>
      <c r="AR170" s="25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21"/>
      <c r="B171" s="21"/>
      <c r="C171" s="7"/>
      <c r="D171" s="4"/>
      <c r="E171" s="7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1"/>
      <c r="I171" s="22"/>
      <c r="J171" s="7"/>
      <c r="K171" s="3"/>
      <c r="L171" s="6" t="str">
        <f t="shared" si="56"/>
        <v/>
      </c>
      <c r="M171" s="40"/>
      <c r="N171" s="7"/>
      <c r="O171" s="7"/>
      <c r="P171" s="3"/>
      <c r="Q171" s="21"/>
      <c r="R171" s="21"/>
      <c r="S171" s="21"/>
      <c r="T171" s="21"/>
      <c r="U171" s="5" t="str">
        <f t="shared" si="57"/>
        <v/>
      </c>
      <c r="V171" s="5" t="str">
        <f t="shared" si="58"/>
        <v/>
      </c>
      <c r="W171" s="23" t="str">
        <f t="shared" si="59"/>
        <v/>
      </c>
      <c r="X171" s="3" t="str">
        <f t="shared" si="60"/>
        <v/>
      </c>
      <c r="Y171" s="5" t="str">
        <f t="shared" si="61"/>
        <v/>
      </c>
      <c r="Z171" s="5" t="str">
        <f>IF(OR(AE171="",多次统计数据!$B$8=""),"",AE171-多次统计数据!$B$8)</f>
        <v/>
      </c>
      <c r="AA171" s="8" t="str">
        <f t="shared" si="62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1"/>
      <c r="AE171" s="5" t="str">
        <f t="shared" si="63"/>
        <v/>
      </c>
      <c r="AG171" s="21"/>
      <c r="AH171" s="21"/>
      <c r="AI171" s="21"/>
      <c r="AJ171" s="6" t="str">
        <f t="shared" si="64"/>
        <v/>
      </c>
      <c r="AK171" s="24" t="str">
        <f>IF(A171="","",COUNTIFS(加仓管理!$A$2:$A$1001,A171,加仓管理!$G$2:$G$1001,"&gt;0"))</f>
        <v/>
      </c>
      <c r="AL171" s="24" t="str">
        <f>IF(A171="","",SUMIFS(加仓管理!$G$2:$G$1001,加仓管理!$A$2:$A$1001,A171))</f>
        <v/>
      </c>
      <c r="AM171" s="25" t="str">
        <f>IF(AK171=0,"",IFERROR(LOOKUP(2,1/((加仓管理!$A$2:$A$1001=A171)*(加仓管理!$G$2:$G$1001&gt;0)),加仓管理!$D$2:$D$1001),""))</f>
        <v/>
      </c>
      <c r="AN171" s="25" t="str">
        <f>IF(AK171=0,"",IFERROR(LOOKUP(2,1/((加仓管理!$A$2:$A$1001=A171)*(加仓管理!$G$2:$G$1001&gt;0)),加仓管理!$E$2:$E$1001),""))</f>
        <v/>
      </c>
      <c r="AO171" s="25" t="str">
        <f>IF(OR(A171="",H171="",H171&lt;=0),"",(E171*H171+SUMIFS(加仓管理!$H$2:$H$1001,加仓管理!$A$2:$A$1001,A171))/AP171)</f>
        <v/>
      </c>
      <c r="AP171" s="24" t="str">
        <f t="shared" si="65"/>
        <v/>
      </c>
      <c r="AQ171" s="25" t="str">
        <f>IF(A171="","",IF(M171&lt;&gt;"",0,IF(OR(H171="",N171=""),"",MAX((E171*H171+SUMIFS(加仓管理!$H$2:$H$1001,加仓管理!$A$2:$A$1001,A171))-MAX(N171,AN171)*AP171,0))))</f>
        <v/>
      </c>
      <c r="AR171" s="25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21"/>
      <c r="B172" s="21"/>
      <c r="C172" s="7"/>
      <c r="D172" s="4"/>
      <c r="E172" s="7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1"/>
      <c r="I172" s="22"/>
      <c r="J172" s="7"/>
      <c r="K172" s="3"/>
      <c r="L172" s="6" t="str">
        <f t="shared" si="56"/>
        <v/>
      </c>
      <c r="M172" s="40"/>
      <c r="N172" s="7"/>
      <c r="O172" s="7"/>
      <c r="P172" s="3"/>
      <c r="Q172" s="21"/>
      <c r="R172" s="21"/>
      <c r="S172" s="21"/>
      <c r="T172" s="21"/>
      <c r="U172" s="5" t="str">
        <f t="shared" si="57"/>
        <v/>
      </c>
      <c r="V172" s="5" t="str">
        <f t="shared" si="58"/>
        <v/>
      </c>
      <c r="W172" s="23" t="str">
        <f t="shared" si="59"/>
        <v/>
      </c>
      <c r="X172" s="3" t="str">
        <f t="shared" si="60"/>
        <v/>
      </c>
      <c r="Y172" s="5" t="str">
        <f t="shared" si="61"/>
        <v/>
      </c>
      <c r="Z172" s="5" t="str">
        <f>IF(OR(AE172="",多次统计数据!$B$8=""),"",AE172-多次统计数据!$B$8)</f>
        <v/>
      </c>
      <c r="AA172" s="8" t="str">
        <f t="shared" si="62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1"/>
      <c r="AE172" s="5" t="str">
        <f t="shared" si="63"/>
        <v/>
      </c>
      <c r="AG172" s="21"/>
      <c r="AH172" s="21"/>
      <c r="AI172" s="21"/>
      <c r="AJ172" s="6" t="str">
        <f t="shared" si="64"/>
        <v/>
      </c>
      <c r="AK172" s="24" t="str">
        <f>IF(A172="","",COUNTIFS(加仓管理!$A$2:$A$1001,A172,加仓管理!$G$2:$G$1001,"&gt;0"))</f>
        <v/>
      </c>
      <c r="AL172" s="24" t="str">
        <f>IF(A172="","",SUMIFS(加仓管理!$G$2:$G$1001,加仓管理!$A$2:$A$1001,A172))</f>
        <v/>
      </c>
      <c r="AM172" s="25" t="str">
        <f>IF(AK172=0,"",IFERROR(LOOKUP(2,1/((加仓管理!$A$2:$A$1001=A172)*(加仓管理!$G$2:$G$1001&gt;0)),加仓管理!$D$2:$D$1001),""))</f>
        <v/>
      </c>
      <c r="AN172" s="25" t="str">
        <f>IF(AK172=0,"",IFERROR(LOOKUP(2,1/((加仓管理!$A$2:$A$1001=A172)*(加仓管理!$G$2:$G$1001&gt;0)),加仓管理!$E$2:$E$1001),""))</f>
        <v/>
      </c>
      <c r="AO172" s="25" t="str">
        <f>IF(OR(A172="",H172="",H172&lt;=0),"",(E172*H172+SUMIFS(加仓管理!$H$2:$H$1001,加仓管理!$A$2:$A$1001,A172))/AP172)</f>
        <v/>
      </c>
      <c r="AP172" s="24" t="str">
        <f t="shared" si="65"/>
        <v/>
      </c>
      <c r="AQ172" s="25" t="str">
        <f>IF(A172="","",IF(M172&lt;&gt;"",0,IF(OR(H172="",N172=""),"",MAX((E172*H172+SUMIFS(加仓管理!$H$2:$H$1001,加仓管理!$A$2:$A$1001,A172))-MAX(N172,AN172)*AP172,0))))</f>
        <v/>
      </c>
      <c r="AR172" s="25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21"/>
      <c r="B173" s="21"/>
      <c r="C173" s="7"/>
      <c r="D173" s="4"/>
      <c r="E173" s="7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1"/>
      <c r="I173" s="22"/>
      <c r="J173" s="7"/>
      <c r="K173" s="3"/>
      <c r="L173" s="6" t="str">
        <f t="shared" si="56"/>
        <v/>
      </c>
      <c r="M173" s="40"/>
      <c r="N173" s="7"/>
      <c r="O173" s="7"/>
      <c r="P173" s="3"/>
      <c r="Q173" s="21"/>
      <c r="R173" s="21"/>
      <c r="S173" s="21"/>
      <c r="T173" s="21"/>
      <c r="U173" s="5" t="str">
        <f t="shared" si="57"/>
        <v/>
      </c>
      <c r="V173" s="5" t="str">
        <f t="shared" si="58"/>
        <v/>
      </c>
      <c r="W173" s="23" t="str">
        <f t="shared" si="59"/>
        <v/>
      </c>
      <c r="X173" s="3" t="str">
        <f t="shared" si="60"/>
        <v/>
      </c>
      <c r="Y173" s="5" t="str">
        <f t="shared" si="61"/>
        <v/>
      </c>
      <c r="Z173" s="5" t="str">
        <f>IF(OR(AE173="",多次统计数据!$B$8=""),"",AE173-多次统计数据!$B$8)</f>
        <v/>
      </c>
      <c r="AA173" s="8" t="str">
        <f t="shared" si="62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1"/>
      <c r="AE173" s="5" t="str">
        <f t="shared" si="63"/>
        <v/>
      </c>
      <c r="AG173" s="21"/>
      <c r="AH173" s="21"/>
      <c r="AI173" s="21"/>
      <c r="AJ173" s="6" t="str">
        <f t="shared" si="64"/>
        <v/>
      </c>
      <c r="AK173" s="24" t="str">
        <f>IF(A173="","",COUNTIFS(加仓管理!$A$2:$A$1001,A173,加仓管理!$G$2:$G$1001,"&gt;0"))</f>
        <v/>
      </c>
      <c r="AL173" s="24" t="str">
        <f>IF(A173="","",SUMIFS(加仓管理!$G$2:$G$1001,加仓管理!$A$2:$A$1001,A173))</f>
        <v/>
      </c>
      <c r="AM173" s="25" t="str">
        <f>IF(AK173=0,"",IFERROR(LOOKUP(2,1/((加仓管理!$A$2:$A$1001=A173)*(加仓管理!$G$2:$G$1001&gt;0)),加仓管理!$D$2:$D$1001),""))</f>
        <v/>
      </c>
      <c r="AN173" s="25" t="str">
        <f>IF(AK173=0,"",IFERROR(LOOKUP(2,1/((加仓管理!$A$2:$A$1001=A173)*(加仓管理!$G$2:$G$1001&gt;0)),加仓管理!$E$2:$E$1001),""))</f>
        <v/>
      </c>
      <c r="AO173" s="25" t="str">
        <f>IF(OR(A173="",H173="",H173&lt;=0),"",(E173*H173+SUMIFS(加仓管理!$H$2:$H$1001,加仓管理!$A$2:$A$1001,A173))/AP173)</f>
        <v/>
      </c>
      <c r="AP173" s="24" t="str">
        <f t="shared" si="65"/>
        <v/>
      </c>
      <c r="AQ173" s="25" t="str">
        <f>IF(A173="","",IF(M173&lt;&gt;"",0,IF(OR(H173="",N173=""),"",MAX((E173*H173+SUMIFS(加仓管理!$H$2:$H$1001,加仓管理!$A$2:$A$1001,A173))-MAX(N173,AN173)*AP173,0))))</f>
        <v/>
      </c>
      <c r="AR173" s="25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21"/>
      <c r="B174" s="21"/>
      <c r="C174" s="7"/>
      <c r="D174" s="4"/>
      <c r="E174" s="7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1"/>
      <c r="I174" s="22"/>
      <c r="J174" s="7"/>
      <c r="K174" s="3"/>
      <c r="L174" s="6" t="str">
        <f t="shared" si="56"/>
        <v/>
      </c>
      <c r="M174" s="40"/>
      <c r="N174" s="7"/>
      <c r="O174" s="7"/>
      <c r="P174" s="3"/>
      <c r="Q174" s="21"/>
      <c r="R174" s="21"/>
      <c r="S174" s="21"/>
      <c r="T174" s="21"/>
      <c r="U174" s="5" t="str">
        <f t="shared" si="57"/>
        <v/>
      </c>
      <c r="V174" s="5" t="str">
        <f t="shared" si="58"/>
        <v/>
      </c>
      <c r="W174" s="23" t="str">
        <f t="shared" si="59"/>
        <v/>
      </c>
      <c r="X174" s="3" t="str">
        <f t="shared" si="60"/>
        <v/>
      </c>
      <c r="Y174" s="5" t="str">
        <f t="shared" si="61"/>
        <v/>
      </c>
      <c r="Z174" s="5" t="str">
        <f>IF(OR(AE174="",多次统计数据!$B$8=""),"",AE174-多次统计数据!$B$8)</f>
        <v/>
      </c>
      <c r="AA174" s="8" t="str">
        <f t="shared" si="62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1"/>
      <c r="AE174" s="5" t="str">
        <f t="shared" si="63"/>
        <v/>
      </c>
      <c r="AG174" s="21"/>
      <c r="AH174" s="21"/>
      <c r="AI174" s="21"/>
      <c r="AJ174" s="6" t="str">
        <f t="shared" si="64"/>
        <v/>
      </c>
      <c r="AK174" s="24" t="str">
        <f>IF(A174="","",COUNTIFS(加仓管理!$A$2:$A$1001,A174,加仓管理!$G$2:$G$1001,"&gt;0"))</f>
        <v/>
      </c>
      <c r="AL174" s="24" t="str">
        <f>IF(A174="","",SUMIFS(加仓管理!$G$2:$G$1001,加仓管理!$A$2:$A$1001,A174))</f>
        <v/>
      </c>
      <c r="AM174" s="25" t="str">
        <f>IF(AK174=0,"",IFERROR(LOOKUP(2,1/((加仓管理!$A$2:$A$1001=A174)*(加仓管理!$G$2:$G$1001&gt;0)),加仓管理!$D$2:$D$1001),""))</f>
        <v/>
      </c>
      <c r="AN174" s="25" t="str">
        <f>IF(AK174=0,"",IFERROR(LOOKUP(2,1/((加仓管理!$A$2:$A$1001=A174)*(加仓管理!$G$2:$G$1001&gt;0)),加仓管理!$E$2:$E$1001),""))</f>
        <v/>
      </c>
      <c r="AO174" s="25" t="str">
        <f>IF(OR(A174="",H174="",H174&lt;=0),"",(E174*H174+SUMIFS(加仓管理!$H$2:$H$1001,加仓管理!$A$2:$A$1001,A174))/AP174)</f>
        <v/>
      </c>
      <c r="AP174" s="24" t="str">
        <f t="shared" si="65"/>
        <v/>
      </c>
      <c r="AQ174" s="25" t="str">
        <f>IF(A174="","",IF(M174&lt;&gt;"",0,IF(OR(H174="",N174=""),"",MAX((E174*H174+SUMIFS(加仓管理!$H$2:$H$1001,加仓管理!$A$2:$A$1001,A174))-MAX(N174,AN174)*AP174,0))))</f>
        <v/>
      </c>
      <c r="AR174" s="25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21"/>
      <c r="B175" s="21"/>
      <c r="C175" s="7"/>
      <c r="D175" s="4"/>
      <c r="E175" s="7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1"/>
      <c r="I175" s="22"/>
      <c r="J175" s="7"/>
      <c r="K175" s="3"/>
      <c r="L175" s="6" t="str">
        <f t="shared" si="56"/>
        <v/>
      </c>
      <c r="M175" s="40"/>
      <c r="N175" s="7"/>
      <c r="O175" s="7"/>
      <c r="P175" s="3"/>
      <c r="Q175" s="21"/>
      <c r="R175" s="21"/>
      <c r="S175" s="21"/>
      <c r="T175" s="21"/>
      <c r="U175" s="5" t="str">
        <f t="shared" si="57"/>
        <v/>
      </c>
      <c r="V175" s="5" t="str">
        <f t="shared" si="58"/>
        <v/>
      </c>
      <c r="W175" s="23" t="str">
        <f t="shared" si="59"/>
        <v/>
      </c>
      <c r="X175" s="3" t="str">
        <f t="shared" si="60"/>
        <v/>
      </c>
      <c r="Y175" s="5" t="str">
        <f t="shared" si="61"/>
        <v/>
      </c>
      <c r="Z175" s="5" t="str">
        <f>IF(OR(AE175="",多次统计数据!$B$8=""),"",AE175-多次统计数据!$B$8)</f>
        <v/>
      </c>
      <c r="AA175" s="8" t="str">
        <f t="shared" si="62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1"/>
      <c r="AE175" s="5" t="str">
        <f t="shared" si="63"/>
        <v/>
      </c>
      <c r="AG175" s="21"/>
      <c r="AH175" s="21"/>
      <c r="AI175" s="21"/>
      <c r="AJ175" s="6" t="str">
        <f t="shared" si="64"/>
        <v/>
      </c>
      <c r="AK175" s="24" t="str">
        <f>IF(A175="","",COUNTIFS(加仓管理!$A$2:$A$1001,A175,加仓管理!$G$2:$G$1001,"&gt;0"))</f>
        <v/>
      </c>
      <c r="AL175" s="24" t="str">
        <f>IF(A175="","",SUMIFS(加仓管理!$G$2:$G$1001,加仓管理!$A$2:$A$1001,A175))</f>
        <v/>
      </c>
      <c r="AM175" s="25" t="str">
        <f>IF(AK175=0,"",IFERROR(LOOKUP(2,1/((加仓管理!$A$2:$A$1001=A175)*(加仓管理!$G$2:$G$1001&gt;0)),加仓管理!$D$2:$D$1001),""))</f>
        <v/>
      </c>
      <c r="AN175" s="25" t="str">
        <f>IF(AK175=0,"",IFERROR(LOOKUP(2,1/((加仓管理!$A$2:$A$1001=A175)*(加仓管理!$G$2:$G$1001&gt;0)),加仓管理!$E$2:$E$1001),""))</f>
        <v/>
      </c>
      <c r="AO175" s="25" t="str">
        <f>IF(OR(A175="",H175="",H175&lt;=0),"",(E175*H175+SUMIFS(加仓管理!$H$2:$H$1001,加仓管理!$A$2:$A$1001,A175))/AP175)</f>
        <v/>
      </c>
      <c r="AP175" s="24" t="str">
        <f t="shared" si="65"/>
        <v/>
      </c>
      <c r="AQ175" s="25" t="str">
        <f>IF(A175="","",IF(M175&lt;&gt;"",0,IF(OR(H175="",N175=""),"",MAX((E175*H175+SUMIFS(加仓管理!$H$2:$H$1001,加仓管理!$A$2:$A$1001,A175))-MAX(N175,AN175)*AP175,0))))</f>
        <v/>
      </c>
      <c r="AR175" s="25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21"/>
      <c r="B176" s="21"/>
      <c r="C176" s="7"/>
      <c r="D176" s="4"/>
      <c r="E176" s="7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1"/>
      <c r="I176" s="22"/>
      <c r="J176" s="7"/>
      <c r="K176" s="3"/>
      <c r="L176" s="6" t="str">
        <f t="shared" si="56"/>
        <v/>
      </c>
      <c r="M176" s="40"/>
      <c r="N176" s="7"/>
      <c r="O176" s="7"/>
      <c r="P176" s="3"/>
      <c r="Q176" s="21"/>
      <c r="R176" s="21"/>
      <c r="S176" s="21"/>
      <c r="T176" s="21"/>
      <c r="U176" s="5" t="str">
        <f t="shared" si="57"/>
        <v/>
      </c>
      <c r="V176" s="5" t="str">
        <f t="shared" si="58"/>
        <v/>
      </c>
      <c r="W176" s="23" t="str">
        <f t="shared" si="59"/>
        <v/>
      </c>
      <c r="X176" s="3" t="str">
        <f t="shared" si="60"/>
        <v/>
      </c>
      <c r="Y176" s="5" t="str">
        <f t="shared" si="61"/>
        <v/>
      </c>
      <c r="Z176" s="5" t="str">
        <f>IF(OR(AE176="",多次统计数据!$B$8=""),"",AE176-多次统计数据!$B$8)</f>
        <v/>
      </c>
      <c r="AA176" s="8" t="str">
        <f t="shared" si="62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1"/>
      <c r="AE176" s="5" t="str">
        <f t="shared" si="63"/>
        <v/>
      </c>
      <c r="AG176" s="21"/>
      <c r="AH176" s="21"/>
      <c r="AI176" s="21"/>
      <c r="AJ176" s="6" t="str">
        <f t="shared" si="64"/>
        <v/>
      </c>
      <c r="AK176" s="24" t="str">
        <f>IF(A176="","",COUNTIFS(加仓管理!$A$2:$A$1001,A176,加仓管理!$G$2:$G$1001,"&gt;0"))</f>
        <v/>
      </c>
      <c r="AL176" s="24" t="str">
        <f>IF(A176="","",SUMIFS(加仓管理!$G$2:$G$1001,加仓管理!$A$2:$A$1001,A176))</f>
        <v/>
      </c>
      <c r="AM176" s="25" t="str">
        <f>IF(AK176=0,"",IFERROR(LOOKUP(2,1/((加仓管理!$A$2:$A$1001=A176)*(加仓管理!$G$2:$G$1001&gt;0)),加仓管理!$D$2:$D$1001),""))</f>
        <v/>
      </c>
      <c r="AN176" s="25" t="str">
        <f>IF(AK176=0,"",IFERROR(LOOKUP(2,1/((加仓管理!$A$2:$A$1001=A176)*(加仓管理!$G$2:$G$1001&gt;0)),加仓管理!$E$2:$E$1001),""))</f>
        <v/>
      </c>
      <c r="AO176" s="25" t="str">
        <f>IF(OR(A176="",H176="",H176&lt;=0),"",(E176*H176+SUMIFS(加仓管理!$H$2:$H$1001,加仓管理!$A$2:$A$1001,A176))/AP176)</f>
        <v/>
      </c>
      <c r="AP176" s="24" t="str">
        <f t="shared" si="65"/>
        <v/>
      </c>
      <c r="AQ176" s="25" t="str">
        <f>IF(A176="","",IF(M176&lt;&gt;"",0,IF(OR(H176="",N176=""),"",MAX((E176*H176+SUMIFS(加仓管理!$H$2:$H$1001,加仓管理!$A$2:$A$1001,A176))-MAX(N176,AN176)*AP176,0))))</f>
        <v/>
      </c>
      <c r="AR176" s="25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21"/>
      <c r="B177" s="21"/>
      <c r="C177" s="7"/>
      <c r="D177" s="4"/>
      <c r="E177" s="7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1"/>
      <c r="I177" s="22"/>
      <c r="J177" s="7"/>
      <c r="K177" s="3"/>
      <c r="L177" s="6" t="str">
        <f t="shared" si="56"/>
        <v/>
      </c>
      <c r="M177" s="40"/>
      <c r="N177" s="7"/>
      <c r="O177" s="7"/>
      <c r="P177" s="3"/>
      <c r="Q177" s="21"/>
      <c r="R177" s="21"/>
      <c r="S177" s="21"/>
      <c r="T177" s="21"/>
      <c r="U177" s="5" t="str">
        <f t="shared" si="57"/>
        <v/>
      </c>
      <c r="V177" s="5" t="str">
        <f t="shared" si="58"/>
        <v/>
      </c>
      <c r="W177" s="23" t="str">
        <f t="shared" si="59"/>
        <v/>
      </c>
      <c r="X177" s="3" t="str">
        <f t="shared" si="60"/>
        <v/>
      </c>
      <c r="Y177" s="5" t="str">
        <f t="shared" si="61"/>
        <v/>
      </c>
      <c r="Z177" s="5" t="str">
        <f>IF(OR(AE177="",多次统计数据!$B$8=""),"",AE177-多次统计数据!$B$8)</f>
        <v/>
      </c>
      <c r="AA177" s="8" t="str">
        <f t="shared" si="62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1"/>
      <c r="AE177" s="5" t="str">
        <f t="shared" si="63"/>
        <v/>
      </c>
      <c r="AG177" s="21"/>
      <c r="AH177" s="21"/>
      <c r="AI177" s="21"/>
      <c r="AJ177" s="6" t="str">
        <f t="shared" si="64"/>
        <v/>
      </c>
      <c r="AK177" s="24" t="str">
        <f>IF(A177="","",COUNTIFS(加仓管理!$A$2:$A$1001,A177,加仓管理!$G$2:$G$1001,"&gt;0"))</f>
        <v/>
      </c>
      <c r="AL177" s="24" t="str">
        <f>IF(A177="","",SUMIFS(加仓管理!$G$2:$G$1001,加仓管理!$A$2:$A$1001,A177))</f>
        <v/>
      </c>
      <c r="AM177" s="25" t="str">
        <f>IF(AK177=0,"",IFERROR(LOOKUP(2,1/((加仓管理!$A$2:$A$1001=A177)*(加仓管理!$G$2:$G$1001&gt;0)),加仓管理!$D$2:$D$1001),""))</f>
        <v/>
      </c>
      <c r="AN177" s="25" t="str">
        <f>IF(AK177=0,"",IFERROR(LOOKUP(2,1/((加仓管理!$A$2:$A$1001=A177)*(加仓管理!$G$2:$G$1001&gt;0)),加仓管理!$E$2:$E$1001),""))</f>
        <v/>
      </c>
      <c r="AO177" s="25" t="str">
        <f>IF(OR(A177="",H177="",H177&lt;=0),"",(E177*H177+SUMIFS(加仓管理!$H$2:$H$1001,加仓管理!$A$2:$A$1001,A177))/AP177)</f>
        <v/>
      </c>
      <c r="AP177" s="24" t="str">
        <f t="shared" si="65"/>
        <v/>
      </c>
      <c r="AQ177" s="25" t="str">
        <f>IF(A177="","",IF(M177&lt;&gt;"",0,IF(OR(H177="",N177=""),"",MAX((E177*H177+SUMIFS(加仓管理!$H$2:$H$1001,加仓管理!$A$2:$A$1001,A177))-MAX(N177,AN177)*AP177,0))))</f>
        <v/>
      </c>
      <c r="AR177" s="25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21"/>
      <c r="B178" s="21"/>
      <c r="C178" s="7"/>
      <c r="D178" s="4"/>
      <c r="E178" s="7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1"/>
      <c r="I178" s="22"/>
      <c r="J178" s="7"/>
      <c r="K178" s="3"/>
      <c r="L178" s="6" t="str">
        <f t="shared" si="56"/>
        <v/>
      </c>
      <c r="M178" s="40"/>
      <c r="N178" s="7"/>
      <c r="O178" s="7"/>
      <c r="P178" s="3"/>
      <c r="Q178" s="21"/>
      <c r="R178" s="21"/>
      <c r="S178" s="21"/>
      <c r="T178" s="21"/>
      <c r="U178" s="5" t="str">
        <f t="shared" si="57"/>
        <v/>
      </c>
      <c r="V178" s="5" t="str">
        <f t="shared" si="58"/>
        <v/>
      </c>
      <c r="W178" s="23" t="str">
        <f t="shared" si="59"/>
        <v/>
      </c>
      <c r="X178" s="3" t="str">
        <f t="shared" si="60"/>
        <v/>
      </c>
      <c r="Y178" s="5" t="str">
        <f t="shared" si="61"/>
        <v/>
      </c>
      <c r="Z178" s="5" t="str">
        <f>IF(OR(AE178="",多次统计数据!$B$8=""),"",AE178-多次统计数据!$B$8)</f>
        <v/>
      </c>
      <c r="AA178" s="8" t="str">
        <f t="shared" si="62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1"/>
      <c r="AE178" s="5" t="str">
        <f t="shared" si="63"/>
        <v/>
      </c>
      <c r="AG178" s="21"/>
      <c r="AH178" s="21"/>
      <c r="AI178" s="21"/>
      <c r="AJ178" s="6" t="str">
        <f t="shared" si="64"/>
        <v/>
      </c>
      <c r="AK178" s="24" t="str">
        <f>IF(A178="","",COUNTIFS(加仓管理!$A$2:$A$1001,A178,加仓管理!$G$2:$G$1001,"&gt;0"))</f>
        <v/>
      </c>
      <c r="AL178" s="24" t="str">
        <f>IF(A178="","",SUMIFS(加仓管理!$G$2:$G$1001,加仓管理!$A$2:$A$1001,A178))</f>
        <v/>
      </c>
      <c r="AM178" s="25" t="str">
        <f>IF(AK178=0,"",IFERROR(LOOKUP(2,1/((加仓管理!$A$2:$A$1001=A178)*(加仓管理!$G$2:$G$1001&gt;0)),加仓管理!$D$2:$D$1001),""))</f>
        <v/>
      </c>
      <c r="AN178" s="25" t="str">
        <f>IF(AK178=0,"",IFERROR(LOOKUP(2,1/((加仓管理!$A$2:$A$1001=A178)*(加仓管理!$G$2:$G$1001&gt;0)),加仓管理!$E$2:$E$1001),""))</f>
        <v/>
      </c>
      <c r="AO178" s="25" t="str">
        <f>IF(OR(A178="",H178="",H178&lt;=0),"",(E178*H178+SUMIFS(加仓管理!$H$2:$H$1001,加仓管理!$A$2:$A$1001,A178))/AP178)</f>
        <v/>
      </c>
      <c r="AP178" s="24" t="str">
        <f t="shared" si="65"/>
        <v/>
      </c>
      <c r="AQ178" s="25" t="str">
        <f>IF(A178="","",IF(M178&lt;&gt;"",0,IF(OR(H178="",N178=""),"",MAX((E178*H178+SUMIFS(加仓管理!$H$2:$H$1001,加仓管理!$A$2:$A$1001,A178))-MAX(N178,AN178)*AP178,0))))</f>
        <v/>
      </c>
      <c r="AR178" s="25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21"/>
      <c r="B179" s="21"/>
      <c r="C179" s="7"/>
      <c r="D179" s="4"/>
      <c r="E179" s="7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1"/>
      <c r="I179" s="22"/>
      <c r="J179" s="7"/>
      <c r="K179" s="3"/>
      <c r="L179" s="6" t="str">
        <f t="shared" si="56"/>
        <v/>
      </c>
      <c r="M179" s="40"/>
      <c r="N179" s="7"/>
      <c r="O179" s="7"/>
      <c r="P179" s="3"/>
      <c r="Q179" s="21"/>
      <c r="R179" s="21"/>
      <c r="S179" s="21"/>
      <c r="T179" s="21"/>
      <c r="U179" s="5" t="str">
        <f t="shared" si="57"/>
        <v/>
      </c>
      <c r="V179" s="5" t="str">
        <f t="shared" si="58"/>
        <v/>
      </c>
      <c r="W179" s="23" t="str">
        <f t="shared" si="59"/>
        <v/>
      </c>
      <c r="X179" s="3" t="str">
        <f t="shared" si="60"/>
        <v/>
      </c>
      <c r="Y179" s="5" t="str">
        <f t="shared" si="61"/>
        <v/>
      </c>
      <c r="Z179" s="5" t="str">
        <f>IF(OR(AE179="",多次统计数据!$B$8=""),"",AE179-多次统计数据!$B$8)</f>
        <v/>
      </c>
      <c r="AA179" s="8" t="str">
        <f t="shared" si="62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1"/>
      <c r="AE179" s="5" t="str">
        <f t="shared" si="63"/>
        <v/>
      </c>
      <c r="AG179" s="21"/>
      <c r="AH179" s="21"/>
      <c r="AI179" s="21"/>
      <c r="AJ179" s="6" t="str">
        <f t="shared" si="64"/>
        <v/>
      </c>
      <c r="AK179" s="24" t="str">
        <f>IF(A179="","",COUNTIFS(加仓管理!$A$2:$A$1001,A179,加仓管理!$G$2:$G$1001,"&gt;0"))</f>
        <v/>
      </c>
      <c r="AL179" s="24" t="str">
        <f>IF(A179="","",SUMIFS(加仓管理!$G$2:$G$1001,加仓管理!$A$2:$A$1001,A179))</f>
        <v/>
      </c>
      <c r="AM179" s="25" t="str">
        <f>IF(AK179=0,"",IFERROR(LOOKUP(2,1/((加仓管理!$A$2:$A$1001=A179)*(加仓管理!$G$2:$G$1001&gt;0)),加仓管理!$D$2:$D$1001),""))</f>
        <v/>
      </c>
      <c r="AN179" s="25" t="str">
        <f>IF(AK179=0,"",IFERROR(LOOKUP(2,1/((加仓管理!$A$2:$A$1001=A179)*(加仓管理!$G$2:$G$1001&gt;0)),加仓管理!$E$2:$E$1001),""))</f>
        <v/>
      </c>
      <c r="AO179" s="25" t="str">
        <f>IF(OR(A179="",H179="",H179&lt;=0),"",(E179*H179+SUMIFS(加仓管理!$H$2:$H$1001,加仓管理!$A$2:$A$1001,A179))/AP179)</f>
        <v/>
      </c>
      <c r="AP179" s="24" t="str">
        <f t="shared" si="65"/>
        <v/>
      </c>
      <c r="AQ179" s="25" t="str">
        <f>IF(A179="","",IF(M179&lt;&gt;"",0,IF(OR(H179="",N179=""),"",MAX((E179*H179+SUMIFS(加仓管理!$H$2:$H$1001,加仓管理!$A$2:$A$1001,A179))-MAX(N179,AN179)*AP179,0))))</f>
        <v/>
      </c>
      <c r="AR179" s="25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21"/>
      <c r="B180" s="21"/>
      <c r="C180" s="7"/>
      <c r="D180" s="4"/>
      <c r="E180" s="7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1"/>
      <c r="I180" s="22"/>
      <c r="J180" s="7"/>
      <c r="K180" s="3"/>
      <c r="L180" s="6" t="str">
        <f t="shared" si="56"/>
        <v/>
      </c>
      <c r="M180" s="40"/>
      <c r="N180" s="7"/>
      <c r="O180" s="7"/>
      <c r="P180" s="3"/>
      <c r="Q180" s="21"/>
      <c r="R180" s="21"/>
      <c r="S180" s="21"/>
      <c r="T180" s="21"/>
      <c r="U180" s="5" t="str">
        <f t="shared" si="57"/>
        <v/>
      </c>
      <c r="V180" s="5" t="str">
        <f t="shared" si="58"/>
        <v/>
      </c>
      <c r="W180" s="23" t="str">
        <f t="shared" si="59"/>
        <v/>
      </c>
      <c r="X180" s="3" t="str">
        <f t="shared" si="60"/>
        <v/>
      </c>
      <c r="Y180" s="5" t="str">
        <f t="shared" si="61"/>
        <v/>
      </c>
      <c r="Z180" s="5" t="str">
        <f>IF(OR(AE180="",多次统计数据!$B$8=""),"",AE180-多次统计数据!$B$8)</f>
        <v/>
      </c>
      <c r="AA180" s="8" t="str">
        <f t="shared" si="62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1"/>
      <c r="AE180" s="5" t="str">
        <f t="shared" si="63"/>
        <v/>
      </c>
      <c r="AG180" s="21"/>
      <c r="AH180" s="21"/>
      <c r="AI180" s="21"/>
      <c r="AJ180" s="6" t="str">
        <f t="shared" si="64"/>
        <v/>
      </c>
      <c r="AK180" s="24" t="str">
        <f>IF(A180="","",COUNTIFS(加仓管理!$A$2:$A$1001,A180,加仓管理!$G$2:$G$1001,"&gt;0"))</f>
        <v/>
      </c>
      <c r="AL180" s="24" t="str">
        <f>IF(A180="","",SUMIFS(加仓管理!$G$2:$G$1001,加仓管理!$A$2:$A$1001,A180))</f>
        <v/>
      </c>
      <c r="AM180" s="25" t="str">
        <f>IF(AK180=0,"",IFERROR(LOOKUP(2,1/((加仓管理!$A$2:$A$1001=A180)*(加仓管理!$G$2:$G$1001&gt;0)),加仓管理!$D$2:$D$1001),""))</f>
        <v/>
      </c>
      <c r="AN180" s="25" t="str">
        <f>IF(AK180=0,"",IFERROR(LOOKUP(2,1/((加仓管理!$A$2:$A$1001=A180)*(加仓管理!$G$2:$G$1001&gt;0)),加仓管理!$E$2:$E$1001),""))</f>
        <v/>
      </c>
      <c r="AO180" s="25" t="str">
        <f>IF(OR(A180="",H180="",H180&lt;=0),"",(E180*H180+SUMIFS(加仓管理!$H$2:$H$1001,加仓管理!$A$2:$A$1001,A180))/AP180)</f>
        <v/>
      </c>
      <c r="AP180" s="24" t="str">
        <f t="shared" si="65"/>
        <v/>
      </c>
      <c r="AQ180" s="25" t="str">
        <f>IF(A180="","",IF(M180&lt;&gt;"",0,IF(OR(H180="",N180=""),"",MAX((E180*H180+SUMIFS(加仓管理!$H$2:$H$1001,加仓管理!$A$2:$A$1001,A180))-MAX(N180,AN180)*AP180,0))))</f>
        <v/>
      </c>
      <c r="AR180" s="25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21"/>
      <c r="B181" s="21"/>
      <c r="C181" s="7"/>
      <c r="D181" s="4"/>
      <c r="E181" s="7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1"/>
      <c r="I181" s="22"/>
      <c r="J181" s="7"/>
      <c r="K181" s="3"/>
      <c r="L181" s="6" t="str">
        <f t="shared" si="56"/>
        <v/>
      </c>
      <c r="M181" s="40"/>
      <c r="N181" s="7"/>
      <c r="O181" s="7"/>
      <c r="P181" s="3"/>
      <c r="Q181" s="21"/>
      <c r="R181" s="21"/>
      <c r="S181" s="21"/>
      <c r="T181" s="21"/>
      <c r="U181" s="5" t="str">
        <f t="shared" si="57"/>
        <v/>
      </c>
      <c r="V181" s="5" t="str">
        <f t="shared" si="58"/>
        <v/>
      </c>
      <c r="W181" s="23" t="str">
        <f t="shared" si="59"/>
        <v/>
      </c>
      <c r="X181" s="3" t="str">
        <f t="shared" si="60"/>
        <v/>
      </c>
      <c r="Y181" s="5" t="str">
        <f t="shared" si="61"/>
        <v/>
      </c>
      <c r="Z181" s="5" t="str">
        <f>IF(OR(AE181="",多次统计数据!$B$8=""),"",AE181-多次统计数据!$B$8)</f>
        <v/>
      </c>
      <c r="AA181" s="8" t="str">
        <f t="shared" si="62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1"/>
      <c r="AE181" s="5" t="str">
        <f t="shared" si="63"/>
        <v/>
      </c>
      <c r="AG181" s="21"/>
      <c r="AH181" s="21"/>
      <c r="AI181" s="21"/>
      <c r="AJ181" s="6" t="str">
        <f t="shared" si="64"/>
        <v/>
      </c>
      <c r="AK181" s="24" t="str">
        <f>IF(A181="","",COUNTIFS(加仓管理!$A$2:$A$1001,A181,加仓管理!$G$2:$G$1001,"&gt;0"))</f>
        <v/>
      </c>
      <c r="AL181" s="24" t="str">
        <f>IF(A181="","",SUMIFS(加仓管理!$G$2:$G$1001,加仓管理!$A$2:$A$1001,A181))</f>
        <v/>
      </c>
      <c r="AM181" s="25" t="str">
        <f>IF(AK181=0,"",IFERROR(LOOKUP(2,1/((加仓管理!$A$2:$A$1001=A181)*(加仓管理!$G$2:$G$1001&gt;0)),加仓管理!$D$2:$D$1001),""))</f>
        <v/>
      </c>
      <c r="AN181" s="25" t="str">
        <f>IF(AK181=0,"",IFERROR(LOOKUP(2,1/((加仓管理!$A$2:$A$1001=A181)*(加仓管理!$G$2:$G$1001&gt;0)),加仓管理!$E$2:$E$1001),""))</f>
        <v/>
      </c>
      <c r="AO181" s="25" t="str">
        <f>IF(OR(A181="",H181="",H181&lt;=0),"",(E181*H181+SUMIFS(加仓管理!$H$2:$H$1001,加仓管理!$A$2:$A$1001,A181))/AP181)</f>
        <v/>
      </c>
      <c r="AP181" s="24" t="str">
        <f t="shared" si="65"/>
        <v/>
      </c>
      <c r="AQ181" s="25" t="str">
        <f>IF(A181="","",IF(M181&lt;&gt;"",0,IF(OR(H181="",N181=""),"",MAX((E181*H181+SUMIFS(加仓管理!$H$2:$H$1001,加仓管理!$A$2:$A$1001,A181))-MAX(N181,AN181)*AP181,0))))</f>
        <v/>
      </c>
      <c r="AR181" s="25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21"/>
      <c r="B182" s="21"/>
      <c r="C182" s="7"/>
      <c r="D182" s="4"/>
      <c r="E182" s="7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1"/>
      <c r="I182" s="22"/>
      <c r="J182" s="7"/>
      <c r="K182" s="3"/>
      <c r="L182" s="6" t="str">
        <f t="shared" si="56"/>
        <v/>
      </c>
      <c r="M182" s="40"/>
      <c r="N182" s="7"/>
      <c r="O182" s="7"/>
      <c r="P182" s="3"/>
      <c r="Q182" s="21"/>
      <c r="R182" s="21"/>
      <c r="S182" s="21"/>
      <c r="T182" s="21"/>
      <c r="U182" s="5" t="str">
        <f t="shared" si="57"/>
        <v/>
      </c>
      <c r="V182" s="5" t="str">
        <f t="shared" si="58"/>
        <v/>
      </c>
      <c r="W182" s="23" t="str">
        <f t="shared" si="59"/>
        <v/>
      </c>
      <c r="X182" s="3" t="str">
        <f t="shared" si="60"/>
        <v/>
      </c>
      <c r="Y182" s="5" t="str">
        <f t="shared" si="61"/>
        <v/>
      </c>
      <c r="Z182" s="5" t="str">
        <f>IF(OR(AE182="",多次统计数据!$B$8=""),"",AE182-多次统计数据!$B$8)</f>
        <v/>
      </c>
      <c r="AA182" s="8" t="str">
        <f t="shared" si="62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1"/>
      <c r="AE182" s="5" t="str">
        <f t="shared" si="63"/>
        <v/>
      </c>
      <c r="AG182" s="21"/>
      <c r="AH182" s="21"/>
      <c r="AI182" s="21"/>
      <c r="AJ182" s="6" t="str">
        <f t="shared" si="64"/>
        <v/>
      </c>
      <c r="AK182" s="24" t="str">
        <f>IF(A182="","",COUNTIFS(加仓管理!$A$2:$A$1001,A182,加仓管理!$G$2:$G$1001,"&gt;0"))</f>
        <v/>
      </c>
      <c r="AL182" s="24" t="str">
        <f>IF(A182="","",SUMIFS(加仓管理!$G$2:$G$1001,加仓管理!$A$2:$A$1001,A182))</f>
        <v/>
      </c>
      <c r="AM182" s="25" t="str">
        <f>IF(AK182=0,"",IFERROR(LOOKUP(2,1/((加仓管理!$A$2:$A$1001=A182)*(加仓管理!$G$2:$G$1001&gt;0)),加仓管理!$D$2:$D$1001),""))</f>
        <v/>
      </c>
      <c r="AN182" s="25" t="str">
        <f>IF(AK182=0,"",IFERROR(LOOKUP(2,1/((加仓管理!$A$2:$A$1001=A182)*(加仓管理!$G$2:$G$1001&gt;0)),加仓管理!$E$2:$E$1001),""))</f>
        <v/>
      </c>
      <c r="AO182" s="25" t="str">
        <f>IF(OR(A182="",H182="",H182&lt;=0),"",(E182*H182+SUMIFS(加仓管理!$H$2:$H$1001,加仓管理!$A$2:$A$1001,A182))/AP182)</f>
        <v/>
      </c>
      <c r="AP182" s="24" t="str">
        <f t="shared" si="65"/>
        <v/>
      </c>
      <c r="AQ182" s="25" t="str">
        <f>IF(A182="","",IF(M182&lt;&gt;"",0,IF(OR(H182="",N182=""),"",MAX((E182*H182+SUMIFS(加仓管理!$H$2:$H$1001,加仓管理!$A$2:$A$1001,A182))-MAX(N182,AN182)*AP182,0))))</f>
        <v/>
      </c>
      <c r="AR182" s="25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21"/>
      <c r="B183" s="21"/>
      <c r="C183" s="7"/>
      <c r="D183" s="4"/>
      <c r="E183" s="7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1"/>
      <c r="I183" s="22"/>
      <c r="J183" s="7"/>
      <c r="K183" s="3"/>
      <c r="L183" s="6" t="str">
        <f t="shared" si="56"/>
        <v/>
      </c>
      <c r="M183" s="40"/>
      <c r="N183" s="7"/>
      <c r="O183" s="7"/>
      <c r="P183" s="3"/>
      <c r="Q183" s="21"/>
      <c r="R183" s="21"/>
      <c r="S183" s="21"/>
      <c r="T183" s="21"/>
      <c r="U183" s="5" t="str">
        <f t="shared" si="57"/>
        <v/>
      </c>
      <c r="V183" s="5" t="str">
        <f t="shared" si="58"/>
        <v/>
      </c>
      <c r="W183" s="23" t="str">
        <f t="shared" si="59"/>
        <v/>
      </c>
      <c r="X183" s="3" t="str">
        <f t="shared" si="60"/>
        <v/>
      </c>
      <c r="Y183" s="5" t="str">
        <f t="shared" si="61"/>
        <v/>
      </c>
      <c r="Z183" s="5" t="str">
        <f>IF(OR(AE183="",多次统计数据!$B$8=""),"",AE183-多次统计数据!$B$8)</f>
        <v/>
      </c>
      <c r="AA183" s="8" t="str">
        <f t="shared" si="62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1"/>
      <c r="AE183" s="5" t="str">
        <f t="shared" si="63"/>
        <v/>
      </c>
      <c r="AG183" s="21"/>
      <c r="AH183" s="21"/>
      <c r="AI183" s="21"/>
      <c r="AJ183" s="6" t="str">
        <f t="shared" si="64"/>
        <v/>
      </c>
      <c r="AK183" s="24" t="str">
        <f>IF(A183="","",COUNTIFS(加仓管理!$A$2:$A$1001,A183,加仓管理!$G$2:$G$1001,"&gt;0"))</f>
        <v/>
      </c>
      <c r="AL183" s="24" t="str">
        <f>IF(A183="","",SUMIFS(加仓管理!$G$2:$G$1001,加仓管理!$A$2:$A$1001,A183))</f>
        <v/>
      </c>
      <c r="AM183" s="25" t="str">
        <f>IF(AK183=0,"",IFERROR(LOOKUP(2,1/((加仓管理!$A$2:$A$1001=A183)*(加仓管理!$G$2:$G$1001&gt;0)),加仓管理!$D$2:$D$1001),""))</f>
        <v/>
      </c>
      <c r="AN183" s="25" t="str">
        <f>IF(AK183=0,"",IFERROR(LOOKUP(2,1/((加仓管理!$A$2:$A$1001=A183)*(加仓管理!$G$2:$G$1001&gt;0)),加仓管理!$E$2:$E$1001),""))</f>
        <v/>
      </c>
      <c r="AO183" s="25" t="str">
        <f>IF(OR(A183="",H183="",H183&lt;=0),"",(E183*H183+SUMIFS(加仓管理!$H$2:$H$1001,加仓管理!$A$2:$A$1001,A183))/AP183)</f>
        <v/>
      </c>
      <c r="AP183" s="24" t="str">
        <f t="shared" si="65"/>
        <v/>
      </c>
      <c r="AQ183" s="25" t="str">
        <f>IF(A183="","",IF(M183&lt;&gt;"",0,IF(OR(H183="",N183=""),"",MAX((E183*H183+SUMIFS(加仓管理!$H$2:$H$1001,加仓管理!$A$2:$A$1001,A183))-MAX(N183,AN183)*AP183,0))))</f>
        <v/>
      </c>
      <c r="AR183" s="25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21"/>
      <c r="B184" s="21"/>
      <c r="C184" s="7"/>
      <c r="D184" s="4"/>
      <c r="E184" s="7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1"/>
      <c r="I184" s="22"/>
      <c r="J184" s="7"/>
      <c r="K184" s="3"/>
      <c r="L184" s="6" t="str">
        <f t="shared" si="56"/>
        <v/>
      </c>
      <c r="M184" s="40"/>
      <c r="N184" s="7"/>
      <c r="O184" s="7"/>
      <c r="P184" s="3"/>
      <c r="Q184" s="21"/>
      <c r="R184" s="21"/>
      <c r="S184" s="21"/>
      <c r="T184" s="21"/>
      <c r="U184" s="5" t="str">
        <f t="shared" si="57"/>
        <v/>
      </c>
      <c r="V184" s="5" t="str">
        <f t="shared" si="58"/>
        <v/>
      </c>
      <c r="W184" s="23" t="str">
        <f t="shared" si="59"/>
        <v/>
      </c>
      <c r="X184" s="3" t="str">
        <f t="shared" si="60"/>
        <v/>
      </c>
      <c r="Y184" s="5" t="str">
        <f t="shared" si="61"/>
        <v/>
      </c>
      <c r="Z184" s="5" t="str">
        <f>IF(OR(AE184="",多次统计数据!$B$8=""),"",AE184-多次统计数据!$B$8)</f>
        <v/>
      </c>
      <c r="AA184" s="8" t="str">
        <f t="shared" si="62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1"/>
      <c r="AE184" s="5" t="str">
        <f t="shared" si="63"/>
        <v/>
      </c>
      <c r="AG184" s="21"/>
      <c r="AH184" s="21"/>
      <c r="AI184" s="21"/>
      <c r="AJ184" s="6" t="str">
        <f t="shared" si="64"/>
        <v/>
      </c>
      <c r="AK184" s="24" t="str">
        <f>IF(A184="","",COUNTIFS(加仓管理!$A$2:$A$1001,A184,加仓管理!$G$2:$G$1001,"&gt;0"))</f>
        <v/>
      </c>
      <c r="AL184" s="24" t="str">
        <f>IF(A184="","",SUMIFS(加仓管理!$G$2:$G$1001,加仓管理!$A$2:$A$1001,A184))</f>
        <v/>
      </c>
      <c r="AM184" s="25" t="str">
        <f>IF(AK184=0,"",IFERROR(LOOKUP(2,1/((加仓管理!$A$2:$A$1001=A184)*(加仓管理!$G$2:$G$1001&gt;0)),加仓管理!$D$2:$D$1001),""))</f>
        <v/>
      </c>
      <c r="AN184" s="25" t="str">
        <f>IF(AK184=0,"",IFERROR(LOOKUP(2,1/((加仓管理!$A$2:$A$1001=A184)*(加仓管理!$G$2:$G$1001&gt;0)),加仓管理!$E$2:$E$1001),""))</f>
        <v/>
      </c>
      <c r="AO184" s="25" t="str">
        <f>IF(OR(A184="",H184="",H184&lt;=0),"",(E184*H184+SUMIFS(加仓管理!$H$2:$H$1001,加仓管理!$A$2:$A$1001,A184))/AP184)</f>
        <v/>
      </c>
      <c r="AP184" s="24" t="str">
        <f t="shared" si="65"/>
        <v/>
      </c>
      <c r="AQ184" s="25" t="str">
        <f>IF(A184="","",IF(M184&lt;&gt;"",0,IF(OR(H184="",N184=""),"",MAX((E184*H184+SUMIFS(加仓管理!$H$2:$H$1001,加仓管理!$A$2:$A$1001,A184))-MAX(N184,AN184)*AP184,0))))</f>
        <v/>
      </c>
      <c r="AR184" s="25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21"/>
      <c r="B185" s="21"/>
      <c r="C185" s="7"/>
      <c r="D185" s="4"/>
      <c r="E185" s="7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1"/>
      <c r="I185" s="22"/>
      <c r="J185" s="7"/>
      <c r="K185" s="3"/>
      <c r="L185" s="6" t="str">
        <f t="shared" si="56"/>
        <v/>
      </c>
      <c r="M185" s="40"/>
      <c r="N185" s="7"/>
      <c r="O185" s="7"/>
      <c r="P185" s="3"/>
      <c r="Q185" s="21"/>
      <c r="R185" s="21"/>
      <c r="S185" s="21"/>
      <c r="T185" s="21"/>
      <c r="U185" s="5" t="str">
        <f t="shared" si="57"/>
        <v/>
      </c>
      <c r="V185" s="5" t="str">
        <f t="shared" si="58"/>
        <v/>
      </c>
      <c r="W185" s="23" t="str">
        <f t="shared" si="59"/>
        <v/>
      </c>
      <c r="X185" s="3" t="str">
        <f t="shared" si="60"/>
        <v/>
      </c>
      <c r="Y185" s="5" t="str">
        <f t="shared" si="61"/>
        <v/>
      </c>
      <c r="Z185" s="5" t="str">
        <f>IF(OR(AE185="",多次统计数据!$B$8=""),"",AE185-多次统计数据!$B$8)</f>
        <v/>
      </c>
      <c r="AA185" s="8" t="str">
        <f t="shared" si="62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1"/>
      <c r="AE185" s="5" t="str">
        <f t="shared" si="63"/>
        <v/>
      </c>
      <c r="AG185" s="21"/>
      <c r="AH185" s="21"/>
      <c r="AI185" s="21"/>
      <c r="AJ185" s="6" t="str">
        <f t="shared" si="64"/>
        <v/>
      </c>
      <c r="AK185" s="24" t="str">
        <f>IF(A185="","",COUNTIFS(加仓管理!$A$2:$A$1001,A185,加仓管理!$G$2:$G$1001,"&gt;0"))</f>
        <v/>
      </c>
      <c r="AL185" s="24" t="str">
        <f>IF(A185="","",SUMIFS(加仓管理!$G$2:$G$1001,加仓管理!$A$2:$A$1001,A185))</f>
        <v/>
      </c>
      <c r="AM185" s="25" t="str">
        <f>IF(AK185=0,"",IFERROR(LOOKUP(2,1/((加仓管理!$A$2:$A$1001=A185)*(加仓管理!$G$2:$G$1001&gt;0)),加仓管理!$D$2:$D$1001),""))</f>
        <v/>
      </c>
      <c r="AN185" s="25" t="str">
        <f>IF(AK185=0,"",IFERROR(LOOKUP(2,1/((加仓管理!$A$2:$A$1001=A185)*(加仓管理!$G$2:$G$1001&gt;0)),加仓管理!$E$2:$E$1001),""))</f>
        <v/>
      </c>
      <c r="AO185" s="25" t="str">
        <f>IF(OR(A185="",H185="",H185&lt;=0),"",(E185*H185+SUMIFS(加仓管理!$H$2:$H$1001,加仓管理!$A$2:$A$1001,A185))/AP185)</f>
        <v/>
      </c>
      <c r="AP185" s="24" t="str">
        <f t="shared" si="65"/>
        <v/>
      </c>
      <c r="AQ185" s="25" t="str">
        <f>IF(A185="","",IF(M185&lt;&gt;"",0,IF(OR(H185="",N185=""),"",MAX((E185*H185+SUMIFS(加仓管理!$H$2:$H$1001,加仓管理!$A$2:$A$1001,A185))-MAX(N185,AN185)*AP185,0))))</f>
        <v/>
      </c>
      <c r="AR185" s="25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21"/>
      <c r="B186" s="21"/>
      <c r="C186" s="7"/>
      <c r="D186" s="4"/>
      <c r="E186" s="7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1"/>
      <c r="I186" s="22"/>
      <c r="J186" s="7"/>
      <c r="K186" s="3"/>
      <c r="L186" s="6" t="str">
        <f t="shared" si="56"/>
        <v/>
      </c>
      <c r="M186" s="40"/>
      <c r="N186" s="7"/>
      <c r="O186" s="7"/>
      <c r="P186" s="3"/>
      <c r="Q186" s="21"/>
      <c r="R186" s="21"/>
      <c r="S186" s="21"/>
      <c r="T186" s="21"/>
      <c r="U186" s="5" t="str">
        <f t="shared" si="57"/>
        <v/>
      </c>
      <c r="V186" s="5" t="str">
        <f t="shared" si="58"/>
        <v/>
      </c>
      <c r="W186" s="23" t="str">
        <f t="shared" si="59"/>
        <v/>
      </c>
      <c r="X186" s="3" t="str">
        <f t="shared" si="60"/>
        <v/>
      </c>
      <c r="Y186" s="5" t="str">
        <f t="shared" si="61"/>
        <v/>
      </c>
      <c r="Z186" s="5" t="str">
        <f>IF(OR(AE186="",多次统计数据!$B$8=""),"",AE186-多次统计数据!$B$8)</f>
        <v/>
      </c>
      <c r="AA186" s="8" t="str">
        <f t="shared" si="62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1"/>
      <c r="AE186" s="5" t="str">
        <f t="shared" si="63"/>
        <v/>
      </c>
      <c r="AG186" s="21"/>
      <c r="AH186" s="21"/>
      <c r="AI186" s="21"/>
      <c r="AJ186" s="6" t="str">
        <f t="shared" si="64"/>
        <v/>
      </c>
      <c r="AK186" s="24" t="str">
        <f>IF(A186="","",COUNTIFS(加仓管理!$A$2:$A$1001,A186,加仓管理!$G$2:$G$1001,"&gt;0"))</f>
        <v/>
      </c>
      <c r="AL186" s="24" t="str">
        <f>IF(A186="","",SUMIFS(加仓管理!$G$2:$G$1001,加仓管理!$A$2:$A$1001,A186))</f>
        <v/>
      </c>
      <c r="AM186" s="25" t="str">
        <f>IF(AK186=0,"",IFERROR(LOOKUP(2,1/((加仓管理!$A$2:$A$1001=A186)*(加仓管理!$G$2:$G$1001&gt;0)),加仓管理!$D$2:$D$1001),""))</f>
        <v/>
      </c>
      <c r="AN186" s="25" t="str">
        <f>IF(AK186=0,"",IFERROR(LOOKUP(2,1/((加仓管理!$A$2:$A$1001=A186)*(加仓管理!$G$2:$G$1001&gt;0)),加仓管理!$E$2:$E$1001),""))</f>
        <v/>
      </c>
      <c r="AO186" s="25" t="str">
        <f>IF(OR(A186="",H186="",H186&lt;=0),"",(E186*H186+SUMIFS(加仓管理!$H$2:$H$1001,加仓管理!$A$2:$A$1001,A186))/AP186)</f>
        <v/>
      </c>
      <c r="AP186" s="24" t="str">
        <f t="shared" si="65"/>
        <v/>
      </c>
      <c r="AQ186" s="25" t="str">
        <f>IF(A186="","",IF(M186&lt;&gt;"",0,IF(OR(H186="",N186=""),"",MAX((E186*H186+SUMIFS(加仓管理!$H$2:$H$1001,加仓管理!$A$2:$A$1001,A186))-MAX(N186,AN186)*AP186,0))))</f>
        <v/>
      </c>
      <c r="AR186" s="25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21"/>
      <c r="B187" s="21"/>
      <c r="C187" s="7"/>
      <c r="D187" s="4"/>
      <c r="E187" s="7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1"/>
      <c r="I187" s="22"/>
      <c r="J187" s="7"/>
      <c r="K187" s="3"/>
      <c r="L187" s="6" t="str">
        <f t="shared" si="56"/>
        <v/>
      </c>
      <c r="M187" s="40"/>
      <c r="N187" s="7"/>
      <c r="O187" s="7"/>
      <c r="P187" s="3"/>
      <c r="Q187" s="21"/>
      <c r="R187" s="21"/>
      <c r="S187" s="21"/>
      <c r="T187" s="21"/>
      <c r="U187" s="5" t="str">
        <f t="shared" si="57"/>
        <v/>
      </c>
      <c r="V187" s="5" t="str">
        <f t="shared" si="58"/>
        <v/>
      </c>
      <c r="W187" s="23" t="str">
        <f t="shared" si="59"/>
        <v/>
      </c>
      <c r="X187" s="3" t="str">
        <f t="shared" si="60"/>
        <v/>
      </c>
      <c r="Y187" s="5" t="str">
        <f t="shared" si="61"/>
        <v/>
      </c>
      <c r="Z187" s="5" t="str">
        <f>IF(OR(AE187="",多次统计数据!$B$8=""),"",AE187-多次统计数据!$B$8)</f>
        <v/>
      </c>
      <c r="AA187" s="8" t="str">
        <f t="shared" si="62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1"/>
      <c r="AE187" s="5" t="str">
        <f t="shared" si="63"/>
        <v/>
      </c>
      <c r="AG187" s="21"/>
      <c r="AH187" s="21"/>
      <c r="AI187" s="21"/>
      <c r="AJ187" s="6" t="str">
        <f t="shared" si="64"/>
        <v/>
      </c>
      <c r="AK187" s="24" t="str">
        <f>IF(A187="","",COUNTIFS(加仓管理!$A$2:$A$1001,A187,加仓管理!$G$2:$G$1001,"&gt;0"))</f>
        <v/>
      </c>
      <c r="AL187" s="24" t="str">
        <f>IF(A187="","",SUMIFS(加仓管理!$G$2:$G$1001,加仓管理!$A$2:$A$1001,A187))</f>
        <v/>
      </c>
      <c r="AM187" s="25" t="str">
        <f>IF(AK187=0,"",IFERROR(LOOKUP(2,1/((加仓管理!$A$2:$A$1001=A187)*(加仓管理!$G$2:$G$1001&gt;0)),加仓管理!$D$2:$D$1001),""))</f>
        <v/>
      </c>
      <c r="AN187" s="25" t="str">
        <f>IF(AK187=0,"",IFERROR(LOOKUP(2,1/((加仓管理!$A$2:$A$1001=A187)*(加仓管理!$G$2:$G$1001&gt;0)),加仓管理!$E$2:$E$1001),""))</f>
        <v/>
      </c>
      <c r="AO187" s="25" t="str">
        <f>IF(OR(A187="",H187="",H187&lt;=0),"",(E187*H187+SUMIFS(加仓管理!$H$2:$H$1001,加仓管理!$A$2:$A$1001,A187))/AP187)</f>
        <v/>
      </c>
      <c r="AP187" s="24" t="str">
        <f t="shared" si="65"/>
        <v/>
      </c>
      <c r="AQ187" s="25" t="str">
        <f>IF(A187="","",IF(M187&lt;&gt;"",0,IF(OR(H187="",N187=""),"",MAX((E187*H187+SUMIFS(加仓管理!$H$2:$H$1001,加仓管理!$A$2:$A$1001,A187))-MAX(N187,AN187)*AP187,0))))</f>
        <v/>
      </c>
      <c r="AR187" s="25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21"/>
      <c r="B188" s="21"/>
      <c r="C188" s="7"/>
      <c r="D188" s="4"/>
      <c r="E188" s="7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1"/>
      <c r="I188" s="22"/>
      <c r="J188" s="7"/>
      <c r="K188" s="3"/>
      <c r="L188" s="6" t="str">
        <f t="shared" si="56"/>
        <v/>
      </c>
      <c r="M188" s="40"/>
      <c r="N188" s="7"/>
      <c r="O188" s="7"/>
      <c r="P188" s="3"/>
      <c r="Q188" s="21"/>
      <c r="R188" s="21"/>
      <c r="S188" s="21"/>
      <c r="T188" s="21"/>
      <c r="U188" s="5" t="str">
        <f t="shared" si="57"/>
        <v/>
      </c>
      <c r="V188" s="5" t="str">
        <f t="shared" si="58"/>
        <v/>
      </c>
      <c r="W188" s="23" t="str">
        <f t="shared" si="59"/>
        <v/>
      </c>
      <c r="X188" s="3" t="str">
        <f t="shared" si="60"/>
        <v/>
      </c>
      <c r="Y188" s="5" t="str">
        <f t="shared" si="61"/>
        <v/>
      </c>
      <c r="Z188" s="5" t="str">
        <f>IF(OR(AE188="",多次统计数据!$B$8=""),"",AE188-多次统计数据!$B$8)</f>
        <v/>
      </c>
      <c r="AA188" s="8" t="str">
        <f t="shared" si="62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1"/>
      <c r="AE188" s="5" t="str">
        <f t="shared" si="63"/>
        <v/>
      </c>
      <c r="AG188" s="21"/>
      <c r="AH188" s="21"/>
      <c r="AI188" s="21"/>
      <c r="AJ188" s="6" t="str">
        <f t="shared" si="64"/>
        <v/>
      </c>
      <c r="AK188" s="24" t="str">
        <f>IF(A188="","",COUNTIFS(加仓管理!$A$2:$A$1001,A188,加仓管理!$G$2:$G$1001,"&gt;0"))</f>
        <v/>
      </c>
      <c r="AL188" s="24" t="str">
        <f>IF(A188="","",SUMIFS(加仓管理!$G$2:$G$1001,加仓管理!$A$2:$A$1001,A188))</f>
        <v/>
      </c>
      <c r="AM188" s="25" t="str">
        <f>IF(AK188=0,"",IFERROR(LOOKUP(2,1/((加仓管理!$A$2:$A$1001=A188)*(加仓管理!$G$2:$G$1001&gt;0)),加仓管理!$D$2:$D$1001),""))</f>
        <v/>
      </c>
      <c r="AN188" s="25" t="str">
        <f>IF(AK188=0,"",IFERROR(LOOKUP(2,1/((加仓管理!$A$2:$A$1001=A188)*(加仓管理!$G$2:$G$1001&gt;0)),加仓管理!$E$2:$E$1001),""))</f>
        <v/>
      </c>
      <c r="AO188" s="25" t="str">
        <f>IF(OR(A188="",H188="",H188&lt;=0),"",(E188*H188+SUMIFS(加仓管理!$H$2:$H$1001,加仓管理!$A$2:$A$1001,A188))/AP188)</f>
        <v/>
      </c>
      <c r="AP188" s="24" t="str">
        <f t="shared" si="65"/>
        <v/>
      </c>
      <c r="AQ188" s="25" t="str">
        <f>IF(A188="","",IF(M188&lt;&gt;"",0,IF(OR(H188="",N188=""),"",MAX((E188*H188+SUMIFS(加仓管理!$H$2:$H$1001,加仓管理!$A$2:$A$1001,A188))-MAX(N188,AN188)*AP188,0))))</f>
        <v/>
      </c>
      <c r="AR188" s="25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21"/>
      <c r="B189" s="21"/>
      <c r="C189" s="7"/>
      <c r="D189" s="4"/>
      <c r="E189" s="7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1"/>
      <c r="I189" s="22"/>
      <c r="J189" s="7"/>
      <c r="K189" s="3"/>
      <c r="L189" s="6" t="str">
        <f t="shared" si="56"/>
        <v/>
      </c>
      <c r="M189" s="40"/>
      <c r="N189" s="7"/>
      <c r="O189" s="7"/>
      <c r="P189" s="3"/>
      <c r="Q189" s="21"/>
      <c r="R189" s="21"/>
      <c r="S189" s="21"/>
      <c r="T189" s="21"/>
      <c r="U189" s="5" t="str">
        <f t="shared" si="57"/>
        <v/>
      </c>
      <c r="V189" s="5" t="str">
        <f t="shared" si="58"/>
        <v/>
      </c>
      <c r="W189" s="23" t="str">
        <f t="shared" si="59"/>
        <v/>
      </c>
      <c r="X189" s="3" t="str">
        <f t="shared" si="60"/>
        <v/>
      </c>
      <c r="Y189" s="5" t="str">
        <f t="shared" si="61"/>
        <v/>
      </c>
      <c r="Z189" s="5" t="str">
        <f>IF(OR(AE189="",多次统计数据!$B$8=""),"",AE189-多次统计数据!$B$8)</f>
        <v/>
      </c>
      <c r="AA189" s="8" t="str">
        <f t="shared" si="62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1"/>
      <c r="AE189" s="5" t="str">
        <f t="shared" si="63"/>
        <v/>
      </c>
      <c r="AG189" s="21"/>
      <c r="AH189" s="21"/>
      <c r="AI189" s="21"/>
      <c r="AJ189" s="6" t="str">
        <f t="shared" si="64"/>
        <v/>
      </c>
      <c r="AK189" s="24" t="str">
        <f>IF(A189="","",COUNTIFS(加仓管理!$A$2:$A$1001,A189,加仓管理!$G$2:$G$1001,"&gt;0"))</f>
        <v/>
      </c>
      <c r="AL189" s="24" t="str">
        <f>IF(A189="","",SUMIFS(加仓管理!$G$2:$G$1001,加仓管理!$A$2:$A$1001,A189))</f>
        <v/>
      </c>
      <c r="AM189" s="25" t="str">
        <f>IF(AK189=0,"",IFERROR(LOOKUP(2,1/((加仓管理!$A$2:$A$1001=A189)*(加仓管理!$G$2:$G$1001&gt;0)),加仓管理!$D$2:$D$1001),""))</f>
        <v/>
      </c>
      <c r="AN189" s="25" t="str">
        <f>IF(AK189=0,"",IFERROR(LOOKUP(2,1/((加仓管理!$A$2:$A$1001=A189)*(加仓管理!$G$2:$G$1001&gt;0)),加仓管理!$E$2:$E$1001),""))</f>
        <v/>
      </c>
      <c r="AO189" s="25" t="str">
        <f>IF(OR(A189="",H189="",H189&lt;=0),"",(E189*H189+SUMIFS(加仓管理!$H$2:$H$1001,加仓管理!$A$2:$A$1001,A189))/AP189)</f>
        <v/>
      </c>
      <c r="AP189" s="24" t="str">
        <f t="shared" si="65"/>
        <v/>
      </c>
      <c r="AQ189" s="25" t="str">
        <f>IF(A189="","",IF(M189&lt;&gt;"",0,IF(OR(H189="",N189=""),"",MAX((E189*H189+SUMIFS(加仓管理!$H$2:$H$1001,加仓管理!$A$2:$A$1001,A189))-MAX(N189,AN189)*AP189,0))))</f>
        <v/>
      </c>
      <c r="AR189" s="25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21"/>
      <c r="B190" s="21"/>
      <c r="C190" s="7"/>
      <c r="D190" s="4"/>
      <c r="E190" s="7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1"/>
      <c r="I190" s="22"/>
      <c r="J190" s="7"/>
      <c r="K190" s="3"/>
      <c r="L190" s="6" t="str">
        <f t="shared" si="56"/>
        <v/>
      </c>
      <c r="M190" s="40"/>
      <c r="N190" s="7"/>
      <c r="O190" s="7"/>
      <c r="P190" s="3"/>
      <c r="Q190" s="21"/>
      <c r="R190" s="21"/>
      <c r="S190" s="21"/>
      <c r="T190" s="21"/>
      <c r="U190" s="5" t="str">
        <f t="shared" si="57"/>
        <v/>
      </c>
      <c r="V190" s="5" t="str">
        <f t="shared" si="58"/>
        <v/>
      </c>
      <c r="W190" s="23" t="str">
        <f t="shared" si="59"/>
        <v/>
      </c>
      <c r="X190" s="3" t="str">
        <f t="shared" si="60"/>
        <v/>
      </c>
      <c r="Y190" s="5" t="str">
        <f t="shared" si="61"/>
        <v/>
      </c>
      <c r="Z190" s="5" t="str">
        <f>IF(OR(AE190="",多次统计数据!$B$8=""),"",AE190-多次统计数据!$B$8)</f>
        <v/>
      </c>
      <c r="AA190" s="8" t="str">
        <f t="shared" si="62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1"/>
      <c r="AE190" s="5" t="str">
        <f t="shared" si="63"/>
        <v/>
      </c>
      <c r="AG190" s="21"/>
      <c r="AH190" s="21"/>
      <c r="AI190" s="21"/>
      <c r="AJ190" s="6" t="str">
        <f t="shared" si="64"/>
        <v/>
      </c>
      <c r="AK190" s="24" t="str">
        <f>IF(A190="","",COUNTIFS(加仓管理!$A$2:$A$1001,A190,加仓管理!$G$2:$G$1001,"&gt;0"))</f>
        <v/>
      </c>
      <c r="AL190" s="24" t="str">
        <f>IF(A190="","",SUMIFS(加仓管理!$G$2:$G$1001,加仓管理!$A$2:$A$1001,A190))</f>
        <v/>
      </c>
      <c r="AM190" s="25" t="str">
        <f>IF(AK190=0,"",IFERROR(LOOKUP(2,1/((加仓管理!$A$2:$A$1001=A190)*(加仓管理!$G$2:$G$1001&gt;0)),加仓管理!$D$2:$D$1001),""))</f>
        <v/>
      </c>
      <c r="AN190" s="25" t="str">
        <f>IF(AK190=0,"",IFERROR(LOOKUP(2,1/((加仓管理!$A$2:$A$1001=A190)*(加仓管理!$G$2:$G$1001&gt;0)),加仓管理!$E$2:$E$1001),""))</f>
        <v/>
      </c>
      <c r="AO190" s="25" t="str">
        <f>IF(OR(A190="",H190="",H190&lt;=0),"",(E190*H190+SUMIFS(加仓管理!$H$2:$H$1001,加仓管理!$A$2:$A$1001,A190))/AP190)</f>
        <v/>
      </c>
      <c r="AP190" s="24" t="str">
        <f t="shared" si="65"/>
        <v/>
      </c>
      <c r="AQ190" s="25" t="str">
        <f>IF(A190="","",IF(M190&lt;&gt;"",0,IF(OR(H190="",N190=""),"",MAX((E190*H190+SUMIFS(加仓管理!$H$2:$H$1001,加仓管理!$A$2:$A$1001,A190))-MAX(N190,AN190)*AP190,0))))</f>
        <v/>
      </c>
      <c r="AR190" s="25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21"/>
      <c r="B191" s="21"/>
      <c r="C191" s="7"/>
      <c r="D191" s="4"/>
      <c r="E191" s="7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1"/>
      <c r="I191" s="22"/>
      <c r="J191" s="7"/>
      <c r="K191" s="3"/>
      <c r="L191" s="6" t="str">
        <f t="shared" si="56"/>
        <v/>
      </c>
      <c r="M191" s="40"/>
      <c r="N191" s="7"/>
      <c r="O191" s="7"/>
      <c r="P191" s="3"/>
      <c r="Q191" s="21"/>
      <c r="R191" s="21"/>
      <c r="S191" s="21"/>
      <c r="T191" s="21"/>
      <c r="U191" s="5" t="str">
        <f t="shared" si="57"/>
        <v/>
      </c>
      <c r="V191" s="5" t="str">
        <f t="shared" si="58"/>
        <v/>
      </c>
      <c r="W191" s="23" t="str">
        <f t="shared" si="59"/>
        <v/>
      </c>
      <c r="X191" s="3" t="str">
        <f t="shared" si="60"/>
        <v/>
      </c>
      <c r="Y191" s="5" t="str">
        <f t="shared" si="61"/>
        <v/>
      </c>
      <c r="Z191" s="5" t="str">
        <f>IF(OR(AE191="",多次统计数据!$B$8=""),"",AE191-多次统计数据!$B$8)</f>
        <v/>
      </c>
      <c r="AA191" s="8" t="str">
        <f t="shared" si="62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1"/>
      <c r="AE191" s="5" t="str">
        <f t="shared" si="63"/>
        <v/>
      </c>
      <c r="AG191" s="21"/>
      <c r="AH191" s="21"/>
      <c r="AI191" s="21"/>
      <c r="AJ191" s="6" t="str">
        <f t="shared" si="64"/>
        <v/>
      </c>
      <c r="AK191" s="24" t="str">
        <f>IF(A191="","",COUNTIFS(加仓管理!$A$2:$A$1001,A191,加仓管理!$G$2:$G$1001,"&gt;0"))</f>
        <v/>
      </c>
      <c r="AL191" s="24" t="str">
        <f>IF(A191="","",SUMIFS(加仓管理!$G$2:$G$1001,加仓管理!$A$2:$A$1001,A191))</f>
        <v/>
      </c>
      <c r="AM191" s="25" t="str">
        <f>IF(AK191=0,"",IFERROR(LOOKUP(2,1/((加仓管理!$A$2:$A$1001=A191)*(加仓管理!$G$2:$G$1001&gt;0)),加仓管理!$D$2:$D$1001),""))</f>
        <v/>
      </c>
      <c r="AN191" s="25" t="str">
        <f>IF(AK191=0,"",IFERROR(LOOKUP(2,1/((加仓管理!$A$2:$A$1001=A191)*(加仓管理!$G$2:$G$1001&gt;0)),加仓管理!$E$2:$E$1001),""))</f>
        <v/>
      </c>
      <c r="AO191" s="25" t="str">
        <f>IF(OR(A191="",H191="",H191&lt;=0),"",(E191*H191+SUMIFS(加仓管理!$H$2:$H$1001,加仓管理!$A$2:$A$1001,A191))/AP191)</f>
        <v/>
      </c>
      <c r="AP191" s="24" t="str">
        <f t="shared" si="65"/>
        <v/>
      </c>
      <c r="AQ191" s="25" t="str">
        <f>IF(A191="","",IF(M191&lt;&gt;"",0,IF(OR(H191="",N191=""),"",MAX((E191*H191+SUMIFS(加仓管理!$H$2:$H$1001,加仓管理!$A$2:$A$1001,A191))-MAX(N191,AN191)*AP191,0))))</f>
        <v/>
      </c>
      <c r="AR191" s="25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21"/>
      <c r="B192" s="21"/>
      <c r="C192" s="7"/>
      <c r="D192" s="4"/>
      <c r="E192" s="7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1"/>
      <c r="I192" s="22"/>
      <c r="J192" s="7"/>
      <c r="K192" s="3"/>
      <c r="L192" s="6" t="str">
        <f t="shared" si="56"/>
        <v/>
      </c>
      <c r="M192" s="40"/>
      <c r="N192" s="7"/>
      <c r="O192" s="7"/>
      <c r="P192" s="3"/>
      <c r="Q192" s="21"/>
      <c r="R192" s="21"/>
      <c r="S192" s="21"/>
      <c r="T192" s="21"/>
      <c r="U192" s="5" t="str">
        <f t="shared" si="57"/>
        <v/>
      </c>
      <c r="V192" s="5" t="str">
        <f t="shared" si="58"/>
        <v/>
      </c>
      <c r="W192" s="23" t="str">
        <f t="shared" si="59"/>
        <v/>
      </c>
      <c r="X192" s="3" t="str">
        <f t="shared" si="60"/>
        <v/>
      </c>
      <c r="Y192" s="5" t="str">
        <f t="shared" si="61"/>
        <v/>
      </c>
      <c r="Z192" s="5" t="str">
        <f>IF(OR(AE192="",多次统计数据!$B$8=""),"",AE192-多次统计数据!$B$8)</f>
        <v/>
      </c>
      <c r="AA192" s="8" t="str">
        <f t="shared" si="62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1"/>
      <c r="AE192" s="5" t="str">
        <f t="shared" si="63"/>
        <v/>
      </c>
      <c r="AG192" s="21"/>
      <c r="AH192" s="21"/>
      <c r="AI192" s="21"/>
      <c r="AJ192" s="6" t="str">
        <f t="shared" si="64"/>
        <v/>
      </c>
      <c r="AK192" s="24" t="str">
        <f>IF(A192="","",COUNTIFS(加仓管理!$A$2:$A$1001,A192,加仓管理!$G$2:$G$1001,"&gt;0"))</f>
        <v/>
      </c>
      <c r="AL192" s="24" t="str">
        <f>IF(A192="","",SUMIFS(加仓管理!$G$2:$G$1001,加仓管理!$A$2:$A$1001,A192))</f>
        <v/>
      </c>
      <c r="AM192" s="25" t="str">
        <f>IF(AK192=0,"",IFERROR(LOOKUP(2,1/((加仓管理!$A$2:$A$1001=A192)*(加仓管理!$G$2:$G$1001&gt;0)),加仓管理!$D$2:$D$1001),""))</f>
        <v/>
      </c>
      <c r="AN192" s="25" t="str">
        <f>IF(AK192=0,"",IFERROR(LOOKUP(2,1/((加仓管理!$A$2:$A$1001=A192)*(加仓管理!$G$2:$G$1001&gt;0)),加仓管理!$E$2:$E$1001),""))</f>
        <v/>
      </c>
      <c r="AO192" s="25" t="str">
        <f>IF(OR(A192="",H192="",H192&lt;=0),"",(E192*H192+SUMIFS(加仓管理!$H$2:$H$1001,加仓管理!$A$2:$A$1001,A192))/AP192)</f>
        <v/>
      </c>
      <c r="AP192" s="24" t="str">
        <f t="shared" si="65"/>
        <v/>
      </c>
      <c r="AQ192" s="25" t="str">
        <f>IF(A192="","",IF(M192&lt;&gt;"",0,IF(OR(H192="",N192=""),"",MAX((E192*H192+SUMIFS(加仓管理!$H$2:$H$1001,加仓管理!$A$2:$A$1001,A192))-MAX(N192,AN192)*AP192,0))))</f>
        <v/>
      </c>
      <c r="AR192" s="25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21"/>
      <c r="B193" s="21"/>
      <c r="C193" s="7"/>
      <c r="D193" s="4"/>
      <c r="E193" s="7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1"/>
      <c r="I193" s="22"/>
      <c r="J193" s="7"/>
      <c r="K193" s="3"/>
      <c r="L193" s="6" t="str">
        <f t="shared" si="56"/>
        <v/>
      </c>
      <c r="M193" s="40"/>
      <c r="N193" s="7"/>
      <c r="O193" s="7"/>
      <c r="P193" s="3"/>
      <c r="Q193" s="21"/>
      <c r="R193" s="21"/>
      <c r="S193" s="21"/>
      <c r="T193" s="21"/>
      <c r="U193" s="5" t="str">
        <f t="shared" si="57"/>
        <v/>
      </c>
      <c r="V193" s="5" t="str">
        <f t="shared" si="58"/>
        <v/>
      </c>
      <c r="W193" s="23" t="str">
        <f t="shared" si="59"/>
        <v/>
      </c>
      <c r="X193" s="3" t="str">
        <f t="shared" si="60"/>
        <v/>
      </c>
      <c r="Y193" s="5" t="str">
        <f t="shared" si="61"/>
        <v/>
      </c>
      <c r="Z193" s="5" t="str">
        <f>IF(OR(AE193="",多次统计数据!$B$8=""),"",AE193-多次统计数据!$B$8)</f>
        <v/>
      </c>
      <c r="AA193" s="8" t="str">
        <f t="shared" si="62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1"/>
      <c r="AE193" s="5" t="str">
        <f t="shared" si="63"/>
        <v/>
      </c>
      <c r="AG193" s="21"/>
      <c r="AH193" s="21"/>
      <c r="AI193" s="21"/>
      <c r="AJ193" s="6" t="str">
        <f t="shared" si="64"/>
        <v/>
      </c>
      <c r="AK193" s="24" t="str">
        <f>IF(A193="","",COUNTIFS(加仓管理!$A$2:$A$1001,A193,加仓管理!$G$2:$G$1001,"&gt;0"))</f>
        <v/>
      </c>
      <c r="AL193" s="24" t="str">
        <f>IF(A193="","",SUMIFS(加仓管理!$G$2:$G$1001,加仓管理!$A$2:$A$1001,A193))</f>
        <v/>
      </c>
      <c r="AM193" s="25" t="str">
        <f>IF(AK193=0,"",IFERROR(LOOKUP(2,1/((加仓管理!$A$2:$A$1001=A193)*(加仓管理!$G$2:$G$1001&gt;0)),加仓管理!$D$2:$D$1001),""))</f>
        <v/>
      </c>
      <c r="AN193" s="25" t="str">
        <f>IF(AK193=0,"",IFERROR(LOOKUP(2,1/((加仓管理!$A$2:$A$1001=A193)*(加仓管理!$G$2:$G$1001&gt;0)),加仓管理!$E$2:$E$1001),""))</f>
        <v/>
      </c>
      <c r="AO193" s="25" t="str">
        <f>IF(OR(A193="",H193="",H193&lt;=0),"",(E193*H193+SUMIFS(加仓管理!$H$2:$H$1001,加仓管理!$A$2:$A$1001,A193))/AP193)</f>
        <v/>
      </c>
      <c r="AP193" s="24" t="str">
        <f t="shared" si="65"/>
        <v/>
      </c>
      <c r="AQ193" s="25" t="str">
        <f>IF(A193="","",IF(M193&lt;&gt;"",0,IF(OR(H193="",N193=""),"",MAX((E193*H193+SUMIFS(加仓管理!$H$2:$H$1001,加仓管理!$A$2:$A$1001,A193))-MAX(N193,AN193)*AP193,0))))</f>
        <v/>
      </c>
      <c r="AR193" s="25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21"/>
      <c r="B194" s="21"/>
      <c r="C194" s="7"/>
      <c r="D194" s="4"/>
      <c r="E194" s="7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1"/>
      <c r="I194" s="22"/>
      <c r="J194" s="7"/>
      <c r="K194" s="3"/>
      <c r="L194" s="6" t="str">
        <f t="shared" ref="L194:L201" si="67">IF(AP194="","",AP194)</f>
        <v/>
      </c>
      <c r="M194" s="40"/>
      <c r="N194" s="7"/>
      <c r="O194" s="7"/>
      <c r="P194" s="3"/>
      <c r="Q194" s="21"/>
      <c r="R194" s="21"/>
      <c r="S194" s="21"/>
      <c r="T194" s="21"/>
      <c r="U194" s="5" t="str">
        <f t="shared" ref="U194:U201" si="68">IF(OR(AO194="",J194="",AO194&lt;=0),"",(J194-AO194)/AO194)</f>
        <v/>
      </c>
      <c r="V194" s="5" t="str">
        <f t="shared" ref="V194:V201" si="69">IF(OR(AO194="",N194="",AO194&lt;=0),"",(AO194-N194)/AO194)</f>
        <v/>
      </c>
      <c r="W194" s="23" t="str">
        <f t="shared" ref="W194:W201" si="70">IF(OR(U194="",V194="",V194&lt;=0),"",U194/V194)</f>
        <v/>
      </c>
      <c r="X194" s="3" t="str">
        <f t="shared" ref="X194:X201" si="71">IF(OR(K194="",L194="",AO194="",AP194=""),"",(K194-AO194)*L194-IF(O194="",0,O194)-IF(P194="",0,P194))</f>
        <v/>
      </c>
      <c r="Y194" s="5" t="str">
        <f t="shared" ref="Y194:Y201" si="72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73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1"/>
      <c r="AE194" s="5" t="str">
        <f t="shared" ref="AE194:AE201" si="74">IF(OR(X194="",C194="",C194&lt;=0),"",X194/C194)</f>
        <v/>
      </c>
      <c r="AG194" s="21"/>
      <c r="AH194" s="21"/>
      <c r="AI194" s="21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4" t="str">
        <f>IF(A194="","",COUNTIFS(加仓管理!$A$2:$A$1001,A194,加仓管理!$G$2:$G$1001,"&gt;0"))</f>
        <v/>
      </c>
      <c r="AL194" s="24" t="str">
        <f>IF(A194="","",SUMIFS(加仓管理!$G$2:$G$1001,加仓管理!$A$2:$A$1001,A194))</f>
        <v/>
      </c>
      <c r="AM194" s="25" t="str">
        <f>IF(AK194=0,"",IFERROR(LOOKUP(2,1/((加仓管理!$A$2:$A$1001=A194)*(加仓管理!$G$2:$G$1001&gt;0)),加仓管理!$D$2:$D$1001),""))</f>
        <v/>
      </c>
      <c r="AN194" s="25" t="str">
        <f>IF(AK194=0,"",IFERROR(LOOKUP(2,1/((加仓管理!$A$2:$A$1001=A194)*(加仓管理!$G$2:$G$1001&gt;0)),加仓管理!$E$2:$E$1001),""))</f>
        <v/>
      </c>
      <c r="AO194" s="25" t="str">
        <f>IF(OR(A194="",H194="",H194&lt;=0),"",(E194*H194+SUMIFS(加仓管理!$H$2:$H$1001,加仓管理!$A$2:$A$1001,A194))/AP194)</f>
        <v/>
      </c>
      <c r="AP194" s="24" t="str">
        <f t="shared" ref="AP194:AP201" si="76">IF(OR(A194="",H194="",H194&lt;=0),"",H194+AL194)</f>
        <v/>
      </c>
      <c r="AQ194" s="25" t="str">
        <f>IF(A194="","",IF(M194&lt;&gt;"",0,IF(OR(H194="",N194=""),"",MAX((E194*H194+SUMIFS(加仓管理!$H$2:$H$1001,加仓管理!$A$2:$A$1001,A194))-MAX(N194,AN194)*AP194,0))))</f>
        <v/>
      </c>
      <c r="AR194" s="25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21"/>
      <c r="B195" s="21"/>
      <c r="C195" s="7"/>
      <c r="D195" s="4"/>
      <c r="E195" s="7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1"/>
      <c r="I195" s="22"/>
      <c r="J195" s="7"/>
      <c r="K195" s="3"/>
      <c r="L195" s="6" t="str">
        <f t="shared" si="67"/>
        <v/>
      </c>
      <c r="M195" s="40"/>
      <c r="N195" s="7"/>
      <c r="O195" s="7"/>
      <c r="P195" s="3"/>
      <c r="Q195" s="21"/>
      <c r="R195" s="21"/>
      <c r="S195" s="21"/>
      <c r="T195" s="21"/>
      <c r="U195" s="5" t="str">
        <f t="shared" si="68"/>
        <v/>
      </c>
      <c r="V195" s="5" t="str">
        <f t="shared" si="69"/>
        <v/>
      </c>
      <c r="W195" s="23" t="str">
        <f t="shared" si="70"/>
        <v/>
      </c>
      <c r="X195" s="3" t="str">
        <f t="shared" si="71"/>
        <v/>
      </c>
      <c r="Y195" s="5" t="str">
        <f t="shared" si="72"/>
        <v/>
      </c>
      <c r="Z195" s="5" t="str">
        <f>IF(OR(AE195="",多次统计数据!$B$8=""),"",AE195-多次统计数据!$B$8)</f>
        <v/>
      </c>
      <c r="AA195" s="8" t="str">
        <f t="shared" si="73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1"/>
      <c r="AE195" s="5" t="str">
        <f t="shared" si="74"/>
        <v/>
      </c>
      <c r="AG195" s="21"/>
      <c r="AH195" s="21"/>
      <c r="AI195" s="21"/>
      <c r="AJ195" s="6" t="str">
        <f t="shared" si="75"/>
        <v/>
      </c>
      <c r="AK195" s="24" t="str">
        <f>IF(A195="","",COUNTIFS(加仓管理!$A$2:$A$1001,A195,加仓管理!$G$2:$G$1001,"&gt;0"))</f>
        <v/>
      </c>
      <c r="AL195" s="24" t="str">
        <f>IF(A195="","",SUMIFS(加仓管理!$G$2:$G$1001,加仓管理!$A$2:$A$1001,A195))</f>
        <v/>
      </c>
      <c r="AM195" s="25" t="str">
        <f>IF(AK195=0,"",IFERROR(LOOKUP(2,1/((加仓管理!$A$2:$A$1001=A195)*(加仓管理!$G$2:$G$1001&gt;0)),加仓管理!$D$2:$D$1001),""))</f>
        <v/>
      </c>
      <c r="AN195" s="25" t="str">
        <f>IF(AK195=0,"",IFERROR(LOOKUP(2,1/((加仓管理!$A$2:$A$1001=A195)*(加仓管理!$G$2:$G$1001&gt;0)),加仓管理!$E$2:$E$1001),""))</f>
        <v/>
      </c>
      <c r="AO195" s="25" t="str">
        <f>IF(OR(A195="",H195="",H195&lt;=0),"",(E195*H195+SUMIFS(加仓管理!$H$2:$H$1001,加仓管理!$A$2:$A$1001,A195))/AP195)</f>
        <v/>
      </c>
      <c r="AP195" s="24" t="str">
        <f t="shared" si="76"/>
        <v/>
      </c>
      <c r="AQ195" s="25" t="str">
        <f>IF(A195="","",IF(M195&lt;&gt;"",0,IF(OR(H195="",N195=""),"",MAX((E195*H195+SUMIFS(加仓管理!$H$2:$H$1001,加仓管理!$A$2:$A$1001,A195))-MAX(N195,AN195)*AP195,0))))</f>
        <v/>
      </c>
      <c r="AR195" s="25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21"/>
      <c r="B196" s="21"/>
      <c r="C196" s="7"/>
      <c r="D196" s="4"/>
      <c r="E196" s="7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1"/>
      <c r="I196" s="22"/>
      <c r="J196" s="7"/>
      <c r="K196" s="3"/>
      <c r="L196" s="6" t="str">
        <f t="shared" si="67"/>
        <v/>
      </c>
      <c r="M196" s="40"/>
      <c r="N196" s="7"/>
      <c r="O196" s="7"/>
      <c r="P196" s="3"/>
      <c r="Q196" s="21"/>
      <c r="R196" s="21"/>
      <c r="S196" s="21"/>
      <c r="T196" s="21"/>
      <c r="U196" s="5" t="str">
        <f t="shared" si="68"/>
        <v/>
      </c>
      <c r="V196" s="5" t="str">
        <f t="shared" si="69"/>
        <v/>
      </c>
      <c r="W196" s="23" t="str">
        <f t="shared" si="70"/>
        <v/>
      </c>
      <c r="X196" s="3" t="str">
        <f t="shared" si="71"/>
        <v/>
      </c>
      <c r="Y196" s="5" t="str">
        <f t="shared" si="72"/>
        <v/>
      </c>
      <c r="Z196" s="5" t="str">
        <f>IF(OR(AE196="",多次统计数据!$B$8=""),"",AE196-多次统计数据!$B$8)</f>
        <v/>
      </c>
      <c r="AA196" s="8" t="str">
        <f t="shared" si="73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1"/>
      <c r="AE196" s="5" t="str">
        <f t="shared" si="74"/>
        <v/>
      </c>
      <c r="AG196" s="21"/>
      <c r="AH196" s="21"/>
      <c r="AI196" s="21"/>
      <c r="AJ196" s="6" t="str">
        <f t="shared" si="75"/>
        <v/>
      </c>
      <c r="AK196" s="24" t="str">
        <f>IF(A196="","",COUNTIFS(加仓管理!$A$2:$A$1001,A196,加仓管理!$G$2:$G$1001,"&gt;0"))</f>
        <v/>
      </c>
      <c r="AL196" s="24" t="str">
        <f>IF(A196="","",SUMIFS(加仓管理!$G$2:$G$1001,加仓管理!$A$2:$A$1001,A196))</f>
        <v/>
      </c>
      <c r="AM196" s="25" t="str">
        <f>IF(AK196=0,"",IFERROR(LOOKUP(2,1/((加仓管理!$A$2:$A$1001=A196)*(加仓管理!$G$2:$G$1001&gt;0)),加仓管理!$D$2:$D$1001),""))</f>
        <v/>
      </c>
      <c r="AN196" s="25" t="str">
        <f>IF(AK196=0,"",IFERROR(LOOKUP(2,1/((加仓管理!$A$2:$A$1001=A196)*(加仓管理!$G$2:$G$1001&gt;0)),加仓管理!$E$2:$E$1001),""))</f>
        <v/>
      </c>
      <c r="AO196" s="25" t="str">
        <f>IF(OR(A196="",H196="",H196&lt;=0),"",(E196*H196+SUMIFS(加仓管理!$H$2:$H$1001,加仓管理!$A$2:$A$1001,A196))/AP196)</f>
        <v/>
      </c>
      <c r="AP196" s="24" t="str">
        <f t="shared" si="76"/>
        <v/>
      </c>
      <c r="AQ196" s="25" t="str">
        <f>IF(A196="","",IF(M196&lt;&gt;"",0,IF(OR(H196="",N196=""),"",MAX((E196*H196+SUMIFS(加仓管理!$H$2:$H$1001,加仓管理!$A$2:$A$1001,A196))-MAX(N196,AN196)*AP196,0))))</f>
        <v/>
      </c>
      <c r="AR196" s="25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21"/>
      <c r="B197" s="21"/>
      <c r="C197" s="7"/>
      <c r="D197" s="4"/>
      <c r="E197" s="7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1"/>
      <c r="I197" s="22"/>
      <c r="J197" s="7"/>
      <c r="K197" s="3"/>
      <c r="L197" s="6" t="str">
        <f t="shared" si="67"/>
        <v/>
      </c>
      <c r="M197" s="40"/>
      <c r="N197" s="7"/>
      <c r="O197" s="7"/>
      <c r="P197" s="3"/>
      <c r="Q197" s="21"/>
      <c r="R197" s="21"/>
      <c r="S197" s="21"/>
      <c r="T197" s="21"/>
      <c r="U197" s="5" t="str">
        <f t="shared" si="68"/>
        <v/>
      </c>
      <c r="V197" s="5" t="str">
        <f t="shared" si="69"/>
        <v/>
      </c>
      <c r="W197" s="23" t="str">
        <f t="shared" si="70"/>
        <v/>
      </c>
      <c r="X197" s="3" t="str">
        <f t="shared" si="71"/>
        <v/>
      </c>
      <c r="Y197" s="5" t="str">
        <f t="shared" si="72"/>
        <v/>
      </c>
      <c r="Z197" s="5" t="str">
        <f>IF(OR(AE197="",多次统计数据!$B$8=""),"",AE197-多次统计数据!$B$8)</f>
        <v/>
      </c>
      <c r="AA197" s="8" t="str">
        <f t="shared" si="73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1"/>
      <c r="AE197" s="5" t="str">
        <f t="shared" si="74"/>
        <v/>
      </c>
      <c r="AG197" s="21"/>
      <c r="AH197" s="21"/>
      <c r="AI197" s="21"/>
      <c r="AJ197" s="6" t="str">
        <f t="shared" si="75"/>
        <v/>
      </c>
      <c r="AK197" s="24" t="str">
        <f>IF(A197="","",COUNTIFS(加仓管理!$A$2:$A$1001,A197,加仓管理!$G$2:$G$1001,"&gt;0"))</f>
        <v/>
      </c>
      <c r="AL197" s="24" t="str">
        <f>IF(A197="","",SUMIFS(加仓管理!$G$2:$G$1001,加仓管理!$A$2:$A$1001,A197))</f>
        <v/>
      </c>
      <c r="AM197" s="25" t="str">
        <f>IF(AK197=0,"",IFERROR(LOOKUP(2,1/((加仓管理!$A$2:$A$1001=A197)*(加仓管理!$G$2:$G$1001&gt;0)),加仓管理!$D$2:$D$1001),""))</f>
        <v/>
      </c>
      <c r="AN197" s="25" t="str">
        <f>IF(AK197=0,"",IFERROR(LOOKUP(2,1/((加仓管理!$A$2:$A$1001=A197)*(加仓管理!$G$2:$G$1001&gt;0)),加仓管理!$E$2:$E$1001),""))</f>
        <v/>
      </c>
      <c r="AO197" s="25" t="str">
        <f>IF(OR(A197="",H197="",H197&lt;=0),"",(E197*H197+SUMIFS(加仓管理!$H$2:$H$1001,加仓管理!$A$2:$A$1001,A197))/AP197)</f>
        <v/>
      </c>
      <c r="AP197" s="24" t="str">
        <f t="shared" si="76"/>
        <v/>
      </c>
      <c r="AQ197" s="25" t="str">
        <f>IF(A197="","",IF(M197&lt;&gt;"",0,IF(OR(H197="",N197=""),"",MAX((E197*H197+SUMIFS(加仓管理!$H$2:$H$1001,加仓管理!$A$2:$A$1001,A197))-MAX(N197,AN197)*AP197,0))))</f>
        <v/>
      </c>
      <c r="AR197" s="25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21"/>
      <c r="B198" s="21"/>
      <c r="C198" s="7"/>
      <c r="D198" s="4"/>
      <c r="E198" s="7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1"/>
      <c r="I198" s="22"/>
      <c r="J198" s="7"/>
      <c r="K198" s="3"/>
      <c r="L198" s="6" t="str">
        <f t="shared" si="67"/>
        <v/>
      </c>
      <c r="M198" s="40"/>
      <c r="N198" s="7"/>
      <c r="O198" s="7"/>
      <c r="P198" s="3"/>
      <c r="Q198" s="21"/>
      <c r="R198" s="21"/>
      <c r="S198" s="21"/>
      <c r="T198" s="21"/>
      <c r="U198" s="5" t="str">
        <f t="shared" si="68"/>
        <v/>
      </c>
      <c r="V198" s="5" t="str">
        <f t="shared" si="69"/>
        <v/>
      </c>
      <c r="W198" s="23" t="str">
        <f t="shared" si="70"/>
        <v/>
      </c>
      <c r="X198" s="3" t="str">
        <f t="shared" si="71"/>
        <v/>
      </c>
      <c r="Y198" s="5" t="str">
        <f t="shared" si="72"/>
        <v/>
      </c>
      <c r="Z198" s="5" t="str">
        <f>IF(OR(AE198="",多次统计数据!$B$8=""),"",AE198-多次统计数据!$B$8)</f>
        <v/>
      </c>
      <c r="AA198" s="8" t="str">
        <f t="shared" si="73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1"/>
      <c r="AE198" s="5" t="str">
        <f t="shared" si="74"/>
        <v/>
      </c>
      <c r="AG198" s="21"/>
      <c r="AH198" s="21"/>
      <c r="AI198" s="21"/>
      <c r="AJ198" s="6" t="str">
        <f t="shared" si="75"/>
        <v/>
      </c>
      <c r="AK198" s="24" t="str">
        <f>IF(A198="","",COUNTIFS(加仓管理!$A$2:$A$1001,A198,加仓管理!$G$2:$G$1001,"&gt;0"))</f>
        <v/>
      </c>
      <c r="AL198" s="24" t="str">
        <f>IF(A198="","",SUMIFS(加仓管理!$G$2:$G$1001,加仓管理!$A$2:$A$1001,A198))</f>
        <v/>
      </c>
      <c r="AM198" s="25" t="str">
        <f>IF(AK198=0,"",IFERROR(LOOKUP(2,1/((加仓管理!$A$2:$A$1001=A198)*(加仓管理!$G$2:$G$1001&gt;0)),加仓管理!$D$2:$D$1001),""))</f>
        <v/>
      </c>
      <c r="AN198" s="25" t="str">
        <f>IF(AK198=0,"",IFERROR(LOOKUP(2,1/((加仓管理!$A$2:$A$1001=A198)*(加仓管理!$G$2:$G$1001&gt;0)),加仓管理!$E$2:$E$1001),""))</f>
        <v/>
      </c>
      <c r="AO198" s="25" t="str">
        <f>IF(OR(A198="",H198="",H198&lt;=0),"",(E198*H198+SUMIFS(加仓管理!$H$2:$H$1001,加仓管理!$A$2:$A$1001,A198))/AP198)</f>
        <v/>
      </c>
      <c r="AP198" s="24" t="str">
        <f t="shared" si="76"/>
        <v/>
      </c>
      <c r="AQ198" s="25" t="str">
        <f>IF(A198="","",IF(M198&lt;&gt;"",0,IF(OR(H198="",N198=""),"",MAX((E198*H198+SUMIFS(加仓管理!$H$2:$H$1001,加仓管理!$A$2:$A$1001,A198))-MAX(N198,AN198)*AP198,0))))</f>
        <v/>
      </c>
      <c r="AR198" s="25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21"/>
      <c r="B199" s="21"/>
      <c r="C199" s="7"/>
      <c r="D199" s="4"/>
      <c r="E199" s="7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1"/>
      <c r="I199" s="22"/>
      <c r="J199" s="7"/>
      <c r="K199" s="3"/>
      <c r="L199" s="6" t="str">
        <f t="shared" si="67"/>
        <v/>
      </c>
      <c r="M199" s="40"/>
      <c r="N199" s="7"/>
      <c r="O199" s="7"/>
      <c r="P199" s="3"/>
      <c r="Q199" s="21"/>
      <c r="R199" s="21"/>
      <c r="S199" s="21"/>
      <c r="T199" s="21"/>
      <c r="U199" s="5" t="str">
        <f t="shared" si="68"/>
        <v/>
      </c>
      <c r="V199" s="5" t="str">
        <f t="shared" si="69"/>
        <v/>
      </c>
      <c r="W199" s="23" t="str">
        <f t="shared" si="70"/>
        <v/>
      </c>
      <c r="X199" s="3" t="str">
        <f t="shared" si="71"/>
        <v/>
      </c>
      <c r="Y199" s="5" t="str">
        <f t="shared" si="72"/>
        <v/>
      </c>
      <c r="Z199" s="5" t="str">
        <f>IF(OR(AE199="",多次统计数据!$B$8=""),"",AE199-多次统计数据!$B$8)</f>
        <v/>
      </c>
      <c r="AA199" s="8" t="str">
        <f t="shared" si="73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1"/>
      <c r="AE199" s="5" t="str">
        <f t="shared" si="74"/>
        <v/>
      </c>
      <c r="AG199" s="21"/>
      <c r="AH199" s="21"/>
      <c r="AI199" s="21"/>
      <c r="AJ199" s="6" t="str">
        <f t="shared" si="75"/>
        <v/>
      </c>
      <c r="AK199" s="24" t="str">
        <f>IF(A199="","",COUNTIFS(加仓管理!$A$2:$A$1001,A199,加仓管理!$G$2:$G$1001,"&gt;0"))</f>
        <v/>
      </c>
      <c r="AL199" s="24" t="str">
        <f>IF(A199="","",SUMIFS(加仓管理!$G$2:$G$1001,加仓管理!$A$2:$A$1001,A199))</f>
        <v/>
      </c>
      <c r="AM199" s="25" t="str">
        <f>IF(AK199=0,"",IFERROR(LOOKUP(2,1/((加仓管理!$A$2:$A$1001=A199)*(加仓管理!$G$2:$G$1001&gt;0)),加仓管理!$D$2:$D$1001),""))</f>
        <v/>
      </c>
      <c r="AN199" s="25" t="str">
        <f>IF(AK199=0,"",IFERROR(LOOKUP(2,1/((加仓管理!$A$2:$A$1001=A199)*(加仓管理!$G$2:$G$1001&gt;0)),加仓管理!$E$2:$E$1001),""))</f>
        <v/>
      </c>
      <c r="AO199" s="25" t="str">
        <f>IF(OR(A199="",H199="",H199&lt;=0),"",(E199*H199+SUMIFS(加仓管理!$H$2:$H$1001,加仓管理!$A$2:$A$1001,A199))/AP199)</f>
        <v/>
      </c>
      <c r="AP199" s="24" t="str">
        <f t="shared" si="76"/>
        <v/>
      </c>
      <c r="AQ199" s="25" t="str">
        <f>IF(A199="","",IF(M199&lt;&gt;"",0,IF(OR(H199="",N199=""),"",MAX((E199*H199+SUMIFS(加仓管理!$H$2:$H$1001,加仓管理!$A$2:$A$1001,A199))-MAX(N199,AN199)*AP199,0))))</f>
        <v/>
      </c>
      <c r="AR199" s="25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21"/>
      <c r="B200" s="21"/>
      <c r="C200" s="7"/>
      <c r="D200" s="4"/>
      <c r="E200" s="7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1"/>
      <c r="I200" s="22"/>
      <c r="J200" s="7"/>
      <c r="K200" s="3"/>
      <c r="L200" s="6" t="str">
        <f t="shared" si="67"/>
        <v/>
      </c>
      <c r="M200" s="40"/>
      <c r="N200" s="7"/>
      <c r="O200" s="7"/>
      <c r="P200" s="3"/>
      <c r="Q200" s="21"/>
      <c r="R200" s="21"/>
      <c r="S200" s="21"/>
      <c r="T200" s="21"/>
      <c r="U200" s="5" t="str">
        <f t="shared" si="68"/>
        <v/>
      </c>
      <c r="V200" s="5" t="str">
        <f t="shared" si="69"/>
        <v/>
      </c>
      <c r="W200" s="23" t="str">
        <f t="shared" si="70"/>
        <v/>
      </c>
      <c r="X200" s="3" t="str">
        <f t="shared" si="71"/>
        <v/>
      </c>
      <c r="Y200" s="5" t="str">
        <f t="shared" si="72"/>
        <v/>
      </c>
      <c r="Z200" s="5" t="str">
        <f>IF(OR(AE200="",多次统计数据!$B$8=""),"",AE200-多次统计数据!$B$8)</f>
        <v/>
      </c>
      <c r="AA200" s="8" t="str">
        <f t="shared" si="73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1"/>
      <c r="AE200" s="5" t="str">
        <f t="shared" si="74"/>
        <v/>
      </c>
      <c r="AG200" s="21"/>
      <c r="AH200" s="21"/>
      <c r="AI200" s="21"/>
      <c r="AJ200" s="6" t="str">
        <f t="shared" si="75"/>
        <v/>
      </c>
      <c r="AK200" s="24" t="str">
        <f>IF(A200="","",COUNTIFS(加仓管理!$A$2:$A$1001,A200,加仓管理!$G$2:$G$1001,"&gt;0"))</f>
        <v/>
      </c>
      <c r="AL200" s="24" t="str">
        <f>IF(A200="","",SUMIFS(加仓管理!$G$2:$G$1001,加仓管理!$A$2:$A$1001,A200))</f>
        <v/>
      </c>
      <c r="AM200" s="25" t="str">
        <f>IF(AK200=0,"",IFERROR(LOOKUP(2,1/((加仓管理!$A$2:$A$1001=A200)*(加仓管理!$G$2:$G$1001&gt;0)),加仓管理!$D$2:$D$1001),""))</f>
        <v/>
      </c>
      <c r="AN200" s="25" t="str">
        <f>IF(AK200=0,"",IFERROR(LOOKUP(2,1/((加仓管理!$A$2:$A$1001=A200)*(加仓管理!$G$2:$G$1001&gt;0)),加仓管理!$E$2:$E$1001),""))</f>
        <v/>
      </c>
      <c r="AO200" s="25" t="str">
        <f>IF(OR(A200="",H200="",H200&lt;=0),"",(E200*H200+SUMIFS(加仓管理!$H$2:$H$1001,加仓管理!$A$2:$A$1001,A200))/AP200)</f>
        <v/>
      </c>
      <c r="AP200" s="24" t="str">
        <f t="shared" si="76"/>
        <v/>
      </c>
      <c r="AQ200" s="25" t="str">
        <f>IF(A200="","",IF(M200&lt;&gt;"",0,IF(OR(H200="",N200=""),"",MAX((E200*H200+SUMIFS(加仓管理!$H$2:$H$1001,加仓管理!$A$2:$A$1001,A200))-MAX(N200,AN200)*AP200,0))))</f>
        <v/>
      </c>
      <c r="AR200" s="25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21"/>
      <c r="B201" s="21"/>
      <c r="C201" s="7"/>
      <c r="D201" s="4"/>
      <c r="E201" s="7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1"/>
      <c r="I201" s="22"/>
      <c r="J201" s="7"/>
      <c r="K201" s="3"/>
      <c r="L201" s="6" t="str">
        <f t="shared" si="67"/>
        <v/>
      </c>
      <c r="M201" s="40"/>
      <c r="N201" s="7"/>
      <c r="O201" s="7"/>
      <c r="P201" s="3"/>
      <c r="Q201" s="21"/>
      <c r="R201" s="21"/>
      <c r="S201" s="21"/>
      <c r="T201" s="21"/>
      <c r="U201" s="5" t="str">
        <f t="shared" si="68"/>
        <v/>
      </c>
      <c r="V201" s="5" t="str">
        <f t="shared" si="69"/>
        <v/>
      </c>
      <c r="W201" s="23" t="str">
        <f t="shared" si="70"/>
        <v/>
      </c>
      <c r="X201" s="3" t="str">
        <f t="shared" si="71"/>
        <v/>
      </c>
      <c r="Y201" s="5" t="str">
        <f t="shared" si="72"/>
        <v/>
      </c>
      <c r="Z201" s="5" t="str">
        <f>IF(OR(AE201="",多次统计数据!$B$8=""),"",AE201-多次统计数据!$B$8)</f>
        <v/>
      </c>
      <c r="AA201" s="8" t="str">
        <f t="shared" si="73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1"/>
      <c r="AE201" s="5" t="str">
        <f t="shared" si="74"/>
        <v/>
      </c>
      <c r="AG201" s="21"/>
      <c r="AH201" s="21"/>
      <c r="AI201" s="21"/>
      <c r="AJ201" s="6" t="str">
        <f t="shared" si="75"/>
        <v/>
      </c>
      <c r="AK201" s="24" t="str">
        <f>IF(A201="","",COUNTIFS(加仓管理!$A$2:$A$1001,A201,加仓管理!$G$2:$G$1001,"&gt;0"))</f>
        <v/>
      </c>
      <c r="AL201" s="24" t="str">
        <f>IF(A201="","",SUMIFS(加仓管理!$G$2:$G$1001,加仓管理!$A$2:$A$1001,A201))</f>
        <v/>
      </c>
      <c r="AM201" s="25" t="str">
        <f>IF(AK201=0,"",IFERROR(LOOKUP(2,1/((加仓管理!$A$2:$A$1001=A201)*(加仓管理!$G$2:$G$1001&gt;0)),加仓管理!$D$2:$D$1001),""))</f>
        <v/>
      </c>
      <c r="AN201" s="25" t="str">
        <f>IF(AK201=0,"",IFERROR(LOOKUP(2,1/((加仓管理!$A$2:$A$1001=A201)*(加仓管理!$G$2:$G$1001&gt;0)),加仓管理!$E$2:$E$1001),""))</f>
        <v/>
      </c>
      <c r="AO201" s="25" t="str">
        <f>IF(OR(A201="",H201="",H201&lt;=0),"",(E201*H201+SUMIFS(加仓管理!$H$2:$H$1001,加仓管理!$A$2:$A$1001,A201))/AP201)</f>
        <v/>
      </c>
      <c r="AP201" s="24" t="str">
        <f t="shared" si="76"/>
        <v/>
      </c>
      <c r="AQ201" s="25" t="str">
        <f>IF(A201="","",IF(M201&lt;&gt;"",0,IF(OR(H201="",N201=""),"",MAX((E201*H201+SUMIFS(加仓管理!$H$2:$H$1001,加仓管理!$A$2:$A$1001,A201))-MAX(N201,AN201)*AP201,0))))</f>
        <v/>
      </c>
      <c r="AR201" s="25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10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C2 C4:C201 E2:E201 N2:N201 J2:K201" xr:uid="{00000000-0002-0000-0000-000000000000}">
      <formula1>0</formula1>
    </dataValidation>
    <dataValidation type="list" showErrorMessage="1" errorTitle="预期持有周期无效" error="请从预设的交易日范围中选择" sqref="AH2:AH201" xr:uid="{00000000-0002-0000-0000-000001000000}">
      <formula1>"1～3个交易日,4～10个交易日,11～20个交易日,21～60个交易日,60个交易日以上"</formula1>
    </dataValidation>
    <dataValidation type="list" showErrorMessage="1" errorTitle="交易预期无效" error="请从短期博反弹、突破冲新高、趋势波段中选择" sqref="AG2:AG201" xr:uid="{00000000-0002-0000-0000-000002000000}">
      <formula1>"短期博反弹,突破冲新高,趋势波段"</formula1>
    </dataValidation>
    <dataValidation type="decimal" sqref="D2:D201" xr:uid="{00000000-0002-0000-0000-000003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4000000}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sqref="I2:I201" xr:uid="{00000000-0002-0000-0000-000005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6000000}">
      <formula1>OR(L2="",L2=AP2)</formula1>
    </dataValidation>
    <dataValidation type="custom" sqref="M2:M201" xr:uid="{00000000-0002-0000-0000-000007000000}">
      <formula1>OR(M2="",AND(ISNUMBER(M2),M2&gt;=I2))</formula1>
    </dataValidation>
    <dataValidation type="list" sqref="AD2:AD201" xr:uid="{00000000-0002-0000-0000-000008000000}">
      <formula1>"1-差,2-较差,3-一般,4-良好,5-优秀"</formula1>
    </dataValidation>
    <dataValidation type="decimal" operator="greaterThanOrEqual" sqref="O2:P201" xr:uid="{00000000-0002-0000-0000-000009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workbookViewId="0">
      <pane ySplit="1" topLeftCell="A49" activePane="bottomLeft" state="frozen"/>
      <selection pane="bottomLeft" activeCell="H59" sqref="H59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12" t="s">
        <v>0</v>
      </c>
      <c r="B1" s="12" t="s">
        <v>61</v>
      </c>
      <c r="C1" s="12" t="s">
        <v>62</v>
      </c>
      <c r="D1" s="12" t="s">
        <v>63</v>
      </c>
      <c r="E1" s="12" t="s">
        <v>64</v>
      </c>
      <c r="F1" s="12" t="s">
        <v>65</v>
      </c>
      <c r="G1" s="12" t="s">
        <v>66</v>
      </c>
      <c r="H1" s="12" t="s">
        <v>67</v>
      </c>
      <c r="I1" s="12" t="s">
        <v>68</v>
      </c>
      <c r="J1" s="12" t="s">
        <v>69</v>
      </c>
      <c r="K1" s="12" t="s">
        <v>70</v>
      </c>
      <c r="L1" s="12" t="s">
        <v>71</v>
      </c>
      <c r="M1" s="12" t="s">
        <v>72</v>
      </c>
      <c r="N1" s="12" t="s">
        <v>73</v>
      </c>
      <c r="O1" s="12" t="s">
        <v>74</v>
      </c>
      <c r="P1" s="12" t="s">
        <v>75</v>
      </c>
      <c r="Q1" s="12" t="s">
        <v>76</v>
      </c>
      <c r="R1" s="12" t="s">
        <v>77</v>
      </c>
    </row>
    <row r="2" spans="1:18">
      <c r="A2" s="13">
        <v>2</v>
      </c>
      <c r="B2" s="14">
        <v>1</v>
      </c>
      <c r="C2" s="15">
        <v>43928</v>
      </c>
      <c r="D2" s="16">
        <v>27.95</v>
      </c>
      <c r="E2" s="16">
        <v>25</v>
      </c>
      <c r="F2" s="16">
        <v>1</v>
      </c>
      <c r="G2" s="14">
        <v>700</v>
      </c>
      <c r="H2" s="17">
        <f t="shared" ref="H2:H65" si="0">IF(OR(A2="",D2="",G2=""),"",D2*G2)</f>
        <v>19565</v>
      </c>
      <c r="I2" s="18">
        <f>IF(OR(A2="",B2=""),"",IFERROR(LOOKUP(2,1/(单次交易!$A$2:$A$201=A2),单次交易!$H$2:$H$201),0)+SUMIFS($G$2:$G$1001,$A$2:$A$1001,A2,$B$2:$B$1001,"&lt;"&amp;B2))</f>
        <v>1200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27660</v>
      </c>
      <c r="K2" s="17">
        <f t="shared" ref="K2:K65" si="1">IF(OR(E2="",I2="",J2=""),"",MAX(E2*I2-J2,0))</f>
        <v>2340</v>
      </c>
      <c r="L2" s="18">
        <f t="shared" ref="L2:L65" si="2">IF(OR(D2="",E2="",F2="",D2&lt;=E2),"",FLOOR((F2+K2)/(D2-E2),100))</f>
        <v>700</v>
      </c>
      <c r="M2" s="18">
        <f t="shared" ref="M2:M65" si="3">IF(OR(A2="",B2="",L2=""),"",IF(B2=1,L2,IFERROR(SUMIFS($G$2:$G$1001,$A$2:$A$1001,A2,$B$2:$B$1001,B2-1),0)))</f>
        <v>700</v>
      </c>
      <c r="N2" s="18">
        <f t="shared" ref="N2:N65" si="4">IF(OR(L2="",M2=""),"",MIN(L2,M2))</f>
        <v>700</v>
      </c>
      <c r="O2" s="18">
        <f t="shared" ref="O2:O65" si="5">IF(OR(I2="",G2=""),"",I2+G2)</f>
        <v>1900</v>
      </c>
      <c r="P2" s="17">
        <f t="shared" ref="P2:P65" si="6">IF(OR(O2="",O2=0),"",(J2+H2)/O2)</f>
        <v>24.855263157894736</v>
      </c>
      <c r="Q2" s="17">
        <f t="shared" ref="Q2:Q65" si="7">IF(OR(O2="",E2=""),"",MAX(J2+H2-E2*O2,0))</f>
        <v>0</v>
      </c>
      <c r="R2" s="19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通过</v>
      </c>
    </row>
    <row r="3" spans="1:18">
      <c r="A3" s="13">
        <v>2</v>
      </c>
      <c r="B3" s="14">
        <v>2</v>
      </c>
      <c r="C3" s="15">
        <v>43959</v>
      </c>
      <c r="D3" s="16">
        <v>31.05</v>
      </c>
      <c r="E3" s="16">
        <v>29</v>
      </c>
      <c r="F3" s="16">
        <v>1</v>
      </c>
      <c r="G3" s="14">
        <v>700</v>
      </c>
      <c r="H3" s="17">
        <f t="shared" si="0"/>
        <v>21735</v>
      </c>
      <c r="I3" s="18">
        <f>IF(OR(A3="",B3=""),"",IFERROR(LOOKUP(2,1/(单次交易!$A$2:$A$201=A3),单次交易!$H$2:$H$201),0)+SUMIFS($G$2:$G$1001,$A$2:$A$1001,A3,$B$2:$B$1001,"&lt;"&amp;B3))</f>
        <v>1900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47225</v>
      </c>
      <c r="K3" s="17">
        <f t="shared" si="1"/>
        <v>7875</v>
      </c>
      <c r="L3" s="18">
        <f t="shared" si="2"/>
        <v>3800</v>
      </c>
      <c r="M3" s="18">
        <f t="shared" si="3"/>
        <v>700</v>
      </c>
      <c r="N3" s="18">
        <f t="shared" si="4"/>
        <v>700</v>
      </c>
      <c r="O3" s="18">
        <f t="shared" si="5"/>
        <v>2600</v>
      </c>
      <c r="P3" s="17">
        <f t="shared" si="6"/>
        <v>26.523076923076925</v>
      </c>
      <c r="Q3" s="17">
        <f t="shared" si="7"/>
        <v>0</v>
      </c>
      <c r="R3" s="19" t="str">
        <f t="shared" si="8"/>
        <v>通过</v>
      </c>
    </row>
    <row r="4" spans="1:18">
      <c r="A4" s="13">
        <v>4</v>
      </c>
      <c r="B4" s="14">
        <v>1</v>
      </c>
      <c r="C4" s="15">
        <v>44006</v>
      </c>
      <c r="D4" s="16">
        <v>30.86</v>
      </c>
      <c r="E4" s="16">
        <v>28</v>
      </c>
      <c r="F4" s="16">
        <v>1</v>
      </c>
      <c r="G4" s="14"/>
      <c r="H4" s="17" t="str">
        <f t="shared" si="0"/>
        <v/>
      </c>
      <c r="I4" s="18">
        <f>IF(OR(A4="",B4=""),"",IFERROR(LOOKUP(2,1/(单次交易!$A$2:$A$201=A4),单次交易!$H$2:$H$201),0)+SUMIFS($G$2:$G$1001,$A$2:$A$1001,A4,$B$2:$B$1001,"&lt;"&amp;B4))</f>
        <v>500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13840</v>
      </c>
      <c r="K4" s="17">
        <f t="shared" si="1"/>
        <v>160</v>
      </c>
      <c r="L4" s="18">
        <f t="shared" si="2"/>
        <v>0</v>
      </c>
      <c r="M4" s="18">
        <f t="shared" si="3"/>
        <v>0</v>
      </c>
      <c r="N4" s="18">
        <f t="shared" si="4"/>
        <v>0</v>
      </c>
      <c r="O4" s="18" t="str">
        <f t="shared" si="5"/>
        <v/>
      </c>
      <c r="P4" s="17" t="str">
        <f t="shared" si="6"/>
        <v/>
      </c>
      <c r="Q4" s="17" t="str">
        <f t="shared" si="7"/>
        <v/>
      </c>
      <c r="R4" s="19" t="str">
        <f t="shared" si="8"/>
        <v>计划可执行：建议股数见N列</v>
      </c>
    </row>
    <row r="5" spans="1:18">
      <c r="A5" s="13">
        <v>8</v>
      </c>
      <c r="B5" s="14">
        <v>1</v>
      </c>
      <c r="C5" s="15">
        <v>44406</v>
      </c>
      <c r="D5" s="16">
        <v>15.41</v>
      </c>
      <c r="E5" s="16">
        <v>14.5</v>
      </c>
      <c r="F5" s="16">
        <v>1</v>
      </c>
      <c r="G5" s="14">
        <v>800</v>
      </c>
      <c r="H5" s="17">
        <f t="shared" si="0"/>
        <v>12328</v>
      </c>
      <c r="I5" s="18">
        <f>IF(OR(A5="",B5=""),"",IFERROR(LOOKUP(2,1/(单次交易!$A$2:$A$201=A5),单次交易!$H$2:$H$201),0)+SUMIFS($G$2:$G$1001,$A$2:$A$1001,A5,$B$2:$B$1001,"&lt;"&amp;B5))</f>
        <v>1300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18122</v>
      </c>
      <c r="K5" s="17">
        <f t="shared" si="1"/>
        <v>728</v>
      </c>
      <c r="L5" s="18">
        <f t="shared" si="2"/>
        <v>800</v>
      </c>
      <c r="M5" s="18">
        <f t="shared" si="3"/>
        <v>800</v>
      </c>
      <c r="N5" s="18">
        <f t="shared" si="4"/>
        <v>800</v>
      </c>
      <c r="O5" s="18">
        <f t="shared" si="5"/>
        <v>2100</v>
      </c>
      <c r="P5" s="17">
        <f t="shared" si="6"/>
        <v>14.5</v>
      </c>
      <c r="Q5" s="17">
        <f t="shared" si="7"/>
        <v>0</v>
      </c>
      <c r="R5" s="19" t="str">
        <f t="shared" si="8"/>
        <v>通过</v>
      </c>
    </row>
    <row r="6" spans="1:18">
      <c r="A6" s="13">
        <v>11</v>
      </c>
      <c r="B6" s="14">
        <v>1</v>
      </c>
      <c r="C6" s="15">
        <v>44580</v>
      </c>
      <c r="D6" s="16">
        <v>13.37</v>
      </c>
      <c r="E6" s="16">
        <v>12.5</v>
      </c>
      <c r="F6" s="16">
        <v>1</v>
      </c>
      <c r="G6" s="14">
        <v>300</v>
      </c>
      <c r="H6" s="17">
        <f t="shared" si="0"/>
        <v>4011</v>
      </c>
      <c r="I6" s="18">
        <f>IF(OR(A6="",B6=""),"",IFERROR(LOOKUP(2,1/(单次交易!$A$2:$A$201=A6),单次交易!$H$2:$H$201),0)+SUMIFS($G$2:$G$1001,$A$2:$A$1001,A6,$B$2:$B$1001,"&lt;"&amp;B6))</f>
        <v>2100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25956</v>
      </c>
      <c r="K6" s="17">
        <f t="shared" si="1"/>
        <v>294</v>
      </c>
      <c r="L6" s="18">
        <f t="shared" si="2"/>
        <v>300</v>
      </c>
      <c r="M6" s="18">
        <f t="shared" si="3"/>
        <v>300</v>
      </c>
      <c r="N6" s="18">
        <f t="shared" si="4"/>
        <v>300</v>
      </c>
      <c r="O6" s="18">
        <f t="shared" si="5"/>
        <v>2400</v>
      </c>
      <c r="P6" s="17">
        <f t="shared" si="6"/>
        <v>12.48625</v>
      </c>
      <c r="Q6" s="17">
        <f t="shared" si="7"/>
        <v>0</v>
      </c>
      <c r="R6" s="19" t="str">
        <f t="shared" si="8"/>
        <v>通过</v>
      </c>
    </row>
    <row r="7" spans="1:18">
      <c r="A7" s="13">
        <v>12</v>
      </c>
      <c r="B7" s="14">
        <v>1</v>
      </c>
      <c r="C7" s="15">
        <v>44602</v>
      </c>
      <c r="D7" s="16">
        <v>14.09</v>
      </c>
      <c r="E7" s="16">
        <v>13</v>
      </c>
      <c r="F7" s="16">
        <v>1</v>
      </c>
      <c r="G7" s="14">
        <v>2000</v>
      </c>
      <c r="H7" s="17">
        <f t="shared" si="0"/>
        <v>28180</v>
      </c>
      <c r="I7" s="18">
        <f>IF(OR(A7="",B7=""),"",IFERROR(LOOKUP(2,1/(单次交易!$A$2:$A$201=A7),单次交易!$H$2:$H$201),0)+SUMIFS($G$2:$G$1001,$A$2:$A$1001,A7,$B$2:$B$1001,"&lt;"&amp;B7))</f>
        <v>3600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41364</v>
      </c>
      <c r="K7" s="17">
        <f t="shared" si="1"/>
        <v>5436</v>
      </c>
      <c r="L7" s="18">
        <f t="shared" si="2"/>
        <v>4900</v>
      </c>
      <c r="M7" s="18">
        <f t="shared" si="3"/>
        <v>4900</v>
      </c>
      <c r="N7" s="18">
        <f t="shared" si="4"/>
        <v>4900</v>
      </c>
      <c r="O7" s="18">
        <f t="shared" si="5"/>
        <v>5600</v>
      </c>
      <c r="P7" s="17">
        <f t="shared" si="6"/>
        <v>12.418571428571429</v>
      </c>
      <c r="Q7" s="17">
        <f t="shared" si="7"/>
        <v>0</v>
      </c>
      <c r="R7" s="19" t="str">
        <f t="shared" si="8"/>
        <v>通过</v>
      </c>
    </row>
    <row r="8" spans="1:18">
      <c r="A8" s="13">
        <v>17</v>
      </c>
      <c r="B8" s="14">
        <v>1</v>
      </c>
      <c r="C8" s="15">
        <v>44964</v>
      </c>
      <c r="D8" s="16">
        <v>13.8</v>
      </c>
      <c r="E8" s="16">
        <v>13</v>
      </c>
      <c r="F8" s="16">
        <v>1</v>
      </c>
      <c r="G8" s="14">
        <v>2200</v>
      </c>
      <c r="H8" s="17">
        <f t="shared" si="0"/>
        <v>30360</v>
      </c>
      <c r="I8" s="18">
        <f>IF(OR(A8="",B8=""),"",IFERROR(LOOKUP(2,1/(单次交易!$A$2:$A$201=A8),单次交易!$H$2:$H$201),0)+SUMIFS($G$2:$G$1001,$A$2:$A$1001,A8,$B$2:$B$1001,"&lt;"&amp;B8))</f>
        <v>2900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35873</v>
      </c>
      <c r="K8" s="17">
        <f t="shared" si="1"/>
        <v>1827</v>
      </c>
      <c r="L8" s="18">
        <f t="shared" si="2"/>
        <v>2200</v>
      </c>
      <c r="M8" s="18">
        <f t="shared" si="3"/>
        <v>2200</v>
      </c>
      <c r="N8" s="18">
        <f t="shared" si="4"/>
        <v>2200</v>
      </c>
      <c r="O8" s="18">
        <f t="shared" si="5"/>
        <v>5100</v>
      </c>
      <c r="P8" s="17">
        <f t="shared" si="6"/>
        <v>12.986862745098039</v>
      </c>
      <c r="Q8" s="17">
        <f t="shared" si="7"/>
        <v>0</v>
      </c>
      <c r="R8" s="19" t="str">
        <f t="shared" si="8"/>
        <v>通过</v>
      </c>
    </row>
    <row r="9" spans="1:18">
      <c r="A9" s="13">
        <v>18</v>
      </c>
      <c r="B9" s="14">
        <v>1</v>
      </c>
      <c r="C9" s="15">
        <v>44984</v>
      </c>
      <c r="D9" s="16">
        <v>17.649999999999999</v>
      </c>
      <c r="E9" s="16">
        <v>16.5</v>
      </c>
      <c r="F9" s="16">
        <v>1</v>
      </c>
      <c r="G9" s="14">
        <v>1900</v>
      </c>
      <c r="H9" s="17">
        <f t="shared" si="0"/>
        <v>33535</v>
      </c>
      <c r="I9" s="18">
        <f>IF(OR(A9="",B9=""),"",IFERROR(LOOKUP(2,1/(单次交易!$A$2:$A$201=A9),单次交易!$H$2:$H$201),0)+SUMIFS($G$2:$G$1001,$A$2:$A$1001,A9,$B$2:$B$1001,"&lt;"&amp;B9))</f>
        <v>2000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30800</v>
      </c>
      <c r="K9" s="17">
        <f t="shared" si="1"/>
        <v>2200</v>
      </c>
      <c r="L9" s="18">
        <f t="shared" si="2"/>
        <v>1900</v>
      </c>
      <c r="M9" s="18">
        <f t="shared" si="3"/>
        <v>1900</v>
      </c>
      <c r="N9" s="18">
        <f t="shared" si="4"/>
        <v>1900</v>
      </c>
      <c r="O9" s="18">
        <f t="shared" si="5"/>
        <v>3900</v>
      </c>
      <c r="P9" s="17">
        <f t="shared" si="6"/>
        <v>16.496153846153845</v>
      </c>
      <c r="Q9" s="17">
        <f t="shared" si="7"/>
        <v>0</v>
      </c>
      <c r="R9" s="19" t="str">
        <f t="shared" si="8"/>
        <v>通过</v>
      </c>
    </row>
    <row r="10" spans="1:18">
      <c r="A10" s="13">
        <v>20</v>
      </c>
      <c r="B10" s="14">
        <v>1</v>
      </c>
      <c r="C10" s="15">
        <v>45007</v>
      </c>
      <c r="D10" s="16">
        <v>27.95</v>
      </c>
      <c r="E10" s="16">
        <v>26.15</v>
      </c>
      <c r="F10" s="16">
        <v>1</v>
      </c>
      <c r="G10" s="14">
        <v>500</v>
      </c>
      <c r="H10" s="17">
        <f t="shared" si="0"/>
        <v>13975</v>
      </c>
      <c r="I10" s="18">
        <f>IF(OR(A10="",B10=""),"",IFERROR(LOOKUP(2,1/(单次交易!$A$2:$A$201=A10),单次交易!$H$2:$H$201),0)+SUMIFS($G$2:$G$1001,$A$2:$A$1001,A10,$B$2:$B$1001,"&lt;"&amp;B10))</f>
        <v>1000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25150</v>
      </c>
      <c r="K10" s="17">
        <f t="shared" si="1"/>
        <v>1000</v>
      </c>
      <c r="L10" s="18">
        <f t="shared" si="2"/>
        <v>500</v>
      </c>
      <c r="M10" s="18">
        <f t="shared" si="3"/>
        <v>500</v>
      </c>
      <c r="N10" s="18">
        <f t="shared" si="4"/>
        <v>500</v>
      </c>
      <c r="O10" s="18">
        <f t="shared" si="5"/>
        <v>1500</v>
      </c>
      <c r="P10" s="17">
        <f t="shared" si="6"/>
        <v>26.083333333333332</v>
      </c>
      <c r="Q10" s="17">
        <f t="shared" si="7"/>
        <v>0</v>
      </c>
      <c r="R10" s="19" t="str">
        <f t="shared" si="8"/>
        <v>通过</v>
      </c>
    </row>
    <row r="11" spans="1:18">
      <c r="A11" s="13">
        <v>20</v>
      </c>
      <c r="B11" s="14">
        <v>2</v>
      </c>
      <c r="C11" s="15">
        <v>45012</v>
      </c>
      <c r="D11" s="16">
        <v>32.130000000000003</v>
      </c>
      <c r="E11" s="16">
        <v>29</v>
      </c>
      <c r="F11" s="16">
        <v>1</v>
      </c>
      <c r="G11" s="14">
        <v>500</v>
      </c>
      <c r="H11" s="17">
        <f t="shared" si="0"/>
        <v>16065</v>
      </c>
      <c r="I11" s="18">
        <f>IF(OR(A11="",B11=""),"",IFERROR(LOOKUP(2,1/(单次交易!$A$2:$A$201=A11),单次交易!$H$2:$H$201),0)+SUMIFS($G$2:$G$1001,$A$2:$A$1001,A11,$B$2:$B$1001,"&lt;"&amp;B11))</f>
        <v>1500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39125</v>
      </c>
      <c r="K11" s="17">
        <f t="shared" si="1"/>
        <v>4375</v>
      </c>
      <c r="L11" s="18">
        <f t="shared" si="2"/>
        <v>1300</v>
      </c>
      <c r="M11" s="18">
        <f t="shared" si="3"/>
        <v>500</v>
      </c>
      <c r="N11" s="18">
        <f t="shared" si="4"/>
        <v>500</v>
      </c>
      <c r="O11" s="18">
        <f t="shared" si="5"/>
        <v>2000</v>
      </c>
      <c r="P11" s="17">
        <f t="shared" si="6"/>
        <v>27.594999999999999</v>
      </c>
      <c r="Q11" s="17">
        <f t="shared" si="7"/>
        <v>0</v>
      </c>
      <c r="R11" s="19" t="str">
        <f t="shared" si="8"/>
        <v>通过</v>
      </c>
    </row>
    <row r="12" spans="1:18">
      <c r="A12" s="13">
        <v>20</v>
      </c>
      <c r="B12" s="14">
        <v>3</v>
      </c>
      <c r="C12" s="15">
        <v>45014</v>
      </c>
      <c r="D12" s="16">
        <v>36.86</v>
      </c>
      <c r="E12" s="16">
        <v>34.5</v>
      </c>
      <c r="F12" s="16">
        <v>1</v>
      </c>
      <c r="G12" s="14">
        <v>500</v>
      </c>
      <c r="H12" s="17">
        <f t="shared" si="0"/>
        <v>18430</v>
      </c>
      <c r="I12" s="18">
        <f>IF(OR(A12="",B12=""),"",IFERROR(LOOKUP(2,1/(单次交易!$A$2:$A$201=A12),单次交易!$H$2:$H$201),0)+SUMIFS($G$2:$G$1001,$A$2:$A$1001,A12,$B$2:$B$1001,"&lt;"&amp;B12))</f>
        <v>2000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55190</v>
      </c>
      <c r="K12" s="17">
        <f t="shared" si="1"/>
        <v>13810</v>
      </c>
      <c r="L12" s="18">
        <f t="shared" si="2"/>
        <v>5800</v>
      </c>
      <c r="M12" s="18">
        <f t="shared" si="3"/>
        <v>500</v>
      </c>
      <c r="N12" s="18">
        <f t="shared" si="4"/>
        <v>500</v>
      </c>
      <c r="O12" s="18">
        <f t="shared" si="5"/>
        <v>2500</v>
      </c>
      <c r="P12" s="17">
        <f t="shared" si="6"/>
        <v>29.448</v>
      </c>
      <c r="Q12" s="17">
        <f t="shared" si="7"/>
        <v>0</v>
      </c>
      <c r="R12" s="19" t="str">
        <f t="shared" si="8"/>
        <v>通过</v>
      </c>
    </row>
    <row r="13" spans="1:18">
      <c r="A13" s="13">
        <v>20</v>
      </c>
      <c r="B13" s="14">
        <v>4</v>
      </c>
      <c r="C13" s="15">
        <v>45020</v>
      </c>
      <c r="D13" s="16">
        <v>44.7</v>
      </c>
      <c r="E13" s="16">
        <v>40</v>
      </c>
      <c r="F13" s="16">
        <v>1</v>
      </c>
      <c r="G13" s="14">
        <v>500</v>
      </c>
      <c r="H13" s="17">
        <f t="shared" si="0"/>
        <v>22350</v>
      </c>
      <c r="I13" s="18">
        <f>IF(OR(A13="",B13=""),"",IFERROR(LOOKUP(2,1/(单次交易!$A$2:$A$201=A13),单次交易!$H$2:$H$201),0)+SUMIFS($G$2:$G$1001,$A$2:$A$1001,A13,$B$2:$B$1001,"&lt;"&amp;B13))</f>
        <v>2500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73620</v>
      </c>
      <c r="K13" s="17">
        <f t="shared" si="1"/>
        <v>26380</v>
      </c>
      <c r="L13" s="18">
        <f t="shared" si="2"/>
        <v>5600</v>
      </c>
      <c r="M13" s="18">
        <f t="shared" si="3"/>
        <v>500</v>
      </c>
      <c r="N13" s="18">
        <f t="shared" si="4"/>
        <v>500</v>
      </c>
      <c r="O13" s="18">
        <f t="shared" si="5"/>
        <v>3000</v>
      </c>
      <c r="P13" s="17">
        <f t="shared" si="6"/>
        <v>31.99</v>
      </c>
      <c r="Q13" s="17">
        <f t="shared" si="7"/>
        <v>0</v>
      </c>
      <c r="R13" s="19" t="str">
        <f t="shared" si="8"/>
        <v>通过</v>
      </c>
    </row>
    <row r="14" spans="1:18">
      <c r="A14" s="13">
        <v>20</v>
      </c>
      <c r="B14" s="14">
        <v>5</v>
      </c>
      <c r="C14" s="15">
        <v>45036</v>
      </c>
      <c r="D14" s="16">
        <v>56.96</v>
      </c>
      <c r="E14" s="16">
        <v>50</v>
      </c>
      <c r="F14" s="16">
        <v>1</v>
      </c>
      <c r="G14" s="14">
        <v>200</v>
      </c>
      <c r="H14" s="17">
        <f t="shared" si="0"/>
        <v>11392</v>
      </c>
      <c r="I14" s="18">
        <f>IF(OR(A14="",B14=""),"",IFERROR(LOOKUP(2,1/(单次交易!$A$2:$A$201=A14),单次交易!$H$2:$H$201),0)+SUMIFS($G$2:$G$1001,$A$2:$A$1001,A14,$B$2:$B$1001,"&lt;"&amp;B14))</f>
        <v>3000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95970</v>
      </c>
      <c r="K14" s="17">
        <f t="shared" si="1"/>
        <v>54030</v>
      </c>
      <c r="L14" s="18">
        <f t="shared" si="2"/>
        <v>7700</v>
      </c>
      <c r="M14" s="18">
        <f t="shared" si="3"/>
        <v>500</v>
      </c>
      <c r="N14" s="18">
        <f t="shared" si="4"/>
        <v>500</v>
      </c>
      <c r="O14" s="18">
        <f t="shared" si="5"/>
        <v>3200</v>
      </c>
      <c r="P14" s="17">
        <f t="shared" si="6"/>
        <v>33.550624999999997</v>
      </c>
      <c r="Q14" s="17">
        <f t="shared" si="7"/>
        <v>0</v>
      </c>
      <c r="R14" s="19" t="str">
        <f t="shared" si="8"/>
        <v>通过</v>
      </c>
    </row>
    <row r="15" spans="1:18">
      <c r="A15" s="13">
        <v>23</v>
      </c>
      <c r="B15" s="14">
        <v>1</v>
      </c>
      <c r="C15" s="15">
        <v>45573</v>
      </c>
      <c r="D15" s="16">
        <v>36.94</v>
      </c>
      <c r="E15" s="16">
        <v>35</v>
      </c>
      <c r="F15" s="16">
        <v>1</v>
      </c>
      <c r="G15" s="14">
        <v>700</v>
      </c>
      <c r="H15" s="17">
        <f t="shared" si="0"/>
        <v>25858</v>
      </c>
      <c r="I15" s="18">
        <f>IF(OR(A15="",B15=""),"",IFERROR(LOOKUP(2,1/(单次交易!$A$2:$A$201=A15),单次交易!$H$2:$H$201),0)+SUMIFS($G$2:$G$1001,$A$2:$A$1001,A15,$B$2:$B$1001,"&lt;"&amp;B15))</f>
        <v>1000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33450</v>
      </c>
      <c r="K15" s="17">
        <f t="shared" si="1"/>
        <v>1550</v>
      </c>
      <c r="L15" s="18">
        <f t="shared" si="2"/>
        <v>700</v>
      </c>
      <c r="M15" s="18">
        <f t="shared" si="3"/>
        <v>700</v>
      </c>
      <c r="N15" s="18">
        <f t="shared" si="4"/>
        <v>700</v>
      </c>
      <c r="O15" s="18">
        <f t="shared" si="5"/>
        <v>1700</v>
      </c>
      <c r="P15" s="17">
        <f t="shared" si="6"/>
        <v>34.887058823529415</v>
      </c>
      <c r="Q15" s="17">
        <f t="shared" si="7"/>
        <v>0</v>
      </c>
      <c r="R15" s="19" t="str">
        <f t="shared" si="8"/>
        <v>通过</v>
      </c>
    </row>
    <row r="16" spans="1:18">
      <c r="A16" s="13">
        <v>25</v>
      </c>
      <c r="B16" s="14">
        <v>1</v>
      </c>
      <c r="C16" s="15">
        <v>45600</v>
      </c>
      <c r="D16" s="16">
        <v>44.38</v>
      </c>
      <c r="E16" s="16">
        <v>42</v>
      </c>
      <c r="F16" s="16">
        <v>1</v>
      </c>
      <c r="G16" s="14">
        <v>500</v>
      </c>
      <c r="H16" s="17">
        <f t="shared" si="0"/>
        <v>22190</v>
      </c>
      <c r="I16" s="18">
        <f>IF(OR(A16="",B16=""),"",IFERROR(LOOKUP(2,1/(单次交易!$A$2:$A$201=A16),单次交易!$H$2:$H$201),0)+SUMIFS($G$2:$G$1001,$A$2:$A$1001,A16,$B$2:$B$1001,"&lt;"&amp;B16))</f>
        <v>800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32232</v>
      </c>
      <c r="K16" s="17">
        <f t="shared" si="1"/>
        <v>1368</v>
      </c>
      <c r="L16" s="18">
        <f t="shared" si="2"/>
        <v>500</v>
      </c>
      <c r="M16" s="18">
        <f t="shared" si="3"/>
        <v>500</v>
      </c>
      <c r="N16" s="18">
        <f t="shared" si="4"/>
        <v>500</v>
      </c>
      <c r="O16" s="18">
        <f t="shared" si="5"/>
        <v>1300</v>
      </c>
      <c r="P16" s="17">
        <f t="shared" si="6"/>
        <v>41.863076923076925</v>
      </c>
      <c r="Q16" s="17">
        <f t="shared" si="7"/>
        <v>0</v>
      </c>
      <c r="R16" s="19" t="str">
        <f t="shared" si="8"/>
        <v>违规：同一交易的加仓序号重复</v>
      </c>
    </row>
    <row r="17" spans="1:18">
      <c r="A17" s="13">
        <v>25</v>
      </c>
      <c r="B17" s="14">
        <v>1</v>
      </c>
      <c r="C17" s="15">
        <v>45604</v>
      </c>
      <c r="D17" s="16">
        <v>51.43</v>
      </c>
      <c r="E17" s="16">
        <v>46</v>
      </c>
      <c r="F17" s="16">
        <v>1</v>
      </c>
      <c r="G17" s="14">
        <v>800</v>
      </c>
      <c r="H17" s="17">
        <f t="shared" si="0"/>
        <v>41144</v>
      </c>
      <c r="I17" s="18">
        <f>IF(OR(A17="",B17=""),"",IFERROR(LOOKUP(2,1/(单次交易!$A$2:$A$201=A17),单次交易!$H$2:$H$201),0)+SUMIFS($G$2:$G$1001,$A$2:$A$1001,A17,$B$2:$B$1001,"&lt;"&amp;B17))</f>
        <v>800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32232</v>
      </c>
      <c r="K17" s="17">
        <f t="shared" si="1"/>
        <v>4568</v>
      </c>
      <c r="L17" s="18">
        <f t="shared" si="2"/>
        <v>800</v>
      </c>
      <c r="M17" s="18">
        <f t="shared" si="3"/>
        <v>800</v>
      </c>
      <c r="N17" s="18">
        <f t="shared" si="4"/>
        <v>800</v>
      </c>
      <c r="O17" s="18">
        <f t="shared" si="5"/>
        <v>1600</v>
      </c>
      <c r="P17" s="17">
        <f t="shared" si="6"/>
        <v>45.86</v>
      </c>
      <c r="Q17" s="17">
        <f t="shared" si="7"/>
        <v>0</v>
      </c>
      <c r="R17" s="19" t="str">
        <f t="shared" si="8"/>
        <v>违规：同一交易的加仓序号重复</v>
      </c>
    </row>
    <row r="18" spans="1:18">
      <c r="A18" s="13">
        <v>26</v>
      </c>
      <c r="B18" s="14">
        <v>1</v>
      </c>
      <c r="C18" s="15">
        <v>45869</v>
      </c>
      <c r="D18" s="16">
        <v>53.87</v>
      </c>
      <c r="E18" s="16">
        <v>48</v>
      </c>
      <c r="F18" s="16">
        <v>1</v>
      </c>
      <c r="G18" s="14">
        <v>700</v>
      </c>
      <c r="H18" s="17">
        <f t="shared" si="0"/>
        <v>37709</v>
      </c>
      <c r="I18" s="18">
        <f>IF(OR(A18="",B18=""),"",IFERROR(LOOKUP(2,1/(单次交易!$A$2:$A$201=A18),单次交易!$H$2:$H$201),0)+SUMIFS($G$2:$G$1001,$A$2:$A$1001,A18,$B$2:$B$1001,"&lt;"&amp;B18))</f>
        <v>1000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43800</v>
      </c>
      <c r="K18" s="17">
        <f t="shared" si="1"/>
        <v>4200</v>
      </c>
      <c r="L18" s="18">
        <f t="shared" si="2"/>
        <v>700</v>
      </c>
      <c r="M18" s="18">
        <f t="shared" si="3"/>
        <v>700</v>
      </c>
      <c r="N18" s="18">
        <f t="shared" si="4"/>
        <v>700</v>
      </c>
      <c r="O18" s="18">
        <f t="shared" si="5"/>
        <v>1700</v>
      </c>
      <c r="P18" s="17">
        <f t="shared" si="6"/>
        <v>47.946470588235293</v>
      </c>
      <c r="Q18" s="17">
        <f t="shared" si="7"/>
        <v>0</v>
      </c>
      <c r="R18" s="19" t="str">
        <f t="shared" si="8"/>
        <v>通过</v>
      </c>
    </row>
    <row r="19" spans="1:18">
      <c r="A19" s="13">
        <v>26</v>
      </c>
      <c r="B19" s="14">
        <v>2</v>
      </c>
      <c r="C19" s="15">
        <v>45888</v>
      </c>
      <c r="D19" s="16">
        <v>64.42</v>
      </c>
      <c r="E19" s="16">
        <v>55</v>
      </c>
      <c r="F19" s="16">
        <v>1</v>
      </c>
      <c r="G19" s="14">
        <v>700</v>
      </c>
      <c r="H19" s="17">
        <f t="shared" si="0"/>
        <v>45094</v>
      </c>
      <c r="I19" s="18">
        <f>IF(OR(A19="",B19=""),"",IFERROR(LOOKUP(2,1/(单次交易!$A$2:$A$201=A19),单次交易!$H$2:$H$201),0)+SUMIFS($G$2:$G$1001,$A$2:$A$1001,A19,$B$2:$B$1001,"&lt;"&amp;B19))</f>
        <v>1700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81509</v>
      </c>
      <c r="K19" s="17">
        <f t="shared" si="1"/>
        <v>11991</v>
      </c>
      <c r="L19" s="18">
        <f t="shared" si="2"/>
        <v>1200</v>
      </c>
      <c r="M19" s="18">
        <f t="shared" si="3"/>
        <v>700</v>
      </c>
      <c r="N19" s="18">
        <f t="shared" si="4"/>
        <v>700</v>
      </c>
      <c r="O19" s="18">
        <f t="shared" si="5"/>
        <v>2400</v>
      </c>
      <c r="P19" s="17">
        <f t="shared" si="6"/>
        <v>52.751249999999999</v>
      </c>
      <c r="Q19" s="17">
        <f t="shared" si="7"/>
        <v>0</v>
      </c>
      <c r="R19" s="19" t="str">
        <f t="shared" si="8"/>
        <v>通过</v>
      </c>
    </row>
    <row r="20" spans="1:18">
      <c r="A20" s="13">
        <v>26</v>
      </c>
      <c r="B20" s="14">
        <v>3</v>
      </c>
      <c r="C20" s="15">
        <v>45897</v>
      </c>
      <c r="D20" s="16">
        <v>94.67</v>
      </c>
      <c r="E20" s="16">
        <v>80</v>
      </c>
      <c r="F20" s="16">
        <v>1</v>
      </c>
      <c r="G20" s="14">
        <v>700</v>
      </c>
      <c r="H20" s="17">
        <f t="shared" si="0"/>
        <v>66269</v>
      </c>
      <c r="I20" s="18">
        <f>IF(OR(A20="",B20=""),"",IFERROR(LOOKUP(2,1/(单次交易!$A$2:$A$201=A20),单次交易!$H$2:$H$201),0)+SUMIFS($G$2:$G$1001,$A$2:$A$1001,A20,$B$2:$B$1001,"&lt;"&amp;B20))</f>
        <v>2400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126603</v>
      </c>
      <c r="K20" s="17">
        <f t="shared" si="1"/>
        <v>65397</v>
      </c>
      <c r="L20" s="18">
        <f t="shared" si="2"/>
        <v>4400</v>
      </c>
      <c r="M20" s="18">
        <f t="shared" si="3"/>
        <v>700</v>
      </c>
      <c r="N20" s="18">
        <f t="shared" si="4"/>
        <v>700</v>
      </c>
      <c r="O20" s="18">
        <f t="shared" si="5"/>
        <v>3100</v>
      </c>
      <c r="P20" s="17">
        <f t="shared" si="6"/>
        <v>62.216774193548389</v>
      </c>
      <c r="Q20" s="17">
        <f t="shared" si="7"/>
        <v>0</v>
      </c>
      <c r="R20" s="19" t="str">
        <f t="shared" si="8"/>
        <v>通过</v>
      </c>
    </row>
    <row r="21" spans="1:18">
      <c r="A21" s="13">
        <v>27</v>
      </c>
      <c r="B21" s="14">
        <v>1</v>
      </c>
      <c r="C21" s="15">
        <v>45916</v>
      </c>
      <c r="D21" s="16">
        <v>119.49</v>
      </c>
      <c r="E21" s="16">
        <v>108</v>
      </c>
      <c r="F21" s="16">
        <v>1</v>
      </c>
      <c r="G21" s="14">
        <v>400</v>
      </c>
      <c r="H21" s="17">
        <f t="shared" si="0"/>
        <v>47796</v>
      </c>
      <c r="I21" s="18">
        <f>IF(OR(A21="",B21=""),"",IFERROR(LOOKUP(2,1/(单次交易!$A$2:$A$201=A21),单次交易!$H$2:$H$201),0)+SUMIFS($G$2:$G$1001,$A$2:$A$1001,A21,$B$2:$B$1001,"&lt;"&amp;B21))</f>
        <v>700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70756</v>
      </c>
      <c r="K21" s="17">
        <f t="shared" si="1"/>
        <v>4844</v>
      </c>
      <c r="L21" s="18">
        <f t="shared" si="2"/>
        <v>400</v>
      </c>
      <c r="M21" s="18">
        <f t="shared" si="3"/>
        <v>400</v>
      </c>
      <c r="N21" s="18">
        <f t="shared" si="4"/>
        <v>400</v>
      </c>
      <c r="O21" s="18">
        <f t="shared" si="5"/>
        <v>1100</v>
      </c>
      <c r="P21" s="17">
        <f t="shared" si="6"/>
        <v>107.77454545454546</v>
      </c>
      <c r="Q21" s="17">
        <f t="shared" si="7"/>
        <v>0</v>
      </c>
      <c r="R21" s="19" t="str">
        <f t="shared" si="8"/>
        <v>通过</v>
      </c>
    </row>
    <row r="22" spans="1:18">
      <c r="A22" s="13">
        <v>29</v>
      </c>
      <c r="B22" s="14">
        <v>1</v>
      </c>
      <c r="C22" s="15">
        <v>46132</v>
      </c>
      <c r="D22" s="16">
        <v>151.93</v>
      </c>
      <c r="E22" s="16">
        <v>145</v>
      </c>
      <c r="F22" s="16">
        <v>1</v>
      </c>
      <c r="G22" s="14">
        <v>300</v>
      </c>
      <c r="H22" s="17">
        <f t="shared" si="0"/>
        <v>45579</v>
      </c>
      <c r="I22" s="18">
        <f>IF(OR(A22="",B22=""),"",IFERROR(LOOKUP(2,1/(单次交易!$A$2:$A$201=A22),单次交易!$H$2:$H$201),0)+SUMIFS($G$2:$G$1001,$A$2:$A$1001,A22,$B$2:$B$1001,"&lt;"&amp;B22))</f>
        <v>600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79038</v>
      </c>
      <c r="K22" s="17">
        <f t="shared" si="1"/>
        <v>7962</v>
      </c>
      <c r="L22" s="18">
        <f t="shared" si="2"/>
        <v>1100</v>
      </c>
      <c r="M22" s="18">
        <f t="shared" si="3"/>
        <v>1100</v>
      </c>
      <c r="N22" s="18">
        <f t="shared" si="4"/>
        <v>1100</v>
      </c>
      <c r="O22" s="18">
        <f t="shared" si="5"/>
        <v>900</v>
      </c>
      <c r="P22" s="17">
        <f t="shared" si="6"/>
        <v>138.46333333333334</v>
      </c>
      <c r="Q22" s="17">
        <f t="shared" si="7"/>
        <v>0</v>
      </c>
      <c r="R22" s="19" t="str">
        <f t="shared" si="8"/>
        <v>通过</v>
      </c>
    </row>
    <row r="23" spans="1:18">
      <c r="A23" s="13">
        <v>29</v>
      </c>
      <c r="B23" s="14">
        <v>2</v>
      </c>
      <c r="C23" s="15">
        <v>46134</v>
      </c>
      <c r="D23" s="16">
        <v>171.81</v>
      </c>
      <c r="E23" s="16">
        <v>150</v>
      </c>
      <c r="F23" s="16">
        <v>1</v>
      </c>
      <c r="G23" s="14">
        <v>300</v>
      </c>
      <c r="H23" s="17">
        <f t="shared" si="0"/>
        <v>51543</v>
      </c>
      <c r="I23" s="18">
        <f>IF(OR(A23="",B23=""),"",IFERROR(LOOKUP(2,1/(单次交易!$A$2:$A$201=A23),单次交易!$H$2:$H$201),0)+SUMIFS($G$2:$G$1001,$A$2:$A$1001,A23,$B$2:$B$1001,"&lt;"&amp;B23))</f>
        <v>900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124617</v>
      </c>
      <c r="K23" s="17">
        <f t="shared" si="1"/>
        <v>10383</v>
      </c>
      <c r="L23" s="18">
        <f t="shared" si="2"/>
        <v>400</v>
      </c>
      <c r="M23" s="18">
        <f t="shared" si="3"/>
        <v>300</v>
      </c>
      <c r="N23" s="18">
        <f t="shared" si="4"/>
        <v>300</v>
      </c>
      <c r="O23" s="18">
        <f t="shared" si="5"/>
        <v>1200</v>
      </c>
      <c r="P23" s="17">
        <f t="shared" si="6"/>
        <v>146.80000000000001</v>
      </c>
      <c r="Q23" s="17">
        <f t="shared" si="7"/>
        <v>0</v>
      </c>
      <c r="R23" s="19" t="str">
        <f t="shared" si="8"/>
        <v>通过</v>
      </c>
    </row>
    <row r="24" spans="1:18">
      <c r="A24" s="13">
        <v>29</v>
      </c>
      <c r="B24" s="14">
        <v>3</v>
      </c>
      <c r="C24" s="15">
        <v>46150</v>
      </c>
      <c r="D24" s="16">
        <v>194.13</v>
      </c>
      <c r="E24" s="16">
        <v>170</v>
      </c>
      <c r="F24" s="16">
        <v>1</v>
      </c>
      <c r="G24" s="14">
        <v>300</v>
      </c>
      <c r="H24" s="17">
        <f t="shared" si="0"/>
        <v>58239</v>
      </c>
      <c r="I24" s="18">
        <f>IF(OR(A24="",B24=""),"",IFERROR(LOOKUP(2,1/(单次交易!$A$2:$A$201=A24),单次交易!$H$2:$H$201),0)+SUMIFS($G$2:$G$1001,$A$2:$A$1001,A24,$B$2:$B$1001,"&lt;"&amp;B24))</f>
        <v>1200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176160</v>
      </c>
      <c r="K24" s="17">
        <f t="shared" si="1"/>
        <v>27840</v>
      </c>
      <c r="L24" s="18">
        <f t="shared" si="2"/>
        <v>1100</v>
      </c>
      <c r="M24" s="18">
        <f t="shared" si="3"/>
        <v>300</v>
      </c>
      <c r="N24" s="18">
        <f t="shared" si="4"/>
        <v>300</v>
      </c>
      <c r="O24" s="18">
        <f t="shared" si="5"/>
        <v>1500</v>
      </c>
      <c r="P24" s="17">
        <f t="shared" si="6"/>
        <v>156.26599999999999</v>
      </c>
      <c r="Q24" s="17">
        <f t="shared" si="7"/>
        <v>0</v>
      </c>
      <c r="R24" s="19" t="str">
        <f t="shared" si="8"/>
        <v>通过</v>
      </c>
    </row>
    <row r="25" spans="1:18">
      <c r="A25" s="13">
        <v>30</v>
      </c>
      <c r="B25" s="14">
        <v>1</v>
      </c>
      <c r="C25" s="15">
        <v>46197</v>
      </c>
      <c r="D25" s="16">
        <v>262</v>
      </c>
      <c r="E25" s="16">
        <v>240</v>
      </c>
      <c r="F25" s="16">
        <v>1</v>
      </c>
      <c r="G25" s="14">
        <v>300</v>
      </c>
      <c r="H25" s="17">
        <f t="shared" si="0"/>
        <v>78600</v>
      </c>
      <c r="I25" s="18">
        <f>IF(OR(A25="",B25=""),"",IFERROR(LOOKUP(2,1/(单次交易!$A$2:$A$201=A25),单次交易!$H$2:$H$201),0)+SUMIFS($G$2:$G$1001,$A$2:$A$1001,A25,$B$2:$B$1001,"&lt;"&amp;B25))</f>
        <v>300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64335</v>
      </c>
      <c r="K25" s="17">
        <f t="shared" si="1"/>
        <v>7665</v>
      </c>
      <c r="L25" s="18">
        <f t="shared" si="2"/>
        <v>300</v>
      </c>
      <c r="M25" s="18">
        <f t="shared" si="3"/>
        <v>300</v>
      </c>
      <c r="N25" s="18">
        <f t="shared" si="4"/>
        <v>300</v>
      </c>
      <c r="O25" s="18">
        <f t="shared" si="5"/>
        <v>600</v>
      </c>
      <c r="P25" s="17">
        <f t="shared" si="6"/>
        <v>238.22499999999999</v>
      </c>
      <c r="Q25" s="17">
        <f t="shared" si="7"/>
        <v>0</v>
      </c>
      <c r="R25" s="19" t="str">
        <f t="shared" si="8"/>
        <v>通过</v>
      </c>
    </row>
    <row r="26" spans="1:18">
      <c r="A26" s="13">
        <v>32</v>
      </c>
      <c r="B26" s="14">
        <v>1</v>
      </c>
      <c r="C26" s="15">
        <v>41540</v>
      </c>
      <c r="D26" s="16">
        <v>4.4400000000000004</v>
      </c>
      <c r="E26" s="16">
        <v>4</v>
      </c>
      <c r="F26" s="16">
        <v>1</v>
      </c>
      <c r="G26" s="14">
        <v>12700</v>
      </c>
      <c r="H26" s="17">
        <f t="shared" si="0"/>
        <v>56388</v>
      </c>
      <c r="I26" s="18">
        <f>IF(OR(A26="",B26=""),"",IFERROR(LOOKUP(2,1/(单次交易!$A$2:$A$201=A26),单次交易!$H$2:$H$201),0)+SUMIFS($G$2:$G$1001,$A$2:$A$1001,A26,$B$2:$B$1001,"&lt;"&amp;B26))</f>
        <v>22400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84000</v>
      </c>
      <c r="K26" s="17">
        <f t="shared" si="1"/>
        <v>5600</v>
      </c>
      <c r="L26" s="18">
        <f t="shared" si="2"/>
        <v>12700</v>
      </c>
      <c r="M26" s="18">
        <f t="shared" si="3"/>
        <v>12700</v>
      </c>
      <c r="N26" s="18">
        <f t="shared" si="4"/>
        <v>12700</v>
      </c>
      <c r="O26" s="18">
        <f t="shared" si="5"/>
        <v>35100</v>
      </c>
      <c r="P26" s="17">
        <f t="shared" si="6"/>
        <v>3.9996581196581196</v>
      </c>
      <c r="Q26" s="17">
        <f t="shared" si="7"/>
        <v>0</v>
      </c>
      <c r="R26" s="19" t="str">
        <f t="shared" si="8"/>
        <v>通过</v>
      </c>
    </row>
    <row r="27" spans="1:18">
      <c r="A27" s="13">
        <v>32</v>
      </c>
      <c r="B27" s="14">
        <v>2</v>
      </c>
      <c r="C27" s="15">
        <v>41547</v>
      </c>
      <c r="D27" s="16">
        <v>4.99</v>
      </c>
      <c r="E27" s="16">
        <v>4.5</v>
      </c>
      <c r="F27" s="16">
        <v>1</v>
      </c>
      <c r="G27" s="14">
        <v>12700</v>
      </c>
      <c r="H27" s="17">
        <f t="shared" si="0"/>
        <v>63373</v>
      </c>
      <c r="I27" s="18">
        <f>IF(OR(A27="",B27=""),"",IFERROR(LOOKUP(2,1/(单次交易!$A$2:$A$201=A27),单次交易!$H$2:$H$201),0)+SUMIFS($G$2:$G$1001,$A$2:$A$1001,A27,$B$2:$B$1001,"&lt;"&amp;B27))</f>
        <v>35100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140388</v>
      </c>
      <c r="K27" s="17">
        <f t="shared" si="1"/>
        <v>17562</v>
      </c>
      <c r="L27" s="18">
        <f t="shared" si="2"/>
        <v>35800</v>
      </c>
      <c r="M27" s="18">
        <f t="shared" si="3"/>
        <v>12700</v>
      </c>
      <c r="N27" s="18">
        <f t="shared" si="4"/>
        <v>12700</v>
      </c>
      <c r="O27" s="18">
        <f t="shared" si="5"/>
        <v>47800</v>
      </c>
      <c r="P27" s="17">
        <f t="shared" si="6"/>
        <v>4.2627824267782426</v>
      </c>
      <c r="Q27" s="17">
        <f t="shared" si="7"/>
        <v>0</v>
      </c>
      <c r="R27" s="19" t="str">
        <f t="shared" si="8"/>
        <v>通过</v>
      </c>
    </row>
    <row r="28" spans="1:18">
      <c r="A28" s="13">
        <v>34</v>
      </c>
      <c r="B28" s="14">
        <v>1</v>
      </c>
      <c r="C28" s="15">
        <v>41983</v>
      </c>
      <c r="D28" s="16">
        <v>5.58</v>
      </c>
      <c r="E28" s="16">
        <v>5</v>
      </c>
      <c r="F28" s="16">
        <v>1</v>
      </c>
      <c r="G28" s="14">
        <v>5500</v>
      </c>
      <c r="H28" s="17">
        <f t="shared" si="0"/>
        <v>30690</v>
      </c>
      <c r="I28" s="18">
        <f>IF(OR(A28="",B28=""),"",IFERROR(LOOKUP(2,1/(单次交易!$A$2:$A$201=A28),单次交易!$H$2:$H$201),0)+SUMIFS($G$2:$G$1001,$A$2:$A$1001,A28,$B$2:$B$1001,"&lt;"&amp;B28))</f>
        <v>27000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131760</v>
      </c>
      <c r="K28" s="17">
        <f t="shared" si="1"/>
        <v>3240</v>
      </c>
      <c r="L28" s="18">
        <f t="shared" si="2"/>
        <v>5500</v>
      </c>
      <c r="M28" s="18">
        <f t="shared" si="3"/>
        <v>5500</v>
      </c>
      <c r="N28" s="18">
        <f t="shared" si="4"/>
        <v>5500</v>
      </c>
      <c r="O28" s="18">
        <f t="shared" si="5"/>
        <v>32500</v>
      </c>
      <c r="P28" s="17">
        <f t="shared" si="6"/>
        <v>4.9984615384615383</v>
      </c>
      <c r="Q28" s="17">
        <f t="shared" si="7"/>
        <v>0</v>
      </c>
      <c r="R28" s="19" t="str">
        <f t="shared" si="8"/>
        <v>通过</v>
      </c>
    </row>
    <row r="29" spans="1:18">
      <c r="A29" s="13">
        <v>34</v>
      </c>
      <c r="B29" s="14">
        <v>2</v>
      </c>
      <c r="C29" s="15">
        <v>41995</v>
      </c>
      <c r="D29" s="16">
        <v>6.14</v>
      </c>
      <c r="E29" s="16">
        <v>5.6</v>
      </c>
      <c r="F29" s="16">
        <v>1</v>
      </c>
      <c r="G29" s="14">
        <v>5500</v>
      </c>
      <c r="H29" s="17">
        <f t="shared" si="0"/>
        <v>33770</v>
      </c>
      <c r="I29" s="18">
        <f>IF(OR(A29="",B29=""),"",IFERROR(LOOKUP(2,1/(单次交易!$A$2:$A$201=A29),单次交易!$H$2:$H$201),0)+SUMIFS($G$2:$G$1001,$A$2:$A$1001,A29,$B$2:$B$1001,"&lt;"&amp;B29))</f>
        <v>32500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162450</v>
      </c>
      <c r="K29" s="17">
        <f t="shared" si="1"/>
        <v>19550</v>
      </c>
      <c r="L29" s="18">
        <f t="shared" si="2"/>
        <v>36200</v>
      </c>
      <c r="M29" s="18">
        <f t="shared" si="3"/>
        <v>5500</v>
      </c>
      <c r="N29" s="18">
        <f t="shared" si="4"/>
        <v>5500</v>
      </c>
      <c r="O29" s="18">
        <f t="shared" si="5"/>
        <v>38000</v>
      </c>
      <c r="P29" s="17">
        <f t="shared" si="6"/>
        <v>5.1636842105263154</v>
      </c>
      <c r="Q29" s="17">
        <f t="shared" si="7"/>
        <v>0</v>
      </c>
      <c r="R29" s="19" t="str">
        <f t="shared" si="8"/>
        <v>通过</v>
      </c>
    </row>
    <row r="30" spans="1:18">
      <c r="A30" s="13">
        <v>34</v>
      </c>
      <c r="B30" s="14">
        <v>3</v>
      </c>
      <c r="C30" s="15">
        <v>42010</v>
      </c>
      <c r="D30" s="16">
        <v>6.61</v>
      </c>
      <c r="E30" s="16">
        <v>6.2</v>
      </c>
      <c r="F30" s="16">
        <v>1</v>
      </c>
      <c r="G30" s="14">
        <v>5500</v>
      </c>
      <c r="H30" s="17">
        <f t="shared" si="0"/>
        <v>36355</v>
      </c>
      <c r="I30" s="18">
        <f>IF(OR(A30="",B30=""),"",IFERROR(LOOKUP(2,1/(单次交易!$A$2:$A$201=A30),单次交易!$H$2:$H$201),0)+SUMIFS($G$2:$G$1001,$A$2:$A$1001,A30,$B$2:$B$1001,"&lt;"&amp;B30))</f>
        <v>38000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196220</v>
      </c>
      <c r="K30" s="17">
        <f t="shared" si="1"/>
        <v>39380</v>
      </c>
      <c r="L30" s="18">
        <f t="shared" si="2"/>
        <v>96000</v>
      </c>
      <c r="M30" s="18">
        <f t="shared" si="3"/>
        <v>5500</v>
      </c>
      <c r="N30" s="18">
        <f t="shared" si="4"/>
        <v>5500</v>
      </c>
      <c r="O30" s="18">
        <f t="shared" si="5"/>
        <v>43500</v>
      </c>
      <c r="P30" s="17">
        <f t="shared" si="6"/>
        <v>5.3465517241379308</v>
      </c>
      <c r="Q30" s="17">
        <f t="shared" si="7"/>
        <v>0</v>
      </c>
      <c r="R30" s="19" t="str">
        <f t="shared" si="8"/>
        <v>通过</v>
      </c>
    </row>
    <row r="31" spans="1:18">
      <c r="A31" s="13">
        <v>35</v>
      </c>
      <c r="B31" s="14">
        <v>1</v>
      </c>
      <c r="C31" s="15">
        <v>42095</v>
      </c>
      <c r="D31" s="16">
        <v>8.2200000000000006</v>
      </c>
      <c r="E31" s="16">
        <v>7.6</v>
      </c>
      <c r="F31" s="16">
        <v>1</v>
      </c>
      <c r="G31" s="14">
        <v>14400</v>
      </c>
      <c r="H31" s="17">
        <f t="shared" si="0"/>
        <v>118368</v>
      </c>
      <c r="I31" s="18">
        <f>IF(OR(A31="",B31=""),"",IFERROR(LOOKUP(2,1/(单次交易!$A$2:$A$201=A31),单次交易!$H$2:$H$201),0)+SUMIFS($G$2:$G$1001,$A$2:$A$1001,A31,$B$2:$B$1001,"&lt;"&amp;B31))</f>
        <v>14400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100512</v>
      </c>
      <c r="K31" s="17">
        <f t="shared" si="1"/>
        <v>8928</v>
      </c>
      <c r="L31" s="18">
        <f t="shared" si="2"/>
        <v>14400</v>
      </c>
      <c r="M31" s="18">
        <f t="shared" si="3"/>
        <v>14400</v>
      </c>
      <c r="N31" s="18">
        <f t="shared" si="4"/>
        <v>14400</v>
      </c>
      <c r="O31" s="18">
        <f t="shared" si="5"/>
        <v>28800</v>
      </c>
      <c r="P31" s="17">
        <f t="shared" si="6"/>
        <v>7.6</v>
      </c>
      <c r="Q31" s="17">
        <f t="shared" si="7"/>
        <v>0</v>
      </c>
      <c r="R31" s="19" t="str">
        <f t="shared" si="8"/>
        <v>通过</v>
      </c>
    </row>
    <row r="32" spans="1:18">
      <c r="A32" s="13">
        <v>35</v>
      </c>
      <c r="B32" s="14">
        <v>2</v>
      </c>
      <c r="C32" s="15">
        <v>42111</v>
      </c>
      <c r="D32" s="16">
        <v>9.18</v>
      </c>
      <c r="E32" s="16">
        <v>8.5</v>
      </c>
      <c r="F32" s="16">
        <v>1</v>
      </c>
      <c r="G32" s="14">
        <v>14400</v>
      </c>
      <c r="H32" s="17">
        <f t="shared" si="0"/>
        <v>132192</v>
      </c>
      <c r="I32" s="18">
        <f>IF(OR(A32="",B32=""),"",IFERROR(LOOKUP(2,1/(单次交易!$A$2:$A$201=A32),单次交易!$H$2:$H$201),0)+SUMIFS($G$2:$G$1001,$A$2:$A$1001,A32,$B$2:$B$1001,"&lt;"&amp;B32))</f>
        <v>28800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218880</v>
      </c>
      <c r="K32" s="17">
        <f t="shared" si="1"/>
        <v>25920</v>
      </c>
      <c r="L32" s="18">
        <f t="shared" si="2"/>
        <v>38100</v>
      </c>
      <c r="M32" s="18">
        <f t="shared" si="3"/>
        <v>14400</v>
      </c>
      <c r="N32" s="18">
        <f t="shared" si="4"/>
        <v>14400</v>
      </c>
      <c r="O32" s="18">
        <f t="shared" si="5"/>
        <v>43200</v>
      </c>
      <c r="P32" s="17">
        <f t="shared" si="6"/>
        <v>8.1266666666666669</v>
      </c>
      <c r="Q32" s="17">
        <f t="shared" si="7"/>
        <v>0</v>
      </c>
      <c r="R32" s="19" t="str">
        <f t="shared" si="8"/>
        <v>通过</v>
      </c>
    </row>
    <row r="33" spans="1:18">
      <c r="A33" s="13">
        <v>40</v>
      </c>
      <c r="B33" s="14">
        <v>1</v>
      </c>
      <c r="C33" s="15">
        <v>42845</v>
      </c>
      <c r="D33" s="16">
        <v>6.18</v>
      </c>
      <c r="E33" s="16">
        <v>5.8</v>
      </c>
      <c r="F33" s="16">
        <v>1</v>
      </c>
      <c r="G33" s="14">
        <v>15000</v>
      </c>
      <c r="H33" s="17">
        <f t="shared" si="0"/>
        <v>92700</v>
      </c>
      <c r="I33" s="18">
        <f>IF(OR(A33="",B33=""),"",IFERROR(LOOKUP(2,1/(单次交易!$A$2:$A$201=A33),单次交易!$H$2:$H$201),0)+SUMIFS($G$2:$G$1001,$A$2:$A$1001,A33,$B$2:$B$1001,"&lt;"&amp;B33))</f>
        <v>16300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86064</v>
      </c>
      <c r="K33" s="17">
        <f t="shared" si="1"/>
        <v>8476</v>
      </c>
      <c r="L33" s="18">
        <f t="shared" si="2"/>
        <v>22300</v>
      </c>
      <c r="M33" s="18">
        <f t="shared" si="3"/>
        <v>22300</v>
      </c>
      <c r="N33" s="18">
        <f t="shared" si="4"/>
        <v>22300</v>
      </c>
      <c r="O33" s="18">
        <f t="shared" si="5"/>
        <v>31300</v>
      </c>
      <c r="P33" s="17">
        <f t="shared" si="6"/>
        <v>5.7113099041533548</v>
      </c>
      <c r="Q33" s="17">
        <f t="shared" si="7"/>
        <v>0</v>
      </c>
      <c r="R33" s="19" t="str">
        <f t="shared" si="8"/>
        <v>通过</v>
      </c>
    </row>
    <row r="34" spans="1:18">
      <c r="A34" s="13">
        <v>42</v>
      </c>
      <c r="B34" s="14">
        <v>1</v>
      </c>
      <c r="C34" s="15">
        <v>43521</v>
      </c>
      <c r="D34" s="16">
        <v>3.71</v>
      </c>
      <c r="E34" s="16">
        <v>3.45</v>
      </c>
      <c r="F34" s="16">
        <v>1</v>
      </c>
      <c r="G34" s="14">
        <v>17400</v>
      </c>
      <c r="H34" s="17">
        <f t="shared" si="0"/>
        <v>64554</v>
      </c>
      <c r="I34" s="18">
        <f>IF(OR(A34="",B34=""),"",IFERROR(LOOKUP(2,1/(单次交易!$A$2:$A$201=A34),单次交易!$H$2:$H$201),0)+SUMIFS($G$2:$G$1001,$A$2:$A$1001,A34,$B$2:$B$1001,"&lt;"&amp;B34))</f>
        <v>25200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82404</v>
      </c>
      <c r="K34" s="17">
        <f t="shared" si="1"/>
        <v>4536</v>
      </c>
      <c r="L34" s="18">
        <f t="shared" si="2"/>
        <v>17400</v>
      </c>
      <c r="M34" s="18">
        <f t="shared" si="3"/>
        <v>17400</v>
      </c>
      <c r="N34" s="18">
        <f t="shared" si="4"/>
        <v>17400</v>
      </c>
      <c r="O34" s="18">
        <f t="shared" si="5"/>
        <v>42600</v>
      </c>
      <c r="P34" s="17">
        <f t="shared" si="6"/>
        <v>3.4497183098591551</v>
      </c>
      <c r="Q34" s="17">
        <f t="shared" si="7"/>
        <v>0</v>
      </c>
      <c r="R34" s="19" t="str">
        <f t="shared" si="8"/>
        <v>通过</v>
      </c>
    </row>
    <row r="35" spans="1:18">
      <c r="A35" s="13">
        <v>44</v>
      </c>
      <c r="B35" s="14">
        <v>1</v>
      </c>
      <c r="C35" s="15">
        <v>43903</v>
      </c>
      <c r="D35" s="16">
        <v>3.82</v>
      </c>
      <c r="E35" s="16">
        <v>3.5</v>
      </c>
      <c r="F35" s="16">
        <v>1</v>
      </c>
      <c r="G35" s="14">
        <v>19500</v>
      </c>
      <c r="H35" s="17">
        <f t="shared" si="0"/>
        <v>74490</v>
      </c>
      <c r="I35" s="18">
        <f>IF(OR(A35="",B35=""),"",IFERROR(LOOKUP(2,1/(单次交易!$A$2:$A$201=A35),单次交易!$H$2:$H$201),0)+SUMIFS($G$2:$G$1001,$A$2:$A$1001,A35,$B$2:$B$1001,"&lt;"&amp;B35))</f>
        <v>26000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84760</v>
      </c>
      <c r="K35" s="17">
        <f t="shared" si="1"/>
        <v>6240</v>
      </c>
      <c r="L35" s="18">
        <f t="shared" si="2"/>
        <v>19500</v>
      </c>
      <c r="M35" s="18">
        <f t="shared" si="3"/>
        <v>19500</v>
      </c>
      <c r="N35" s="18">
        <f t="shared" si="4"/>
        <v>19500</v>
      </c>
      <c r="O35" s="18">
        <f t="shared" si="5"/>
        <v>45500</v>
      </c>
      <c r="P35" s="17">
        <f t="shared" si="6"/>
        <v>3.5</v>
      </c>
      <c r="Q35" s="17">
        <f t="shared" si="7"/>
        <v>0</v>
      </c>
      <c r="R35" s="19" t="str">
        <f t="shared" si="8"/>
        <v>通过</v>
      </c>
    </row>
    <row r="36" spans="1:18">
      <c r="A36" s="13">
        <v>45</v>
      </c>
      <c r="B36" s="14">
        <v>1</v>
      </c>
      <c r="C36" s="15">
        <v>44043</v>
      </c>
      <c r="D36" s="16">
        <v>4.72</v>
      </c>
      <c r="E36" s="16">
        <v>4.4000000000000004</v>
      </c>
      <c r="F36" s="16">
        <v>1</v>
      </c>
      <c r="G36" s="14">
        <v>16700</v>
      </c>
      <c r="H36" s="17">
        <f t="shared" si="0"/>
        <v>78824</v>
      </c>
      <c r="I36" s="18">
        <f>IF(OR(A36="",B36=""),"",IFERROR(LOOKUP(2,1/(单次交易!$A$2:$A$201=A36),单次交易!$H$2:$H$201),0)+SUMIFS($G$2:$G$1001,$A$2:$A$1001,A36,$B$2:$B$1001,"&lt;"&amp;B36))</f>
        <v>14900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60196</v>
      </c>
      <c r="K36" s="17">
        <f t="shared" si="1"/>
        <v>5364</v>
      </c>
      <c r="L36" s="18">
        <f t="shared" si="2"/>
        <v>16700</v>
      </c>
      <c r="M36" s="18">
        <f t="shared" si="3"/>
        <v>16700</v>
      </c>
      <c r="N36" s="18">
        <f t="shared" si="4"/>
        <v>16700</v>
      </c>
      <c r="O36" s="18">
        <f t="shared" si="5"/>
        <v>31600</v>
      </c>
      <c r="P36" s="17">
        <f t="shared" si="6"/>
        <v>4.3993670886075948</v>
      </c>
      <c r="Q36" s="17">
        <f t="shared" si="7"/>
        <v>0</v>
      </c>
      <c r="R36" s="19" t="str">
        <f t="shared" si="8"/>
        <v>通过</v>
      </c>
    </row>
    <row r="37" spans="1:18">
      <c r="A37" s="13">
        <v>47</v>
      </c>
      <c r="B37" s="14">
        <v>1</v>
      </c>
      <c r="C37" s="15">
        <v>44190</v>
      </c>
      <c r="D37" s="16">
        <v>5.89</v>
      </c>
      <c r="E37" s="16">
        <v>5.5</v>
      </c>
      <c r="F37" s="16">
        <v>1</v>
      </c>
      <c r="G37" s="14">
        <v>14000</v>
      </c>
      <c r="H37" s="17">
        <f t="shared" si="0"/>
        <v>82460</v>
      </c>
      <c r="I37" s="18">
        <f>IF(OR(A37="",B37=""),"",IFERROR(LOOKUP(2,1/(单次交易!$A$2:$A$201=A37),单次交易!$H$2:$H$201),0)+SUMIFS($G$2:$G$1001,$A$2:$A$1001,A37,$B$2:$B$1001,"&lt;"&amp;B37))</f>
        <v>23800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125425.99999999999</v>
      </c>
      <c r="K37" s="17">
        <f t="shared" si="1"/>
        <v>5474.0000000000146</v>
      </c>
      <c r="L37" s="18">
        <f t="shared" si="2"/>
        <v>14000</v>
      </c>
      <c r="M37" s="18">
        <f t="shared" si="3"/>
        <v>14000</v>
      </c>
      <c r="N37" s="18">
        <f t="shared" si="4"/>
        <v>14000</v>
      </c>
      <c r="O37" s="18">
        <f t="shared" si="5"/>
        <v>37800</v>
      </c>
      <c r="P37" s="17">
        <f t="shared" si="6"/>
        <v>5.4996296296296299</v>
      </c>
      <c r="Q37" s="17">
        <f t="shared" si="7"/>
        <v>0</v>
      </c>
      <c r="R37" s="19" t="str">
        <f t="shared" si="8"/>
        <v>通过</v>
      </c>
    </row>
    <row r="38" spans="1:18">
      <c r="A38" s="13">
        <v>49</v>
      </c>
      <c r="B38" s="14">
        <v>1</v>
      </c>
      <c r="C38" s="15">
        <v>44218</v>
      </c>
      <c r="D38" s="16">
        <v>7.69</v>
      </c>
      <c r="E38" s="16">
        <v>7</v>
      </c>
      <c r="F38" s="16">
        <v>1</v>
      </c>
      <c r="G38" s="14">
        <v>13200</v>
      </c>
      <c r="H38" s="17">
        <f t="shared" si="0"/>
        <v>101508</v>
      </c>
      <c r="I38" s="18">
        <f>IF(OR(A38="",B38=""),"",IFERROR(LOOKUP(2,1/(单次交易!$A$2:$A$201=A38),单次交易!$H$2:$H$201),0)+SUMIFS($G$2:$G$1001,$A$2:$A$1001,A38,$B$2:$B$1001,"&lt;"&amp;B38))</f>
        <v>15200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97280</v>
      </c>
      <c r="K38" s="17">
        <f t="shared" si="1"/>
        <v>9120</v>
      </c>
      <c r="L38" s="18">
        <f t="shared" si="2"/>
        <v>13200</v>
      </c>
      <c r="M38" s="18">
        <f t="shared" si="3"/>
        <v>13200</v>
      </c>
      <c r="N38" s="18">
        <f t="shared" si="4"/>
        <v>13200</v>
      </c>
      <c r="O38" s="18">
        <f t="shared" si="5"/>
        <v>28400</v>
      </c>
      <c r="P38" s="17">
        <f t="shared" si="6"/>
        <v>6.9995774647887323</v>
      </c>
      <c r="Q38" s="17">
        <f t="shared" si="7"/>
        <v>0</v>
      </c>
      <c r="R38" s="19" t="str">
        <f t="shared" si="8"/>
        <v>通过</v>
      </c>
    </row>
    <row r="39" spans="1:18">
      <c r="A39" s="13">
        <v>49</v>
      </c>
      <c r="B39" s="14">
        <v>2</v>
      </c>
      <c r="C39" s="15">
        <v>44223</v>
      </c>
      <c r="D39" s="16">
        <v>8.61</v>
      </c>
      <c r="E39" s="16">
        <v>8</v>
      </c>
      <c r="F39" s="16">
        <v>1</v>
      </c>
      <c r="G39" s="14">
        <v>11000</v>
      </c>
      <c r="H39" s="17">
        <f t="shared" si="0"/>
        <v>94710</v>
      </c>
      <c r="I39" s="18">
        <f>IF(OR(A39="",B39=""),"",IFERROR(LOOKUP(2,1/(单次交易!$A$2:$A$201=A39),单次交易!$H$2:$H$201),0)+SUMIFS($G$2:$G$1001,$A$2:$A$1001,A39,$B$2:$B$1001,"&lt;"&amp;B39))</f>
        <v>28400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198788</v>
      </c>
      <c r="K39" s="17">
        <f t="shared" si="1"/>
        <v>28412</v>
      </c>
      <c r="L39" s="18">
        <f t="shared" si="2"/>
        <v>46500</v>
      </c>
      <c r="M39" s="18">
        <f t="shared" si="3"/>
        <v>13200</v>
      </c>
      <c r="N39" s="18">
        <f t="shared" si="4"/>
        <v>13200</v>
      </c>
      <c r="O39" s="18">
        <f t="shared" si="5"/>
        <v>39400</v>
      </c>
      <c r="P39" s="17">
        <f t="shared" si="6"/>
        <v>7.449187817258883</v>
      </c>
      <c r="Q39" s="17">
        <f t="shared" si="7"/>
        <v>0</v>
      </c>
      <c r="R39" s="19" t="str">
        <f t="shared" si="8"/>
        <v>通过</v>
      </c>
    </row>
    <row r="40" spans="1:18">
      <c r="A40" s="13">
        <v>50</v>
      </c>
      <c r="B40" s="14">
        <v>1</v>
      </c>
      <c r="C40" s="15">
        <v>44390</v>
      </c>
      <c r="D40" s="16">
        <v>9</v>
      </c>
      <c r="E40" s="16">
        <v>8</v>
      </c>
      <c r="F40" s="16">
        <v>1</v>
      </c>
      <c r="G40" s="14">
        <v>2800</v>
      </c>
      <c r="H40" s="17">
        <f t="shared" si="0"/>
        <v>25200</v>
      </c>
      <c r="I40" s="18">
        <f>IF(OR(A40="",B40=""),"",IFERROR(LOOKUP(2,1/(单次交易!$A$2:$A$201=A40),单次交易!$H$2:$H$201),0)+SUMIFS($G$2:$G$1001,$A$2:$A$1001,A40,$B$2:$B$1001,"&lt;"&amp;B40))</f>
        <v>9200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70748</v>
      </c>
      <c r="K40" s="17">
        <f t="shared" si="1"/>
        <v>2852</v>
      </c>
      <c r="L40" s="18">
        <f t="shared" si="2"/>
        <v>2800</v>
      </c>
      <c r="M40" s="18">
        <f t="shared" si="3"/>
        <v>2800</v>
      </c>
      <c r="N40" s="18">
        <f t="shared" si="4"/>
        <v>2800</v>
      </c>
      <c r="O40" s="18">
        <f t="shared" si="5"/>
        <v>12000</v>
      </c>
      <c r="P40" s="17">
        <f t="shared" si="6"/>
        <v>7.9956666666666667</v>
      </c>
      <c r="Q40" s="17">
        <f t="shared" si="7"/>
        <v>0</v>
      </c>
      <c r="R40" s="19" t="str">
        <f t="shared" si="8"/>
        <v>通过</v>
      </c>
    </row>
    <row r="41" spans="1:18">
      <c r="A41" s="13">
        <v>50</v>
      </c>
      <c r="B41" s="14">
        <v>2</v>
      </c>
      <c r="C41" s="15">
        <v>44396</v>
      </c>
      <c r="D41" s="16">
        <v>10.07</v>
      </c>
      <c r="E41" s="16">
        <v>9</v>
      </c>
      <c r="F41" s="16">
        <v>1</v>
      </c>
      <c r="G41" s="14">
        <v>2800</v>
      </c>
      <c r="H41" s="17">
        <f t="shared" si="0"/>
        <v>28196</v>
      </c>
      <c r="I41" s="18">
        <f>IF(OR(A41="",B41=""),"",IFERROR(LOOKUP(2,1/(单次交易!$A$2:$A$201=A41),单次交易!$H$2:$H$201),0)+SUMIFS($G$2:$G$1001,$A$2:$A$1001,A41,$B$2:$B$1001,"&lt;"&amp;B41))</f>
        <v>12000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95948</v>
      </c>
      <c r="K41" s="17">
        <f t="shared" si="1"/>
        <v>12052</v>
      </c>
      <c r="L41" s="18">
        <f t="shared" si="2"/>
        <v>11200</v>
      </c>
      <c r="M41" s="18">
        <f t="shared" si="3"/>
        <v>2800</v>
      </c>
      <c r="N41" s="18">
        <f t="shared" si="4"/>
        <v>2800</v>
      </c>
      <c r="O41" s="18">
        <f t="shared" si="5"/>
        <v>14800</v>
      </c>
      <c r="P41" s="17">
        <f t="shared" si="6"/>
        <v>8.3881081081081081</v>
      </c>
      <c r="Q41" s="17">
        <f t="shared" si="7"/>
        <v>0</v>
      </c>
      <c r="R41" s="19" t="str">
        <f t="shared" si="8"/>
        <v>通过</v>
      </c>
    </row>
    <row r="42" spans="1:18">
      <c r="A42" s="13">
        <v>50</v>
      </c>
      <c r="B42" s="14">
        <v>3</v>
      </c>
      <c r="C42" s="15">
        <v>44421</v>
      </c>
      <c r="D42" s="16">
        <v>11.12</v>
      </c>
      <c r="E42" s="16">
        <v>10</v>
      </c>
      <c r="F42" s="16">
        <v>1</v>
      </c>
      <c r="G42" s="14">
        <v>2800</v>
      </c>
      <c r="H42" s="17">
        <f t="shared" si="0"/>
        <v>31135.999999999996</v>
      </c>
      <c r="I42" s="18">
        <f>IF(OR(A42="",B42=""),"",IFERROR(LOOKUP(2,1/(单次交易!$A$2:$A$201=A42),单次交易!$H$2:$H$201),0)+SUMIFS($G$2:$G$1001,$A$2:$A$1001,A42,$B$2:$B$1001,"&lt;"&amp;B42))</f>
        <v>14800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124144</v>
      </c>
      <c r="K42" s="17">
        <f t="shared" si="1"/>
        <v>23856</v>
      </c>
      <c r="L42" s="18">
        <f t="shared" si="2"/>
        <v>21300</v>
      </c>
      <c r="M42" s="18">
        <f t="shared" si="3"/>
        <v>2800</v>
      </c>
      <c r="N42" s="18">
        <f t="shared" si="4"/>
        <v>2800</v>
      </c>
      <c r="O42" s="18">
        <f t="shared" si="5"/>
        <v>17600</v>
      </c>
      <c r="P42" s="17">
        <f t="shared" si="6"/>
        <v>8.8227272727272723</v>
      </c>
      <c r="Q42" s="17">
        <f t="shared" si="7"/>
        <v>0</v>
      </c>
      <c r="R42" s="19" t="str">
        <f t="shared" si="8"/>
        <v>通过</v>
      </c>
    </row>
    <row r="43" spans="1:18">
      <c r="A43" s="13">
        <v>50</v>
      </c>
      <c r="B43" s="14">
        <v>4</v>
      </c>
      <c r="C43" s="15">
        <v>44433</v>
      </c>
      <c r="D43" s="16">
        <v>12.45</v>
      </c>
      <c r="E43" s="16">
        <v>11.12</v>
      </c>
      <c r="F43" s="16">
        <v>1</v>
      </c>
      <c r="G43" s="14">
        <v>2800</v>
      </c>
      <c r="H43" s="17">
        <f t="shared" si="0"/>
        <v>34860</v>
      </c>
      <c r="I43" s="18">
        <f>IF(OR(A43="",B43=""),"",IFERROR(LOOKUP(2,1/(单次交易!$A$2:$A$201=A43),单次交易!$H$2:$H$201),0)+SUMIFS($G$2:$G$1001,$A$2:$A$1001,A43,$B$2:$B$1001,"&lt;"&amp;B43))</f>
        <v>17600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155280</v>
      </c>
      <c r="K43" s="17">
        <f t="shared" si="1"/>
        <v>40432</v>
      </c>
      <c r="L43" s="18">
        <f t="shared" si="2"/>
        <v>30400</v>
      </c>
      <c r="M43" s="18">
        <f t="shared" si="3"/>
        <v>2800</v>
      </c>
      <c r="N43" s="18">
        <f t="shared" si="4"/>
        <v>2800</v>
      </c>
      <c r="O43" s="18">
        <f t="shared" si="5"/>
        <v>20400</v>
      </c>
      <c r="P43" s="17">
        <f t="shared" si="6"/>
        <v>9.3205882352941174</v>
      </c>
      <c r="Q43" s="17">
        <f t="shared" si="7"/>
        <v>0</v>
      </c>
      <c r="R43" s="19" t="str">
        <f t="shared" si="8"/>
        <v>通过</v>
      </c>
    </row>
    <row r="44" spans="1:18">
      <c r="A44" s="13">
        <v>50</v>
      </c>
      <c r="B44" s="14">
        <v>5</v>
      </c>
      <c r="C44" s="15">
        <v>44435</v>
      </c>
      <c r="D44" s="16">
        <v>13.67</v>
      </c>
      <c r="E44" s="16">
        <v>12.4</v>
      </c>
      <c r="F44" s="16">
        <v>1</v>
      </c>
      <c r="G44" s="14">
        <v>2800</v>
      </c>
      <c r="H44" s="17">
        <f t="shared" si="0"/>
        <v>38276</v>
      </c>
      <c r="I44" s="18">
        <f>IF(OR(A44="",B44=""),"",IFERROR(LOOKUP(2,1/(单次交易!$A$2:$A$201=A44),单次交易!$H$2:$H$201),0)+SUMIFS($G$2:$G$1001,$A$2:$A$1001,A44,$B$2:$B$1001,"&lt;"&amp;B44))</f>
        <v>20400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190140</v>
      </c>
      <c r="K44" s="17">
        <f t="shared" si="1"/>
        <v>62820</v>
      </c>
      <c r="L44" s="18">
        <f t="shared" si="2"/>
        <v>49400</v>
      </c>
      <c r="M44" s="18">
        <f t="shared" si="3"/>
        <v>2800</v>
      </c>
      <c r="N44" s="18">
        <f t="shared" si="4"/>
        <v>2800</v>
      </c>
      <c r="O44" s="18">
        <f t="shared" si="5"/>
        <v>23200</v>
      </c>
      <c r="P44" s="17">
        <f t="shared" si="6"/>
        <v>9.8455172413793104</v>
      </c>
      <c r="Q44" s="17">
        <f t="shared" si="7"/>
        <v>0</v>
      </c>
      <c r="R44" s="19" t="str">
        <f t="shared" si="8"/>
        <v>通过</v>
      </c>
    </row>
    <row r="45" spans="1:18" ht="27">
      <c r="A45" s="13">
        <v>51</v>
      </c>
      <c r="B45" s="14">
        <v>1</v>
      </c>
      <c r="C45" s="15">
        <v>44439</v>
      </c>
      <c r="D45" s="16">
        <v>16.75</v>
      </c>
      <c r="E45" s="16">
        <v>15</v>
      </c>
      <c r="F45" s="16">
        <v>1</v>
      </c>
      <c r="G45" s="14">
        <v>2800</v>
      </c>
      <c r="H45" s="17">
        <f t="shared" si="0"/>
        <v>46900</v>
      </c>
      <c r="I45" s="18">
        <f>IF(OR(A45="",B45=""),"",IFERROR(LOOKUP(2,1/(单次交易!$A$2:$A$201=A45),单次交易!$H$2:$H$201),0)+SUMIFS($G$2:$G$1001,$A$2:$A$1001,A45,$B$2:$B$1001,"&lt;"&amp;B45))</f>
        <v>26600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400064</v>
      </c>
      <c r="K45" s="17">
        <f t="shared" si="1"/>
        <v>0</v>
      </c>
      <c r="L45" s="18">
        <f t="shared" si="2"/>
        <v>0</v>
      </c>
      <c r="M45" s="18">
        <f t="shared" si="3"/>
        <v>0</v>
      </c>
      <c r="N45" s="18">
        <f t="shared" si="4"/>
        <v>0</v>
      </c>
      <c r="O45" s="18">
        <f t="shared" si="5"/>
        <v>29400</v>
      </c>
      <c r="P45" s="17">
        <f t="shared" si="6"/>
        <v>15.202857142857143</v>
      </c>
      <c r="Q45" s="17">
        <f t="shared" si="7"/>
        <v>5964</v>
      </c>
      <c r="R45" s="19" t="str">
        <f t="shared" si="8"/>
        <v>违规：实际股数超过风险或金字塔上限</v>
      </c>
    </row>
    <row r="46" spans="1:18">
      <c r="A46" s="13">
        <v>51</v>
      </c>
      <c r="B46" s="14">
        <v>2</v>
      </c>
      <c r="C46" s="15">
        <v>44441</v>
      </c>
      <c r="D46" s="16">
        <v>18.64</v>
      </c>
      <c r="E46" s="16">
        <v>16.75</v>
      </c>
      <c r="F46" s="16">
        <v>1</v>
      </c>
      <c r="G46" s="14">
        <v>2800</v>
      </c>
      <c r="H46" s="17">
        <f t="shared" si="0"/>
        <v>52192</v>
      </c>
      <c r="I46" s="18">
        <f>IF(OR(A46="",B46=""),"",IFERROR(LOOKUP(2,1/(单次交易!$A$2:$A$201=A46),单次交易!$H$2:$H$201),0)+SUMIFS($G$2:$G$1001,$A$2:$A$1001,A46,$B$2:$B$1001,"&lt;"&amp;B46))</f>
        <v>29400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446964</v>
      </c>
      <c r="K46" s="17">
        <f t="shared" si="1"/>
        <v>45486</v>
      </c>
      <c r="L46" s="18">
        <f t="shared" si="2"/>
        <v>24000</v>
      </c>
      <c r="M46" s="18">
        <f t="shared" si="3"/>
        <v>2800</v>
      </c>
      <c r="N46" s="18">
        <f t="shared" si="4"/>
        <v>2800</v>
      </c>
      <c r="O46" s="18">
        <f t="shared" si="5"/>
        <v>32200</v>
      </c>
      <c r="P46" s="17">
        <f t="shared" si="6"/>
        <v>15.501739130434782</v>
      </c>
      <c r="Q46" s="17">
        <f t="shared" si="7"/>
        <v>0</v>
      </c>
      <c r="R46" s="19" t="str">
        <f t="shared" si="8"/>
        <v>通过</v>
      </c>
    </row>
    <row r="47" spans="1:18">
      <c r="A47" s="13">
        <v>52</v>
      </c>
      <c r="B47" s="14">
        <v>1</v>
      </c>
      <c r="C47" s="15">
        <v>44725</v>
      </c>
      <c r="D47" s="16">
        <v>19.04</v>
      </c>
      <c r="E47" s="16">
        <v>18</v>
      </c>
      <c r="F47" s="16">
        <v>1</v>
      </c>
      <c r="G47" s="14">
        <v>3000</v>
      </c>
      <c r="H47" s="17">
        <f t="shared" si="0"/>
        <v>57120</v>
      </c>
      <c r="I47" s="18">
        <f>IF(OR(A47="",B47=""),"",IFERROR(LOOKUP(2,1/(单次交易!$A$2:$A$201=A47),单次交易!$H$2:$H$201),0)+SUMIFS($G$2:$G$1001,$A$2:$A$1001,A47,$B$2:$B$1001,"&lt;"&amp;B47))</f>
        <v>10600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179139.99999999997</v>
      </c>
      <c r="K47" s="17">
        <f t="shared" si="1"/>
        <v>11660.000000000029</v>
      </c>
      <c r="L47" s="18">
        <f t="shared" si="2"/>
        <v>11200</v>
      </c>
      <c r="M47" s="18">
        <f t="shared" si="3"/>
        <v>11200</v>
      </c>
      <c r="N47" s="18">
        <f t="shared" si="4"/>
        <v>11200</v>
      </c>
      <c r="O47" s="18">
        <f t="shared" si="5"/>
        <v>13600</v>
      </c>
      <c r="P47" s="17">
        <f t="shared" si="6"/>
        <v>17.372058823529411</v>
      </c>
      <c r="Q47" s="17">
        <f t="shared" si="7"/>
        <v>0</v>
      </c>
      <c r="R47" s="19" t="str">
        <f t="shared" si="8"/>
        <v>通过</v>
      </c>
    </row>
    <row r="48" spans="1:18" ht="27">
      <c r="A48" s="13">
        <v>57</v>
      </c>
      <c r="B48" s="14">
        <v>1</v>
      </c>
      <c r="C48" s="15">
        <v>45966</v>
      </c>
      <c r="D48" s="16">
        <v>23.75</v>
      </c>
      <c r="E48" s="16">
        <v>21.05</v>
      </c>
      <c r="F48" s="16">
        <v>1</v>
      </c>
      <c r="G48" s="14">
        <v>2000</v>
      </c>
      <c r="H48" s="17">
        <f t="shared" si="0"/>
        <v>47500</v>
      </c>
      <c r="I48" s="18">
        <f>IF(OR(A48="",B48=""),"",IFERROR(LOOKUP(2,1/(单次交易!$A$2:$A$201=A48),单次交易!$H$2:$H$201),0)+SUMIFS($G$2:$G$1001,$A$2:$A$1001,A48,$B$2:$B$1001,"&lt;"&amp;B48))</f>
        <v>7700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163086</v>
      </c>
      <c r="K48" s="17">
        <f t="shared" si="1"/>
        <v>0</v>
      </c>
      <c r="L48" s="18">
        <f t="shared" si="2"/>
        <v>0</v>
      </c>
      <c r="M48" s="18">
        <f t="shared" si="3"/>
        <v>0</v>
      </c>
      <c r="N48" s="18">
        <f t="shared" si="4"/>
        <v>0</v>
      </c>
      <c r="O48" s="18">
        <f t="shared" si="5"/>
        <v>9700</v>
      </c>
      <c r="P48" s="17">
        <f t="shared" si="6"/>
        <v>21.709896907216496</v>
      </c>
      <c r="Q48" s="17">
        <f t="shared" si="7"/>
        <v>6401</v>
      </c>
      <c r="R48" s="19" t="str">
        <f t="shared" si="8"/>
        <v>违规：实际股数超过风险或金字塔上限</v>
      </c>
    </row>
    <row r="49" spans="1:18">
      <c r="A49" s="13">
        <v>60</v>
      </c>
      <c r="B49" s="14">
        <v>1</v>
      </c>
      <c r="C49" s="15">
        <v>44276</v>
      </c>
      <c r="D49" s="16">
        <v>6.24</v>
      </c>
      <c r="E49" s="16">
        <v>5.95</v>
      </c>
      <c r="F49" s="16">
        <v>1</v>
      </c>
      <c r="G49" s="14">
        <v>10000</v>
      </c>
      <c r="H49" s="17">
        <f t="shared" si="0"/>
        <v>62400</v>
      </c>
      <c r="I49" s="18">
        <f>IF(OR(A49="",B49=""),"",IFERROR(LOOKUP(2,1/(单次交易!$A$2:$A$201=A49),单次交易!$H$2:$H$201),0)+SUMIFS($G$2:$G$1001,$A$2:$A$1001,A49,$B$2:$B$1001,"&lt;"&amp;B49))</f>
        <v>21500</v>
      </c>
      <c r="J49" s="17">
        <f>IF(OR(A49="",B49=""),"",IFERROR(LOOKUP(2,1/(单次交易!$A$2:$A$201=A49),单次交易!$E$2:$E$201)*LOOKUP(2,1/(单次交易!$A$2:$A$201=A49),单次交易!$H$2:$H$201),0)+SUMIFS($H$2:$H$1001,$A$2:$A$1001,A49,$B$2:$B$1001,"&lt;"&amp;B49))</f>
        <v>116960.00000000001</v>
      </c>
      <c r="K49" s="17">
        <f t="shared" si="1"/>
        <v>10964.999999999985</v>
      </c>
      <c r="L49" s="18">
        <f t="shared" si="2"/>
        <v>37800</v>
      </c>
      <c r="M49" s="18">
        <f t="shared" si="3"/>
        <v>37800</v>
      </c>
      <c r="N49" s="18">
        <f t="shared" si="4"/>
        <v>37800</v>
      </c>
      <c r="O49" s="18">
        <f t="shared" si="5"/>
        <v>31500</v>
      </c>
      <c r="P49" s="17">
        <f t="shared" si="6"/>
        <v>5.6939682539682543</v>
      </c>
      <c r="Q49" s="17">
        <f t="shared" si="7"/>
        <v>0</v>
      </c>
      <c r="R49" s="19" t="str">
        <f t="shared" si="8"/>
        <v>通过</v>
      </c>
    </row>
    <row r="50" spans="1:18">
      <c r="A50" s="13">
        <v>61</v>
      </c>
      <c r="B50" s="14">
        <v>1</v>
      </c>
      <c r="C50" s="15">
        <v>45067</v>
      </c>
      <c r="D50" s="16">
        <v>7.24</v>
      </c>
      <c r="E50" s="16">
        <v>6.8</v>
      </c>
      <c r="F50" s="16">
        <v>1</v>
      </c>
      <c r="G50" s="14">
        <v>10000</v>
      </c>
      <c r="H50" s="17">
        <f t="shared" si="0"/>
        <v>72400</v>
      </c>
      <c r="I50" s="18">
        <f>IF(OR(A50="",B50=""),"",IFERROR(LOOKUP(2,1/(单次交易!$A$2:$A$201=A50),单次交易!$H$2:$H$201),0)+SUMIFS($G$2:$G$1001,$A$2:$A$1001,A50,$B$2:$B$1001,"&lt;"&amp;B50))</f>
        <v>19300</v>
      </c>
      <c r="J50" s="17">
        <f>IF(OR(A50="",B50=""),"",IFERROR(LOOKUP(2,1/(单次交易!$A$2:$A$201=A50),单次交易!$E$2:$E$201)*LOOKUP(2,1/(单次交易!$A$2:$A$201=A50),单次交易!$H$2:$H$201),0)+SUMIFS($H$2:$H$1001,$A$2:$A$1001,A50,$B$2:$B$1001,"&lt;"&amp;B50))</f>
        <v>125450</v>
      </c>
      <c r="K50" s="17">
        <f t="shared" si="1"/>
        <v>5790</v>
      </c>
      <c r="L50" s="18">
        <f t="shared" si="2"/>
        <v>13100</v>
      </c>
      <c r="M50" s="18">
        <f t="shared" si="3"/>
        <v>13100</v>
      </c>
      <c r="N50" s="18">
        <f t="shared" si="4"/>
        <v>13100</v>
      </c>
      <c r="O50" s="18">
        <f t="shared" si="5"/>
        <v>29300</v>
      </c>
      <c r="P50" s="17">
        <f t="shared" si="6"/>
        <v>6.7525597269624571</v>
      </c>
      <c r="Q50" s="17">
        <f t="shared" si="7"/>
        <v>0</v>
      </c>
      <c r="R50" s="19" t="str">
        <f t="shared" si="8"/>
        <v>通过</v>
      </c>
    </row>
    <row r="51" spans="1:18">
      <c r="A51" s="13">
        <v>62</v>
      </c>
      <c r="B51" s="14">
        <v>1</v>
      </c>
      <c r="C51" s="15">
        <v>41493</v>
      </c>
      <c r="D51" s="16">
        <v>8.44</v>
      </c>
      <c r="E51" s="16">
        <v>8</v>
      </c>
      <c r="F51" s="16">
        <v>1</v>
      </c>
      <c r="G51" s="14">
        <v>8000</v>
      </c>
      <c r="H51" s="17">
        <f t="shared" si="0"/>
        <v>67520</v>
      </c>
      <c r="I51" s="18">
        <f>IF(OR(A51="",B51=""),"",IFERROR(LOOKUP(2,1/(单次交易!$A$2:$A$201=A51),单次交易!$H$2:$H$201),0)+SUMIFS($G$2:$G$1001,$A$2:$A$1001,A51,$B$2:$B$1001,"&lt;"&amp;B51))</f>
        <v>16800</v>
      </c>
      <c r="J51" s="17">
        <f>IF(OR(A51="",B51=""),"",IFERROR(LOOKUP(2,1/(单次交易!$A$2:$A$201=A51),单次交易!$E$2:$E$201)*LOOKUP(2,1/(单次交易!$A$2:$A$201=A51),单次交易!$H$2:$H$201),0)+SUMIFS($H$2:$H$1001,$A$2:$A$1001,A51,$B$2:$B$1001,"&lt;"&amp;B51))</f>
        <v>127344</v>
      </c>
      <c r="K51" s="17">
        <f t="shared" si="1"/>
        <v>7056</v>
      </c>
      <c r="L51" s="18">
        <f t="shared" si="2"/>
        <v>16000</v>
      </c>
      <c r="M51" s="18">
        <f t="shared" si="3"/>
        <v>16000</v>
      </c>
      <c r="N51" s="18">
        <f t="shared" si="4"/>
        <v>16000</v>
      </c>
      <c r="O51" s="18">
        <f t="shared" si="5"/>
        <v>24800</v>
      </c>
      <c r="P51" s="17">
        <f t="shared" si="6"/>
        <v>7.8574193548387097</v>
      </c>
      <c r="Q51" s="17">
        <f t="shared" si="7"/>
        <v>0</v>
      </c>
      <c r="R51" s="19" t="str">
        <f t="shared" si="8"/>
        <v>通过</v>
      </c>
    </row>
    <row r="52" spans="1:18">
      <c r="A52" s="13">
        <v>62</v>
      </c>
      <c r="B52" s="14">
        <v>2</v>
      </c>
      <c r="C52" s="15">
        <v>41505</v>
      </c>
      <c r="D52" s="16">
        <v>9.24</v>
      </c>
      <c r="E52" s="16">
        <v>8.5</v>
      </c>
      <c r="F52" s="16">
        <v>1</v>
      </c>
      <c r="G52" s="14">
        <v>8000</v>
      </c>
      <c r="H52" s="17">
        <f t="shared" si="0"/>
        <v>73920</v>
      </c>
      <c r="I52" s="18">
        <f>IF(OR(A52="",B52=""),"",IFERROR(LOOKUP(2,1/(单次交易!$A$2:$A$201=A52),单次交易!$H$2:$H$201),0)+SUMIFS($G$2:$G$1001,$A$2:$A$1001,A52,$B$2:$B$1001,"&lt;"&amp;B52))</f>
        <v>24800</v>
      </c>
      <c r="J52" s="17">
        <f>IF(OR(A52="",B52=""),"",IFERROR(LOOKUP(2,1/(单次交易!$A$2:$A$201=A52),单次交易!$E$2:$E$201)*LOOKUP(2,1/(单次交易!$A$2:$A$201=A52),单次交易!$H$2:$H$201),0)+SUMIFS($H$2:$H$1001,$A$2:$A$1001,A52,$B$2:$B$1001,"&lt;"&amp;B52))</f>
        <v>194864</v>
      </c>
      <c r="K52" s="17">
        <f t="shared" si="1"/>
        <v>15936</v>
      </c>
      <c r="L52" s="18">
        <f t="shared" si="2"/>
        <v>21500</v>
      </c>
      <c r="M52" s="18">
        <f t="shared" si="3"/>
        <v>8000</v>
      </c>
      <c r="N52" s="18">
        <f t="shared" si="4"/>
        <v>8000</v>
      </c>
      <c r="O52" s="18">
        <f t="shared" si="5"/>
        <v>32800</v>
      </c>
      <c r="P52" s="17">
        <f t="shared" si="6"/>
        <v>8.194634146341464</v>
      </c>
      <c r="Q52" s="17">
        <f t="shared" si="7"/>
        <v>0</v>
      </c>
      <c r="R52" s="19" t="str">
        <f t="shared" si="8"/>
        <v>通过</v>
      </c>
    </row>
    <row r="53" spans="1:18">
      <c r="A53" s="13">
        <v>62</v>
      </c>
      <c r="B53" s="14">
        <v>3</v>
      </c>
      <c r="C53" s="15">
        <v>41521</v>
      </c>
      <c r="D53" s="16">
        <v>10.18</v>
      </c>
      <c r="E53" s="16">
        <v>9</v>
      </c>
      <c r="F53" s="16">
        <v>1</v>
      </c>
      <c r="G53" s="14">
        <v>8000</v>
      </c>
      <c r="H53" s="17">
        <f t="shared" si="0"/>
        <v>81440</v>
      </c>
      <c r="I53" s="18">
        <f>IF(OR(A53="",B53=""),"",IFERROR(LOOKUP(2,1/(单次交易!$A$2:$A$201=A53),单次交易!$H$2:$H$201),0)+SUMIFS($G$2:$G$1001,$A$2:$A$1001,A53,$B$2:$B$1001,"&lt;"&amp;B53))</f>
        <v>32800</v>
      </c>
      <c r="J53" s="17">
        <f>IF(OR(A53="",B53=""),"",IFERROR(LOOKUP(2,1/(单次交易!$A$2:$A$201=A53),单次交易!$E$2:$E$201)*LOOKUP(2,1/(单次交易!$A$2:$A$201=A53),单次交易!$H$2:$H$201),0)+SUMIFS($H$2:$H$1001,$A$2:$A$1001,A53,$B$2:$B$1001,"&lt;"&amp;B53))</f>
        <v>268784</v>
      </c>
      <c r="K53" s="17">
        <f t="shared" si="1"/>
        <v>26416</v>
      </c>
      <c r="L53" s="18">
        <f t="shared" si="2"/>
        <v>22300</v>
      </c>
      <c r="M53" s="18">
        <f t="shared" si="3"/>
        <v>8000</v>
      </c>
      <c r="N53" s="18">
        <f t="shared" si="4"/>
        <v>8000</v>
      </c>
      <c r="O53" s="18">
        <f t="shared" si="5"/>
        <v>40800</v>
      </c>
      <c r="P53" s="17">
        <f t="shared" si="6"/>
        <v>8.583921568627451</v>
      </c>
      <c r="Q53" s="17">
        <f t="shared" si="7"/>
        <v>0</v>
      </c>
      <c r="R53" s="19" t="str">
        <f t="shared" si="8"/>
        <v>通过</v>
      </c>
    </row>
    <row r="54" spans="1:18">
      <c r="A54" s="13">
        <v>62</v>
      </c>
      <c r="B54" s="14">
        <v>4</v>
      </c>
      <c r="C54" s="15">
        <v>41534</v>
      </c>
      <c r="D54" s="16">
        <v>11.61</v>
      </c>
      <c r="E54" s="16">
        <v>10</v>
      </c>
      <c r="F54" s="16">
        <v>1</v>
      </c>
      <c r="G54" s="14">
        <v>8000</v>
      </c>
      <c r="H54" s="17">
        <f t="shared" si="0"/>
        <v>92880</v>
      </c>
      <c r="I54" s="18">
        <f>IF(OR(A54="",B54=""),"",IFERROR(LOOKUP(2,1/(单次交易!$A$2:$A$201=A54),单次交易!$H$2:$H$201),0)+SUMIFS($G$2:$G$1001,$A$2:$A$1001,A54,$B$2:$B$1001,"&lt;"&amp;B54))</f>
        <v>40800</v>
      </c>
      <c r="J54" s="17">
        <f>IF(OR(A54="",B54=""),"",IFERROR(LOOKUP(2,1/(单次交易!$A$2:$A$201=A54),单次交易!$E$2:$E$201)*LOOKUP(2,1/(单次交易!$A$2:$A$201=A54),单次交易!$H$2:$H$201),0)+SUMIFS($H$2:$H$1001,$A$2:$A$1001,A54,$B$2:$B$1001,"&lt;"&amp;B54))</f>
        <v>350224</v>
      </c>
      <c r="K54" s="17">
        <f t="shared" si="1"/>
        <v>57776</v>
      </c>
      <c r="L54" s="18">
        <f t="shared" si="2"/>
        <v>35800</v>
      </c>
      <c r="M54" s="18">
        <f t="shared" si="3"/>
        <v>8000</v>
      </c>
      <c r="N54" s="18">
        <f t="shared" si="4"/>
        <v>8000</v>
      </c>
      <c r="O54" s="18">
        <f t="shared" si="5"/>
        <v>48800</v>
      </c>
      <c r="P54" s="17">
        <f t="shared" si="6"/>
        <v>9.08</v>
      </c>
      <c r="Q54" s="17">
        <f t="shared" si="7"/>
        <v>0</v>
      </c>
      <c r="R54" s="19" t="str">
        <f t="shared" si="8"/>
        <v>通过</v>
      </c>
    </row>
    <row r="55" spans="1:18">
      <c r="A55" s="13">
        <v>63</v>
      </c>
      <c r="B55" s="14">
        <v>1</v>
      </c>
      <c r="C55" s="15">
        <v>41787</v>
      </c>
      <c r="D55" s="16">
        <v>14.26</v>
      </c>
      <c r="E55" s="16">
        <v>13.5</v>
      </c>
      <c r="F55" s="16">
        <v>1</v>
      </c>
      <c r="G55" s="14">
        <v>5000</v>
      </c>
      <c r="H55" s="17">
        <f t="shared" si="0"/>
        <v>71300</v>
      </c>
      <c r="I55" s="18">
        <f>IF(OR(A55="",B55=""),"",IFERROR(LOOKUP(2,1/(单次交易!$A$2:$A$201=A55),单次交易!$H$2:$H$201),0)+SUMIFS($G$2:$G$1001,$A$2:$A$1001,A55,$B$2:$B$1001,"&lt;"&amp;B55))</f>
        <v>16000</v>
      </c>
      <c r="J55" s="17">
        <f>IF(OR(A55="",B55=""),"",IFERROR(LOOKUP(2,1/(单次交易!$A$2:$A$201=A55),单次交易!$E$2:$E$201)*LOOKUP(2,1/(单次交易!$A$2:$A$201=A55),单次交易!$H$2:$H$201),0)+SUMIFS($H$2:$H$1001,$A$2:$A$1001,A55,$B$2:$B$1001,"&lt;"&amp;B55))</f>
        <v>203360</v>
      </c>
      <c r="K55" s="17">
        <f t="shared" si="1"/>
        <v>12640</v>
      </c>
      <c r="L55" s="18">
        <f t="shared" si="2"/>
        <v>16600</v>
      </c>
      <c r="M55" s="18">
        <f t="shared" si="3"/>
        <v>16600</v>
      </c>
      <c r="N55" s="18">
        <f t="shared" si="4"/>
        <v>16600</v>
      </c>
      <c r="O55" s="18">
        <f t="shared" si="5"/>
        <v>21000</v>
      </c>
      <c r="P55" s="17">
        <f t="shared" si="6"/>
        <v>13.079047619047619</v>
      </c>
      <c r="Q55" s="17">
        <f t="shared" si="7"/>
        <v>0</v>
      </c>
      <c r="R55" s="19" t="str">
        <f t="shared" si="8"/>
        <v>通过</v>
      </c>
    </row>
    <row r="56" spans="1:18">
      <c r="A56" s="13">
        <v>63</v>
      </c>
      <c r="B56" s="14">
        <v>2</v>
      </c>
      <c r="C56" s="15">
        <v>41803</v>
      </c>
      <c r="D56" s="16">
        <v>15.54</v>
      </c>
      <c r="E56" s="16">
        <v>14.5</v>
      </c>
      <c r="F56" s="16">
        <v>1</v>
      </c>
      <c r="G56" s="14">
        <v>5000</v>
      </c>
      <c r="H56" s="17">
        <f t="shared" si="0"/>
        <v>77700</v>
      </c>
      <c r="I56" s="18">
        <f>IF(OR(A56="",B56=""),"",IFERROR(LOOKUP(2,1/(单次交易!$A$2:$A$201=A56),单次交易!$H$2:$H$201),0)+SUMIFS($G$2:$G$1001,$A$2:$A$1001,A56,$B$2:$B$1001,"&lt;"&amp;B56))</f>
        <v>21000</v>
      </c>
      <c r="J56" s="17">
        <f>IF(OR(A56="",B56=""),"",IFERROR(LOOKUP(2,1/(单次交易!$A$2:$A$201=A56),单次交易!$E$2:$E$201)*LOOKUP(2,1/(单次交易!$A$2:$A$201=A56),单次交易!$H$2:$H$201),0)+SUMIFS($H$2:$H$1001,$A$2:$A$1001,A56,$B$2:$B$1001,"&lt;"&amp;B56))</f>
        <v>274660</v>
      </c>
      <c r="K56" s="17">
        <f t="shared" si="1"/>
        <v>29840</v>
      </c>
      <c r="L56" s="18">
        <f t="shared" si="2"/>
        <v>28600</v>
      </c>
      <c r="M56" s="18">
        <f t="shared" si="3"/>
        <v>5000</v>
      </c>
      <c r="N56" s="18">
        <f t="shared" si="4"/>
        <v>5000</v>
      </c>
      <c r="O56" s="18">
        <f t="shared" si="5"/>
        <v>26000</v>
      </c>
      <c r="P56" s="17">
        <f t="shared" si="6"/>
        <v>13.552307692307693</v>
      </c>
      <c r="Q56" s="17">
        <f t="shared" si="7"/>
        <v>0</v>
      </c>
      <c r="R56" s="19" t="str">
        <f t="shared" si="8"/>
        <v>通过</v>
      </c>
    </row>
    <row r="57" spans="1:18">
      <c r="A57" s="13">
        <v>68</v>
      </c>
      <c r="B57" s="14">
        <v>1</v>
      </c>
      <c r="C57" s="15">
        <v>42137</v>
      </c>
      <c r="D57" s="16">
        <v>30.78</v>
      </c>
      <c r="E57" s="16">
        <v>28.5</v>
      </c>
      <c r="F57" s="16">
        <v>1</v>
      </c>
      <c r="G57" s="14">
        <v>2500</v>
      </c>
      <c r="H57" s="17">
        <f t="shared" si="0"/>
        <v>76950</v>
      </c>
      <c r="I57" s="18">
        <f>IF(OR(A57="",B57=""),"",IFERROR(LOOKUP(2,1/(单次交易!$A$2:$A$201=A57),单次交易!$H$2:$H$201),0)+SUMIFS($G$2:$G$1001,$A$2:$A$1001,A57,$B$2:$B$1001,"&lt;"&amp;B57))</f>
        <v>5000</v>
      </c>
      <c r="J57" s="17">
        <f>IF(OR(A57="",B57=""),"",IFERROR(LOOKUP(2,1/(单次交易!$A$2:$A$201=A57),单次交易!$E$2:$E$201)*LOOKUP(2,1/(单次交易!$A$2:$A$201=A57),单次交易!$H$2:$H$201),0)+SUMIFS($H$2:$H$1001,$A$2:$A$1001,A57,$B$2:$B$1001,"&lt;"&amp;B57))</f>
        <v>136100</v>
      </c>
      <c r="K57" s="17">
        <f t="shared" si="1"/>
        <v>6400</v>
      </c>
      <c r="L57" s="18">
        <f t="shared" si="2"/>
        <v>2800</v>
      </c>
      <c r="M57" s="18">
        <f t="shared" si="3"/>
        <v>2800</v>
      </c>
      <c r="N57" s="18">
        <f t="shared" si="4"/>
        <v>2800</v>
      </c>
      <c r="O57" s="18">
        <f t="shared" si="5"/>
        <v>7500</v>
      </c>
      <c r="P57" s="17">
        <f t="shared" si="6"/>
        <v>28.406666666666666</v>
      </c>
      <c r="Q57" s="17">
        <f t="shared" si="7"/>
        <v>0</v>
      </c>
      <c r="R57" s="19" t="str">
        <f t="shared" si="8"/>
        <v>通过</v>
      </c>
    </row>
    <row r="58" spans="1:18">
      <c r="A58" s="13">
        <v>68</v>
      </c>
      <c r="B58" s="14">
        <v>2</v>
      </c>
      <c r="C58" s="15">
        <v>42145</v>
      </c>
      <c r="D58" s="16">
        <v>33.909999999999997</v>
      </c>
      <c r="E58" s="16">
        <v>30.5</v>
      </c>
      <c r="F58" s="16">
        <v>1</v>
      </c>
      <c r="G58" s="14">
        <v>2500</v>
      </c>
      <c r="H58" s="17">
        <f t="shared" si="0"/>
        <v>84774.999999999985</v>
      </c>
      <c r="I58" s="18">
        <f>IF(OR(A58="",B58=""),"",IFERROR(LOOKUP(2,1/(单次交易!$A$2:$A$201=A58),单次交易!$H$2:$H$201),0)+SUMIFS($G$2:$G$1001,$A$2:$A$1001,A58,$B$2:$B$1001,"&lt;"&amp;B58))</f>
        <v>7500</v>
      </c>
      <c r="J58" s="17">
        <f>IF(OR(A58="",B58=""),"",IFERROR(LOOKUP(2,1/(单次交易!$A$2:$A$201=A58),单次交易!$E$2:$E$201)*LOOKUP(2,1/(单次交易!$A$2:$A$201=A58),单次交易!$H$2:$H$201),0)+SUMIFS($H$2:$H$1001,$A$2:$A$1001,A58,$B$2:$B$1001,"&lt;"&amp;B58))</f>
        <v>213050</v>
      </c>
      <c r="K58" s="17">
        <f t="shared" si="1"/>
        <v>15700</v>
      </c>
      <c r="L58" s="18">
        <f t="shared" si="2"/>
        <v>4600</v>
      </c>
      <c r="M58" s="18">
        <f t="shared" si="3"/>
        <v>2500</v>
      </c>
      <c r="N58" s="18">
        <f t="shared" si="4"/>
        <v>2500</v>
      </c>
      <c r="O58" s="18">
        <f t="shared" si="5"/>
        <v>10000</v>
      </c>
      <c r="P58" s="17">
        <f t="shared" si="6"/>
        <v>29.782499999999999</v>
      </c>
      <c r="Q58" s="17">
        <f t="shared" si="7"/>
        <v>0</v>
      </c>
      <c r="R58" s="19" t="str">
        <f t="shared" si="8"/>
        <v>通过</v>
      </c>
    </row>
    <row r="59" spans="1:18">
      <c r="A59" s="13"/>
      <c r="B59" s="14"/>
      <c r="C59" s="15"/>
      <c r="D59" s="16"/>
      <c r="E59" s="16"/>
      <c r="F59" s="16"/>
      <c r="G59" s="14"/>
      <c r="H59" s="17" t="str">
        <f t="shared" si="0"/>
        <v/>
      </c>
      <c r="I59" s="18" t="str">
        <f>IF(OR(A59="",B59=""),"",IFERROR(LOOKUP(2,1/(单次交易!$A$2:$A$201=A59),单次交易!$H$2:$H$201),0)+SUMIFS($G$2:$G$1001,$A$2:$A$1001,A59,$B$2:$B$1001,"&lt;"&amp;B59))</f>
        <v/>
      </c>
      <c r="J59" s="17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17" t="str">
        <f t="shared" si="1"/>
        <v/>
      </c>
      <c r="L59" s="18" t="str">
        <f t="shared" si="2"/>
        <v/>
      </c>
      <c r="M59" s="18" t="str">
        <f t="shared" si="3"/>
        <v/>
      </c>
      <c r="N59" s="18" t="str">
        <f t="shared" si="4"/>
        <v/>
      </c>
      <c r="O59" s="18" t="str">
        <f t="shared" si="5"/>
        <v/>
      </c>
      <c r="P59" s="17" t="str">
        <f t="shared" si="6"/>
        <v/>
      </c>
      <c r="Q59" s="17" t="str">
        <f t="shared" si="7"/>
        <v/>
      </c>
      <c r="R59" s="19" t="str">
        <f t="shared" si="8"/>
        <v/>
      </c>
    </row>
    <row r="60" spans="1:18">
      <c r="A60" s="13"/>
      <c r="B60" s="14"/>
      <c r="C60" s="15"/>
      <c r="D60" s="16"/>
      <c r="E60" s="16"/>
      <c r="F60" s="16"/>
      <c r="G60" s="14"/>
      <c r="H60" s="17" t="str">
        <f t="shared" si="0"/>
        <v/>
      </c>
      <c r="I60" s="18" t="str">
        <f>IF(OR(A60="",B60=""),"",IFERROR(LOOKUP(2,1/(单次交易!$A$2:$A$201=A60),单次交易!$H$2:$H$201),0)+SUMIFS($G$2:$G$1001,$A$2:$A$1001,A60,$B$2:$B$1001,"&lt;"&amp;B60))</f>
        <v/>
      </c>
      <c r="J60" s="17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17" t="str">
        <f t="shared" si="1"/>
        <v/>
      </c>
      <c r="L60" s="18" t="str">
        <f t="shared" si="2"/>
        <v/>
      </c>
      <c r="M60" s="18" t="str">
        <f t="shared" si="3"/>
        <v/>
      </c>
      <c r="N60" s="18" t="str">
        <f t="shared" si="4"/>
        <v/>
      </c>
      <c r="O60" s="18" t="str">
        <f t="shared" si="5"/>
        <v/>
      </c>
      <c r="P60" s="17" t="str">
        <f t="shared" si="6"/>
        <v/>
      </c>
      <c r="Q60" s="17" t="str">
        <f t="shared" si="7"/>
        <v/>
      </c>
      <c r="R60" s="19" t="str">
        <f t="shared" si="8"/>
        <v/>
      </c>
    </row>
    <row r="61" spans="1:18">
      <c r="A61" s="13"/>
      <c r="B61" s="14"/>
      <c r="C61" s="15"/>
      <c r="D61" s="16"/>
      <c r="E61" s="16"/>
      <c r="F61" s="16"/>
      <c r="G61" s="14"/>
      <c r="H61" s="17" t="str">
        <f t="shared" si="0"/>
        <v/>
      </c>
      <c r="I61" s="18" t="str">
        <f>IF(OR(A61="",B61=""),"",IFERROR(LOOKUP(2,1/(单次交易!$A$2:$A$201=A61),单次交易!$H$2:$H$201),0)+SUMIFS($G$2:$G$1001,$A$2:$A$1001,A61,$B$2:$B$1001,"&lt;"&amp;B61))</f>
        <v/>
      </c>
      <c r="J61" s="17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17" t="str">
        <f t="shared" si="1"/>
        <v/>
      </c>
      <c r="L61" s="18" t="str">
        <f t="shared" si="2"/>
        <v/>
      </c>
      <c r="M61" s="18" t="str">
        <f t="shared" si="3"/>
        <v/>
      </c>
      <c r="N61" s="18" t="str">
        <f t="shared" si="4"/>
        <v/>
      </c>
      <c r="O61" s="18" t="str">
        <f t="shared" si="5"/>
        <v/>
      </c>
      <c r="P61" s="17" t="str">
        <f t="shared" si="6"/>
        <v/>
      </c>
      <c r="Q61" s="17" t="str">
        <f t="shared" si="7"/>
        <v/>
      </c>
      <c r="R61" s="19" t="str">
        <f t="shared" si="8"/>
        <v/>
      </c>
    </row>
    <row r="62" spans="1:18">
      <c r="A62" s="13"/>
      <c r="B62" s="14"/>
      <c r="C62" s="15"/>
      <c r="D62" s="16"/>
      <c r="E62" s="16"/>
      <c r="F62" s="16"/>
      <c r="G62" s="14"/>
      <c r="H62" s="17" t="str">
        <f t="shared" si="0"/>
        <v/>
      </c>
      <c r="I62" s="18" t="str">
        <f>IF(OR(A62="",B62=""),"",IFERROR(LOOKUP(2,1/(单次交易!$A$2:$A$201=A62),单次交易!$H$2:$H$201),0)+SUMIFS($G$2:$G$1001,$A$2:$A$1001,A62,$B$2:$B$1001,"&lt;"&amp;B62))</f>
        <v/>
      </c>
      <c r="J62" s="17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17" t="str">
        <f t="shared" si="1"/>
        <v/>
      </c>
      <c r="L62" s="18" t="str">
        <f t="shared" si="2"/>
        <v/>
      </c>
      <c r="M62" s="18" t="str">
        <f t="shared" si="3"/>
        <v/>
      </c>
      <c r="N62" s="18" t="str">
        <f t="shared" si="4"/>
        <v/>
      </c>
      <c r="O62" s="18" t="str">
        <f t="shared" si="5"/>
        <v/>
      </c>
      <c r="P62" s="17" t="str">
        <f t="shared" si="6"/>
        <v/>
      </c>
      <c r="Q62" s="17" t="str">
        <f t="shared" si="7"/>
        <v/>
      </c>
      <c r="R62" s="19" t="str">
        <f t="shared" si="8"/>
        <v/>
      </c>
    </row>
    <row r="63" spans="1:18">
      <c r="A63" s="13"/>
      <c r="B63" s="14"/>
      <c r="C63" s="15"/>
      <c r="D63" s="16"/>
      <c r="E63" s="16"/>
      <c r="F63" s="16"/>
      <c r="G63" s="14"/>
      <c r="H63" s="17" t="str">
        <f t="shared" si="0"/>
        <v/>
      </c>
      <c r="I63" s="18" t="str">
        <f>IF(OR(A63="",B63=""),"",IFERROR(LOOKUP(2,1/(单次交易!$A$2:$A$201=A63),单次交易!$H$2:$H$201),0)+SUMIFS($G$2:$G$1001,$A$2:$A$1001,A63,$B$2:$B$1001,"&lt;"&amp;B63))</f>
        <v/>
      </c>
      <c r="J63" s="17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17" t="str">
        <f t="shared" si="1"/>
        <v/>
      </c>
      <c r="L63" s="18" t="str">
        <f t="shared" si="2"/>
        <v/>
      </c>
      <c r="M63" s="18" t="str">
        <f t="shared" si="3"/>
        <v/>
      </c>
      <c r="N63" s="18" t="str">
        <f t="shared" si="4"/>
        <v/>
      </c>
      <c r="O63" s="18" t="str">
        <f t="shared" si="5"/>
        <v/>
      </c>
      <c r="P63" s="17" t="str">
        <f t="shared" si="6"/>
        <v/>
      </c>
      <c r="Q63" s="17" t="str">
        <f t="shared" si="7"/>
        <v/>
      </c>
      <c r="R63" s="19" t="str">
        <f t="shared" si="8"/>
        <v/>
      </c>
    </row>
    <row r="64" spans="1:18">
      <c r="A64" s="13"/>
      <c r="B64" s="14"/>
      <c r="C64" s="15"/>
      <c r="D64" s="16"/>
      <c r="E64" s="16"/>
      <c r="F64" s="16"/>
      <c r="G64" s="14"/>
      <c r="H64" s="17" t="str">
        <f t="shared" si="0"/>
        <v/>
      </c>
      <c r="I64" s="18" t="str">
        <f>IF(OR(A64="",B64=""),"",IFERROR(LOOKUP(2,1/(单次交易!$A$2:$A$201=A64),单次交易!$H$2:$H$201),0)+SUMIFS($G$2:$G$1001,$A$2:$A$1001,A64,$B$2:$B$1001,"&lt;"&amp;B64))</f>
        <v/>
      </c>
      <c r="J64" s="17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17" t="str">
        <f t="shared" si="1"/>
        <v/>
      </c>
      <c r="L64" s="18" t="str">
        <f t="shared" si="2"/>
        <v/>
      </c>
      <c r="M64" s="18" t="str">
        <f t="shared" si="3"/>
        <v/>
      </c>
      <c r="N64" s="18" t="str">
        <f t="shared" si="4"/>
        <v/>
      </c>
      <c r="O64" s="18" t="str">
        <f t="shared" si="5"/>
        <v/>
      </c>
      <c r="P64" s="17" t="str">
        <f t="shared" si="6"/>
        <v/>
      </c>
      <c r="Q64" s="17" t="str">
        <f t="shared" si="7"/>
        <v/>
      </c>
      <c r="R64" s="19" t="str">
        <f t="shared" si="8"/>
        <v/>
      </c>
    </row>
    <row r="65" spans="1:18">
      <c r="A65" s="13"/>
      <c r="B65" s="14"/>
      <c r="C65" s="15"/>
      <c r="D65" s="16"/>
      <c r="E65" s="16"/>
      <c r="F65" s="16"/>
      <c r="G65" s="14"/>
      <c r="H65" s="17" t="str">
        <f t="shared" si="0"/>
        <v/>
      </c>
      <c r="I65" s="18" t="str">
        <f>IF(OR(A65="",B65=""),"",IFERROR(LOOKUP(2,1/(单次交易!$A$2:$A$201=A65),单次交易!$H$2:$H$201),0)+SUMIFS($G$2:$G$1001,$A$2:$A$1001,A65,$B$2:$B$1001,"&lt;"&amp;B65))</f>
        <v/>
      </c>
      <c r="J65" s="17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17" t="str">
        <f t="shared" si="1"/>
        <v/>
      </c>
      <c r="L65" s="18" t="str">
        <f t="shared" si="2"/>
        <v/>
      </c>
      <c r="M65" s="18" t="str">
        <f t="shared" si="3"/>
        <v/>
      </c>
      <c r="N65" s="18" t="str">
        <f t="shared" si="4"/>
        <v/>
      </c>
      <c r="O65" s="18" t="str">
        <f t="shared" si="5"/>
        <v/>
      </c>
      <c r="P65" s="17" t="str">
        <f t="shared" si="6"/>
        <v/>
      </c>
      <c r="Q65" s="17" t="str">
        <f t="shared" si="7"/>
        <v/>
      </c>
      <c r="R65" s="19" t="str">
        <f t="shared" si="8"/>
        <v/>
      </c>
    </row>
    <row r="66" spans="1:18">
      <c r="A66" s="13"/>
      <c r="B66" s="14"/>
      <c r="C66" s="15"/>
      <c r="D66" s="16"/>
      <c r="E66" s="16"/>
      <c r="F66" s="16"/>
      <c r="G66" s="14"/>
      <c r="H66" s="17" t="str">
        <f t="shared" ref="H66:H129" si="9">IF(OR(A66="",D66="",G66=""),"",D66*G66)</f>
        <v/>
      </c>
      <c r="I66" s="18" t="str">
        <f>IF(OR(A66="",B66=""),"",IFERROR(LOOKUP(2,1/(单次交易!$A$2:$A$201=A66),单次交易!$H$2:$H$201),0)+SUMIFS($G$2:$G$1001,$A$2:$A$1001,A66,$B$2:$B$1001,"&lt;"&amp;B66))</f>
        <v/>
      </c>
      <c r="J66" s="17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17" t="str">
        <f t="shared" ref="K66:K129" si="10">IF(OR(E66="",I66="",J66=""),"",MAX(E66*I66-J66,0))</f>
        <v/>
      </c>
      <c r="L66" s="18" t="str">
        <f t="shared" ref="L66:L129" si="11">IF(OR(D66="",E66="",F66="",D66&lt;=E66),"",FLOOR((F66+K66)/(D66-E66),100))</f>
        <v/>
      </c>
      <c r="M66" s="18" t="str">
        <f t="shared" ref="M66:M129" si="12">IF(OR(A66="",B66="",L66=""),"",IF(B66=1,L66,IFERROR(SUMIFS($G$2:$G$1001,$A$2:$A$1001,A66,$B$2:$B$1001,B66-1),0)))</f>
        <v/>
      </c>
      <c r="N66" s="18" t="str">
        <f t="shared" ref="N66:N129" si="13">IF(OR(L66="",M66=""),"",MIN(L66,M66))</f>
        <v/>
      </c>
      <c r="O66" s="18" t="str">
        <f t="shared" ref="O66:O129" si="14">IF(OR(I66="",G66=""),"",I66+G66)</f>
        <v/>
      </c>
      <c r="P66" s="17" t="str">
        <f t="shared" ref="P66:P129" si="15">IF(OR(O66="",O66=0),"",(J66+H66)/O66)</f>
        <v/>
      </c>
      <c r="Q66" s="17" t="str">
        <f t="shared" ref="Q66:Q129" si="16">IF(OR(O66="",E66=""),"",MAX(J66+H66-E66*O66,0))</f>
        <v/>
      </c>
      <c r="R66" s="19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3"/>
      <c r="B67" s="14"/>
      <c r="C67" s="15"/>
      <c r="D67" s="16"/>
      <c r="E67" s="16"/>
      <c r="F67" s="16"/>
      <c r="G67" s="14"/>
      <c r="H67" s="17" t="str">
        <f t="shared" si="9"/>
        <v/>
      </c>
      <c r="I67" s="18" t="str">
        <f>IF(OR(A67="",B67=""),"",IFERROR(LOOKUP(2,1/(单次交易!$A$2:$A$201=A67),单次交易!$H$2:$H$201),0)+SUMIFS($G$2:$G$1001,$A$2:$A$1001,A67,$B$2:$B$1001,"&lt;"&amp;B67))</f>
        <v/>
      </c>
      <c r="J67" s="17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17" t="str">
        <f t="shared" si="10"/>
        <v/>
      </c>
      <c r="L67" s="18" t="str">
        <f t="shared" si="11"/>
        <v/>
      </c>
      <c r="M67" s="18" t="str">
        <f t="shared" si="12"/>
        <v/>
      </c>
      <c r="N67" s="18" t="str">
        <f t="shared" si="13"/>
        <v/>
      </c>
      <c r="O67" s="18" t="str">
        <f t="shared" si="14"/>
        <v/>
      </c>
      <c r="P67" s="17" t="str">
        <f t="shared" si="15"/>
        <v/>
      </c>
      <c r="Q67" s="17" t="str">
        <f t="shared" si="16"/>
        <v/>
      </c>
      <c r="R67" s="19" t="str">
        <f t="shared" si="17"/>
        <v/>
      </c>
    </row>
    <row r="68" spans="1:18">
      <c r="A68" s="13"/>
      <c r="B68" s="14"/>
      <c r="C68" s="15"/>
      <c r="D68" s="16"/>
      <c r="E68" s="16"/>
      <c r="F68" s="16"/>
      <c r="G68" s="14"/>
      <c r="H68" s="17" t="str">
        <f t="shared" si="9"/>
        <v/>
      </c>
      <c r="I68" s="18" t="str">
        <f>IF(OR(A68="",B68=""),"",IFERROR(LOOKUP(2,1/(单次交易!$A$2:$A$201=A68),单次交易!$H$2:$H$201),0)+SUMIFS($G$2:$G$1001,$A$2:$A$1001,A68,$B$2:$B$1001,"&lt;"&amp;B68))</f>
        <v/>
      </c>
      <c r="J68" s="17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17" t="str">
        <f t="shared" si="10"/>
        <v/>
      </c>
      <c r="L68" s="18" t="str">
        <f t="shared" si="11"/>
        <v/>
      </c>
      <c r="M68" s="18" t="str">
        <f t="shared" si="12"/>
        <v/>
      </c>
      <c r="N68" s="18" t="str">
        <f t="shared" si="13"/>
        <v/>
      </c>
      <c r="O68" s="18" t="str">
        <f t="shared" si="14"/>
        <v/>
      </c>
      <c r="P68" s="17" t="str">
        <f t="shared" si="15"/>
        <v/>
      </c>
      <c r="Q68" s="17" t="str">
        <f t="shared" si="16"/>
        <v/>
      </c>
      <c r="R68" s="19" t="str">
        <f t="shared" si="17"/>
        <v/>
      </c>
    </row>
    <row r="69" spans="1:18">
      <c r="A69" s="13"/>
      <c r="B69" s="14"/>
      <c r="C69" s="15"/>
      <c r="D69" s="16"/>
      <c r="E69" s="16"/>
      <c r="F69" s="16"/>
      <c r="G69" s="14"/>
      <c r="H69" s="17" t="str">
        <f t="shared" si="9"/>
        <v/>
      </c>
      <c r="I69" s="18" t="str">
        <f>IF(OR(A69="",B69=""),"",IFERROR(LOOKUP(2,1/(单次交易!$A$2:$A$201=A69),单次交易!$H$2:$H$201),0)+SUMIFS($G$2:$G$1001,$A$2:$A$1001,A69,$B$2:$B$1001,"&lt;"&amp;B69))</f>
        <v/>
      </c>
      <c r="J69" s="17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17" t="str">
        <f t="shared" si="10"/>
        <v/>
      </c>
      <c r="L69" s="18" t="str">
        <f t="shared" si="11"/>
        <v/>
      </c>
      <c r="M69" s="18" t="str">
        <f t="shared" si="12"/>
        <v/>
      </c>
      <c r="N69" s="18" t="str">
        <f t="shared" si="13"/>
        <v/>
      </c>
      <c r="O69" s="18" t="str">
        <f t="shared" si="14"/>
        <v/>
      </c>
      <c r="P69" s="17" t="str">
        <f t="shared" si="15"/>
        <v/>
      </c>
      <c r="Q69" s="17" t="str">
        <f t="shared" si="16"/>
        <v/>
      </c>
      <c r="R69" s="19" t="str">
        <f t="shared" si="17"/>
        <v/>
      </c>
    </row>
    <row r="70" spans="1:18">
      <c r="A70" s="13"/>
      <c r="B70" s="14"/>
      <c r="C70" s="15"/>
      <c r="D70" s="16"/>
      <c r="E70" s="16"/>
      <c r="F70" s="16"/>
      <c r="G70" s="14"/>
      <c r="H70" s="17" t="str">
        <f t="shared" si="9"/>
        <v/>
      </c>
      <c r="I70" s="18" t="str">
        <f>IF(OR(A70="",B70=""),"",IFERROR(LOOKUP(2,1/(单次交易!$A$2:$A$201=A70),单次交易!$H$2:$H$201),0)+SUMIFS($G$2:$G$1001,$A$2:$A$1001,A70,$B$2:$B$1001,"&lt;"&amp;B70))</f>
        <v/>
      </c>
      <c r="J70" s="17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17" t="str">
        <f t="shared" si="10"/>
        <v/>
      </c>
      <c r="L70" s="18" t="str">
        <f t="shared" si="11"/>
        <v/>
      </c>
      <c r="M70" s="18" t="str">
        <f t="shared" si="12"/>
        <v/>
      </c>
      <c r="N70" s="18" t="str">
        <f t="shared" si="13"/>
        <v/>
      </c>
      <c r="O70" s="18" t="str">
        <f t="shared" si="14"/>
        <v/>
      </c>
      <c r="P70" s="17" t="str">
        <f t="shared" si="15"/>
        <v/>
      </c>
      <c r="Q70" s="17" t="str">
        <f t="shared" si="16"/>
        <v/>
      </c>
      <c r="R70" s="19" t="str">
        <f t="shared" si="17"/>
        <v/>
      </c>
    </row>
    <row r="71" spans="1:18">
      <c r="A71" s="13"/>
      <c r="B71" s="14"/>
      <c r="C71" s="15"/>
      <c r="D71" s="16"/>
      <c r="E71" s="16"/>
      <c r="F71" s="16"/>
      <c r="G71" s="14"/>
      <c r="H71" s="17" t="str">
        <f t="shared" si="9"/>
        <v/>
      </c>
      <c r="I71" s="18" t="str">
        <f>IF(OR(A71="",B71=""),"",IFERROR(LOOKUP(2,1/(单次交易!$A$2:$A$201=A71),单次交易!$H$2:$H$201),0)+SUMIFS($G$2:$G$1001,$A$2:$A$1001,A71,$B$2:$B$1001,"&lt;"&amp;B71))</f>
        <v/>
      </c>
      <c r="J71" s="17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17" t="str">
        <f t="shared" si="10"/>
        <v/>
      </c>
      <c r="L71" s="18" t="str">
        <f t="shared" si="11"/>
        <v/>
      </c>
      <c r="M71" s="18" t="str">
        <f t="shared" si="12"/>
        <v/>
      </c>
      <c r="N71" s="18" t="str">
        <f t="shared" si="13"/>
        <v/>
      </c>
      <c r="O71" s="18" t="str">
        <f t="shared" si="14"/>
        <v/>
      </c>
      <c r="P71" s="17" t="str">
        <f t="shared" si="15"/>
        <v/>
      </c>
      <c r="Q71" s="17" t="str">
        <f t="shared" si="16"/>
        <v/>
      </c>
      <c r="R71" s="19" t="str">
        <f t="shared" si="17"/>
        <v/>
      </c>
    </row>
    <row r="72" spans="1:18">
      <c r="A72" s="13"/>
      <c r="B72" s="14"/>
      <c r="C72" s="15"/>
      <c r="D72" s="16"/>
      <c r="E72" s="16"/>
      <c r="F72" s="16"/>
      <c r="G72" s="14"/>
      <c r="H72" s="17" t="str">
        <f t="shared" si="9"/>
        <v/>
      </c>
      <c r="I72" s="18" t="str">
        <f>IF(OR(A72="",B72=""),"",IFERROR(LOOKUP(2,1/(单次交易!$A$2:$A$201=A72),单次交易!$H$2:$H$201),0)+SUMIFS($G$2:$G$1001,$A$2:$A$1001,A72,$B$2:$B$1001,"&lt;"&amp;B72))</f>
        <v/>
      </c>
      <c r="J72" s="17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17" t="str">
        <f t="shared" si="10"/>
        <v/>
      </c>
      <c r="L72" s="18" t="str">
        <f t="shared" si="11"/>
        <v/>
      </c>
      <c r="M72" s="18" t="str">
        <f t="shared" si="12"/>
        <v/>
      </c>
      <c r="N72" s="18" t="str">
        <f t="shared" si="13"/>
        <v/>
      </c>
      <c r="O72" s="18" t="str">
        <f t="shared" si="14"/>
        <v/>
      </c>
      <c r="P72" s="17" t="str">
        <f t="shared" si="15"/>
        <v/>
      </c>
      <c r="Q72" s="17" t="str">
        <f t="shared" si="16"/>
        <v/>
      </c>
      <c r="R72" s="19" t="str">
        <f t="shared" si="17"/>
        <v/>
      </c>
    </row>
    <row r="73" spans="1:18">
      <c r="A73" s="13"/>
      <c r="B73" s="14"/>
      <c r="C73" s="15"/>
      <c r="D73" s="16"/>
      <c r="E73" s="16"/>
      <c r="F73" s="16"/>
      <c r="G73" s="14"/>
      <c r="H73" s="17" t="str">
        <f t="shared" si="9"/>
        <v/>
      </c>
      <c r="I73" s="18" t="str">
        <f>IF(OR(A73="",B73=""),"",IFERROR(LOOKUP(2,1/(单次交易!$A$2:$A$201=A73),单次交易!$H$2:$H$201),0)+SUMIFS($G$2:$G$1001,$A$2:$A$1001,A73,$B$2:$B$1001,"&lt;"&amp;B73))</f>
        <v/>
      </c>
      <c r="J73" s="17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17" t="str">
        <f t="shared" si="10"/>
        <v/>
      </c>
      <c r="L73" s="18" t="str">
        <f t="shared" si="11"/>
        <v/>
      </c>
      <c r="M73" s="18" t="str">
        <f t="shared" si="12"/>
        <v/>
      </c>
      <c r="N73" s="18" t="str">
        <f t="shared" si="13"/>
        <v/>
      </c>
      <c r="O73" s="18" t="str">
        <f t="shared" si="14"/>
        <v/>
      </c>
      <c r="P73" s="17" t="str">
        <f t="shared" si="15"/>
        <v/>
      </c>
      <c r="Q73" s="17" t="str">
        <f t="shared" si="16"/>
        <v/>
      </c>
      <c r="R73" s="19" t="str">
        <f t="shared" si="17"/>
        <v/>
      </c>
    </row>
    <row r="74" spans="1:18">
      <c r="A74" s="13"/>
      <c r="B74" s="14"/>
      <c r="C74" s="15"/>
      <c r="D74" s="16"/>
      <c r="E74" s="16"/>
      <c r="F74" s="16"/>
      <c r="G74" s="14"/>
      <c r="H74" s="17" t="str">
        <f t="shared" si="9"/>
        <v/>
      </c>
      <c r="I74" s="18" t="str">
        <f>IF(OR(A74="",B74=""),"",IFERROR(LOOKUP(2,1/(单次交易!$A$2:$A$201=A74),单次交易!$H$2:$H$201),0)+SUMIFS($G$2:$G$1001,$A$2:$A$1001,A74,$B$2:$B$1001,"&lt;"&amp;B74))</f>
        <v/>
      </c>
      <c r="J74" s="17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17" t="str">
        <f t="shared" si="10"/>
        <v/>
      </c>
      <c r="L74" s="18" t="str">
        <f t="shared" si="11"/>
        <v/>
      </c>
      <c r="M74" s="18" t="str">
        <f t="shared" si="12"/>
        <v/>
      </c>
      <c r="N74" s="18" t="str">
        <f t="shared" si="13"/>
        <v/>
      </c>
      <c r="O74" s="18" t="str">
        <f t="shared" si="14"/>
        <v/>
      </c>
      <c r="P74" s="17" t="str">
        <f t="shared" si="15"/>
        <v/>
      </c>
      <c r="Q74" s="17" t="str">
        <f t="shared" si="16"/>
        <v/>
      </c>
      <c r="R74" s="19" t="str">
        <f t="shared" si="17"/>
        <v/>
      </c>
    </row>
    <row r="75" spans="1:18">
      <c r="A75" s="13"/>
      <c r="B75" s="14"/>
      <c r="C75" s="15"/>
      <c r="D75" s="16"/>
      <c r="E75" s="16"/>
      <c r="F75" s="16"/>
      <c r="G75" s="14"/>
      <c r="H75" s="17" t="str">
        <f t="shared" si="9"/>
        <v/>
      </c>
      <c r="I75" s="18" t="str">
        <f>IF(OR(A75="",B75=""),"",IFERROR(LOOKUP(2,1/(单次交易!$A$2:$A$201=A75),单次交易!$H$2:$H$201),0)+SUMIFS($G$2:$G$1001,$A$2:$A$1001,A75,$B$2:$B$1001,"&lt;"&amp;B75))</f>
        <v/>
      </c>
      <c r="J75" s="17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17" t="str">
        <f t="shared" si="10"/>
        <v/>
      </c>
      <c r="L75" s="18" t="str">
        <f t="shared" si="11"/>
        <v/>
      </c>
      <c r="M75" s="18" t="str">
        <f t="shared" si="12"/>
        <v/>
      </c>
      <c r="N75" s="18" t="str">
        <f t="shared" si="13"/>
        <v/>
      </c>
      <c r="O75" s="18" t="str">
        <f t="shared" si="14"/>
        <v/>
      </c>
      <c r="P75" s="17" t="str">
        <f t="shared" si="15"/>
        <v/>
      </c>
      <c r="Q75" s="17" t="str">
        <f t="shared" si="16"/>
        <v/>
      </c>
      <c r="R75" s="19" t="str">
        <f t="shared" si="17"/>
        <v/>
      </c>
    </row>
    <row r="76" spans="1:18">
      <c r="A76" s="13"/>
      <c r="B76" s="14"/>
      <c r="C76" s="15"/>
      <c r="D76" s="16"/>
      <c r="E76" s="16"/>
      <c r="F76" s="16"/>
      <c r="G76" s="14"/>
      <c r="H76" s="17" t="str">
        <f t="shared" si="9"/>
        <v/>
      </c>
      <c r="I76" s="18" t="str">
        <f>IF(OR(A76="",B76=""),"",IFERROR(LOOKUP(2,1/(单次交易!$A$2:$A$201=A76),单次交易!$H$2:$H$201),0)+SUMIFS($G$2:$G$1001,$A$2:$A$1001,A76,$B$2:$B$1001,"&lt;"&amp;B76))</f>
        <v/>
      </c>
      <c r="J76" s="17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17" t="str">
        <f t="shared" si="10"/>
        <v/>
      </c>
      <c r="L76" s="18" t="str">
        <f t="shared" si="11"/>
        <v/>
      </c>
      <c r="M76" s="18" t="str">
        <f t="shared" si="12"/>
        <v/>
      </c>
      <c r="N76" s="18" t="str">
        <f t="shared" si="13"/>
        <v/>
      </c>
      <c r="O76" s="18" t="str">
        <f t="shared" si="14"/>
        <v/>
      </c>
      <c r="P76" s="17" t="str">
        <f t="shared" si="15"/>
        <v/>
      </c>
      <c r="Q76" s="17" t="str">
        <f t="shared" si="16"/>
        <v/>
      </c>
      <c r="R76" s="19" t="str">
        <f t="shared" si="17"/>
        <v/>
      </c>
    </row>
    <row r="77" spans="1:18">
      <c r="A77" s="13"/>
      <c r="B77" s="14"/>
      <c r="C77" s="15"/>
      <c r="D77" s="16"/>
      <c r="E77" s="16"/>
      <c r="F77" s="16"/>
      <c r="G77" s="14"/>
      <c r="H77" s="17" t="str">
        <f t="shared" si="9"/>
        <v/>
      </c>
      <c r="I77" s="18" t="str">
        <f>IF(OR(A77="",B77=""),"",IFERROR(LOOKUP(2,1/(单次交易!$A$2:$A$201=A77),单次交易!$H$2:$H$201),0)+SUMIFS($G$2:$G$1001,$A$2:$A$1001,A77,$B$2:$B$1001,"&lt;"&amp;B77))</f>
        <v/>
      </c>
      <c r="J77" s="17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17" t="str">
        <f t="shared" si="10"/>
        <v/>
      </c>
      <c r="L77" s="18" t="str">
        <f t="shared" si="11"/>
        <v/>
      </c>
      <c r="M77" s="18" t="str">
        <f t="shared" si="12"/>
        <v/>
      </c>
      <c r="N77" s="18" t="str">
        <f t="shared" si="13"/>
        <v/>
      </c>
      <c r="O77" s="18" t="str">
        <f t="shared" si="14"/>
        <v/>
      </c>
      <c r="P77" s="17" t="str">
        <f t="shared" si="15"/>
        <v/>
      </c>
      <c r="Q77" s="17" t="str">
        <f t="shared" si="16"/>
        <v/>
      </c>
      <c r="R77" s="19" t="str">
        <f t="shared" si="17"/>
        <v/>
      </c>
    </row>
    <row r="78" spans="1:18">
      <c r="A78" s="13"/>
      <c r="B78" s="14"/>
      <c r="C78" s="15"/>
      <c r="D78" s="16"/>
      <c r="E78" s="16"/>
      <c r="F78" s="16"/>
      <c r="G78" s="14"/>
      <c r="H78" s="17" t="str">
        <f t="shared" si="9"/>
        <v/>
      </c>
      <c r="I78" s="18" t="str">
        <f>IF(OR(A78="",B78=""),"",IFERROR(LOOKUP(2,1/(单次交易!$A$2:$A$201=A78),单次交易!$H$2:$H$201),0)+SUMIFS($G$2:$G$1001,$A$2:$A$1001,A78,$B$2:$B$1001,"&lt;"&amp;B78))</f>
        <v/>
      </c>
      <c r="J78" s="17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17" t="str">
        <f t="shared" si="10"/>
        <v/>
      </c>
      <c r="L78" s="18" t="str">
        <f t="shared" si="11"/>
        <v/>
      </c>
      <c r="M78" s="18" t="str">
        <f t="shared" si="12"/>
        <v/>
      </c>
      <c r="N78" s="18" t="str">
        <f t="shared" si="13"/>
        <v/>
      </c>
      <c r="O78" s="18" t="str">
        <f t="shared" si="14"/>
        <v/>
      </c>
      <c r="P78" s="17" t="str">
        <f t="shared" si="15"/>
        <v/>
      </c>
      <c r="Q78" s="17" t="str">
        <f t="shared" si="16"/>
        <v/>
      </c>
      <c r="R78" s="19" t="str">
        <f t="shared" si="17"/>
        <v/>
      </c>
    </row>
    <row r="79" spans="1:18">
      <c r="A79" s="13"/>
      <c r="B79" s="14"/>
      <c r="C79" s="15"/>
      <c r="D79" s="16"/>
      <c r="E79" s="16"/>
      <c r="F79" s="16"/>
      <c r="G79" s="14"/>
      <c r="H79" s="17" t="str">
        <f t="shared" si="9"/>
        <v/>
      </c>
      <c r="I79" s="18" t="str">
        <f>IF(OR(A79="",B79=""),"",IFERROR(LOOKUP(2,1/(单次交易!$A$2:$A$201=A79),单次交易!$H$2:$H$201),0)+SUMIFS($G$2:$G$1001,$A$2:$A$1001,A79,$B$2:$B$1001,"&lt;"&amp;B79))</f>
        <v/>
      </c>
      <c r="J79" s="17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17" t="str">
        <f t="shared" si="10"/>
        <v/>
      </c>
      <c r="L79" s="18" t="str">
        <f t="shared" si="11"/>
        <v/>
      </c>
      <c r="M79" s="18" t="str">
        <f t="shared" si="12"/>
        <v/>
      </c>
      <c r="N79" s="18" t="str">
        <f t="shared" si="13"/>
        <v/>
      </c>
      <c r="O79" s="18" t="str">
        <f t="shared" si="14"/>
        <v/>
      </c>
      <c r="P79" s="17" t="str">
        <f t="shared" si="15"/>
        <v/>
      </c>
      <c r="Q79" s="17" t="str">
        <f t="shared" si="16"/>
        <v/>
      </c>
      <c r="R79" s="19" t="str">
        <f t="shared" si="17"/>
        <v/>
      </c>
    </row>
    <row r="80" spans="1:18">
      <c r="A80" s="13"/>
      <c r="B80" s="14"/>
      <c r="C80" s="15"/>
      <c r="D80" s="16"/>
      <c r="E80" s="16"/>
      <c r="F80" s="16"/>
      <c r="G80" s="14"/>
      <c r="H80" s="17" t="str">
        <f t="shared" si="9"/>
        <v/>
      </c>
      <c r="I80" s="18" t="str">
        <f>IF(OR(A80="",B80=""),"",IFERROR(LOOKUP(2,1/(单次交易!$A$2:$A$201=A80),单次交易!$H$2:$H$201),0)+SUMIFS($G$2:$G$1001,$A$2:$A$1001,A80,$B$2:$B$1001,"&lt;"&amp;B80))</f>
        <v/>
      </c>
      <c r="J80" s="17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17" t="str">
        <f t="shared" si="10"/>
        <v/>
      </c>
      <c r="L80" s="18" t="str">
        <f t="shared" si="11"/>
        <v/>
      </c>
      <c r="M80" s="18" t="str">
        <f t="shared" si="12"/>
        <v/>
      </c>
      <c r="N80" s="18" t="str">
        <f t="shared" si="13"/>
        <v/>
      </c>
      <c r="O80" s="18" t="str">
        <f t="shared" si="14"/>
        <v/>
      </c>
      <c r="P80" s="17" t="str">
        <f t="shared" si="15"/>
        <v/>
      </c>
      <c r="Q80" s="17" t="str">
        <f t="shared" si="16"/>
        <v/>
      </c>
      <c r="R80" s="19" t="str">
        <f t="shared" si="17"/>
        <v/>
      </c>
    </row>
    <row r="81" spans="1:18">
      <c r="A81" s="13"/>
      <c r="B81" s="14"/>
      <c r="C81" s="15"/>
      <c r="D81" s="16"/>
      <c r="E81" s="16"/>
      <c r="F81" s="16"/>
      <c r="G81" s="14"/>
      <c r="H81" s="17" t="str">
        <f t="shared" si="9"/>
        <v/>
      </c>
      <c r="I81" s="18" t="str">
        <f>IF(OR(A81="",B81=""),"",IFERROR(LOOKUP(2,1/(单次交易!$A$2:$A$201=A81),单次交易!$H$2:$H$201),0)+SUMIFS($G$2:$G$1001,$A$2:$A$1001,A81,$B$2:$B$1001,"&lt;"&amp;B81))</f>
        <v/>
      </c>
      <c r="J81" s="17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17" t="str">
        <f t="shared" si="10"/>
        <v/>
      </c>
      <c r="L81" s="18" t="str">
        <f t="shared" si="11"/>
        <v/>
      </c>
      <c r="M81" s="18" t="str">
        <f t="shared" si="12"/>
        <v/>
      </c>
      <c r="N81" s="18" t="str">
        <f t="shared" si="13"/>
        <v/>
      </c>
      <c r="O81" s="18" t="str">
        <f t="shared" si="14"/>
        <v/>
      </c>
      <c r="P81" s="17" t="str">
        <f t="shared" si="15"/>
        <v/>
      </c>
      <c r="Q81" s="17" t="str">
        <f t="shared" si="16"/>
        <v/>
      </c>
      <c r="R81" s="19" t="str">
        <f t="shared" si="17"/>
        <v/>
      </c>
    </row>
    <row r="82" spans="1:18">
      <c r="A82" s="13"/>
      <c r="B82" s="14"/>
      <c r="C82" s="15"/>
      <c r="D82" s="16"/>
      <c r="E82" s="16"/>
      <c r="F82" s="16"/>
      <c r="G82" s="14"/>
      <c r="H82" s="17" t="str">
        <f t="shared" si="9"/>
        <v/>
      </c>
      <c r="I82" s="18" t="str">
        <f>IF(OR(A82="",B82=""),"",IFERROR(LOOKUP(2,1/(单次交易!$A$2:$A$201=A82),单次交易!$H$2:$H$201),0)+SUMIFS($G$2:$G$1001,$A$2:$A$1001,A82,$B$2:$B$1001,"&lt;"&amp;B82))</f>
        <v/>
      </c>
      <c r="J82" s="17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17" t="str">
        <f t="shared" si="10"/>
        <v/>
      </c>
      <c r="L82" s="18" t="str">
        <f t="shared" si="11"/>
        <v/>
      </c>
      <c r="M82" s="18" t="str">
        <f t="shared" si="12"/>
        <v/>
      </c>
      <c r="N82" s="18" t="str">
        <f t="shared" si="13"/>
        <v/>
      </c>
      <c r="O82" s="18" t="str">
        <f t="shared" si="14"/>
        <v/>
      </c>
      <c r="P82" s="17" t="str">
        <f t="shared" si="15"/>
        <v/>
      </c>
      <c r="Q82" s="17" t="str">
        <f t="shared" si="16"/>
        <v/>
      </c>
      <c r="R82" s="19" t="str">
        <f t="shared" si="17"/>
        <v/>
      </c>
    </row>
    <row r="83" spans="1:18">
      <c r="A83" s="13"/>
      <c r="B83" s="14"/>
      <c r="C83" s="15"/>
      <c r="D83" s="16"/>
      <c r="E83" s="16"/>
      <c r="F83" s="16"/>
      <c r="G83" s="14"/>
      <c r="H83" s="17" t="str">
        <f t="shared" si="9"/>
        <v/>
      </c>
      <c r="I83" s="18" t="str">
        <f>IF(OR(A83="",B83=""),"",IFERROR(LOOKUP(2,1/(单次交易!$A$2:$A$201=A83),单次交易!$H$2:$H$201),0)+SUMIFS($G$2:$G$1001,$A$2:$A$1001,A83,$B$2:$B$1001,"&lt;"&amp;B83))</f>
        <v/>
      </c>
      <c r="J83" s="17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17" t="str">
        <f t="shared" si="10"/>
        <v/>
      </c>
      <c r="L83" s="18" t="str">
        <f t="shared" si="11"/>
        <v/>
      </c>
      <c r="M83" s="18" t="str">
        <f t="shared" si="12"/>
        <v/>
      </c>
      <c r="N83" s="18" t="str">
        <f t="shared" si="13"/>
        <v/>
      </c>
      <c r="O83" s="18" t="str">
        <f t="shared" si="14"/>
        <v/>
      </c>
      <c r="P83" s="17" t="str">
        <f t="shared" si="15"/>
        <v/>
      </c>
      <c r="Q83" s="17" t="str">
        <f t="shared" si="16"/>
        <v/>
      </c>
      <c r="R83" s="19" t="str">
        <f t="shared" si="17"/>
        <v/>
      </c>
    </row>
    <row r="84" spans="1:18">
      <c r="A84" s="13"/>
      <c r="B84" s="14"/>
      <c r="C84" s="15"/>
      <c r="D84" s="16"/>
      <c r="E84" s="16"/>
      <c r="F84" s="16"/>
      <c r="G84" s="14"/>
      <c r="H84" s="17" t="str">
        <f t="shared" si="9"/>
        <v/>
      </c>
      <c r="I84" s="18" t="str">
        <f>IF(OR(A84="",B84=""),"",IFERROR(LOOKUP(2,1/(单次交易!$A$2:$A$201=A84),单次交易!$H$2:$H$201),0)+SUMIFS($G$2:$G$1001,$A$2:$A$1001,A84,$B$2:$B$1001,"&lt;"&amp;B84))</f>
        <v/>
      </c>
      <c r="J84" s="17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17" t="str">
        <f t="shared" si="10"/>
        <v/>
      </c>
      <c r="L84" s="18" t="str">
        <f t="shared" si="11"/>
        <v/>
      </c>
      <c r="M84" s="18" t="str">
        <f t="shared" si="12"/>
        <v/>
      </c>
      <c r="N84" s="18" t="str">
        <f t="shared" si="13"/>
        <v/>
      </c>
      <c r="O84" s="18" t="str">
        <f t="shared" si="14"/>
        <v/>
      </c>
      <c r="P84" s="17" t="str">
        <f t="shared" si="15"/>
        <v/>
      </c>
      <c r="Q84" s="17" t="str">
        <f t="shared" si="16"/>
        <v/>
      </c>
      <c r="R84" s="19" t="str">
        <f t="shared" si="17"/>
        <v/>
      </c>
    </row>
    <row r="85" spans="1:18">
      <c r="A85" s="13"/>
      <c r="B85" s="14"/>
      <c r="C85" s="15"/>
      <c r="D85" s="16"/>
      <c r="E85" s="16"/>
      <c r="F85" s="16"/>
      <c r="G85" s="14"/>
      <c r="H85" s="17" t="str">
        <f t="shared" si="9"/>
        <v/>
      </c>
      <c r="I85" s="18" t="str">
        <f>IF(OR(A85="",B85=""),"",IFERROR(LOOKUP(2,1/(单次交易!$A$2:$A$201=A85),单次交易!$H$2:$H$201),0)+SUMIFS($G$2:$G$1001,$A$2:$A$1001,A85,$B$2:$B$1001,"&lt;"&amp;B85))</f>
        <v/>
      </c>
      <c r="J85" s="17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17" t="str">
        <f t="shared" si="10"/>
        <v/>
      </c>
      <c r="L85" s="18" t="str">
        <f t="shared" si="11"/>
        <v/>
      </c>
      <c r="M85" s="18" t="str">
        <f t="shared" si="12"/>
        <v/>
      </c>
      <c r="N85" s="18" t="str">
        <f t="shared" si="13"/>
        <v/>
      </c>
      <c r="O85" s="18" t="str">
        <f t="shared" si="14"/>
        <v/>
      </c>
      <c r="P85" s="17" t="str">
        <f t="shared" si="15"/>
        <v/>
      </c>
      <c r="Q85" s="17" t="str">
        <f t="shared" si="16"/>
        <v/>
      </c>
      <c r="R85" s="19" t="str">
        <f t="shared" si="17"/>
        <v/>
      </c>
    </row>
    <row r="86" spans="1:18">
      <c r="A86" s="13"/>
      <c r="B86" s="14"/>
      <c r="C86" s="15"/>
      <c r="D86" s="16"/>
      <c r="E86" s="16"/>
      <c r="F86" s="16"/>
      <c r="G86" s="14"/>
      <c r="H86" s="17" t="str">
        <f t="shared" si="9"/>
        <v/>
      </c>
      <c r="I86" s="18" t="str">
        <f>IF(OR(A86="",B86=""),"",IFERROR(LOOKUP(2,1/(单次交易!$A$2:$A$201=A86),单次交易!$H$2:$H$201),0)+SUMIFS($G$2:$G$1001,$A$2:$A$1001,A86,$B$2:$B$1001,"&lt;"&amp;B86))</f>
        <v/>
      </c>
      <c r="J86" s="17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17" t="str">
        <f t="shared" si="10"/>
        <v/>
      </c>
      <c r="L86" s="18" t="str">
        <f t="shared" si="11"/>
        <v/>
      </c>
      <c r="M86" s="18" t="str">
        <f t="shared" si="12"/>
        <v/>
      </c>
      <c r="N86" s="18" t="str">
        <f t="shared" si="13"/>
        <v/>
      </c>
      <c r="O86" s="18" t="str">
        <f t="shared" si="14"/>
        <v/>
      </c>
      <c r="P86" s="17" t="str">
        <f t="shared" si="15"/>
        <v/>
      </c>
      <c r="Q86" s="17" t="str">
        <f t="shared" si="16"/>
        <v/>
      </c>
      <c r="R86" s="19" t="str">
        <f t="shared" si="17"/>
        <v/>
      </c>
    </row>
    <row r="87" spans="1:18">
      <c r="A87" s="13"/>
      <c r="B87" s="14"/>
      <c r="C87" s="15"/>
      <c r="D87" s="16"/>
      <c r="E87" s="16"/>
      <c r="F87" s="16"/>
      <c r="G87" s="14"/>
      <c r="H87" s="17" t="str">
        <f t="shared" si="9"/>
        <v/>
      </c>
      <c r="I87" s="18" t="str">
        <f>IF(OR(A87="",B87=""),"",IFERROR(LOOKUP(2,1/(单次交易!$A$2:$A$201=A87),单次交易!$H$2:$H$201),0)+SUMIFS($G$2:$G$1001,$A$2:$A$1001,A87,$B$2:$B$1001,"&lt;"&amp;B87))</f>
        <v/>
      </c>
      <c r="J87" s="17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17" t="str">
        <f t="shared" si="10"/>
        <v/>
      </c>
      <c r="L87" s="18" t="str">
        <f t="shared" si="11"/>
        <v/>
      </c>
      <c r="M87" s="18" t="str">
        <f t="shared" si="12"/>
        <v/>
      </c>
      <c r="N87" s="18" t="str">
        <f t="shared" si="13"/>
        <v/>
      </c>
      <c r="O87" s="18" t="str">
        <f t="shared" si="14"/>
        <v/>
      </c>
      <c r="P87" s="17" t="str">
        <f t="shared" si="15"/>
        <v/>
      </c>
      <c r="Q87" s="17" t="str">
        <f t="shared" si="16"/>
        <v/>
      </c>
      <c r="R87" s="19" t="str">
        <f t="shared" si="17"/>
        <v/>
      </c>
    </row>
    <row r="88" spans="1:18">
      <c r="A88" s="13"/>
      <c r="B88" s="14"/>
      <c r="C88" s="15"/>
      <c r="D88" s="16"/>
      <c r="E88" s="16"/>
      <c r="F88" s="16"/>
      <c r="G88" s="14"/>
      <c r="H88" s="17" t="str">
        <f t="shared" si="9"/>
        <v/>
      </c>
      <c r="I88" s="18" t="str">
        <f>IF(OR(A88="",B88=""),"",IFERROR(LOOKUP(2,1/(单次交易!$A$2:$A$201=A88),单次交易!$H$2:$H$201),0)+SUMIFS($G$2:$G$1001,$A$2:$A$1001,A88,$B$2:$B$1001,"&lt;"&amp;B88))</f>
        <v/>
      </c>
      <c r="J88" s="17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17" t="str">
        <f t="shared" si="10"/>
        <v/>
      </c>
      <c r="L88" s="18" t="str">
        <f t="shared" si="11"/>
        <v/>
      </c>
      <c r="M88" s="18" t="str">
        <f t="shared" si="12"/>
        <v/>
      </c>
      <c r="N88" s="18" t="str">
        <f t="shared" si="13"/>
        <v/>
      </c>
      <c r="O88" s="18" t="str">
        <f t="shared" si="14"/>
        <v/>
      </c>
      <c r="P88" s="17" t="str">
        <f t="shared" si="15"/>
        <v/>
      </c>
      <c r="Q88" s="17" t="str">
        <f t="shared" si="16"/>
        <v/>
      </c>
      <c r="R88" s="19" t="str">
        <f t="shared" si="17"/>
        <v/>
      </c>
    </row>
    <row r="89" spans="1:18">
      <c r="A89" s="13"/>
      <c r="B89" s="14"/>
      <c r="C89" s="15"/>
      <c r="D89" s="16"/>
      <c r="E89" s="16"/>
      <c r="F89" s="16"/>
      <c r="G89" s="14"/>
      <c r="H89" s="17" t="str">
        <f t="shared" si="9"/>
        <v/>
      </c>
      <c r="I89" s="18" t="str">
        <f>IF(OR(A89="",B89=""),"",IFERROR(LOOKUP(2,1/(单次交易!$A$2:$A$201=A89),单次交易!$H$2:$H$201),0)+SUMIFS($G$2:$G$1001,$A$2:$A$1001,A89,$B$2:$B$1001,"&lt;"&amp;B89))</f>
        <v/>
      </c>
      <c r="J89" s="17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17" t="str">
        <f t="shared" si="10"/>
        <v/>
      </c>
      <c r="L89" s="18" t="str">
        <f t="shared" si="11"/>
        <v/>
      </c>
      <c r="M89" s="18" t="str">
        <f t="shared" si="12"/>
        <v/>
      </c>
      <c r="N89" s="18" t="str">
        <f t="shared" si="13"/>
        <v/>
      </c>
      <c r="O89" s="18" t="str">
        <f t="shared" si="14"/>
        <v/>
      </c>
      <c r="P89" s="17" t="str">
        <f t="shared" si="15"/>
        <v/>
      </c>
      <c r="Q89" s="17" t="str">
        <f t="shared" si="16"/>
        <v/>
      </c>
      <c r="R89" s="19" t="str">
        <f t="shared" si="17"/>
        <v/>
      </c>
    </row>
    <row r="90" spans="1:18">
      <c r="A90" s="13"/>
      <c r="B90" s="14"/>
      <c r="C90" s="15"/>
      <c r="D90" s="16"/>
      <c r="E90" s="16"/>
      <c r="F90" s="16"/>
      <c r="G90" s="14"/>
      <c r="H90" s="17" t="str">
        <f t="shared" si="9"/>
        <v/>
      </c>
      <c r="I90" s="18" t="str">
        <f>IF(OR(A90="",B90=""),"",IFERROR(LOOKUP(2,1/(单次交易!$A$2:$A$201=A90),单次交易!$H$2:$H$201),0)+SUMIFS($G$2:$G$1001,$A$2:$A$1001,A90,$B$2:$B$1001,"&lt;"&amp;B90))</f>
        <v/>
      </c>
      <c r="J90" s="17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17" t="str">
        <f t="shared" si="10"/>
        <v/>
      </c>
      <c r="L90" s="18" t="str">
        <f t="shared" si="11"/>
        <v/>
      </c>
      <c r="M90" s="18" t="str">
        <f t="shared" si="12"/>
        <v/>
      </c>
      <c r="N90" s="18" t="str">
        <f t="shared" si="13"/>
        <v/>
      </c>
      <c r="O90" s="18" t="str">
        <f t="shared" si="14"/>
        <v/>
      </c>
      <c r="P90" s="17" t="str">
        <f t="shared" si="15"/>
        <v/>
      </c>
      <c r="Q90" s="17" t="str">
        <f t="shared" si="16"/>
        <v/>
      </c>
      <c r="R90" s="19" t="str">
        <f t="shared" si="17"/>
        <v/>
      </c>
    </row>
    <row r="91" spans="1:18">
      <c r="A91" s="13"/>
      <c r="B91" s="14"/>
      <c r="C91" s="15"/>
      <c r="D91" s="16"/>
      <c r="E91" s="16"/>
      <c r="F91" s="16"/>
      <c r="G91" s="14"/>
      <c r="H91" s="17" t="str">
        <f t="shared" si="9"/>
        <v/>
      </c>
      <c r="I91" s="18" t="str">
        <f>IF(OR(A91="",B91=""),"",IFERROR(LOOKUP(2,1/(单次交易!$A$2:$A$201=A91),单次交易!$H$2:$H$201),0)+SUMIFS($G$2:$G$1001,$A$2:$A$1001,A91,$B$2:$B$1001,"&lt;"&amp;B91))</f>
        <v/>
      </c>
      <c r="J91" s="17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17" t="str">
        <f t="shared" si="10"/>
        <v/>
      </c>
      <c r="L91" s="18" t="str">
        <f t="shared" si="11"/>
        <v/>
      </c>
      <c r="M91" s="18" t="str">
        <f t="shared" si="12"/>
        <v/>
      </c>
      <c r="N91" s="18" t="str">
        <f t="shared" si="13"/>
        <v/>
      </c>
      <c r="O91" s="18" t="str">
        <f t="shared" si="14"/>
        <v/>
      </c>
      <c r="P91" s="17" t="str">
        <f t="shared" si="15"/>
        <v/>
      </c>
      <c r="Q91" s="17" t="str">
        <f t="shared" si="16"/>
        <v/>
      </c>
      <c r="R91" s="19" t="str">
        <f t="shared" si="17"/>
        <v/>
      </c>
    </row>
    <row r="92" spans="1:18">
      <c r="A92" s="13"/>
      <c r="B92" s="14"/>
      <c r="C92" s="15"/>
      <c r="D92" s="16"/>
      <c r="E92" s="16"/>
      <c r="F92" s="16"/>
      <c r="G92" s="14"/>
      <c r="H92" s="17" t="str">
        <f t="shared" si="9"/>
        <v/>
      </c>
      <c r="I92" s="18" t="str">
        <f>IF(OR(A92="",B92=""),"",IFERROR(LOOKUP(2,1/(单次交易!$A$2:$A$201=A92),单次交易!$H$2:$H$201),0)+SUMIFS($G$2:$G$1001,$A$2:$A$1001,A92,$B$2:$B$1001,"&lt;"&amp;B92))</f>
        <v/>
      </c>
      <c r="J92" s="17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17" t="str">
        <f t="shared" si="10"/>
        <v/>
      </c>
      <c r="L92" s="18" t="str">
        <f t="shared" si="11"/>
        <v/>
      </c>
      <c r="M92" s="18" t="str">
        <f t="shared" si="12"/>
        <v/>
      </c>
      <c r="N92" s="18" t="str">
        <f t="shared" si="13"/>
        <v/>
      </c>
      <c r="O92" s="18" t="str">
        <f t="shared" si="14"/>
        <v/>
      </c>
      <c r="P92" s="17" t="str">
        <f t="shared" si="15"/>
        <v/>
      </c>
      <c r="Q92" s="17" t="str">
        <f t="shared" si="16"/>
        <v/>
      </c>
      <c r="R92" s="19" t="str">
        <f t="shared" si="17"/>
        <v/>
      </c>
    </row>
    <row r="93" spans="1:18">
      <c r="A93" s="13"/>
      <c r="B93" s="14"/>
      <c r="C93" s="15"/>
      <c r="D93" s="16"/>
      <c r="E93" s="16"/>
      <c r="F93" s="16"/>
      <c r="G93" s="14"/>
      <c r="H93" s="17" t="str">
        <f t="shared" si="9"/>
        <v/>
      </c>
      <c r="I93" s="18" t="str">
        <f>IF(OR(A93="",B93=""),"",IFERROR(LOOKUP(2,1/(单次交易!$A$2:$A$201=A93),单次交易!$H$2:$H$201),0)+SUMIFS($G$2:$G$1001,$A$2:$A$1001,A93,$B$2:$B$1001,"&lt;"&amp;B93))</f>
        <v/>
      </c>
      <c r="J93" s="17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17" t="str">
        <f t="shared" si="10"/>
        <v/>
      </c>
      <c r="L93" s="18" t="str">
        <f t="shared" si="11"/>
        <v/>
      </c>
      <c r="M93" s="18" t="str">
        <f t="shared" si="12"/>
        <v/>
      </c>
      <c r="N93" s="18" t="str">
        <f t="shared" si="13"/>
        <v/>
      </c>
      <c r="O93" s="18" t="str">
        <f t="shared" si="14"/>
        <v/>
      </c>
      <c r="P93" s="17" t="str">
        <f t="shared" si="15"/>
        <v/>
      </c>
      <c r="Q93" s="17" t="str">
        <f t="shared" si="16"/>
        <v/>
      </c>
      <c r="R93" s="19" t="str">
        <f t="shared" si="17"/>
        <v/>
      </c>
    </row>
    <row r="94" spans="1:18">
      <c r="A94" s="13"/>
      <c r="B94" s="14"/>
      <c r="C94" s="15"/>
      <c r="D94" s="16"/>
      <c r="E94" s="16"/>
      <c r="F94" s="16"/>
      <c r="G94" s="14"/>
      <c r="H94" s="17" t="str">
        <f t="shared" si="9"/>
        <v/>
      </c>
      <c r="I94" s="18" t="str">
        <f>IF(OR(A94="",B94=""),"",IFERROR(LOOKUP(2,1/(单次交易!$A$2:$A$201=A94),单次交易!$H$2:$H$201),0)+SUMIFS($G$2:$G$1001,$A$2:$A$1001,A94,$B$2:$B$1001,"&lt;"&amp;B94))</f>
        <v/>
      </c>
      <c r="J94" s="17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17" t="str">
        <f t="shared" si="10"/>
        <v/>
      </c>
      <c r="L94" s="18" t="str">
        <f t="shared" si="11"/>
        <v/>
      </c>
      <c r="M94" s="18" t="str">
        <f t="shared" si="12"/>
        <v/>
      </c>
      <c r="N94" s="18" t="str">
        <f t="shared" si="13"/>
        <v/>
      </c>
      <c r="O94" s="18" t="str">
        <f t="shared" si="14"/>
        <v/>
      </c>
      <c r="P94" s="17" t="str">
        <f t="shared" si="15"/>
        <v/>
      </c>
      <c r="Q94" s="17" t="str">
        <f t="shared" si="16"/>
        <v/>
      </c>
      <c r="R94" s="19" t="str">
        <f t="shared" si="17"/>
        <v/>
      </c>
    </row>
    <row r="95" spans="1:18">
      <c r="A95" s="13"/>
      <c r="B95" s="14"/>
      <c r="C95" s="15"/>
      <c r="D95" s="16"/>
      <c r="E95" s="16"/>
      <c r="F95" s="16"/>
      <c r="G95" s="14"/>
      <c r="H95" s="17" t="str">
        <f t="shared" si="9"/>
        <v/>
      </c>
      <c r="I95" s="18" t="str">
        <f>IF(OR(A95="",B95=""),"",IFERROR(LOOKUP(2,1/(单次交易!$A$2:$A$201=A95),单次交易!$H$2:$H$201),0)+SUMIFS($G$2:$G$1001,$A$2:$A$1001,A95,$B$2:$B$1001,"&lt;"&amp;B95))</f>
        <v/>
      </c>
      <c r="J95" s="17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17" t="str">
        <f t="shared" si="10"/>
        <v/>
      </c>
      <c r="L95" s="18" t="str">
        <f t="shared" si="11"/>
        <v/>
      </c>
      <c r="M95" s="18" t="str">
        <f t="shared" si="12"/>
        <v/>
      </c>
      <c r="N95" s="18" t="str">
        <f t="shared" si="13"/>
        <v/>
      </c>
      <c r="O95" s="18" t="str">
        <f t="shared" si="14"/>
        <v/>
      </c>
      <c r="P95" s="17" t="str">
        <f t="shared" si="15"/>
        <v/>
      </c>
      <c r="Q95" s="17" t="str">
        <f t="shared" si="16"/>
        <v/>
      </c>
      <c r="R95" s="19" t="str">
        <f t="shared" si="17"/>
        <v/>
      </c>
    </row>
    <row r="96" spans="1:18">
      <c r="A96" s="13"/>
      <c r="B96" s="14"/>
      <c r="C96" s="15"/>
      <c r="D96" s="16"/>
      <c r="E96" s="16"/>
      <c r="F96" s="16"/>
      <c r="G96" s="14"/>
      <c r="H96" s="17" t="str">
        <f t="shared" si="9"/>
        <v/>
      </c>
      <c r="I96" s="18" t="str">
        <f>IF(OR(A96="",B96=""),"",IFERROR(LOOKUP(2,1/(单次交易!$A$2:$A$201=A96),单次交易!$H$2:$H$201),0)+SUMIFS($G$2:$G$1001,$A$2:$A$1001,A96,$B$2:$B$1001,"&lt;"&amp;B96))</f>
        <v/>
      </c>
      <c r="J96" s="17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17" t="str">
        <f t="shared" si="10"/>
        <v/>
      </c>
      <c r="L96" s="18" t="str">
        <f t="shared" si="11"/>
        <v/>
      </c>
      <c r="M96" s="18" t="str">
        <f t="shared" si="12"/>
        <v/>
      </c>
      <c r="N96" s="18" t="str">
        <f t="shared" si="13"/>
        <v/>
      </c>
      <c r="O96" s="18" t="str">
        <f t="shared" si="14"/>
        <v/>
      </c>
      <c r="P96" s="17" t="str">
        <f t="shared" si="15"/>
        <v/>
      </c>
      <c r="Q96" s="17" t="str">
        <f t="shared" si="16"/>
        <v/>
      </c>
      <c r="R96" s="19" t="str">
        <f t="shared" si="17"/>
        <v/>
      </c>
    </row>
    <row r="97" spans="1:18">
      <c r="A97" s="13"/>
      <c r="B97" s="14"/>
      <c r="C97" s="15"/>
      <c r="D97" s="16"/>
      <c r="E97" s="16"/>
      <c r="F97" s="16"/>
      <c r="G97" s="14"/>
      <c r="H97" s="17" t="str">
        <f t="shared" si="9"/>
        <v/>
      </c>
      <c r="I97" s="18" t="str">
        <f>IF(OR(A97="",B97=""),"",IFERROR(LOOKUP(2,1/(单次交易!$A$2:$A$201=A97),单次交易!$H$2:$H$201),0)+SUMIFS($G$2:$G$1001,$A$2:$A$1001,A97,$B$2:$B$1001,"&lt;"&amp;B97))</f>
        <v/>
      </c>
      <c r="J97" s="17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17" t="str">
        <f t="shared" si="10"/>
        <v/>
      </c>
      <c r="L97" s="18" t="str">
        <f t="shared" si="11"/>
        <v/>
      </c>
      <c r="M97" s="18" t="str">
        <f t="shared" si="12"/>
        <v/>
      </c>
      <c r="N97" s="18" t="str">
        <f t="shared" si="13"/>
        <v/>
      </c>
      <c r="O97" s="18" t="str">
        <f t="shared" si="14"/>
        <v/>
      </c>
      <c r="P97" s="17" t="str">
        <f t="shared" si="15"/>
        <v/>
      </c>
      <c r="Q97" s="17" t="str">
        <f t="shared" si="16"/>
        <v/>
      </c>
      <c r="R97" s="19" t="str">
        <f t="shared" si="17"/>
        <v/>
      </c>
    </row>
    <row r="98" spans="1:18">
      <c r="A98" s="13"/>
      <c r="B98" s="14"/>
      <c r="C98" s="15"/>
      <c r="D98" s="16"/>
      <c r="E98" s="16"/>
      <c r="F98" s="16"/>
      <c r="G98" s="14"/>
      <c r="H98" s="17" t="str">
        <f t="shared" si="9"/>
        <v/>
      </c>
      <c r="I98" s="18" t="str">
        <f>IF(OR(A98="",B98=""),"",IFERROR(LOOKUP(2,1/(单次交易!$A$2:$A$201=A98),单次交易!$H$2:$H$201),0)+SUMIFS($G$2:$G$1001,$A$2:$A$1001,A98,$B$2:$B$1001,"&lt;"&amp;B98))</f>
        <v/>
      </c>
      <c r="J98" s="17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17" t="str">
        <f t="shared" si="10"/>
        <v/>
      </c>
      <c r="L98" s="18" t="str">
        <f t="shared" si="11"/>
        <v/>
      </c>
      <c r="M98" s="18" t="str">
        <f t="shared" si="12"/>
        <v/>
      </c>
      <c r="N98" s="18" t="str">
        <f t="shared" si="13"/>
        <v/>
      </c>
      <c r="O98" s="18" t="str">
        <f t="shared" si="14"/>
        <v/>
      </c>
      <c r="P98" s="17" t="str">
        <f t="shared" si="15"/>
        <v/>
      </c>
      <c r="Q98" s="17" t="str">
        <f t="shared" si="16"/>
        <v/>
      </c>
      <c r="R98" s="19" t="str">
        <f t="shared" si="17"/>
        <v/>
      </c>
    </row>
    <row r="99" spans="1:18">
      <c r="A99" s="13"/>
      <c r="B99" s="14"/>
      <c r="C99" s="15"/>
      <c r="D99" s="16"/>
      <c r="E99" s="16"/>
      <c r="F99" s="16"/>
      <c r="G99" s="14"/>
      <c r="H99" s="17" t="str">
        <f t="shared" si="9"/>
        <v/>
      </c>
      <c r="I99" s="18" t="str">
        <f>IF(OR(A99="",B99=""),"",IFERROR(LOOKUP(2,1/(单次交易!$A$2:$A$201=A99),单次交易!$H$2:$H$201),0)+SUMIFS($G$2:$G$1001,$A$2:$A$1001,A99,$B$2:$B$1001,"&lt;"&amp;B99))</f>
        <v/>
      </c>
      <c r="J99" s="17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17" t="str">
        <f t="shared" si="10"/>
        <v/>
      </c>
      <c r="L99" s="18" t="str">
        <f t="shared" si="11"/>
        <v/>
      </c>
      <c r="M99" s="18" t="str">
        <f t="shared" si="12"/>
        <v/>
      </c>
      <c r="N99" s="18" t="str">
        <f t="shared" si="13"/>
        <v/>
      </c>
      <c r="O99" s="18" t="str">
        <f t="shared" si="14"/>
        <v/>
      </c>
      <c r="P99" s="17" t="str">
        <f t="shared" si="15"/>
        <v/>
      </c>
      <c r="Q99" s="17" t="str">
        <f t="shared" si="16"/>
        <v/>
      </c>
      <c r="R99" s="19" t="str">
        <f t="shared" si="17"/>
        <v/>
      </c>
    </row>
    <row r="100" spans="1:18">
      <c r="A100" s="13"/>
      <c r="B100" s="14"/>
      <c r="C100" s="15"/>
      <c r="D100" s="16"/>
      <c r="E100" s="16"/>
      <c r="F100" s="16"/>
      <c r="G100" s="14"/>
      <c r="H100" s="17" t="str">
        <f t="shared" si="9"/>
        <v/>
      </c>
      <c r="I100" s="18" t="str">
        <f>IF(OR(A100="",B100=""),"",IFERROR(LOOKUP(2,1/(单次交易!$A$2:$A$201=A100),单次交易!$H$2:$H$201),0)+SUMIFS($G$2:$G$1001,$A$2:$A$1001,A100,$B$2:$B$1001,"&lt;"&amp;B100))</f>
        <v/>
      </c>
      <c r="J100" s="17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17" t="str">
        <f t="shared" si="10"/>
        <v/>
      </c>
      <c r="L100" s="18" t="str">
        <f t="shared" si="11"/>
        <v/>
      </c>
      <c r="M100" s="18" t="str">
        <f t="shared" si="12"/>
        <v/>
      </c>
      <c r="N100" s="18" t="str">
        <f t="shared" si="13"/>
        <v/>
      </c>
      <c r="O100" s="18" t="str">
        <f t="shared" si="14"/>
        <v/>
      </c>
      <c r="P100" s="17" t="str">
        <f t="shared" si="15"/>
        <v/>
      </c>
      <c r="Q100" s="17" t="str">
        <f t="shared" si="16"/>
        <v/>
      </c>
      <c r="R100" s="19" t="str">
        <f t="shared" si="17"/>
        <v/>
      </c>
    </row>
    <row r="101" spans="1:18">
      <c r="A101" s="13"/>
      <c r="B101" s="14"/>
      <c r="C101" s="15"/>
      <c r="D101" s="16"/>
      <c r="E101" s="16"/>
      <c r="F101" s="16"/>
      <c r="G101" s="14"/>
      <c r="H101" s="17" t="str">
        <f t="shared" si="9"/>
        <v/>
      </c>
      <c r="I101" s="18" t="str">
        <f>IF(OR(A101="",B101=""),"",IFERROR(LOOKUP(2,1/(单次交易!$A$2:$A$201=A101),单次交易!$H$2:$H$201),0)+SUMIFS($G$2:$G$1001,$A$2:$A$1001,A101,$B$2:$B$1001,"&lt;"&amp;B101))</f>
        <v/>
      </c>
      <c r="J101" s="17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17" t="str">
        <f t="shared" si="10"/>
        <v/>
      </c>
      <c r="L101" s="18" t="str">
        <f t="shared" si="11"/>
        <v/>
      </c>
      <c r="M101" s="18" t="str">
        <f t="shared" si="12"/>
        <v/>
      </c>
      <c r="N101" s="18" t="str">
        <f t="shared" si="13"/>
        <v/>
      </c>
      <c r="O101" s="18" t="str">
        <f t="shared" si="14"/>
        <v/>
      </c>
      <c r="P101" s="17" t="str">
        <f t="shared" si="15"/>
        <v/>
      </c>
      <c r="Q101" s="17" t="str">
        <f t="shared" si="16"/>
        <v/>
      </c>
      <c r="R101" s="19" t="str">
        <f t="shared" si="17"/>
        <v/>
      </c>
    </row>
    <row r="102" spans="1:18">
      <c r="A102" s="13"/>
      <c r="B102" s="14"/>
      <c r="C102" s="15"/>
      <c r="D102" s="16"/>
      <c r="E102" s="16"/>
      <c r="F102" s="16"/>
      <c r="G102" s="14"/>
      <c r="H102" s="17" t="str">
        <f t="shared" si="9"/>
        <v/>
      </c>
      <c r="I102" s="18" t="str">
        <f>IF(OR(A102="",B102=""),"",IFERROR(LOOKUP(2,1/(单次交易!$A$2:$A$201=A102),单次交易!$H$2:$H$201),0)+SUMIFS($G$2:$G$1001,$A$2:$A$1001,A102,$B$2:$B$1001,"&lt;"&amp;B102))</f>
        <v/>
      </c>
      <c r="J102" s="17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17" t="str">
        <f t="shared" si="10"/>
        <v/>
      </c>
      <c r="L102" s="18" t="str">
        <f t="shared" si="11"/>
        <v/>
      </c>
      <c r="M102" s="18" t="str">
        <f t="shared" si="12"/>
        <v/>
      </c>
      <c r="N102" s="18" t="str">
        <f t="shared" si="13"/>
        <v/>
      </c>
      <c r="O102" s="18" t="str">
        <f t="shared" si="14"/>
        <v/>
      </c>
      <c r="P102" s="17" t="str">
        <f t="shared" si="15"/>
        <v/>
      </c>
      <c r="Q102" s="17" t="str">
        <f t="shared" si="16"/>
        <v/>
      </c>
      <c r="R102" s="19" t="str">
        <f t="shared" si="17"/>
        <v/>
      </c>
    </row>
    <row r="103" spans="1:18">
      <c r="A103" s="13"/>
      <c r="B103" s="14"/>
      <c r="C103" s="15"/>
      <c r="D103" s="16"/>
      <c r="E103" s="16"/>
      <c r="F103" s="16"/>
      <c r="G103" s="14"/>
      <c r="H103" s="17" t="str">
        <f t="shared" si="9"/>
        <v/>
      </c>
      <c r="I103" s="18" t="str">
        <f>IF(OR(A103="",B103=""),"",IFERROR(LOOKUP(2,1/(单次交易!$A$2:$A$201=A103),单次交易!$H$2:$H$201),0)+SUMIFS($G$2:$G$1001,$A$2:$A$1001,A103,$B$2:$B$1001,"&lt;"&amp;B103))</f>
        <v/>
      </c>
      <c r="J103" s="17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17" t="str">
        <f t="shared" si="10"/>
        <v/>
      </c>
      <c r="L103" s="18" t="str">
        <f t="shared" si="11"/>
        <v/>
      </c>
      <c r="M103" s="18" t="str">
        <f t="shared" si="12"/>
        <v/>
      </c>
      <c r="N103" s="18" t="str">
        <f t="shared" si="13"/>
        <v/>
      </c>
      <c r="O103" s="18" t="str">
        <f t="shared" si="14"/>
        <v/>
      </c>
      <c r="P103" s="17" t="str">
        <f t="shared" si="15"/>
        <v/>
      </c>
      <c r="Q103" s="17" t="str">
        <f t="shared" si="16"/>
        <v/>
      </c>
      <c r="R103" s="19" t="str">
        <f t="shared" si="17"/>
        <v/>
      </c>
    </row>
    <row r="104" spans="1:18">
      <c r="A104" s="13"/>
      <c r="B104" s="14"/>
      <c r="C104" s="15"/>
      <c r="D104" s="16"/>
      <c r="E104" s="16"/>
      <c r="F104" s="16"/>
      <c r="G104" s="14"/>
      <c r="H104" s="17" t="str">
        <f t="shared" si="9"/>
        <v/>
      </c>
      <c r="I104" s="18" t="str">
        <f>IF(OR(A104="",B104=""),"",IFERROR(LOOKUP(2,1/(单次交易!$A$2:$A$201=A104),单次交易!$H$2:$H$201),0)+SUMIFS($G$2:$G$1001,$A$2:$A$1001,A104,$B$2:$B$1001,"&lt;"&amp;B104))</f>
        <v/>
      </c>
      <c r="J104" s="17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17" t="str">
        <f t="shared" si="10"/>
        <v/>
      </c>
      <c r="L104" s="18" t="str">
        <f t="shared" si="11"/>
        <v/>
      </c>
      <c r="M104" s="18" t="str">
        <f t="shared" si="12"/>
        <v/>
      </c>
      <c r="N104" s="18" t="str">
        <f t="shared" si="13"/>
        <v/>
      </c>
      <c r="O104" s="18" t="str">
        <f t="shared" si="14"/>
        <v/>
      </c>
      <c r="P104" s="17" t="str">
        <f t="shared" si="15"/>
        <v/>
      </c>
      <c r="Q104" s="17" t="str">
        <f t="shared" si="16"/>
        <v/>
      </c>
      <c r="R104" s="19" t="str">
        <f t="shared" si="17"/>
        <v/>
      </c>
    </row>
    <row r="105" spans="1:18">
      <c r="A105" s="13"/>
      <c r="B105" s="14"/>
      <c r="C105" s="15"/>
      <c r="D105" s="16"/>
      <c r="E105" s="16"/>
      <c r="F105" s="16"/>
      <c r="G105" s="14"/>
      <c r="H105" s="17" t="str">
        <f t="shared" si="9"/>
        <v/>
      </c>
      <c r="I105" s="18" t="str">
        <f>IF(OR(A105="",B105=""),"",IFERROR(LOOKUP(2,1/(单次交易!$A$2:$A$201=A105),单次交易!$H$2:$H$201),0)+SUMIFS($G$2:$G$1001,$A$2:$A$1001,A105,$B$2:$B$1001,"&lt;"&amp;B105))</f>
        <v/>
      </c>
      <c r="J105" s="17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17" t="str">
        <f t="shared" si="10"/>
        <v/>
      </c>
      <c r="L105" s="18" t="str">
        <f t="shared" si="11"/>
        <v/>
      </c>
      <c r="M105" s="18" t="str">
        <f t="shared" si="12"/>
        <v/>
      </c>
      <c r="N105" s="18" t="str">
        <f t="shared" si="13"/>
        <v/>
      </c>
      <c r="O105" s="18" t="str">
        <f t="shared" si="14"/>
        <v/>
      </c>
      <c r="P105" s="17" t="str">
        <f t="shared" si="15"/>
        <v/>
      </c>
      <c r="Q105" s="17" t="str">
        <f t="shared" si="16"/>
        <v/>
      </c>
      <c r="R105" s="19" t="str">
        <f t="shared" si="17"/>
        <v/>
      </c>
    </row>
    <row r="106" spans="1:18">
      <c r="A106" s="13"/>
      <c r="B106" s="14"/>
      <c r="C106" s="15"/>
      <c r="D106" s="16"/>
      <c r="E106" s="16"/>
      <c r="F106" s="16"/>
      <c r="G106" s="14"/>
      <c r="H106" s="17" t="str">
        <f t="shared" si="9"/>
        <v/>
      </c>
      <c r="I106" s="18" t="str">
        <f>IF(OR(A106="",B106=""),"",IFERROR(LOOKUP(2,1/(单次交易!$A$2:$A$201=A106),单次交易!$H$2:$H$201),0)+SUMIFS($G$2:$G$1001,$A$2:$A$1001,A106,$B$2:$B$1001,"&lt;"&amp;B106))</f>
        <v/>
      </c>
      <c r="J106" s="17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17" t="str">
        <f t="shared" si="10"/>
        <v/>
      </c>
      <c r="L106" s="18" t="str">
        <f t="shared" si="11"/>
        <v/>
      </c>
      <c r="M106" s="18" t="str">
        <f t="shared" si="12"/>
        <v/>
      </c>
      <c r="N106" s="18" t="str">
        <f t="shared" si="13"/>
        <v/>
      </c>
      <c r="O106" s="18" t="str">
        <f t="shared" si="14"/>
        <v/>
      </c>
      <c r="P106" s="17" t="str">
        <f t="shared" si="15"/>
        <v/>
      </c>
      <c r="Q106" s="17" t="str">
        <f t="shared" si="16"/>
        <v/>
      </c>
      <c r="R106" s="19" t="str">
        <f t="shared" si="17"/>
        <v/>
      </c>
    </row>
    <row r="107" spans="1:18">
      <c r="A107" s="13"/>
      <c r="B107" s="14"/>
      <c r="C107" s="15"/>
      <c r="D107" s="16"/>
      <c r="E107" s="16"/>
      <c r="F107" s="16"/>
      <c r="G107" s="14"/>
      <c r="H107" s="17" t="str">
        <f t="shared" si="9"/>
        <v/>
      </c>
      <c r="I107" s="18" t="str">
        <f>IF(OR(A107="",B107=""),"",IFERROR(LOOKUP(2,1/(单次交易!$A$2:$A$201=A107),单次交易!$H$2:$H$201),0)+SUMIFS($G$2:$G$1001,$A$2:$A$1001,A107,$B$2:$B$1001,"&lt;"&amp;B107))</f>
        <v/>
      </c>
      <c r="J107" s="17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17" t="str">
        <f t="shared" si="10"/>
        <v/>
      </c>
      <c r="L107" s="18" t="str">
        <f t="shared" si="11"/>
        <v/>
      </c>
      <c r="M107" s="18" t="str">
        <f t="shared" si="12"/>
        <v/>
      </c>
      <c r="N107" s="18" t="str">
        <f t="shared" si="13"/>
        <v/>
      </c>
      <c r="O107" s="18" t="str">
        <f t="shared" si="14"/>
        <v/>
      </c>
      <c r="P107" s="17" t="str">
        <f t="shared" si="15"/>
        <v/>
      </c>
      <c r="Q107" s="17" t="str">
        <f t="shared" si="16"/>
        <v/>
      </c>
      <c r="R107" s="19" t="str">
        <f t="shared" si="17"/>
        <v/>
      </c>
    </row>
    <row r="108" spans="1:18">
      <c r="A108" s="13"/>
      <c r="B108" s="14"/>
      <c r="C108" s="15"/>
      <c r="D108" s="16"/>
      <c r="E108" s="16"/>
      <c r="F108" s="16"/>
      <c r="G108" s="14"/>
      <c r="H108" s="17" t="str">
        <f t="shared" si="9"/>
        <v/>
      </c>
      <c r="I108" s="18" t="str">
        <f>IF(OR(A108="",B108=""),"",IFERROR(LOOKUP(2,1/(单次交易!$A$2:$A$201=A108),单次交易!$H$2:$H$201),0)+SUMIFS($G$2:$G$1001,$A$2:$A$1001,A108,$B$2:$B$1001,"&lt;"&amp;B108))</f>
        <v/>
      </c>
      <c r="J108" s="17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17" t="str">
        <f t="shared" si="10"/>
        <v/>
      </c>
      <c r="L108" s="18" t="str">
        <f t="shared" si="11"/>
        <v/>
      </c>
      <c r="M108" s="18" t="str">
        <f t="shared" si="12"/>
        <v/>
      </c>
      <c r="N108" s="18" t="str">
        <f t="shared" si="13"/>
        <v/>
      </c>
      <c r="O108" s="18" t="str">
        <f t="shared" si="14"/>
        <v/>
      </c>
      <c r="P108" s="17" t="str">
        <f t="shared" si="15"/>
        <v/>
      </c>
      <c r="Q108" s="17" t="str">
        <f t="shared" si="16"/>
        <v/>
      </c>
      <c r="R108" s="19" t="str">
        <f t="shared" si="17"/>
        <v/>
      </c>
    </row>
    <row r="109" spans="1:18">
      <c r="A109" s="13"/>
      <c r="B109" s="14"/>
      <c r="C109" s="15"/>
      <c r="D109" s="16"/>
      <c r="E109" s="16"/>
      <c r="F109" s="16"/>
      <c r="G109" s="14"/>
      <c r="H109" s="17" t="str">
        <f t="shared" si="9"/>
        <v/>
      </c>
      <c r="I109" s="18" t="str">
        <f>IF(OR(A109="",B109=""),"",IFERROR(LOOKUP(2,1/(单次交易!$A$2:$A$201=A109),单次交易!$H$2:$H$201),0)+SUMIFS($G$2:$G$1001,$A$2:$A$1001,A109,$B$2:$B$1001,"&lt;"&amp;B109))</f>
        <v/>
      </c>
      <c r="J109" s="17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17" t="str">
        <f t="shared" si="10"/>
        <v/>
      </c>
      <c r="L109" s="18" t="str">
        <f t="shared" si="11"/>
        <v/>
      </c>
      <c r="M109" s="18" t="str">
        <f t="shared" si="12"/>
        <v/>
      </c>
      <c r="N109" s="18" t="str">
        <f t="shared" si="13"/>
        <v/>
      </c>
      <c r="O109" s="18" t="str">
        <f t="shared" si="14"/>
        <v/>
      </c>
      <c r="P109" s="17" t="str">
        <f t="shared" si="15"/>
        <v/>
      </c>
      <c r="Q109" s="17" t="str">
        <f t="shared" si="16"/>
        <v/>
      </c>
      <c r="R109" s="19" t="str">
        <f t="shared" si="17"/>
        <v/>
      </c>
    </row>
    <row r="110" spans="1:18">
      <c r="A110" s="13"/>
      <c r="B110" s="14"/>
      <c r="C110" s="15"/>
      <c r="D110" s="16"/>
      <c r="E110" s="16"/>
      <c r="F110" s="16"/>
      <c r="G110" s="14"/>
      <c r="H110" s="17" t="str">
        <f t="shared" si="9"/>
        <v/>
      </c>
      <c r="I110" s="18" t="str">
        <f>IF(OR(A110="",B110=""),"",IFERROR(LOOKUP(2,1/(单次交易!$A$2:$A$201=A110),单次交易!$H$2:$H$201),0)+SUMIFS($G$2:$G$1001,$A$2:$A$1001,A110,$B$2:$B$1001,"&lt;"&amp;B110))</f>
        <v/>
      </c>
      <c r="J110" s="17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17" t="str">
        <f t="shared" si="10"/>
        <v/>
      </c>
      <c r="L110" s="18" t="str">
        <f t="shared" si="11"/>
        <v/>
      </c>
      <c r="M110" s="18" t="str">
        <f t="shared" si="12"/>
        <v/>
      </c>
      <c r="N110" s="18" t="str">
        <f t="shared" si="13"/>
        <v/>
      </c>
      <c r="O110" s="18" t="str">
        <f t="shared" si="14"/>
        <v/>
      </c>
      <c r="P110" s="17" t="str">
        <f t="shared" si="15"/>
        <v/>
      </c>
      <c r="Q110" s="17" t="str">
        <f t="shared" si="16"/>
        <v/>
      </c>
      <c r="R110" s="19" t="str">
        <f t="shared" si="17"/>
        <v/>
      </c>
    </row>
    <row r="111" spans="1:18">
      <c r="A111" s="13"/>
      <c r="B111" s="14"/>
      <c r="C111" s="15"/>
      <c r="D111" s="16"/>
      <c r="E111" s="16"/>
      <c r="F111" s="16"/>
      <c r="G111" s="14"/>
      <c r="H111" s="17" t="str">
        <f t="shared" si="9"/>
        <v/>
      </c>
      <c r="I111" s="18" t="str">
        <f>IF(OR(A111="",B111=""),"",IFERROR(LOOKUP(2,1/(单次交易!$A$2:$A$201=A111),单次交易!$H$2:$H$201),0)+SUMIFS($G$2:$G$1001,$A$2:$A$1001,A111,$B$2:$B$1001,"&lt;"&amp;B111))</f>
        <v/>
      </c>
      <c r="J111" s="17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17" t="str">
        <f t="shared" si="10"/>
        <v/>
      </c>
      <c r="L111" s="18" t="str">
        <f t="shared" si="11"/>
        <v/>
      </c>
      <c r="M111" s="18" t="str">
        <f t="shared" si="12"/>
        <v/>
      </c>
      <c r="N111" s="18" t="str">
        <f t="shared" si="13"/>
        <v/>
      </c>
      <c r="O111" s="18" t="str">
        <f t="shared" si="14"/>
        <v/>
      </c>
      <c r="P111" s="17" t="str">
        <f t="shared" si="15"/>
        <v/>
      </c>
      <c r="Q111" s="17" t="str">
        <f t="shared" si="16"/>
        <v/>
      </c>
      <c r="R111" s="19" t="str">
        <f t="shared" si="17"/>
        <v/>
      </c>
    </row>
    <row r="112" spans="1:18">
      <c r="A112" s="13"/>
      <c r="B112" s="14"/>
      <c r="C112" s="15"/>
      <c r="D112" s="16"/>
      <c r="E112" s="16"/>
      <c r="F112" s="16"/>
      <c r="G112" s="14"/>
      <c r="H112" s="17" t="str">
        <f t="shared" si="9"/>
        <v/>
      </c>
      <c r="I112" s="18" t="str">
        <f>IF(OR(A112="",B112=""),"",IFERROR(LOOKUP(2,1/(单次交易!$A$2:$A$201=A112),单次交易!$H$2:$H$201),0)+SUMIFS($G$2:$G$1001,$A$2:$A$1001,A112,$B$2:$B$1001,"&lt;"&amp;B112))</f>
        <v/>
      </c>
      <c r="J112" s="17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17" t="str">
        <f t="shared" si="10"/>
        <v/>
      </c>
      <c r="L112" s="18" t="str">
        <f t="shared" si="11"/>
        <v/>
      </c>
      <c r="M112" s="18" t="str">
        <f t="shared" si="12"/>
        <v/>
      </c>
      <c r="N112" s="18" t="str">
        <f t="shared" si="13"/>
        <v/>
      </c>
      <c r="O112" s="18" t="str">
        <f t="shared" si="14"/>
        <v/>
      </c>
      <c r="P112" s="17" t="str">
        <f t="shared" si="15"/>
        <v/>
      </c>
      <c r="Q112" s="17" t="str">
        <f t="shared" si="16"/>
        <v/>
      </c>
      <c r="R112" s="19" t="str">
        <f t="shared" si="17"/>
        <v/>
      </c>
    </row>
    <row r="113" spans="1:18">
      <c r="A113" s="13"/>
      <c r="B113" s="14"/>
      <c r="C113" s="15"/>
      <c r="D113" s="16"/>
      <c r="E113" s="16"/>
      <c r="F113" s="16"/>
      <c r="G113" s="14"/>
      <c r="H113" s="17" t="str">
        <f t="shared" si="9"/>
        <v/>
      </c>
      <c r="I113" s="18" t="str">
        <f>IF(OR(A113="",B113=""),"",IFERROR(LOOKUP(2,1/(单次交易!$A$2:$A$201=A113),单次交易!$H$2:$H$201),0)+SUMIFS($G$2:$G$1001,$A$2:$A$1001,A113,$B$2:$B$1001,"&lt;"&amp;B113))</f>
        <v/>
      </c>
      <c r="J113" s="17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17" t="str">
        <f t="shared" si="10"/>
        <v/>
      </c>
      <c r="L113" s="18" t="str">
        <f t="shared" si="11"/>
        <v/>
      </c>
      <c r="M113" s="18" t="str">
        <f t="shared" si="12"/>
        <v/>
      </c>
      <c r="N113" s="18" t="str">
        <f t="shared" si="13"/>
        <v/>
      </c>
      <c r="O113" s="18" t="str">
        <f t="shared" si="14"/>
        <v/>
      </c>
      <c r="P113" s="17" t="str">
        <f t="shared" si="15"/>
        <v/>
      </c>
      <c r="Q113" s="17" t="str">
        <f t="shared" si="16"/>
        <v/>
      </c>
      <c r="R113" s="19" t="str">
        <f t="shared" si="17"/>
        <v/>
      </c>
    </row>
    <row r="114" spans="1:18">
      <c r="A114" s="13"/>
      <c r="B114" s="14"/>
      <c r="C114" s="15"/>
      <c r="D114" s="16"/>
      <c r="E114" s="16"/>
      <c r="F114" s="16"/>
      <c r="G114" s="14"/>
      <c r="H114" s="17" t="str">
        <f t="shared" si="9"/>
        <v/>
      </c>
      <c r="I114" s="18" t="str">
        <f>IF(OR(A114="",B114=""),"",IFERROR(LOOKUP(2,1/(单次交易!$A$2:$A$201=A114),单次交易!$H$2:$H$201),0)+SUMIFS($G$2:$G$1001,$A$2:$A$1001,A114,$B$2:$B$1001,"&lt;"&amp;B114))</f>
        <v/>
      </c>
      <c r="J114" s="17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17" t="str">
        <f t="shared" si="10"/>
        <v/>
      </c>
      <c r="L114" s="18" t="str">
        <f t="shared" si="11"/>
        <v/>
      </c>
      <c r="M114" s="18" t="str">
        <f t="shared" si="12"/>
        <v/>
      </c>
      <c r="N114" s="18" t="str">
        <f t="shared" si="13"/>
        <v/>
      </c>
      <c r="O114" s="18" t="str">
        <f t="shared" si="14"/>
        <v/>
      </c>
      <c r="P114" s="17" t="str">
        <f t="shared" si="15"/>
        <v/>
      </c>
      <c r="Q114" s="17" t="str">
        <f t="shared" si="16"/>
        <v/>
      </c>
      <c r="R114" s="19" t="str">
        <f t="shared" si="17"/>
        <v/>
      </c>
    </row>
    <row r="115" spans="1:18">
      <c r="A115" s="13"/>
      <c r="B115" s="14"/>
      <c r="C115" s="15"/>
      <c r="D115" s="16"/>
      <c r="E115" s="16"/>
      <c r="F115" s="16"/>
      <c r="G115" s="14"/>
      <c r="H115" s="17" t="str">
        <f t="shared" si="9"/>
        <v/>
      </c>
      <c r="I115" s="18" t="str">
        <f>IF(OR(A115="",B115=""),"",IFERROR(LOOKUP(2,1/(单次交易!$A$2:$A$201=A115),单次交易!$H$2:$H$201),0)+SUMIFS($G$2:$G$1001,$A$2:$A$1001,A115,$B$2:$B$1001,"&lt;"&amp;B115))</f>
        <v/>
      </c>
      <c r="J115" s="17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17" t="str">
        <f t="shared" si="10"/>
        <v/>
      </c>
      <c r="L115" s="18" t="str">
        <f t="shared" si="11"/>
        <v/>
      </c>
      <c r="M115" s="18" t="str">
        <f t="shared" si="12"/>
        <v/>
      </c>
      <c r="N115" s="18" t="str">
        <f t="shared" si="13"/>
        <v/>
      </c>
      <c r="O115" s="18" t="str">
        <f t="shared" si="14"/>
        <v/>
      </c>
      <c r="P115" s="17" t="str">
        <f t="shared" si="15"/>
        <v/>
      </c>
      <c r="Q115" s="17" t="str">
        <f t="shared" si="16"/>
        <v/>
      </c>
      <c r="R115" s="19" t="str">
        <f t="shared" si="17"/>
        <v/>
      </c>
    </row>
    <row r="116" spans="1:18">
      <c r="A116" s="13"/>
      <c r="B116" s="14"/>
      <c r="C116" s="15"/>
      <c r="D116" s="16"/>
      <c r="E116" s="16"/>
      <c r="F116" s="16"/>
      <c r="G116" s="14"/>
      <c r="H116" s="17" t="str">
        <f t="shared" si="9"/>
        <v/>
      </c>
      <c r="I116" s="18" t="str">
        <f>IF(OR(A116="",B116=""),"",IFERROR(LOOKUP(2,1/(单次交易!$A$2:$A$201=A116),单次交易!$H$2:$H$201),0)+SUMIFS($G$2:$G$1001,$A$2:$A$1001,A116,$B$2:$B$1001,"&lt;"&amp;B116))</f>
        <v/>
      </c>
      <c r="J116" s="17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17" t="str">
        <f t="shared" si="10"/>
        <v/>
      </c>
      <c r="L116" s="18" t="str">
        <f t="shared" si="11"/>
        <v/>
      </c>
      <c r="M116" s="18" t="str">
        <f t="shared" si="12"/>
        <v/>
      </c>
      <c r="N116" s="18" t="str">
        <f t="shared" si="13"/>
        <v/>
      </c>
      <c r="O116" s="18" t="str">
        <f t="shared" si="14"/>
        <v/>
      </c>
      <c r="P116" s="17" t="str">
        <f t="shared" si="15"/>
        <v/>
      </c>
      <c r="Q116" s="17" t="str">
        <f t="shared" si="16"/>
        <v/>
      </c>
      <c r="R116" s="19" t="str">
        <f t="shared" si="17"/>
        <v/>
      </c>
    </row>
    <row r="117" spans="1:18">
      <c r="A117" s="13"/>
      <c r="B117" s="14"/>
      <c r="C117" s="15"/>
      <c r="D117" s="16"/>
      <c r="E117" s="16"/>
      <c r="F117" s="16"/>
      <c r="G117" s="14"/>
      <c r="H117" s="17" t="str">
        <f t="shared" si="9"/>
        <v/>
      </c>
      <c r="I117" s="18" t="str">
        <f>IF(OR(A117="",B117=""),"",IFERROR(LOOKUP(2,1/(单次交易!$A$2:$A$201=A117),单次交易!$H$2:$H$201),0)+SUMIFS($G$2:$G$1001,$A$2:$A$1001,A117,$B$2:$B$1001,"&lt;"&amp;B117))</f>
        <v/>
      </c>
      <c r="J117" s="17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17" t="str">
        <f t="shared" si="10"/>
        <v/>
      </c>
      <c r="L117" s="18" t="str">
        <f t="shared" si="11"/>
        <v/>
      </c>
      <c r="M117" s="18" t="str">
        <f t="shared" si="12"/>
        <v/>
      </c>
      <c r="N117" s="18" t="str">
        <f t="shared" si="13"/>
        <v/>
      </c>
      <c r="O117" s="18" t="str">
        <f t="shared" si="14"/>
        <v/>
      </c>
      <c r="P117" s="17" t="str">
        <f t="shared" si="15"/>
        <v/>
      </c>
      <c r="Q117" s="17" t="str">
        <f t="shared" si="16"/>
        <v/>
      </c>
      <c r="R117" s="19" t="str">
        <f t="shared" si="17"/>
        <v/>
      </c>
    </row>
    <row r="118" spans="1:18">
      <c r="A118" s="13"/>
      <c r="B118" s="14"/>
      <c r="C118" s="15"/>
      <c r="D118" s="16"/>
      <c r="E118" s="16"/>
      <c r="F118" s="16"/>
      <c r="G118" s="14"/>
      <c r="H118" s="17" t="str">
        <f t="shared" si="9"/>
        <v/>
      </c>
      <c r="I118" s="18" t="str">
        <f>IF(OR(A118="",B118=""),"",IFERROR(LOOKUP(2,1/(单次交易!$A$2:$A$201=A118),单次交易!$H$2:$H$201),0)+SUMIFS($G$2:$G$1001,$A$2:$A$1001,A118,$B$2:$B$1001,"&lt;"&amp;B118))</f>
        <v/>
      </c>
      <c r="J118" s="17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17" t="str">
        <f t="shared" si="10"/>
        <v/>
      </c>
      <c r="L118" s="18" t="str">
        <f t="shared" si="11"/>
        <v/>
      </c>
      <c r="M118" s="18" t="str">
        <f t="shared" si="12"/>
        <v/>
      </c>
      <c r="N118" s="18" t="str">
        <f t="shared" si="13"/>
        <v/>
      </c>
      <c r="O118" s="18" t="str">
        <f t="shared" si="14"/>
        <v/>
      </c>
      <c r="P118" s="17" t="str">
        <f t="shared" si="15"/>
        <v/>
      </c>
      <c r="Q118" s="17" t="str">
        <f t="shared" si="16"/>
        <v/>
      </c>
      <c r="R118" s="19" t="str">
        <f t="shared" si="17"/>
        <v/>
      </c>
    </row>
    <row r="119" spans="1:18">
      <c r="A119" s="13"/>
      <c r="B119" s="14"/>
      <c r="C119" s="15"/>
      <c r="D119" s="16"/>
      <c r="E119" s="16"/>
      <c r="F119" s="16"/>
      <c r="G119" s="14"/>
      <c r="H119" s="17" t="str">
        <f t="shared" si="9"/>
        <v/>
      </c>
      <c r="I119" s="18" t="str">
        <f>IF(OR(A119="",B119=""),"",IFERROR(LOOKUP(2,1/(单次交易!$A$2:$A$201=A119),单次交易!$H$2:$H$201),0)+SUMIFS($G$2:$G$1001,$A$2:$A$1001,A119,$B$2:$B$1001,"&lt;"&amp;B119))</f>
        <v/>
      </c>
      <c r="J119" s="17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17" t="str">
        <f t="shared" si="10"/>
        <v/>
      </c>
      <c r="L119" s="18" t="str">
        <f t="shared" si="11"/>
        <v/>
      </c>
      <c r="M119" s="18" t="str">
        <f t="shared" si="12"/>
        <v/>
      </c>
      <c r="N119" s="18" t="str">
        <f t="shared" si="13"/>
        <v/>
      </c>
      <c r="O119" s="18" t="str">
        <f t="shared" si="14"/>
        <v/>
      </c>
      <c r="P119" s="17" t="str">
        <f t="shared" si="15"/>
        <v/>
      </c>
      <c r="Q119" s="17" t="str">
        <f t="shared" si="16"/>
        <v/>
      </c>
      <c r="R119" s="19" t="str">
        <f t="shared" si="17"/>
        <v/>
      </c>
    </row>
    <row r="120" spans="1:18">
      <c r="A120" s="13"/>
      <c r="B120" s="14"/>
      <c r="C120" s="15"/>
      <c r="D120" s="16"/>
      <c r="E120" s="16"/>
      <c r="F120" s="16"/>
      <c r="G120" s="14"/>
      <c r="H120" s="17" t="str">
        <f t="shared" si="9"/>
        <v/>
      </c>
      <c r="I120" s="18" t="str">
        <f>IF(OR(A120="",B120=""),"",IFERROR(LOOKUP(2,1/(单次交易!$A$2:$A$201=A120),单次交易!$H$2:$H$201),0)+SUMIFS($G$2:$G$1001,$A$2:$A$1001,A120,$B$2:$B$1001,"&lt;"&amp;B120))</f>
        <v/>
      </c>
      <c r="J120" s="17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17" t="str">
        <f t="shared" si="10"/>
        <v/>
      </c>
      <c r="L120" s="18" t="str">
        <f t="shared" si="11"/>
        <v/>
      </c>
      <c r="M120" s="18" t="str">
        <f t="shared" si="12"/>
        <v/>
      </c>
      <c r="N120" s="18" t="str">
        <f t="shared" si="13"/>
        <v/>
      </c>
      <c r="O120" s="18" t="str">
        <f t="shared" si="14"/>
        <v/>
      </c>
      <c r="P120" s="17" t="str">
        <f t="shared" si="15"/>
        <v/>
      </c>
      <c r="Q120" s="17" t="str">
        <f t="shared" si="16"/>
        <v/>
      </c>
      <c r="R120" s="19" t="str">
        <f t="shared" si="17"/>
        <v/>
      </c>
    </row>
    <row r="121" spans="1:18">
      <c r="A121" s="13"/>
      <c r="B121" s="14"/>
      <c r="C121" s="15"/>
      <c r="D121" s="16"/>
      <c r="E121" s="16"/>
      <c r="F121" s="16"/>
      <c r="G121" s="14"/>
      <c r="H121" s="17" t="str">
        <f t="shared" si="9"/>
        <v/>
      </c>
      <c r="I121" s="18" t="str">
        <f>IF(OR(A121="",B121=""),"",IFERROR(LOOKUP(2,1/(单次交易!$A$2:$A$201=A121),单次交易!$H$2:$H$201),0)+SUMIFS($G$2:$G$1001,$A$2:$A$1001,A121,$B$2:$B$1001,"&lt;"&amp;B121))</f>
        <v/>
      </c>
      <c r="J121" s="17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17" t="str">
        <f t="shared" si="10"/>
        <v/>
      </c>
      <c r="L121" s="18" t="str">
        <f t="shared" si="11"/>
        <v/>
      </c>
      <c r="M121" s="18" t="str">
        <f t="shared" si="12"/>
        <v/>
      </c>
      <c r="N121" s="18" t="str">
        <f t="shared" si="13"/>
        <v/>
      </c>
      <c r="O121" s="18" t="str">
        <f t="shared" si="14"/>
        <v/>
      </c>
      <c r="P121" s="17" t="str">
        <f t="shared" si="15"/>
        <v/>
      </c>
      <c r="Q121" s="17" t="str">
        <f t="shared" si="16"/>
        <v/>
      </c>
      <c r="R121" s="19" t="str">
        <f t="shared" si="17"/>
        <v/>
      </c>
    </row>
    <row r="122" spans="1:18">
      <c r="A122" s="13"/>
      <c r="B122" s="14"/>
      <c r="C122" s="15"/>
      <c r="D122" s="16"/>
      <c r="E122" s="16"/>
      <c r="F122" s="16"/>
      <c r="G122" s="14"/>
      <c r="H122" s="17" t="str">
        <f t="shared" si="9"/>
        <v/>
      </c>
      <c r="I122" s="18" t="str">
        <f>IF(OR(A122="",B122=""),"",IFERROR(LOOKUP(2,1/(单次交易!$A$2:$A$201=A122),单次交易!$H$2:$H$201),0)+SUMIFS($G$2:$G$1001,$A$2:$A$1001,A122,$B$2:$B$1001,"&lt;"&amp;B122))</f>
        <v/>
      </c>
      <c r="J122" s="17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17" t="str">
        <f t="shared" si="10"/>
        <v/>
      </c>
      <c r="L122" s="18" t="str">
        <f t="shared" si="11"/>
        <v/>
      </c>
      <c r="M122" s="18" t="str">
        <f t="shared" si="12"/>
        <v/>
      </c>
      <c r="N122" s="18" t="str">
        <f t="shared" si="13"/>
        <v/>
      </c>
      <c r="O122" s="18" t="str">
        <f t="shared" si="14"/>
        <v/>
      </c>
      <c r="P122" s="17" t="str">
        <f t="shared" si="15"/>
        <v/>
      </c>
      <c r="Q122" s="17" t="str">
        <f t="shared" si="16"/>
        <v/>
      </c>
      <c r="R122" s="19" t="str">
        <f t="shared" si="17"/>
        <v/>
      </c>
    </row>
    <row r="123" spans="1:18">
      <c r="A123" s="13"/>
      <c r="B123" s="14"/>
      <c r="C123" s="15"/>
      <c r="D123" s="16"/>
      <c r="E123" s="16"/>
      <c r="F123" s="16"/>
      <c r="G123" s="14"/>
      <c r="H123" s="17" t="str">
        <f t="shared" si="9"/>
        <v/>
      </c>
      <c r="I123" s="18" t="str">
        <f>IF(OR(A123="",B123=""),"",IFERROR(LOOKUP(2,1/(单次交易!$A$2:$A$201=A123),单次交易!$H$2:$H$201),0)+SUMIFS($G$2:$G$1001,$A$2:$A$1001,A123,$B$2:$B$1001,"&lt;"&amp;B123))</f>
        <v/>
      </c>
      <c r="J123" s="17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17" t="str">
        <f t="shared" si="10"/>
        <v/>
      </c>
      <c r="L123" s="18" t="str">
        <f t="shared" si="11"/>
        <v/>
      </c>
      <c r="M123" s="18" t="str">
        <f t="shared" si="12"/>
        <v/>
      </c>
      <c r="N123" s="18" t="str">
        <f t="shared" si="13"/>
        <v/>
      </c>
      <c r="O123" s="18" t="str">
        <f t="shared" si="14"/>
        <v/>
      </c>
      <c r="P123" s="17" t="str">
        <f t="shared" si="15"/>
        <v/>
      </c>
      <c r="Q123" s="17" t="str">
        <f t="shared" si="16"/>
        <v/>
      </c>
      <c r="R123" s="19" t="str">
        <f t="shared" si="17"/>
        <v/>
      </c>
    </row>
    <row r="124" spans="1:18">
      <c r="A124" s="13"/>
      <c r="B124" s="14"/>
      <c r="C124" s="15"/>
      <c r="D124" s="16"/>
      <c r="E124" s="16"/>
      <c r="F124" s="16"/>
      <c r="G124" s="14"/>
      <c r="H124" s="17" t="str">
        <f t="shared" si="9"/>
        <v/>
      </c>
      <c r="I124" s="18" t="str">
        <f>IF(OR(A124="",B124=""),"",IFERROR(LOOKUP(2,1/(单次交易!$A$2:$A$201=A124),单次交易!$H$2:$H$201),0)+SUMIFS($G$2:$G$1001,$A$2:$A$1001,A124,$B$2:$B$1001,"&lt;"&amp;B124))</f>
        <v/>
      </c>
      <c r="J124" s="17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17" t="str">
        <f t="shared" si="10"/>
        <v/>
      </c>
      <c r="L124" s="18" t="str">
        <f t="shared" si="11"/>
        <v/>
      </c>
      <c r="M124" s="18" t="str">
        <f t="shared" si="12"/>
        <v/>
      </c>
      <c r="N124" s="18" t="str">
        <f t="shared" si="13"/>
        <v/>
      </c>
      <c r="O124" s="18" t="str">
        <f t="shared" si="14"/>
        <v/>
      </c>
      <c r="P124" s="17" t="str">
        <f t="shared" si="15"/>
        <v/>
      </c>
      <c r="Q124" s="17" t="str">
        <f t="shared" si="16"/>
        <v/>
      </c>
      <c r="R124" s="19" t="str">
        <f t="shared" si="17"/>
        <v/>
      </c>
    </row>
    <row r="125" spans="1:18">
      <c r="A125" s="13"/>
      <c r="B125" s="14"/>
      <c r="C125" s="15"/>
      <c r="D125" s="16"/>
      <c r="E125" s="16"/>
      <c r="F125" s="16"/>
      <c r="G125" s="14"/>
      <c r="H125" s="17" t="str">
        <f t="shared" si="9"/>
        <v/>
      </c>
      <c r="I125" s="18" t="str">
        <f>IF(OR(A125="",B125=""),"",IFERROR(LOOKUP(2,1/(单次交易!$A$2:$A$201=A125),单次交易!$H$2:$H$201),0)+SUMIFS($G$2:$G$1001,$A$2:$A$1001,A125,$B$2:$B$1001,"&lt;"&amp;B125))</f>
        <v/>
      </c>
      <c r="J125" s="17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17" t="str">
        <f t="shared" si="10"/>
        <v/>
      </c>
      <c r="L125" s="18" t="str">
        <f t="shared" si="11"/>
        <v/>
      </c>
      <c r="M125" s="18" t="str">
        <f t="shared" si="12"/>
        <v/>
      </c>
      <c r="N125" s="18" t="str">
        <f t="shared" si="13"/>
        <v/>
      </c>
      <c r="O125" s="18" t="str">
        <f t="shared" si="14"/>
        <v/>
      </c>
      <c r="P125" s="17" t="str">
        <f t="shared" si="15"/>
        <v/>
      </c>
      <c r="Q125" s="17" t="str">
        <f t="shared" si="16"/>
        <v/>
      </c>
      <c r="R125" s="19" t="str">
        <f t="shared" si="17"/>
        <v/>
      </c>
    </row>
    <row r="126" spans="1:18">
      <c r="A126" s="13"/>
      <c r="B126" s="14"/>
      <c r="C126" s="15"/>
      <c r="D126" s="16"/>
      <c r="E126" s="16"/>
      <c r="F126" s="16"/>
      <c r="G126" s="14"/>
      <c r="H126" s="17" t="str">
        <f t="shared" si="9"/>
        <v/>
      </c>
      <c r="I126" s="18" t="str">
        <f>IF(OR(A126="",B126=""),"",IFERROR(LOOKUP(2,1/(单次交易!$A$2:$A$201=A126),单次交易!$H$2:$H$201),0)+SUMIFS($G$2:$G$1001,$A$2:$A$1001,A126,$B$2:$B$1001,"&lt;"&amp;B126))</f>
        <v/>
      </c>
      <c r="J126" s="17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17" t="str">
        <f t="shared" si="10"/>
        <v/>
      </c>
      <c r="L126" s="18" t="str">
        <f t="shared" si="11"/>
        <v/>
      </c>
      <c r="M126" s="18" t="str">
        <f t="shared" si="12"/>
        <v/>
      </c>
      <c r="N126" s="18" t="str">
        <f t="shared" si="13"/>
        <v/>
      </c>
      <c r="O126" s="18" t="str">
        <f t="shared" si="14"/>
        <v/>
      </c>
      <c r="P126" s="17" t="str">
        <f t="shared" si="15"/>
        <v/>
      </c>
      <c r="Q126" s="17" t="str">
        <f t="shared" si="16"/>
        <v/>
      </c>
      <c r="R126" s="19" t="str">
        <f t="shared" si="17"/>
        <v/>
      </c>
    </row>
    <row r="127" spans="1:18">
      <c r="A127" s="13"/>
      <c r="B127" s="14"/>
      <c r="C127" s="15"/>
      <c r="D127" s="16"/>
      <c r="E127" s="16"/>
      <c r="F127" s="16"/>
      <c r="G127" s="14"/>
      <c r="H127" s="17" t="str">
        <f t="shared" si="9"/>
        <v/>
      </c>
      <c r="I127" s="18" t="str">
        <f>IF(OR(A127="",B127=""),"",IFERROR(LOOKUP(2,1/(单次交易!$A$2:$A$201=A127),单次交易!$H$2:$H$201),0)+SUMIFS($G$2:$G$1001,$A$2:$A$1001,A127,$B$2:$B$1001,"&lt;"&amp;B127))</f>
        <v/>
      </c>
      <c r="J127" s="17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17" t="str">
        <f t="shared" si="10"/>
        <v/>
      </c>
      <c r="L127" s="18" t="str">
        <f t="shared" si="11"/>
        <v/>
      </c>
      <c r="M127" s="18" t="str">
        <f t="shared" si="12"/>
        <v/>
      </c>
      <c r="N127" s="18" t="str">
        <f t="shared" si="13"/>
        <v/>
      </c>
      <c r="O127" s="18" t="str">
        <f t="shared" si="14"/>
        <v/>
      </c>
      <c r="P127" s="17" t="str">
        <f t="shared" si="15"/>
        <v/>
      </c>
      <c r="Q127" s="17" t="str">
        <f t="shared" si="16"/>
        <v/>
      </c>
      <c r="R127" s="19" t="str">
        <f t="shared" si="17"/>
        <v/>
      </c>
    </row>
    <row r="128" spans="1:18">
      <c r="A128" s="13"/>
      <c r="B128" s="14"/>
      <c r="C128" s="15"/>
      <c r="D128" s="16"/>
      <c r="E128" s="16"/>
      <c r="F128" s="16"/>
      <c r="G128" s="14"/>
      <c r="H128" s="17" t="str">
        <f t="shared" si="9"/>
        <v/>
      </c>
      <c r="I128" s="18" t="str">
        <f>IF(OR(A128="",B128=""),"",IFERROR(LOOKUP(2,1/(单次交易!$A$2:$A$201=A128),单次交易!$H$2:$H$201),0)+SUMIFS($G$2:$G$1001,$A$2:$A$1001,A128,$B$2:$B$1001,"&lt;"&amp;B128))</f>
        <v/>
      </c>
      <c r="J128" s="17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17" t="str">
        <f t="shared" si="10"/>
        <v/>
      </c>
      <c r="L128" s="18" t="str">
        <f t="shared" si="11"/>
        <v/>
      </c>
      <c r="M128" s="18" t="str">
        <f t="shared" si="12"/>
        <v/>
      </c>
      <c r="N128" s="18" t="str">
        <f t="shared" si="13"/>
        <v/>
      </c>
      <c r="O128" s="18" t="str">
        <f t="shared" si="14"/>
        <v/>
      </c>
      <c r="P128" s="17" t="str">
        <f t="shared" si="15"/>
        <v/>
      </c>
      <c r="Q128" s="17" t="str">
        <f t="shared" si="16"/>
        <v/>
      </c>
      <c r="R128" s="19" t="str">
        <f t="shared" si="17"/>
        <v/>
      </c>
    </row>
    <row r="129" spans="1:18">
      <c r="A129" s="13"/>
      <c r="B129" s="14"/>
      <c r="C129" s="15"/>
      <c r="D129" s="16"/>
      <c r="E129" s="16"/>
      <c r="F129" s="16"/>
      <c r="G129" s="14"/>
      <c r="H129" s="17" t="str">
        <f t="shared" si="9"/>
        <v/>
      </c>
      <c r="I129" s="18" t="str">
        <f>IF(OR(A129="",B129=""),"",IFERROR(LOOKUP(2,1/(单次交易!$A$2:$A$201=A129),单次交易!$H$2:$H$201),0)+SUMIFS($G$2:$G$1001,$A$2:$A$1001,A129,$B$2:$B$1001,"&lt;"&amp;B129))</f>
        <v/>
      </c>
      <c r="J129" s="17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17" t="str">
        <f t="shared" si="10"/>
        <v/>
      </c>
      <c r="L129" s="18" t="str">
        <f t="shared" si="11"/>
        <v/>
      </c>
      <c r="M129" s="18" t="str">
        <f t="shared" si="12"/>
        <v/>
      </c>
      <c r="N129" s="18" t="str">
        <f t="shared" si="13"/>
        <v/>
      </c>
      <c r="O129" s="18" t="str">
        <f t="shared" si="14"/>
        <v/>
      </c>
      <c r="P129" s="17" t="str">
        <f t="shared" si="15"/>
        <v/>
      </c>
      <c r="Q129" s="17" t="str">
        <f t="shared" si="16"/>
        <v/>
      </c>
      <c r="R129" s="19" t="str">
        <f t="shared" si="17"/>
        <v/>
      </c>
    </row>
    <row r="130" spans="1:18">
      <c r="A130" s="13"/>
      <c r="B130" s="14"/>
      <c r="C130" s="15"/>
      <c r="D130" s="16"/>
      <c r="E130" s="16"/>
      <c r="F130" s="16"/>
      <c r="G130" s="14"/>
      <c r="H130" s="17" t="str">
        <f t="shared" ref="H130:H193" si="18">IF(OR(A130="",D130="",G130=""),"",D130*G130)</f>
        <v/>
      </c>
      <c r="I130" s="18" t="str">
        <f>IF(OR(A130="",B130=""),"",IFERROR(LOOKUP(2,1/(单次交易!$A$2:$A$201=A130),单次交易!$H$2:$H$201),0)+SUMIFS($G$2:$G$1001,$A$2:$A$1001,A130,$B$2:$B$1001,"&lt;"&amp;B130))</f>
        <v/>
      </c>
      <c r="J130" s="17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17" t="str">
        <f t="shared" ref="K130:K193" si="19">IF(OR(E130="",I130="",J130=""),"",MAX(E130*I130-J130,0))</f>
        <v/>
      </c>
      <c r="L130" s="18" t="str">
        <f t="shared" ref="L130:L193" si="20">IF(OR(D130="",E130="",F130="",D130&lt;=E130),"",FLOOR((F130+K130)/(D130-E130),100))</f>
        <v/>
      </c>
      <c r="M130" s="18" t="str">
        <f t="shared" ref="M130:M193" si="21">IF(OR(A130="",B130="",L130=""),"",IF(B130=1,L130,IFERROR(SUMIFS($G$2:$G$1001,$A$2:$A$1001,A130,$B$2:$B$1001,B130-1),0)))</f>
        <v/>
      </c>
      <c r="N130" s="18" t="str">
        <f t="shared" ref="N130:N193" si="22">IF(OR(L130="",M130=""),"",MIN(L130,M130))</f>
        <v/>
      </c>
      <c r="O130" s="18" t="str">
        <f t="shared" ref="O130:O193" si="23">IF(OR(I130="",G130=""),"",I130+G130)</f>
        <v/>
      </c>
      <c r="P130" s="17" t="str">
        <f t="shared" ref="P130:P193" si="24">IF(OR(O130="",O130=0),"",(J130+H130)/O130)</f>
        <v/>
      </c>
      <c r="Q130" s="17" t="str">
        <f t="shared" ref="Q130:Q193" si="25">IF(OR(O130="",E130=""),"",MAX(J130+H130-E130*O130,0))</f>
        <v/>
      </c>
      <c r="R130" s="19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3"/>
      <c r="B131" s="14"/>
      <c r="C131" s="15"/>
      <c r="D131" s="16"/>
      <c r="E131" s="16"/>
      <c r="F131" s="16"/>
      <c r="G131" s="14"/>
      <c r="H131" s="17" t="str">
        <f t="shared" si="18"/>
        <v/>
      </c>
      <c r="I131" s="18" t="str">
        <f>IF(OR(A131="",B131=""),"",IFERROR(LOOKUP(2,1/(单次交易!$A$2:$A$201=A131),单次交易!$H$2:$H$201),0)+SUMIFS($G$2:$G$1001,$A$2:$A$1001,A131,$B$2:$B$1001,"&lt;"&amp;B131))</f>
        <v/>
      </c>
      <c r="J131" s="17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17" t="str">
        <f t="shared" si="19"/>
        <v/>
      </c>
      <c r="L131" s="18" t="str">
        <f t="shared" si="20"/>
        <v/>
      </c>
      <c r="M131" s="18" t="str">
        <f t="shared" si="21"/>
        <v/>
      </c>
      <c r="N131" s="18" t="str">
        <f t="shared" si="22"/>
        <v/>
      </c>
      <c r="O131" s="18" t="str">
        <f t="shared" si="23"/>
        <v/>
      </c>
      <c r="P131" s="17" t="str">
        <f t="shared" si="24"/>
        <v/>
      </c>
      <c r="Q131" s="17" t="str">
        <f t="shared" si="25"/>
        <v/>
      </c>
      <c r="R131" s="19" t="str">
        <f t="shared" si="26"/>
        <v/>
      </c>
    </row>
    <row r="132" spans="1:18">
      <c r="A132" s="13"/>
      <c r="B132" s="14"/>
      <c r="C132" s="15"/>
      <c r="D132" s="16"/>
      <c r="E132" s="16"/>
      <c r="F132" s="16"/>
      <c r="G132" s="14"/>
      <c r="H132" s="17" t="str">
        <f t="shared" si="18"/>
        <v/>
      </c>
      <c r="I132" s="18" t="str">
        <f>IF(OR(A132="",B132=""),"",IFERROR(LOOKUP(2,1/(单次交易!$A$2:$A$201=A132),单次交易!$H$2:$H$201),0)+SUMIFS($G$2:$G$1001,$A$2:$A$1001,A132,$B$2:$B$1001,"&lt;"&amp;B132))</f>
        <v/>
      </c>
      <c r="J132" s="17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7" t="str">
        <f t="shared" si="19"/>
        <v/>
      </c>
      <c r="L132" s="18" t="str">
        <f t="shared" si="20"/>
        <v/>
      </c>
      <c r="M132" s="18" t="str">
        <f t="shared" si="21"/>
        <v/>
      </c>
      <c r="N132" s="18" t="str">
        <f t="shared" si="22"/>
        <v/>
      </c>
      <c r="O132" s="18" t="str">
        <f t="shared" si="23"/>
        <v/>
      </c>
      <c r="P132" s="17" t="str">
        <f t="shared" si="24"/>
        <v/>
      </c>
      <c r="Q132" s="17" t="str">
        <f t="shared" si="25"/>
        <v/>
      </c>
      <c r="R132" s="19" t="str">
        <f t="shared" si="26"/>
        <v/>
      </c>
    </row>
    <row r="133" spans="1:18">
      <c r="A133" s="13"/>
      <c r="B133" s="14"/>
      <c r="C133" s="15"/>
      <c r="D133" s="16"/>
      <c r="E133" s="16"/>
      <c r="F133" s="16"/>
      <c r="G133" s="14"/>
      <c r="H133" s="17" t="str">
        <f t="shared" si="18"/>
        <v/>
      </c>
      <c r="I133" s="18" t="str">
        <f>IF(OR(A133="",B133=""),"",IFERROR(LOOKUP(2,1/(单次交易!$A$2:$A$201=A133),单次交易!$H$2:$H$201),0)+SUMIFS($G$2:$G$1001,$A$2:$A$1001,A133,$B$2:$B$1001,"&lt;"&amp;B133))</f>
        <v/>
      </c>
      <c r="J133" s="17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7" t="str">
        <f t="shared" si="19"/>
        <v/>
      </c>
      <c r="L133" s="18" t="str">
        <f t="shared" si="20"/>
        <v/>
      </c>
      <c r="M133" s="18" t="str">
        <f t="shared" si="21"/>
        <v/>
      </c>
      <c r="N133" s="18" t="str">
        <f t="shared" si="22"/>
        <v/>
      </c>
      <c r="O133" s="18" t="str">
        <f t="shared" si="23"/>
        <v/>
      </c>
      <c r="P133" s="17" t="str">
        <f t="shared" si="24"/>
        <v/>
      </c>
      <c r="Q133" s="17" t="str">
        <f t="shared" si="25"/>
        <v/>
      </c>
      <c r="R133" s="19" t="str">
        <f t="shared" si="26"/>
        <v/>
      </c>
    </row>
    <row r="134" spans="1:18">
      <c r="A134" s="13"/>
      <c r="B134" s="14"/>
      <c r="C134" s="15"/>
      <c r="D134" s="16"/>
      <c r="E134" s="16"/>
      <c r="F134" s="16"/>
      <c r="G134" s="14"/>
      <c r="H134" s="17" t="str">
        <f t="shared" si="18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9"/>
        <v/>
      </c>
      <c r="L134" s="18" t="str">
        <f t="shared" si="20"/>
        <v/>
      </c>
      <c r="M134" s="18" t="str">
        <f t="shared" si="21"/>
        <v/>
      </c>
      <c r="N134" s="18" t="str">
        <f t="shared" si="22"/>
        <v/>
      </c>
      <c r="O134" s="18" t="str">
        <f t="shared" si="23"/>
        <v/>
      </c>
      <c r="P134" s="17" t="str">
        <f t="shared" si="24"/>
        <v/>
      </c>
      <c r="Q134" s="17" t="str">
        <f t="shared" si="25"/>
        <v/>
      </c>
      <c r="R134" s="19" t="str">
        <f t="shared" si="26"/>
        <v/>
      </c>
    </row>
    <row r="135" spans="1:18">
      <c r="A135" s="13"/>
      <c r="B135" s="14"/>
      <c r="C135" s="15"/>
      <c r="D135" s="16"/>
      <c r="E135" s="16"/>
      <c r="F135" s="16"/>
      <c r="G135" s="14"/>
      <c r="H135" s="17" t="str">
        <f t="shared" si="18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9"/>
        <v/>
      </c>
      <c r="L135" s="18" t="str">
        <f t="shared" si="20"/>
        <v/>
      </c>
      <c r="M135" s="18" t="str">
        <f t="shared" si="21"/>
        <v/>
      </c>
      <c r="N135" s="18" t="str">
        <f t="shared" si="22"/>
        <v/>
      </c>
      <c r="O135" s="18" t="str">
        <f t="shared" si="23"/>
        <v/>
      </c>
      <c r="P135" s="17" t="str">
        <f t="shared" si="24"/>
        <v/>
      </c>
      <c r="Q135" s="17" t="str">
        <f t="shared" si="25"/>
        <v/>
      </c>
      <c r="R135" s="19" t="str">
        <f t="shared" si="26"/>
        <v/>
      </c>
    </row>
    <row r="136" spans="1:18">
      <c r="A136" s="13"/>
      <c r="B136" s="14"/>
      <c r="C136" s="15"/>
      <c r="D136" s="16"/>
      <c r="E136" s="16"/>
      <c r="F136" s="16"/>
      <c r="G136" s="14"/>
      <c r="H136" s="17" t="str">
        <f t="shared" si="18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9"/>
        <v/>
      </c>
      <c r="L136" s="18" t="str">
        <f t="shared" si="20"/>
        <v/>
      </c>
      <c r="M136" s="18" t="str">
        <f t="shared" si="21"/>
        <v/>
      </c>
      <c r="N136" s="18" t="str">
        <f t="shared" si="22"/>
        <v/>
      </c>
      <c r="O136" s="18" t="str">
        <f t="shared" si="23"/>
        <v/>
      </c>
      <c r="P136" s="17" t="str">
        <f t="shared" si="24"/>
        <v/>
      </c>
      <c r="Q136" s="17" t="str">
        <f t="shared" si="25"/>
        <v/>
      </c>
      <c r="R136" s="19" t="str">
        <f t="shared" si="26"/>
        <v/>
      </c>
    </row>
    <row r="137" spans="1:18">
      <c r="A137" s="13"/>
      <c r="B137" s="14"/>
      <c r="C137" s="15"/>
      <c r="D137" s="16"/>
      <c r="E137" s="16"/>
      <c r="F137" s="16"/>
      <c r="G137" s="14"/>
      <c r="H137" s="17" t="str">
        <f t="shared" si="18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9"/>
        <v/>
      </c>
      <c r="L137" s="18" t="str">
        <f t="shared" si="20"/>
        <v/>
      </c>
      <c r="M137" s="18" t="str">
        <f t="shared" si="21"/>
        <v/>
      </c>
      <c r="N137" s="18" t="str">
        <f t="shared" si="22"/>
        <v/>
      </c>
      <c r="O137" s="18" t="str">
        <f t="shared" si="23"/>
        <v/>
      </c>
      <c r="P137" s="17" t="str">
        <f t="shared" si="24"/>
        <v/>
      </c>
      <c r="Q137" s="17" t="str">
        <f t="shared" si="25"/>
        <v/>
      </c>
      <c r="R137" s="19" t="str">
        <f t="shared" si="26"/>
        <v/>
      </c>
    </row>
    <row r="138" spans="1:18">
      <c r="A138" s="13"/>
      <c r="B138" s="14"/>
      <c r="C138" s="15"/>
      <c r="D138" s="16"/>
      <c r="E138" s="16"/>
      <c r="F138" s="16"/>
      <c r="G138" s="14"/>
      <c r="H138" s="17" t="str">
        <f t="shared" si="18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9"/>
        <v/>
      </c>
      <c r="L138" s="18" t="str">
        <f t="shared" si="20"/>
        <v/>
      </c>
      <c r="M138" s="18" t="str">
        <f t="shared" si="21"/>
        <v/>
      </c>
      <c r="N138" s="18" t="str">
        <f t="shared" si="22"/>
        <v/>
      </c>
      <c r="O138" s="18" t="str">
        <f t="shared" si="23"/>
        <v/>
      </c>
      <c r="P138" s="17" t="str">
        <f t="shared" si="24"/>
        <v/>
      </c>
      <c r="Q138" s="17" t="str">
        <f t="shared" si="25"/>
        <v/>
      </c>
      <c r="R138" s="19" t="str">
        <f t="shared" si="26"/>
        <v/>
      </c>
    </row>
    <row r="139" spans="1:18">
      <c r="A139" s="13"/>
      <c r="B139" s="14"/>
      <c r="C139" s="15"/>
      <c r="D139" s="16"/>
      <c r="E139" s="16"/>
      <c r="F139" s="16"/>
      <c r="G139" s="14"/>
      <c r="H139" s="17" t="str">
        <f t="shared" si="18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9"/>
        <v/>
      </c>
      <c r="L139" s="18" t="str">
        <f t="shared" si="20"/>
        <v/>
      </c>
      <c r="M139" s="18" t="str">
        <f t="shared" si="21"/>
        <v/>
      </c>
      <c r="N139" s="18" t="str">
        <f t="shared" si="22"/>
        <v/>
      </c>
      <c r="O139" s="18" t="str">
        <f t="shared" si="23"/>
        <v/>
      </c>
      <c r="P139" s="17" t="str">
        <f t="shared" si="24"/>
        <v/>
      </c>
      <c r="Q139" s="17" t="str">
        <f t="shared" si="25"/>
        <v/>
      </c>
      <c r="R139" s="19" t="str">
        <f t="shared" si="26"/>
        <v/>
      </c>
    </row>
    <row r="140" spans="1:18">
      <c r="A140" s="13"/>
      <c r="B140" s="14"/>
      <c r="C140" s="15"/>
      <c r="D140" s="16"/>
      <c r="E140" s="16"/>
      <c r="F140" s="16"/>
      <c r="G140" s="14"/>
      <c r="H140" s="17" t="str">
        <f t="shared" si="18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9"/>
        <v/>
      </c>
      <c r="L140" s="18" t="str">
        <f t="shared" si="20"/>
        <v/>
      </c>
      <c r="M140" s="18" t="str">
        <f t="shared" si="21"/>
        <v/>
      </c>
      <c r="N140" s="18" t="str">
        <f t="shared" si="22"/>
        <v/>
      </c>
      <c r="O140" s="18" t="str">
        <f t="shared" si="23"/>
        <v/>
      </c>
      <c r="P140" s="17" t="str">
        <f t="shared" si="24"/>
        <v/>
      </c>
      <c r="Q140" s="17" t="str">
        <f t="shared" si="25"/>
        <v/>
      </c>
      <c r="R140" s="19" t="str">
        <f t="shared" si="26"/>
        <v/>
      </c>
    </row>
    <row r="141" spans="1:18">
      <c r="A141" s="13"/>
      <c r="B141" s="14"/>
      <c r="C141" s="15"/>
      <c r="D141" s="16"/>
      <c r="E141" s="16"/>
      <c r="F141" s="16"/>
      <c r="G141" s="14"/>
      <c r="H141" s="17" t="str">
        <f t="shared" si="18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9"/>
        <v/>
      </c>
      <c r="L141" s="18" t="str">
        <f t="shared" si="20"/>
        <v/>
      </c>
      <c r="M141" s="18" t="str">
        <f t="shared" si="21"/>
        <v/>
      </c>
      <c r="N141" s="18" t="str">
        <f t="shared" si="22"/>
        <v/>
      </c>
      <c r="O141" s="18" t="str">
        <f t="shared" si="23"/>
        <v/>
      </c>
      <c r="P141" s="17" t="str">
        <f t="shared" si="24"/>
        <v/>
      </c>
      <c r="Q141" s="17" t="str">
        <f t="shared" si="25"/>
        <v/>
      </c>
      <c r="R141" s="19" t="str">
        <f t="shared" si="26"/>
        <v/>
      </c>
    </row>
    <row r="142" spans="1:18">
      <c r="A142" s="13"/>
      <c r="B142" s="14"/>
      <c r="C142" s="15"/>
      <c r="D142" s="16"/>
      <c r="E142" s="16"/>
      <c r="F142" s="16"/>
      <c r="G142" s="14"/>
      <c r="H142" s="17" t="str">
        <f t="shared" si="18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9"/>
        <v/>
      </c>
      <c r="L142" s="18" t="str">
        <f t="shared" si="20"/>
        <v/>
      </c>
      <c r="M142" s="18" t="str">
        <f t="shared" si="21"/>
        <v/>
      </c>
      <c r="N142" s="18" t="str">
        <f t="shared" si="22"/>
        <v/>
      </c>
      <c r="O142" s="18" t="str">
        <f t="shared" si="23"/>
        <v/>
      </c>
      <c r="P142" s="17" t="str">
        <f t="shared" si="24"/>
        <v/>
      </c>
      <c r="Q142" s="17" t="str">
        <f t="shared" si="25"/>
        <v/>
      </c>
      <c r="R142" s="19" t="str">
        <f t="shared" si="26"/>
        <v/>
      </c>
    </row>
    <row r="143" spans="1:18">
      <c r="A143" s="13"/>
      <c r="B143" s="14"/>
      <c r="C143" s="15"/>
      <c r="D143" s="16"/>
      <c r="E143" s="16"/>
      <c r="F143" s="16"/>
      <c r="G143" s="14"/>
      <c r="H143" s="17" t="str">
        <f t="shared" si="18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9"/>
        <v/>
      </c>
      <c r="L143" s="18" t="str">
        <f t="shared" si="20"/>
        <v/>
      </c>
      <c r="M143" s="18" t="str">
        <f t="shared" si="21"/>
        <v/>
      </c>
      <c r="N143" s="18" t="str">
        <f t="shared" si="22"/>
        <v/>
      </c>
      <c r="O143" s="18" t="str">
        <f t="shared" si="23"/>
        <v/>
      </c>
      <c r="P143" s="17" t="str">
        <f t="shared" si="24"/>
        <v/>
      </c>
      <c r="Q143" s="17" t="str">
        <f t="shared" si="25"/>
        <v/>
      </c>
      <c r="R143" s="19" t="str">
        <f t="shared" si="26"/>
        <v/>
      </c>
    </row>
    <row r="144" spans="1:18">
      <c r="A144" s="13"/>
      <c r="B144" s="14"/>
      <c r="C144" s="15"/>
      <c r="D144" s="16"/>
      <c r="E144" s="16"/>
      <c r="F144" s="16"/>
      <c r="G144" s="14"/>
      <c r="H144" s="17" t="str">
        <f t="shared" si="18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9"/>
        <v/>
      </c>
      <c r="L144" s="18" t="str">
        <f t="shared" si="20"/>
        <v/>
      </c>
      <c r="M144" s="18" t="str">
        <f t="shared" si="21"/>
        <v/>
      </c>
      <c r="N144" s="18" t="str">
        <f t="shared" si="22"/>
        <v/>
      </c>
      <c r="O144" s="18" t="str">
        <f t="shared" si="23"/>
        <v/>
      </c>
      <c r="P144" s="17" t="str">
        <f t="shared" si="24"/>
        <v/>
      </c>
      <c r="Q144" s="17" t="str">
        <f t="shared" si="25"/>
        <v/>
      </c>
      <c r="R144" s="19" t="str">
        <f t="shared" si="26"/>
        <v/>
      </c>
    </row>
    <row r="145" spans="1:18">
      <c r="A145" s="13"/>
      <c r="B145" s="14"/>
      <c r="C145" s="15"/>
      <c r="D145" s="16"/>
      <c r="E145" s="16"/>
      <c r="F145" s="16"/>
      <c r="G145" s="14"/>
      <c r="H145" s="17" t="str">
        <f t="shared" si="18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9"/>
        <v/>
      </c>
      <c r="L145" s="18" t="str">
        <f t="shared" si="20"/>
        <v/>
      </c>
      <c r="M145" s="18" t="str">
        <f t="shared" si="21"/>
        <v/>
      </c>
      <c r="N145" s="18" t="str">
        <f t="shared" si="22"/>
        <v/>
      </c>
      <c r="O145" s="18" t="str">
        <f t="shared" si="23"/>
        <v/>
      </c>
      <c r="P145" s="17" t="str">
        <f t="shared" si="24"/>
        <v/>
      </c>
      <c r="Q145" s="17" t="str">
        <f t="shared" si="25"/>
        <v/>
      </c>
      <c r="R145" s="19" t="str">
        <f t="shared" si="26"/>
        <v/>
      </c>
    </row>
    <row r="146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t="shared" si="26"/>
        <v/>
      </c>
    </row>
    <row r="14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t="shared" si="26"/>
        <v/>
      </c>
    </row>
    <row r="148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t="shared" si="26"/>
        <v/>
      </c>
    </row>
    <row r="149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t="shared" si="26"/>
        <v/>
      </c>
    </row>
    <row r="150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t="shared" si="26"/>
        <v/>
      </c>
    </row>
    <row r="151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t="shared" si="26"/>
        <v/>
      </c>
    </row>
    <row r="152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t="shared" si="26"/>
        <v/>
      </c>
    </row>
    <row r="153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t="shared" si="26"/>
        <v/>
      </c>
    </row>
    <row r="154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t="shared" si="26"/>
        <v/>
      </c>
    </row>
    <row r="155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t="shared" si="26"/>
        <v/>
      </c>
    </row>
    <row r="156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t="shared" si="26"/>
        <v/>
      </c>
    </row>
    <row r="15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t="shared" si="26"/>
        <v/>
      </c>
    </row>
    <row r="158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t="shared" si="26"/>
        <v/>
      </c>
    </row>
    <row r="159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t="shared" si="26"/>
        <v/>
      </c>
    </row>
    <row r="160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t="shared" si="26"/>
        <v/>
      </c>
    </row>
    <row r="161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t="shared" si="26"/>
        <v/>
      </c>
    </row>
    <row r="162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t="shared" si="26"/>
        <v/>
      </c>
    </row>
    <row r="163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t="shared" si="26"/>
        <v/>
      </c>
    </row>
    <row r="164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t="shared" si="26"/>
        <v/>
      </c>
    </row>
    <row r="165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t="shared" si="26"/>
        <v/>
      </c>
    </row>
    <row r="166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t="shared" si="26"/>
        <v/>
      </c>
    </row>
    <row r="16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t="shared" si="26"/>
        <v/>
      </c>
    </row>
    <row r="168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t="shared" si="26"/>
        <v/>
      </c>
    </row>
    <row r="169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t="shared" si="26"/>
        <v/>
      </c>
    </row>
    <row r="170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t="shared" si="26"/>
        <v/>
      </c>
    </row>
    <row r="171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t="shared" si="26"/>
        <v/>
      </c>
    </row>
    <row r="172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t="shared" si="26"/>
        <v/>
      </c>
    </row>
    <row r="173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t="shared" si="26"/>
        <v/>
      </c>
    </row>
    <row r="174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t="shared" si="26"/>
        <v/>
      </c>
    </row>
    <row r="175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t="shared" si="26"/>
        <v/>
      </c>
    </row>
    <row r="176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t="shared" si="26"/>
        <v/>
      </c>
    </row>
    <row r="17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t="shared" si="26"/>
        <v/>
      </c>
    </row>
    <row r="178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t="shared" si="26"/>
        <v/>
      </c>
    </row>
    <row r="179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t="shared" si="26"/>
        <v/>
      </c>
    </row>
    <row r="180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t="shared" si="26"/>
        <v/>
      </c>
    </row>
    <row r="181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t="shared" si="26"/>
        <v/>
      </c>
    </row>
    <row r="182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t="shared" si="26"/>
        <v/>
      </c>
    </row>
    <row r="183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t="shared" si="26"/>
        <v/>
      </c>
    </row>
    <row r="184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t="shared" si="26"/>
        <v/>
      </c>
    </row>
    <row r="185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t="shared" si="26"/>
        <v/>
      </c>
    </row>
    <row r="186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t="shared" si="26"/>
        <v/>
      </c>
    </row>
    <row r="18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t="shared" si="26"/>
        <v/>
      </c>
    </row>
    <row r="188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t="shared" si="26"/>
        <v/>
      </c>
    </row>
    <row r="189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t="shared" si="26"/>
        <v/>
      </c>
    </row>
    <row r="190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t="shared" si="26"/>
        <v/>
      </c>
    </row>
    <row r="191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t="shared" si="26"/>
        <v/>
      </c>
    </row>
    <row r="192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t="shared" si="26"/>
        <v/>
      </c>
    </row>
    <row r="193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t="shared" si="26"/>
        <v/>
      </c>
    </row>
    <row r="194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t="shared" si="35"/>
        <v/>
      </c>
    </row>
    <row r="196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t="shared" si="35"/>
        <v/>
      </c>
    </row>
    <row r="19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t="shared" si="35"/>
        <v/>
      </c>
    </row>
    <row r="198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t="shared" si="35"/>
        <v/>
      </c>
    </row>
    <row r="199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t="shared" si="35"/>
        <v/>
      </c>
    </row>
    <row r="200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t="shared" si="35"/>
        <v/>
      </c>
    </row>
    <row r="201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t="shared" si="35"/>
        <v/>
      </c>
    </row>
    <row r="202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t="shared" si="35"/>
        <v/>
      </c>
    </row>
    <row r="203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t="shared" si="35"/>
        <v/>
      </c>
    </row>
    <row r="204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t="shared" si="35"/>
        <v/>
      </c>
    </row>
    <row r="205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t="shared" si="35"/>
        <v/>
      </c>
    </row>
    <row r="206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t="shared" si="35"/>
        <v/>
      </c>
    </row>
    <row r="20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t="shared" si="35"/>
        <v/>
      </c>
    </row>
    <row r="208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t="shared" si="35"/>
        <v/>
      </c>
    </row>
    <row r="209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t="shared" si="35"/>
        <v/>
      </c>
    </row>
    <row r="210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t="shared" si="35"/>
        <v/>
      </c>
    </row>
    <row r="211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t="shared" si="35"/>
        <v/>
      </c>
    </row>
    <row r="212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t="shared" si="35"/>
        <v/>
      </c>
    </row>
    <row r="213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t="shared" si="35"/>
        <v/>
      </c>
    </row>
    <row r="214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t="shared" si="35"/>
        <v/>
      </c>
    </row>
    <row r="215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t="shared" si="35"/>
        <v/>
      </c>
    </row>
    <row r="216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t="shared" si="35"/>
        <v/>
      </c>
    </row>
    <row r="2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t="shared" si="35"/>
        <v/>
      </c>
    </row>
    <row r="218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t="shared" si="35"/>
        <v/>
      </c>
    </row>
    <row r="219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t="shared" si="35"/>
        <v/>
      </c>
    </row>
    <row r="220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t="shared" si="35"/>
        <v/>
      </c>
    </row>
    <row r="221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t="shared" si="35"/>
        <v/>
      </c>
    </row>
    <row r="222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t="shared" si="35"/>
        <v/>
      </c>
    </row>
    <row r="223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t="shared" si="35"/>
        <v/>
      </c>
    </row>
    <row r="224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t="shared" si="35"/>
        <v/>
      </c>
    </row>
    <row r="225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t="shared" si="35"/>
        <v/>
      </c>
    </row>
    <row r="226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t="shared" si="35"/>
        <v/>
      </c>
    </row>
    <row r="22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t="shared" si="35"/>
        <v/>
      </c>
    </row>
    <row r="228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t="shared" si="35"/>
        <v/>
      </c>
    </row>
    <row r="229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t="shared" si="35"/>
        <v/>
      </c>
    </row>
    <row r="230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t="shared" si="35"/>
        <v/>
      </c>
    </row>
    <row r="231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t="shared" si="35"/>
        <v/>
      </c>
    </row>
    <row r="232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t="shared" si="35"/>
        <v/>
      </c>
    </row>
    <row r="233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t="shared" si="35"/>
        <v/>
      </c>
    </row>
    <row r="234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t="shared" si="35"/>
        <v/>
      </c>
    </row>
    <row r="235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t="shared" si="35"/>
        <v/>
      </c>
    </row>
    <row r="236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t="shared" si="35"/>
        <v/>
      </c>
    </row>
    <row r="23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t="shared" si="35"/>
        <v/>
      </c>
    </row>
    <row r="238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t="shared" si="35"/>
        <v/>
      </c>
    </row>
    <row r="239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t="shared" si="35"/>
        <v/>
      </c>
    </row>
    <row r="240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t="shared" si="35"/>
        <v/>
      </c>
    </row>
    <row r="241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t="shared" si="35"/>
        <v/>
      </c>
    </row>
    <row r="242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t="shared" si="35"/>
        <v/>
      </c>
    </row>
    <row r="243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t="shared" si="35"/>
        <v/>
      </c>
    </row>
    <row r="244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t="shared" si="35"/>
        <v/>
      </c>
    </row>
    <row r="245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t="shared" si="35"/>
        <v/>
      </c>
    </row>
    <row r="246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t="shared" si="35"/>
        <v/>
      </c>
    </row>
    <row r="24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t="shared" si="35"/>
        <v/>
      </c>
    </row>
    <row r="248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t="shared" si="35"/>
        <v/>
      </c>
    </row>
    <row r="249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t="shared" si="35"/>
        <v/>
      </c>
    </row>
    <row r="250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t="shared" si="35"/>
        <v/>
      </c>
    </row>
    <row r="251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t="shared" si="35"/>
        <v/>
      </c>
    </row>
    <row r="252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t="shared" si="35"/>
        <v/>
      </c>
    </row>
    <row r="253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t="shared" si="35"/>
        <v/>
      </c>
    </row>
    <row r="254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t="shared" si="35"/>
        <v/>
      </c>
    </row>
    <row r="255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t="shared" si="35"/>
        <v/>
      </c>
    </row>
    <row r="256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t="shared" si="35"/>
        <v/>
      </c>
    </row>
    <row r="25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t="shared" si="35"/>
        <v/>
      </c>
    </row>
    <row r="258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t="shared" si="44"/>
        <v/>
      </c>
    </row>
    <row r="260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t="shared" si="44"/>
        <v/>
      </c>
    </row>
    <row r="261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t="shared" si="44"/>
        <v/>
      </c>
    </row>
    <row r="262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t="shared" si="44"/>
        <v/>
      </c>
    </row>
    <row r="263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t="shared" si="44"/>
        <v/>
      </c>
    </row>
    <row r="264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t="shared" si="44"/>
        <v/>
      </c>
    </row>
    <row r="265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t="shared" si="44"/>
        <v/>
      </c>
    </row>
    <row r="266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t="shared" si="44"/>
        <v/>
      </c>
    </row>
    <row r="26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t="shared" si="44"/>
        <v/>
      </c>
    </row>
    <row r="268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t="shared" si="44"/>
        <v/>
      </c>
    </row>
    <row r="269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t="shared" si="44"/>
        <v/>
      </c>
    </row>
    <row r="270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t="shared" si="44"/>
        <v/>
      </c>
    </row>
    <row r="271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t="shared" si="44"/>
        <v/>
      </c>
    </row>
    <row r="272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t="shared" si="44"/>
        <v/>
      </c>
    </row>
    <row r="273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t="shared" si="44"/>
        <v/>
      </c>
    </row>
    <row r="274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t="shared" si="44"/>
        <v/>
      </c>
    </row>
    <row r="275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t="shared" si="44"/>
        <v/>
      </c>
    </row>
    <row r="276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t="shared" si="44"/>
        <v/>
      </c>
    </row>
    <row r="27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t="shared" si="44"/>
        <v/>
      </c>
    </row>
    <row r="278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t="shared" si="44"/>
        <v/>
      </c>
    </row>
    <row r="279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t="shared" si="44"/>
        <v/>
      </c>
    </row>
    <row r="280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t="shared" si="44"/>
        <v/>
      </c>
    </row>
    <row r="281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t="shared" si="44"/>
        <v/>
      </c>
    </row>
    <row r="282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t="shared" si="44"/>
        <v/>
      </c>
    </row>
    <row r="283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t="shared" si="44"/>
        <v/>
      </c>
    </row>
    <row r="284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t="shared" si="44"/>
        <v/>
      </c>
    </row>
    <row r="285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t="shared" si="44"/>
        <v/>
      </c>
    </row>
    <row r="286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t="shared" si="44"/>
        <v/>
      </c>
    </row>
    <row r="28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t="shared" si="44"/>
        <v/>
      </c>
    </row>
    <row r="288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t="shared" si="44"/>
        <v/>
      </c>
    </row>
    <row r="289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t="shared" si="44"/>
        <v/>
      </c>
    </row>
    <row r="290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t="shared" si="44"/>
        <v/>
      </c>
    </row>
    <row r="291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t="shared" si="44"/>
        <v/>
      </c>
    </row>
    <row r="292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t="shared" si="44"/>
        <v/>
      </c>
    </row>
    <row r="293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t="shared" si="44"/>
        <v/>
      </c>
    </row>
    <row r="294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t="shared" si="44"/>
        <v/>
      </c>
    </row>
    <row r="295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t="shared" si="44"/>
        <v/>
      </c>
    </row>
    <row r="296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t="shared" si="44"/>
        <v/>
      </c>
    </row>
    <row r="29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t="shared" si="44"/>
        <v/>
      </c>
    </row>
    <row r="298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t="shared" si="44"/>
        <v/>
      </c>
    </row>
    <row r="299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t="shared" si="44"/>
        <v/>
      </c>
    </row>
    <row r="300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t="shared" si="44"/>
        <v/>
      </c>
    </row>
    <row r="301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t="shared" si="44"/>
        <v/>
      </c>
    </row>
    <row r="302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t="shared" si="44"/>
        <v/>
      </c>
    </row>
    <row r="303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t="shared" si="44"/>
        <v/>
      </c>
    </row>
    <row r="304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t="shared" si="44"/>
        <v/>
      </c>
    </row>
    <row r="305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t="shared" si="44"/>
        <v/>
      </c>
    </row>
    <row r="306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t="shared" si="44"/>
        <v/>
      </c>
    </row>
    <row r="30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t="shared" si="44"/>
        <v/>
      </c>
    </row>
    <row r="308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t="shared" si="44"/>
        <v/>
      </c>
    </row>
    <row r="309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t="shared" si="44"/>
        <v/>
      </c>
    </row>
    <row r="310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t="shared" si="44"/>
        <v/>
      </c>
    </row>
    <row r="311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t="shared" si="44"/>
        <v/>
      </c>
    </row>
    <row r="312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t="shared" si="44"/>
        <v/>
      </c>
    </row>
    <row r="313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t="shared" si="44"/>
        <v/>
      </c>
    </row>
    <row r="314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t="shared" si="44"/>
        <v/>
      </c>
    </row>
    <row r="315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t="shared" si="44"/>
        <v/>
      </c>
    </row>
    <row r="316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t="shared" si="44"/>
        <v/>
      </c>
    </row>
    <row r="3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t="shared" si="44"/>
        <v/>
      </c>
    </row>
    <row r="318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t="shared" si="44"/>
        <v/>
      </c>
    </row>
    <row r="319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t="shared" si="44"/>
        <v/>
      </c>
    </row>
    <row r="320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t="shared" si="44"/>
        <v/>
      </c>
    </row>
    <row r="321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t="shared" si="44"/>
        <v/>
      </c>
    </row>
    <row r="322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t="shared" si="53"/>
        <v/>
      </c>
    </row>
    <row r="324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t="shared" si="53"/>
        <v/>
      </c>
    </row>
    <row r="325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t="shared" si="53"/>
        <v/>
      </c>
    </row>
    <row r="326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t="shared" si="53"/>
        <v/>
      </c>
    </row>
    <row r="32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t="shared" si="53"/>
        <v/>
      </c>
    </row>
    <row r="328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t="shared" si="53"/>
        <v/>
      </c>
    </row>
    <row r="329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t="shared" si="53"/>
        <v/>
      </c>
    </row>
    <row r="330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t="shared" si="53"/>
        <v/>
      </c>
    </row>
    <row r="331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t="shared" si="53"/>
        <v/>
      </c>
    </row>
    <row r="332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t="shared" si="53"/>
        <v/>
      </c>
    </row>
    <row r="333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t="shared" si="53"/>
        <v/>
      </c>
    </row>
    <row r="334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t="shared" si="53"/>
        <v/>
      </c>
    </row>
    <row r="335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t="shared" si="53"/>
        <v/>
      </c>
    </row>
    <row r="336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t="shared" si="53"/>
        <v/>
      </c>
    </row>
    <row r="33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t="shared" si="53"/>
        <v/>
      </c>
    </row>
    <row r="338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t="shared" si="53"/>
        <v/>
      </c>
    </row>
    <row r="339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t="shared" si="53"/>
        <v/>
      </c>
    </row>
    <row r="340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t="shared" si="53"/>
        <v/>
      </c>
    </row>
    <row r="341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t="shared" si="53"/>
        <v/>
      </c>
    </row>
    <row r="342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t="shared" si="53"/>
        <v/>
      </c>
    </row>
    <row r="343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t="shared" si="53"/>
        <v/>
      </c>
    </row>
    <row r="344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t="shared" si="53"/>
        <v/>
      </c>
    </row>
    <row r="345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t="shared" si="53"/>
        <v/>
      </c>
    </row>
    <row r="346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t="shared" si="53"/>
        <v/>
      </c>
    </row>
    <row r="34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t="shared" si="53"/>
        <v/>
      </c>
    </row>
    <row r="348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t="shared" si="53"/>
        <v/>
      </c>
    </row>
    <row r="349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t="shared" si="53"/>
        <v/>
      </c>
    </row>
    <row r="350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t="shared" si="53"/>
        <v/>
      </c>
    </row>
    <row r="351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t="shared" si="53"/>
        <v/>
      </c>
    </row>
    <row r="352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t="shared" si="53"/>
        <v/>
      </c>
    </row>
    <row r="353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t="shared" si="53"/>
        <v/>
      </c>
    </row>
    <row r="354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t="shared" si="53"/>
        <v/>
      </c>
    </row>
    <row r="355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t="shared" si="53"/>
        <v/>
      </c>
    </row>
    <row r="356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t="shared" si="53"/>
        <v/>
      </c>
    </row>
    <row r="35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t="shared" si="53"/>
        <v/>
      </c>
    </row>
    <row r="358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t="shared" si="53"/>
        <v/>
      </c>
    </row>
    <row r="359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t="shared" si="53"/>
        <v/>
      </c>
    </row>
    <row r="360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t="shared" si="53"/>
        <v/>
      </c>
    </row>
    <row r="361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t="shared" si="53"/>
        <v/>
      </c>
    </row>
    <row r="362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t="shared" si="53"/>
        <v/>
      </c>
    </row>
    <row r="363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t="shared" si="53"/>
        <v/>
      </c>
    </row>
    <row r="364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t="shared" si="53"/>
        <v/>
      </c>
    </row>
    <row r="365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t="shared" si="53"/>
        <v/>
      </c>
    </row>
    <row r="366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t="shared" si="53"/>
        <v/>
      </c>
    </row>
    <row r="36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t="shared" si="53"/>
        <v/>
      </c>
    </row>
    <row r="368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t="shared" si="53"/>
        <v/>
      </c>
    </row>
    <row r="369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t="shared" si="53"/>
        <v/>
      </c>
    </row>
    <row r="370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t="shared" si="53"/>
        <v/>
      </c>
    </row>
    <row r="371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t="shared" si="53"/>
        <v/>
      </c>
    </row>
    <row r="372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t="shared" si="53"/>
        <v/>
      </c>
    </row>
    <row r="373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t="shared" si="53"/>
        <v/>
      </c>
    </row>
    <row r="374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t="shared" si="53"/>
        <v/>
      </c>
    </row>
    <row r="375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t="shared" si="53"/>
        <v/>
      </c>
    </row>
    <row r="376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t="shared" si="53"/>
        <v/>
      </c>
    </row>
    <row r="37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t="shared" si="53"/>
        <v/>
      </c>
    </row>
    <row r="378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t="shared" si="53"/>
        <v/>
      </c>
    </row>
    <row r="379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t="shared" si="53"/>
        <v/>
      </c>
    </row>
    <row r="380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t="shared" si="53"/>
        <v/>
      </c>
    </row>
    <row r="381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t="shared" si="53"/>
        <v/>
      </c>
    </row>
    <row r="382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t="shared" si="53"/>
        <v/>
      </c>
    </row>
    <row r="383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t="shared" si="53"/>
        <v/>
      </c>
    </row>
    <row r="384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t="shared" si="53"/>
        <v/>
      </c>
    </row>
    <row r="385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t="shared" si="53"/>
        <v/>
      </c>
    </row>
    <row r="386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t="shared" si="62"/>
        <v/>
      </c>
    </row>
    <row r="388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t="shared" si="62"/>
        <v/>
      </c>
    </row>
    <row r="389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t="shared" si="62"/>
        <v/>
      </c>
    </row>
    <row r="390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t="shared" si="62"/>
        <v/>
      </c>
    </row>
    <row r="391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t="shared" si="62"/>
        <v/>
      </c>
    </row>
    <row r="392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t="shared" si="62"/>
        <v/>
      </c>
    </row>
    <row r="393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t="shared" si="62"/>
        <v/>
      </c>
    </row>
    <row r="394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t="shared" si="62"/>
        <v/>
      </c>
    </row>
    <row r="395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t="shared" si="62"/>
        <v/>
      </c>
    </row>
    <row r="396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t="shared" si="62"/>
        <v/>
      </c>
    </row>
    <row r="39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t="shared" si="62"/>
        <v/>
      </c>
    </row>
    <row r="398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t="shared" si="62"/>
        <v/>
      </c>
    </row>
    <row r="399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t="shared" si="62"/>
        <v/>
      </c>
    </row>
    <row r="400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t="shared" si="62"/>
        <v/>
      </c>
    </row>
    <row r="401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t="shared" si="62"/>
        <v/>
      </c>
    </row>
    <row r="402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t="shared" si="62"/>
        <v/>
      </c>
    </row>
    <row r="403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t="shared" si="62"/>
        <v/>
      </c>
    </row>
    <row r="404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t="shared" si="62"/>
        <v/>
      </c>
    </row>
    <row r="405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t="shared" si="62"/>
        <v/>
      </c>
    </row>
    <row r="406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t="shared" si="62"/>
        <v/>
      </c>
    </row>
    <row r="40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t="shared" si="62"/>
        <v/>
      </c>
    </row>
    <row r="408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t="shared" si="62"/>
        <v/>
      </c>
    </row>
    <row r="409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t="shared" si="62"/>
        <v/>
      </c>
    </row>
    <row r="410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t="shared" si="62"/>
        <v/>
      </c>
    </row>
    <row r="411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t="shared" si="62"/>
        <v/>
      </c>
    </row>
    <row r="412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t="shared" si="62"/>
        <v/>
      </c>
    </row>
    <row r="413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t="shared" si="62"/>
        <v/>
      </c>
    </row>
    <row r="414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t="shared" si="62"/>
        <v/>
      </c>
    </row>
    <row r="415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t="shared" si="62"/>
        <v/>
      </c>
    </row>
    <row r="416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t="shared" si="62"/>
        <v/>
      </c>
    </row>
    <row r="4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t="shared" si="62"/>
        <v/>
      </c>
    </row>
    <row r="418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t="shared" si="62"/>
        <v/>
      </c>
    </row>
    <row r="419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t="shared" si="62"/>
        <v/>
      </c>
    </row>
    <row r="420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t="shared" si="62"/>
        <v/>
      </c>
    </row>
    <row r="421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t="shared" si="62"/>
        <v/>
      </c>
    </row>
    <row r="422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t="shared" si="62"/>
        <v/>
      </c>
    </row>
    <row r="423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t="shared" si="62"/>
        <v/>
      </c>
    </row>
    <row r="424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t="shared" si="62"/>
        <v/>
      </c>
    </row>
    <row r="425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t="shared" si="62"/>
        <v/>
      </c>
    </row>
    <row r="426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t="shared" si="62"/>
        <v/>
      </c>
    </row>
    <row r="42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t="shared" si="62"/>
        <v/>
      </c>
    </row>
    <row r="428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t="shared" si="62"/>
        <v/>
      </c>
    </row>
    <row r="429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t="shared" si="62"/>
        <v/>
      </c>
    </row>
    <row r="430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t="shared" si="62"/>
        <v/>
      </c>
    </row>
    <row r="431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t="shared" si="62"/>
        <v/>
      </c>
    </row>
    <row r="432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t="shared" si="62"/>
        <v/>
      </c>
    </row>
    <row r="433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t="shared" si="62"/>
        <v/>
      </c>
    </row>
    <row r="434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t="shared" si="62"/>
        <v/>
      </c>
    </row>
    <row r="435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t="shared" si="62"/>
        <v/>
      </c>
    </row>
    <row r="436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t="shared" si="62"/>
        <v/>
      </c>
    </row>
    <row r="43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t="shared" si="62"/>
        <v/>
      </c>
    </row>
    <row r="438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t="shared" si="62"/>
        <v/>
      </c>
    </row>
    <row r="439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t="shared" si="62"/>
        <v/>
      </c>
    </row>
    <row r="440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t="shared" si="62"/>
        <v/>
      </c>
    </row>
    <row r="441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t="shared" si="62"/>
        <v/>
      </c>
    </row>
    <row r="442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t="shared" si="62"/>
        <v/>
      </c>
    </row>
    <row r="443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t="shared" si="62"/>
        <v/>
      </c>
    </row>
    <row r="444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t="shared" si="62"/>
        <v/>
      </c>
    </row>
    <row r="445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t="shared" si="62"/>
        <v/>
      </c>
    </row>
    <row r="446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t="shared" si="62"/>
        <v/>
      </c>
    </row>
    <row r="44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t="shared" si="62"/>
        <v/>
      </c>
    </row>
    <row r="448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t="shared" si="62"/>
        <v/>
      </c>
    </row>
    <row r="449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t="shared" si="62"/>
        <v/>
      </c>
    </row>
    <row r="450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t="shared" si="71"/>
        <v/>
      </c>
    </row>
    <row r="452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t="shared" si="71"/>
        <v/>
      </c>
    </row>
    <row r="453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t="shared" si="71"/>
        <v/>
      </c>
    </row>
    <row r="454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t="shared" si="71"/>
        <v/>
      </c>
    </row>
    <row r="455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t="shared" si="71"/>
        <v/>
      </c>
    </row>
    <row r="456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t="shared" si="71"/>
        <v/>
      </c>
    </row>
    <row r="45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t="shared" si="71"/>
        <v/>
      </c>
    </row>
    <row r="458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t="shared" si="71"/>
        <v/>
      </c>
    </row>
    <row r="459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t="shared" si="71"/>
        <v/>
      </c>
    </row>
    <row r="460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t="shared" si="71"/>
        <v/>
      </c>
    </row>
    <row r="461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t="shared" si="71"/>
        <v/>
      </c>
    </row>
    <row r="462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t="shared" si="71"/>
        <v/>
      </c>
    </row>
    <row r="463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t="shared" si="71"/>
        <v/>
      </c>
    </row>
    <row r="464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t="shared" si="71"/>
        <v/>
      </c>
    </row>
    <row r="465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t="shared" si="71"/>
        <v/>
      </c>
    </row>
    <row r="466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t="shared" si="71"/>
        <v/>
      </c>
    </row>
    <row r="46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t="shared" si="71"/>
        <v/>
      </c>
    </row>
    <row r="468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t="shared" si="71"/>
        <v/>
      </c>
    </row>
    <row r="469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t="shared" si="71"/>
        <v/>
      </c>
    </row>
    <row r="470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t="shared" si="71"/>
        <v/>
      </c>
    </row>
    <row r="471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t="shared" si="71"/>
        <v/>
      </c>
    </row>
    <row r="472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t="shared" si="71"/>
        <v/>
      </c>
    </row>
    <row r="473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t="shared" si="71"/>
        <v/>
      </c>
    </row>
    <row r="474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t="shared" si="71"/>
        <v/>
      </c>
    </row>
    <row r="475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t="shared" si="71"/>
        <v/>
      </c>
    </row>
    <row r="476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t="shared" si="71"/>
        <v/>
      </c>
    </row>
    <row r="47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t="shared" si="71"/>
        <v/>
      </c>
    </row>
    <row r="478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t="shared" si="71"/>
        <v/>
      </c>
    </row>
    <row r="479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t="shared" si="71"/>
        <v/>
      </c>
    </row>
    <row r="480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t="shared" si="71"/>
        <v/>
      </c>
    </row>
    <row r="481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t="shared" si="71"/>
        <v/>
      </c>
    </row>
    <row r="482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t="shared" si="71"/>
        <v/>
      </c>
    </row>
    <row r="483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t="shared" si="71"/>
        <v/>
      </c>
    </row>
    <row r="484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t="shared" si="71"/>
        <v/>
      </c>
    </row>
    <row r="485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t="shared" si="71"/>
        <v/>
      </c>
    </row>
    <row r="486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t="shared" si="71"/>
        <v/>
      </c>
    </row>
    <row r="48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t="shared" si="71"/>
        <v/>
      </c>
    </row>
    <row r="488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t="shared" si="71"/>
        <v/>
      </c>
    </row>
    <row r="489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t="shared" si="71"/>
        <v/>
      </c>
    </row>
    <row r="490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t="shared" si="71"/>
        <v/>
      </c>
    </row>
    <row r="491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t="shared" si="71"/>
        <v/>
      </c>
    </row>
    <row r="492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t="shared" si="71"/>
        <v/>
      </c>
    </row>
    <row r="493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t="shared" si="71"/>
        <v/>
      </c>
    </row>
    <row r="494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t="shared" si="71"/>
        <v/>
      </c>
    </row>
    <row r="495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t="shared" si="71"/>
        <v/>
      </c>
    </row>
    <row r="496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t="shared" si="71"/>
        <v/>
      </c>
    </row>
    <row r="49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t="shared" si="71"/>
        <v/>
      </c>
    </row>
    <row r="498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t="shared" si="71"/>
        <v/>
      </c>
    </row>
    <row r="499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t="shared" si="71"/>
        <v/>
      </c>
    </row>
    <row r="500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t="shared" si="71"/>
        <v/>
      </c>
    </row>
    <row r="501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t="shared" si="71"/>
        <v/>
      </c>
    </row>
    <row r="502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t="shared" si="71"/>
        <v/>
      </c>
    </row>
    <row r="503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t="shared" si="71"/>
        <v/>
      </c>
    </row>
    <row r="504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t="shared" si="71"/>
        <v/>
      </c>
    </row>
    <row r="505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t="shared" si="71"/>
        <v/>
      </c>
    </row>
    <row r="506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t="shared" si="71"/>
        <v/>
      </c>
    </row>
    <row r="50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t="shared" si="71"/>
        <v/>
      </c>
    </row>
    <row r="508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t="shared" si="71"/>
        <v/>
      </c>
    </row>
    <row r="509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t="shared" si="71"/>
        <v/>
      </c>
    </row>
    <row r="510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t="shared" si="71"/>
        <v/>
      </c>
    </row>
    <row r="511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t="shared" si="71"/>
        <v/>
      </c>
    </row>
    <row r="512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t="shared" si="71"/>
        <v/>
      </c>
    </row>
    <row r="513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t="shared" si="71"/>
        <v/>
      </c>
    </row>
    <row r="514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t="shared" si="80"/>
        <v/>
      </c>
    </row>
    <row r="516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t="shared" si="80"/>
        <v/>
      </c>
    </row>
    <row r="5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t="shared" si="80"/>
        <v/>
      </c>
    </row>
    <row r="518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t="shared" si="80"/>
        <v/>
      </c>
    </row>
    <row r="519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t="shared" si="80"/>
        <v/>
      </c>
    </row>
    <row r="520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t="shared" si="80"/>
        <v/>
      </c>
    </row>
    <row r="521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t="shared" si="80"/>
        <v/>
      </c>
    </row>
    <row r="522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t="shared" si="80"/>
        <v/>
      </c>
    </row>
    <row r="523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t="shared" si="80"/>
        <v/>
      </c>
    </row>
    <row r="524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t="shared" si="80"/>
        <v/>
      </c>
    </row>
    <row r="525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t="shared" si="80"/>
        <v/>
      </c>
    </row>
    <row r="526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t="shared" si="80"/>
        <v/>
      </c>
    </row>
    <row r="52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t="shared" si="80"/>
        <v/>
      </c>
    </row>
    <row r="528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t="shared" si="80"/>
        <v/>
      </c>
    </row>
    <row r="529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t="shared" si="80"/>
        <v/>
      </c>
    </row>
    <row r="530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t="shared" si="80"/>
        <v/>
      </c>
    </row>
    <row r="531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t="shared" si="80"/>
        <v/>
      </c>
    </row>
    <row r="532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t="shared" si="80"/>
        <v/>
      </c>
    </row>
    <row r="533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t="shared" si="80"/>
        <v/>
      </c>
    </row>
    <row r="534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t="shared" si="80"/>
        <v/>
      </c>
    </row>
    <row r="535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t="shared" si="80"/>
        <v/>
      </c>
    </row>
    <row r="536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t="shared" si="80"/>
        <v/>
      </c>
    </row>
    <row r="53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t="shared" si="80"/>
        <v/>
      </c>
    </row>
    <row r="538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t="shared" si="80"/>
        <v/>
      </c>
    </row>
    <row r="539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t="shared" si="80"/>
        <v/>
      </c>
    </row>
    <row r="540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t="shared" si="80"/>
        <v/>
      </c>
    </row>
    <row r="541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t="shared" si="80"/>
        <v/>
      </c>
    </row>
    <row r="542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t="shared" si="80"/>
        <v/>
      </c>
    </row>
    <row r="543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t="shared" si="80"/>
        <v/>
      </c>
    </row>
    <row r="544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t="shared" si="80"/>
        <v/>
      </c>
    </row>
    <row r="545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t="shared" si="80"/>
        <v/>
      </c>
    </row>
    <row r="546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t="shared" si="80"/>
        <v/>
      </c>
    </row>
    <row r="54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t="shared" si="80"/>
        <v/>
      </c>
    </row>
    <row r="548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t="shared" si="80"/>
        <v/>
      </c>
    </row>
    <row r="549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t="shared" si="80"/>
        <v/>
      </c>
    </row>
    <row r="550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t="shared" si="80"/>
        <v/>
      </c>
    </row>
    <row r="551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t="shared" si="80"/>
        <v/>
      </c>
    </row>
    <row r="552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t="shared" si="80"/>
        <v/>
      </c>
    </row>
    <row r="553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t="shared" si="80"/>
        <v/>
      </c>
    </row>
    <row r="554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t="shared" si="80"/>
        <v/>
      </c>
    </row>
    <row r="555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t="shared" si="80"/>
        <v/>
      </c>
    </row>
    <row r="556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t="shared" si="80"/>
        <v/>
      </c>
    </row>
    <row r="55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t="shared" si="80"/>
        <v/>
      </c>
    </row>
    <row r="558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t="shared" si="80"/>
        <v/>
      </c>
    </row>
    <row r="559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t="shared" si="80"/>
        <v/>
      </c>
    </row>
    <row r="560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t="shared" si="80"/>
        <v/>
      </c>
    </row>
    <row r="561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t="shared" si="80"/>
        <v/>
      </c>
    </row>
    <row r="562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t="shared" si="80"/>
        <v/>
      </c>
    </row>
    <row r="563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t="shared" si="80"/>
        <v/>
      </c>
    </row>
    <row r="564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t="shared" si="80"/>
        <v/>
      </c>
    </row>
    <row r="565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t="shared" si="80"/>
        <v/>
      </c>
    </row>
    <row r="566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t="shared" si="80"/>
        <v/>
      </c>
    </row>
    <row r="56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t="shared" si="80"/>
        <v/>
      </c>
    </row>
    <row r="568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t="shared" si="80"/>
        <v/>
      </c>
    </row>
    <row r="569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t="shared" si="80"/>
        <v/>
      </c>
    </row>
    <row r="570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t="shared" si="80"/>
        <v/>
      </c>
    </row>
    <row r="571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t="shared" si="80"/>
        <v/>
      </c>
    </row>
    <row r="572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t="shared" si="80"/>
        <v/>
      </c>
    </row>
    <row r="573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t="shared" si="80"/>
        <v/>
      </c>
    </row>
    <row r="574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t="shared" si="80"/>
        <v/>
      </c>
    </row>
    <row r="575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t="shared" si="80"/>
        <v/>
      </c>
    </row>
    <row r="576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t="shared" si="80"/>
        <v/>
      </c>
    </row>
    <row r="57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t="shared" si="80"/>
        <v/>
      </c>
    </row>
    <row r="578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t="shared" si="89"/>
        <v/>
      </c>
    </row>
    <row r="580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t="shared" si="89"/>
        <v/>
      </c>
    </row>
    <row r="581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t="shared" si="89"/>
        <v/>
      </c>
    </row>
    <row r="582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t="shared" si="89"/>
        <v/>
      </c>
    </row>
    <row r="583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t="shared" si="89"/>
        <v/>
      </c>
    </row>
    <row r="584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t="shared" si="89"/>
        <v/>
      </c>
    </row>
    <row r="585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t="shared" si="89"/>
        <v/>
      </c>
    </row>
    <row r="586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t="shared" si="89"/>
        <v/>
      </c>
    </row>
    <row r="58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t="shared" si="89"/>
        <v/>
      </c>
    </row>
    <row r="588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t="shared" si="89"/>
        <v/>
      </c>
    </row>
    <row r="589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t="shared" si="89"/>
        <v/>
      </c>
    </row>
    <row r="590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t="shared" si="89"/>
        <v/>
      </c>
    </row>
    <row r="591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t="shared" si="89"/>
        <v/>
      </c>
    </row>
    <row r="592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t="shared" si="89"/>
        <v/>
      </c>
    </row>
    <row r="593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t="shared" si="89"/>
        <v/>
      </c>
    </row>
    <row r="594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t="shared" si="89"/>
        <v/>
      </c>
    </row>
    <row r="595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t="shared" si="89"/>
        <v/>
      </c>
    </row>
    <row r="596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t="shared" si="89"/>
        <v/>
      </c>
    </row>
    <row r="59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t="shared" si="89"/>
        <v/>
      </c>
    </row>
    <row r="598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t="shared" si="89"/>
        <v/>
      </c>
    </row>
    <row r="599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t="shared" si="89"/>
        <v/>
      </c>
    </row>
    <row r="600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t="shared" si="89"/>
        <v/>
      </c>
    </row>
    <row r="601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t="shared" si="89"/>
        <v/>
      </c>
    </row>
    <row r="602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t="shared" si="89"/>
        <v/>
      </c>
    </row>
    <row r="603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t="shared" si="89"/>
        <v/>
      </c>
    </row>
    <row r="604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t="shared" si="89"/>
        <v/>
      </c>
    </row>
    <row r="605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t="shared" si="89"/>
        <v/>
      </c>
    </row>
    <row r="606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t="shared" si="89"/>
        <v/>
      </c>
    </row>
    <row r="60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t="shared" si="89"/>
        <v/>
      </c>
    </row>
    <row r="608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t="shared" si="89"/>
        <v/>
      </c>
    </row>
    <row r="609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t="shared" si="89"/>
        <v/>
      </c>
    </row>
    <row r="610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t="shared" si="89"/>
        <v/>
      </c>
    </row>
    <row r="611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t="shared" si="89"/>
        <v/>
      </c>
    </row>
    <row r="612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t="shared" si="89"/>
        <v/>
      </c>
    </row>
    <row r="613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t="shared" si="89"/>
        <v/>
      </c>
    </row>
    <row r="614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t="shared" si="89"/>
        <v/>
      </c>
    </row>
    <row r="615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t="shared" si="89"/>
        <v/>
      </c>
    </row>
    <row r="616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t="shared" si="89"/>
        <v/>
      </c>
    </row>
    <row r="6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t="shared" si="89"/>
        <v/>
      </c>
    </row>
    <row r="618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t="shared" si="89"/>
        <v/>
      </c>
    </row>
    <row r="619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t="shared" si="89"/>
        <v/>
      </c>
    </row>
    <row r="620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t="shared" si="89"/>
        <v/>
      </c>
    </row>
    <row r="621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t="shared" si="89"/>
        <v/>
      </c>
    </row>
    <row r="622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t="shared" si="89"/>
        <v/>
      </c>
    </row>
    <row r="623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t="shared" si="89"/>
        <v/>
      </c>
    </row>
    <row r="624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t="shared" si="89"/>
        <v/>
      </c>
    </row>
    <row r="625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t="shared" si="89"/>
        <v/>
      </c>
    </row>
    <row r="626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t="shared" si="89"/>
        <v/>
      </c>
    </row>
    <row r="62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t="shared" si="89"/>
        <v/>
      </c>
    </row>
    <row r="628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t="shared" si="89"/>
        <v/>
      </c>
    </row>
    <row r="629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t="shared" si="89"/>
        <v/>
      </c>
    </row>
    <row r="630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t="shared" si="89"/>
        <v/>
      </c>
    </row>
    <row r="631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t="shared" si="89"/>
        <v/>
      </c>
    </row>
    <row r="632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t="shared" si="89"/>
        <v/>
      </c>
    </row>
    <row r="633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t="shared" si="89"/>
        <v/>
      </c>
    </row>
    <row r="634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t="shared" si="89"/>
        <v/>
      </c>
    </row>
    <row r="635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t="shared" si="89"/>
        <v/>
      </c>
    </row>
    <row r="636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t="shared" si="89"/>
        <v/>
      </c>
    </row>
    <row r="63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t="shared" si="89"/>
        <v/>
      </c>
    </row>
    <row r="638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t="shared" si="89"/>
        <v/>
      </c>
    </row>
    <row r="639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t="shared" si="89"/>
        <v/>
      </c>
    </row>
    <row r="640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t="shared" si="89"/>
        <v/>
      </c>
    </row>
    <row r="641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t="shared" si="89"/>
        <v/>
      </c>
    </row>
    <row r="642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t="shared" si="98"/>
        <v/>
      </c>
    </row>
    <row r="644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t="shared" si="98"/>
        <v/>
      </c>
    </row>
    <row r="645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t="shared" si="98"/>
        <v/>
      </c>
    </row>
    <row r="646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t="shared" si="98"/>
        <v/>
      </c>
    </row>
    <row r="64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t="shared" si="98"/>
        <v/>
      </c>
    </row>
    <row r="648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t="shared" si="98"/>
        <v/>
      </c>
    </row>
    <row r="649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t="shared" si="98"/>
        <v/>
      </c>
    </row>
    <row r="650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t="shared" si="98"/>
        <v/>
      </c>
    </row>
    <row r="651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t="shared" si="98"/>
        <v/>
      </c>
    </row>
    <row r="652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t="shared" si="98"/>
        <v/>
      </c>
    </row>
    <row r="653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t="shared" si="98"/>
        <v/>
      </c>
    </row>
    <row r="654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t="shared" si="98"/>
        <v/>
      </c>
    </row>
    <row r="655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t="shared" si="98"/>
        <v/>
      </c>
    </row>
    <row r="656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t="shared" si="98"/>
        <v/>
      </c>
    </row>
    <row r="65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t="shared" si="98"/>
        <v/>
      </c>
    </row>
    <row r="658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t="shared" si="98"/>
        <v/>
      </c>
    </row>
    <row r="659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t="shared" si="98"/>
        <v/>
      </c>
    </row>
    <row r="660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t="shared" si="98"/>
        <v/>
      </c>
    </row>
    <row r="661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t="shared" si="98"/>
        <v/>
      </c>
    </row>
    <row r="662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t="shared" si="98"/>
        <v/>
      </c>
    </row>
    <row r="663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t="shared" si="98"/>
        <v/>
      </c>
    </row>
    <row r="664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t="shared" si="98"/>
        <v/>
      </c>
    </row>
    <row r="665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t="shared" si="98"/>
        <v/>
      </c>
    </row>
    <row r="666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t="shared" si="98"/>
        <v/>
      </c>
    </row>
    <row r="66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t="shared" si="98"/>
        <v/>
      </c>
    </row>
    <row r="668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t="shared" si="98"/>
        <v/>
      </c>
    </row>
    <row r="669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t="shared" si="98"/>
        <v/>
      </c>
    </row>
    <row r="670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t="shared" si="98"/>
        <v/>
      </c>
    </row>
    <row r="671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t="shared" si="98"/>
        <v/>
      </c>
    </row>
    <row r="672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t="shared" si="98"/>
        <v/>
      </c>
    </row>
    <row r="673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t="shared" si="98"/>
        <v/>
      </c>
    </row>
    <row r="674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t="shared" si="98"/>
        <v/>
      </c>
    </row>
    <row r="675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t="shared" si="98"/>
        <v/>
      </c>
    </row>
    <row r="676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t="shared" si="98"/>
        <v/>
      </c>
    </row>
    <row r="67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t="shared" si="98"/>
        <v/>
      </c>
    </row>
    <row r="678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t="shared" si="98"/>
        <v/>
      </c>
    </row>
    <row r="679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t="shared" si="98"/>
        <v/>
      </c>
    </row>
    <row r="680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t="shared" si="98"/>
        <v/>
      </c>
    </row>
    <row r="681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t="shared" si="98"/>
        <v/>
      </c>
    </row>
    <row r="682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t="shared" si="98"/>
        <v/>
      </c>
    </row>
    <row r="683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t="shared" si="98"/>
        <v/>
      </c>
    </row>
    <row r="684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t="shared" si="98"/>
        <v/>
      </c>
    </row>
    <row r="685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t="shared" si="98"/>
        <v/>
      </c>
    </row>
    <row r="686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t="shared" si="98"/>
        <v/>
      </c>
    </row>
    <row r="68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t="shared" si="98"/>
        <v/>
      </c>
    </row>
    <row r="688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t="shared" si="98"/>
        <v/>
      </c>
    </row>
    <row r="689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t="shared" si="98"/>
        <v/>
      </c>
    </row>
    <row r="690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t="shared" si="98"/>
        <v/>
      </c>
    </row>
    <row r="691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t="shared" si="98"/>
        <v/>
      </c>
    </row>
    <row r="692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t="shared" si="98"/>
        <v/>
      </c>
    </row>
    <row r="693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t="shared" si="98"/>
        <v/>
      </c>
    </row>
    <row r="694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t="shared" si="98"/>
        <v/>
      </c>
    </row>
    <row r="695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t="shared" si="98"/>
        <v/>
      </c>
    </row>
    <row r="696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t="shared" si="98"/>
        <v/>
      </c>
    </row>
    <row r="69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t="shared" si="98"/>
        <v/>
      </c>
    </row>
    <row r="698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t="shared" si="98"/>
        <v/>
      </c>
    </row>
    <row r="699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t="shared" si="98"/>
        <v/>
      </c>
    </row>
    <row r="700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t="shared" si="98"/>
        <v/>
      </c>
    </row>
    <row r="701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t="shared" si="98"/>
        <v/>
      </c>
    </row>
    <row r="702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t="shared" si="98"/>
        <v/>
      </c>
    </row>
    <row r="703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t="shared" si="98"/>
        <v/>
      </c>
    </row>
    <row r="704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t="shared" si="98"/>
        <v/>
      </c>
    </row>
    <row r="705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t="shared" si="98"/>
        <v/>
      </c>
    </row>
    <row r="706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t="shared" si="107"/>
        <v/>
      </c>
    </row>
    <row r="708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t="shared" si="107"/>
        <v/>
      </c>
    </row>
    <row r="709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t="shared" si="107"/>
        <v/>
      </c>
    </row>
    <row r="710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t="shared" si="107"/>
        <v/>
      </c>
    </row>
    <row r="711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t="shared" si="107"/>
        <v/>
      </c>
    </row>
    <row r="712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t="shared" si="107"/>
        <v/>
      </c>
    </row>
    <row r="713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t="shared" si="107"/>
        <v/>
      </c>
    </row>
    <row r="714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t="shared" si="107"/>
        <v/>
      </c>
    </row>
    <row r="715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t="shared" si="107"/>
        <v/>
      </c>
    </row>
    <row r="716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t="shared" si="107"/>
        <v/>
      </c>
    </row>
    <row r="7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t="shared" si="107"/>
        <v/>
      </c>
    </row>
    <row r="718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t="shared" si="107"/>
        <v/>
      </c>
    </row>
    <row r="719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t="shared" si="107"/>
        <v/>
      </c>
    </row>
    <row r="720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t="shared" si="107"/>
        <v/>
      </c>
    </row>
    <row r="721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t="shared" si="107"/>
        <v/>
      </c>
    </row>
    <row r="722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t="shared" si="107"/>
        <v/>
      </c>
    </row>
    <row r="723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t="shared" si="107"/>
        <v/>
      </c>
    </row>
    <row r="724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t="shared" si="107"/>
        <v/>
      </c>
    </row>
    <row r="725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t="shared" si="107"/>
        <v/>
      </c>
    </row>
    <row r="726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t="shared" si="107"/>
        <v/>
      </c>
    </row>
    <row r="72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t="shared" si="107"/>
        <v/>
      </c>
    </row>
    <row r="728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t="shared" si="107"/>
        <v/>
      </c>
    </row>
    <row r="729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t="shared" si="107"/>
        <v/>
      </c>
    </row>
    <row r="730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t="shared" si="107"/>
        <v/>
      </c>
    </row>
    <row r="731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t="shared" si="107"/>
        <v/>
      </c>
    </row>
    <row r="732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t="shared" si="107"/>
        <v/>
      </c>
    </row>
    <row r="733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t="shared" si="107"/>
        <v/>
      </c>
    </row>
    <row r="734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t="shared" si="107"/>
        <v/>
      </c>
    </row>
    <row r="735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t="shared" si="107"/>
        <v/>
      </c>
    </row>
    <row r="736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t="shared" si="107"/>
        <v/>
      </c>
    </row>
    <row r="73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t="shared" si="107"/>
        <v/>
      </c>
    </row>
    <row r="738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t="shared" si="107"/>
        <v/>
      </c>
    </row>
    <row r="739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t="shared" si="107"/>
        <v/>
      </c>
    </row>
    <row r="740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t="shared" si="107"/>
        <v/>
      </c>
    </row>
    <row r="741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t="shared" si="107"/>
        <v/>
      </c>
    </row>
    <row r="742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t="shared" si="107"/>
        <v/>
      </c>
    </row>
    <row r="743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t="shared" si="107"/>
        <v/>
      </c>
    </row>
    <row r="744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t="shared" si="107"/>
        <v/>
      </c>
    </row>
    <row r="745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t="shared" si="107"/>
        <v/>
      </c>
    </row>
    <row r="746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t="shared" si="107"/>
        <v/>
      </c>
    </row>
    <row r="74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t="shared" si="107"/>
        <v/>
      </c>
    </row>
    <row r="748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t="shared" si="107"/>
        <v/>
      </c>
    </row>
    <row r="749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t="shared" si="107"/>
        <v/>
      </c>
    </row>
    <row r="750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t="shared" si="107"/>
        <v/>
      </c>
    </row>
    <row r="751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t="shared" si="107"/>
        <v/>
      </c>
    </row>
    <row r="752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t="shared" si="107"/>
        <v/>
      </c>
    </row>
    <row r="753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t="shared" si="107"/>
        <v/>
      </c>
    </row>
    <row r="754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t="shared" si="107"/>
        <v/>
      </c>
    </row>
    <row r="755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t="shared" si="107"/>
        <v/>
      </c>
    </row>
    <row r="756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t="shared" si="107"/>
        <v/>
      </c>
    </row>
    <row r="75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t="shared" si="107"/>
        <v/>
      </c>
    </row>
    <row r="758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t="shared" si="107"/>
        <v/>
      </c>
    </row>
    <row r="759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t="shared" si="107"/>
        <v/>
      </c>
    </row>
    <row r="760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t="shared" si="107"/>
        <v/>
      </c>
    </row>
    <row r="761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t="shared" si="107"/>
        <v/>
      </c>
    </row>
    <row r="762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t="shared" si="107"/>
        <v/>
      </c>
    </row>
    <row r="763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t="shared" si="107"/>
        <v/>
      </c>
    </row>
    <row r="764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t="shared" si="107"/>
        <v/>
      </c>
    </row>
    <row r="765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t="shared" si="107"/>
        <v/>
      </c>
    </row>
    <row r="766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t="shared" si="107"/>
        <v/>
      </c>
    </row>
    <row r="76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t="shared" si="107"/>
        <v/>
      </c>
    </row>
    <row r="768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t="shared" si="107"/>
        <v/>
      </c>
    </row>
    <row r="769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t="shared" si="107"/>
        <v/>
      </c>
    </row>
    <row r="770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t="shared" si="116"/>
        <v/>
      </c>
    </row>
    <row r="772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t="shared" si="116"/>
        <v/>
      </c>
    </row>
    <row r="773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t="shared" si="116"/>
        <v/>
      </c>
    </row>
    <row r="774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t="shared" si="116"/>
        <v/>
      </c>
    </row>
    <row r="775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t="shared" si="116"/>
        <v/>
      </c>
    </row>
    <row r="776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t="shared" si="116"/>
        <v/>
      </c>
    </row>
    <row r="77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t="shared" si="116"/>
        <v/>
      </c>
    </row>
    <row r="778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t="shared" si="116"/>
        <v/>
      </c>
    </row>
    <row r="779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t="shared" si="116"/>
        <v/>
      </c>
    </row>
    <row r="780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t="shared" si="116"/>
        <v/>
      </c>
    </row>
    <row r="781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t="shared" si="116"/>
        <v/>
      </c>
    </row>
    <row r="782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t="shared" si="116"/>
        <v/>
      </c>
    </row>
    <row r="783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t="shared" si="116"/>
        <v/>
      </c>
    </row>
    <row r="784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t="shared" si="116"/>
        <v/>
      </c>
    </row>
    <row r="785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t="shared" si="116"/>
        <v/>
      </c>
    </row>
    <row r="786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t="shared" si="116"/>
        <v/>
      </c>
    </row>
    <row r="78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t="shared" si="116"/>
        <v/>
      </c>
    </row>
    <row r="788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t="shared" si="116"/>
        <v/>
      </c>
    </row>
    <row r="789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t="shared" si="116"/>
        <v/>
      </c>
    </row>
    <row r="790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t="shared" si="116"/>
        <v/>
      </c>
    </row>
    <row r="791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t="shared" si="116"/>
        <v/>
      </c>
    </row>
    <row r="792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t="shared" si="116"/>
        <v/>
      </c>
    </row>
    <row r="793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t="shared" si="116"/>
        <v/>
      </c>
    </row>
    <row r="794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t="shared" si="116"/>
        <v/>
      </c>
    </row>
    <row r="795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t="shared" si="116"/>
        <v/>
      </c>
    </row>
    <row r="796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t="shared" si="116"/>
        <v/>
      </c>
    </row>
    <row r="79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t="shared" si="116"/>
        <v/>
      </c>
    </row>
    <row r="798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t="shared" si="116"/>
        <v/>
      </c>
    </row>
    <row r="799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t="shared" si="116"/>
        <v/>
      </c>
    </row>
    <row r="800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t="shared" si="116"/>
        <v/>
      </c>
    </row>
    <row r="801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t="shared" si="116"/>
        <v/>
      </c>
    </row>
    <row r="802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t="shared" si="116"/>
        <v/>
      </c>
    </row>
    <row r="803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t="shared" si="116"/>
        <v/>
      </c>
    </row>
    <row r="804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t="shared" si="116"/>
        <v/>
      </c>
    </row>
    <row r="805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t="shared" si="116"/>
        <v/>
      </c>
    </row>
    <row r="806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t="shared" si="116"/>
        <v/>
      </c>
    </row>
    <row r="80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t="shared" si="116"/>
        <v/>
      </c>
    </row>
    <row r="808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t="shared" si="116"/>
        <v/>
      </c>
    </row>
    <row r="809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t="shared" si="116"/>
        <v/>
      </c>
    </row>
    <row r="810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t="shared" si="116"/>
        <v/>
      </c>
    </row>
    <row r="811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t="shared" si="116"/>
        <v/>
      </c>
    </row>
    <row r="812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t="shared" si="116"/>
        <v/>
      </c>
    </row>
    <row r="813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t="shared" si="116"/>
        <v/>
      </c>
    </row>
    <row r="814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t="shared" si="116"/>
        <v/>
      </c>
    </row>
    <row r="815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t="shared" si="116"/>
        <v/>
      </c>
    </row>
    <row r="816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t="shared" si="116"/>
        <v/>
      </c>
    </row>
    <row r="8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t="shared" si="116"/>
        <v/>
      </c>
    </row>
    <row r="818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t="shared" si="116"/>
        <v/>
      </c>
    </row>
    <row r="819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t="shared" si="116"/>
        <v/>
      </c>
    </row>
    <row r="820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t="shared" si="116"/>
        <v/>
      </c>
    </row>
    <row r="821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t="shared" si="116"/>
        <v/>
      </c>
    </row>
    <row r="822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t="shared" si="116"/>
        <v/>
      </c>
    </row>
    <row r="823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t="shared" si="116"/>
        <v/>
      </c>
    </row>
    <row r="824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t="shared" si="116"/>
        <v/>
      </c>
    </row>
    <row r="825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t="shared" si="116"/>
        <v/>
      </c>
    </row>
    <row r="826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t="shared" si="116"/>
        <v/>
      </c>
    </row>
    <row r="82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t="shared" si="116"/>
        <v/>
      </c>
    </row>
    <row r="828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t="shared" si="116"/>
        <v/>
      </c>
    </row>
    <row r="829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t="shared" si="116"/>
        <v/>
      </c>
    </row>
    <row r="830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t="shared" si="116"/>
        <v/>
      </c>
    </row>
    <row r="831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t="shared" si="116"/>
        <v/>
      </c>
    </row>
    <row r="832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t="shared" si="116"/>
        <v/>
      </c>
    </row>
    <row r="833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t="shared" si="116"/>
        <v/>
      </c>
    </row>
    <row r="834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t="shared" si="125"/>
        <v/>
      </c>
    </row>
    <row r="836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t="shared" si="125"/>
        <v/>
      </c>
    </row>
    <row r="83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t="shared" si="125"/>
        <v/>
      </c>
    </row>
    <row r="838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t="shared" si="125"/>
        <v/>
      </c>
    </row>
    <row r="839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t="shared" si="125"/>
        <v/>
      </c>
    </row>
    <row r="840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t="shared" si="125"/>
        <v/>
      </c>
    </row>
    <row r="841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t="shared" si="125"/>
        <v/>
      </c>
    </row>
    <row r="842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t="shared" si="125"/>
        <v/>
      </c>
    </row>
    <row r="843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t="shared" si="125"/>
        <v/>
      </c>
    </row>
    <row r="844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t="shared" si="125"/>
        <v/>
      </c>
    </row>
    <row r="845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t="shared" si="125"/>
        <v/>
      </c>
    </row>
    <row r="846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t="shared" si="125"/>
        <v/>
      </c>
    </row>
    <row r="84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t="shared" si="125"/>
        <v/>
      </c>
    </row>
    <row r="848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t="shared" si="125"/>
        <v/>
      </c>
    </row>
    <row r="849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t="shared" si="125"/>
        <v/>
      </c>
    </row>
    <row r="850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t="shared" si="125"/>
        <v/>
      </c>
    </row>
    <row r="851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t="shared" si="125"/>
        <v/>
      </c>
    </row>
    <row r="852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t="shared" si="125"/>
        <v/>
      </c>
    </row>
    <row r="853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t="shared" si="125"/>
        <v/>
      </c>
    </row>
    <row r="854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t="shared" si="125"/>
        <v/>
      </c>
    </row>
    <row r="855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t="shared" si="125"/>
        <v/>
      </c>
    </row>
    <row r="856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t="shared" si="125"/>
        <v/>
      </c>
    </row>
    <row r="85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t="shared" si="125"/>
        <v/>
      </c>
    </row>
    <row r="858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t="shared" si="125"/>
        <v/>
      </c>
    </row>
    <row r="859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t="shared" si="125"/>
        <v/>
      </c>
    </row>
    <row r="860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t="shared" si="125"/>
        <v/>
      </c>
    </row>
    <row r="861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t="shared" si="125"/>
        <v/>
      </c>
    </row>
    <row r="862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t="shared" si="125"/>
        <v/>
      </c>
    </row>
    <row r="863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t="shared" si="125"/>
        <v/>
      </c>
    </row>
    <row r="864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t="shared" si="125"/>
        <v/>
      </c>
    </row>
    <row r="865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t="shared" si="125"/>
        <v/>
      </c>
    </row>
    <row r="866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t="shared" si="125"/>
        <v/>
      </c>
    </row>
    <row r="86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t="shared" si="125"/>
        <v/>
      </c>
    </row>
    <row r="868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t="shared" si="125"/>
        <v/>
      </c>
    </row>
    <row r="869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t="shared" si="125"/>
        <v/>
      </c>
    </row>
    <row r="870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t="shared" si="125"/>
        <v/>
      </c>
    </row>
    <row r="871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t="shared" si="125"/>
        <v/>
      </c>
    </row>
    <row r="872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t="shared" si="125"/>
        <v/>
      </c>
    </row>
    <row r="873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t="shared" si="125"/>
        <v/>
      </c>
    </row>
    <row r="874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t="shared" si="125"/>
        <v/>
      </c>
    </row>
    <row r="875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t="shared" si="125"/>
        <v/>
      </c>
    </row>
    <row r="876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t="shared" si="125"/>
        <v/>
      </c>
    </row>
    <row r="87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t="shared" si="125"/>
        <v/>
      </c>
    </row>
    <row r="878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t="shared" si="125"/>
        <v/>
      </c>
    </row>
    <row r="879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t="shared" si="125"/>
        <v/>
      </c>
    </row>
    <row r="880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t="shared" si="125"/>
        <v/>
      </c>
    </row>
    <row r="881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t="shared" si="125"/>
        <v/>
      </c>
    </row>
    <row r="882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t="shared" si="125"/>
        <v/>
      </c>
    </row>
    <row r="883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t="shared" si="125"/>
        <v/>
      </c>
    </row>
    <row r="884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t="shared" si="125"/>
        <v/>
      </c>
    </row>
    <row r="885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t="shared" si="125"/>
        <v/>
      </c>
    </row>
    <row r="886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t="shared" si="125"/>
        <v/>
      </c>
    </row>
    <row r="88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t="shared" si="125"/>
        <v/>
      </c>
    </row>
    <row r="888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t="shared" si="125"/>
        <v/>
      </c>
    </row>
    <row r="889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t="shared" si="125"/>
        <v/>
      </c>
    </row>
    <row r="890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t="shared" si="125"/>
        <v/>
      </c>
    </row>
    <row r="891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t="shared" si="125"/>
        <v/>
      </c>
    </row>
    <row r="892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t="shared" si="125"/>
        <v/>
      </c>
    </row>
    <row r="893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t="shared" si="125"/>
        <v/>
      </c>
    </row>
    <row r="894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t="shared" si="125"/>
        <v/>
      </c>
    </row>
    <row r="895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t="shared" si="125"/>
        <v/>
      </c>
    </row>
    <row r="896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t="shared" si="125"/>
        <v/>
      </c>
    </row>
    <row r="89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t="shared" si="125"/>
        <v/>
      </c>
    </row>
    <row r="898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t="shared" si="134"/>
        <v/>
      </c>
    </row>
    <row r="900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t="shared" si="134"/>
        <v/>
      </c>
    </row>
    <row r="901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t="shared" si="134"/>
        <v/>
      </c>
    </row>
    <row r="902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t="shared" si="134"/>
        <v/>
      </c>
    </row>
    <row r="903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t="shared" si="134"/>
        <v/>
      </c>
    </row>
    <row r="904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t="shared" si="134"/>
        <v/>
      </c>
    </row>
    <row r="905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t="shared" si="134"/>
        <v/>
      </c>
    </row>
    <row r="906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t="shared" si="134"/>
        <v/>
      </c>
    </row>
    <row r="90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t="shared" si="134"/>
        <v/>
      </c>
    </row>
    <row r="908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t="shared" si="134"/>
        <v/>
      </c>
    </row>
    <row r="909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t="shared" si="134"/>
        <v/>
      </c>
    </row>
    <row r="910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t="shared" si="134"/>
        <v/>
      </c>
    </row>
    <row r="911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t="shared" si="134"/>
        <v/>
      </c>
    </row>
    <row r="912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t="shared" si="134"/>
        <v/>
      </c>
    </row>
    <row r="913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t="shared" si="134"/>
        <v/>
      </c>
    </row>
    <row r="914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t="shared" si="134"/>
        <v/>
      </c>
    </row>
    <row r="915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t="shared" si="134"/>
        <v/>
      </c>
    </row>
    <row r="916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t="shared" si="134"/>
        <v/>
      </c>
    </row>
    <row r="9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t="shared" si="134"/>
        <v/>
      </c>
    </row>
    <row r="918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t="shared" si="134"/>
        <v/>
      </c>
    </row>
    <row r="919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t="shared" si="134"/>
        <v/>
      </c>
    </row>
    <row r="920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t="shared" si="134"/>
        <v/>
      </c>
    </row>
    <row r="921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t="shared" si="134"/>
        <v/>
      </c>
    </row>
    <row r="922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t="shared" si="134"/>
        <v/>
      </c>
    </row>
    <row r="923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t="shared" si="134"/>
        <v/>
      </c>
    </row>
    <row r="924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t="shared" si="134"/>
        <v/>
      </c>
    </row>
    <row r="925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t="shared" si="134"/>
        <v/>
      </c>
    </row>
    <row r="926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t="shared" si="134"/>
        <v/>
      </c>
    </row>
    <row r="92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t="shared" si="134"/>
        <v/>
      </c>
    </row>
    <row r="928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t="shared" si="134"/>
        <v/>
      </c>
    </row>
    <row r="929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t="shared" si="134"/>
        <v/>
      </c>
    </row>
    <row r="930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t="shared" si="134"/>
        <v/>
      </c>
    </row>
    <row r="931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t="shared" si="134"/>
        <v/>
      </c>
    </row>
    <row r="932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t="shared" si="134"/>
        <v/>
      </c>
    </row>
    <row r="933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t="shared" si="134"/>
        <v/>
      </c>
    </row>
    <row r="934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t="shared" si="134"/>
        <v/>
      </c>
    </row>
    <row r="935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t="shared" si="134"/>
        <v/>
      </c>
    </row>
    <row r="936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t="shared" si="134"/>
        <v/>
      </c>
    </row>
    <row r="93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t="shared" si="134"/>
        <v/>
      </c>
    </row>
    <row r="938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t="shared" si="134"/>
        <v/>
      </c>
    </row>
    <row r="939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t="shared" si="134"/>
        <v/>
      </c>
    </row>
    <row r="940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t="shared" si="134"/>
        <v/>
      </c>
    </row>
    <row r="941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t="shared" si="134"/>
        <v/>
      </c>
    </row>
    <row r="942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t="shared" si="134"/>
        <v/>
      </c>
    </row>
    <row r="943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t="shared" si="134"/>
        <v/>
      </c>
    </row>
    <row r="944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t="shared" si="134"/>
        <v/>
      </c>
    </row>
    <row r="945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t="shared" si="134"/>
        <v/>
      </c>
    </row>
    <row r="946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t="shared" si="134"/>
        <v/>
      </c>
    </row>
    <row r="94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t="shared" si="134"/>
        <v/>
      </c>
    </row>
    <row r="948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t="shared" si="134"/>
        <v/>
      </c>
    </row>
    <row r="949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t="shared" si="134"/>
        <v/>
      </c>
    </row>
    <row r="950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t="shared" si="134"/>
        <v/>
      </c>
    </row>
    <row r="951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t="shared" si="134"/>
        <v/>
      </c>
    </row>
    <row r="952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t="shared" si="134"/>
        <v/>
      </c>
    </row>
    <row r="953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t="shared" si="134"/>
        <v/>
      </c>
    </row>
    <row r="954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t="shared" si="134"/>
        <v/>
      </c>
    </row>
    <row r="955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t="shared" si="134"/>
        <v/>
      </c>
    </row>
    <row r="956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t="shared" si="134"/>
        <v/>
      </c>
    </row>
    <row r="95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t="shared" si="134"/>
        <v/>
      </c>
    </row>
    <row r="958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t="shared" si="134"/>
        <v/>
      </c>
    </row>
    <row r="959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t="shared" si="134"/>
        <v/>
      </c>
    </row>
    <row r="960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t="shared" si="134"/>
        <v/>
      </c>
    </row>
    <row r="961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t="shared" si="134"/>
        <v/>
      </c>
    </row>
    <row r="962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t="shared" si="143"/>
        <v/>
      </c>
    </row>
    <row r="964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t="shared" si="143"/>
        <v/>
      </c>
    </row>
    <row r="965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t="shared" si="143"/>
        <v/>
      </c>
    </row>
    <row r="966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t="shared" si="143"/>
        <v/>
      </c>
    </row>
    <row r="96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t="shared" si="143"/>
        <v/>
      </c>
    </row>
    <row r="968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t="shared" si="143"/>
        <v/>
      </c>
    </row>
    <row r="969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t="shared" si="143"/>
        <v/>
      </c>
    </row>
    <row r="970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t="shared" si="143"/>
        <v/>
      </c>
    </row>
    <row r="971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t="shared" si="143"/>
        <v/>
      </c>
    </row>
    <row r="972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t="shared" si="143"/>
        <v/>
      </c>
    </row>
    <row r="973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t="shared" si="143"/>
        <v/>
      </c>
    </row>
    <row r="974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t="shared" si="143"/>
        <v/>
      </c>
    </row>
    <row r="975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t="shared" si="143"/>
        <v/>
      </c>
    </row>
    <row r="976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t="shared" si="143"/>
        <v/>
      </c>
    </row>
    <row r="97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t="shared" si="143"/>
        <v/>
      </c>
    </row>
    <row r="978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t="shared" si="143"/>
        <v/>
      </c>
    </row>
    <row r="979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t="shared" si="143"/>
        <v/>
      </c>
    </row>
    <row r="980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t="shared" si="143"/>
        <v/>
      </c>
    </row>
    <row r="981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t="shared" si="143"/>
        <v/>
      </c>
    </row>
    <row r="982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t="shared" si="143"/>
        <v/>
      </c>
    </row>
    <row r="983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t="shared" si="143"/>
        <v/>
      </c>
    </row>
    <row r="984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t="shared" si="143"/>
        <v/>
      </c>
    </row>
    <row r="985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t="shared" si="143"/>
        <v/>
      </c>
    </row>
    <row r="986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t="shared" si="143"/>
        <v/>
      </c>
    </row>
    <row r="98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t="shared" si="143"/>
        <v/>
      </c>
    </row>
    <row r="988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t="shared" si="143"/>
        <v/>
      </c>
    </row>
    <row r="989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t="shared" si="143"/>
        <v/>
      </c>
    </row>
    <row r="990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t="shared" si="143"/>
        <v/>
      </c>
    </row>
    <row r="991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t="shared" si="143"/>
        <v/>
      </c>
    </row>
    <row r="992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t="shared" si="143"/>
        <v/>
      </c>
    </row>
    <row r="993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t="shared" si="143"/>
        <v/>
      </c>
    </row>
    <row r="994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t="shared" si="143"/>
        <v/>
      </c>
    </row>
    <row r="995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t="shared" si="143"/>
        <v/>
      </c>
    </row>
    <row r="996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t="shared" si="143"/>
        <v/>
      </c>
    </row>
    <row r="99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t="shared" si="143"/>
        <v/>
      </c>
    </row>
    <row r="998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t="shared" si="143"/>
        <v/>
      </c>
    </row>
    <row r="999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t="shared" si="143"/>
        <v/>
      </c>
    </row>
    <row r="1000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t="shared" si="143"/>
        <v/>
      </c>
    </row>
    <row r="1001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t="shared" si="143"/>
        <v/>
      </c>
    </row>
  </sheetData>
  <phoneticPr fontId="10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 xr:uid="{00000000-0002-0000-0100-000003000000}">
      <formula1>OR(G2="",AND(ISNUMBER(G2),G2&gt;0,G2=INT(G2),MOD(G2,100)=0))</formula1>
    </dataValidation>
    <dataValidation type="decimal" operator="greaterThan" showErrorMessage="1" errorTitle="金额无效" error="请输入大于0的数值" sqref="D2:F1001" xr:uid="{00000000-0002-0000-0100-000004000000}">
      <formula1>0</formula1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79</v>
      </c>
      <c r="C1" s="1" t="s">
        <v>80</v>
      </c>
    </row>
    <row r="2" spans="1:3">
      <c r="A2" s="2" t="s">
        <v>81</v>
      </c>
      <c r="B2" s="6">
        <f>COUNT(单次交易!M2:M201)</f>
        <v>68</v>
      </c>
      <c r="C2" s="2" t="s">
        <v>82</v>
      </c>
    </row>
    <row r="3" spans="1:3">
      <c r="A3" s="2" t="s">
        <v>83</v>
      </c>
      <c r="B3" s="6">
        <f>COUNTIF(单次交易!X2:X201,"&gt;0")</f>
        <v>30</v>
      </c>
      <c r="C3" s="2" t="s">
        <v>84</v>
      </c>
    </row>
    <row r="4" spans="1:3">
      <c r="A4" s="2" t="s">
        <v>85</v>
      </c>
      <c r="B4" s="6">
        <f>COUNTIF(单次交易!X2:X201,"&lt;0")</f>
        <v>37</v>
      </c>
      <c r="C4" s="2" t="s">
        <v>86</v>
      </c>
    </row>
    <row r="5" spans="1:3">
      <c r="A5" s="2" t="s">
        <v>87</v>
      </c>
      <c r="B5" s="6">
        <f>COUNTIFS(单次交易!M2:M201,"&lt;&gt;",单次交易!X2:X201,"=0")</f>
        <v>1</v>
      </c>
      <c r="C5" s="2" t="s">
        <v>88</v>
      </c>
    </row>
    <row r="6" spans="1:3">
      <c r="A6" s="2" t="s">
        <v>89</v>
      </c>
      <c r="B6" s="5">
        <f>IFERROR(B3/(B3+B4),"")</f>
        <v>0.44776119402985076</v>
      </c>
      <c r="C6" s="2" t="s">
        <v>90</v>
      </c>
    </row>
    <row r="7" spans="1:3">
      <c r="A7" s="2" t="s">
        <v>91</v>
      </c>
      <c r="B7" s="5">
        <f>IFERROR(B4/(B3+B4),"")</f>
        <v>0.55223880597014929</v>
      </c>
      <c r="C7" s="2" t="s">
        <v>92</v>
      </c>
    </row>
    <row r="8" spans="1:3">
      <c r="A8" s="2" t="s">
        <v>93</v>
      </c>
      <c r="B8" s="5">
        <f>IFERROR(AVERAGEIF(单次交易!X2:X201,"&gt;0",单次交易!AE2:AE201),"")</f>
        <v>9.1029895240337902E-2</v>
      </c>
      <c r="C8" s="2" t="s">
        <v>94</v>
      </c>
    </row>
    <row r="9" spans="1:3">
      <c r="A9" s="2" t="s">
        <v>95</v>
      </c>
      <c r="B9" s="5">
        <f>IFERROR(-AVERAGEIF(单次交易!X2:X201,"&lt;0",单次交易!AE2:AE201),"")</f>
        <v>1.8361426434476306E-2</v>
      </c>
      <c r="C9" s="2" t="s">
        <v>96</v>
      </c>
    </row>
    <row r="10" spans="1:3">
      <c r="A10" s="2" t="s">
        <v>97</v>
      </c>
      <c r="B10" s="6">
        <f>SUMIF(单次交易!X2:X201,"&gt;0",单次交易!AA2:AA201)</f>
        <v>1532</v>
      </c>
      <c r="C10" s="2" t="s">
        <v>98</v>
      </c>
    </row>
    <row r="11" spans="1:3">
      <c r="A11" s="2" t="s">
        <v>99</v>
      </c>
      <c r="B11" s="6">
        <f>SUMIF(单次交易!X2:X201,"&lt;0",单次交易!AA2:AA201)</f>
        <v>788</v>
      </c>
      <c r="C11" s="2" t="s">
        <v>98</v>
      </c>
    </row>
    <row r="12" spans="1:3">
      <c r="A12" s="2" t="s">
        <v>100</v>
      </c>
      <c r="B12" s="3">
        <f>IFERROR(SUMPRODUCT(单次交易!AO2:AO201,单次交易!AP2:AP201)/COUNT(单次交易!AP2:AP201),"")</f>
        <v>136318.08823529413</v>
      </c>
      <c r="C12" s="2" t="s">
        <v>101</v>
      </c>
    </row>
    <row r="13" spans="1:3">
      <c r="A13" s="2" t="s">
        <v>102</v>
      </c>
      <c r="B13" s="5">
        <f>IF(OR(B6="",B7="",B8="",B9=""),"",B6*B8-B7*B9)</f>
        <v>3.0619762375141999E-2</v>
      </c>
      <c r="C13" s="2" t="s">
        <v>103</v>
      </c>
    </row>
    <row r="14" spans="1:3">
      <c r="A14" s="2" t="s">
        <v>104</v>
      </c>
      <c r="B14" s="5">
        <f>IF(COUNT(单次交易!AE2:AE201)=0,"",EXP(SUMPRODUCT(IFERROR(LN(1+单次交易!AE2:AE201),0)))-1)</f>
        <v>-2.9438702080334944E-2</v>
      </c>
      <c r="C14" s="2" t="s">
        <v>105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workbookViewId="0">
      <pane ySplit="1" topLeftCell="A2" activePane="bottomLeft" state="frozen"/>
      <selection pane="bottomLeft" activeCell="C28" sqref="C2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106</v>
      </c>
      <c r="C1" s="1" t="s">
        <v>107</v>
      </c>
    </row>
    <row r="2" spans="1:3">
      <c r="A2" s="2" t="s">
        <v>108</v>
      </c>
      <c r="B2" s="7">
        <v>100000</v>
      </c>
      <c r="C2" s="2" t="s">
        <v>109</v>
      </c>
    </row>
    <row r="3" spans="1:3">
      <c r="A3" s="2" t="s">
        <v>110</v>
      </c>
      <c r="B3" s="3">
        <f>IF(B2="","",B2+SUM(单次交易!X2:X201))</f>
        <v>558729</v>
      </c>
      <c r="C3" s="2" t="s">
        <v>111</v>
      </c>
    </row>
    <row r="4" spans="1:3">
      <c r="A4" s="2" t="s">
        <v>112</v>
      </c>
      <c r="B4" s="4">
        <v>0.02</v>
      </c>
      <c r="C4" s="2" t="s">
        <v>113</v>
      </c>
    </row>
    <row r="5" spans="1:3">
      <c r="A5" s="2" t="s">
        <v>114</v>
      </c>
      <c r="B5" s="3">
        <f>IF(B3="","",B3*B4)</f>
        <v>11174.58</v>
      </c>
      <c r="C5" s="2" t="s">
        <v>115</v>
      </c>
    </row>
    <row r="6" spans="1:3">
      <c r="A6" s="2" t="s">
        <v>116</v>
      </c>
      <c r="B6" s="4">
        <v>0.06</v>
      </c>
      <c r="C6" s="2" t="s">
        <v>117</v>
      </c>
    </row>
    <row r="7" spans="1:3">
      <c r="A7" s="2" t="s">
        <v>118</v>
      </c>
      <c r="B7" s="3">
        <f>IF(B3="","",B3*B6)</f>
        <v>33523.74</v>
      </c>
      <c r="C7" s="2" t="s">
        <v>119</v>
      </c>
    </row>
    <row r="8" spans="1:3">
      <c r="A8" s="2" t="s">
        <v>120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121</v>
      </c>
    </row>
    <row r="9" spans="1:3">
      <c r="A9" s="2" t="s">
        <v>122</v>
      </c>
      <c r="B9" s="3">
        <f>IFERROR(SUM(单次交易!AQ2:AQ201),0)</f>
        <v>0</v>
      </c>
      <c r="C9" s="2" t="s">
        <v>123</v>
      </c>
    </row>
    <row r="10" spans="1:3">
      <c r="A10" s="2" t="s">
        <v>124</v>
      </c>
      <c r="B10" s="3">
        <f>IF(OR(B7="",B9=""),"",B7-B9)</f>
        <v>33523.74</v>
      </c>
      <c r="C10" s="2" t="s">
        <v>125</v>
      </c>
    </row>
    <row r="11" spans="1:3">
      <c r="A11" s="2" t="s">
        <v>126</v>
      </c>
      <c r="B11" s="5">
        <f>IF(OR(B2="",B3="",B2&lt;=0),"",B3/B2-1)</f>
        <v>4.5872900000000003</v>
      </c>
      <c r="C11" s="2" t="s">
        <v>127</v>
      </c>
    </row>
    <row r="12" spans="1:3">
      <c r="A12" s="2"/>
      <c r="B12" s="2"/>
      <c r="C12" s="2"/>
    </row>
    <row r="13" spans="1:3">
      <c r="A13" s="2" t="s">
        <v>128</v>
      </c>
      <c r="B13" s="4">
        <v>0.06</v>
      </c>
      <c r="C13" s="2" t="s">
        <v>129</v>
      </c>
    </row>
    <row r="14" spans="1:3">
      <c r="A14" s="2" t="s">
        <v>130</v>
      </c>
      <c r="B14" s="8">
        <f>IFERROR(LOOKUP(2,1/((单次交易!$M$2:$M$201&lt;&gt;"")*(单次交易!$X$2:$X$201&gt;0)),ROW(单次交易!$X$2:$X$201)-1),0)</f>
        <v>68</v>
      </c>
      <c r="C14" s="2" t="s">
        <v>131</v>
      </c>
    </row>
    <row r="15" spans="1:3">
      <c r="A15" s="2" t="s">
        <v>132</v>
      </c>
      <c r="B15" s="8">
        <f>IFERROR(LOOKUP(2,1/(单次交易!$M$2:$M$201&lt;&gt;""),ROW(单次交易!$M$2:$M$201)-1),0)</f>
        <v>68</v>
      </c>
      <c r="C15" s="2" t="s">
        <v>133</v>
      </c>
    </row>
    <row r="16" spans="1:3">
      <c r="A16" s="2" t="s">
        <v>134</v>
      </c>
      <c r="B16" s="9">
        <v>48</v>
      </c>
      <c r="C16" s="2" t="s">
        <v>135</v>
      </c>
    </row>
    <row r="17" spans="1:3" ht="27" customHeight="1">
      <c r="A17" s="2" t="s">
        <v>136</v>
      </c>
      <c r="B17" s="10" t="s">
        <v>137</v>
      </c>
      <c r="C17" s="11" t="s">
        <v>138</v>
      </c>
    </row>
    <row r="18" spans="1:3">
      <c r="A18" s="2" t="s">
        <v>139</v>
      </c>
      <c r="B18" s="8">
        <f>MAX(B14,IF(AND(ISNUMBER(B16),B16&gt;=1,B16&lt;=B15,B17&lt;&gt;""),B16,0))</f>
        <v>68</v>
      </c>
      <c r="C18" s="2" t="s">
        <v>140</v>
      </c>
    </row>
    <row r="19" spans="1:3">
      <c r="A19" s="2" t="s">
        <v>141</v>
      </c>
      <c r="B19" s="3">
        <f>IF(B2="","",IF(B18=0,B2,B2+SUM(单次交易!$X$2:INDEX(单次交易!$X:$X,B18+1))))</f>
        <v>558729</v>
      </c>
      <c r="C19" s="2" t="s">
        <v>142</v>
      </c>
    </row>
    <row r="20" spans="1:3">
      <c r="A20" s="2" t="s">
        <v>143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144</v>
      </c>
    </row>
    <row r="21" spans="1:3">
      <c r="A21" s="2" t="s">
        <v>145</v>
      </c>
      <c r="B21" s="5">
        <f>IF(OR(B19="",B19&lt;=0),"",B20/B19)</f>
        <v>0</v>
      </c>
      <c r="C21" s="2" t="s">
        <v>146</v>
      </c>
    </row>
    <row r="22" spans="1:3">
      <c r="A22" s="2" t="s">
        <v>147</v>
      </c>
      <c r="B22" s="5">
        <f>IF(OR(B13="",B13&lt;=0,B21=""),"",B21/B13)</f>
        <v>0</v>
      </c>
      <c r="C22" s="2" t="s">
        <v>148</v>
      </c>
    </row>
    <row r="23" spans="1:3">
      <c r="A23" s="2" t="s">
        <v>149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150</v>
      </c>
    </row>
  </sheetData>
  <phoneticPr fontId="10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106</v>
      </c>
      <c r="C1" s="1" t="s">
        <v>80</v>
      </c>
    </row>
    <row r="2" spans="1:3">
      <c r="A2" s="2" t="s">
        <v>151</v>
      </c>
      <c r="B2" s="3">
        <f>账户数据!B3</f>
        <v>558729</v>
      </c>
      <c r="C2" s="2" t="s">
        <v>152</v>
      </c>
    </row>
    <row r="3" spans="1:3">
      <c r="A3" s="2" t="s">
        <v>153</v>
      </c>
      <c r="B3" s="4">
        <v>0.1</v>
      </c>
      <c r="C3" s="2" t="s">
        <v>154</v>
      </c>
    </row>
    <row r="4" spans="1:3">
      <c r="A4" s="2" t="s">
        <v>155</v>
      </c>
      <c r="B4" s="3">
        <f>IF(OR(B2="",B3=""),"",B2*B3)</f>
        <v>55872.9</v>
      </c>
      <c r="C4" s="2" t="s">
        <v>156</v>
      </c>
    </row>
    <row r="5" spans="1:3">
      <c r="A5" s="2" t="s">
        <v>100</v>
      </c>
      <c r="B5" s="3">
        <f>多次统计数据!B12</f>
        <v>136318.08823529413</v>
      </c>
      <c r="C5" s="2" t="s">
        <v>157</v>
      </c>
    </row>
    <row r="6" spans="1:3">
      <c r="A6" s="2" t="s">
        <v>158</v>
      </c>
      <c r="B6" s="5">
        <f>多次统计数据!B13</f>
        <v>3.0619762375141999E-2</v>
      </c>
      <c r="C6" s="2" t="s">
        <v>159</v>
      </c>
    </row>
    <row r="7" spans="1:3">
      <c r="A7" s="2" t="s">
        <v>160</v>
      </c>
      <c r="B7" s="6">
        <f>IF(OR(B3="",B6="",B3&lt;=0,B6&lt;=0),"暂不可计算",ROUNDUP(LN(1+B3)/LN(1+B6),0))</f>
        <v>4</v>
      </c>
      <c r="C7" s="2" t="s">
        <v>161</v>
      </c>
    </row>
  </sheetData>
  <phoneticPr fontId="10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created xsi:type="dcterms:W3CDTF">2026-09-12T07:57:25Z</dcterms:created>
  <dcterms:modified xsi:type="dcterms:W3CDTF">2026-09-16T01:35:08Z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