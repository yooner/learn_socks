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01902289-B974-4D3B-A5C4-1405022D4E90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H1000" i="2"/>
  <c r="R999" i="2"/>
  <c r="L999" i="2"/>
  <c r="M999" i="2" s="1"/>
  <c r="J999" i="2"/>
  <c r="I999" i="2"/>
  <c r="O999" i="2" s="1"/>
  <c r="H999" i="2"/>
  <c r="R998" i="2"/>
  <c r="L998" i="2"/>
  <c r="J998" i="2"/>
  <c r="I998" i="2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O992" i="2" s="1"/>
  <c r="P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O990" i="2" s="1"/>
  <c r="P990" i="2" s="1"/>
  <c r="H990" i="2"/>
  <c r="R989" i="2"/>
  <c r="L989" i="2"/>
  <c r="J989" i="2"/>
  <c r="I989" i="2"/>
  <c r="O989" i="2" s="1"/>
  <c r="H989" i="2"/>
  <c r="R988" i="2"/>
  <c r="L988" i="2"/>
  <c r="M988" i="2" s="1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J985" i="2"/>
  <c r="I985" i="2"/>
  <c r="H985" i="2"/>
  <c r="R984" i="2"/>
  <c r="L984" i="2"/>
  <c r="J984" i="2"/>
  <c r="I984" i="2"/>
  <c r="H984" i="2"/>
  <c r="R983" i="2"/>
  <c r="L983" i="2"/>
  <c r="M983" i="2" s="1"/>
  <c r="J983" i="2"/>
  <c r="I983" i="2"/>
  <c r="O983" i="2" s="1"/>
  <c r="P983" i="2" s="1"/>
  <c r="H983" i="2"/>
  <c r="R982" i="2"/>
  <c r="L982" i="2"/>
  <c r="M982" i="2" s="1"/>
  <c r="N982" i="2" s="1"/>
  <c r="J982" i="2"/>
  <c r="I982" i="2"/>
  <c r="H982" i="2"/>
  <c r="R981" i="2"/>
  <c r="L981" i="2"/>
  <c r="M981" i="2" s="1"/>
  <c r="J981" i="2"/>
  <c r="I981" i="2"/>
  <c r="O981" i="2" s="1"/>
  <c r="P981" i="2" s="1"/>
  <c r="H981" i="2"/>
  <c r="R980" i="2"/>
  <c r="L980" i="2"/>
  <c r="J980" i="2"/>
  <c r="I980" i="2"/>
  <c r="O980" i="2" s="1"/>
  <c r="H980" i="2"/>
  <c r="R979" i="2"/>
  <c r="L979" i="2"/>
  <c r="M979" i="2" s="1"/>
  <c r="N979" i="2" s="1"/>
  <c r="J979" i="2"/>
  <c r="I979" i="2"/>
  <c r="O979" i="2" s="1"/>
  <c r="P979" i="2" s="1"/>
  <c r="H979" i="2"/>
  <c r="R978" i="2"/>
  <c r="L978" i="2"/>
  <c r="J978" i="2"/>
  <c r="I978" i="2"/>
  <c r="H978" i="2"/>
  <c r="R977" i="2"/>
  <c r="L977" i="2"/>
  <c r="J977" i="2"/>
  <c r="I977" i="2"/>
  <c r="O977" i="2" s="1"/>
  <c r="Q977" i="2" s="1"/>
  <c r="H977" i="2"/>
  <c r="R976" i="2"/>
  <c r="L976" i="2"/>
  <c r="M976" i="2" s="1"/>
  <c r="J976" i="2"/>
  <c r="I976" i="2"/>
  <c r="O976" i="2" s="1"/>
  <c r="H976" i="2"/>
  <c r="R975" i="2"/>
  <c r="L975" i="2"/>
  <c r="M975" i="2" s="1"/>
  <c r="J975" i="2"/>
  <c r="I975" i="2"/>
  <c r="H975" i="2"/>
  <c r="R974" i="2"/>
  <c r="L974" i="2"/>
  <c r="M974" i="2" s="1"/>
  <c r="J974" i="2"/>
  <c r="I974" i="2"/>
  <c r="O974" i="2" s="1"/>
  <c r="H974" i="2"/>
  <c r="R973" i="2"/>
  <c r="L973" i="2"/>
  <c r="M973" i="2" s="1"/>
  <c r="N973" i="2" s="1"/>
  <c r="J973" i="2"/>
  <c r="I973" i="2"/>
  <c r="O973" i="2" s="1"/>
  <c r="Q973" i="2" s="1"/>
  <c r="H973" i="2"/>
  <c r="R972" i="2"/>
  <c r="L972" i="2"/>
  <c r="J972" i="2"/>
  <c r="I972" i="2"/>
  <c r="O972" i="2" s="1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H969" i="2"/>
  <c r="R968" i="2"/>
  <c r="L968" i="2"/>
  <c r="M968" i="2" s="1"/>
  <c r="N968" i="2" s="1"/>
  <c r="J968" i="2"/>
  <c r="I968" i="2"/>
  <c r="O968" i="2" s="1"/>
  <c r="H968" i="2"/>
  <c r="R967" i="2"/>
  <c r="L967" i="2"/>
  <c r="M967" i="2" s="1"/>
  <c r="J967" i="2"/>
  <c r="I967" i="2"/>
  <c r="O967" i="2" s="1"/>
  <c r="H967" i="2"/>
  <c r="R966" i="2"/>
  <c r="L966" i="2"/>
  <c r="M966" i="2" s="1"/>
  <c r="N966" i="2" s="1"/>
  <c r="J966" i="2"/>
  <c r="I966" i="2"/>
  <c r="O966" i="2" s="1"/>
  <c r="Q966" i="2" s="1"/>
  <c r="H966" i="2"/>
  <c r="R965" i="2"/>
  <c r="L965" i="2"/>
  <c r="M965" i="2" s="1"/>
  <c r="J965" i="2"/>
  <c r="I965" i="2"/>
  <c r="H965" i="2"/>
  <c r="R964" i="2"/>
  <c r="L964" i="2"/>
  <c r="J964" i="2"/>
  <c r="I964" i="2"/>
  <c r="O964" i="2" s="1"/>
  <c r="Q964" i="2" s="1"/>
  <c r="H964" i="2"/>
  <c r="R963" i="2"/>
  <c r="L963" i="2"/>
  <c r="J963" i="2"/>
  <c r="I963" i="2"/>
  <c r="O963" i="2" s="1"/>
  <c r="H963" i="2"/>
  <c r="R962" i="2"/>
  <c r="L962" i="2"/>
  <c r="M962" i="2" s="1"/>
  <c r="N962" i="2" s="1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M958" i="2" s="1"/>
  <c r="J958" i="2"/>
  <c r="I958" i="2"/>
  <c r="H958" i="2"/>
  <c r="R957" i="2"/>
  <c r="L957" i="2"/>
  <c r="M957" i="2" s="1"/>
  <c r="N957" i="2" s="1"/>
  <c r="J957" i="2"/>
  <c r="I957" i="2"/>
  <c r="H957" i="2"/>
  <c r="R956" i="2"/>
  <c r="L956" i="2"/>
  <c r="J956" i="2"/>
  <c r="I956" i="2"/>
  <c r="H956" i="2"/>
  <c r="R955" i="2"/>
  <c r="L955" i="2"/>
  <c r="J955" i="2"/>
  <c r="I955" i="2"/>
  <c r="O955" i="2" s="1"/>
  <c r="H955" i="2"/>
  <c r="R954" i="2"/>
  <c r="L954" i="2"/>
  <c r="J954" i="2"/>
  <c r="I954" i="2"/>
  <c r="H954" i="2"/>
  <c r="R953" i="2"/>
  <c r="L953" i="2"/>
  <c r="M953" i="2" s="1"/>
  <c r="N953" i="2" s="1"/>
  <c r="J953" i="2"/>
  <c r="I953" i="2"/>
  <c r="O953" i="2" s="1"/>
  <c r="P953" i="2" s="1"/>
  <c r="H953" i="2"/>
  <c r="R952" i="2"/>
  <c r="L952" i="2"/>
  <c r="J952" i="2"/>
  <c r="I952" i="2"/>
  <c r="O952" i="2" s="1"/>
  <c r="H952" i="2"/>
  <c r="R951" i="2"/>
  <c r="L951" i="2"/>
  <c r="J951" i="2"/>
  <c r="I951" i="2"/>
  <c r="H951" i="2"/>
  <c r="R950" i="2"/>
  <c r="L950" i="2"/>
  <c r="J950" i="2"/>
  <c r="I950" i="2"/>
  <c r="H950" i="2"/>
  <c r="R949" i="2"/>
  <c r="L949" i="2"/>
  <c r="J949" i="2"/>
  <c r="I949" i="2"/>
  <c r="O949" i="2" s="1"/>
  <c r="H949" i="2"/>
  <c r="R948" i="2"/>
  <c r="L948" i="2"/>
  <c r="J948" i="2"/>
  <c r="I948" i="2"/>
  <c r="O948" i="2" s="1"/>
  <c r="H948" i="2"/>
  <c r="R947" i="2"/>
  <c r="L947" i="2"/>
  <c r="J947" i="2"/>
  <c r="I947" i="2"/>
  <c r="O947" i="2" s="1"/>
  <c r="H947" i="2"/>
  <c r="R946" i="2"/>
  <c r="L946" i="2"/>
  <c r="J946" i="2"/>
  <c r="I946" i="2"/>
  <c r="O946" i="2" s="1"/>
  <c r="Q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N939" i="2" s="1"/>
  <c r="J939" i="2"/>
  <c r="I939" i="2"/>
  <c r="O939" i="2" s="1"/>
  <c r="P939" i="2" s="1"/>
  <c r="H939" i="2"/>
  <c r="R938" i="2"/>
  <c r="L938" i="2"/>
  <c r="M938" i="2" s="1"/>
  <c r="J938" i="2"/>
  <c r="I938" i="2"/>
  <c r="O938" i="2" s="1"/>
  <c r="H938" i="2"/>
  <c r="R937" i="2"/>
  <c r="L937" i="2"/>
  <c r="J937" i="2"/>
  <c r="I937" i="2"/>
  <c r="H937" i="2"/>
  <c r="R936" i="2"/>
  <c r="L936" i="2"/>
  <c r="M936" i="2" s="1"/>
  <c r="J936" i="2"/>
  <c r="I936" i="2"/>
  <c r="O936" i="2" s="1"/>
  <c r="H936" i="2"/>
  <c r="R935" i="2"/>
  <c r="L935" i="2"/>
  <c r="M935" i="2" s="1"/>
  <c r="N935" i="2" s="1"/>
  <c r="J935" i="2"/>
  <c r="I935" i="2"/>
  <c r="K935" i="2" s="1"/>
  <c r="H935" i="2"/>
  <c r="R934" i="2"/>
  <c r="L934" i="2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J932" i="2"/>
  <c r="I932" i="2"/>
  <c r="O932" i="2" s="1"/>
  <c r="H932" i="2"/>
  <c r="R931" i="2"/>
  <c r="L931" i="2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M927" i="2" s="1"/>
  <c r="N927" i="2" s="1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M925" i="2" s="1"/>
  <c r="J925" i="2"/>
  <c r="I925" i="2"/>
  <c r="O925" i="2" s="1"/>
  <c r="H925" i="2"/>
  <c r="R924" i="2"/>
  <c r="L924" i="2"/>
  <c r="J924" i="2"/>
  <c r="I924" i="2"/>
  <c r="H924" i="2"/>
  <c r="R923" i="2"/>
  <c r="L923" i="2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O921" i="2" s="1"/>
  <c r="H921" i="2"/>
  <c r="R920" i="2"/>
  <c r="L920" i="2"/>
  <c r="J920" i="2"/>
  <c r="I920" i="2"/>
  <c r="H920" i="2"/>
  <c r="R919" i="2"/>
  <c r="L919" i="2"/>
  <c r="M919" i="2" s="1"/>
  <c r="N919" i="2" s="1"/>
  <c r="J919" i="2"/>
  <c r="I919" i="2"/>
  <c r="O919" i="2" s="1"/>
  <c r="P919" i="2" s="1"/>
  <c r="H919" i="2"/>
  <c r="R918" i="2"/>
  <c r="L918" i="2"/>
  <c r="M918" i="2" s="1"/>
  <c r="J918" i="2"/>
  <c r="I918" i="2"/>
  <c r="O918" i="2" s="1"/>
  <c r="H918" i="2"/>
  <c r="R917" i="2"/>
  <c r="L917" i="2"/>
  <c r="J917" i="2"/>
  <c r="I917" i="2"/>
  <c r="H917" i="2"/>
  <c r="R916" i="2"/>
  <c r="L916" i="2"/>
  <c r="M916" i="2" s="1"/>
  <c r="J916" i="2"/>
  <c r="I916" i="2"/>
  <c r="O916" i="2" s="1"/>
  <c r="H916" i="2"/>
  <c r="R915" i="2"/>
  <c r="L915" i="2"/>
  <c r="M915" i="2" s="1"/>
  <c r="J915" i="2"/>
  <c r="I915" i="2"/>
  <c r="O915" i="2" s="1"/>
  <c r="H915" i="2"/>
  <c r="R914" i="2"/>
  <c r="L914" i="2"/>
  <c r="M914" i="2" s="1"/>
  <c r="J914" i="2"/>
  <c r="I914" i="2"/>
  <c r="H914" i="2"/>
  <c r="R913" i="2"/>
  <c r="L913" i="2"/>
  <c r="M913" i="2" s="1"/>
  <c r="N913" i="2" s="1"/>
  <c r="J913" i="2"/>
  <c r="I913" i="2"/>
  <c r="O913" i="2" s="1"/>
  <c r="Q913" i="2" s="1"/>
  <c r="H913" i="2"/>
  <c r="R912" i="2"/>
  <c r="L912" i="2"/>
  <c r="J912" i="2"/>
  <c r="I912" i="2"/>
  <c r="H912" i="2"/>
  <c r="R911" i="2"/>
  <c r="L911" i="2"/>
  <c r="J911" i="2"/>
  <c r="I911" i="2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M908" i="2" s="1"/>
  <c r="N908" i="2" s="1"/>
  <c r="J908" i="2"/>
  <c r="I908" i="2"/>
  <c r="O908" i="2" s="1"/>
  <c r="H908" i="2"/>
  <c r="R907" i="2"/>
  <c r="L907" i="2"/>
  <c r="M907" i="2" s="1"/>
  <c r="J907" i="2"/>
  <c r="I907" i="2"/>
  <c r="H907" i="2"/>
  <c r="R906" i="2"/>
  <c r="L906" i="2"/>
  <c r="M906" i="2" s="1"/>
  <c r="N906" i="2" s="1"/>
  <c r="J906" i="2"/>
  <c r="I906" i="2"/>
  <c r="O906" i="2" s="1"/>
  <c r="H906" i="2"/>
  <c r="R905" i="2"/>
  <c r="L905" i="2"/>
  <c r="M905" i="2" s="1"/>
  <c r="N905" i="2" s="1"/>
  <c r="J905" i="2"/>
  <c r="I905" i="2"/>
  <c r="O905" i="2" s="1"/>
  <c r="H905" i="2"/>
  <c r="R904" i="2"/>
  <c r="L904" i="2"/>
  <c r="J904" i="2"/>
  <c r="I904" i="2"/>
  <c r="O904" i="2" s="1"/>
  <c r="Q904" i="2" s="1"/>
  <c r="H904" i="2"/>
  <c r="R903" i="2"/>
  <c r="L903" i="2"/>
  <c r="M903" i="2" s="1"/>
  <c r="N903" i="2" s="1"/>
  <c r="J903" i="2"/>
  <c r="I903" i="2"/>
  <c r="O903" i="2" s="1"/>
  <c r="H903" i="2"/>
  <c r="R902" i="2"/>
  <c r="L902" i="2"/>
  <c r="M902" i="2" s="1"/>
  <c r="N902" i="2" s="1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J898" i="2"/>
  <c r="I898" i="2"/>
  <c r="H898" i="2"/>
  <c r="R897" i="2"/>
  <c r="L897" i="2"/>
  <c r="J897" i="2"/>
  <c r="I897" i="2"/>
  <c r="H897" i="2"/>
  <c r="R896" i="2"/>
  <c r="L896" i="2"/>
  <c r="J896" i="2"/>
  <c r="I896" i="2"/>
  <c r="O896" i="2" s="1"/>
  <c r="H896" i="2"/>
  <c r="R895" i="2"/>
  <c r="L895" i="2"/>
  <c r="M895" i="2" s="1"/>
  <c r="J895" i="2"/>
  <c r="I895" i="2"/>
  <c r="O895" i="2" s="1"/>
  <c r="P895" i="2" s="1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O893" i="2" s="1"/>
  <c r="Q893" i="2" s="1"/>
  <c r="H893" i="2"/>
  <c r="R892" i="2"/>
  <c r="L892" i="2"/>
  <c r="M892" i="2" s="1"/>
  <c r="J892" i="2"/>
  <c r="I892" i="2"/>
  <c r="H892" i="2"/>
  <c r="R891" i="2"/>
  <c r="L891" i="2"/>
  <c r="J891" i="2"/>
  <c r="I891" i="2"/>
  <c r="H891" i="2"/>
  <c r="R890" i="2"/>
  <c r="L890" i="2"/>
  <c r="J890" i="2"/>
  <c r="I890" i="2"/>
  <c r="H890" i="2"/>
  <c r="R889" i="2"/>
  <c r="L889" i="2"/>
  <c r="J889" i="2"/>
  <c r="I889" i="2"/>
  <c r="O889" i="2" s="1"/>
  <c r="H889" i="2"/>
  <c r="R888" i="2"/>
  <c r="L888" i="2"/>
  <c r="M888" i="2" s="1"/>
  <c r="N888" i="2" s="1"/>
  <c r="J888" i="2"/>
  <c r="I888" i="2"/>
  <c r="O888" i="2" s="1"/>
  <c r="Q888" i="2" s="1"/>
  <c r="H888" i="2"/>
  <c r="R887" i="2"/>
  <c r="L887" i="2"/>
  <c r="J887" i="2"/>
  <c r="I887" i="2"/>
  <c r="O887" i="2" s="1"/>
  <c r="H887" i="2"/>
  <c r="R886" i="2"/>
  <c r="L886" i="2"/>
  <c r="M886" i="2" s="1"/>
  <c r="N886" i="2" s="1"/>
  <c r="J886" i="2"/>
  <c r="I886" i="2"/>
  <c r="O886" i="2" s="1"/>
  <c r="Q886" i="2" s="1"/>
  <c r="H886" i="2"/>
  <c r="R885" i="2"/>
  <c r="L885" i="2"/>
  <c r="J885" i="2"/>
  <c r="I885" i="2"/>
  <c r="H885" i="2"/>
  <c r="R884" i="2"/>
  <c r="L884" i="2"/>
  <c r="J884" i="2"/>
  <c r="I884" i="2"/>
  <c r="H884" i="2"/>
  <c r="R883" i="2"/>
  <c r="L883" i="2"/>
  <c r="M883" i="2" s="1"/>
  <c r="N883" i="2" s="1"/>
  <c r="J883" i="2"/>
  <c r="I883" i="2"/>
  <c r="O883" i="2" s="1"/>
  <c r="H883" i="2"/>
  <c r="R882" i="2"/>
  <c r="L882" i="2"/>
  <c r="M882" i="2" s="1"/>
  <c r="N882" i="2" s="1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P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M876" i="2" s="1"/>
  <c r="J876" i="2"/>
  <c r="I876" i="2"/>
  <c r="H876" i="2"/>
  <c r="R875" i="2"/>
  <c r="L875" i="2"/>
  <c r="M875" i="2" s="1"/>
  <c r="J875" i="2"/>
  <c r="I875" i="2"/>
  <c r="O875" i="2" s="1"/>
  <c r="H875" i="2"/>
  <c r="R874" i="2"/>
  <c r="L874" i="2"/>
  <c r="J874" i="2"/>
  <c r="I874" i="2"/>
  <c r="H874" i="2"/>
  <c r="R873" i="2"/>
  <c r="L873" i="2"/>
  <c r="M873" i="2" s="1"/>
  <c r="N873" i="2" s="1"/>
  <c r="J873" i="2"/>
  <c r="I873" i="2"/>
  <c r="O873" i="2" s="1"/>
  <c r="Q873" i="2" s="1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H870" i="2"/>
  <c r="R869" i="2"/>
  <c r="L869" i="2"/>
  <c r="J869" i="2"/>
  <c r="I869" i="2"/>
  <c r="O869" i="2" s="1"/>
  <c r="H869" i="2"/>
  <c r="R868" i="2"/>
  <c r="L868" i="2"/>
  <c r="M868" i="2" s="1"/>
  <c r="N868" i="2" s="1"/>
  <c r="J868" i="2"/>
  <c r="I868" i="2"/>
  <c r="O868" i="2" s="1"/>
  <c r="Q868" i="2" s="1"/>
  <c r="H868" i="2"/>
  <c r="R867" i="2"/>
  <c r="L867" i="2"/>
  <c r="J867" i="2"/>
  <c r="I867" i="2"/>
  <c r="H867" i="2"/>
  <c r="R866" i="2"/>
  <c r="L866" i="2"/>
  <c r="M866" i="2" s="1"/>
  <c r="N866" i="2" s="1"/>
  <c r="J866" i="2"/>
  <c r="I866" i="2"/>
  <c r="O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J864" i="2"/>
  <c r="I864" i="2"/>
  <c r="O864" i="2" s="1"/>
  <c r="Q864" i="2" s="1"/>
  <c r="H864" i="2"/>
  <c r="R863" i="2"/>
  <c r="L863" i="2"/>
  <c r="M863" i="2" s="1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J861" i="2"/>
  <c r="I861" i="2"/>
  <c r="O861" i="2" s="1"/>
  <c r="P861" i="2" s="1"/>
  <c r="H861" i="2"/>
  <c r="R860" i="2"/>
  <c r="L860" i="2"/>
  <c r="J860" i="2"/>
  <c r="I860" i="2"/>
  <c r="H860" i="2"/>
  <c r="R859" i="2"/>
  <c r="L859" i="2"/>
  <c r="M859" i="2" s="1"/>
  <c r="J859" i="2"/>
  <c r="I859" i="2"/>
  <c r="O859" i="2" s="1"/>
  <c r="H859" i="2"/>
  <c r="R858" i="2"/>
  <c r="L858" i="2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J855" i="2"/>
  <c r="I855" i="2"/>
  <c r="O855" i="2" s="1"/>
  <c r="Q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M853" i="2" s="1"/>
  <c r="N853" i="2" s="1"/>
  <c r="J853" i="2"/>
  <c r="I853" i="2"/>
  <c r="O853" i="2" s="1"/>
  <c r="H853" i="2"/>
  <c r="R852" i="2"/>
  <c r="L852" i="2"/>
  <c r="J852" i="2"/>
  <c r="I852" i="2"/>
  <c r="O852" i="2" s="1"/>
  <c r="H852" i="2"/>
  <c r="R851" i="2"/>
  <c r="L851" i="2"/>
  <c r="J851" i="2"/>
  <c r="I851" i="2"/>
  <c r="H851" i="2"/>
  <c r="R850" i="2"/>
  <c r="L850" i="2"/>
  <c r="J850" i="2"/>
  <c r="I850" i="2"/>
  <c r="H850" i="2"/>
  <c r="R849" i="2"/>
  <c r="L849" i="2"/>
  <c r="J849" i="2"/>
  <c r="I849" i="2"/>
  <c r="H849" i="2"/>
  <c r="R848" i="2"/>
  <c r="L848" i="2"/>
  <c r="M848" i="2" s="1"/>
  <c r="N848" i="2" s="1"/>
  <c r="J848" i="2"/>
  <c r="I848" i="2"/>
  <c r="O848" i="2" s="1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J844" i="2"/>
  <c r="I844" i="2"/>
  <c r="H844" i="2"/>
  <c r="R843" i="2"/>
  <c r="L843" i="2"/>
  <c r="J843" i="2"/>
  <c r="I843" i="2"/>
  <c r="H843" i="2"/>
  <c r="R842" i="2"/>
  <c r="L842" i="2"/>
  <c r="M842" i="2" s="1"/>
  <c r="N842" i="2" s="1"/>
  <c r="J842" i="2"/>
  <c r="I842" i="2"/>
  <c r="H842" i="2"/>
  <c r="R841" i="2"/>
  <c r="L841" i="2"/>
  <c r="M841" i="2" s="1"/>
  <c r="J841" i="2"/>
  <c r="I841" i="2"/>
  <c r="O841" i="2" s="1"/>
  <c r="H841" i="2"/>
  <c r="R840" i="2"/>
  <c r="L840" i="2"/>
  <c r="J840" i="2"/>
  <c r="I840" i="2"/>
  <c r="H840" i="2"/>
  <c r="R839" i="2"/>
  <c r="L839" i="2"/>
  <c r="J839" i="2"/>
  <c r="I839" i="2"/>
  <c r="O839" i="2" s="1"/>
  <c r="Q839" i="2" s="1"/>
  <c r="H839" i="2"/>
  <c r="R838" i="2"/>
  <c r="L838" i="2"/>
  <c r="M838" i="2" s="1"/>
  <c r="J838" i="2"/>
  <c r="I838" i="2"/>
  <c r="O838" i="2" s="1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H835" i="2"/>
  <c r="R834" i="2"/>
  <c r="L834" i="2"/>
  <c r="M834" i="2" s="1"/>
  <c r="N834" i="2" s="1"/>
  <c r="J834" i="2"/>
  <c r="I834" i="2"/>
  <c r="O834" i="2" s="1"/>
  <c r="P834" i="2" s="1"/>
  <c r="H834" i="2"/>
  <c r="R833" i="2"/>
  <c r="L833" i="2"/>
  <c r="M833" i="2" s="1"/>
  <c r="N833" i="2" s="1"/>
  <c r="J833" i="2"/>
  <c r="I833" i="2"/>
  <c r="O833" i="2" s="1"/>
  <c r="P833" i="2" s="1"/>
  <c r="H833" i="2"/>
  <c r="R832" i="2"/>
  <c r="L832" i="2"/>
  <c r="M832" i="2" s="1"/>
  <c r="J832" i="2"/>
  <c r="I832" i="2"/>
  <c r="O832" i="2" s="1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M828" i="2" s="1"/>
  <c r="N828" i="2" s="1"/>
  <c r="J828" i="2"/>
  <c r="I828" i="2"/>
  <c r="O828" i="2" s="1"/>
  <c r="H828" i="2"/>
  <c r="R827" i="2"/>
  <c r="L827" i="2"/>
  <c r="J827" i="2"/>
  <c r="I827" i="2"/>
  <c r="O827" i="2" s="1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H825" i="2"/>
  <c r="R824" i="2"/>
  <c r="L824" i="2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O821" i="2" s="1"/>
  <c r="H821" i="2"/>
  <c r="R820" i="2"/>
  <c r="L820" i="2"/>
  <c r="J820" i="2"/>
  <c r="I820" i="2"/>
  <c r="H820" i="2"/>
  <c r="R819" i="2"/>
  <c r="L819" i="2"/>
  <c r="J819" i="2"/>
  <c r="I819" i="2"/>
  <c r="O819" i="2" s="1"/>
  <c r="Q819" i="2" s="1"/>
  <c r="H819" i="2"/>
  <c r="R818" i="2"/>
  <c r="L818" i="2"/>
  <c r="J818" i="2"/>
  <c r="I818" i="2"/>
  <c r="O818" i="2" s="1"/>
  <c r="H818" i="2"/>
  <c r="R817" i="2"/>
  <c r="L817" i="2"/>
  <c r="J817" i="2"/>
  <c r="I817" i="2"/>
  <c r="H817" i="2"/>
  <c r="R816" i="2"/>
  <c r="L816" i="2"/>
  <c r="M816" i="2" s="1"/>
  <c r="J816" i="2"/>
  <c r="I816" i="2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H814" i="2"/>
  <c r="R813" i="2"/>
  <c r="L813" i="2"/>
  <c r="M813" i="2" s="1"/>
  <c r="N813" i="2" s="1"/>
  <c r="J813" i="2"/>
  <c r="I813" i="2"/>
  <c r="O813" i="2" s="1"/>
  <c r="Q813" i="2" s="1"/>
  <c r="H813" i="2"/>
  <c r="R812" i="2"/>
  <c r="L812" i="2"/>
  <c r="M812" i="2" s="1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O810" i="2" s="1"/>
  <c r="H810" i="2"/>
  <c r="R809" i="2"/>
  <c r="L809" i="2"/>
  <c r="J809" i="2"/>
  <c r="I809" i="2"/>
  <c r="O809" i="2" s="1"/>
  <c r="H809" i="2"/>
  <c r="R808" i="2"/>
  <c r="L808" i="2"/>
  <c r="J808" i="2"/>
  <c r="I808" i="2"/>
  <c r="H808" i="2"/>
  <c r="R807" i="2"/>
  <c r="L807" i="2"/>
  <c r="M807" i="2" s="1"/>
  <c r="N807" i="2" s="1"/>
  <c r="J807" i="2"/>
  <c r="I807" i="2"/>
  <c r="O807" i="2" s="1"/>
  <c r="H807" i="2"/>
  <c r="R806" i="2"/>
  <c r="L806" i="2"/>
  <c r="M806" i="2" s="1"/>
  <c r="N806" i="2" s="1"/>
  <c r="J806" i="2"/>
  <c r="I806" i="2"/>
  <c r="O806" i="2" s="1"/>
  <c r="H806" i="2"/>
  <c r="R805" i="2"/>
  <c r="L805" i="2"/>
  <c r="J805" i="2"/>
  <c r="I805" i="2"/>
  <c r="O805" i="2" s="1"/>
  <c r="H805" i="2"/>
  <c r="R804" i="2"/>
  <c r="L804" i="2"/>
  <c r="J804" i="2"/>
  <c r="I804" i="2"/>
  <c r="H804" i="2"/>
  <c r="R803" i="2"/>
  <c r="L803" i="2"/>
  <c r="J803" i="2"/>
  <c r="I803" i="2"/>
  <c r="H803" i="2"/>
  <c r="R802" i="2"/>
  <c r="L802" i="2"/>
  <c r="M802" i="2" s="1"/>
  <c r="N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H800" i="2"/>
  <c r="R799" i="2"/>
  <c r="L799" i="2"/>
  <c r="J799" i="2"/>
  <c r="I799" i="2"/>
  <c r="O799" i="2" s="1"/>
  <c r="Q799" i="2" s="1"/>
  <c r="H799" i="2"/>
  <c r="R798" i="2"/>
  <c r="L798" i="2"/>
  <c r="M798" i="2" s="1"/>
  <c r="N798" i="2" s="1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O796" i="2" s="1"/>
  <c r="Q796" i="2" s="1"/>
  <c r="H796" i="2"/>
  <c r="R795" i="2"/>
  <c r="L795" i="2"/>
  <c r="M795" i="2" s="1"/>
  <c r="N795" i="2" s="1"/>
  <c r="J795" i="2"/>
  <c r="I795" i="2"/>
  <c r="O795" i="2" s="1"/>
  <c r="Q795" i="2" s="1"/>
  <c r="H795" i="2"/>
  <c r="R794" i="2"/>
  <c r="L794" i="2"/>
  <c r="J794" i="2"/>
  <c r="I794" i="2"/>
  <c r="H794" i="2"/>
  <c r="R793" i="2"/>
  <c r="L793" i="2"/>
  <c r="M793" i="2" s="1"/>
  <c r="N793" i="2" s="1"/>
  <c r="J793" i="2"/>
  <c r="I793" i="2"/>
  <c r="H793" i="2"/>
  <c r="R792" i="2"/>
  <c r="L792" i="2"/>
  <c r="J792" i="2"/>
  <c r="I792" i="2"/>
  <c r="O792" i="2" s="1"/>
  <c r="Q792" i="2" s="1"/>
  <c r="H792" i="2"/>
  <c r="R791" i="2"/>
  <c r="L791" i="2"/>
  <c r="J791" i="2"/>
  <c r="I791" i="2"/>
  <c r="O791" i="2" s="1"/>
  <c r="H791" i="2"/>
  <c r="R790" i="2"/>
  <c r="L790" i="2"/>
  <c r="J790" i="2"/>
  <c r="I790" i="2"/>
  <c r="O790" i="2" s="1"/>
  <c r="P790" i="2" s="1"/>
  <c r="H790" i="2"/>
  <c r="R789" i="2"/>
  <c r="L789" i="2"/>
  <c r="J789" i="2"/>
  <c r="I789" i="2"/>
  <c r="O789" i="2" s="1"/>
  <c r="H789" i="2"/>
  <c r="R788" i="2"/>
  <c r="L788" i="2"/>
  <c r="M788" i="2" s="1"/>
  <c r="N788" i="2" s="1"/>
  <c r="J788" i="2"/>
  <c r="I788" i="2"/>
  <c r="H788" i="2"/>
  <c r="R787" i="2"/>
  <c r="L787" i="2"/>
  <c r="J787" i="2"/>
  <c r="I787" i="2"/>
  <c r="O787" i="2" s="1"/>
  <c r="H787" i="2"/>
  <c r="R786" i="2"/>
  <c r="L786" i="2"/>
  <c r="M786" i="2" s="1"/>
  <c r="N786" i="2" s="1"/>
  <c r="J786" i="2"/>
  <c r="I786" i="2"/>
  <c r="O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M781" i="2" s="1"/>
  <c r="N781" i="2" s="1"/>
  <c r="J781" i="2"/>
  <c r="I781" i="2"/>
  <c r="O781" i="2" s="1"/>
  <c r="Q781" i="2" s="1"/>
  <c r="H781" i="2"/>
  <c r="R780" i="2"/>
  <c r="L780" i="2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M777" i="2" s="1"/>
  <c r="N777" i="2" s="1"/>
  <c r="J777" i="2"/>
  <c r="I777" i="2"/>
  <c r="H777" i="2"/>
  <c r="R776" i="2"/>
  <c r="L776" i="2"/>
  <c r="J776" i="2"/>
  <c r="I776" i="2"/>
  <c r="H776" i="2"/>
  <c r="R775" i="2"/>
  <c r="L775" i="2"/>
  <c r="M775" i="2" s="1"/>
  <c r="N775" i="2" s="1"/>
  <c r="J775" i="2"/>
  <c r="I775" i="2"/>
  <c r="O775" i="2" s="1"/>
  <c r="H775" i="2"/>
  <c r="R774" i="2"/>
  <c r="L774" i="2"/>
  <c r="J774" i="2"/>
  <c r="I774" i="2"/>
  <c r="H774" i="2"/>
  <c r="R773" i="2"/>
  <c r="L773" i="2"/>
  <c r="M773" i="2" s="1"/>
  <c r="N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M770" i="2" s="1"/>
  <c r="J770" i="2"/>
  <c r="I770" i="2"/>
  <c r="O770" i="2" s="1"/>
  <c r="P770" i="2" s="1"/>
  <c r="H770" i="2"/>
  <c r="R769" i="2"/>
  <c r="L769" i="2"/>
  <c r="J769" i="2"/>
  <c r="I769" i="2"/>
  <c r="O769" i="2" s="1"/>
  <c r="P769" i="2" s="1"/>
  <c r="H769" i="2"/>
  <c r="R768" i="2"/>
  <c r="L768" i="2"/>
  <c r="M768" i="2" s="1"/>
  <c r="N768" i="2" s="1"/>
  <c r="J768" i="2"/>
  <c r="I768" i="2"/>
  <c r="H768" i="2"/>
  <c r="R767" i="2"/>
  <c r="L767" i="2"/>
  <c r="J767" i="2"/>
  <c r="I767" i="2"/>
  <c r="O767" i="2" s="1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N764" i="2" s="1"/>
  <c r="J764" i="2"/>
  <c r="I764" i="2"/>
  <c r="H764" i="2"/>
  <c r="R763" i="2"/>
  <c r="L763" i="2"/>
  <c r="J763" i="2"/>
  <c r="I763" i="2"/>
  <c r="O763" i="2" s="1"/>
  <c r="Q763" i="2" s="1"/>
  <c r="H763" i="2"/>
  <c r="R762" i="2"/>
  <c r="L762" i="2"/>
  <c r="M762" i="2" s="1"/>
  <c r="J762" i="2"/>
  <c r="I762" i="2"/>
  <c r="H762" i="2"/>
  <c r="R761" i="2"/>
  <c r="L761" i="2"/>
  <c r="J761" i="2"/>
  <c r="I761" i="2"/>
  <c r="H761" i="2"/>
  <c r="R760" i="2"/>
  <c r="L760" i="2"/>
  <c r="J760" i="2"/>
  <c r="I760" i="2"/>
  <c r="O760" i="2" s="1"/>
  <c r="Q760" i="2" s="1"/>
  <c r="H760" i="2"/>
  <c r="R759" i="2"/>
  <c r="L759" i="2"/>
  <c r="J759" i="2"/>
  <c r="I759" i="2"/>
  <c r="O759" i="2" s="1"/>
  <c r="H759" i="2"/>
  <c r="R758" i="2"/>
  <c r="L758" i="2"/>
  <c r="J758" i="2"/>
  <c r="I758" i="2"/>
  <c r="O758" i="2" s="1"/>
  <c r="H758" i="2"/>
  <c r="R757" i="2"/>
  <c r="L757" i="2"/>
  <c r="M757" i="2" s="1"/>
  <c r="J757" i="2"/>
  <c r="I757" i="2"/>
  <c r="O757" i="2" s="1"/>
  <c r="H757" i="2"/>
  <c r="R756" i="2"/>
  <c r="L756" i="2"/>
  <c r="M756" i="2" s="1"/>
  <c r="N756" i="2" s="1"/>
  <c r="J756" i="2"/>
  <c r="I756" i="2"/>
  <c r="H756" i="2"/>
  <c r="R755" i="2"/>
  <c r="L755" i="2"/>
  <c r="J755" i="2"/>
  <c r="I755" i="2"/>
  <c r="H755" i="2"/>
  <c r="R754" i="2"/>
  <c r="L754" i="2"/>
  <c r="M754" i="2" s="1"/>
  <c r="N754" i="2" s="1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M749" i="2" s="1"/>
  <c r="J749" i="2"/>
  <c r="I749" i="2"/>
  <c r="O749" i="2" s="1"/>
  <c r="P749" i="2" s="1"/>
  <c r="H749" i="2"/>
  <c r="R748" i="2"/>
  <c r="L748" i="2"/>
  <c r="J748" i="2"/>
  <c r="I748" i="2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O746" i="2" s="1"/>
  <c r="H746" i="2"/>
  <c r="R745" i="2"/>
  <c r="L745" i="2"/>
  <c r="M745" i="2" s="1"/>
  <c r="N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J741" i="2"/>
  <c r="I741" i="2"/>
  <c r="H741" i="2"/>
  <c r="R740" i="2"/>
  <c r="L740" i="2"/>
  <c r="J740" i="2"/>
  <c r="I740" i="2"/>
  <c r="O740" i="2" s="1"/>
  <c r="Q740" i="2" s="1"/>
  <c r="H740" i="2"/>
  <c r="R739" i="2"/>
  <c r="L739" i="2"/>
  <c r="J739" i="2"/>
  <c r="I739" i="2"/>
  <c r="O739" i="2" s="1"/>
  <c r="H739" i="2"/>
  <c r="R738" i="2"/>
  <c r="L738" i="2"/>
  <c r="J738" i="2"/>
  <c r="I738" i="2"/>
  <c r="H738" i="2"/>
  <c r="R737" i="2"/>
  <c r="L737" i="2"/>
  <c r="J737" i="2"/>
  <c r="I737" i="2"/>
  <c r="O737" i="2" s="1"/>
  <c r="Q737" i="2" s="1"/>
  <c r="H737" i="2"/>
  <c r="R736" i="2"/>
  <c r="L736" i="2"/>
  <c r="M736" i="2" s="1"/>
  <c r="J736" i="2"/>
  <c r="I736" i="2"/>
  <c r="H736" i="2"/>
  <c r="R735" i="2"/>
  <c r="L735" i="2"/>
  <c r="J735" i="2"/>
  <c r="I735" i="2"/>
  <c r="H735" i="2"/>
  <c r="R734" i="2"/>
  <c r="L734" i="2"/>
  <c r="M734" i="2" s="1"/>
  <c r="J734" i="2"/>
  <c r="I734" i="2"/>
  <c r="H734" i="2"/>
  <c r="R733" i="2"/>
  <c r="L733" i="2"/>
  <c r="J733" i="2"/>
  <c r="I733" i="2"/>
  <c r="H733" i="2"/>
  <c r="R732" i="2"/>
  <c r="L732" i="2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Q728" i="2" s="1"/>
  <c r="H728" i="2"/>
  <c r="R727" i="2"/>
  <c r="L727" i="2"/>
  <c r="J727" i="2"/>
  <c r="I727" i="2"/>
  <c r="O727" i="2" s="1"/>
  <c r="H727" i="2"/>
  <c r="R726" i="2"/>
  <c r="L726" i="2"/>
  <c r="J726" i="2"/>
  <c r="I726" i="2"/>
  <c r="H726" i="2"/>
  <c r="R725" i="2"/>
  <c r="L725" i="2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N722" i="2" s="1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J718" i="2"/>
  <c r="I718" i="2"/>
  <c r="H718" i="2"/>
  <c r="R717" i="2"/>
  <c r="L717" i="2"/>
  <c r="J717" i="2"/>
  <c r="I717" i="2"/>
  <c r="O717" i="2" s="1"/>
  <c r="H717" i="2"/>
  <c r="R716" i="2"/>
  <c r="L716" i="2"/>
  <c r="M716" i="2" s="1"/>
  <c r="N716" i="2" s="1"/>
  <c r="J716" i="2"/>
  <c r="I716" i="2"/>
  <c r="O716" i="2" s="1"/>
  <c r="Q716" i="2" s="1"/>
  <c r="H716" i="2"/>
  <c r="R715" i="2"/>
  <c r="L715" i="2"/>
  <c r="J715" i="2"/>
  <c r="I715" i="2"/>
  <c r="H715" i="2"/>
  <c r="R714" i="2"/>
  <c r="L714" i="2"/>
  <c r="M714" i="2" s="1"/>
  <c r="N714" i="2" s="1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J711" i="2"/>
  <c r="I711" i="2"/>
  <c r="O711" i="2" s="1"/>
  <c r="H711" i="2"/>
  <c r="R710" i="2"/>
  <c r="L710" i="2"/>
  <c r="J710" i="2"/>
  <c r="I710" i="2"/>
  <c r="O710" i="2" s="1"/>
  <c r="H710" i="2"/>
  <c r="R709" i="2"/>
  <c r="L709" i="2"/>
  <c r="M709" i="2" s="1"/>
  <c r="J709" i="2"/>
  <c r="I709" i="2"/>
  <c r="O709" i="2" s="1"/>
  <c r="Q709" i="2" s="1"/>
  <c r="H709" i="2"/>
  <c r="R708" i="2"/>
  <c r="L708" i="2"/>
  <c r="J708" i="2"/>
  <c r="I708" i="2"/>
  <c r="H708" i="2"/>
  <c r="R707" i="2"/>
  <c r="L707" i="2"/>
  <c r="M707" i="2" s="1"/>
  <c r="N707" i="2" s="1"/>
  <c r="J707" i="2"/>
  <c r="I707" i="2"/>
  <c r="O707" i="2" s="1"/>
  <c r="H707" i="2"/>
  <c r="R706" i="2"/>
  <c r="L706" i="2"/>
  <c r="J706" i="2"/>
  <c r="I706" i="2"/>
  <c r="O706" i="2" s="1"/>
  <c r="H706" i="2"/>
  <c r="R705" i="2"/>
  <c r="L705" i="2"/>
  <c r="J705" i="2"/>
  <c r="I705" i="2"/>
  <c r="O705" i="2" s="1"/>
  <c r="Q705" i="2" s="1"/>
  <c r="H705" i="2"/>
  <c r="R704" i="2"/>
  <c r="L704" i="2"/>
  <c r="M704" i="2" s="1"/>
  <c r="N704" i="2" s="1"/>
  <c r="J704" i="2"/>
  <c r="I704" i="2"/>
  <c r="H704" i="2"/>
  <c r="R703" i="2"/>
  <c r="L703" i="2"/>
  <c r="M703" i="2" s="1"/>
  <c r="N703" i="2" s="1"/>
  <c r="J703" i="2"/>
  <c r="I703" i="2"/>
  <c r="O703" i="2" s="1"/>
  <c r="H703" i="2"/>
  <c r="R702" i="2"/>
  <c r="L702" i="2"/>
  <c r="M702" i="2" s="1"/>
  <c r="N702" i="2" s="1"/>
  <c r="J702" i="2"/>
  <c r="I702" i="2"/>
  <c r="H702" i="2"/>
  <c r="R701" i="2"/>
  <c r="L701" i="2"/>
  <c r="J701" i="2"/>
  <c r="I701" i="2"/>
  <c r="H701" i="2"/>
  <c r="R700" i="2"/>
  <c r="L700" i="2"/>
  <c r="M700" i="2" s="1"/>
  <c r="N700" i="2" s="1"/>
  <c r="J700" i="2"/>
  <c r="I700" i="2"/>
  <c r="H700" i="2"/>
  <c r="R699" i="2"/>
  <c r="L699" i="2"/>
  <c r="M699" i="2" s="1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Q696" i="2" s="1"/>
  <c r="H696" i="2"/>
  <c r="R695" i="2"/>
  <c r="L695" i="2"/>
  <c r="J695" i="2"/>
  <c r="I695" i="2"/>
  <c r="O695" i="2" s="1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M692" i="2" s="1"/>
  <c r="J692" i="2"/>
  <c r="I692" i="2"/>
  <c r="O692" i="2" s="1"/>
  <c r="H692" i="2"/>
  <c r="R691" i="2"/>
  <c r="L691" i="2"/>
  <c r="M691" i="2" s="1"/>
  <c r="J691" i="2"/>
  <c r="I691" i="2"/>
  <c r="H691" i="2"/>
  <c r="R690" i="2"/>
  <c r="L690" i="2"/>
  <c r="M690" i="2" s="1"/>
  <c r="J690" i="2"/>
  <c r="I690" i="2"/>
  <c r="O690" i="2" s="1"/>
  <c r="P690" i="2" s="1"/>
  <c r="H690" i="2"/>
  <c r="R689" i="2"/>
  <c r="L689" i="2"/>
  <c r="M689" i="2" s="1"/>
  <c r="J689" i="2"/>
  <c r="I689" i="2"/>
  <c r="O689" i="2" s="1"/>
  <c r="H689" i="2"/>
  <c r="R688" i="2"/>
  <c r="L688" i="2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J686" i="2"/>
  <c r="I686" i="2"/>
  <c r="O686" i="2" s="1"/>
  <c r="H686" i="2"/>
  <c r="R685" i="2"/>
  <c r="L685" i="2"/>
  <c r="J685" i="2"/>
  <c r="I685" i="2"/>
  <c r="O685" i="2" s="1"/>
  <c r="H685" i="2"/>
  <c r="R684" i="2"/>
  <c r="L684" i="2"/>
  <c r="M684" i="2" s="1"/>
  <c r="N684" i="2" s="1"/>
  <c r="J684" i="2"/>
  <c r="I684" i="2"/>
  <c r="H684" i="2"/>
  <c r="R683" i="2"/>
  <c r="L683" i="2"/>
  <c r="M683" i="2" s="1"/>
  <c r="J683" i="2"/>
  <c r="I683" i="2"/>
  <c r="O683" i="2" s="1"/>
  <c r="P683" i="2" s="1"/>
  <c r="H683" i="2"/>
  <c r="R682" i="2"/>
  <c r="L682" i="2"/>
  <c r="M682" i="2" s="1"/>
  <c r="N682" i="2" s="1"/>
  <c r="J682" i="2"/>
  <c r="I682" i="2"/>
  <c r="O682" i="2" s="1"/>
  <c r="H682" i="2"/>
  <c r="R681" i="2"/>
  <c r="L681" i="2"/>
  <c r="J681" i="2"/>
  <c r="I681" i="2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M678" i="2" s="1"/>
  <c r="J678" i="2"/>
  <c r="I678" i="2"/>
  <c r="H678" i="2"/>
  <c r="R677" i="2"/>
  <c r="L677" i="2"/>
  <c r="M677" i="2" s="1"/>
  <c r="J677" i="2"/>
  <c r="I677" i="2"/>
  <c r="O677" i="2" s="1"/>
  <c r="H677" i="2"/>
  <c r="R676" i="2"/>
  <c r="L676" i="2"/>
  <c r="M676" i="2" s="1"/>
  <c r="N676" i="2" s="1"/>
  <c r="J676" i="2"/>
  <c r="I676" i="2"/>
  <c r="H676" i="2"/>
  <c r="R675" i="2"/>
  <c r="L675" i="2"/>
  <c r="M675" i="2" s="1"/>
  <c r="N675" i="2" s="1"/>
  <c r="J675" i="2"/>
  <c r="I675" i="2"/>
  <c r="O675" i="2" s="1"/>
  <c r="Q675" i="2" s="1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O673" i="2" s="1"/>
  <c r="H673" i="2"/>
  <c r="R672" i="2"/>
  <c r="L672" i="2"/>
  <c r="M672" i="2" s="1"/>
  <c r="J672" i="2"/>
  <c r="I672" i="2"/>
  <c r="O672" i="2" s="1"/>
  <c r="H672" i="2"/>
  <c r="R671" i="2"/>
  <c r="L671" i="2"/>
  <c r="M671" i="2" s="1"/>
  <c r="N671" i="2" s="1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J669" i="2"/>
  <c r="I669" i="2"/>
  <c r="O669" i="2" s="1"/>
  <c r="Q669" i="2" s="1"/>
  <c r="H669" i="2"/>
  <c r="R668" i="2"/>
  <c r="L668" i="2"/>
  <c r="J668" i="2"/>
  <c r="I668" i="2"/>
  <c r="O668" i="2" s="1"/>
  <c r="H668" i="2"/>
  <c r="R667" i="2"/>
  <c r="L667" i="2"/>
  <c r="M667" i="2" s="1"/>
  <c r="J667" i="2"/>
  <c r="I667" i="2"/>
  <c r="O667" i="2" s="1"/>
  <c r="H667" i="2"/>
  <c r="R666" i="2"/>
  <c r="L666" i="2"/>
  <c r="M666" i="2" s="1"/>
  <c r="J666" i="2"/>
  <c r="I666" i="2"/>
  <c r="O666" i="2" s="1"/>
  <c r="Q666" i="2" s="1"/>
  <c r="H666" i="2"/>
  <c r="R665" i="2"/>
  <c r="L665" i="2"/>
  <c r="J665" i="2"/>
  <c r="I665" i="2"/>
  <c r="H665" i="2"/>
  <c r="R664" i="2"/>
  <c r="L664" i="2"/>
  <c r="J664" i="2"/>
  <c r="I664" i="2"/>
  <c r="H664" i="2"/>
  <c r="R663" i="2"/>
  <c r="L663" i="2"/>
  <c r="M663" i="2" s="1"/>
  <c r="J663" i="2"/>
  <c r="I663" i="2"/>
  <c r="H663" i="2"/>
  <c r="R662" i="2"/>
  <c r="L662" i="2"/>
  <c r="M662" i="2" s="1"/>
  <c r="J662" i="2"/>
  <c r="I662" i="2"/>
  <c r="O662" i="2" s="1"/>
  <c r="H662" i="2"/>
  <c r="R661" i="2"/>
  <c r="L661" i="2"/>
  <c r="M661" i="2" s="1"/>
  <c r="J661" i="2"/>
  <c r="I661" i="2"/>
  <c r="O661" i="2" s="1"/>
  <c r="Q661" i="2" s="1"/>
  <c r="H661" i="2"/>
  <c r="R660" i="2"/>
  <c r="L660" i="2"/>
  <c r="M660" i="2" s="1"/>
  <c r="J660" i="2"/>
  <c r="I660" i="2"/>
  <c r="O660" i="2" s="1"/>
  <c r="P660" i="2" s="1"/>
  <c r="H660" i="2"/>
  <c r="R659" i="2"/>
  <c r="L659" i="2"/>
  <c r="M659" i="2" s="1"/>
  <c r="J659" i="2"/>
  <c r="I659" i="2"/>
  <c r="O659" i="2" s="1"/>
  <c r="H659" i="2"/>
  <c r="R658" i="2"/>
  <c r="L658" i="2"/>
  <c r="M658" i="2" s="1"/>
  <c r="J658" i="2"/>
  <c r="I658" i="2"/>
  <c r="H658" i="2"/>
  <c r="R657" i="2"/>
  <c r="L657" i="2"/>
  <c r="M657" i="2" s="1"/>
  <c r="N657" i="2" s="1"/>
  <c r="J657" i="2"/>
  <c r="I657" i="2"/>
  <c r="O657" i="2" s="1"/>
  <c r="H657" i="2"/>
  <c r="R656" i="2"/>
  <c r="L656" i="2"/>
  <c r="M656" i="2" s="1"/>
  <c r="J656" i="2"/>
  <c r="I656" i="2"/>
  <c r="O656" i="2" s="1"/>
  <c r="P656" i="2" s="1"/>
  <c r="H656" i="2"/>
  <c r="R655" i="2"/>
  <c r="L655" i="2"/>
  <c r="J655" i="2"/>
  <c r="I655" i="2"/>
  <c r="H655" i="2"/>
  <c r="R654" i="2"/>
  <c r="L654" i="2"/>
  <c r="M654" i="2" s="1"/>
  <c r="J654" i="2"/>
  <c r="I654" i="2"/>
  <c r="H654" i="2"/>
  <c r="R653" i="2"/>
  <c r="L653" i="2"/>
  <c r="M653" i="2" s="1"/>
  <c r="N653" i="2" s="1"/>
  <c r="J653" i="2"/>
  <c r="I653" i="2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Q651" i="2" s="1"/>
  <c r="H651" i="2"/>
  <c r="R650" i="2"/>
  <c r="L650" i="2"/>
  <c r="J650" i="2"/>
  <c r="I650" i="2"/>
  <c r="H650" i="2"/>
  <c r="R649" i="2"/>
  <c r="L649" i="2"/>
  <c r="M649" i="2" s="1"/>
  <c r="N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M647" i="2" s="1"/>
  <c r="N647" i="2" s="1"/>
  <c r="J647" i="2"/>
  <c r="I647" i="2"/>
  <c r="O647" i="2" s="1"/>
  <c r="H647" i="2"/>
  <c r="R646" i="2"/>
  <c r="L646" i="2"/>
  <c r="J646" i="2"/>
  <c r="I646" i="2"/>
  <c r="H646" i="2"/>
  <c r="R645" i="2"/>
  <c r="L645" i="2"/>
  <c r="M645" i="2" s="1"/>
  <c r="J645" i="2"/>
  <c r="I645" i="2"/>
  <c r="O645" i="2" s="1"/>
  <c r="H645" i="2"/>
  <c r="R644" i="2"/>
  <c r="L644" i="2"/>
  <c r="J644" i="2"/>
  <c r="I644" i="2"/>
  <c r="O644" i="2" s="1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J641" i="2"/>
  <c r="I641" i="2"/>
  <c r="O641" i="2" s="1"/>
  <c r="Q641" i="2" s="1"/>
  <c r="H641" i="2"/>
  <c r="R640" i="2"/>
  <c r="L640" i="2"/>
  <c r="M640" i="2" s="1"/>
  <c r="N640" i="2" s="1"/>
  <c r="J640" i="2"/>
  <c r="I640" i="2"/>
  <c r="H640" i="2"/>
  <c r="R639" i="2"/>
  <c r="L639" i="2"/>
  <c r="J639" i="2"/>
  <c r="I639" i="2"/>
  <c r="O639" i="2" s="1"/>
  <c r="H639" i="2"/>
  <c r="R638" i="2"/>
  <c r="L638" i="2"/>
  <c r="J638" i="2"/>
  <c r="I638" i="2"/>
  <c r="O638" i="2" s="1"/>
  <c r="H638" i="2"/>
  <c r="R637" i="2"/>
  <c r="L637" i="2"/>
  <c r="J637" i="2"/>
  <c r="I637" i="2"/>
  <c r="O637" i="2" s="1"/>
  <c r="H637" i="2"/>
  <c r="R636" i="2"/>
  <c r="L636" i="2"/>
  <c r="J636" i="2"/>
  <c r="I636" i="2"/>
  <c r="O636" i="2" s="1"/>
  <c r="P636" i="2" s="1"/>
  <c r="H636" i="2"/>
  <c r="R635" i="2"/>
  <c r="L635" i="2"/>
  <c r="J635" i="2"/>
  <c r="I635" i="2"/>
  <c r="H635" i="2"/>
  <c r="R634" i="2"/>
  <c r="L634" i="2"/>
  <c r="M634" i="2" s="1"/>
  <c r="J634" i="2"/>
  <c r="I634" i="2"/>
  <c r="O634" i="2" s="1"/>
  <c r="Q634" i="2" s="1"/>
  <c r="H634" i="2"/>
  <c r="R633" i="2"/>
  <c r="L633" i="2"/>
  <c r="J633" i="2"/>
  <c r="I633" i="2"/>
  <c r="O633" i="2" s="1"/>
  <c r="H633" i="2"/>
  <c r="R632" i="2"/>
  <c r="L632" i="2"/>
  <c r="M632" i="2" s="1"/>
  <c r="J632" i="2"/>
  <c r="I632" i="2"/>
  <c r="O632" i="2" s="1"/>
  <c r="Q632" i="2" s="1"/>
  <c r="H632" i="2"/>
  <c r="R631" i="2"/>
  <c r="L631" i="2"/>
  <c r="J631" i="2"/>
  <c r="I631" i="2"/>
  <c r="O631" i="2" s="1"/>
  <c r="P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P628" i="2" s="1"/>
  <c r="H628" i="2"/>
  <c r="R627" i="2"/>
  <c r="L627" i="2"/>
  <c r="M627" i="2" s="1"/>
  <c r="N627" i="2" s="1"/>
  <c r="J627" i="2"/>
  <c r="I627" i="2"/>
  <c r="O627" i="2" s="1"/>
  <c r="H627" i="2"/>
  <c r="R626" i="2"/>
  <c r="L626" i="2"/>
  <c r="M626" i="2" s="1"/>
  <c r="J626" i="2"/>
  <c r="I626" i="2"/>
  <c r="O626" i="2" s="1"/>
  <c r="Q626" i="2" s="1"/>
  <c r="H626" i="2"/>
  <c r="R625" i="2"/>
  <c r="L625" i="2"/>
  <c r="M625" i="2" s="1"/>
  <c r="J625" i="2"/>
  <c r="I625" i="2"/>
  <c r="O625" i="2" s="1"/>
  <c r="Q625" i="2" s="1"/>
  <c r="H625" i="2"/>
  <c r="R624" i="2"/>
  <c r="L624" i="2"/>
  <c r="J624" i="2"/>
  <c r="I624" i="2"/>
  <c r="O624" i="2" s="1"/>
  <c r="H624" i="2"/>
  <c r="R623" i="2"/>
  <c r="L623" i="2"/>
  <c r="J623" i="2"/>
  <c r="I623" i="2"/>
  <c r="H623" i="2"/>
  <c r="R622" i="2"/>
  <c r="L622" i="2"/>
  <c r="J622" i="2"/>
  <c r="I622" i="2"/>
  <c r="H622" i="2"/>
  <c r="R621" i="2"/>
  <c r="L621" i="2"/>
  <c r="J621" i="2"/>
  <c r="I621" i="2"/>
  <c r="H621" i="2"/>
  <c r="R620" i="2"/>
  <c r="L620" i="2"/>
  <c r="M620" i="2" s="1"/>
  <c r="J620" i="2"/>
  <c r="I620" i="2"/>
  <c r="O620" i="2" s="1"/>
  <c r="Q620" i="2" s="1"/>
  <c r="H620" i="2"/>
  <c r="R619" i="2"/>
  <c r="L619" i="2"/>
  <c r="M619" i="2" s="1"/>
  <c r="J619" i="2"/>
  <c r="I619" i="2"/>
  <c r="H619" i="2"/>
  <c r="R618" i="2"/>
  <c r="L618" i="2"/>
  <c r="J618" i="2"/>
  <c r="I618" i="2"/>
  <c r="O618" i="2" s="1"/>
  <c r="H618" i="2"/>
  <c r="R617" i="2"/>
  <c r="L617" i="2"/>
  <c r="M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J615" i="2"/>
  <c r="I615" i="2"/>
  <c r="O615" i="2" s="1"/>
  <c r="H615" i="2"/>
  <c r="R614" i="2"/>
  <c r="L614" i="2"/>
  <c r="M614" i="2" s="1"/>
  <c r="N614" i="2" s="1"/>
  <c r="J614" i="2"/>
  <c r="I614" i="2"/>
  <c r="H614" i="2"/>
  <c r="R613" i="2"/>
  <c r="L613" i="2"/>
  <c r="J613" i="2"/>
  <c r="I613" i="2"/>
  <c r="H613" i="2"/>
  <c r="R612" i="2"/>
  <c r="L612" i="2"/>
  <c r="M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J610" i="2"/>
  <c r="I610" i="2"/>
  <c r="O610" i="2" s="1"/>
  <c r="P610" i="2" s="1"/>
  <c r="H610" i="2"/>
  <c r="R609" i="2"/>
  <c r="L609" i="2"/>
  <c r="M609" i="2" s="1"/>
  <c r="J609" i="2"/>
  <c r="I609" i="2"/>
  <c r="O609" i="2" s="1"/>
  <c r="Q609" i="2" s="1"/>
  <c r="H609" i="2"/>
  <c r="R608" i="2"/>
  <c r="L608" i="2"/>
  <c r="J608" i="2"/>
  <c r="I608" i="2"/>
  <c r="O608" i="2" s="1"/>
  <c r="P608" i="2" s="1"/>
  <c r="H608" i="2"/>
  <c r="R607" i="2"/>
  <c r="L607" i="2"/>
  <c r="J607" i="2"/>
  <c r="I607" i="2"/>
  <c r="O607" i="2" s="1"/>
  <c r="H607" i="2"/>
  <c r="R606" i="2"/>
  <c r="L606" i="2"/>
  <c r="M606" i="2" s="1"/>
  <c r="N606" i="2" s="1"/>
  <c r="J606" i="2"/>
  <c r="I606" i="2"/>
  <c r="O606" i="2" s="1"/>
  <c r="P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M603" i="2" s="1"/>
  <c r="J603" i="2"/>
  <c r="I603" i="2"/>
  <c r="H603" i="2"/>
  <c r="R602" i="2"/>
  <c r="L602" i="2"/>
  <c r="J602" i="2"/>
  <c r="I602" i="2"/>
  <c r="O602" i="2" s="1"/>
  <c r="H602" i="2"/>
  <c r="R601" i="2"/>
  <c r="L601" i="2"/>
  <c r="M601" i="2" s="1"/>
  <c r="J601" i="2"/>
  <c r="I601" i="2"/>
  <c r="O601" i="2" s="1"/>
  <c r="Q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J599" i="2"/>
  <c r="I599" i="2"/>
  <c r="O599" i="2" s="1"/>
  <c r="H599" i="2"/>
  <c r="R598" i="2"/>
  <c r="L598" i="2"/>
  <c r="J598" i="2"/>
  <c r="I598" i="2"/>
  <c r="H598" i="2"/>
  <c r="R597" i="2"/>
  <c r="L597" i="2"/>
  <c r="M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J591" i="2"/>
  <c r="I591" i="2"/>
  <c r="O591" i="2" s="1"/>
  <c r="H591" i="2"/>
  <c r="R590" i="2"/>
  <c r="L590" i="2"/>
  <c r="M590" i="2" s="1"/>
  <c r="J590" i="2"/>
  <c r="I590" i="2"/>
  <c r="O590" i="2" s="1"/>
  <c r="H590" i="2"/>
  <c r="R589" i="2"/>
  <c r="L589" i="2"/>
  <c r="J589" i="2"/>
  <c r="I589" i="2"/>
  <c r="H589" i="2"/>
  <c r="R588" i="2"/>
  <c r="L588" i="2"/>
  <c r="M588" i="2" s="1"/>
  <c r="N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H587" i="2"/>
  <c r="R586" i="2"/>
  <c r="O586" i="2"/>
  <c r="Q586" i="2" s="1"/>
  <c r="L586" i="2"/>
  <c r="M586" i="2" s="1"/>
  <c r="J586" i="2"/>
  <c r="I586" i="2"/>
  <c r="H586" i="2"/>
  <c r="R585" i="2"/>
  <c r="L585" i="2"/>
  <c r="J585" i="2"/>
  <c r="I585" i="2"/>
  <c r="O585" i="2" s="1"/>
  <c r="H585" i="2"/>
  <c r="R584" i="2"/>
  <c r="L584" i="2"/>
  <c r="M584" i="2" s="1"/>
  <c r="J584" i="2"/>
  <c r="I584" i="2"/>
  <c r="O584" i="2" s="1"/>
  <c r="P584" i="2" s="1"/>
  <c r="H584" i="2"/>
  <c r="R583" i="2"/>
  <c r="L583" i="2"/>
  <c r="M583" i="2" s="1"/>
  <c r="J583" i="2"/>
  <c r="I583" i="2"/>
  <c r="H583" i="2"/>
  <c r="R582" i="2"/>
  <c r="L582" i="2"/>
  <c r="J582" i="2"/>
  <c r="I582" i="2"/>
  <c r="O582" i="2" s="1"/>
  <c r="P582" i="2" s="1"/>
  <c r="H582" i="2"/>
  <c r="R581" i="2"/>
  <c r="L581" i="2"/>
  <c r="M581" i="2" s="1"/>
  <c r="J581" i="2"/>
  <c r="I581" i="2"/>
  <c r="H581" i="2"/>
  <c r="R580" i="2"/>
  <c r="L580" i="2"/>
  <c r="M580" i="2" s="1"/>
  <c r="J580" i="2"/>
  <c r="I580" i="2"/>
  <c r="O580" i="2" s="1"/>
  <c r="Q580" i="2" s="1"/>
  <c r="H580" i="2"/>
  <c r="R579" i="2"/>
  <c r="L579" i="2"/>
  <c r="M579" i="2" s="1"/>
  <c r="N579" i="2" s="1"/>
  <c r="J579" i="2"/>
  <c r="I579" i="2"/>
  <c r="O579" i="2" s="1"/>
  <c r="Q579" i="2" s="1"/>
  <c r="H579" i="2"/>
  <c r="R578" i="2"/>
  <c r="L578" i="2"/>
  <c r="M578" i="2" s="1"/>
  <c r="J578" i="2"/>
  <c r="I578" i="2"/>
  <c r="H578" i="2"/>
  <c r="R577" i="2"/>
  <c r="L577" i="2"/>
  <c r="J577" i="2"/>
  <c r="I577" i="2"/>
  <c r="H577" i="2"/>
  <c r="R576" i="2"/>
  <c r="L576" i="2"/>
  <c r="M576" i="2" s="1"/>
  <c r="J576" i="2"/>
  <c r="I576" i="2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H573" i="2"/>
  <c r="R572" i="2"/>
  <c r="L572" i="2"/>
  <c r="J572" i="2"/>
  <c r="I572" i="2"/>
  <c r="O572" i="2" s="1"/>
  <c r="Q572" i="2" s="1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M569" i="2" s="1"/>
  <c r="N569" i="2" s="1"/>
  <c r="J569" i="2"/>
  <c r="I569" i="2"/>
  <c r="O569" i="2" s="1"/>
  <c r="H569" i="2"/>
  <c r="R568" i="2"/>
  <c r="L568" i="2"/>
  <c r="M568" i="2" s="1"/>
  <c r="J568" i="2"/>
  <c r="I568" i="2"/>
  <c r="H568" i="2"/>
  <c r="R567" i="2"/>
  <c r="L567" i="2"/>
  <c r="M567" i="2" s="1"/>
  <c r="N567" i="2" s="1"/>
  <c r="J567" i="2"/>
  <c r="I567" i="2"/>
  <c r="O567" i="2" s="1"/>
  <c r="Q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J565" i="2"/>
  <c r="I565" i="2"/>
  <c r="O565" i="2" s="1"/>
  <c r="P565" i="2" s="1"/>
  <c r="H565" i="2"/>
  <c r="R564" i="2"/>
  <c r="L564" i="2"/>
  <c r="J564" i="2"/>
  <c r="I564" i="2"/>
  <c r="O564" i="2" s="1"/>
  <c r="P564" i="2" s="1"/>
  <c r="H564" i="2"/>
  <c r="R563" i="2"/>
  <c r="L563" i="2"/>
  <c r="M563" i="2" s="1"/>
  <c r="J563" i="2"/>
  <c r="I563" i="2"/>
  <c r="O563" i="2" s="1"/>
  <c r="P563" i="2" s="1"/>
  <c r="H563" i="2"/>
  <c r="R562" i="2"/>
  <c r="L562" i="2"/>
  <c r="M562" i="2" s="1"/>
  <c r="N562" i="2" s="1"/>
  <c r="J562" i="2"/>
  <c r="I562" i="2"/>
  <c r="O562" i="2" s="1"/>
  <c r="P562" i="2" s="1"/>
  <c r="H562" i="2"/>
  <c r="R561" i="2"/>
  <c r="L561" i="2"/>
  <c r="J561" i="2"/>
  <c r="I561" i="2"/>
  <c r="H561" i="2"/>
  <c r="R560" i="2"/>
  <c r="L560" i="2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O558" i="2" s="1"/>
  <c r="H558" i="2"/>
  <c r="R557" i="2"/>
  <c r="L557" i="2"/>
  <c r="M557" i="2" s="1"/>
  <c r="J557" i="2"/>
  <c r="I557" i="2"/>
  <c r="H557" i="2"/>
  <c r="R556" i="2"/>
  <c r="L556" i="2"/>
  <c r="J556" i="2"/>
  <c r="I556" i="2"/>
  <c r="H556" i="2"/>
  <c r="R555" i="2"/>
  <c r="L555" i="2"/>
  <c r="M555" i="2" s="1"/>
  <c r="N555" i="2" s="1"/>
  <c r="J555" i="2"/>
  <c r="I555" i="2"/>
  <c r="H555" i="2"/>
  <c r="R554" i="2"/>
  <c r="L554" i="2"/>
  <c r="J554" i="2"/>
  <c r="I554" i="2"/>
  <c r="O554" i="2" s="1"/>
  <c r="H554" i="2"/>
  <c r="R553" i="2"/>
  <c r="L553" i="2"/>
  <c r="M553" i="2" s="1"/>
  <c r="J553" i="2"/>
  <c r="I553" i="2"/>
  <c r="O553" i="2" s="1"/>
  <c r="H553" i="2"/>
  <c r="R552" i="2"/>
  <c r="L552" i="2"/>
  <c r="J552" i="2"/>
  <c r="I552" i="2"/>
  <c r="O552" i="2" s="1"/>
  <c r="P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M549" i="2" s="1"/>
  <c r="J549" i="2"/>
  <c r="I549" i="2"/>
  <c r="O549" i="2" s="1"/>
  <c r="H549" i="2"/>
  <c r="R548" i="2"/>
  <c r="L548" i="2"/>
  <c r="M548" i="2" s="1"/>
  <c r="N548" i="2" s="1"/>
  <c r="J548" i="2"/>
  <c r="I548" i="2"/>
  <c r="H548" i="2"/>
  <c r="R547" i="2"/>
  <c r="L547" i="2"/>
  <c r="M547" i="2" s="1"/>
  <c r="J547" i="2"/>
  <c r="I547" i="2"/>
  <c r="H547" i="2"/>
  <c r="R546" i="2"/>
  <c r="L546" i="2"/>
  <c r="J546" i="2"/>
  <c r="I546" i="2"/>
  <c r="O546" i="2" s="1"/>
  <c r="Q546" i="2" s="1"/>
  <c r="H546" i="2"/>
  <c r="R545" i="2"/>
  <c r="L545" i="2"/>
  <c r="M545" i="2" s="1"/>
  <c r="N545" i="2" s="1"/>
  <c r="J545" i="2"/>
  <c r="I545" i="2"/>
  <c r="O545" i="2" s="1"/>
  <c r="Q545" i="2" s="1"/>
  <c r="H545" i="2"/>
  <c r="R544" i="2"/>
  <c r="L544" i="2"/>
  <c r="M544" i="2" s="1"/>
  <c r="N544" i="2" s="1"/>
  <c r="J544" i="2"/>
  <c r="I544" i="2"/>
  <c r="O544" i="2" s="1"/>
  <c r="H544" i="2"/>
  <c r="R543" i="2"/>
  <c r="L543" i="2"/>
  <c r="M543" i="2" s="1"/>
  <c r="N543" i="2" s="1"/>
  <c r="J543" i="2"/>
  <c r="I543" i="2"/>
  <c r="O543" i="2" s="1"/>
  <c r="P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J540" i="2"/>
  <c r="I540" i="2"/>
  <c r="H540" i="2"/>
  <c r="R539" i="2"/>
  <c r="L539" i="2"/>
  <c r="M539" i="2" s="1"/>
  <c r="J539" i="2"/>
  <c r="I539" i="2"/>
  <c r="O539" i="2" s="1"/>
  <c r="H539" i="2"/>
  <c r="R538" i="2"/>
  <c r="L538" i="2"/>
  <c r="J538" i="2"/>
  <c r="I538" i="2"/>
  <c r="H538" i="2"/>
  <c r="R537" i="2"/>
  <c r="L537" i="2"/>
  <c r="M537" i="2" s="1"/>
  <c r="N537" i="2" s="1"/>
  <c r="J537" i="2"/>
  <c r="I537" i="2"/>
  <c r="O537" i="2" s="1"/>
  <c r="H537" i="2"/>
  <c r="R536" i="2"/>
  <c r="L536" i="2"/>
  <c r="J536" i="2"/>
  <c r="I536" i="2"/>
  <c r="H536" i="2"/>
  <c r="R535" i="2"/>
  <c r="L535" i="2"/>
  <c r="M535" i="2" s="1"/>
  <c r="N535" i="2" s="1"/>
  <c r="J535" i="2"/>
  <c r="I535" i="2"/>
  <c r="H535" i="2"/>
  <c r="R534" i="2"/>
  <c r="L534" i="2"/>
  <c r="J534" i="2"/>
  <c r="I534" i="2"/>
  <c r="O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J532" i="2"/>
  <c r="I532" i="2"/>
  <c r="O532" i="2" s="1"/>
  <c r="H532" i="2"/>
  <c r="R531" i="2"/>
  <c r="L531" i="2"/>
  <c r="M531" i="2" s="1"/>
  <c r="J531" i="2"/>
  <c r="I531" i="2"/>
  <c r="O531" i="2" s="1"/>
  <c r="P531" i="2" s="1"/>
  <c r="H531" i="2"/>
  <c r="R530" i="2"/>
  <c r="L530" i="2"/>
  <c r="M530" i="2" s="1"/>
  <c r="N530" i="2" s="1"/>
  <c r="J530" i="2"/>
  <c r="I530" i="2"/>
  <c r="O530" i="2" s="1"/>
  <c r="Q530" i="2" s="1"/>
  <c r="H530" i="2"/>
  <c r="R529" i="2"/>
  <c r="L529" i="2"/>
  <c r="J529" i="2"/>
  <c r="I529" i="2"/>
  <c r="O529" i="2" s="1"/>
  <c r="Q529" i="2" s="1"/>
  <c r="H529" i="2"/>
  <c r="R528" i="2"/>
  <c r="L528" i="2"/>
  <c r="J528" i="2"/>
  <c r="I528" i="2"/>
  <c r="H528" i="2"/>
  <c r="R527" i="2"/>
  <c r="L527" i="2"/>
  <c r="M527" i="2" s="1"/>
  <c r="N527" i="2" s="1"/>
  <c r="J527" i="2"/>
  <c r="I527" i="2"/>
  <c r="H527" i="2"/>
  <c r="R526" i="2"/>
  <c r="L526" i="2"/>
  <c r="M526" i="2" s="1"/>
  <c r="J526" i="2"/>
  <c r="I526" i="2"/>
  <c r="H526" i="2"/>
  <c r="R525" i="2"/>
  <c r="L525" i="2"/>
  <c r="M525" i="2" s="1"/>
  <c r="N525" i="2" s="1"/>
  <c r="J525" i="2"/>
  <c r="I525" i="2"/>
  <c r="O525" i="2" s="1"/>
  <c r="H525" i="2"/>
  <c r="R524" i="2"/>
  <c r="L524" i="2"/>
  <c r="M524" i="2" s="1"/>
  <c r="J524" i="2"/>
  <c r="I524" i="2"/>
  <c r="O524" i="2" s="1"/>
  <c r="H524" i="2"/>
  <c r="R523" i="2"/>
  <c r="L523" i="2"/>
  <c r="J523" i="2"/>
  <c r="I523" i="2"/>
  <c r="O523" i="2" s="1"/>
  <c r="H523" i="2"/>
  <c r="R522" i="2"/>
  <c r="L522" i="2"/>
  <c r="J522" i="2"/>
  <c r="I522" i="2"/>
  <c r="O522" i="2" s="1"/>
  <c r="H522" i="2"/>
  <c r="R521" i="2"/>
  <c r="L521" i="2"/>
  <c r="M521" i="2" s="1"/>
  <c r="N521" i="2" s="1"/>
  <c r="J521" i="2"/>
  <c r="I521" i="2"/>
  <c r="H521" i="2"/>
  <c r="R520" i="2"/>
  <c r="L520" i="2"/>
  <c r="J520" i="2"/>
  <c r="I520" i="2"/>
  <c r="H520" i="2"/>
  <c r="R519" i="2"/>
  <c r="L519" i="2"/>
  <c r="M519" i="2" s="1"/>
  <c r="N519" i="2" s="1"/>
  <c r="J519" i="2"/>
  <c r="I519" i="2"/>
  <c r="H519" i="2"/>
  <c r="R518" i="2"/>
  <c r="L518" i="2"/>
  <c r="M518" i="2" s="1"/>
  <c r="N518" i="2" s="1"/>
  <c r="J518" i="2"/>
  <c r="I518" i="2"/>
  <c r="O518" i="2" s="1"/>
  <c r="Q518" i="2" s="1"/>
  <c r="H518" i="2"/>
  <c r="R517" i="2"/>
  <c r="L517" i="2"/>
  <c r="J517" i="2"/>
  <c r="I517" i="2"/>
  <c r="O517" i="2" s="1"/>
  <c r="P517" i="2" s="1"/>
  <c r="H517" i="2"/>
  <c r="R516" i="2"/>
  <c r="L516" i="2"/>
  <c r="M516" i="2" s="1"/>
  <c r="N516" i="2" s="1"/>
  <c r="J516" i="2"/>
  <c r="I516" i="2"/>
  <c r="O516" i="2" s="1"/>
  <c r="Q516" i="2" s="1"/>
  <c r="H516" i="2"/>
  <c r="R515" i="2"/>
  <c r="L515" i="2"/>
  <c r="J515" i="2"/>
  <c r="I515" i="2"/>
  <c r="O515" i="2" s="1"/>
  <c r="P515" i="2" s="1"/>
  <c r="H515" i="2"/>
  <c r="R514" i="2"/>
  <c r="L514" i="2"/>
  <c r="M514" i="2" s="1"/>
  <c r="N514" i="2" s="1"/>
  <c r="J514" i="2"/>
  <c r="I514" i="2"/>
  <c r="H514" i="2"/>
  <c r="R513" i="2"/>
  <c r="L513" i="2"/>
  <c r="M513" i="2" s="1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J511" i="2"/>
  <c r="I511" i="2"/>
  <c r="H511" i="2"/>
  <c r="R510" i="2"/>
  <c r="L510" i="2"/>
  <c r="M510" i="2" s="1"/>
  <c r="N510" i="2" s="1"/>
  <c r="J510" i="2"/>
  <c r="I510" i="2"/>
  <c r="O510" i="2" s="1"/>
  <c r="H510" i="2"/>
  <c r="R509" i="2"/>
  <c r="L509" i="2"/>
  <c r="J509" i="2"/>
  <c r="I509" i="2"/>
  <c r="O509" i="2" s="1"/>
  <c r="H509" i="2"/>
  <c r="R508" i="2"/>
  <c r="L508" i="2"/>
  <c r="J508" i="2"/>
  <c r="I508" i="2"/>
  <c r="O508" i="2" s="1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J506" i="2"/>
  <c r="I506" i="2"/>
  <c r="H506" i="2"/>
  <c r="R505" i="2"/>
  <c r="L505" i="2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J503" i="2"/>
  <c r="I503" i="2"/>
  <c r="H503" i="2"/>
  <c r="R502" i="2"/>
  <c r="L502" i="2"/>
  <c r="J502" i="2"/>
  <c r="I502" i="2"/>
  <c r="O502" i="2" s="1"/>
  <c r="H502" i="2"/>
  <c r="R501" i="2"/>
  <c r="L501" i="2"/>
  <c r="M501" i="2" s="1"/>
  <c r="N501" i="2" s="1"/>
  <c r="J501" i="2"/>
  <c r="I501" i="2"/>
  <c r="O501" i="2" s="1"/>
  <c r="H501" i="2"/>
  <c r="R500" i="2"/>
  <c r="L500" i="2"/>
  <c r="M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M498" i="2" s="1"/>
  <c r="J498" i="2"/>
  <c r="I498" i="2"/>
  <c r="H498" i="2"/>
  <c r="R497" i="2"/>
  <c r="L497" i="2"/>
  <c r="J497" i="2"/>
  <c r="I497" i="2"/>
  <c r="O497" i="2" s="1"/>
  <c r="H497" i="2"/>
  <c r="R496" i="2"/>
  <c r="L496" i="2"/>
  <c r="M496" i="2" s="1"/>
  <c r="N496" i="2" s="1"/>
  <c r="J496" i="2"/>
  <c r="I496" i="2"/>
  <c r="O496" i="2" s="1"/>
  <c r="P496" i="2" s="1"/>
  <c r="H496" i="2"/>
  <c r="R495" i="2"/>
  <c r="L495" i="2"/>
  <c r="J495" i="2"/>
  <c r="I495" i="2"/>
  <c r="H495" i="2"/>
  <c r="R494" i="2"/>
  <c r="L494" i="2"/>
  <c r="J494" i="2"/>
  <c r="I494" i="2"/>
  <c r="H494" i="2"/>
  <c r="R493" i="2"/>
  <c r="L493" i="2"/>
  <c r="M493" i="2" s="1"/>
  <c r="J493" i="2"/>
  <c r="I493" i="2"/>
  <c r="H493" i="2"/>
  <c r="R492" i="2"/>
  <c r="L492" i="2"/>
  <c r="M492" i="2" s="1"/>
  <c r="J492" i="2"/>
  <c r="I492" i="2"/>
  <c r="O492" i="2" s="1"/>
  <c r="Q492" i="2" s="1"/>
  <c r="H492" i="2"/>
  <c r="R491" i="2"/>
  <c r="L491" i="2"/>
  <c r="M491" i="2" s="1"/>
  <c r="N491" i="2" s="1"/>
  <c r="J491" i="2"/>
  <c r="I491" i="2"/>
  <c r="O491" i="2" s="1"/>
  <c r="H491" i="2"/>
  <c r="R490" i="2"/>
  <c r="L490" i="2"/>
  <c r="J490" i="2"/>
  <c r="I490" i="2"/>
  <c r="O490" i="2" s="1"/>
  <c r="P490" i="2" s="1"/>
  <c r="H490" i="2"/>
  <c r="R489" i="2"/>
  <c r="L489" i="2"/>
  <c r="M489" i="2" s="1"/>
  <c r="J489" i="2"/>
  <c r="I489" i="2"/>
  <c r="O489" i="2" s="1"/>
  <c r="H489" i="2"/>
  <c r="R488" i="2"/>
  <c r="L488" i="2"/>
  <c r="M488" i="2" s="1"/>
  <c r="N488" i="2" s="1"/>
  <c r="J488" i="2"/>
  <c r="I488" i="2"/>
  <c r="O488" i="2" s="1"/>
  <c r="Q488" i="2" s="1"/>
  <c r="H488" i="2"/>
  <c r="R487" i="2"/>
  <c r="L487" i="2"/>
  <c r="M487" i="2" s="1"/>
  <c r="N487" i="2" s="1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P485" i="2" s="1"/>
  <c r="H485" i="2"/>
  <c r="R484" i="2"/>
  <c r="L484" i="2"/>
  <c r="M484" i="2" s="1"/>
  <c r="N484" i="2" s="1"/>
  <c r="J484" i="2"/>
  <c r="I484" i="2"/>
  <c r="H484" i="2"/>
  <c r="R483" i="2"/>
  <c r="L483" i="2"/>
  <c r="M483" i="2" s="1"/>
  <c r="J483" i="2"/>
  <c r="I483" i="2"/>
  <c r="O483" i="2" s="1"/>
  <c r="H483" i="2"/>
  <c r="R482" i="2"/>
  <c r="L482" i="2"/>
  <c r="J482" i="2"/>
  <c r="I482" i="2"/>
  <c r="O482" i="2" s="1"/>
  <c r="H482" i="2"/>
  <c r="R481" i="2"/>
  <c r="L481" i="2"/>
  <c r="M481" i="2" s="1"/>
  <c r="J481" i="2"/>
  <c r="I481" i="2"/>
  <c r="O481" i="2" s="1"/>
  <c r="H481" i="2"/>
  <c r="R480" i="2"/>
  <c r="L480" i="2"/>
  <c r="M480" i="2" s="1"/>
  <c r="J480" i="2"/>
  <c r="I480" i="2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H478" i="2"/>
  <c r="R477" i="2"/>
  <c r="L477" i="2"/>
  <c r="M477" i="2" s="1"/>
  <c r="N477" i="2" s="1"/>
  <c r="J477" i="2"/>
  <c r="I477" i="2"/>
  <c r="H477" i="2"/>
  <c r="R476" i="2"/>
  <c r="L476" i="2"/>
  <c r="M476" i="2" s="1"/>
  <c r="N476" i="2" s="1"/>
  <c r="J476" i="2"/>
  <c r="I476" i="2"/>
  <c r="H476" i="2"/>
  <c r="R475" i="2"/>
  <c r="L475" i="2"/>
  <c r="M475" i="2" s="1"/>
  <c r="N475" i="2" s="1"/>
  <c r="J475" i="2"/>
  <c r="I475" i="2"/>
  <c r="O475" i="2" s="1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H473" i="2"/>
  <c r="R472" i="2"/>
  <c r="L472" i="2"/>
  <c r="M472" i="2" s="1"/>
  <c r="J472" i="2"/>
  <c r="I472" i="2"/>
  <c r="O472" i="2" s="1"/>
  <c r="H472" i="2"/>
  <c r="R471" i="2"/>
  <c r="L471" i="2"/>
  <c r="J471" i="2"/>
  <c r="I471" i="2"/>
  <c r="H471" i="2"/>
  <c r="R470" i="2"/>
  <c r="L470" i="2"/>
  <c r="J470" i="2"/>
  <c r="I470" i="2"/>
  <c r="O470" i="2" s="1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O467" i="2" s="1"/>
  <c r="H467" i="2"/>
  <c r="R466" i="2"/>
  <c r="L466" i="2"/>
  <c r="J466" i="2"/>
  <c r="I466" i="2"/>
  <c r="O466" i="2" s="1"/>
  <c r="Q466" i="2" s="1"/>
  <c r="H466" i="2"/>
  <c r="R465" i="2"/>
  <c r="L465" i="2"/>
  <c r="M465" i="2" s="1"/>
  <c r="N465" i="2" s="1"/>
  <c r="J465" i="2"/>
  <c r="I465" i="2"/>
  <c r="H465" i="2"/>
  <c r="R464" i="2"/>
  <c r="L464" i="2"/>
  <c r="M464" i="2" s="1"/>
  <c r="N464" i="2" s="1"/>
  <c r="J464" i="2"/>
  <c r="I464" i="2"/>
  <c r="H464" i="2"/>
  <c r="R463" i="2"/>
  <c r="L463" i="2"/>
  <c r="M463" i="2" s="1"/>
  <c r="J463" i="2"/>
  <c r="I463" i="2"/>
  <c r="H463" i="2"/>
  <c r="R462" i="2"/>
  <c r="L462" i="2"/>
  <c r="J462" i="2"/>
  <c r="I462" i="2"/>
  <c r="O462" i="2" s="1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M456" i="2" s="1"/>
  <c r="N456" i="2" s="1"/>
  <c r="J456" i="2"/>
  <c r="I456" i="2"/>
  <c r="O456" i="2" s="1"/>
  <c r="H456" i="2"/>
  <c r="R455" i="2"/>
  <c r="L455" i="2"/>
  <c r="M455" i="2" s="1"/>
  <c r="N455" i="2" s="1"/>
  <c r="J455" i="2"/>
  <c r="I455" i="2"/>
  <c r="O455" i="2" s="1"/>
  <c r="Q455" i="2" s="1"/>
  <c r="H455" i="2"/>
  <c r="R454" i="2"/>
  <c r="L454" i="2"/>
  <c r="M454" i="2" s="1"/>
  <c r="N454" i="2" s="1"/>
  <c r="J454" i="2"/>
  <c r="I454" i="2"/>
  <c r="H454" i="2"/>
  <c r="R453" i="2"/>
  <c r="L453" i="2"/>
  <c r="M453" i="2" s="1"/>
  <c r="N453" i="2" s="1"/>
  <c r="J453" i="2"/>
  <c r="I453" i="2"/>
  <c r="O453" i="2" s="1"/>
  <c r="H453" i="2"/>
  <c r="R452" i="2"/>
  <c r="L452" i="2"/>
  <c r="M452" i="2" s="1"/>
  <c r="J452" i="2"/>
  <c r="I452" i="2"/>
  <c r="H452" i="2"/>
  <c r="R451" i="2"/>
  <c r="L451" i="2"/>
  <c r="J451" i="2"/>
  <c r="I451" i="2"/>
  <c r="O451" i="2" s="1"/>
  <c r="P451" i="2" s="1"/>
  <c r="H451" i="2"/>
  <c r="R450" i="2"/>
  <c r="L450" i="2"/>
  <c r="J450" i="2"/>
  <c r="I450" i="2"/>
  <c r="O450" i="2" s="1"/>
  <c r="H450" i="2"/>
  <c r="R449" i="2"/>
  <c r="L449" i="2"/>
  <c r="J449" i="2"/>
  <c r="I449" i="2"/>
  <c r="O449" i="2" s="1"/>
  <c r="H449" i="2"/>
  <c r="R448" i="2"/>
  <c r="L448" i="2"/>
  <c r="M448" i="2" s="1"/>
  <c r="N448" i="2" s="1"/>
  <c r="J448" i="2"/>
  <c r="I448" i="2"/>
  <c r="O448" i="2" s="1"/>
  <c r="Q448" i="2" s="1"/>
  <c r="H448" i="2"/>
  <c r="R447" i="2"/>
  <c r="L447" i="2"/>
  <c r="M447" i="2" s="1"/>
  <c r="J447" i="2"/>
  <c r="I447" i="2"/>
  <c r="O447" i="2" s="1"/>
  <c r="H447" i="2"/>
  <c r="R446" i="2"/>
  <c r="L446" i="2"/>
  <c r="J446" i="2"/>
  <c r="I446" i="2"/>
  <c r="O446" i="2" s="1"/>
  <c r="Q446" i="2" s="1"/>
  <c r="H446" i="2"/>
  <c r="R445" i="2"/>
  <c r="L445" i="2"/>
  <c r="J445" i="2"/>
  <c r="I445" i="2"/>
  <c r="O445" i="2" s="1"/>
  <c r="H445" i="2"/>
  <c r="R444" i="2"/>
  <c r="L444" i="2"/>
  <c r="M444" i="2" s="1"/>
  <c r="N444" i="2" s="1"/>
  <c r="J444" i="2"/>
  <c r="I444" i="2"/>
  <c r="H444" i="2"/>
  <c r="R443" i="2"/>
  <c r="L443" i="2"/>
  <c r="J443" i="2"/>
  <c r="I443" i="2"/>
  <c r="H443" i="2"/>
  <c r="R442" i="2"/>
  <c r="L442" i="2"/>
  <c r="M442" i="2" s="1"/>
  <c r="N442" i="2" s="1"/>
  <c r="J442" i="2"/>
  <c r="I442" i="2"/>
  <c r="O442" i="2" s="1"/>
  <c r="Q442" i="2" s="1"/>
  <c r="H442" i="2"/>
  <c r="R441" i="2"/>
  <c r="L441" i="2"/>
  <c r="J441" i="2"/>
  <c r="I441" i="2"/>
  <c r="O441" i="2" s="1"/>
  <c r="H441" i="2"/>
  <c r="R440" i="2"/>
  <c r="L440" i="2"/>
  <c r="M440" i="2" s="1"/>
  <c r="J440" i="2"/>
  <c r="I440" i="2"/>
  <c r="H440" i="2"/>
  <c r="R439" i="2"/>
  <c r="L439" i="2"/>
  <c r="M439" i="2" s="1"/>
  <c r="N439" i="2" s="1"/>
  <c r="J439" i="2"/>
  <c r="I439" i="2"/>
  <c r="O439" i="2" s="1"/>
  <c r="Q439" i="2" s="1"/>
  <c r="H439" i="2"/>
  <c r="R438" i="2"/>
  <c r="L438" i="2"/>
  <c r="M438" i="2" s="1"/>
  <c r="N438" i="2" s="1"/>
  <c r="J438" i="2"/>
  <c r="I438" i="2"/>
  <c r="O438" i="2" s="1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N434" i="2" s="1"/>
  <c r="J434" i="2"/>
  <c r="I434" i="2"/>
  <c r="O434" i="2" s="1"/>
  <c r="H434" i="2"/>
  <c r="R433" i="2"/>
  <c r="L433" i="2"/>
  <c r="M433" i="2" s="1"/>
  <c r="N433" i="2" s="1"/>
  <c r="J433" i="2"/>
  <c r="I433" i="2"/>
  <c r="O433" i="2" s="1"/>
  <c r="H433" i="2"/>
  <c r="R432" i="2"/>
  <c r="L432" i="2"/>
  <c r="M432" i="2" s="1"/>
  <c r="J432" i="2"/>
  <c r="I432" i="2"/>
  <c r="O432" i="2" s="1"/>
  <c r="P432" i="2" s="1"/>
  <c r="H432" i="2"/>
  <c r="R431" i="2"/>
  <c r="L431" i="2"/>
  <c r="M431" i="2" s="1"/>
  <c r="J431" i="2"/>
  <c r="I431" i="2"/>
  <c r="O431" i="2" s="1"/>
  <c r="P431" i="2" s="1"/>
  <c r="H431" i="2"/>
  <c r="R430" i="2"/>
  <c r="L430" i="2"/>
  <c r="M430" i="2" s="1"/>
  <c r="N430" i="2" s="1"/>
  <c r="J430" i="2"/>
  <c r="I430" i="2"/>
  <c r="O430" i="2" s="1"/>
  <c r="H430" i="2"/>
  <c r="R429" i="2"/>
  <c r="L429" i="2"/>
  <c r="J429" i="2"/>
  <c r="I429" i="2"/>
  <c r="O429" i="2" s="1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P427" i="2" s="1"/>
  <c r="H427" i="2"/>
  <c r="R426" i="2"/>
  <c r="L426" i="2"/>
  <c r="J426" i="2"/>
  <c r="I426" i="2"/>
  <c r="O426" i="2" s="1"/>
  <c r="H426" i="2"/>
  <c r="R425" i="2"/>
  <c r="L425" i="2"/>
  <c r="M425" i="2" s="1"/>
  <c r="N425" i="2" s="1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J423" i="2"/>
  <c r="I423" i="2"/>
  <c r="H423" i="2"/>
  <c r="R422" i="2"/>
  <c r="L422" i="2"/>
  <c r="M422" i="2" s="1"/>
  <c r="J422" i="2"/>
  <c r="I422" i="2"/>
  <c r="H422" i="2"/>
  <c r="R421" i="2"/>
  <c r="L421" i="2"/>
  <c r="M421" i="2" s="1"/>
  <c r="J421" i="2"/>
  <c r="I421" i="2"/>
  <c r="O421" i="2" s="1"/>
  <c r="P421" i="2" s="1"/>
  <c r="H421" i="2"/>
  <c r="R420" i="2"/>
  <c r="L420" i="2"/>
  <c r="M420" i="2" s="1"/>
  <c r="N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N418" i="2" s="1"/>
  <c r="J418" i="2"/>
  <c r="I418" i="2"/>
  <c r="H418" i="2"/>
  <c r="R417" i="2"/>
  <c r="L417" i="2"/>
  <c r="M417" i="2" s="1"/>
  <c r="N417" i="2" s="1"/>
  <c r="J417" i="2"/>
  <c r="I417" i="2"/>
  <c r="H417" i="2"/>
  <c r="R416" i="2"/>
  <c r="L416" i="2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H414" i="2"/>
  <c r="R413" i="2"/>
  <c r="L413" i="2"/>
  <c r="M413" i="2" s="1"/>
  <c r="N413" i="2" s="1"/>
  <c r="J413" i="2"/>
  <c r="I413" i="2"/>
  <c r="O413" i="2" s="1"/>
  <c r="H413" i="2"/>
  <c r="R412" i="2"/>
  <c r="L412" i="2"/>
  <c r="J412" i="2"/>
  <c r="I412" i="2"/>
  <c r="O412" i="2" s="1"/>
  <c r="P412" i="2" s="1"/>
  <c r="H412" i="2"/>
  <c r="R411" i="2"/>
  <c r="L411" i="2"/>
  <c r="M411" i="2" s="1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P404" i="2" s="1"/>
  <c r="H404" i="2"/>
  <c r="R403" i="2"/>
  <c r="L403" i="2"/>
  <c r="J403" i="2"/>
  <c r="I403" i="2"/>
  <c r="O403" i="2" s="1"/>
  <c r="H403" i="2"/>
  <c r="R402" i="2"/>
  <c r="L402" i="2"/>
  <c r="M402" i="2" s="1"/>
  <c r="J402" i="2"/>
  <c r="I402" i="2"/>
  <c r="O402" i="2" s="1"/>
  <c r="P402" i="2" s="1"/>
  <c r="H402" i="2"/>
  <c r="R401" i="2"/>
  <c r="L401" i="2"/>
  <c r="J401" i="2"/>
  <c r="I401" i="2"/>
  <c r="O401" i="2" s="1"/>
  <c r="H401" i="2"/>
  <c r="R400" i="2"/>
  <c r="L400" i="2"/>
  <c r="M400" i="2" s="1"/>
  <c r="J400" i="2"/>
  <c r="I400" i="2"/>
  <c r="O400" i="2" s="1"/>
  <c r="H400" i="2"/>
  <c r="R399" i="2"/>
  <c r="L399" i="2"/>
  <c r="M399" i="2" s="1"/>
  <c r="N399" i="2" s="1"/>
  <c r="J399" i="2"/>
  <c r="I399" i="2"/>
  <c r="H399" i="2"/>
  <c r="R398" i="2"/>
  <c r="L398" i="2"/>
  <c r="J398" i="2"/>
  <c r="I398" i="2"/>
  <c r="O398" i="2" s="1"/>
  <c r="H398" i="2"/>
  <c r="R397" i="2"/>
  <c r="L397" i="2"/>
  <c r="M397" i="2" s="1"/>
  <c r="N397" i="2" s="1"/>
  <c r="J397" i="2"/>
  <c r="I397" i="2"/>
  <c r="H397" i="2"/>
  <c r="R396" i="2"/>
  <c r="L396" i="2"/>
  <c r="J396" i="2"/>
  <c r="I396" i="2"/>
  <c r="O396" i="2" s="1"/>
  <c r="H396" i="2"/>
  <c r="R395" i="2"/>
  <c r="L395" i="2"/>
  <c r="M395" i="2" s="1"/>
  <c r="N395" i="2" s="1"/>
  <c r="J395" i="2"/>
  <c r="I395" i="2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M392" i="2" s="1"/>
  <c r="J392" i="2"/>
  <c r="I392" i="2"/>
  <c r="O392" i="2" s="1"/>
  <c r="Q392" i="2" s="1"/>
  <c r="H392" i="2"/>
  <c r="R391" i="2"/>
  <c r="L391" i="2"/>
  <c r="J391" i="2"/>
  <c r="I391" i="2"/>
  <c r="O391" i="2" s="1"/>
  <c r="H391" i="2"/>
  <c r="R390" i="2"/>
  <c r="L390" i="2"/>
  <c r="M390" i="2" s="1"/>
  <c r="J390" i="2"/>
  <c r="I390" i="2"/>
  <c r="O390" i="2" s="1"/>
  <c r="P390" i="2" s="1"/>
  <c r="H390" i="2"/>
  <c r="R389" i="2"/>
  <c r="L389" i="2"/>
  <c r="J389" i="2"/>
  <c r="I389" i="2"/>
  <c r="O389" i="2" s="1"/>
  <c r="H389" i="2"/>
  <c r="R388" i="2"/>
  <c r="L388" i="2"/>
  <c r="J388" i="2"/>
  <c r="I388" i="2"/>
  <c r="O388" i="2" s="1"/>
  <c r="P388" i="2" s="1"/>
  <c r="H388" i="2"/>
  <c r="R387" i="2"/>
  <c r="L387" i="2"/>
  <c r="M387" i="2" s="1"/>
  <c r="J387" i="2"/>
  <c r="I387" i="2"/>
  <c r="H387" i="2"/>
  <c r="R386" i="2"/>
  <c r="L386" i="2"/>
  <c r="M386" i="2" s="1"/>
  <c r="N386" i="2" s="1"/>
  <c r="J386" i="2"/>
  <c r="I386" i="2"/>
  <c r="O386" i="2" s="1"/>
  <c r="H386" i="2"/>
  <c r="R385" i="2"/>
  <c r="L385" i="2"/>
  <c r="M385" i="2" s="1"/>
  <c r="N385" i="2" s="1"/>
  <c r="J385" i="2"/>
  <c r="I385" i="2"/>
  <c r="H385" i="2"/>
  <c r="R384" i="2"/>
  <c r="L384" i="2"/>
  <c r="J384" i="2"/>
  <c r="I384" i="2"/>
  <c r="H384" i="2"/>
  <c r="R383" i="2"/>
  <c r="L383" i="2"/>
  <c r="J383" i="2"/>
  <c r="I383" i="2"/>
  <c r="H383" i="2"/>
  <c r="R382" i="2"/>
  <c r="L382" i="2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H379" i="2"/>
  <c r="R378" i="2"/>
  <c r="L378" i="2"/>
  <c r="J378" i="2"/>
  <c r="I378" i="2"/>
  <c r="O378" i="2" s="1"/>
  <c r="H378" i="2"/>
  <c r="R377" i="2"/>
  <c r="L377" i="2"/>
  <c r="J377" i="2"/>
  <c r="I377" i="2"/>
  <c r="O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H375" i="2"/>
  <c r="R374" i="2"/>
  <c r="L374" i="2"/>
  <c r="M374" i="2" s="1"/>
  <c r="N374" i="2" s="1"/>
  <c r="J374" i="2"/>
  <c r="I374" i="2"/>
  <c r="O374" i="2" s="1"/>
  <c r="P374" i="2" s="1"/>
  <c r="H374" i="2"/>
  <c r="R373" i="2"/>
  <c r="L373" i="2"/>
  <c r="M373" i="2" s="1"/>
  <c r="N373" i="2" s="1"/>
  <c r="J373" i="2"/>
  <c r="I373" i="2"/>
  <c r="O373" i="2" s="1"/>
  <c r="Q373" i="2" s="1"/>
  <c r="H373" i="2"/>
  <c r="R372" i="2"/>
  <c r="L372" i="2"/>
  <c r="J372" i="2"/>
  <c r="I372" i="2"/>
  <c r="O372" i="2" s="1"/>
  <c r="Q372" i="2" s="1"/>
  <c r="H372" i="2"/>
  <c r="R371" i="2"/>
  <c r="L371" i="2"/>
  <c r="J371" i="2"/>
  <c r="I371" i="2"/>
  <c r="O371" i="2" s="1"/>
  <c r="H371" i="2"/>
  <c r="R370" i="2"/>
  <c r="L370" i="2"/>
  <c r="M370" i="2" s="1"/>
  <c r="N370" i="2" s="1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M368" i="2" s="1"/>
  <c r="N368" i="2" s="1"/>
  <c r="J368" i="2"/>
  <c r="I368" i="2"/>
  <c r="H368" i="2"/>
  <c r="R367" i="2"/>
  <c r="L367" i="2"/>
  <c r="M367" i="2" s="1"/>
  <c r="J367" i="2"/>
  <c r="I367" i="2"/>
  <c r="O367" i="2" s="1"/>
  <c r="Q367" i="2" s="1"/>
  <c r="H367" i="2"/>
  <c r="R366" i="2"/>
  <c r="L366" i="2"/>
  <c r="J366" i="2"/>
  <c r="I366" i="2"/>
  <c r="O366" i="2" s="1"/>
  <c r="H366" i="2"/>
  <c r="R365" i="2"/>
  <c r="L365" i="2"/>
  <c r="J365" i="2"/>
  <c r="I365" i="2"/>
  <c r="H365" i="2"/>
  <c r="R364" i="2"/>
  <c r="L364" i="2"/>
  <c r="J364" i="2"/>
  <c r="I364" i="2"/>
  <c r="H364" i="2"/>
  <c r="R363" i="2"/>
  <c r="L363" i="2"/>
  <c r="J363" i="2"/>
  <c r="I363" i="2"/>
  <c r="O363" i="2" s="1"/>
  <c r="P363" i="2" s="1"/>
  <c r="H363" i="2"/>
  <c r="R362" i="2"/>
  <c r="L362" i="2"/>
  <c r="M362" i="2" s="1"/>
  <c r="J362" i="2"/>
  <c r="I362" i="2"/>
  <c r="O362" i="2" s="1"/>
  <c r="H362" i="2"/>
  <c r="R361" i="2"/>
  <c r="L361" i="2"/>
  <c r="M361" i="2" s="1"/>
  <c r="N361" i="2" s="1"/>
  <c r="J361" i="2"/>
  <c r="I361" i="2"/>
  <c r="O361" i="2" s="1"/>
  <c r="Q361" i="2" s="1"/>
  <c r="H361" i="2"/>
  <c r="R360" i="2"/>
  <c r="L360" i="2"/>
  <c r="M360" i="2" s="1"/>
  <c r="N360" i="2" s="1"/>
  <c r="J360" i="2"/>
  <c r="I360" i="2"/>
  <c r="H360" i="2"/>
  <c r="R359" i="2"/>
  <c r="L359" i="2"/>
  <c r="J359" i="2"/>
  <c r="I359" i="2"/>
  <c r="O359" i="2" s="1"/>
  <c r="Q359" i="2" s="1"/>
  <c r="H359" i="2"/>
  <c r="R358" i="2"/>
  <c r="L358" i="2"/>
  <c r="M358" i="2" s="1"/>
  <c r="N358" i="2" s="1"/>
  <c r="J358" i="2"/>
  <c r="I358" i="2"/>
  <c r="O358" i="2" s="1"/>
  <c r="H358" i="2"/>
  <c r="R357" i="2"/>
  <c r="L357" i="2"/>
  <c r="M357" i="2" s="1"/>
  <c r="J357" i="2"/>
  <c r="I357" i="2"/>
  <c r="O357" i="2" s="1"/>
  <c r="H357" i="2"/>
  <c r="R356" i="2"/>
  <c r="L356" i="2"/>
  <c r="M356" i="2" s="1"/>
  <c r="N356" i="2" s="1"/>
  <c r="J356" i="2"/>
  <c r="I356" i="2"/>
  <c r="H356" i="2"/>
  <c r="R355" i="2"/>
  <c r="L355" i="2"/>
  <c r="M355" i="2" s="1"/>
  <c r="N355" i="2" s="1"/>
  <c r="J355" i="2"/>
  <c r="I355" i="2"/>
  <c r="H355" i="2"/>
  <c r="R354" i="2"/>
  <c r="L354" i="2"/>
  <c r="M354" i="2" s="1"/>
  <c r="N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Q352" i="2" s="1"/>
  <c r="H352" i="2"/>
  <c r="R351" i="2"/>
  <c r="L351" i="2"/>
  <c r="J351" i="2"/>
  <c r="I351" i="2"/>
  <c r="O351" i="2" s="1"/>
  <c r="H351" i="2"/>
  <c r="R350" i="2"/>
  <c r="L350" i="2"/>
  <c r="J350" i="2"/>
  <c r="I350" i="2"/>
  <c r="H350" i="2"/>
  <c r="R349" i="2"/>
  <c r="L349" i="2"/>
  <c r="J349" i="2"/>
  <c r="I349" i="2"/>
  <c r="O349" i="2" s="1"/>
  <c r="H349" i="2"/>
  <c r="R348" i="2"/>
  <c r="L348" i="2"/>
  <c r="J348" i="2"/>
  <c r="I348" i="2"/>
  <c r="H348" i="2"/>
  <c r="R347" i="2"/>
  <c r="L347" i="2"/>
  <c r="J347" i="2"/>
  <c r="I347" i="2"/>
  <c r="O347" i="2" s="1"/>
  <c r="Q347" i="2" s="1"/>
  <c r="H347" i="2"/>
  <c r="R346" i="2"/>
  <c r="L346" i="2"/>
  <c r="M346" i="2" s="1"/>
  <c r="J346" i="2"/>
  <c r="I346" i="2"/>
  <c r="O346" i="2" s="1"/>
  <c r="P346" i="2" s="1"/>
  <c r="H346" i="2"/>
  <c r="R345" i="2"/>
  <c r="L345" i="2"/>
  <c r="J345" i="2"/>
  <c r="I345" i="2"/>
  <c r="O345" i="2" s="1"/>
  <c r="H345" i="2"/>
  <c r="R344" i="2"/>
  <c r="L344" i="2"/>
  <c r="M344" i="2" s="1"/>
  <c r="J344" i="2"/>
  <c r="I344" i="2"/>
  <c r="O344" i="2" s="1"/>
  <c r="Q344" i="2" s="1"/>
  <c r="H344" i="2"/>
  <c r="R343" i="2"/>
  <c r="L343" i="2"/>
  <c r="M343" i="2" s="1"/>
  <c r="J343" i="2"/>
  <c r="I343" i="2"/>
  <c r="O343" i="2" s="1"/>
  <c r="H343" i="2"/>
  <c r="R342" i="2"/>
  <c r="L342" i="2"/>
  <c r="M342" i="2" s="1"/>
  <c r="N342" i="2" s="1"/>
  <c r="J342" i="2"/>
  <c r="I342" i="2"/>
  <c r="O342" i="2" s="1"/>
  <c r="Q342" i="2" s="1"/>
  <c r="H342" i="2"/>
  <c r="R341" i="2"/>
  <c r="L341" i="2"/>
  <c r="M341" i="2" s="1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J339" i="2"/>
  <c r="I339" i="2"/>
  <c r="H339" i="2"/>
  <c r="R338" i="2"/>
  <c r="L338" i="2"/>
  <c r="M338" i="2" s="1"/>
  <c r="N338" i="2" s="1"/>
  <c r="J338" i="2"/>
  <c r="I338" i="2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O335" i="2" s="1"/>
  <c r="H335" i="2"/>
  <c r="R334" i="2"/>
  <c r="L334" i="2"/>
  <c r="M334" i="2" s="1"/>
  <c r="N334" i="2" s="1"/>
  <c r="J334" i="2"/>
  <c r="I334" i="2"/>
  <c r="O334" i="2" s="1"/>
  <c r="H334" i="2"/>
  <c r="R333" i="2"/>
  <c r="L333" i="2"/>
  <c r="J333" i="2"/>
  <c r="I333" i="2"/>
  <c r="O333" i="2" s="1"/>
  <c r="Q333" i="2" s="1"/>
  <c r="H333" i="2"/>
  <c r="R332" i="2"/>
  <c r="L332" i="2"/>
  <c r="M332" i="2" s="1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J329" i="2"/>
  <c r="I329" i="2"/>
  <c r="O329" i="2" s="1"/>
  <c r="Q329" i="2" s="1"/>
  <c r="H329" i="2"/>
  <c r="R328" i="2"/>
  <c r="L328" i="2"/>
  <c r="J328" i="2"/>
  <c r="I328" i="2"/>
  <c r="O328" i="2" s="1"/>
  <c r="Q328" i="2" s="1"/>
  <c r="H328" i="2"/>
  <c r="R327" i="2"/>
  <c r="L327" i="2"/>
  <c r="M327" i="2" s="1"/>
  <c r="J327" i="2"/>
  <c r="I327" i="2"/>
  <c r="O327" i="2" s="1"/>
  <c r="H327" i="2"/>
  <c r="R326" i="2"/>
  <c r="L326" i="2"/>
  <c r="J326" i="2"/>
  <c r="I326" i="2"/>
  <c r="O326" i="2" s="1"/>
  <c r="P326" i="2" s="1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O324" i="2" s="1"/>
  <c r="H324" i="2"/>
  <c r="R323" i="2"/>
  <c r="L323" i="2"/>
  <c r="M323" i="2" s="1"/>
  <c r="J323" i="2"/>
  <c r="I323" i="2"/>
  <c r="H323" i="2"/>
  <c r="R322" i="2"/>
  <c r="L322" i="2"/>
  <c r="M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O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H318" i="2"/>
  <c r="R317" i="2"/>
  <c r="L317" i="2"/>
  <c r="J317" i="2"/>
  <c r="I317" i="2"/>
  <c r="H317" i="2"/>
  <c r="R316" i="2"/>
  <c r="L316" i="2"/>
  <c r="M316" i="2" s="1"/>
  <c r="N316" i="2" s="1"/>
  <c r="J316" i="2"/>
  <c r="I316" i="2"/>
  <c r="O316" i="2" s="1"/>
  <c r="Q316" i="2" s="1"/>
  <c r="H316" i="2"/>
  <c r="R315" i="2"/>
  <c r="L315" i="2"/>
  <c r="M315" i="2" s="1"/>
  <c r="J315" i="2"/>
  <c r="I315" i="2"/>
  <c r="O315" i="2" s="1"/>
  <c r="Q315" i="2" s="1"/>
  <c r="H315" i="2"/>
  <c r="R314" i="2"/>
  <c r="L314" i="2"/>
  <c r="M314" i="2" s="1"/>
  <c r="N314" i="2" s="1"/>
  <c r="J314" i="2"/>
  <c r="I314" i="2"/>
  <c r="O314" i="2" s="1"/>
  <c r="H314" i="2"/>
  <c r="R313" i="2"/>
  <c r="L313" i="2"/>
  <c r="J313" i="2"/>
  <c r="I313" i="2"/>
  <c r="H313" i="2"/>
  <c r="R312" i="2"/>
  <c r="L312" i="2"/>
  <c r="J312" i="2"/>
  <c r="I312" i="2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J308" i="2"/>
  <c r="I308" i="2"/>
  <c r="H308" i="2"/>
  <c r="R307" i="2"/>
  <c r="L307" i="2"/>
  <c r="M307" i="2" s="1"/>
  <c r="N307" i="2" s="1"/>
  <c r="J307" i="2"/>
  <c r="I307" i="2"/>
  <c r="O307" i="2" s="1"/>
  <c r="Q307" i="2" s="1"/>
  <c r="H307" i="2"/>
  <c r="R306" i="2"/>
  <c r="L306" i="2"/>
  <c r="J306" i="2"/>
  <c r="I306" i="2"/>
  <c r="O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H304" i="2"/>
  <c r="R303" i="2"/>
  <c r="L303" i="2"/>
  <c r="M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H302" i="2"/>
  <c r="R301" i="2"/>
  <c r="L301" i="2"/>
  <c r="M301" i="2" s="1"/>
  <c r="N301" i="2" s="1"/>
  <c r="J301" i="2"/>
  <c r="I301" i="2"/>
  <c r="O301" i="2" s="1"/>
  <c r="Q301" i="2" s="1"/>
  <c r="H301" i="2"/>
  <c r="R300" i="2"/>
  <c r="L300" i="2"/>
  <c r="M300" i="2" s="1"/>
  <c r="N300" i="2" s="1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H298" i="2"/>
  <c r="R297" i="2"/>
  <c r="L297" i="2"/>
  <c r="J297" i="2"/>
  <c r="I297" i="2"/>
  <c r="H297" i="2"/>
  <c r="R296" i="2"/>
  <c r="L296" i="2"/>
  <c r="M296" i="2" s="1"/>
  <c r="N296" i="2" s="1"/>
  <c r="J296" i="2"/>
  <c r="I296" i="2"/>
  <c r="H296" i="2"/>
  <c r="R295" i="2"/>
  <c r="L295" i="2"/>
  <c r="M295" i="2" s="1"/>
  <c r="N295" i="2" s="1"/>
  <c r="J295" i="2"/>
  <c r="I295" i="2"/>
  <c r="H295" i="2"/>
  <c r="R294" i="2"/>
  <c r="L294" i="2"/>
  <c r="M294" i="2" s="1"/>
  <c r="N294" i="2" s="1"/>
  <c r="J294" i="2"/>
  <c r="I294" i="2"/>
  <c r="H294" i="2"/>
  <c r="R293" i="2"/>
  <c r="L293" i="2"/>
  <c r="J293" i="2"/>
  <c r="I293" i="2"/>
  <c r="H293" i="2"/>
  <c r="R292" i="2"/>
  <c r="L292" i="2"/>
  <c r="M292" i="2" s="1"/>
  <c r="J292" i="2"/>
  <c r="I292" i="2"/>
  <c r="O292" i="2" s="1"/>
  <c r="H292" i="2"/>
  <c r="R291" i="2"/>
  <c r="L291" i="2"/>
  <c r="M291" i="2" s="1"/>
  <c r="J291" i="2"/>
  <c r="I291" i="2"/>
  <c r="H291" i="2"/>
  <c r="R290" i="2"/>
  <c r="L290" i="2"/>
  <c r="J290" i="2"/>
  <c r="I290" i="2"/>
  <c r="H290" i="2"/>
  <c r="R289" i="2"/>
  <c r="L289" i="2"/>
  <c r="J289" i="2"/>
  <c r="I289" i="2"/>
  <c r="O289" i="2" s="1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H285" i="2"/>
  <c r="R284" i="2"/>
  <c r="L284" i="2"/>
  <c r="M284" i="2" s="1"/>
  <c r="J284" i="2"/>
  <c r="I284" i="2"/>
  <c r="H284" i="2"/>
  <c r="R283" i="2"/>
  <c r="L283" i="2"/>
  <c r="J283" i="2"/>
  <c r="I283" i="2"/>
  <c r="H283" i="2"/>
  <c r="R282" i="2"/>
  <c r="L282" i="2"/>
  <c r="M282" i="2" s="1"/>
  <c r="N282" i="2" s="1"/>
  <c r="J282" i="2"/>
  <c r="I282" i="2"/>
  <c r="H282" i="2"/>
  <c r="R281" i="2"/>
  <c r="L281" i="2"/>
  <c r="J281" i="2"/>
  <c r="I281" i="2"/>
  <c r="O281" i="2" s="1"/>
  <c r="Q281" i="2" s="1"/>
  <c r="H281" i="2"/>
  <c r="R280" i="2"/>
  <c r="L280" i="2"/>
  <c r="M280" i="2" s="1"/>
  <c r="N280" i="2" s="1"/>
  <c r="J280" i="2"/>
  <c r="I280" i="2"/>
  <c r="H280" i="2"/>
  <c r="R279" i="2"/>
  <c r="L279" i="2"/>
  <c r="J279" i="2"/>
  <c r="I279" i="2"/>
  <c r="H279" i="2"/>
  <c r="R278" i="2"/>
  <c r="L278" i="2"/>
  <c r="J278" i="2"/>
  <c r="I278" i="2"/>
  <c r="H278" i="2"/>
  <c r="R277" i="2"/>
  <c r="L277" i="2"/>
  <c r="M277" i="2" s="1"/>
  <c r="J277" i="2"/>
  <c r="I277" i="2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N274" i="2" s="1"/>
  <c r="J274" i="2"/>
  <c r="I274" i="2"/>
  <c r="O274" i="2" s="1"/>
  <c r="H274" i="2"/>
  <c r="R273" i="2"/>
  <c r="L273" i="2"/>
  <c r="J273" i="2"/>
  <c r="I273" i="2"/>
  <c r="O273" i="2" s="1"/>
  <c r="H273" i="2"/>
  <c r="R272" i="2"/>
  <c r="L272" i="2"/>
  <c r="J272" i="2"/>
  <c r="I272" i="2"/>
  <c r="O272" i="2" s="1"/>
  <c r="P272" i="2" s="1"/>
  <c r="H272" i="2"/>
  <c r="R271" i="2"/>
  <c r="L271" i="2"/>
  <c r="M271" i="2" s="1"/>
  <c r="N271" i="2" s="1"/>
  <c r="J271" i="2"/>
  <c r="I271" i="2"/>
  <c r="O271" i="2" s="1"/>
  <c r="H271" i="2"/>
  <c r="R270" i="2"/>
  <c r="L270" i="2"/>
  <c r="M270" i="2" s="1"/>
  <c r="N270" i="2" s="1"/>
  <c r="J270" i="2"/>
  <c r="I270" i="2"/>
  <c r="O270" i="2" s="1"/>
  <c r="P270" i="2" s="1"/>
  <c r="H270" i="2"/>
  <c r="R269" i="2"/>
  <c r="L269" i="2"/>
  <c r="M269" i="2" s="1"/>
  <c r="J269" i="2"/>
  <c r="I269" i="2"/>
  <c r="H269" i="2"/>
  <c r="R268" i="2"/>
  <c r="L268" i="2"/>
  <c r="M268" i="2" s="1"/>
  <c r="N268" i="2" s="1"/>
  <c r="J268" i="2"/>
  <c r="I268" i="2"/>
  <c r="O268" i="2" s="1"/>
  <c r="Q268" i="2" s="1"/>
  <c r="H268" i="2"/>
  <c r="R267" i="2"/>
  <c r="L267" i="2"/>
  <c r="M267" i="2" s="1"/>
  <c r="J267" i="2"/>
  <c r="I267" i="2"/>
  <c r="O267" i="2" s="1"/>
  <c r="H267" i="2"/>
  <c r="R266" i="2"/>
  <c r="L266" i="2"/>
  <c r="J266" i="2"/>
  <c r="I266" i="2"/>
  <c r="O266" i="2" s="1"/>
  <c r="Q266" i="2" s="1"/>
  <c r="H266" i="2"/>
  <c r="R265" i="2"/>
  <c r="L265" i="2"/>
  <c r="J265" i="2"/>
  <c r="I265" i="2"/>
  <c r="H265" i="2"/>
  <c r="R264" i="2"/>
  <c r="L264" i="2"/>
  <c r="J264" i="2"/>
  <c r="I264" i="2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J259" i="2"/>
  <c r="I259" i="2"/>
  <c r="O259" i="2" s="1"/>
  <c r="H259" i="2"/>
  <c r="R258" i="2"/>
  <c r="L258" i="2"/>
  <c r="M258" i="2" s="1"/>
  <c r="N258" i="2" s="1"/>
  <c r="J258" i="2"/>
  <c r="I258" i="2"/>
  <c r="H258" i="2"/>
  <c r="R257" i="2"/>
  <c r="L257" i="2"/>
  <c r="M257" i="2" s="1"/>
  <c r="J257" i="2"/>
  <c r="I257" i="2"/>
  <c r="O257" i="2" s="1"/>
  <c r="H257" i="2"/>
  <c r="R256" i="2"/>
  <c r="L256" i="2"/>
  <c r="M256" i="2" s="1"/>
  <c r="N256" i="2" s="1"/>
  <c r="J256" i="2"/>
  <c r="I256" i="2"/>
  <c r="O256" i="2" s="1"/>
  <c r="H256" i="2"/>
  <c r="R255" i="2"/>
  <c r="L255" i="2"/>
  <c r="M255" i="2" s="1"/>
  <c r="N255" i="2" s="1"/>
  <c r="J255" i="2"/>
  <c r="I255" i="2"/>
  <c r="O255" i="2" s="1"/>
  <c r="H255" i="2"/>
  <c r="R254" i="2"/>
  <c r="L254" i="2"/>
  <c r="M254" i="2" s="1"/>
  <c r="N254" i="2" s="1"/>
  <c r="J254" i="2"/>
  <c r="I254" i="2"/>
  <c r="H254" i="2"/>
  <c r="R253" i="2"/>
  <c r="L253" i="2"/>
  <c r="J253" i="2"/>
  <c r="I253" i="2"/>
  <c r="O253" i="2" s="1"/>
  <c r="H253" i="2"/>
  <c r="R252" i="2"/>
  <c r="L252" i="2"/>
  <c r="J252" i="2"/>
  <c r="I252" i="2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P249" i="2" s="1"/>
  <c r="H249" i="2"/>
  <c r="R248" i="2"/>
  <c r="L248" i="2"/>
  <c r="M248" i="2" s="1"/>
  <c r="J248" i="2"/>
  <c r="I248" i="2"/>
  <c r="H248" i="2"/>
  <c r="R247" i="2"/>
  <c r="L247" i="2"/>
  <c r="J247" i="2"/>
  <c r="I247" i="2"/>
  <c r="O247" i="2" s="1"/>
  <c r="H247" i="2"/>
  <c r="R246" i="2"/>
  <c r="L246" i="2"/>
  <c r="M246" i="2" s="1"/>
  <c r="N246" i="2" s="1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M243" i="2" s="1"/>
  <c r="J243" i="2"/>
  <c r="I243" i="2"/>
  <c r="O243" i="2" s="1"/>
  <c r="H243" i="2"/>
  <c r="R242" i="2"/>
  <c r="L242" i="2"/>
  <c r="M242" i="2" s="1"/>
  <c r="N242" i="2" s="1"/>
  <c r="J242" i="2"/>
  <c r="I242" i="2"/>
  <c r="O242" i="2" s="1"/>
  <c r="H242" i="2"/>
  <c r="R241" i="2"/>
  <c r="L241" i="2"/>
  <c r="M241" i="2" s="1"/>
  <c r="N241" i="2" s="1"/>
  <c r="J241" i="2"/>
  <c r="I241" i="2"/>
  <c r="O241" i="2" s="1"/>
  <c r="P241" i="2" s="1"/>
  <c r="H241" i="2"/>
  <c r="R240" i="2"/>
  <c r="L240" i="2"/>
  <c r="J240" i="2"/>
  <c r="I240" i="2"/>
  <c r="O240" i="2" s="1"/>
  <c r="P240" i="2" s="1"/>
  <c r="H240" i="2"/>
  <c r="R239" i="2"/>
  <c r="L239" i="2"/>
  <c r="J239" i="2"/>
  <c r="I239" i="2"/>
  <c r="O239" i="2" s="1"/>
  <c r="Q239" i="2" s="1"/>
  <c r="H239" i="2"/>
  <c r="R238" i="2"/>
  <c r="L238" i="2"/>
  <c r="M238" i="2" s="1"/>
  <c r="N238" i="2" s="1"/>
  <c r="J238" i="2"/>
  <c r="I238" i="2"/>
  <c r="O238" i="2" s="1"/>
  <c r="H238" i="2"/>
  <c r="R237" i="2"/>
  <c r="L237" i="2"/>
  <c r="M237" i="2" s="1"/>
  <c r="N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O235" i="2" s="1"/>
  <c r="H235" i="2"/>
  <c r="R234" i="2"/>
  <c r="L234" i="2"/>
  <c r="M234" i="2" s="1"/>
  <c r="N234" i="2" s="1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M231" i="2" s="1"/>
  <c r="N231" i="2" s="1"/>
  <c r="J231" i="2"/>
  <c r="I231" i="2"/>
  <c r="O231" i="2" s="1"/>
  <c r="H231" i="2"/>
  <c r="R230" i="2"/>
  <c r="L230" i="2"/>
  <c r="J230" i="2"/>
  <c r="I230" i="2"/>
  <c r="O230" i="2" s="1"/>
  <c r="P230" i="2" s="1"/>
  <c r="H230" i="2"/>
  <c r="R229" i="2"/>
  <c r="L229" i="2"/>
  <c r="M229" i="2" s="1"/>
  <c r="J229" i="2"/>
  <c r="I229" i="2"/>
  <c r="O229" i="2" s="1"/>
  <c r="H229" i="2"/>
  <c r="R228" i="2"/>
  <c r="L228" i="2"/>
  <c r="J228" i="2"/>
  <c r="I228" i="2"/>
  <c r="O228" i="2" s="1"/>
  <c r="P228" i="2" s="1"/>
  <c r="H228" i="2"/>
  <c r="R227" i="2"/>
  <c r="L227" i="2"/>
  <c r="J227" i="2"/>
  <c r="I227" i="2"/>
  <c r="O227" i="2" s="1"/>
  <c r="H227" i="2"/>
  <c r="R226" i="2"/>
  <c r="L226" i="2"/>
  <c r="J226" i="2"/>
  <c r="I226" i="2"/>
  <c r="O226" i="2" s="1"/>
  <c r="Q226" i="2" s="1"/>
  <c r="H226" i="2"/>
  <c r="R225" i="2"/>
  <c r="L225" i="2"/>
  <c r="J225" i="2"/>
  <c r="I225" i="2"/>
  <c r="H225" i="2"/>
  <c r="R224" i="2"/>
  <c r="L224" i="2"/>
  <c r="M224" i="2" s="1"/>
  <c r="J224" i="2"/>
  <c r="I224" i="2"/>
  <c r="H224" i="2"/>
  <c r="R223" i="2"/>
  <c r="L223" i="2"/>
  <c r="J223" i="2"/>
  <c r="I223" i="2"/>
  <c r="H223" i="2"/>
  <c r="R222" i="2"/>
  <c r="L222" i="2"/>
  <c r="M222" i="2" s="1"/>
  <c r="J222" i="2"/>
  <c r="I222" i="2"/>
  <c r="O222" i="2" s="1"/>
  <c r="Q222" i="2" s="1"/>
  <c r="H222" i="2"/>
  <c r="R221" i="2"/>
  <c r="L221" i="2"/>
  <c r="M221" i="2" s="1"/>
  <c r="J221" i="2"/>
  <c r="I221" i="2"/>
  <c r="H221" i="2"/>
  <c r="R220" i="2"/>
  <c r="L220" i="2"/>
  <c r="M220" i="2" s="1"/>
  <c r="J220" i="2"/>
  <c r="I220" i="2"/>
  <c r="O220" i="2" s="1"/>
  <c r="H220" i="2"/>
  <c r="R219" i="2"/>
  <c r="L219" i="2"/>
  <c r="J219" i="2"/>
  <c r="I219" i="2"/>
  <c r="O219" i="2" s="1"/>
  <c r="Q219" i="2" s="1"/>
  <c r="H219" i="2"/>
  <c r="R218" i="2"/>
  <c r="L218" i="2"/>
  <c r="M218" i="2" s="1"/>
  <c r="N218" i="2" s="1"/>
  <c r="J218" i="2"/>
  <c r="I218" i="2"/>
  <c r="H218" i="2"/>
  <c r="R217" i="2"/>
  <c r="L217" i="2"/>
  <c r="M217" i="2" s="1"/>
  <c r="N217" i="2" s="1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O214" i="2" s="1"/>
  <c r="H214" i="2"/>
  <c r="R213" i="2"/>
  <c r="L213" i="2"/>
  <c r="J213" i="2"/>
  <c r="I213" i="2"/>
  <c r="H213" i="2"/>
  <c r="R212" i="2"/>
  <c r="L212" i="2"/>
  <c r="M212" i="2" s="1"/>
  <c r="J212" i="2"/>
  <c r="I212" i="2"/>
  <c r="O212" i="2" s="1"/>
  <c r="P212" i="2" s="1"/>
  <c r="H212" i="2"/>
  <c r="R211" i="2"/>
  <c r="L211" i="2"/>
  <c r="M211" i="2" s="1"/>
  <c r="N211" i="2" s="1"/>
  <c r="J211" i="2"/>
  <c r="I211" i="2"/>
  <c r="O211" i="2" s="1"/>
  <c r="Q211" i="2" s="1"/>
  <c r="H211" i="2"/>
  <c r="R210" i="2"/>
  <c r="L210" i="2"/>
  <c r="M210" i="2" s="1"/>
  <c r="N210" i="2" s="1"/>
  <c r="J210" i="2"/>
  <c r="I210" i="2"/>
  <c r="O210" i="2" s="1"/>
  <c r="P210" i="2" s="1"/>
  <c r="H210" i="2"/>
  <c r="R209" i="2"/>
  <c r="L209" i="2"/>
  <c r="M209" i="2" s="1"/>
  <c r="J209" i="2"/>
  <c r="I209" i="2"/>
  <c r="H209" i="2"/>
  <c r="R208" i="2"/>
  <c r="L208" i="2"/>
  <c r="J208" i="2"/>
  <c r="I208" i="2"/>
  <c r="H208" i="2"/>
  <c r="R207" i="2"/>
  <c r="L207" i="2"/>
  <c r="J207" i="2"/>
  <c r="I207" i="2"/>
  <c r="O207" i="2" s="1"/>
  <c r="Q207" i="2" s="1"/>
  <c r="H207" i="2"/>
  <c r="R206" i="2"/>
  <c r="L206" i="2"/>
  <c r="J206" i="2"/>
  <c r="I206" i="2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O204" i="2" s="1"/>
  <c r="H204" i="2"/>
  <c r="R203" i="2"/>
  <c r="L203" i="2"/>
  <c r="J203" i="2"/>
  <c r="I203" i="2"/>
  <c r="O203" i="2" s="1"/>
  <c r="H203" i="2"/>
  <c r="R202" i="2"/>
  <c r="L202" i="2"/>
  <c r="J202" i="2"/>
  <c r="I202" i="2"/>
  <c r="O202" i="2" s="1"/>
  <c r="H202" i="2"/>
  <c r="R201" i="2"/>
  <c r="L201" i="2"/>
  <c r="M201" i="2" s="1"/>
  <c r="J201" i="2"/>
  <c r="I201" i="2"/>
  <c r="H201" i="2"/>
  <c r="R200" i="2"/>
  <c r="L200" i="2"/>
  <c r="M200" i="2" s="1"/>
  <c r="N200" i="2" s="1"/>
  <c r="J200" i="2"/>
  <c r="I200" i="2"/>
  <c r="H200" i="2"/>
  <c r="R199" i="2"/>
  <c r="L199" i="2"/>
  <c r="J199" i="2"/>
  <c r="I199" i="2"/>
  <c r="O199" i="2" s="1"/>
  <c r="H199" i="2"/>
  <c r="R198" i="2"/>
  <c r="L198" i="2"/>
  <c r="M198" i="2" s="1"/>
  <c r="N198" i="2" s="1"/>
  <c r="J198" i="2"/>
  <c r="I198" i="2"/>
  <c r="O198" i="2" s="1"/>
  <c r="Q198" i="2" s="1"/>
  <c r="H198" i="2"/>
  <c r="R197" i="2"/>
  <c r="L197" i="2"/>
  <c r="M197" i="2" s="1"/>
  <c r="N197" i="2" s="1"/>
  <c r="J197" i="2"/>
  <c r="I197" i="2"/>
  <c r="O197" i="2" s="1"/>
  <c r="H197" i="2"/>
  <c r="R196" i="2"/>
  <c r="L196" i="2"/>
  <c r="M196" i="2" s="1"/>
  <c r="J196" i="2"/>
  <c r="I196" i="2"/>
  <c r="O196" i="2" s="1"/>
  <c r="Q196" i="2" s="1"/>
  <c r="H196" i="2"/>
  <c r="R195" i="2"/>
  <c r="L195" i="2"/>
  <c r="M195" i="2" s="1"/>
  <c r="J195" i="2"/>
  <c r="I195" i="2"/>
  <c r="H195" i="2"/>
  <c r="R194" i="2"/>
  <c r="L194" i="2"/>
  <c r="M194" i="2" s="1"/>
  <c r="N194" i="2" s="1"/>
  <c r="J194" i="2"/>
  <c r="I194" i="2"/>
  <c r="O194" i="2" s="1"/>
  <c r="H194" i="2"/>
  <c r="R193" i="2"/>
  <c r="L193" i="2"/>
  <c r="M193" i="2" s="1"/>
  <c r="N193" i="2" s="1"/>
  <c r="J193" i="2"/>
  <c r="I193" i="2"/>
  <c r="H193" i="2"/>
  <c r="R192" i="2"/>
  <c r="L192" i="2"/>
  <c r="M192" i="2" s="1"/>
  <c r="J192" i="2"/>
  <c r="I192" i="2"/>
  <c r="O192" i="2" s="1"/>
  <c r="Q192" i="2" s="1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J189" i="2"/>
  <c r="I189" i="2"/>
  <c r="H189" i="2"/>
  <c r="R188" i="2"/>
  <c r="L188" i="2"/>
  <c r="M188" i="2" s="1"/>
  <c r="N188" i="2" s="1"/>
  <c r="J188" i="2"/>
  <c r="I188" i="2"/>
  <c r="H188" i="2"/>
  <c r="R187" i="2"/>
  <c r="L187" i="2"/>
  <c r="J187" i="2"/>
  <c r="I187" i="2"/>
  <c r="O187" i="2" s="1"/>
  <c r="H187" i="2"/>
  <c r="R186" i="2"/>
  <c r="L186" i="2"/>
  <c r="M186" i="2" s="1"/>
  <c r="N186" i="2" s="1"/>
  <c r="J186" i="2"/>
  <c r="I186" i="2"/>
  <c r="H186" i="2"/>
  <c r="R185" i="2"/>
  <c r="L185" i="2"/>
  <c r="M185" i="2" s="1"/>
  <c r="N185" i="2" s="1"/>
  <c r="J185" i="2"/>
  <c r="I185" i="2"/>
  <c r="H185" i="2"/>
  <c r="R184" i="2"/>
  <c r="L184" i="2"/>
  <c r="J184" i="2"/>
  <c r="I184" i="2"/>
  <c r="H184" i="2"/>
  <c r="R183" i="2"/>
  <c r="L183" i="2"/>
  <c r="M183" i="2" s="1"/>
  <c r="J183" i="2"/>
  <c r="I183" i="2"/>
  <c r="O183" i="2" s="1"/>
  <c r="Q183" i="2" s="1"/>
  <c r="H183" i="2"/>
  <c r="R182" i="2"/>
  <c r="L182" i="2"/>
  <c r="J182" i="2"/>
  <c r="I182" i="2"/>
  <c r="O182" i="2" s="1"/>
  <c r="H182" i="2"/>
  <c r="R181" i="2"/>
  <c r="L181" i="2"/>
  <c r="J181" i="2"/>
  <c r="I181" i="2"/>
  <c r="H181" i="2"/>
  <c r="R180" i="2"/>
  <c r="L180" i="2"/>
  <c r="M180" i="2" s="1"/>
  <c r="J180" i="2"/>
  <c r="I180" i="2"/>
  <c r="O180" i="2" s="1"/>
  <c r="P180" i="2" s="1"/>
  <c r="H180" i="2"/>
  <c r="R179" i="2"/>
  <c r="L179" i="2"/>
  <c r="M179" i="2" s="1"/>
  <c r="N179" i="2" s="1"/>
  <c r="J179" i="2"/>
  <c r="I179" i="2"/>
  <c r="H179" i="2"/>
  <c r="R178" i="2"/>
  <c r="L178" i="2"/>
  <c r="M178" i="2" s="1"/>
  <c r="J178" i="2"/>
  <c r="I178" i="2"/>
  <c r="O178" i="2" s="1"/>
  <c r="P178" i="2" s="1"/>
  <c r="H178" i="2"/>
  <c r="R177" i="2"/>
  <c r="L177" i="2"/>
  <c r="M177" i="2" s="1"/>
  <c r="N177" i="2" s="1"/>
  <c r="J177" i="2"/>
  <c r="I177" i="2"/>
  <c r="O177" i="2" s="1"/>
  <c r="P177" i="2" s="1"/>
  <c r="H177" i="2"/>
  <c r="R176" i="2"/>
  <c r="L176" i="2"/>
  <c r="J176" i="2"/>
  <c r="I176" i="2"/>
  <c r="O176" i="2" s="1"/>
  <c r="H176" i="2"/>
  <c r="R175" i="2"/>
  <c r="L175" i="2"/>
  <c r="M175" i="2" s="1"/>
  <c r="N175" i="2" s="1"/>
  <c r="J175" i="2"/>
  <c r="I175" i="2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O173" i="2" s="1"/>
  <c r="Q173" i="2" s="1"/>
  <c r="H173" i="2"/>
  <c r="R172" i="2"/>
  <c r="L172" i="2"/>
  <c r="M172" i="2" s="1"/>
  <c r="J172" i="2"/>
  <c r="I172" i="2"/>
  <c r="O172" i="2" s="1"/>
  <c r="Q172" i="2" s="1"/>
  <c r="H172" i="2"/>
  <c r="R171" i="2"/>
  <c r="L171" i="2"/>
  <c r="M171" i="2" s="1"/>
  <c r="J171" i="2"/>
  <c r="I171" i="2"/>
  <c r="O171" i="2" s="1"/>
  <c r="Q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J169" i="2"/>
  <c r="I169" i="2"/>
  <c r="O169" i="2" s="1"/>
  <c r="P169" i="2" s="1"/>
  <c r="H169" i="2"/>
  <c r="R168" i="2"/>
  <c r="L168" i="2"/>
  <c r="M168" i="2" s="1"/>
  <c r="N168" i="2" s="1"/>
  <c r="J168" i="2"/>
  <c r="I168" i="2"/>
  <c r="H168" i="2"/>
  <c r="R167" i="2"/>
  <c r="L167" i="2"/>
  <c r="J167" i="2"/>
  <c r="I167" i="2"/>
  <c r="O167" i="2" s="1"/>
  <c r="Q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J164" i="2"/>
  <c r="I164" i="2"/>
  <c r="O164" i="2" s="1"/>
  <c r="H164" i="2"/>
  <c r="R163" i="2"/>
  <c r="L163" i="2"/>
  <c r="M163" i="2" s="1"/>
  <c r="J163" i="2"/>
  <c r="I163" i="2"/>
  <c r="O163" i="2" s="1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J161" i="2"/>
  <c r="I161" i="2"/>
  <c r="O161" i="2" s="1"/>
  <c r="H161" i="2"/>
  <c r="R160" i="2"/>
  <c r="L160" i="2"/>
  <c r="M160" i="2" s="1"/>
  <c r="N160" i="2" s="1"/>
  <c r="J160" i="2"/>
  <c r="I160" i="2"/>
  <c r="O160" i="2" s="1"/>
  <c r="P160" i="2" s="1"/>
  <c r="H160" i="2"/>
  <c r="R159" i="2"/>
  <c r="L159" i="2"/>
  <c r="M159" i="2" s="1"/>
  <c r="N159" i="2" s="1"/>
  <c r="J159" i="2"/>
  <c r="I159" i="2"/>
  <c r="O159" i="2" s="1"/>
  <c r="H159" i="2"/>
  <c r="R158" i="2"/>
  <c r="L158" i="2"/>
  <c r="M158" i="2" s="1"/>
  <c r="J158" i="2"/>
  <c r="I158" i="2"/>
  <c r="O158" i="2" s="1"/>
  <c r="Q158" i="2" s="1"/>
  <c r="H158" i="2"/>
  <c r="R157" i="2"/>
  <c r="L157" i="2"/>
  <c r="M157" i="2" s="1"/>
  <c r="N157" i="2" s="1"/>
  <c r="J157" i="2"/>
  <c r="I157" i="2"/>
  <c r="H157" i="2"/>
  <c r="R156" i="2"/>
  <c r="L156" i="2"/>
  <c r="M156" i="2" s="1"/>
  <c r="N156" i="2" s="1"/>
  <c r="J156" i="2"/>
  <c r="I156" i="2"/>
  <c r="O156" i="2" s="1"/>
  <c r="Q156" i="2" s="1"/>
  <c r="H156" i="2"/>
  <c r="R155" i="2"/>
  <c r="L155" i="2"/>
  <c r="J155" i="2"/>
  <c r="I155" i="2"/>
  <c r="H155" i="2"/>
  <c r="R154" i="2"/>
  <c r="L154" i="2"/>
  <c r="M154" i="2" s="1"/>
  <c r="N154" i="2" s="1"/>
  <c r="J154" i="2"/>
  <c r="I154" i="2"/>
  <c r="H154" i="2"/>
  <c r="R153" i="2"/>
  <c r="L153" i="2"/>
  <c r="J153" i="2"/>
  <c r="I153" i="2"/>
  <c r="O153" i="2" s="1"/>
  <c r="H153" i="2"/>
  <c r="R152" i="2"/>
  <c r="L152" i="2"/>
  <c r="J152" i="2"/>
  <c r="I152" i="2"/>
  <c r="H152" i="2"/>
  <c r="R151" i="2"/>
  <c r="L151" i="2"/>
  <c r="M151" i="2" s="1"/>
  <c r="J151" i="2"/>
  <c r="I151" i="2"/>
  <c r="O151" i="2" s="1"/>
  <c r="H151" i="2"/>
  <c r="R150" i="2"/>
  <c r="L150" i="2"/>
  <c r="M150" i="2" s="1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H148" i="2"/>
  <c r="R147" i="2"/>
  <c r="L147" i="2"/>
  <c r="M147" i="2" s="1"/>
  <c r="N147" i="2" s="1"/>
  <c r="J147" i="2"/>
  <c r="I147" i="2"/>
  <c r="O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H145" i="2"/>
  <c r="R144" i="2"/>
  <c r="L144" i="2"/>
  <c r="J144" i="2"/>
  <c r="I144" i="2"/>
  <c r="O144" i="2" s="1"/>
  <c r="Q144" i="2" s="1"/>
  <c r="H144" i="2"/>
  <c r="R143" i="2"/>
  <c r="L143" i="2"/>
  <c r="M143" i="2" s="1"/>
  <c r="J143" i="2"/>
  <c r="I143" i="2"/>
  <c r="O143" i="2" s="1"/>
  <c r="Q143" i="2" s="1"/>
  <c r="H143" i="2"/>
  <c r="R142" i="2"/>
  <c r="L142" i="2"/>
  <c r="M142" i="2" s="1"/>
  <c r="N142" i="2" s="1"/>
  <c r="J142" i="2"/>
  <c r="I142" i="2"/>
  <c r="H142" i="2"/>
  <c r="R141" i="2"/>
  <c r="L141" i="2"/>
  <c r="M141" i="2" s="1"/>
  <c r="N141" i="2" s="1"/>
  <c r="J141" i="2"/>
  <c r="I141" i="2"/>
  <c r="O141" i="2" s="1"/>
  <c r="P141" i="2" s="1"/>
  <c r="H141" i="2"/>
  <c r="R140" i="2"/>
  <c r="L140" i="2"/>
  <c r="M140" i="2" s="1"/>
  <c r="N140" i="2" s="1"/>
  <c r="J140" i="2"/>
  <c r="I140" i="2"/>
  <c r="H140" i="2"/>
  <c r="R139" i="2"/>
  <c r="L139" i="2"/>
  <c r="M139" i="2" s="1"/>
  <c r="J139" i="2"/>
  <c r="I139" i="2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J136" i="2"/>
  <c r="I136" i="2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H134" i="2"/>
  <c r="R133" i="2"/>
  <c r="L133" i="2"/>
  <c r="M133" i="2" s="1"/>
  <c r="J133" i="2"/>
  <c r="I133" i="2"/>
  <c r="O133" i="2" s="1"/>
  <c r="H133" i="2"/>
  <c r="R132" i="2"/>
  <c r="L132" i="2"/>
  <c r="M132" i="2" s="1"/>
  <c r="J132" i="2"/>
  <c r="I132" i="2"/>
  <c r="O132" i="2" s="1"/>
  <c r="H132" i="2"/>
  <c r="R131" i="2"/>
  <c r="L131" i="2"/>
  <c r="J131" i="2"/>
  <c r="I131" i="2"/>
  <c r="O131" i="2" s="1"/>
  <c r="P131" i="2" s="1"/>
  <c r="H131" i="2"/>
  <c r="R130" i="2"/>
  <c r="L130" i="2"/>
  <c r="J130" i="2"/>
  <c r="I130" i="2"/>
  <c r="H130" i="2"/>
  <c r="R129" i="2"/>
  <c r="L129" i="2"/>
  <c r="M129" i="2" s="1"/>
  <c r="N129" i="2" s="1"/>
  <c r="J129" i="2"/>
  <c r="I129" i="2"/>
  <c r="O129" i="2" s="1"/>
  <c r="Q129" i="2" s="1"/>
  <c r="H129" i="2"/>
  <c r="R128" i="2"/>
  <c r="L128" i="2"/>
  <c r="M128" i="2" s="1"/>
  <c r="J128" i="2"/>
  <c r="I128" i="2"/>
  <c r="O128" i="2" s="1"/>
  <c r="H128" i="2"/>
  <c r="R127" i="2"/>
  <c r="L127" i="2"/>
  <c r="J127" i="2"/>
  <c r="I127" i="2"/>
  <c r="O127" i="2" s="1"/>
  <c r="H127" i="2"/>
  <c r="R126" i="2"/>
  <c r="L126" i="2"/>
  <c r="J126" i="2"/>
  <c r="I126" i="2"/>
  <c r="H126" i="2"/>
  <c r="R125" i="2"/>
  <c r="L125" i="2"/>
  <c r="J125" i="2"/>
  <c r="I125" i="2"/>
  <c r="O125" i="2" s="1"/>
  <c r="Q125" i="2" s="1"/>
  <c r="H125" i="2"/>
  <c r="R124" i="2"/>
  <c r="L124" i="2"/>
  <c r="M124" i="2" s="1"/>
  <c r="J124" i="2"/>
  <c r="I124" i="2"/>
  <c r="H124" i="2"/>
  <c r="R123" i="2"/>
  <c r="L123" i="2"/>
  <c r="M123" i="2" s="1"/>
  <c r="N123" i="2" s="1"/>
  <c r="J123" i="2"/>
  <c r="I123" i="2"/>
  <c r="O123" i="2" s="1"/>
  <c r="H123" i="2"/>
  <c r="R122" i="2"/>
  <c r="L122" i="2"/>
  <c r="M122" i="2" s="1"/>
  <c r="N122" i="2" s="1"/>
  <c r="J122" i="2"/>
  <c r="I122" i="2"/>
  <c r="O122" i="2" s="1"/>
  <c r="H122" i="2"/>
  <c r="R121" i="2"/>
  <c r="L121" i="2"/>
  <c r="J121" i="2"/>
  <c r="I121" i="2"/>
  <c r="O121" i="2" s="1"/>
  <c r="P121" i="2" s="1"/>
  <c r="H121" i="2"/>
  <c r="R120" i="2"/>
  <c r="L120" i="2"/>
  <c r="M120" i="2" s="1"/>
  <c r="J120" i="2"/>
  <c r="I120" i="2"/>
  <c r="O120" i="2" s="1"/>
  <c r="P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H118" i="2"/>
  <c r="R117" i="2"/>
  <c r="L117" i="2"/>
  <c r="M117" i="2" s="1"/>
  <c r="J117" i="2"/>
  <c r="I117" i="2"/>
  <c r="H117" i="2"/>
  <c r="R116" i="2"/>
  <c r="L116" i="2"/>
  <c r="M116" i="2" s="1"/>
  <c r="N116" i="2" s="1"/>
  <c r="J116" i="2"/>
  <c r="I116" i="2"/>
  <c r="H116" i="2"/>
  <c r="R115" i="2"/>
  <c r="L115" i="2"/>
  <c r="M115" i="2" s="1"/>
  <c r="J115" i="2"/>
  <c r="I115" i="2"/>
  <c r="O115" i="2" s="1"/>
  <c r="H115" i="2"/>
  <c r="R114" i="2"/>
  <c r="L114" i="2"/>
  <c r="J114" i="2"/>
  <c r="I114" i="2"/>
  <c r="H114" i="2"/>
  <c r="R113" i="2"/>
  <c r="L113" i="2"/>
  <c r="J113" i="2"/>
  <c r="I113" i="2"/>
  <c r="H113" i="2"/>
  <c r="R112" i="2"/>
  <c r="L112" i="2"/>
  <c r="J112" i="2"/>
  <c r="I112" i="2"/>
  <c r="O112" i="2" s="1"/>
  <c r="H112" i="2"/>
  <c r="R111" i="2"/>
  <c r="L111" i="2"/>
  <c r="J111" i="2"/>
  <c r="I111" i="2"/>
  <c r="O111" i="2" s="1"/>
  <c r="H111" i="2"/>
  <c r="R110" i="2"/>
  <c r="L110" i="2"/>
  <c r="M110" i="2" s="1"/>
  <c r="J110" i="2"/>
  <c r="I110" i="2"/>
  <c r="O110" i="2" s="1"/>
  <c r="H110" i="2"/>
  <c r="R109" i="2"/>
  <c r="L109" i="2"/>
  <c r="M109" i="2" s="1"/>
  <c r="J109" i="2"/>
  <c r="I109" i="2"/>
  <c r="H109" i="2"/>
  <c r="R108" i="2"/>
  <c r="L108" i="2"/>
  <c r="J108" i="2"/>
  <c r="I108" i="2"/>
  <c r="O108" i="2" s="1"/>
  <c r="H108" i="2"/>
  <c r="R107" i="2"/>
  <c r="L107" i="2"/>
  <c r="M107" i="2" s="1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O105" i="2" s="1"/>
  <c r="P105" i="2" s="1"/>
  <c r="H105" i="2"/>
  <c r="R104" i="2"/>
  <c r="L104" i="2"/>
  <c r="M104" i="2" s="1"/>
  <c r="J104" i="2"/>
  <c r="I104" i="2"/>
  <c r="O104" i="2" s="1"/>
  <c r="H104" i="2"/>
  <c r="R103" i="2"/>
  <c r="L103" i="2"/>
  <c r="M103" i="2" s="1"/>
  <c r="N103" i="2" s="1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J101" i="2"/>
  <c r="I101" i="2"/>
  <c r="H101" i="2"/>
  <c r="R100" i="2"/>
  <c r="L100" i="2"/>
  <c r="J100" i="2"/>
  <c r="I100" i="2"/>
  <c r="O100" i="2" s="1"/>
  <c r="H100" i="2"/>
  <c r="R99" i="2"/>
  <c r="L99" i="2"/>
  <c r="M99" i="2" s="1"/>
  <c r="N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Q97" i="2" s="1"/>
  <c r="H97" i="2"/>
  <c r="R96" i="2"/>
  <c r="L96" i="2"/>
  <c r="M96" i="2" s="1"/>
  <c r="N96" i="2" s="1"/>
  <c r="J96" i="2"/>
  <c r="I96" i="2"/>
  <c r="O96" i="2" s="1"/>
  <c r="Q96" i="2" s="1"/>
  <c r="H96" i="2"/>
  <c r="R95" i="2"/>
  <c r="L95" i="2"/>
  <c r="M95" i="2" s="1"/>
  <c r="J95" i="2"/>
  <c r="I95" i="2"/>
  <c r="H95" i="2"/>
  <c r="R94" i="2"/>
  <c r="L94" i="2"/>
  <c r="M94" i="2" s="1"/>
  <c r="N94" i="2" s="1"/>
  <c r="J94" i="2"/>
  <c r="I94" i="2"/>
  <c r="O94" i="2" s="1"/>
  <c r="Q94" i="2" s="1"/>
  <c r="H94" i="2"/>
  <c r="R93" i="2"/>
  <c r="L93" i="2"/>
  <c r="J93" i="2"/>
  <c r="I93" i="2"/>
  <c r="O93" i="2" s="1"/>
  <c r="Q93" i="2" s="1"/>
  <c r="H93" i="2"/>
  <c r="R92" i="2"/>
  <c r="L92" i="2"/>
  <c r="M92" i="2" s="1"/>
  <c r="J92" i="2"/>
  <c r="I92" i="2"/>
  <c r="O92" i="2" s="1"/>
  <c r="H92" i="2"/>
  <c r="R91" i="2"/>
  <c r="L91" i="2"/>
  <c r="M91" i="2" s="1"/>
  <c r="N91" i="2" s="1"/>
  <c r="J91" i="2"/>
  <c r="I91" i="2"/>
  <c r="H91" i="2"/>
  <c r="R90" i="2"/>
  <c r="L90" i="2"/>
  <c r="M90" i="2" s="1"/>
  <c r="J90" i="2"/>
  <c r="I90" i="2"/>
  <c r="H90" i="2"/>
  <c r="R89" i="2"/>
  <c r="L89" i="2"/>
  <c r="J89" i="2"/>
  <c r="I89" i="2"/>
  <c r="O89" i="2" s="1"/>
  <c r="P89" i="2" s="1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P87" i="2" s="1"/>
  <c r="H87" i="2"/>
  <c r="R86" i="2"/>
  <c r="L86" i="2"/>
  <c r="J86" i="2"/>
  <c r="I86" i="2"/>
  <c r="H86" i="2"/>
  <c r="R85" i="2"/>
  <c r="L85" i="2"/>
  <c r="M85" i="2" s="1"/>
  <c r="J85" i="2"/>
  <c r="I85" i="2"/>
  <c r="O85" i="2" s="1"/>
  <c r="H85" i="2"/>
  <c r="R84" i="2"/>
  <c r="L84" i="2"/>
  <c r="M84" i="2" s="1"/>
  <c r="J84" i="2"/>
  <c r="I84" i="2"/>
  <c r="O84" i="2" s="1"/>
  <c r="H84" i="2"/>
  <c r="R83" i="2"/>
  <c r="L83" i="2"/>
  <c r="M83" i="2" s="1"/>
  <c r="J83" i="2"/>
  <c r="I83" i="2"/>
  <c r="H83" i="2"/>
  <c r="R82" i="2"/>
  <c r="L82" i="2"/>
  <c r="M82" i="2" s="1"/>
  <c r="J82" i="2"/>
  <c r="I82" i="2"/>
  <c r="O82" i="2" s="1"/>
  <c r="H82" i="2"/>
  <c r="R81" i="2"/>
  <c r="L81" i="2"/>
  <c r="M81" i="2" s="1"/>
  <c r="N81" i="2" s="1"/>
  <c r="J81" i="2"/>
  <c r="I81" i="2"/>
  <c r="O81" i="2" s="1"/>
  <c r="H81" i="2"/>
  <c r="R80" i="2"/>
  <c r="L80" i="2"/>
  <c r="J80" i="2"/>
  <c r="I80" i="2"/>
  <c r="O80" i="2" s="1"/>
  <c r="Q80" i="2" s="1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O78" i="2" s="1"/>
  <c r="H78" i="2"/>
  <c r="R77" i="2"/>
  <c r="L77" i="2"/>
  <c r="M77" i="2" s="1"/>
  <c r="N77" i="2" s="1"/>
  <c r="J77" i="2"/>
  <c r="I77" i="2"/>
  <c r="H77" i="2"/>
  <c r="R76" i="2"/>
  <c r="L76" i="2"/>
  <c r="J76" i="2"/>
  <c r="I76" i="2"/>
  <c r="O76" i="2" s="1"/>
  <c r="H76" i="2"/>
  <c r="R75" i="2"/>
  <c r="L75" i="2"/>
  <c r="M75" i="2" s="1"/>
  <c r="J75" i="2"/>
  <c r="I75" i="2"/>
  <c r="O75" i="2" s="1"/>
  <c r="P75" i="2" s="1"/>
  <c r="H75" i="2"/>
  <c r="R74" i="2"/>
  <c r="L74" i="2"/>
  <c r="J74" i="2"/>
  <c r="I74" i="2"/>
  <c r="O74" i="2" s="1"/>
  <c r="Q74" i="2" s="1"/>
  <c r="H74" i="2"/>
  <c r="R73" i="2"/>
  <c r="L73" i="2"/>
  <c r="M73" i="2" s="1"/>
  <c r="N73" i="2" s="1"/>
  <c r="J73" i="2"/>
  <c r="I73" i="2"/>
  <c r="O73" i="2" s="1"/>
  <c r="Q73" i="2" s="1"/>
  <c r="H73" i="2"/>
  <c r="R72" i="2"/>
  <c r="L72" i="2"/>
  <c r="J72" i="2"/>
  <c r="I72" i="2"/>
  <c r="H72" i="2"/>
  <c r="R71" i="2"/>
  <c r="L71" i="2"/>
  <c r="M71" i="2" s="1"/>
  <c r="J71" i="2"/>
  <c r="I71" i="2"/>
  <c r="O71" i="2" s="1"/>
  <c r="H71" i="2"/>
  <c r="R70" i="2"/>
  <c r="L70" i="2"/>
  <c r="J70" i="2"/>
  <c r="I70" i="2"/>
  <c r="O70" i="2" s="1"/>
  <c r="H70" i="2"/>
  <c r="R69" i="2"/>
  <c r="L69" i="2"/>
  <c r="M69" i="2" s="1"/>
  <c r="N69" i="2" s="1"/>
  <c r="J69" i="2"/>
  <c r="I69" i="2"/>
  <c r="O69" i="2" s="1"/>
  <c r="P69" i="2" s="1"/>
  <c r="H69" i="2"/>
  <c r="R68" i="2"/>
  <c r="L68" i="2"/>
  <c r="J68" i="2"/>
  <c r="I68" i="2"/>
  <c r="H68" i="2"/>
  <c r="R67" i="2"/>
  <c r="L67" i="2"/>
  <c r="J67" i="2"/>
  <c r="I67" i="2"/>
  <c r="O67" i="2" s="1"/>
  <c r="H67" i="2"/>
  <c r="R66" i="2"/>
  <c r="L66" i="2"/>
  <c r="M66" i="2" s="1"/>
  <c r="N66" i="2" s="1"/>
  <c r="J66" i="2"/>
  <c r="I66" i="2"/>
  <c r="O66" i="2" s="1"/>
  <c r="H66" i="2"/>
  <c r="R65" i="2"/>
  <c r="L65" i="2"/>
  <c r="M65" i="2" s="1"/>
  <c r="N65" i="2" s="1"/>
  <c r="J65" i="2"/>
  <c r="I65" i="2"/>
  <c r="H65" i="2"/>
  <c r="R64" i="2"/>
  <c r="L64" i="2"/>
  <c r="J64" i="2"/>
  <c r="I64" i="2"/>
  <c r="H64" i="2"/>
  <c r="J63" i="2"/>
  <c r="I63" i="2"/>
  <c r="O63" i="2" s="1"/>
  <c r="H63" i="2"/>
  <c r="J62" i="2"/>
  <c r="I62" i="2"/>
  <c r="H62" i="2"/>
  <c r="J61" i="2"/>
  <c r="I61" i="2"/>
  <c r="H61" i="2"/>
  <c r="J60" i="2"/>
  <c r="I60" i="2"/>
  <c r="O60" i="2" s="1"/>
  <c r="H60" i="2"/>
  <c r="J59" i="2"/>
  <c r="I59" i="2"/>
  <c r="O59" i="2" s="1"/>
  <c r="H59" i="2"/>
  <c r="J58" i="2"/>
  <c r="I58" i="2"/>
  <c r="H58" i="2"/>
  <c r="J57" i="2"/>
  <c r="I57" i="2"/>
  <c r="H57" i="2"/>
  <c r="J56" i="2"/>
  <c r="I56" i="2"/>
  <c r="H56" i="2"/>
  <c r="J55" i="2"/>
  <c r="I55" i="2"/>
  <c r="O55" i="2" s="1"/>
  <c r="H55" i="2"/>
  <c r="J54" i="2"/>
  <c r="I54" i="2"/>
  <c r="O54" i="2" s="1"/>
  <c r="H54" i="2"/>
  <c r="J53" i="2"/>
  <c r="I53" i="2"/>
  <c r="O53" i="2" s="1"/>
  <c r="H53" i="2"/>
  <c r="J52" i="2"/>
  <c r="I52" i="2"/>
  <c r="O52" i="2" s="1"/>
  <c r="H52" i="2"/>
  <c r="J51" i="2"/>
  <c r="I51" i="2"/>
  <c r="O51" i="2" s="1"/>
  <c r="H51" i="2"/>
  <c r="J50" i="2"/>
  <c r="I50" i="2"/>
  <c r="O50" i="2" s="1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O46" i="2" s="1"/>
  <c r="H46" i="2"/>
  <c r="J45" i="2"/>
  <c r="I45" i="2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O41" i="2" s="1"/>
  <c r="H41" i="2"/>
  <c r="J40" i="2"/>
  <c r="I40" i="2"/>
  <c r="O40" i="2" s="1"/>
  <c r="H40" i="2"/>
  <c r="J39" i="2"/>
  <c r="I39" i="2"/>
  <c r="O39" i="2" s="1"/>
  <c r="H39" i="2"/>
  <c r="J38" i="2"/>
  <c r="I38" i="2"/>
  <c r="O38" i="2" s="1"/>
  <c r="H38" i="2"/>
  <c r="J37" i="2"/>
  <c r="I37" i="2"/>
  <c r="H37" i="2"/>
  <c r="J36" i="2"/>
  <c r="I36" i="2"/>
  <c r="H36" i="2"/>
  <c r="J35" i="2"/>
  <c r="I35" i="2"/>
  <c r="O35" i="2" s="1"/>
  <c r="H35" i="2"/>
  <c r="J34" i="2"/>
  <c r="I34" i="2"/>
  <c r="H34" i="2"/>
  <c r="J33" i="2"/>
  <c r="I33" i="2"/>
  <c r="O33" i="2" s="1"/>
  <c r="H33" i="2"/>
  <c r="J32" i="2"/>
  <c r="I32" i="2"/>
  <c r="H32" i="2"/>
  <c r="J31" i="2"/>
  <c r="I31" i="2"/>
  <c r="H31" i="2"/>
  <c r="J30" i="2"/>
  <c r="I30" i="2"/>
  <c r="H30" i="2"/>
  <c r="J29" i="2"/>
  <c r="I29" i="2"/>
  <c r="H29" i="2"/>
  <c r="J28" i="2"/>
  <c r="I28" i="2"/>
  <c r="O28" i="2" s="1"/>
  <c r="H28" i="2"/>
  <c r="J27" i="2"/>
  <c r="I27" i="2"/>
  <c r="H27" i="2"/>
  <c r="J26" i="2"/>
  <c r="I26" i="2"/>
  <c r="O26" i="2" s="1"/>
  <c r="H26" i="2"/>
  <c r="J25" i="2"/>
  <c r="I25" i="2"/>
  <c r="H25" i="2"/>
  <c r="J24" i="2"/>
  <c r="I24" i="2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O19" i="2" s="1"/>
  <c r="H19" i="2"/>
  <c r="J18" i="2"/>
  <c r="I18" i="2"/>
  <c r="O18" i="2" s="1"/>
  <c r="H18" i="2"/>
  <c r="R17" i="2"/>
  <c r="J17" i="2"/>
  <c r="I17" i="2"/>
  <c r="H17" i="2"/>
  <c r="R16" i="2"/>
  <c r="J16" i="2"/>
  <c r="I16" i="2"/>
  <c r="H16" i="2"/>
  <c r="J15" i="2"/>
  <c r="I15" i="2"/>
  <c r="O15" i="2" s="1"/>
  <c r="H15" i="2"/>
  <c r="J14" i="2"/>
  <c r="I14" i="2"/>
  <c r="O14" i="2" s="1"/>
  <c r="H14" i="2"/>
  <c r="J13" i="2"/>
  <c r="I13" i="2"/>
  <c r="O13" i="2" s="1"/>
  <c r="H13" i="2"/>
  <c r="J12" i="2"/>
  <c r="I12" i="2"/>
  <c r="H12" i="2"/>
  <c r="J11" i="2"/>
  <c r="I11" i="2"/>
  <c r="H11" i="2"/>
  <c r="J10" i="2"/>
  <c r="I10" i="2"/>
  <c r="O10" i="2" s="1"/>
  <c r="H10" i="2"/>
  <c r="J9" i="2"/>
  <c r="I9" i="2"/>
  <c r="O9" i="2" s="1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V201" i="1" s="1"/>
  <c r="AL201" i="1"/>
  <c r="AK201" i="1"/>
  <c r="AJ201" i="1"/>
  <c r="AA201" i="1"/>
  <c r="G201" i="1"/>
  <c r="F201" i="1"/>
  <c r="AR200" i="1"/>
  <c r="AQ200" i="1"/>
  <c r="AP200" i="1"/>
  <c r="L200" i="1" s="1"/>
  <c r="AO200" i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U199" i="1" s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N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U196" i="1" s="1"/>
  <c r="AL196" i="1"/>
  <c r="AK196" i="1"/>
  <c r="AJ196" i="1"/>
  <c r="AA196" i="1"/>
  <c r="G196" i="1"/>
  <c r="F196" i="1"/>
  <c r="AR195" i="1"/>
  <c r="AQ195" i="1"/>
  <c r="AP195" i="1"/>
  <c r="L195" i="1" s="1"/>
  <c r="AO195" i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J193" i="1"/>
  <c r="AA193" i="1"/>
  <c r="G193" i="1"/>
  <c r="F193" i="1"/>
  <c r="AR192" i="1"/>
  <c r="AQ192" i="1"/>
  <c r="AP192" i="1"/>
  <c r="L192" i="1" s="1"/>
  <c r="AO192" i="1"/>
  <c r="AL192" i="1"/>
  <c r="AK192" i="1"/>
  <c r="AM192" i="1" s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M189" i="1" s="1"/>
  <c r="AJ189" i="1"/>
  <c r="AA189" i="1"/>
  <c r="G189" i="1"/>
  <c r="F189" i="1"/>
  <c r="AR188" i="1"/>
  <c r="AQ188" i="1"/>
  <c r="AP188" i="1"/>
  <c r="L188" i="1" s="1"/>
  <c r="AO188" i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J186" i="1"/>
  <c r="AA186" i="1"/>
  <c r="G186" i="1"/>
  <c r="F186" i="1"/>
  <c r="AR185" i="1"/>
  <c r="AQ185" i="1"/>
  <c r="AP185" i="1"/>
  <c r="L185" i="1" s="1"/>
  <c r="AO185" i="1"/>
  <c r="AL185" i="1"/>
  <c r="AK185" i="1"/>
  <c r="AM185" i="1" s="1"/>
  <c r="AJ185" i="1"/>
  <c r="AA185" i="1"/>
  <c r="G185" i="1"/>
  <c r="F185" i="1"/>
  <c r="AR184" i="1"/>
  <c r="AQ184" i="1"/>
  <c r="AP184" i="1"/>
  <c r="L184" i="1" s="1"/>
  <c r="AO184" i="1"/>
  <c r="U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M182" i="1" s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U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M174" i="1" s="1"/>
  <c r="AJ174" i="1"/>
  <c r="AA174" i="1"/>
  <c r="G174" i="1"/>
  <c r="F174" i="1"/>
  <c r="AR173" i="1"/>
  <c r="AQ173" i="1"/>
  <c r="AP173" i="1"/>
  <c r="L173" i="1" s="1"/>
  <c r="AO173" i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V171" i="1" s="1"/>
  <c r="AL171" i="1"/>
  <c r="AK171" i="1"/>
  <c r="AJ171" i="1"/>
  <c r="AA171" i="1"/>
  <c r="G171" i="1"/>
  <c r="F171" i="1"/>
  <c r="AR170" i="1"/>
  <c r="AQ170" i="1"/>
  <c r="AP170" i="1"/>
  <c r="L170" i="1" s="1"/>
  <c r="AO170" i="1"/>
  <c r="AL170" i="1"/>
  <c r="AK170" i="1"/>
  <c r="AJ170" i="1"/>
  <c r="AA170" i="1"/>
  <c r="G170" i="1"/>
  <c r="F170" i="1"/>
  <c r="AR169" i="1"/>
  <c r="AQ169" i="1"/>
  <c r="AP169" i="1"/>
  <c r="L169" i="1" s="1"/>
  <c r="AO169" i="1"/>
  <c r="U169" i="1" s="1"/>
  <c r="AL169" i="1"/>
  <c r="AK169" i="1"/>
  <c r="AJ169" i="1"/>
  <c r="AA169" i="1"/>
  <c r="G169" i="1"/>
  <c r="F169" i="1"/>
  <c r="AR168" i="1"/>
  <c r="AQ168" i="1"/>
  <c r="AP168" i="1"/>
  <c r="L168" i="1" s="1"/>
  <c r="AO168" i="1"/>
  <c r="AL168" i="1"/>
  <c r="AK168" i="1"/>
  <c r="AN168" i="1" s="1"/>
  <c r="AJ168" i="1"/>
  <c r="AA168" i="1"/>
  <c r="G168" i="1"/>
  <c r="F168" i="1"/>
  <c r="AR167" i="1"/>
  <c r="AQ167" i="1"/>
  <c r="AP167" i="1"/>
  <c r="L167" i="1" s="1"/>
  <c r="AO167" i="1"/>
  <c r="AL167" i="1"/>
  <c r="AK167" i="1"/>
  <c r="AN167" i="1" s="1"/>
  <c r="AJ167" i="1"/>
  <c r="AA167" i="1"/>
  <c r="G167" i="1"/>
  <c r="F167" i="1"/>
  <c r="AR166" i="1"/>
  <c r="AQ166" i="1"/>
  <c r="AP166" i="1"/>
  <c r="L166" i="1" s="1"/>
  <c r="AO166" i="1"/>
  <c r="V166" i="1" s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U165" i="1" s="1"/>
  <c r="AL165" i="1"/>
  <c r="AK165" i="1"/>
  <c r="AJ165" i="1"/>
  <c r="AA165" i="1"/>
  <c r="G165" i="1"/>
  <c r="F165" i="1"/>
  <c r="AR164" i="1"/>
  <c r="AQ164" i="1"/>
  <c r="AP164" i="1"/>
  <c r="L164" i="1" s="1"/>
  <c r="AO164" i="1"/>
  <c r="U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V162" i="1" s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V161" i="1" s="1"/>
  <c r="AL161" i="1"/>
  <c r="AK161" i="1"/>
  <c r="AJ161" i="1"/>
  <c r="AA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N156" i="1" s="1"/>
  <c r="AJ156" i="1"/>
  <c r="AA156" i="1"/>
  <c r="G156" i="1"/>
  <c r="F156" i="1"/>
  <c r="AR155" i="1"/>
  <c r="AQ155" i="1"/>
  <c r="AP155" i="1"/>
  <c r="L155" i="1" s="1"/>
  <c r="AO155" i="1"/>
  <c r="U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N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N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N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J148" i="1"/>
  <c r="AA148" i="1"/>
  <c r="G148" i="1"/>
  <c r="F148" i="1"/>
  <c r="AR147" i="1"/>
  <c r="AQ147" i="1"/>
  <c r="AP147" i="1"/>
  <c r="L147" i="1" s="1"/>
  <c r="AO147" i="1"/>
  <c r="AL147" i="1"/>
  <c r="AK147" i="1"/>
  <c r="AJ147" i="1"/>
  <c r="AA147" i="1"/>
  <c r="G147" i="1"/>
  <c r="F147" i="1"/>
  <c r="AR146" i="1"/>
  <c r="AQ146" i="1"/>
  <c r="AP146" i="1"/>
  <c r="L146" i="1" s="1"/>
  <c r="AO146" i="1"/>
  <c r="V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V142" i="1" s="1"/>
  <c r="AL142" i="1"/>
  <c r="AK142" i="1"/>
  <c r="AN142" i="1" s="1"/>
  <c r="AJ142" i="1"/>
  <c r="AA142" i="1"/>
  <c r="G142" i="1"/>
  <c r="F142" i="1"/>
  <c r="AR141" i="1"/>
  <c r="AQ141" i="1"/>
  <c r="AP141" i="1"/>
  <c r="L141" i="1" s="1"/>
  <c r="AO141" i="1"/>
  <c r="V141" i="1" s="1"/>
  <c r="AL141" i="1"/>
  <c r="AK141" i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U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U134" i="1" s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U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M129" i="1" s="1"/>
  <c r="AJ129" i="1"/>
  <c r="AA129" i="1"/>
  <c r="G129" i="1"/>
  <c r="F129" i="1"/>
  <c r="AR128" i="1"/>
  <c r="AQ128" i="1"/>
  <c r="AP128" i="1"/>
  <c r="L128" i="1" s="1"/>
  <c r="AO128" i="1"/>
  <c r="U128" i="1" s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N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U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M123" i="1" s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M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J121" i="1"/>
  <c r="AA121" i="1"/>
  <c r="G121" i="1"/>
  <c r="F121" i="1"/>
  <c r="AR120" i="1"/>
  <c r="AQ120" i="1"/>
  <c r="AP120" i="1"/>
  <c r="L120" i="1" s="1"/>
  <c r="AO120" i="1"/>
  <c r="U120" i="1" s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U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J117" i="1"/>
  <c r="AA117" i="1"/>
  <c r="G117" i="1"/>
  <c r="F117" i="1"/>
  <c r="AR116" i="1"/>
  <c r="AQ116" i="1"/>
  <c r="AP116" i="1"/>
  <c r="L116" i="1" s="1"/>
  <c r="AO116" i="1"/>
  <c r="U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U114" i="1" s="1"/>
  <c r="AL114" i="1"/>
  <c r="AK114" i="1"/>
  <c r="AN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N110" i="1" s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U108" i="1" s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V103" i="1" s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U102" i="1" s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J101" i="1"/>
  <c r="AA101" i="1"/>
  <c r="G101" i="1"/>
  <c r="F101" i="1"/>
  <c r="AR100" i="1"/>
  <c r="AQ100" i="1"/>
  <c r="AP100" i="1"/>
  <c r="L100" i="1" s="1"/>
  <c r="AO100" i="1"/>
  <c r="AL100" i="1"/>
  <c r="AK100" i="1"/>
  <c r="AJ100" i="1"/>
  <c r="AA100" i="1"/>
  <c r="G100" i="1"/>
  <c r="F100" i="1"/>
  <c r="AR99" i="1"/>
  <c r="AQ99" i="1"/>
  <c r="AP99" i="1"/>
  <c r="L99" i="1" s="1"/>
  <c r="AO99" i="1"/>
  <c r="U99" i="1" s="1"/>
  <c r="AL99" i="1"/>
  <c r="AK99" i="1"/>
  <c r="AM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J96" i="1"/>
  <c r="AA96" i="1"/>
  <c r="G96" i="1"/>
  <c r="F96" i="1"/>
  <c r="AR95" i="1"/>
  <c r="AQ95" i="1"/>
  <c r="AP95" i="1"/>
  <c r="L95" i="1" s="1"/>
  <c r="AO95" i="1"/>
  <c r="U95" i="1" s="1"/>
  <c r="AL95" i="1"/>
  <c r="AK95" i="1"/>
  <c r="AJ95" i="1"/>
  <c r="AA95" i="1"/>
  <c r="G95" i="1"/>
  <c r="F95" i="1"/>
  <c r="AR94" i="1"/>
  <c r="AQ94" i="1"/>
  <c r="AP94" i="1"/>
  <c r="L94" i="1" s="1"/>
  <c r="AO94" i="1"/>
  <c r="U94" i="1" s="1"/>
  <c r="AL94" i="1"/>
  <c r="AK94" i="1"/>
  <c r="AM94" i="1" s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U92" i="1" s="1"/>
  <c r="AL92" i="1"/>
  <c r="AK92" i="1"/>
  <c r="AN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AL88" i="1"/>
  <c r="AK88" i="1"/>
  <c r="AM88" i="1" s="1"/>
  <c r="AJ88" i="1"/>
  <c r="AA88" i="1"/>
  <c r="G88" i="1"/>
  <c r="F88" i="1"/>
  <c r="AR87" i="1"/>
  <c r="AQ87" i="1"/>
  <c r="AP87" i="1"/>
  <c r="L87" i="1" s="1"/>
  <c r="AO87" i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N86" i="1" s="1"/>
  <c r="AJ86" i="1"/>
  <c r="AA86" i="1"/>
  <c r="G86" i="1"/>
  <c r="F86" i="1"/>
  <c r="AR85" i="1"/>
  <c r="AQ85" i="1"/>
  <c r="AP85" i="1"/>
  <c r="L85" i="1" s="1"/>
  <c r="AO85" i="1"/>
  <c r="V85" i="1" s="1"/>
  <c r="AL85" i="1"/>
  <c r="AK85" i="1"/>
  <c r="AN85" i="1" s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V83" i="1" s="1"/>
  <c r="AL83" i="1"/>
  <c r="AK83" i="1"/>
  <c r="AN83" i="1" s="1"/>
  <c r="AJ83" i="1"/>
  <c r="AA83" i="1"/>
  <c r="F83" i="1"/>
  <c r="AP82" i="1"/>
  <c r="L82" i="1" s="1"/>
  <c r="AO82" i="1"/>
  <c r="V82" i="1" s="1"/>
  <c r="AL82" i="1"/>
  <c r="AK82" i="1"/>
  <c r="AM82" i="1" s="1"/>
  <c r="AJ82" i="1"/>
  <c r="AA82" i="1"/>
  <c r="F82" i="1"/>
  <c r="AP81" i="1"/>
  <c r="L81" i="1" s="1"/>
  <c r="AL81" i="1"/>
  <c r="AK81" i="1"/>
  <c r="AJ81" i="1"/>
  <c r="AA81" i="1"/>
  <c r="F81" i="1"/>
  <c r="AP80" i="1"/>
  <c r="L80" i="1" s="1"/>
  <c r="AL80" i="1"/>
  <c r="AK80" i="1"/>
  <c r="AJ80" i="1"/>
  <c r="AA80" i="1"/>
  <c r="F80" i="1"/>
  <c r="AL79" i="1"/>
  <c r="AP79" i="1" s="1"/>
  <c r="L79" i="1" s="1"/>
  <c r="AK79" i="1"/>
  <c r="AJ79" i="1"/>
  <c r="AA79" i="1"/>
  <c r="F79" i="1"/>
  <c r="AL78" i="1"/>
  <c r="AP78" i="1" s="1"/>
  <c r="AK78" i="1"/>
  <c r="AJ78" i="1"/>
  <c r="AA78" i="1"/>
  <c r="F78" i="1"/>
  <c r="AL77" i="1"/>
  <c r="AP77" i="1" s="1"/>
  <c r="AK77" i="1"/>
  <c r="AN77" i="1" s="1"/>
  <c r="AJ77" i="1"/>
  <c r="AA77" i="1"/>
  <c r="F77" i="1"/>
  <c r="AL76" i="1"/>
  <c r="AP76" i="1" s="1"/>
  <c r="AK76" i="1"/>
  <c r="AM76" i="1" s="1"/>
  <c r="AJ76" i="1"/>
  <c r="AA76" i="1"/>
  <c r="F76" i="1"/>
  <c r="AL75" i="1"/>
  <c r="AP75" i="1" s="1"/>
  <c r="L75" i="1" s="1"/>
  <c r="AK75" i="1"/>
  <c r="AJ75" i="1"/>
  <c r="AA75" i="1"/>
  <c r="F75" i="1"/>
  <c r="AL74" i="1"/>
  <c r="AP74" i="1" s="1"/>
  <c r="L74" i="1" s="1"/>
  <c r="AK74" i="1"/>
  <c r="AN74" i="1" s="1"/>
  <c r="AJ74" i="1"/>
  <c r="AA74" i="1"/>
  <c r="F74" i="1"/>
  <c r="AL73" i="1"/>
  <c r="AP73" i="1" s="1"/>
  <c r="L73" i="1" s="1"/>
  <c r="AK73" i="1"/>
  <c r="AN73" i="1" s="1"/>
  <c r="AJ73" i="1"/>
  <c r="AA73" i="1"/>
  <c r="F73" i="1"/>
  <c r="AQ72" i="1"/>
  <c r="AL72" i="1"/>
  <c r="AP72" i="1" s="1"/>
  <c r="L72" i="1" s="1"/>
  <c r="AK72" i="1"/>
  <c r="AN72" i="1" s="1"/>
  <c r="AJ72" i="1"/>
  <c r="AA72" i="1"/>
  <c r="F72" i="1"/>
  <c r="AL71" i="1"/>
  <c r="AP71" i="1" s="1"/>
  <c r="L71" i="1" s="1"/>
  <c r="AK71" i="1"/>
  <c r="AJ71" i="1"/>
  <c r="AA71" i="1"/>
  <c r="F71" i="1"/>
  <c r="AL70" i="1"/>
  <c r="AP70" i="1" s="1"/>
  <c r="AK70" i="1"/>
  <c r="AJ70" i="1"/>
  <c r="AA70" i="1"/>
  <c r="F70" i="1"/>
  <c r="AL69" i="1"/>
  <c r="AP69" i="1" s="1"/>
  <c r="AK69" i="1"/>
  <c r="AN69" i="1" s="1"/>
  <c r="AJ69" i="1"/>
  <c r="AA69" i="1"/>
  <c r="F69" i="1"/>
  <c r="AL68" i="1"/>
  <c r="AP68" i="1" s="1"/>
  <c r="L68" i="1" s="1"/>
  <c r="AK68" i="1"/>
  <c r="AM68" i="1" s="1"/>
  <c r="AJ68" i="1"/>
  <c r="AA68" i="1"/>
  <c r="F68" i="1"/>
  <c r="AL67" i="1"/>
  <c r="AP67" i="1" s="1"/>
  <c r="AK67" i="1"/>
  <c r="AJ67" i="1"/>
  <c r="AA67" i="1"/>
  <c r="F67" i="1"/>
  <c r="AL66" i="1"/>
  <c r="AP66" i="1" s="1"/>
  <c r="L66" i="1" s="1"/>
  <c r="AK66" i="1"/>
  <c r="AM66" i="1" s="1"/>
  <c r="AJ66" i="1"/>
  <c r="AA66" i="1"/>
  <c r="F66" i="1"/>
  <c r="AL65" i="1"/>
  <c r="AP65" i="1" s="1"/>
  <c r="AK65" i="1"/>
  <c r="AJ65" i="1"/>
  <c r="AA65" i="1"/>
  <c r="F65" i="1"/>
  <c r="AL64" i="1"/>
  <c r="AP64" i="1" s="1"/>
  <c r="L64" i="1" s="1"/>
  <c r="AK64" i="1"/>
  <c r="AM64" i="1" s="1"/>
  <c r="AJ64" i="1"/>
  <c r="AA64" i="1"/>
  <c r="F64" i="1"/>
  <c r="AL63" i="1"/>
  <c r="AP63" i="1" s="1"/>
  <c r="L63" i="1" s="1"/>
  <c r="AK63" i="1"/>
  <c r="AM63" i="1" s="1"/>
  <c r="AJ63" i="1"/>
  <c r="AA63" i="1"/>
  <c r="F63" i="1"/>
  <c r="AL62" i="1"/>
  <c r="AP62" i="1" s="1"/>
  <c r="AK62" i="1"/>
  <c r="AN62" i="1" s="1"/>
  <c r="AJ62" i="1"/>
  <c r="AA62" i="1"/>
  <c r="F62" i="1"/>
  <c r="AL61" i="1"/>
  <c r="AP61" i="1" s="1"/>
  <c r="L61" i="1" s="1"/>
  <c r="AK61" i="1"/>
  <c r="AJ61" i="1"/>
  <c r="AA61" i="1"/>
  <c r="F61" i="1"/>
  <c r="AQ60" i="1"/>
  <c r="AL60" i="1"/>
  <c r="AP60" i="1" s="1"/>
  <c r="AK60" i="1"/>
  <c r="AN60" i="1" s="1"/>
  <c r="AJ60" i="1"/>
  <c r="AA60" i="1"/>
  <c r="F60" i="1"/>
  <c r="AL59" i="1"/>
  <c r="AP59" i="1" s="1"/>
  <c r="AK59" i="1"/>
  <c r="AN59" i="1" s="1"/>
  <c r="AJ59" i="1"/>
  <c r="AA59" i="1"/>
  <c r="F59" i="1"/>
  <c r="AL58" i="1"/>
  <c r="AP58" i="1" s="1"/>
  <c r="L58" i="1" s="1"/>
  <c r="AK58" i="1"/>
  <c r="AM58" i="1" s="1"/>
  <c r="AJ58" i="1"/>
  <c r="AA58" i="1"/>
  <c r="F58" i="1"/>
  <c r="AL57" i="1"/>
  <c r="AP57" i="1" s="1"/>
  <c r="AK57" i="1"/>
  <c r="AJ57" i="1"/>
  <c r="AA57" i="1"/>
  <c r="F57" i="1"/>
  <c r="AQ56" i="1"/>
  <c r="AL56" i="1"/>
  <c r="AP56" i="1" s="1"/>
  <c r="L56" i="1" s="1"/>
  <c r="AK56" i="1"/>
  <c r="AN56" i="1" s="1"/>
  <c r="AJ56" i="1"/>
  <c r="AA56" i="1"/>
  <c r="F56" i="1"/>
  <c r="AL55" i="1"/>
  <c r="AP55" i="1" s="1"/>
  <c r="AK55" i="1"/>
  <c r="AM55" i="1" s="1"/>
  <c r="AJ55" i="1"/>
  <c r="AA55" i="1"/>
  <c r="F55" i="1"/>
  <c r="AQ54" i="1"/>
  <c r="AL54" i="1"/>
  <c r="AP54" i="1" s="1"/>
  <c r="L54" i="1" s="1"/>
  <c r="AK54" i="1"/>
  <c r="AJ54" i="1"/>
  <c r="AA54" i="1"/>
  <c r="F54" i="1"/>
  <c r="AL53" i="1"/>
  <c r="AP53" i="1" s="1"/>
  <c r="L53" i="1" s="1"/>
  <c r="AK53" i="1"/>
  <c r="AM53" i="1" s="1"/>
  <c r="AJ53" i="1"/>
  <c r="AA53" i="1"/>
  <c r="F53" i="1"/>
  <c r="AL52" i="1"/>
  <c r="AP52" i="1" s="1"/>
  <c r="AK52" i="1"/>
  <c r="AN52" i="1" s="1"/>
  <c r="AJ52" i="1"/>
  <c r="AA52" i="1"/>
  <c r="F52" i="1"/>
  <c r="AL51" i="1"/>
  <c r="AP51" i="1" s="1"/>
  <c r="L51" i="1" s="1"/>
  <c r="AK51" i="1"/>
  <c r="AM51" i="1" s="1"/>
  <c r="AJ51" i="1"/>
  <c r="AA51" i="1"/>
  <c r="G51" i="1"/>
  <c r="F51" i="1"/>
  <c r="AQ50" i="1"/>
  <c r="AL50" i="1"/>
  <c r="AP50" i="1" s="1"/>
  <c r="AK50" i="1"/>
  <c r="AJ50" i="1"/>
  <c r="AA50" i="1"/>
  <c r="G50" i="1"/>
  <c r="F50" i="1"/>
  <c r="AQ49" i="1"/>
  <c r="AL49" i="1"/>
  <c r="AP49" i="1" s="1"/>
  <c r="L49" i="1" s="1"/>
  <c r="AK49" i="1"/>
  <c r="AM49" i="1" s="1"/>
  <c r="AJ49" i="1"/>
  <c r="AA49" i="1"/>
  <c r="G49" i="1"/>
  <c r="F49" i="1"/>
  <c r="AQ48" i="1"/>
  <c r="AL48" i="1"/>
  <c r="AP48" i="1" s="1"/>
  <c r="AO48" i="1" s="1"/>
  <c r="AK48" i="1"/>
  <c r="AN48" i="1" s="1"/>
  <c r="AJ48" i="1"/>
  <c r="AA48" i="1"/>
  <c r="G48" i="1"/>
  <c r="F48" i="1"/>
  <c r="AQ47" i="1"/>
  <c r="AL47" i="1"/>
  <c r="AP47" i="1" s="1"/>
  <c r="AK47" i="1"/>
  <c r="AN47" i="1" s="1"/>
  <c r="AJ47" i="1"/>
  <c r="AA47" i="1"/>
  <c r="G47" i="1"/>
  <c r="F47" i="1"/>
  <c r="AQ46" i="1"/>
  <c r="AL46" i="1"/>
  <c r="AP46" i="1" s="1"/>
  <c r="L46" i="1" s="1"/>
  <c r="AK46" i="1"/>
  <c r="AM46" i="1" s="1"/>
  <c r="AJ46" i="1"/>
  <c r="AA46" i="1"/>
  <c r="G46" i="1"/>
  <c r="F46" i="1"/>
  <c r="AQ45" i="1"/>
  <c r="AL45" i="1"/>
  <c r="AP45" i="1" s="1"/>
  <c r="AO45" i="1" s="1"/>
  <c r="V45" i="1" s="1"/>
  <c r="AK45" i="1"/>
  <c r="AJ45" i="1"/>
  <c r="AA45" i="1"/>
  <c r="G45" i="1"/>
  <c r="F45" i="1"/>
  <c r="AQ44" i="1"/>
  <c r="AL44" i="1"/>
  <c r="AP44" i="1" s="1"/>
  <c r="AK44" i="1"/>
  <c r="AM44" i="1" s="1"/>
  <c r="AJ44" i="1"/>
  <c r="AA44" i="1"/>
  <c r="G44" i="1"/>
  <c r="F44" i="1"/>
  <c r="AQ43" i="1"/>
  <c r="AL43" i="1"/>
  <c r="AP43" i="1" s="1"/>
  <c r="AO43" i="1" s="1"/>
  <c r="AK43" i="1"/>
  <c r="AN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AK41" i="1"/>
  <c r="AM41" i="1" s="1"/>
  <c r="AJ41" i="1"/>
  <c r="AA41" i="1"/>
  <c r="G41" i="1"/>
  <c r="F41" i="1"/>
  <c r="AQ40" i="1"/>
  <c r="AL40" i="1"/>
  <c r="AP40" i="1" s="1"/>
  <c r="AO40" i="1" s="1"/>
  <c r="AK40" i="1"/>
  <c r="AN40" i="1" s="1"/>
  <c r="AJ40" i="1"/>
  <c r="AA40" i="1"/>
  <c r="G40" i="1"/>
  <c r="F40" i="1"/>
  <c r="AQ39" i="1"/>
  <c r="AL39" i="1"/>
  <c r="AP39" i="1" s="1"/>
  <c r="L39" i="1" s="1"/>
  <c r="AK39" i="1"/>
  <c r="AM39" i="1" s="1"/>
  <c r="AJ39" i="1"/>
  <c r="AA39" i="1"/>
  <c r="G39" i="1"/>
  <c r="F39" i="1"/>
  <c r="AQ38" i="1"/>
  <c r="AL38" i="1"/>
  <c r="AP38" i="1" s="1"/>
  <c r="L38" i="1" s="1"/>
  <c r="AK38" i="1"/>
  <c r="AN38" i="1" s="1"/>
  <c r="AJ38" i="1"/>
  <c r="AA38" i="1"/>
  <c r="G38" i="1"/>
  <c r="F38" i="1"/>
  <c r="AQ37" i="1"/>
  <c r="AL37" i="1"/>
  <c r="AP37" i="1" s="1"/>
  <c r="AK37" i="1"/>
  <c r="AN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AK34" i="1"/>
  <c r="AN34" i="1" s="1"/>
  <c r="AJ34" i="1"/>
  <c r="AA34" i="1"/>
  <c r="G34" i="1"/>
  <c r="F34" i="1"/>
  <c r="AQ33" i="1"/>
  <c r="AL33" i="1"/>
  <c r="AP33" i="1" s="1"/>
  <c r="L33" i="1" s="1"/>
  <c r="AK33" i="1"/>
  <c r="AN33" i="1" s="1"/>
  <c r="AJ33" i="1"/>
  <c r="AA33" i="1"/>
  <c r="G33" i="1"/>
  <c r="F33" i="1"/>
  <c r="AQ32" i="1"/>
  <c r="AL32" i="1"/>
  <c r="AP32" i="1" s="1"/>
  <c r="AK32" i="1"/>
  <c r="AM32" i="1" s="1"/>
  <c r="AJ32" i="1"/>
  <c r="AA32" i="1"/>
  <c r="G32" i="1"/>
  <c r="F32" i="1"/>
  <c r="AQ31" i="1"/>
  <c r="AL31" i="1"/>
  <c r="AP31" i="1" s="1"/>
  <c r="L31" i="1" s="1"/>
  <c r="AK31" i="1"/>
  <c r="AN31" i="1" s="1"/>
  <c r="AJ31" i="1"/>
  <c r="AA31" i="1"/>
  <c r="G31" i="1"/>
  <c r="F31" i="1"/>
  <c r="AQ30" i="1"/>
  <c r="AL30" i="1"/>
  <c r="AP30" i="1" s="1"/>
  <c r="AK30" i="1"/>
  <c r="AN30" i="1" s="1"/>
  <c r="AJ30" i="1"/>
  <c r="AA30" i="1"/>
  <c r="G30" i="1"/>
  <c r="F30" i="1"/>
  <c r="AQ29" i="1"/>
  <c r="AL29" i="1"/>
  <c r="AP29" i="1" s="1"/>
  <c r="AK29" i="1"/>
  <c r="AN29" i="1" s="1"/>
  <c r="AJ29" i="1"/>
  <c r="AA29" i="1"/>
  <c r="G29" i="1"/>
  <c r="F29" i="1"/>
  <c r="AQ28" i="1"/>
  <c r="AL28" i="1"/>
  <c r="AP28" i="1" s="1"/>
  <c r="L28" i="1" s="1"/>
  <c r="AK28" i="1"/>
  <c r="AN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K26" i="1"/>
  <c r="AN26" i="1" s="1"/>
  <c r="AJ26" i="1"/>
  <c r="AA26" i="1"/>
  <c r="G26" i="1"/>
  <c r="F26" i="1"/>
  <c r="AQ25" i="1"/>
  <c r="AL25" i="1"/>
  <c r="AP25" i="1" s="1"/>
  <c r="AK25" i="1"/>
  <c r="AM25" i="1" s="1"/>
  <c r="AJ25" i="1"/>
  <c r="AA25" i="1"/>
  <c r="G25" i="1"/>
  <c r="F25" i="1"/>
  <c r="AQ24" i="1"/>
  <c r="AL24" i="1"/>
  <c r="AP24" i="1" s="1"/>
  <c r="AK24" i="1"/>
  <c r="AN24" i="1" s="1"/>
  <c r="AJ24" i="1"/>
  <c r="AA24" i="1"/>
  <c r="G24" i="1"/>
  <c r="F24" i="1"/>
  <c r="AQ23" i="1"/>
  <c r="AL23" i="1"/>
  <c r="AP23" i="1" s="1"/>
  <c r="L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K21" i="1"/>
  <c r="AN21" i="1" s="1"/>
  <c r="AJ21" i="1"/>
  <c r="AA21" i="1"/>
  <c r="G21" i="1"/>
  <c r="F21" i="1"/>
  <c r="AQ20" i="1"/>
  <c r="AL20" i="1"/>
  <c r="AP20" i="1" s="1"/>
  <c r="AK20" i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O18" i="1" s="1"/>
  <c r="AK18" i="1"/>
  <c r="AM18" i="1" s="1"/>
  <c r="AJ18" i="1"/>
  <c r="AA18" i="1"/>
  <c r="G18" i="1"/>
  <c r="F18" i="1"/>
  <c r="AQ17" i="1"/>
  <c r="AL17" i="1"/>
  <c r="AP17" i="1" s="1"/>
  <c r="AO17" i="1" s="1"/>
  <c r="V17" i="1" s="1"/>
  <c r="AK17" i="1"/>
  <c r="AM17" i="1" s="1"/>
  <c r="AJ17" i="1"/>
  <c r="AA17" i="1"/>
  <c r="G17" i="1"/>
  <c r="F17" i="1"/>
  <c r="AQ16" i="1"/>
  <c r="AL16" i="1"/>
  <c r="AP16" i="1" s="1"/>
  <c r="L16" i="1" s="1"/>
  <c r="AK16" i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K14" i="1"/>
  <c r="AM14" i="1" s="1"/>
  <c r="AJ14" i="1"/>
  <c r="AA14" i="1"/>
  <c r="G14" i="1"/>
  <c r="F14" i="1"/>
  <c r="AQ13" i="1"/>
  <c r="AL13" i="1"/>
  <c r="AP13" i="1" s="1"/>
  <c r="L13" i="1" s="1"/>
  <c r="AK13" i="1"/>
  <c r="AN13" i="1" s="1"/>
  <c r="AJ13" i="1"/>
  <c r="AA13" i="1"/>
  <c r="G13" i="1"/>
  <c r="F13" i="1"/>
  <c r="AQ12" i="1"/>
  <c r="AL12" i="1"/>
  <c r="AP12" i="1" s="1"/>
  <c r="AK12" i="1"/>
  <c r="AM12" i="1" s="1"/>
  <c r="AJ12" i="1"/>
  <c r="AA12" i="1"/>
  <c r="G12" i="1"/>
  <c r="F12" i="1"/>
  <c r="AQ11" i="1"/>
  <c r="AL11" i="1"/>
  <c r="AP11" i="1" s="1"/>
  <c r="AK11" i="1"/>
  <c r="AN11" i="1" s="1"/>
  <c r="AJ11" i="1"/>
  <c r="AA11" i="1"/>
  <c r="G11" i="1"/>
  <c r="F11" i="1"/>
  <c r="AQ10" i="1"/>
  <c r="AL10" i="1"/>
  <c r="AP10" i="1" s="1"/>
  <c r="AK10" i="1"/>
  <c r="AN10" i="1" s="1"/>
  <c r="AJ10" i="1"/>
  <c r="AA10" i="1"/>
  <c r="G10" i="1"/>
  <c r="F10" i="1"/>
  <c r="AQ9" i="1"/>
  <c r="AL9" i="1"/>
  <c r="AP9" i="1" s="1"/>
  <c r="AK9" i="1"/>
  <c r="AM9" i="1" s="1"/>
  <c r="AJ9" i="1"/>
  <c r="AA9" i="1"/>
  <c r="G9" i="1"/>
  <c r="F9" i="1"/>
  <c r="AQ8" i="1"/>
  <c r="AL8" i="1"/>
  <c r="AP8" i="1" s="1"/>
  <c r="AK8" i="1"/>
  <c r="AM8" i="1" s="1"/>
  <c r="AJ8" i="1"/>
  <c r="AA8" i="1"/>
  <c r="G8" i="1"/>
  <c r="F8" i="1"/>
  <c r="AQ7" i="1"/>
  <c r="AL7" i="1"/>
  <c r="AP7" i="1" s="1"/>
  <c r="AO7" i="1" s="1"/>
  <c r="V7" i="1" s="1"/>
  <c r="AK7" i="1"/>
  <c r="AN7" i="1" s="1"/>
  <c r="AJ7" i="1"/>
  <c r="AA7" i="1"/>
  <c r="G7" i="1"/>
  <c r="F7" i="1"/>
  <c r="AQ6" i="1"/>
  <c r="AL6" i="1"/>
  <c r="AP6" i="1" s="1"/>
  <c r="AK6" i="1"/>
  <c r="AN6" i="1" s="1"/>
  <c r="AJ6" i="1"/>
  <c r="AA6" i="1"/>
  <c r="G6" i="1"/>
  <c r="F6" i="1"/>
  <c r="AQ5" i="1"/>
  <c r="AL5" i="1"/>
  <c r="AP5" i="1" s="1"/>
  <c r="AK5" i="1"/>
  <c r="AN5" i="1" s="1"/>
  <c r="AJ5" i="1"/>
  <c r="AA5" i="1"/>
  <c r="G5" i="1"/>
  <c r="F5" i="1"/>
  <c r="AQ4" i="1"/>
  <c r="AL4" i="1"/>
  <c r="AP4" i="1" s="1"/>
  <c r="AK4" i="1"/>
  <c r="AN4" i="1" s="1"/>
  <c r="AJ4" i="1"/>
  <c r="AA4" i="1"/>
  <c r="G4" i="1"/>
  <c r="F4" i="1"/>
  <c r="AQ3" i="1"/>
  <c r="AL3" i="1"/>
  <c r="AP3" i="1" s="1"/>
  <c r="AK3" i="1"/>
  <c r="AN3" i="1" s="1"/>
  <c r="AJ3" i="1"/>
  <c r="AA3" i="1"/>
  <c r="G3" i="1"/>
  <c r="F3" i="1"/>
  <c r="AQ2" i="1"/>
  <c r="AL2" i="1"/>
  <c r="AP2" i="1" s="1"/>
  <c r="AK2" i="1"/>
  <c r="AN2" i="1" s="1"/>
  <c r="AJ2" i="1"/>
  <c r="AA2" i="1"/>
  <c r="G2" i="1"/>
  <c r="F2" i="1"/>
  <c r="AQ82" i="1" l="1"/>
  <c r="AO81" i="1"/>
  <c r="U81" i="1" s="1"/>
  <c r="AQ81" i="1"/>
  <c r="AO80" i="1"/>
  <c r="AQ80" i="1"/>
  <c r="Q63" i="2"/>
  <c r="AO79" i="1"/>
  <c r="U79" i="1" s="1"/>
  <c r="L78" i="1"/>
  <c r="AO78" i="1"/>
  <c r="U78" i="1" s="1"/>
  <c r="L77" i="1"/>
  <c r="AO77" i="1"/>
  <c r="AQ77" i="1"/>
  <c r="AO75" i="1"/>
  <c r="X75" i="1" s="1"/>
  <c r="Y75" i="1" s="1"/>
  <c r="L76" i="1"/>
  <c r="AO76" i="1"/>
  <c r="U76" i="1" s="1"/>
  <c r="AO73" i="1"/>
  <c r="U73" i="1" s="1"/>
  <c r="AQ75" i="1"/>
  <c r="AQ74" i="1"/>
  <c r="AO74" i="1"/>
  <c r="U74" i="1" s="1"/>
  <c r="P60" i="2"/>
  <c r="L70" i="1"/>
  <c r="AO70" i="1"/>
  <c r="V70" i="1" s="1"/>
  <c r="AO71" i="1"/>
  <c r="V71" i="1" s="1"/>
  <c r="AO72" i="1"/>
  <c r="U72" i="1" s="1"/>
  <c r="AQ73" i="1"/>
  <c r="AQ71" i="1"/>
  <c r="AQ70" i="1"/>
  <c r="Q54" i="2"/>
  <c r="L65" i="1"/>
  <c r="AO65" i="1"/>
  <c r="U65" i="1" s="1"/>
  <c r="L69" i="1"/>
  <c r="AO69" i="1"/>
  <c r="V69" i="1" s="1"/>
  <c r="L67" i="1"/>
  <c r="AO67" i="1"/>
  <c r="V67" i="1" s="1"/>
  <c r="AQ69" i="1"/>
  <c r="AO68" i="1"/>
  <c r="U68" i="1" s="1"/>
  <c r="AQ68" i="1"/>
  <c r="AQ67" i="1"/>
  <c r="AO66" i="1"/>
  <c r="V66" i="1" s="1"/>
  <c r="AQ66" i="1"/>
  <c r="AQ65" i="1"/>
  <c r="AO64" i="1"/>
  <c r="V64" i="1" s="1"/>
  <c r="K984" i="2"/>
  <c r="Q53" i="2"/>
  <c r="Q52" i="2"/>
  <c r="AO63" i="1"/>
  <c r="V63" i="1" s="1"/>
  <c r="Q51" i="2"/>
  <c r="Q50" i="2"/>
  <c r="L62" i="1"/>
  <c r="AQ62" i="1"/>
  <c r="AO62" i="1"/>
  <c r="V62" i="1" s="1"/>
  <c r="Q49" i="2"/>
  <c r="L60" i="1"/>
  <c r="AO60" i="1"/>
  <c r="V60" i="1" s="1"/>
  <c r="L59" i="1"/>
  <c r="AO59" i="1"/>
  <c r="U59" i="1" s="1"/>
  <c r="AO53" i="1"/>
  <c r="U53" i="1" s="1"/>
  <c r="AO61" i="1"/>
  <c r="V61" i="1" s="1"/>
  <c r="AQ59" i="1"/>
  <c r="L57" i="1"/>
  <c r="AO57" i="1"/>
  <c r="U57" i="1" s="1"/>
  <c r="L55" i="1"/>
  <c r="AO55" i="1"/>
  <c r="V55" i="1" s="1"/>
  <c r="AO58" i="1"/>
  <c r="U58" i="1" s="1"/>
  <c r="AO56" i="1"/>
  <c r="V56" i="1" s="1"/>
  <c r="AQ57" i="1"/>
  <c r="AQ55" i="1"/>
  <c r="AO54" i="1"/>
  <c r="U54" i="1" s="1"/>
  <c r="Q47" i="2"/>
  <c r="K826" i="2"/>
  <c r="L52" i="1"/>
  <c r="AO52" i="1"/>
  <c r="U52" i="1" s="1"/>
  <c r="AQ52" i="1"/>
  <c r="X149" i="1"/>
  <c r="Y149" i="1" s="1"/>
  <c r="P44" i="2"/>
  <c r="K224" i="2"/>
  <c r="K416" i="2"/>
  <c r="K520" i="2"/>
  <c r="K568" i="2"/>
  <c r="AM152" i="1"/>
  <c r="AN53" i="1"/>
  <c r="AQ53" i="1" s="1"/>
  <c r="AM37" i="1"/>
  <c r="V78" i="1"/>
  <c r="W78" i="1" s="1"/>
  <c r="P43" i="2"/>
  <c r="Q180" i="2"/>
  <c r="AM197" i="1"/>
  <c r="L43" i="1"/>
  <c r="X43" i="1" s="1"/>
  <c r="X158" i="1"/>
  <c r="Y158" i="1" s="1"/>
  <c r="V164" i="1"/>
  <c r="W164" i="1" s="1"/>
  <c r="K269" i="2"/>
  <c r="K665" i="2"/>
  <c r="X93" i="1"/>
  <c r="AE93" i="1" s="1"/>
  <c r="U194" i="1"/>
  <c r="W194" i="1" s="1"/>
  <c r="U123" i="1"/>
  <c r="W123" i="1" s="1"/>
  <c r="U133" i="1"/>
  <c r="W133" i="1" s="1"/>
  <c r="Q41" i="2"/>
  <c r="K294" i="2"/>
  <c r="L7" i="1"/>
  <c r="X7" i="1" s="1"/>
  <c r="AE7" i="1" s="1"/>
  <c r="X109" i="1"/>
  <c r="AE109" i="1" s="1"/>
  <c r="P315" i="2"/>
  <c r="U7" i="1"/>
  <c r="W7" i="1" s="1"/>
  <c r="U109" i="1"/>
  <c r="W109" i="1" s="1"/>
  <c r="K405" i="2"/>
  <c r="K561" i="2"/>
  <c r="K577" i="2"/>
  <c r="AM7" i="1"/>
  <c r="X135" i="1"/>
  <c r="Y135" i="1" s="1"/>
  <c r="X87" i="1"/>
  <c r="Y87" i="1" s="1"/>
  <c r="V165" i="1"/>
  <c r="W165" i="1" s="1"/>
  <c r="U181" i="1"/>
  <c r="W181" i="1" s="1"/>
  <c r="X198" i="1"/>
  <c r="Y198" i="1" s="1"/>
  <c r="K99" i="2"/>
  <c r="X96" i="1"/>
  <c r="Y96" i="1" s="1"/>
  <c r="X98" i="1"/>
  <c r="Y98" i="1" s="1"/>
  <c r="K734" i="2"/>
  <c r="K105" i="2"/>
  <c r="AM31" i="1"/>
  <c r="K763" i="2"/>
  <c r="AN12" i="1"/>
  <c r="AM26" i="1"/>
  <c r="AM72" i="1"/>
  <c r="AM93" i="1"/>
  <c r="X108" i="1"/>
  <c r="AE108" i="1" s="1"/>
  <c r="K154" i="2"/>
  <c r="AM87" i="1"/>
  <c r="AM146" i="1"/>
  <c r="AN63" i="1"/>
  <c r="AQ63" i="1" s="1"/>
  <c r="V111" i="1"/>
  <c r="W111" i="1" s="1"/>
  <c r="U149" i="1"/>
  <c r="W149" i="1" s="1"/>
  <c r="K374" i="2"/>
  <c r="AM160" i="1"/>
  <c r="U136" i="1"/>
  <c r="W136" i="1" s="1"/>
  <c r="AM183" i="1"/>
  <c r="AN88" i="1"/>
  <c r="X117" i="1"/>
  <c r="AE117" i="1" s="1"/>
  <c r="AN104" i="1"/>
  <c r="AN122" i="1"/>
  <c r="AM19" i="1"/>
  <c r="AM52" i="1"/>
  <c r="V96" i="1"/>
  <c r="W96" i="1" s="1"/>
  <c r="K836" i="2"/>
  <c r="V98" i="1"/>
  <c r="W98" i="1" s="1"/>
  <c r="V155" i="1"/>
  <c r="W155" i="1" s="1"/>
  <c r="AM106" i="1"/>
  <c r="AN163" i="1"/>
  <c r="AN32" i="1"/>
  <c r="U144" i="1"/>
  <c r="W144" i="1" s="1"/>
  <c r="V102" i="1"/>
  <c r="W102" i="1" s="1"/>
  <c r="U121" i="1"/>
  <c r="W121" i="1" s="1"/>
  <c r="AM10" i="1"/>
  <c r="X77" i="1"/>
  <c r="Y77" i="1" s="1"/>
  <c r="AM136" i="1"/>
  <c r="AM153" i="1"/>
  <c r="X171" i="1"/>
  <c r="AE171" i="1" s="1"/>
  <c r="V174" i="1"/>
  <c r="W174" i="1" s="1"/>
  <c r="X137" i="1"/>
  <c r="Y137" i="1" s="1"/>
  <c r="X114" i="1"/>
  <c r="AE114" i="1" s="1"/>
  <c r="X161" i="1"/>
  <c r="AE161" i="1" s="1"/>
  <c r="K917" i="2"/>
  <c r="X130" i="1"/>
  <c r="Y130" i="1" s="1"/>
  <c r="X134" i="1"/>
  <c r="Y134" i="1" s="1"/>
  <c r="U161" i="1"/>
  <c r="W161" i="1" s="1"/>
  <c r="K188" i="2"/>
  <c r="K698" i="2"/>
  <c r="K722" i="2"/>
  <c r="X90" i="1"/>
  <c r="AE90" i="1" s="1"/>
  <c r="X95" i="1"/>
  <c r="Y95" i="1" s="1"/>
  <c r="V114" i="1"/>
  <c r="W114" i="1" s="1"/>
  <c r="X144" i="1"/>
  <c r="AE144" i="1" s="1"/>
  <c r="V150" i="1"/>
  <c r="W150" i="1" s="1"/>
  <c r="X153" i="1"/>
  <c r="AE153" i="1" s="1"/>
  <c r="X150" i="1"/>
  <c r="AE150" i="1" s="1"/>
  <c r="U103" i="1"/>
  <c r="W103" i="1" s="1"/>
  <c r="U152" i="1"/>
  <c r="W152" i="1" s="1"/>
  <c r="X155" i="1"/>
  <c r="Y155" i="1" s="1"/>
  <c r="X81" i="1"/>
  <c r="AE81" i="1" s="1"/>
  <c r="X162" i="1"/>
  <c r="Y162" i="1" s="1"/>
  <c r="V116" i="1"/>
  <c r="W116" i="1" s="1"/>
  <c r="K814" i="2"/>
  <c r="V101" i="1"/>
  <c r="W101" i="1" s="1"/>
  <c r="X174" i="1"/>
  <c r="AE174" i="1" s="1"/>
  <c r="X176" i="1"/>
  <c r="AE176" i="1" s="1"/>
  <c r="X194" i="1"/>
  <c r="Y194" i="1" s="1"/>
  <c r="K145" i="2"/>
  <c r="K503" i="2"/>
  <c r="K351" i="2"/>
  <c r="K391" i="2"/>
  <c r="K431" i="2"/>
  <c r="K6" i="2"/>
  <c r="L6" i="2" s="1"/>
  <c r="M6" i="2" s="1"/>
  <c r="N6" i="2" s="1"/>
  <c r="K198" i="2"/>
  <c r="K305" i="2"/>
  <c r="K356" i="2"/>
  <c r="P198" i="2"/>
  <c r="K657" i="2"/>
  <c r="K246" i="2"/>
  <c r="P641" i="2"/>
  <c r="K733" i="2"/>
  <c r="K45" i="2"/>
  <c r="L45" i="2" s="1"/>
  <c r="M45" i="2" s="1"/>
  <c r="K160" i="2"/>
  <c r="K476" i="2"/>
  <c r="K219" i="2"/>
  <c r="K354" i="2"/>
  <c r="K552" i="2"/>
  <c r="P93" i="2"/>
  <c r="Q496" i="2"/>
  <c r="K14" i="2"/>
  <c r="L14" i="2" s="1"/>
  <c r="M14" i="2" s="1"/>
  <c r="N14" i="2" s="1"/>
  <c r="K104" i="2"/>
  <c r="Q552" i="2"/>
  <c r="K786" i="2"/>
  <c r="K90" i="2"/>
  <c r="K751" i="2"/>
  <c r="P211" i="2"/>
  <c r="K4" i="2"/>
  <c r="L4" i="2" s="1"/>
  <c r="M4" i="2" s="1"/>
  <c r="AO5" i="1"/>
  <c r="U5" i="1" s="1"/>
  <c r="L5" i="1"/>
  <c r="P242" i="2"/>
  <c r="Q242" i="2"/>
  <c r="Q605" i="2"/>
  <c r="P605" i="2"/>
  <c r="L19" i="1"/>
  <c r="AO19" i="1"/>
  <c r="V19" i="1" s="1"/>
  <c r="L6" i="1"/>
  <c r="AO6" i="1"/>
  <c r="V6" i="1" s="1"/>
  <c r="K412" i="2"/>
  <c r="AO39" i="1"/>
  <c r="V39" i="1" s="1"/>
  <c r="AM74" i="1"/>
  <c r="K149" i="2"/>
  <c r="K176" i="2"/>
  <c r="K242" i="2"/>
  <c r="K257" i="2"/>
  <c r="K358" i="2"/>
  <c r="K447" i="2"/>
  <c r="K545" i="2"/>
  <c r="K915" i="2"/>
  <c r="X92" i="1"/>
  <c r="AE92" i="1" s="1"/>
  <c r="AN162" i="1"/>
  <c r="AM173" i="1"/>
  <c r="K98" i="2"/>
  <c r="K180" i="2"/>
  <c r="Q249" i="2"/>
  <c r="P634" i="2"/>
  <c r="K939" i="2"/>
  <c r="K947" i="2"/>
  <c r="AM11" i="1"/>
  <c r="AM69" i="1"/>
  <c r="X112" i="1"/>
  <c r="Y112" i="1" s="1"/>
  <c r="V196" i="1"/>
  <c r="W196" i="1" s="1"/>
  <c r="K126" i="2"/>
  <c r="K192" i="2"/>
  <c r="K196" i="2"/>
  <c r="K285" i="2"/>
  <c r="K320" i="2"/>
  <c r="K498" i="2"/>
  <c r="K757" i="2"/>
  <c r="K792" i="2"/>
  <c r="K816" i="2"/>
  <c r="K824" i="2"/>
  <c r="K999" i="2"/>
  <c r="P18" i="2"/>
  <c r="K819" i="2"/>
  <c r="AN116" i="1"/>
  <c r="AN129" i="1"/>
  <c r="X196" i="1"/>
  <c r="Y196" i="1" s="1"/>
  <c r="AM200" i="1"/>
  <c r="K69" i="2"/>
  <c r="K123" i="2"/>
  <c r="K131" i="2"/>
  <c r="K329" i="2"/>
  <c r="P344" i="2"/>
  <c r="N367" i="2"/>
  <c r="Q390" i="2"/>
  <c r="AN82" i="1"/>
  <c r="AN154" i="1"/>
  <c r="U156" i="1"/>
  <c r="W156" i="1" s="1"/>
  <c r="K302" i="2"/>
  <c r="K671" i="2"/>
  <c r="K861" i="2"/>
  <c r="AM86" i="1"/>
  <c r="X100" i="1"/>
  <c r="Y100" i="1" s="1"/>
  <c r="AM118" i="1"/>
  <c r="Q22" i="2"/>
  <c r="Q628" i="2"/>
  <c r="K937" i="2"/>
  <c r="K957" i="2"/>
  <c r="K961" i="2"/>
  <c r="K367" i="2"/>
  <c r="X138" i="1"/>
  <c r="AE138" i="1" s="1"/>
  <c r="AM140" i="1"/>
  <c r="K789" i="2"/>
  <c r="K809" i="2"/>
  <c r="O356" i="2"/>
  <c r="P356" i="2" s="1"/>
  <c r="Q683" i="2"/>
  <c r="P893" i="2"/>
  <c r="K234" i="2"/>
  <c r="K560" i="2"/>
  <c r="AN182" i="1"/>
  <c r="X199" i="1"/>
  <c r="AE199" i="1" s="1"/>
  <c r="K204" i="2"/>
  <c r="K686" i="2"/>
  <c r="K781" i="2"/>
  <c r="K908" i="2"/>
  <c r="X152" i="1"/>
  <c r="AE152" i="1" s="1"/>
  <c r="K344" i="2"/>
  <c r="X89" i="1"/>
  <c r="AE89" i="1" s="1"/>
  <c r="AM33" i="1"/>
  <c r="V81" i="1"/>
  <c r="W81" i="1" s="1"/>
  <c r="V108" i="1"/>
  <c r="W108" i="1" s="1"/>
  <c r="X111" i="1"/>
  <c r="Y111" i="1" s="1"/>
  <c r="V124" i="1"/>
  <c r="W124" i="1" s="1"/>
  <c r="U153" i="1"/>
  <c r="W153" i="1" s="1"/>
  <c r="K36" i="2"/>
  <c r="L36" i="2" s="1"/>
  <c r="M36" i="2" s="1"/>
  <c r="N36" i="2" s="1"/>
  <c r="P73" i="2"/>
  <c r="K586" i="2"/>
  <c r="K173" i="2"/>
  <c r="X136" i="1"/>
  <c r="AE136" i="1" s="1"/>
  <c r="X159" i="1"/>
  <c r="Y159" i="1" s="1"/>
  <c r="K546" i="2"/>
  <c r="AM77" i="1"/>
  <c r="U90" i="1"/>
  <c r="W90" i="1" s="1"/>
  <c r="V128" i="1"/>
  <c r="W128" i="1" s="1"/>
  <c r="AM144" i="1"/>
  <c r="AN187" i="1"/>
  <c r="K17" i="2"/>
  <c r="L17" i="2" s="1"/>
  <c r="M17" i="2" s="1"/>
  <c r="N17" i="2" s="1"/>
  <c r="K66" i="2"/>
  <c r="K338" i="2"/>
  <c r="K668" i="2"/>
  <c r="U171" i="1"/>
  <c r="W171" i="1" s="1"/>
  <c r="X94" i="1"/>
  <c r="Y94" i="1" s="1"/>
  <c r="K706" i="2"/>
  <c r="AN14" i="1"/>
  <c r="K93" i="2"/>
  <c r="K260" i="2"/>
  <c r="K342" i="2"/>
  <c r="K450" i="2"/>
  <c r="K458" i="2"/>
  <c r="Q485" i="2"/>
  <c r="K637" i="2"/>
  <c r="P763" i="2"/>
  <c r="K783" i="2"/>
  <c r="AN99" i="1"/>
  <c r="K71" i="2"/>
  <c r="K172" i="2"/>
  <c r="AM62" i="1"/>
  <c r="K710" i="2"/>
  <c r="K21" i="2"/>
  <c r="L21" i="2" s="1"/>
  <c r="M21" i="2" s="1"/>
  <c r="N21" i="2" s="1"/>
  <c r="V92" i="1"/>
  <c r="W92" i="1" s="1"/>
  <c r="U141" i="1"/>
  <c r="W141" i="1" s="1"/>
  <c r="AN41" i="1"/>
  <c r="X104" i="1"/>
  <c r="Y104" i="1" s="1"/>
  <c r="X115" i="1"/>
  <c r="Y115" i="1" s="1"/>
  <c r="X160" i="1"/>
  <c r="AE160" i="1" s="1"/>
  <c r="U162" i="1"/>
  <c r="W162" i="1" s="1"/>
  <c r="P497" i="2"/>
  <c r="Q497" i="2"/>
  <c r="L27" i="1"/>
  <c r="AO27" i="1"/>
  <c r="V27" i="1" s="1"/>
  <c r="U40" i="1"/>
  <c r="V40" i="1"/>
  <c r="P236" i="2"/>
  <c r="Q236" i="2"/>
  <c r="Q848" i="2"/>
  <c r="P848" i="2"/>
  <c r="L11" i="1"/>
  <c r="AO11" i="1"/>
  <c r="U11" i="1" s="1"/>
  <c r="P680" i="2"/>
  <c r="Q680" i="2"/>
  <c r="L21" i="1"/>
  <c r="AO21" i="1"/>
  <c r="L15" i="1"/>
  <c r="AO15" i="1"/>
  <c r="U15" i="1" s="1"/>
  <c r="L20" i="1"/>
  <c r="AO20" i="1"/>
  <c r="AN193" i="1"/>
  <c r="AM193" i="1"/>
  <c r="K41" i="2"/>
  <c r="L41" i="2" s="1"/>
  <c r="M41" i="2" s="1"/>
  <c r="K159" i="2"/>
  <c r="AN58" i="1"/>
  <c r="AQ58" i="1" s="1"/>
  <c r="AN65" i="1"/>
  <c r="AM65" i="1"/>
  <c r="V115" i="1"/>
  <c r="U115" i="1"/>
  <c r="AM143" i="1"/>
  <c r="X173" i="1"/>
  <c r="AE173" i="1" s="1"/>
  <c r="X200" i="1"/>
  <c r="AE200" i="1" s="1"/>
  <c r="K49" i="2"/>
  <c r="L49" i="2" s="1"/>
  <c r="M49" i="2" s="1"/>
  <c r="K167" i="2"/>
  <c r="K299" i="2"/>
  <c r="K333" i="2"/>
  <c r="P337" i="2"/>
  <c r="Q337" i="2"/>
  <c r="P450" i="2"/>
  <c r="Q450" i="2"/>
  <c r="P648" i="2"/>
  <c r="Q648" i="2"/>
  <c r="Q725" i="2"/>
  <c r="K787" i="2"/>
  <c r="AN15" i="1"/>
  <c r="AM67" i="1"/>
  <c r="AN67" i="1"/>
  <c r="X79" i="1"/>
  <c r="AE79" i="1" s="1"/>
  <c r="AM112" i="1"/>
  <c r="AM156" i="1"/>
  <c r="V170" i="1"/>
  <c r="U170" i="1"/>
  <c r="K35" i="2"/>
  <c r="L35" i="2" s="1"/>
  <c r="M35" i="2" s="1"/>
  <c r="N35" i="2" s="1"/>
  <c r="P420" i="2"/>
  <c r="K580" i="2"/>
  <c r="K603" i="2"/>
  <c r="O603" i="2"/>
  <c r="P603" i="2" s="1"/>
  <c r="P625" i="2"/>
  <c r="L41" i="1"/>
  <c r="AO41" i="1"/>
  <c r="U41" i="1" s="1"/>
  <c r="AM126" i="1"/>
  <c r="U130" i="1"/>
  <c r="W130" i="1" s="1"/>
  <c r="V143" i="1"/>
  <c r="U143" i="1"/>
  <c r="X170" i="1"/>
  <c r="AE170" i="1" s="1"/>
  <c r="AM175" i="1"/>
  <c r="AM184" i="1"/>
  <c r="K186" i="2"/>
  <c r="O186" i="2"/>
  <c r="Q186" i="2" s="1"/>
  <c r="K272" i="2"/>
  <c r="P333" i="2"/>
  <c r="K378" i="2"/>
  <c r="O568" i="2"/>
  <c r="P568" i="2" s="1"/>
  <c r="K591" i="2"/>
  <c r="K610" i="2"/>
  <c r="O733" i="2"/>
  <c r="Q733" i="2" s="1"/>
  <c r="K737" i="2"/>
  <c r="P760" i="2"/>
  <c r="K815" i="2"/>
  <c r="Q999" i="2"/>
  <c r="P999" i="2"/>
  <c r="AN27" i="1"/>
  <c r="AM27" i="1"/>
  <c r="U112" i="1"/>
  <c r="V112" i="1"/>
  <c r="U138" i="1"/>
  <c r="V138" i="1"/>
  <c r="X143" i="1"/>
  <c r="AE143" i="1" s="1"/>
  <c r="X175" i="1"/>
  <c r="Y175" i="1" s="1"/>
  <c r="AN188" i="1"/>
  <c r="AM188" i="1"/>
  <c r="K144" i="2"/>
  <c r="K284" i="2"/>
  <c r="K303" i="2"/>
  <c r="K311" i="2"/>
  <c r="Q374" i="2"/>
  <c r="K550" i="2"/>
  <c r="O722" i="2"/>
  <c r="Q722" i="2" s="1"/>
  <c r="K780" i="2"/>
  <c r="P799" i="2"/>
  <c r="AN20" i="1"/>
  <c r="AM20" i="1"/>
  <c r="AM83" i="1"/>
  <c r="AN90" i="1"/>
  <c r="AM90" i="1"/>
  <c r="X107" i="1"/>
  <c r="AE107" i="1" s="1"/>
  <c r="AM114" i="1"/>
  <c r="AN145" i="1"/>
  <c r="L40" i="1"/>
  <c r="X40" i="1" s="1"/>
  <c r="Y40" i="1" s="1"/>
  <c r="AN44" i="1"/>
  <c r="AO49" i="1"/>
  <c r="X49" i="1" s="1"/>
  <c r="AN57" i="1"/>
  <c r="AM57" i="1"/>
  <c r="AN64" i="1"/>
  <c r="AQ64" i="1" s="1"/>
  <c r="U104" i="1"/>
  <c r="W104" i="1" s="1"/>
  <c r="AM142" i="1"/>
  <c r="K262" i="2"/>
  <c r="K547" i="2"/>
  <c r="O547" i="2"/>
  <c r="P547" i="2" s="1"/>
  <c r="AM132" i="1"/>
  <c r="O99" i="2"/>
  <c r="K855" i="2"/>
  <c r="O984" i="2"/>
  <c r="Q984" i="2" s="1"/>
  <c r="X78" i="1"/>
  <c r="Y78" i="1" s="1"/>
  <c r="AM92" i="1"/>
  <c r="AN102" i="1"/>
  <c r="V134" i="1"/>
  <c r="W134" i="1" s="1"/>
  <c r="U159" i="1"/>
  <c r="W159" i="1" s="1"/>
  <c r="X165" i="1"/>
  <c r="AE165" i="1" s="1"/>
  <c r="AM167" i="1"/>
  <c r="V192" i="1"/>
  <c r="U192" i="1"/>
  <c r="K92" i="2"/>
  <c r="K103" i="2"/>
  <c r="K456" i="2"/>
  <c r="K509" i="2"/>
  <c r="K627" i="2"/>
  <c r="K669" i="2"/>
  <c r="K688" i="2"/>
  <c r="K906" i="2"/>
  <c r="O957" i="2"/>
  <c r="P957" i="2" s="1"/>
  <c r="V84" i="1"/>
  <c r="U84" i="1"/>
  <c r="K300" i="2"/>
  <c r="P367" i="2"/>
  <c r="X172" i="1"/>
  <c r="AE172" i="1" s="1"/>
  <c r="AM199" i="1"/>
  <c r="K236" i="2"/>
  <c r="O269" i="2"/>
  <c r="P269" i="2" s="1"/>
  <c r="K539" i="2"/>
  <c r="K680" i="2"/>
  <c r="O917" i="2"/>
  <c r="Q917" i="2" s="1"/>
  <c r="P964" i="2"/>
  <c r="K266" i="2"/>
  <c r="K312" i="2"/>
  <c r="O312" i="2"/>
  <c r="P312" i="2" s="1"/>
  <c r="Q331" i="2"/>
  <c r="P331" i="2"/>
  <c r="K418" i="2"/>
  <c r="O418" i="2"/>
  <c r="K543" i="2"/>
  <c r="Q785" i="2"/>
  <c r="P785" i="2"/>
  <c r="AN192" i="1"/>
  <c r="K297" i="2"/>
  <c r="O297" i="2"/>
  <c r="K727" i="2"/>
  <c r="Q953" i="2"/>
  <c r="AO16" i="1"/>
  <c r="V16" i="1" s="1"/>
  <c r="AM42" i="1"/>
  <c r="AM137" i="1"/>
  <c r="U189" i="1"/>
  <c r="W189" i="1" s="1"/>
  <c r="O126" i="2"/>
  <c r="Q126" i="2" s="1"/>
  <c r="Q134" i="2"/>
  <c r="P134" i="2"/>
  <c r="K247" i="2"/>
  <c r="K270" i="2"/>
  <c r="K335" i="2"/>
  <c r="K361" i="2"/>
  <c r="K460" i="2"/>
  <c r="K513" i="2"/>
  <c r="K673" i="2"/>
  <c r="K677" i="2"/>
  <c r="K875" i="2"/>
  <c r="K879" i="2"/>
  <c r="K926" i="2"/>
  <c r="V173" i="1"/>
  <c r="U173" i="1"/>
  <c r="P370" i="2"/>
  <c r="Q370" i="2"/>
  <c r="K389" i="2"/>
  <c r="K587" i="2"/>
  <c r="V195" i="1"/>
  <c r="U195" i="1"/>
  <c r="P46" i="2"/>
  <c r="Q46" i="2"/>
  <c r="K387" i="2"/>
  <c r="O387" i="2"/>
  <c r="Q387" i="2" s="1"/>
  <c r="K497" i="2"/>
  <c r="Q531" i="2"/>
  <c r="K661" i="2"/>
  <c r="O734" i="2"/>
  <c r="P734" i="2" s="1"/>
  <c r="AM16" i="1"/>
  <c r="AN16" i="1"/>
  <c r="AM194" i="1"/>
  <c r="K233" i="2"/>
  <c r="Q346" i="2"/>
  <c r="K468" i="2"/>
  <c r="K620" i="2"/>
  <c r="K631" i="2"/>
  <c r="AN96" i="1"/>
  <c r="AM96" i="1"/>
  <c r="Q427" i="2"/>
  <c r="AN17" i="1"/>
  <c r="Q272" i="2"/>
  <c r="K508" i="2"/>
  <c r="X140" i="1"/>
  <c r="AE140" i="1" s="1"/>
  <c r="AN172" i="1"/>
  <c r="K110" i="2"/>
  <c r="K467" i="2"/>
  <c r="Q515" i="2"/>
  <c r="Q600" i="2"/>
  <c r="P600" i="2"/>
  <c r="K707" i="2"/>
  <c r="K719" i="2"/>
  <c r="AM2" i="1"/>
  <c r="Q421" i="2"/>
  <c r="K754" i="2"/>
  <c r="AN80" i="1"/>
  <c r="AM80" i="1"/>
  <c r="L45" i="1"/>
  <c r="X45" i="1" s="1"/>
  <c r="AO28" i="1"/>
  <c r="V28" i="1" s="1"/>
  <c r="U191" i="1"/>
  <c r="W191" i="1" s="1"/>
  <c r="AN196" i="1"/>
  <c r="AM196" i="1"/>
  <c r="K55" i="2"/>
  <c r="L55" i="2" s="1"/>
  <c r="M55" i="2" s="1"/>
  <c r="K74" i="2"/>
  <c r="K85" i="2"/>
  <c r="Q123" i="2"/>
  <c r="P123" i="2"/>
  <c r="Q210" i="2"/>
  <c r="P361" i="2"/>
  <c r="K441" i="2"/>
  <c r="K821" i="2"/>
  <c r="K829" i="2"/>
  <c r="K887" i="2"/>
  <c r="V200" i="1"/>
  <c r="U200" i="1"/>
  <c r="P164" i="2"/>
  <c r="Q164" i="2"/>
  <c r="L37" i="1"/>
  <c r="AO37" i="1"/>
  <c r="V37" i="1" s="1"/>
  <c r="V140" i="1"/>
  <c r="U140" i="1"/>
  <c r="P194" i="2"/>
  <c r="Q194" i="2"/>
  <c r="Q436" i="2"/>
  <c r="P436" i="2"/>
  <c r="Q565" i="2"/>
  <c r="K687" i="2"/>
  <c r="K695" i="2"/>
  <c r="K699" i="2"/>
  <c r="AO38" i="1"/>
  <c r="V38" i="1" s="1"/>
  <c r="AN75" i="1"/>
  <c r="AM75" i="1"/>
  <c r="X131" i="1"/>
  <c r="Y131" i="1" s="1"/>
  <c r="X180" i="1"/>
  <c r="Y180" i="1" s="1"/>
  <c r="V180" i="1"/>
  <c r="U180" i="1"/>
  <c r="K44" i="2"/>
  <c r="L44" i="2" s="1"/>
  <c r="M44" i="2" s="1"/>
  <c r="P104" i="2"/>
  <c r="Q104" i="2"/>
  <c r="Q169" i="2"/>
  <c r="O354" i="2"/>
  <c r="Q354" i="2" s="1"/>
  <c r="Q631" i="2"/>
  <c r="K895" i="2"/>
  <c r="Q3" i="2"/>
  <c r="L12" i="1"/>
  <c r="AO12" i="1"/>
  <c r="V12" i="1" s="1"/>
  <c r="AN45" i="1"/>
  <c r="AM45" i="1"/>
  <c r="AN54" i="1"/>
  <c r="AM54" i="1"/>
  <c r="V79" i="1"/>
  <c r="W79" i="1" s="1"/>
  <c r="P74" i="2"/>
  <c r="P112" i="2"/>
  <c r="Q112" i="2"/>
  <c r="O188" i="2"/>
  <c r="Q659" i="2"/>
  <c r="P659" i="2"/>
  <c r="AO33" i="1"/>
  <c r="V33" i="1" s="1"/>
  <c r="L50" i="1"/>
  <c r="AO50" i="1"/>
  <c r="V50" i="1" s="1"/>
  <c r="V89" i="1"/>
  <c r="U89" i="1"/>
  <c r="U118" i="1"/>
  <c r="V118" i="1"/>
  <c r="V184" i="1"/>
  <c r="W184" i="1" s="1"/>
  <c r="Q44" i="2"/>
  <c r="K82" i="2"/>
  <c r="K177" i="2"/>
  <c r="P207" i="2"/>
  <c r="K427" i="2"/>
  <c r="K438" i="2"/>
  <c r="O476" i="2"/>
  <c r="K598" i="2"/>
  <c r="K628" i="2"/>
  <c r="K651" i="2"/>
  <c r="AO31" i="1"/>
  <c r="U31" i="1" s="1"/>
  <c r="X184" i="1"/>
  <c r="AE184" i="1" s="1"/>
  <c r="X189" i="1"/>
  <c r="Y189" i="1" s="1"/>
  <c r="K200" i="2"/>
  <c r="K625" i="2"/>
  <c r="K810" i="2"/>
  <c r="K182" i="2"/>
  <c r="K308" i="2"/>
  <c r="K487" i="2"/>
  <c r="K562" i="2"/>
  <c r="K689" i="2"/>
  <c r="K716" i="2"/>
  <c r="K857" i="2"/>
  <c r="K899" i="2"/>
  <c r="K938" i="2"/>
  <c r="K134" i="2"/>
  <c r="K373" i="2"/>
  <c r="K469" i="2"/>
  <c r="K648" i="2"/>
  <c r="K739" i="2"/>
  <c r="K796" i="2"/>
  <c r="K919" i="2"/>
  <c r="X80" i="1"/>
  <c r="Y80" i="1" s="1"/>
  <c r="X164" i="1"/>
  <c r="Y164" i="1" s="1"/>
  <c r="K120" i="2"/>
  <c r="P219" i="2"/>
  <c r="K227" i="2"/>
  <c r="Q230" i="2"/>
  <c r="Q241" i="2"/>
  <c r="K491" i="2"/>
  <c r="K559" i="2"/>
  <c r="K607" i="2"/>
  <c r="Q861" i="2"/>
  <c r="K865" i="2"/>
  <c r="K888" i="2"/>
  <c r="AM113" i="1"/>
  <c r="AM158" i="1"/>
  <c r="AM198" i="1"/>
  <c r="K31" i="2"/>
  <c r="L31" i="2" s="1"/>
  <c r="M31" i="2" s="1"/>
  <c r="N31" i="2" s="1"/>
  <c r="K50" i="2"/>
  <c r="L50" i="2" s="1"/>
  <c r="M50" i="2" s="1"/>
  <c r="N50" i="2" s="1"/>
  <c r="K331" i="2"/>
  <c r="K370" i="2"/>
  <c r="K388" i="2"/>
  <c r="K466" i="2"/>
  <c r="K525" i="2"/>
  <c r="K633" i="2"/>
  <c r="K682" i="2"/>
  <c r="K713" i="2"/>
  <c r="K839" i="2"/>
  <c r="K146" i="2"/>
  <c r="K194" i="2"/>
  <c r="K363" i="2"/>
  <c r="K415" i="2"/>
  <c r="O458" i="2"/>
  <c r="Q458" i="2" s="1"/>
  <c r="K728" i="2"/>
  <c r="O751" i="2"/>
  <c r="Q751" i="2" s="1"/>
  <c r="X133" i="1"/>
  <c r="AE133" i="1" s="1"/>
  <c r="Q105" i="2"/>
  <c r="K268" i="2"/>
  <c r="O294" i="2"/>
  <c r="Q294" i="2" s="1"/>
  <c r="K328" i="2"/>
  <c r="K377" i="2"/>
  <c r="K385" i="2"/>
  <c r="K392" i="2"/>
  <c r="K488" i="2"/>
  <c r="K533" i="2"/>
  <c r="K563" i="2"/>
  <c r="P626" i="2"/>
  <c r="K916" i="2"/>
  <c r="O935" i="2"/>
  <c r="Q935" i="2" s="1"/>
  <c r="AM149" i="1"/>
  <c r="AM155" i="1"/>
  <c r="AM168" i="1"/>
  <c r="K73" i="2"/>
  <c r="K150" i="2"/>
  <c r="K158" i="2"/>
  <c r="K220" i="2"/>
  <c r="P455" i="2"/>
  <c r="Q770" i="2"/>
  <c r="O816" i="2"/>
  <c r="Q816" i="2" s="1"/>
  <c r="K924" i="2"/>
  <c r="AM110" i="1"/>
  <c r="X103" i="1"/>
  <c r="Y103" i="1" s="1"/>
  <c r="AM130" i="1"/>
  <c r="K88" i="2"/>
  <c r="K228" i="2"/>
  <c r="K239" i="2"/>
  <c r="K249" i="2"/>
  <c r="K298" i="2"/>
  <c r="K430" i="2"/>
  <c r="K470" i="2"/>
  <c r="K485" i="2"/>
  <c r="K507" i="2"/>
  <c r="K518" i="2"/>
  <c r="K567" i="2"/>
  <c r="K653" i="2"/>
  <c r="AR26" i="1"/>
  <c r="X169" i="1"/>
  <c r="N330" i="2"/>
  <c r="N634" i="2"/>
  <c r="X85" i="1"/>
  <c r="Y85" i="1" s="1"/>
  <c r="X105" i="1"/>
  <c r="Y105" i="1" s="1"/>
  <c r="X177" i="1"/>
  <c r="Y177" i="1" s="1"/>
  <c r="X145" i="1"/>
  <c r="Y145" i="1" s="1"/>
  <c r="M574" i="2"/>
  <c r="N574" i="2" s="1"/>
  <c r="N404" i="2"/>
  <c r="M536" i="2"/>
  <c r="N536" i="2" s="1"/>
  <c r="N693" i="2"/>
  <c r="M733" i="2"/>
  <c r="N733" i="2" s="1"/>
  <c r="N660" i="2"/>
  <c r="X168" i="1"/>
  <c r="X195" i="1"/>
  <c r="Y195" i="1" s="1"/>
  <c r="M98" i="2"/>
  <c r="N98" i="2" s="1"/>
  <c r="U142" i="1"/>
  <c r="W142" i="1" s="1"/>
  <c r="U146" i="1"/>
  <c r="W146" i="1" s="1"/>
  <c r="U80" i="1"/>
  <c r="U83" i="1"/>
  <c r="W83" i="1" s="1"/>
  <c r="X84" i="1"/>
  <c r="AE84" i="1" s="1"/>
  <c r="U100" i="1"/>
  <c r="V120" i="1"/>
  <c r="W120" i="1" s="1"/>
  <c r="X127" i="1"/>
  <c r="AE127" i="1" s="1"/>
  <c r="V169" i="1"/>
  <c r="W169" i="1" s="1"/>
  <c r="X181" i="1"/>
  <c r="AE181" i="1" s="1"/>
  <c r="X190" i="1"/>
  <c r="Q33" i="2"/>
  <c r="M515" i="2"/>
  <c r="N515" i="2" s="1"/>
  <c r="M550" i="2"/>
  <c r="N550" i="2" s="1"/>
  <c r="N463" i="2"/>
  <c r="X91" i="1"/>
  <c r="AE91" i="1" s="1"/>
  <c r="N492" i="2"/>
  <c r="N816" i="2"/>
  <c r="N988" i="2"/>
  <c r="N85" i="2"/>
  <c r="N658" i="2"/>
  <c r="X120" i="1"/>
  <c r="U172" i="1"/>
  <c r="U190" i="1"/>
  <c r="W190" i="1" s="1"/>
  <c r="U193" i="1"/>
  <c r="W193" i="1" s="1"/>
  <c r="P3" i="2"/>
  <c r="N229" i="2"/>
  <c r="K332" i="2"/>
  <c r="N875" i="2"/>
  <c r="K1001" i="2"/>
  <c r="X148" i="1"/>
  <c r="AE148" i="1" s="1"/>
  <c r="X193" i="1"/>
  <c r="Y193" i="1" s="1"/>
  <c r="X88" i="1"/>
  <c r="AE88" i="1" s="1"/>
  <c r="N357" i="2"/>
  <c r="N143" i="2"/>
  <c r="M164" i="2"/>
  <c r="N164" i="2" s="1"/>
  <c r="N344" i="2"/>
  <c r="N511" i="2"/>
  <c r="X142" i="1"/>
  <c r="AE142" i="1" s="1"/>
  <c r="V80" i="1"/>
  <c r="V100" i="1"/>
  <c r="X101" i="1"/>
  <c r="AE101" i="1" s="1"/>
  <c r="V172" i="1"/>
  <c r="K106" i="2"/>
  <c r="N387" i="2"/>
  <c r="N547" i="2"/>
  <c r="K576" i="2"/>
  <c r="K709" i="2"/>
  <c r="X83" i="1"/>
  <c r="Y83" i="1" s="1"/>
  <c r="N826" i="2"/>
  <c r="M485" i="2"/>
  <c r="N485" i="2" s="1"/>
  <c r="N663" i="2"/>
  <c r="N259" i="2"/>
  <c r="X128" i="1"/>
  <c r="X197" i="1"/>
  <c r="AE197" i="1" s="1"/>
  <c r="U135" i="1"/>
  <c r="U160" i="1"/>
  <c r="X191" i="1"/>
  <c r="K34" i="2"/>
  <c r="L34" i="2" s="1"/>
  <c r="M34" i="2" s="1"/>
  <c r="N34" i="2" s="1"/>
  <c r="N531" i="2"/>
  <c r="X102" i="1"/>
  <c r="Y102" i="1" s="1"/>
  <c r="X192" i="1"/>
  <c r="Y192" i="1" s="1"/>
  <c r="M182" i="2"/>
  <c r="N182" i="2" s="1"/>
  <c r="X118" i="1"/>
  <c r="AE118" i="1" s="1"/>
  <c r="X121" i="1"/>
  <c r="AE121" i="1" s="1"/>
  <c r="X97" i="1"/>
  <c r="Y97" i="1" s="1"/>
  <c r="X110" i="1"/>
  <c r="V135" i="1"/>
  <c r="U145" i="1"/>
  <c r="W145" i="1" s="1"/>
  <c r="V160" i="1"/>
  <c r="X166" i="1"/>
  <c r="Y166" i="1" s="1"/>
  <c r="X201" i="1"/>
  <c r="AE201" i="1" s="1"/>
  <c r="M134" i="2"/>
  <c r="N134" i="2" s="1"/>
  <c r="K274" i="2"/>
  <c r="N339" i="2"/>
  <c r="N402" i="2"/>
  <c r="K459" i="2"/>
  <c r="K745" i="2"/>
  <c r="M872" i="2"/>
  <c r="N872" i="2" s="1"/>
  <c r="K944" i="2"/>
  <c r="N742" i="2"/>
  <c r="K18" i="2"/>
  <c r="L18" i="2" s="1"/>
  <c r="M18" i="2" s="1"/>
  <c r="N18" i="2" s="1"/>
  <c r="N269" i="2"/>
  <c r="U85" i="1"/>
  <c r="W85" i="1" s="1"/>
  <c r="U91" i="1"/>
  <c r="W91" i="1" s="1"/>
  <c r="U110" i="1"/>
  <c r="W110" i="1" s="1"/>
  <c r="X113" i="1"/>
  <c r="AE113" i="1" s="1"/>
  <c r="V119" i="1"/>
  <c r="W119" i="1" s="1"/>
  <c r="X132" i="1"/>
  <c r="Y132" i="1" s="1"/>
  <c r="X151" i="1"/>
  <c r="AE151" i="1" s="1"/>
  <c r="X157" i="1"/>
  <c r="AE157" i="1" s="1"/>
  <c r="U166" i="1"/>
  <c r="W166" i="1" s="1"/>
  <c r="U201" i="1"/>
  <c r="W201" i="1" s="1"/>
  <c r="Q28" i="2"/>
  <c r="K124" i="2"/>
  <c r="N243" i="2"/>
  <c r="K282" i="2"/>
  <c r="N346" i="2"/>
  <c r="N580" i="2"/>
  <c r="K724" i="2"/>
  <c r="K837" i="2"/>
  <c r="K844" i="2"/>
  <c r="K848" i="2"/>
  <c r="N975" i="2"/>
  <c r="N149" i="2"/>
  <c r="X122" i="1"/>
  <c r="Y122" i="1" s="1"/>
  <c r="N524" i="2"/>
  <c r="V94" i="1"/>
  <c r="W94" i="1" s="1"/>
  <c r="U105" i="1"/>
  <c r="W105" i="1" s="1"/>
  <c r="X116" i="1"/>
  <c r="X119" i="1"/>
  <c r="X141" i="1"/>
  <c r="AE141" i="1" s="1"/>
  <c r="U151" i="1"/>
  <c r="W151" i="1" s="1"/>
  <c r="K11" i="2"/>
  <c r="L11" i="2" s="1"/>
  <c r="M11" i="2" s="1"/>
  <c r="N11" i="2" s="1"/>
  <c r="K80" i="2"/>
  <c r="K170" i="2"/>
  <c r="K237" i="2"/>
  <c r="N315" i="2"/>
  <c r="K350" i="2"/>
  <c r="K463" i="2"/>
  <c r="K609" i="2"/>
  <c r="K804" i="2"/>
  <c r="K964" i="2"/>
  <c r="Q244" i="2"/>
  <c r="P244" i="2"/>
  <c r="Q407" i="2"/>
  <c r="P407" i="2"/>
  <c r="Q255" i="2"/>
  <c r="P255" i="2"/>
  <c r="Q298" i="2"/>
  <c r="P298" i="2"/>
  <c r="Q67" i="2"/>
  <c r="P67" i="2"/>
  <c r="P108" i="2"/>
  <c r="Q108" i="2"/>
  <c r="Q119" i="2"/>
  <c r="P119" i="2"/>
  <c r="Q199" i="2"/>
  <c r="P199" i="2"/>
  <c r="Q217" i="2"/>
  <c r="P217" i="2"/>
  <c r="P92" i="2"/>
  <c r="Q92" i="2"/>
  <c r="P744" i="2"/>
  <c r="Q744" i="2"/>
  <c r="Q445" i="2"/>
  <c r="P445" i="2"/>
  <c r="P537" i="2"/>
  <c r="Q537" i="2"/>
  <c r="Q229" i="2"/>
  <c r="P229" i="2"/>
  <c r="Q273" i="2"/>
  <c r="P273" i="2"/>
  <c r="P376" i="2"/>
  <c r="Q376" i="2"/>
  <c r="Q253" i="2"/>
  <c r="P253" i="2"/>
  <c r="Q110" i="2"/>
  <c r="P110" i="2"/>
  <c r="Q257" i="2"/>
  <c r="P257" i="2"/>
  <c r="P163" i="2"/>
  <c r="Q163" i="2"/>
  <c r="Q271" i="2"/>
  <c r="P271" i="2"/>
  <c r="P410" i="2"/>
  <c r="Q410" i="2"/>
  <c r="K119" i="2"/>
  <c r="Q121" i="2"/>
  <c r="K127" i="2"/>
  <c r="K141" i="2"/>
  <c r="P162" i="2"/>
  <c r="N180" i="2"/>
  <c r="O190" i="2"/>
  <c r="K190" i="2"/>
  <c r="K231" i="2"/>
  <c r="Q240" i="2"/>
  <c r="N267" i="2"/>
  <c r="M281" i="2"/>
  <c r="N281" i="2" s="1"/>
  <c r="O284" i="2"/>
  <c r="Q284" i="2" s="1"/>
  <c r="O395" i="2"/>
  <c r="P395" i="2" s="1"/>
  <c r="K395" i="2"/>
  <c r="N421" i="2"/>
  <c r="O556" i="2"/>
  <c r="Q556" i="2" s="1"/>
  <c r="K556" i="2"/>
  <c r="P566" i="2"/>
  <c r="Q566" i="2"/>
  <c r="P572" i="2"/>
  <c r="P620" i="2"/>
  <c r="Q627" i="2"/>
  <c r="P627" i="2"/>
  <c r="N654" i="2"/>
  <c r="K658" i="2"/>
  <c r="O658" i="2"/>
  <c r="P658" i="2" s="1"/>
  <c r="Q717" i="2"/>
  <c r="P717" i="2"/>
  <c r="M720" i="2"/>
  <c r="N720" i="2" s="1"/>
  <c r="K744" i="2"/>
  <c r="K761" i="2"/>
  <c r="O761" i="2"/>
  <c r="Q761" i="2" s="1"/>
  <c r="K817" i="2"/>
  <c r="O817" i="2"/>
  <c r="Q879" i="2"/>
  <c r="M946" i="2"/>
  <c r="N946" i="2" s="1"/>
  <c r="O64" i="2"/>
  <c r="Q64" i="2" s="1"/>
  <c r="K64" i="2"/>
  <c r="K83" i="2"/>
  <c r="K89" i="2"/>
  <c r="K138" i="2"/>
  <c r="K168" i="2"/>
  <c r="O168" i="2"/>
  <c r="Q228" i="2"/>
  <c r="K252" i="2"/>
  <c r="O261" i="2"/>
  <c r="P261" i="2" s="1"/>
  <c r="K261" i="2"/>
  <c r="P307" i="2"/>
  <c r="Q320" i="2"/>
  <c r="P320" i="2"/>
  <c r="K347" i="2"/>
  <c r="Q431" i="2"/>
  <c r="K474" i="2"/>
  <c r="P513" i="2"/>
  <c r="K516" i="2"/>
  <c r="O519" i="2"/>
  <c r="P519" i="2" s="1"/>
  <c r="K519" i="2"/>
  <c r="Q569" i="2"/>
  <c r="P569" i="2"/>
  <c r="K624" i="2"/>
  <c r="N692" i="2"/>
  <c r="N744" i="2"/>
  <c r="Q765" i="2"/>
  <c r="P765" i="2"/>
  <c r="N876" i="2"/>
  <c r="K928" i="2"/>
  <c r="P63" i="2"/>
  <c r="K362" i="2"/>
  <c r="P703" i="2"/>
  <c r="Q703" i="2"/>
  <c r="O814" i="2"/>
  <c r="P859" i="2"/>
  <c r="Q859" i="2"/>
  <c r="K61" i="2"/>
  <c r="L61" i="2" s="1"/>
  <c r="M61" i="2" s="1"/>
  <c r="N61" i="2" s="1"/>
  <c r="O61" i="2"/>
  <c r="Q61" i="2" s="1"/>
  <c r="Q251" i="2"/>
  <c r="P251" i="2"/>
  <c r="Q522" i="2"/>
  <c r="P522" i="2"/>
  <c r="O589" i="2"/>
  <c r="P589" i="2" s="1"/>
  <c r="K589" i="2"/>
  <c r="P723" i="2"/>
  <c r="Q723" i="2"/>
  <c r="K897" i="2"/>
  <c r="O897" i="2"/>
  <c r="Q897" i="2" s="1"/>
  <c r="M121" i="2"/>
  <c r="N121" i="2" s="1"/>
  <c r="P167" i="2"/>
  <c r="M173" i="2"/>
  <c r="N173" i="2" s="1"/>
  <c r="P192" i="2"/>
  <c r="M240" i="2"/>
  <c r="N240" i="2" s="1"/>
  <c r="Q267" i="2"/>
  <c r="P267" i="2"/>
  <c r="O287" i="2"/>
  <c r="Q287" i="2" s="1"/>
  <c r="K287" i="2"/>
  <c r="M326" i="2"/>
  <c r="N326" i="2" s="1"/>
  <c r="N329" i="2"/>
  <c r="O480" i="2"/>
  <c r="Q480" i="2" s="1"/>
  <c r="K480" i="2"/>
  <c r="P518" i="2"/>
  <c r="P529" i="2"/>
  <c r="P632" i="2"/>
  <c r="P720" i="2"/>
  <c r="Q720" i="2"/>
  <c r="Q775" i="2"/>
  <c r="P775" i="2"/>
  <c r="K60" i="2"/>
  <c r="L60" i="2" s="1"/>
  <c r="M60" i="2" s="1"/>
  <c r="N60" i="2" s="1"/>
  <c r="K67" i="2"/>
  <c r="K76" i="2"/>
  <c r="P97" i="2"/>
  <c r="M112" i="2"/>
  <c r="N112" i="2" s="1"/>
  <c r="Q127" i="2"/>
  <c r="P127" i="2"/>
  <c r="Q170" i="2"/>
  <c r="K183" i="2"/>
  <c r="K267" i="2"/>
  <c r="K281" i="2"/>
  <c r="K359" i="2"/>
  <c r="M398" i="2"/>
  <c r="N398" i="2" s="1"/>
  <c r="O640" i="2"/>
  <c r="Q640" i="2" s="1"/>
  <c r="K640" i="2"/>
  <c r="O768" i="2"/>
  <c r="K768" i="2"/>
  <c r="O820" i="2"/>
  <c r="Q820" i="2" s="1"/>
  <c r="K820" i="2"/>
  <c r="N879" i="2"/>
  <c r="O36" i="2"/>
  <c r="P50" i="2"/>
  <c r="M76" i="2"/>
  <c r="N76" i="2" s="1"/>
  <c r="P94" i="2"/>
  <c r="K147" i="2"/>
  <c r="N257" i="2"/>
  <c r="N284" i="2"/>
  <c r="P300" i="2"/>
  <c r="P329" i="2"/>
  <c r="P474" i="2"/>
  <c r="Q474" i="2"/>
  <c r="O477" i="2"/>
  <c r="Q477" i="2" s="1"/>
  <c r="K477" i="2"/>
  <c r="K510" i="2"/>
  <c r="N513" i="2"/>
  <c r="M572" i="2"/>
  <c r="N572" i="2" s="1"/>
  <c r="Q624" i="2"/>
  <c r="P624" i="2"/>
  <c r="Q644" i="2"/>
  <c r="P644" i="2"/>
  <c r="N723" i="2"/>
  <c r="N757" i="2"/>
  <c r="K905" i="2"/>
  <c r="K946" i="2"/>
  <c r="O95" i="2"/>
  <c r="K95" i="2"/>
  <c r="Q238" i="2"/>
  <c r="P238" i="2"/>
  <c r="P281" i="2"/>
  <c r="O385" i="2"/>
  <c r="P385" i="2" s="1"/>
  <c r="M624" i="2"/>
  <c r="N624" i="2" s="1"/>
  <c r="P429" i="2"/>
  <c r="Q429" i="2"/>
  <c r="M474" i="2"/>
  <c r="N474" i="2" s="1"/>
  <c r="P651" i="2"/>
  <c r="P855" i="2"/>
  <c r="K859" i="2"/>
  <c r="M887" i="2"/>
  <c r="N887" i="2" s="1"/>
  <c r="Q906" i="2"/>
  <c r="P906" i="2"/>
  <c r="Q21" i="2"/>
  <c r="O45" i="2"/>
  <c r="Q45" i="2" s="1"/>
  <c r="N83" i="2"/>
  <c r="M86" i="2"/>
  <c r="N86" i="2" s="1"/>
  <c r="N110" i="2"/>
  <c r="M138" i="2"/>
  <c r="N138" i="2" s="1"/>
  <c r="Q141" i="2"/>
  <c r="N165" i="2"/>
  <c r="K178" i="2"/>
  <c r="P196" i="2"/>
  <c r="K199" i="2"/>
  <c r="K238" i="2"/>
  <c r="K258" i="2"/>
  <c r="O258" i="2"/>
  <c r="Q258" i="2" s="1"/>
  <c r="K275" i="2"/>
  <c r="K382" i="2"/>
  <c r="Q412" i="2"/>
  <c r="K457" i="2"/>
  <c r="O471" i="2"/>
  <c r="Q471" i="2" s="1"/>
  <c r="K471" i="2"/>
  <c r="P516" i="2"/>
  <c r="M546" i="2"/>
  <c r="N546" i="2" s="1"/>
  <c r="K604" i="2"/>
  <c r="O604" i="2"/>
  <c r="P604" i="2" s="1"/>
  <c r="Q606" i="2"/>
  <c r="O614" i="2"/>
  <c r="Q614" i="2" s="1"/>
  <c r="K614" i="2"/>
  <c r="Q645" i="2"/>
  <c r="P645" i="2"/>
  <c r="N699" i="2"/>
  <c r="Q707" i="2"/>
  <c r="P707" i="2"/>
  <c r="O808" i="2"/>
  <c r="K808" i="2"/>
  <c r="K846" i="2"/>
  <c r="Q866" i="2"/>
  <c r="P866" i="2"/>
  <c r="K884" i="2"/>
  <c r="O884" i="2"/>
  <c r="O83" i="2"/>
  <c r="Q83" i="2" s="1"/>
  <c r="Q89" i="2"/>
  <c r="K163" i="2"/>
  <c r="M184" i="2"/>
  <c r="N184" i="2" s="1"/>
  <c r="O206" i="2"/>
  <c r="P206" i="2" s="1"/>
  <c r="K206" i="2"/>
  <c r="Q270" i="2"/>
  <c r="K314" i="2"/>
  <c r="M382" i="2"/>
  <c r="N382" i="2" s="1"/>
  <c r="K429" i="2"/>
  <c r="M641" i="2"/>
  <c r="N641" i="2" s="1"/>
  <c r="M655" i="2"/>
  <c r="N655" i="2" s="1"/>
  <c r="K696" i="2"/>
  <c r="O755" i="2"/>
  <c r="K755" i="2"/>
  <c r="N859" i="2"/>
  <c r="K877" i="2"/>
  <c r="O877" i="2"/>
  <c r="Q877" i="2" s="1"/>
  <c r="Q939" i="2"/>
  <c r="Q955" i="2"/>
  <c r="P955" i="2"/>
  <c r="P54" i="2"/>
  <c r="P80" i="2"/>
  <c r="Q160" i="2"/>
  <c r="M219" i="2"/>
  <c r="N219" i="2" s="1"/>
  <c r="M226" i="2"/>
  <c r="N226" i="2" s="1"/>
  <c r="K229" i="2"/>
  <c r="Q232" i="2"/>
  <c r="P232" i="2"/>
  <c r="M275" i="2"/>
  <c r="N275" i="2" s="1"/>
  <c r="O348" i="2"/>
  <c r="K348" i="2"/>
  <c r="P382" i="2"/>
  <c r="Q400" i="2"/>
  <c r="P400" i="2"/>
  <c r="P426" i="2"/>
  <c r="Q426" i="2"/>
  <c r="M445" i="2"/>
  <c r="N445" i="2" s="1"/>
  <c r="K448" i="2"/>
  <c r="K451" i="2"/>
  <c r="Q457" i="2"/>
  <c r="P487" i="2"/>
  <c r="M490" i="2"/>
  <c r="N490" i="2" s="1"/>
  <c r="K534" i="2"/>
  <c r="K537" i="2"/>
  <c r="P560" i="2"/>
  <c r="Q652" i="2"/>
  <c r="P652" i="2"/>
  <c r="Q711" i="2"/>
  <c r="P711" i="2"/>
  <c r="M748" i="2"/>
  <c r="N748" i="2" s="1"/>
  <c r="P839" i="2"/>
  <c r="P899" i="2"/>
  <c r="Q899" i="2"/>
  <c r="N981" i="2"/>
  <c r="P33" i="2"/>
  <c r="K108" i="2"/>
  <c r="O142" i="2"/>
  <c r="K142" i="2"/>
  <c r="K152" i="2"/>
  <c r="N158" i="2"/>
  <c r="N163" i="2"/>
  <c r="K166" i="2"/>
  <c r="O166" i="2"/>
  <c r="Q178" i="2"/>
  <c r="M181" i="2"/>
  <c r="N181" i="2" s="1"/>
  <c r="K244" i="2"/>
  <c r="K273" i="2"/>
  <c r="O279" i="2"/>
  <c r="K279" i="2"/>
  <c r="O296" i="2"/>
  <c r="K296" i="2"/>
  <c r="M311" i="2"/>
  <c r="N311" i="2" s="1"/>
  <c r="M317" i="2"/>
  <c r="N317" i="2" s="1"/>
  <c r="O379" i="2"/>
  <c r="Q379" i="2" s="1"/>
  <c r="K379" i="2"/>
  <c r="K410" i="2"/>
  <c r="N493" i="2"/>
  <c r="K504" i="2"/>
  <c r="N540" i="2"/>
  <c r="Q543" i="2"/>
  <c r="N557" i="2"/>
  <c r="K601" i="2"/>
  <c r="N604" i="2"/>
  <c r="Q607" i="2"/>
  <c r="P607" i="2"/>
  <c r="O700" i="2"/>
  <c r="K700" i="2"/>
  <c r="K711" i="2"/>
  <c r="K777" i="2"/>
  <c r="K784" i="2"/>
  <c r="K790" i="2"/>
  <c r="K856" i="2"/>
  <c r="M921" i="2"/>
  <c r="N921" i="2" s="1"/>
  <c r="O997" i="2"/>
  <c r="K997" i="2"/>
  <c r="O31" i="2"/>
  <c r="Q31" i="2" s="1"/>
  <c r="K48" i="2"/>
  <c r="L48" i="2" s="1"/>
  <c r="M48" i="2" s="1"/>
  <c r="N48" i="2" s="1"/>
  <c r="O48" i="2"/>
  <c r="P316" i="2"/>
  <c r="K22" i="2"/>
  <c r="L22" i="2" s="1"/>
  <c r="M22" i="2" s="1"/>
  <c r="N22" i="2" s="1"/>
  <c r="K28" i="2"/>
  <c r="L28" i="2" s="1"/>
  <c r="M28" i="2" s="1"/>
  <c r="K139" i="2"/>
  <c r="O139" i="2"/>
  <c r="Q139" i="2" s="1"/>
  <c r="Q197" i="2"/>
  <c r="P197" i="2"/>
  <c r="K232" i="2"/>
  <c r="K253" i="2"/>
  <c r="O308" i="2"/>
  <c r="K376" i="2"/>
  <c r="K400" i="2"/>
  <c r="K442" i="2"/>
  <c r="Q451" i="2"/>
  <c r="Q587" i="2"/>
  <c r="P587" i="2"/>
  <c r="O598" i="2"/>
  <c r="O735" i="2"/>
  <c r="K735" i="2"/>
  <c r="P22" i="2"/>
  <c r="K52" i="2"/>
  <c r="L52" i="2" s="1"/>
  <c r="M52" i="2" s="1"/>
  <c r="N105" i="2"/>
  <c r="M108" i="2"/>
  <c r="N108" i="2" s="1"/>
  <c r="K129" i="2"/>
  <c r="P158" i="2"/>
  <c r="Q161" i="2"/>
  <c r="P161" i="2"/>
  <c r="M244" i="2"/>
  <c r="N244" i="2" s="1"/>
  <c r="P268" i="2"/>
  <c r="M273" i="2"/>
  <c r="N273" i="2" s="1"/>
  <c r="K289" i="2"/>
  <c r="O305" i="2"/>
  <c r="O311" i="2"/>
  <c r="Q311" i="2" s="1"/>
  <c r="M333" i="2"/>
  <c r="N333" i="2" s="1"/>
  <c r="K340" i="2"/>
  <c r="P342" i="2"/>
  <c r="P373" i="2"/>
  <c r="K407" i="2"/>
  <c r="K413" i="2"/>
  <c r="O416" i="2"/>
  <c r="M436" i="2"/>
  <c r="N436" i="2" s="1"/>
  <c r="K439" i="2"/>
  <c r="K479" i="2"/>
  <c r="Q490" i="2"/>
  <c r="Q584" i="2"/>
  <c r="N601" i="2"/>
  <c r="K646" i="2"/>
  <c r="O646" i="2"/>
  <c r="Q646" i="2" s="1"/>
  <c r="K649" i="2"/>
  <c r="M790" i="2"/>
  <c r="N790" i="2" s="1"/>
  <c r="P19" i="2"/>
  <c r="Q19" i="2"/>
  <c r="K70" i="2"/>
  <c r="Q327" i="2"/>
  <c r="P327" i="2"/>
  <c r="M80" i="2"/>
  <c r="N80" i="2" s="1"/>
  <c r="K202" i="2"/>
  <c r="P81" i="2"/>
  <c r="Q81" i="2"/>
  <c r="K136" i="2"/>
  <c r="O136" i="2"/>
  <c r="O152" i="2"/>
  <c r="Q152" i="2" s="1"/>
  <c r="K156" i="2"/>
  <c r="O179" i="2"/>
  <c r="K179" i="2"/>
  <c r="K217" i="2"/>
  <c r="Q262" i="2"/>
  <c r="K271" i="2"/>
  <c r="K286" i="2"/>
  <c r="O293" i="2"/>
  <c r="P293" i="2" s="1"/>
  <c r="K293" i="2"/>
  <c r="P442" i="2"/>
  <c r="O494" i="2"/>
  <c r="P494" i="2" s="1"/>
  <c r="K494" i="2"/>
  <c r="Q501" i="2"/>
  <c r="P501" i="2"/>
  <c r="P601" i="2"/>
  <c r="Q638" i="2"/>
  <c r="P638" i="2"/>
  <c r="K690" i="2"/>
  <c r="K732" i="2"/>
  <c r="O784" i="2"/>
  <c r="O847" i="2"/>
  <c r="Q847" i="2" s="1"/>
  <c r="K847" i="2"/>
  <c r="P915" i="2"/>
  <c r="Q915" i="2"/>
  <c r="O975" i="2"/>
  <c r="Q975" i="2" s="1"/>
  <c r="K975" i="2"/>
  <c r="K215" i="2"/>
  <c r="M89" i="2"/>
  <c r="N89" i="2" s="1"/>
  <c r="P235" i="2"/>
  <c r="Q235" i="2"/>
  <c r="O1000" i="2"/>
  <c r="P1000" i="2" s="1"/>
  <c r="K1000" i="2"/>
  <c r="Q59" i="2"/>
  <c r="P59" i="2"/>
  <c r="N75" i="2"/>
  <c r="K161" i="2"/>
  <c r="P172" i="2"/>
  <c r="O276" i="2"/>
  <c r="K276" i="2"/>
  <c r="P328" i="2"/>
  <c r="K535" i="2"/>
  <c r="O535" i="2"/>
  <c r="Q558" i="2"/>
  <c r="P558" i="2"/>
  <c r="K578" i="2"/>
  <c r="N770" i="2"/>
  <c r="Q926" i="2"/>
  <c r="P926" i="2"/>
  <c r="Q986" i="2"/>
  <c r="P986" i="2"/>
  <c r="K187" i="2"/>
  <c r="O29" i="2"/>
  <c r="Q29" i="2" s="1"/>
  <c r="K29" i="2"/>
  <c r="L29" i="2" s="1"/>
  <c r="M29" i="2" s="1"/>
  <c r="N29" i="2" s="1"/>
  <c r="Q55" i="2"/>
  <c r="P55" i="2"/>
  <c r="Q380" i="2"/>
  <c r="P380" i="2"/>
  <c r="Q532" i="2"/>
  <c r="P532" i="2"/>
  <c r="O538" i="2"/>
  <c r="Q538" i="2" s="1"/>
  <c r="K538" i="2"/>
  <c r="P585" i="2"/>
  <c r="Q585" i="2"/>
  <c r="Q592" i="2"/>
  <c r="P592" i="2"/>
  <c r="Q739" i="2"/>
  <c r="P739" i="2"/>
  <c r="P35" i="2"/>
  <c r="Q35" i="2"/>
  <c r="P52" i="2"/>
  <c r="Q75" i="2"/>
  <c r="P103" i="2"/>
  <c r="Q103" i="2"/>
  <c r="M126" i="2"/>
  <c r="N126" i="2" s="1"/>
  <c r="M136" i="2"/>
  <c r="N136" i="2" s="1"/>
  <c r="P156" i="2"/>
  <c r="Q159" i="2"/>
  <c r="P159" i="2"/>
  <c r="M250" i="2"/>
  <c r="N250" i="2" s="1"/>
  <c r="P266" i="2"/>
  <c r="M331" i="2"/>
  <c r="N331" i="2" s="1"/>
  <c r="P340" i="2"/>
  <c r="P343" i="2"/>
  <c r="Q343" i="2"/>
  <c r="P483" i="2"/>
  <c r="Q483" i="2"/>
  <c r="Q667" i="2"/>
  <c r="P667" i="2"/>
  <c r="K684" i="2"/>
  <c r="O684" i="2"/>
  <c r="P837" i="2"/>
  <c r="Q837" i="2"/>
  <c r="K15" i="2"/>
  <c r="L15" i="2" s="1"/>
  <c r="M15" i="2" s="1"/>
  <c r="K327" i="2"/>
  <c r="K19" i="2"/>
  <c r="L19" i="2" s="1"/>
  <c r="O24" i="2"/>
  <c r="Q24" i="2" s="1"/>
  <c r="K24" i="2"/>
  <c r="L24" i="2" s="1"/>
  <c r="M24" i="2" s="1"/>
  <c r="N24" i="2" s="1"/>
  <c r="K94" i="2"/>
  <c r="K121" i="2"/>
  <c r="K143" i="2"/>
  <c r="K153" i="2"/>
  <c r="N220" i="2"/>
  <c r="Q227" i="2"/>
  <c r="P227" i="2"/>
  <c r="M297" i="2"/>
  <c r="N297" i="2" s="1"/>
  <c r="N337" i="2"/>
  <c r="K343" i="2"/>
  <c r="K394" i="2"/>
  <c r="K401" i="2"/>
  <c r="Q404" i="2"/>
  <c r="P488" i="2"/>
  <c r="K532" i="2"/>
  <c r="N578" i="2"/>
  <c r="Q596" i="2"/>
  <c r="P596" i="2"/>
  <c r="K612" i="2"/>
  <c r="O612" i="2"/>
  <c r="Q612" i="2" s="1"/>
  <c r="K667" i="2"/>
  <c r="N677" i="2"/>
  <c r="N719" i="2"/>
  <c r="M774" i="2"/>
  <c r="N774" i="2" s="1"/>
  <c r="P819" i="2"/>
  <c r="O823" i="2"/>
  <c r="Q823" i="2" s="1"/>
  <c r="K823" i="2"/>
  <c r="K834" i="2"/>
  <c r="Q908" i="2"/>
  <c r="P908" i="2"/>
  <c r="N915" i="2"/>
  <c r="Q968" i="2"/>
  <c r="P968" i="2"/>
  <c r="Q76" i="2"/>
  <c r="P76" i="2"/>
  <c r="N115" i="2"/>
  <c r="K720" i="2"/>
  <c r="O79" i="2"/>
  <c r="Q79" i="2" s="1"/>
  <c r="K79" i="2"/>
  <c r="O195" i="2"/>
  <c r="Q195" i="2" s="1"/>
  <c r="K195" i="2"/>
  <c r="Q303" i="2"/>
  <c r="P303" i="2"/>
  <c r="P408" i="2"/>
  <c r="Q408" i="2"/>
  <c r="O437" i="2"/>
  <c r="K437" i="2"/>
  <c r="K483" i="2"/>
  <c r="N532" i="2"/>
  <c r="Q575" i="2"/>
  <c r="P575" i="2"/>
  <c r="N667" i="2"/>
  <c r="O912" i="2"/>
  <c r="P912" i="2" s="1"/>
  <c r="K912" i="2"/>
  <c r="K84" i="2"/>
  <c r="K554" i="2"/>
  <c r="P671" i="2"/>
  <c r="M711" i="2"/>
  <c r="N711" i="2" s="1"/>
  <c r="N762" i="2"/>
  <c r="M127" i="2"/>
  <c r="N127" i="2" s="1"/>
  <c r="N209" i="2"/>
  <c r="M215" i="2"/>
  <c r="N215" i="2" s="1"/>
  <c r="M290" i="2"/>
  <c r="N290" i="2" s="1"/>
  <c r="N327" i="2"/>
  <c r="N343" i="2"/>
  <c r="K408" i="2"/>
  <c r="M429" i="2"/>
  <c r="N429" i="2" s="1"/>
  <c r="M437" i="2"/>
  <c r="N437" i="2" s="1"/>
  <c r="M468" i="2"/>
  <c r="N468" i="2" s="1"/>
  <c r="N526" i="2"/>
  <c r="O621" i="2"/>
  <c r="Q621" i="2" s="1"/>
  <c r="K621" i="2"/>
  <c r="N643" i="2"/>
  <c r="O788" i="2"/>
  <c r="P788" i="2" s="1"/>
  <c r="K788" i="2"/>
  <c r="K805" i="2"/>
  <c r="M808" i="2"/>
  <c r="N808" i="2" s="1"/>
  <c r="K968" i="2"/>
  <c r="K46" i="2"/>
  <c r="L46" i="2" s="1"/>
  <c r="M46" i="2" s="1"/>
  <c r="K53" i="2"/>
  <c r="L53" i="2" s="1"/>
  <c r="M53" i="2" s="1"/>
  <c r="N53" i="2" s="1"/>
  <c r="K111" i="2"/>
  <c r="K164" i="2"/>
  <c r="N195" i="2"/>
  <c r="N245" i="2"/>
  <c r="K301" i="2"/>
  <c r="K309" i="2"/>
  <c r="K341" i="2"/>
  <c r="K372" i="2"/>
  <c r="K402" i="2"/>
  <c r="K599" i="2"/>
  <c r="Q602" i="2"/>
  <c r="P602" i="2"/>
  <c r="Q647" i="2"/>
  <c r="P647" i="2"/>
  <c r="K718" i="2"/>
  <c r="O718" i="2"/>
  <c r="M727" i="2"/>
  <c r="N727" i="2" s="1"/>
  <c r="Q743" i="2"/>
  <c r="P743" i="2"/>
  <c r="K759" i="2"/>
  <c r="K775" i="2"/>
  <c r="K798" i="2"/>
  <c r="K828" i="2"/>
  <c r="O844" i="2"/>
  <c r="P888" i="2"/>
  <c r="K955" i="2"/>
  <c r="K20" i="2"/>
  <c r="L20" i="2" s="1"/>
  <c r="M20" i="2" s="1"/>
  <c r="N20" i="2" s="1"/>
  <c r="K30" i="2"/>
  <c r="L30" i="2" s="1"/>
  <c r="K59" i="2"/>
  <c r="L59" i="2" s="1"/>
  <c r="M59" i="2" s="1"/>
  <c r="K171" i="2"/>
  <c r="K243" i="2"/>
  <c r="K251" i="2"/>
  <c r="K256" i="2"/>
  <c r="K315" i="2"/>
  <c r="K346" i="2"/>
  <c r="K352" i="2"/>
  <c r="K355" i="2"/>
  <c r="K357" i="2"/>
  <c r="K366" i="2"/>
  <c r="K384" i="2"/>
  <c r="P392" i="2"/>
  <c r="M408" i="2"/>
  <c r="N408" i="2" s="1"/>
  <c r="K414" i="2"/>
  <c r="O414" i="2"/>
  <c r="K530" i="2"/>
  <c r="K548" i="2"/>
  <c r="P586" i="2"/>
  <c r="K596" i="2"/>
  <c r="K608" i="2"/>
  <c r="M621" i="2"/>
  <c r="N621" i="2" s="1"/>
  <c r="K675" i="2"/>
  <c r="O779" i="2"/>
  <c r="Q779" i="2" s="1"/>
  <c r="K779" i="2"/>
  <c r="O835" i="2"/>
  <c r="K835" i="2"/>
  <c r="O878" i="2"/>
  <c r="P878" i="2" s="1"/>
  <c r="K878" i="2"/>
  <c r="N892" i="2"/>
  <c r="N895" i="2"/>
  <c r="K934" i="2"/>
  <c r="K125" i="2"/>
  <c r="K162" i="2"/>
  <c r="O200" i="2"/>
  <c r="K241" i="2"/>
  <c r="K254" i="2"/>
  <c r="O282" i="2"/>
  <c r="K318" i="2"/>
  <c r="P372" i="2"/>
  <c r="K432" i="2"/>
  <c r="O435" i="2"/>
  <c r="K435" i="2"/>
  <c r="O498" i="2"/>
  <c r="K564" i="2"/>
  <c r="M596" i="2"/>
  <c r="N596" i="2" s="1"/>
  <c r="K647" i="2"/>
  <c r="O650" i="2"/>
  <c r="P650" i="2" s="1"/>
  <c r="K650" i="2"/>
  <c r="K666" i="2"/>
  <c r="K715" i="2"/>
  <c r="O715" i="2"/>
  <c r="M718" i="2"/>
  <c r="N718" i="2" s="1"/>
  <c r="K731" i="2"/>
  <c r="K740" i="2"/>
  <c r="K743" i="2"/>
  <c r="Q766" i="2"/>
  <c r="P766" i="2"/>
  <c r="K795" i="2"/>
  <c r="Q832" i="2"/>
  <c r="P832" i="2"/>
  <c r="N861" i="2"/>
  <c r="Q875" i="2"/>
  <c r="P875" i="2"/>
  <c r="M937" i="2"/>
  <c r="N937" i="2" s="1"/>
  <c r="K948" i="2"/>
  <c r="M955" i="2"/>
  <c r="N955" i="2" s="1"/>
  <c r="Q990" i="2"/>
  <c r="P53" i="2"/>
  <c r="O90" i="2"/>
  <c r="Q90" i="2" s="1"/>
  <c r="P301" i="2"/>
  <c r="P341" i="2"/>
  <c r="Q402" i="2"/>
  <c r="O405" i="2"/>
  <c r="Q405" i="2" s="1"/>
  <c r="O478" i="2"/>
  <c r="P478" i="2" s="1"/>
  <c r="K478" i="2"/>
  <c r="Q505" i="2"/>
  <c r="P505" i="2"/>
  <c r="Q517" i="2"/>
  <c r="M520" i="2"/>
  <c r="N520" i="2" s="1"/>
  <c r="Q524" i="2"/>
  <c r="P524" i="2"/>
  <c r="Q533" i="2"/>
  <c r="P533" i="2"/>
  <c r="O561" i="2"/>
  <c r="K584" i="2"/>
  <c r="M608" i="2"/>
  <c r="N608" i="2" s="1"/>
  <c r="M934" i="2"/>
  <c r="N934" i="2" s="1"/>
  <c r="K987" i="2"/>
  <c r="O20" i="2"/>
  <c r="P20" i="2" s="1"/>
  <c r="O6" i="2"/>
  <c r="Q6" i="2" s="1"/>
  <c r="O30" i="2"/>
  <c r="Q30" i="2" s="1"/>
  <c r="K40" i="2"/>
  <c r="L40" i="2" s="1"/>
  <c r="M40" i="2" s="1"/>
  <c r="N40" i="2" s="1"/>
  <c r="K118" i="2"/>
  <c r="O145" i="2"/>
  <c r="N151" i="2"/>
  <c r="K207" i="2"/>
  <c r="K210" i="2"/>
  <c r="M230" i="2"/>
  <c r="N230" i="2" s="1"/>
  <c r="K259" i="2"/>
  <c r="O285" i="2"/>
  <c r="K307" i="2"/>
  <c r="O355" i="2"/>
  <c r="O384" i="2"/>
  <c r="K390" i="2"/>
  <c r="N427" i="2"/>
  <c r="K462" i="2"/>
  <c r="K472" i="2"/>
  <c r="P492" i="2"/>
  <c r="O548" i="2"/>
  <c r="Q548" i="2" s="1"/>
  <c r="Q564" i="2"/>
  <c r="K593" i="2"/>
  <c r="K615" i="2"/>
  <c r="K634" i="2"/>
  <c r="N672" i="2"/>
  <c r="Q679" i="2"/>
  <c r="P679" i="2"/>
  <c r="O712" i="2"/>
  <c r="P712" i="2" s="1"/>
  <c r="K712" i="2"/>
  <c r="K725" i="2"/>
  <c r="P740" i="2"/>
  <c r="M763" i="2"/>
  <c r="N763" i="2" s="1"/>
  <c r="K766" i="2"/>
  <c r="P806" i="2"/>
  <c r="Q806" i="2"/>
  <c r="K832" i="2"/>
  <c r="K927" i="2"/>
  <c r="O934" i="2"/>
  <c r="P934" i="2" s="1"/>
  <c r="O17" i="2"/>
  <c r="K349" i="2"/>
  <c r="K381" i="2"/>
  <c r="Q432" i="2"/>
  <c r="K496" i="2"/>
  <c r="M505" i="2"/>
  <c r="N505" i="2" s="1"/>
  <c r="O520" i="2"/>
  <c r="P520" i="2" s="1"/>
  <c r="K524" i="2"/>
  <c r="O577" i="2"/>
  <c r="Q577" i="2" s="1"/>
  <c r="Q608" i="2"/>
  <c r="P666" i="2"/>
  <c r="O731" i="2"/>
  <c r="Q731" i="2" s="1"/>
  <c r="K868" i="2"/>
  <c r="P51" i="2"/>
  <c r="K75" i="2"/>
  <c r="N82" i="2"/>
  <c r="K96" i="2"/>
  <c r="K112" i="2"/>
  <c r="Q131" i="2"/>
  <c r="Q177" i="2"/>
  <c r="K222" i="2"/>
  <c r="K226" i="2"/>
  <c r="M228" i="2"/>
  <c r="N228" i="2" s="1"/>
  <c r="O254" i="2"/>
  <c r="P254" i="2" s="1"/>
  <c r="P299" i="2"/>
  <c r="M304" i="2"/>
  <c r="N304" i="2" s="1"/>
  <c r="Q363" i="2"/>
  <c r="K375" i="2"/>
  <c r="K393" i="2"/>
  <c r="Q406" i="2"/>
  <c r="P406" i="2"/>
  <c r="K421" i="2"/>
  <c r="N447" i="2"/>
  <c r="O459" i="2"/>
  <c r="K490" i="2"/>
  <c r="K502" i="2"/>
  <c r="K606" i="2"/>
  <c r="K638" i="2"/>
  <c r="K660" i="2"/>
  <c r="M712" i="2"/>
  <c r="N712" i="2" s="1"/>
  <c r="P792" i="2"/>
  <c r="K799" i="2"/>
  <c r="K886" i="2"/>
  <c r="O924" i="2"/>
  <c r="Q924" i="2" s="1"/>
  <c r="P826" i="2"/>
  <c r="Q826" i="2"/>
  <c r="N855" i="2"/>
  <c r="P868" i="2"/>
  <c r="K896" i="2"/>
  <c r="P921" i="2"/>
  <c r="Q921" i="2"/>
  <c r="Q959" i="2"/>
  <c r="P959" i="2"/>
  <c r="K977" i="2"/>
  <c r="O988" i="2"/>
  <c r="Q988" i="2" s="1"/>
  <c r="K988" i="2"/>
  <c r="K812" i="2"/>
  <c r="K292" i="2"/>
  <c r="K310" i="2"/>
  <c r="K321" i="2"/>
  <c r="K505" i="2"/>
  <c r="K726" i="2"/>
  <c r="K806" i="2"/>
  <c r="N812" i="2"/>
  <c r="K854" i="2"/>
  <c r="K959" i="2"/>
  <c r="K403" i="2"/>
  <c r="K406" i="2"/>
  <c r="K428" i="2"/>
  <c r="K446" i="2"/>
  <c r="K679" i="2"/>
  <c r="K691" i="2"/>
  <c r="K741" i="2"/>
  <c r="N743" i="2"/>
  <c r="K838" i="2"/>
  <c r="K866" i="2"/>
  <c r="K872" i="2"/>
  <c r="N881" i="2"/>
  <c r="K904" i="2"/>
  <c r="K966" i="2"/>
  <c r="K995" i="2"/>
  <c r="P661" i="2"/>
  <c r="O726" i="2"/>
  <c r="K764" i="2"/>
  <c r="K797" i="2"/>
  <c r="N863" i="2"/>
  <c r="K885" i="2"/>
  <c r="O937" i="2"/>
  <c r="M414" i="2"/>
  <c r="N414" i="2" s="1"/>
  <c r="N422" i="2"/>
  <c r="M428" i="2"/>
  <c r="N428" i="2" s="1"/>
  <c r="N541" i="2"/>
  <c r="Q559" i="2"/>
  <c r="K588" i="2"/>
  <c r="M602" i="2"/>
  <c r="N602" i="2" s="1"/>
  <c r="K986" i="2"/>
  <c r="M995" i="2"/>
  <c r="N995" i="2" s="1"/>
  <c r="K380" i="2"/>
  <c r="K426" i="2"/>
  <c r="K433" i="2"/>
  <c r="K481" i="2"/>
  <c r="K489" i="2"/>
  <c r="K517" i="2"/>
  <c r="K522" i="2"/>
  <c r="K531" i="2"/>
  <c r="N533" i="2"/>
  <c r="K600" i="2"/>
  <c r="M607" i="2"/>
  <c r="N607" i="2" s="1"/>
  <c r="P609" i="2"/>
  <c r="K639" i="2"/>
  <c r="K656" i="2"/>
  <c r="M741" i="2"/>
  <c r="N741" i="2" s="1"/>
  <c r="K746" i="2"/>
  <c r="K749" i="2"/>
  <c r="K758" i="2"/>
  <c r="K901" i="2"/>
  <c r="K979" i="2"/>
  <c r="O1001" i="2"/>
  <c r="Q1001" i="2" s="1"/>
  <c r="M470" i="2"/>
  <c r="N470" i="2" s="1"/>
  <c r="O503" i="2"/>
  <c r="N512" i="2"/>
  <c r="K553" i="2"/>
  <c r="Q562" i="2"/>
  <c r="P567" i="2"/>
  <c r="N576" i="2"/>
  <c r="M594" i="2"/>
  <c r="N594" i="2" s="1"/>
  <c r="M633" i="2"/>
  <c r="N633" i="2" s="1"/>
  <c r="K636" i="2"/>
  <c r="M710" i="2"/>
  <c r="N710" i="2" s="1"/>
  <c r="N724" i="2"/>
  <c r="N746" i="2"/>
  <c r="M794" i="2"/>
  <c r="N794" i="2" s="1"/>
  <c r="M821" i="2"/>
  <c r="N821" i="2" s="1"/>
  <c r="O885" i="2"/>
  <c r="P885" i="2" s="1"/>
  <c r="P904" i="2"/>
  <c r="P928" i="2"/>
  <c r="K932" i="2"/>
  <c r="K940" i="2"/>
  <c r="M992" i="2"/>
  <c r="N992" i="2" s="1"/>
  <c r="K436" i="2"/>
  <c r="K453" i="2"/>
  <c r="K461" i="2"/>
  <c r="N489" i="2"/>
  <c r="K492" i="2"/>
  <c r="O576" i="2"/>
  <c r="P576" i="2" s="1"/>
  <c r="N656" i="2"/>
  <c r="K659" i="2"/>
  <c r="O665" i="2"/>
  <c r="Q665" i="2" s="1"/>
  <c r="M698" i="2"/>
  <c r="N698" i="2" s="1"/>
  <c r="O724" i="2"/>
  <c r="O741" i="2"/>
  <c r="O764" i="2"/>
  <c r="P764" i="2" s="1"/>
  <c r="K767" i="2"/>
  <c r="O797" i="2"/>
  <c r="Q797" i="2" s="1"/>
  <c r="O804" i="2"/>
  <c r="Q833" i="2"/>
  <c r="O857" i="2"/>
  <c r="Q857" i="2" s="1"/>
  <c r="K864" i="2"/>
  <c r="K869" i="2"/>
  <c r="M901" i="2"/>
  <c r="N901" i="2" s="1"/>
  <c r="Q919" i="2"/>
  <c r="P973" i="2"/>
  <c r="K989" i="2"/>
  <c r="K529" i="2"/>
  <c r="Q636" i="2"/>
  <c r="N662" i="2"/>
  <c r="O698" i="2"/>
  <c r="Q698" i="2" s="1"/>
  <c r="K705" i="2"/>
  <c r="Q749" i="2"/>
  <c r="P813" i="2"/>
  <c r="O824" i="2"/>
  <c r="Q901" i="2"/>
  <c r="N907" i="2"/>
  <c r="O944" i="2"/>
  <c r="Q944" i="2" s="1"/>
  <c r="K960" i="2"/>
  <c r="N976" i="2"/>
  <c r="N983" i="2"/>
  <c r="U48" i="1"/>
  <c r="V48" i="1"/>
  <c r="AO30" i="1"/>
  <c r="L30" i="1"/>
  <c r="L2" i="1"/>
  <c r="AO2" i="1"/>
  <c r="L8" i="1"/>
  <c r="AO8" i="1"/>
  <c r="L26" i="1"/>
  <c r="AO26" i="1"/>
  <c r="L35" i="1"/>
  <c r="AO35" i="1"/>
  <c r="L24" i="1"/>
  <c r="AO24" i="1"/>
  <c r="AO3" i="1"/>
  <c r="L3" i="1"/>
  <c r="L36" i="1"/>
  <c r="AO36" i="1"/>
  <c r="L14" i="1"/>
  <c r="AO14" i="1"/>
  <c r="V18" i="1"/>
  <c r="U18" i="1"/>
  <c r="L29" i="1"/>
  <c r="AO29" i="1"/>
  <c r="L9" i="1"/>
  <c r="AO9" i="1"/>
  <c r="L44" i="1"/>
  <c r="AO44" i="1"/>
  <c r="L42" i="1"/>
  <c r="AO42" i="1"/>
  <c r="Q26" i="2"/>
  <c r="P26" i="2"/>
  <c r="AO10" i="1"/>
  <c r="L10" i="1"/>
  <c r="L22" i="1"/>
  <c r="AO22" i="1"/>
  <c r="L25" i="1"/>
  <c r="AO25" i="1"/>
  <c r="AO34" i="1"/>
  <c r="L34" i="1"/>
  <c r="L4" i="1"/>
  <c r="AO4" i="1"/>
  <c r="AO32" i="1"/>
  <c r="L32" i="1"/>
  <c r="U43" i="1"/>
  <c r="V43" i="1"/>
  <c r="K65" i="2"/>
  <c r="O65" i="2"/>
  <c r="M74" i="2"/>
  <c r="N74" i="2" s="1"/>
  <c r="Q215" i="2"/>
  <c r="P215" i="2"/>
  <c r="U88" i="1"/>
  <c r="V88" i="1"/>
  <c r="X126" i="1"/>
  <c r="V154" i="1"/>
  <c r="U154" i="1"/>
  <c r="M68" i="2"/>
  <c r="N68" i="2" s="1"/>
  <c r="P122" i="2"/>
  <c r="Q122" i="2"/>
  <c r="Q212" i="2"/>
  <c r="P260" i="2"/>
  <c r="P292" i="2"/>
  <c r="Q292" i="2"/>
  <c r="M335" i="2"/>
  <c r="N335" i="2" s="1"/>
  <c r="AM29" i="1"/>
  <c r="AM30" i="1"/>
  <c r="AM40" i="1"/>
  <c r="AM60" i="1"/>
  <c r="AN68" i="1"/>
  <c r="X106" i="1"/>
  <c r="P49" i="2"/>
  <c r="M111" i="2"/>
  <c r="N111" i="2" s="1"/>
  <c r="O130" i="2"/>
  <c r="K130" i="2"/>
  <c r="M451" i="2"/>
  <c r="N451" i="2" s="1"/>
  <c r="M534" i="2"/>
  <c r="N534" i="2" s="1"/>
  <c r="AM13" i="1"/>
  <c r="AN39" i="1"/>
  <c r="AN46" i="1"/>
  <c r="AM59" i="1"/>
  <c r="AN81" i="1"/>
  <c r="AM81" i="1"/>
  <c r="AM120" i="1"/>
  <c r="AN148" i="1"/>
  <c r="AM148" i="1"/>
  <c r="AM176" i="1"/>
  <c r="AM180" i="1"/>
  <c r="O4" i="2"/>
  <c r="K47" i="2"/>
  <c r="L47" i="2" s="1"/>
  <c r="M47" i="2" s="1"/>
  <c r="K57" i="2"/>
  <c r="L57" i="2" s="1"/>
  <c r="M57" i="2" s="1"/>
  <c r="N57" i="2" s="1"/>
  <c r="O57" i="2"/>
  <c r="Q71" i="2"/>
  <c r="P71" i="2"/>
  <c r="M328" i="2"/>
  <c r="N328" i="2" s="1"/>
  <c r="AM28" i="1"/>
  <c r="AO46" i="1"/>
  <c r="L48" i="1"/>
  <c r="X48" i="1" s="1"/>
  <c r="AN51" i="1"/>
  <c r="AQ51" i="1" s="1"/>
  <c r="V87" i="1"/>
  <c r="U87" i="1"/>
  <c r="AN94" i="1"/>
  <c r="AN100" i="1"/>
  <c r="AM100" i="1"/>
  <c r="AM105" i="1"/>
  <c r="AN105" i="1"/>
  <c r="AM119" i="1"/>
  <c r="X124" i="1"/>
  <c r="AM138" i="1"/>
  <c r="V167" i="1"/>
  <c r="U167" i="1"/>
  <c r="AM179" i="1"/>
  <c r="AM190" i="1"/>
  <c r="P9" i="2"/>
  <c r="Q9" i="2"/>
  <c r="K26" i="2"/>
  <c r="L26" i="2" s="1"/>
  <c r="N139" i="2"/>
  <c r="N191" i="2"/>
  <c r="O290" i="2"/>
  <c r="K290" i="2"/>
  <c r="O319" i="2"/>
  <c r="K319" i="2"/>
  <c r="AO13" i="1"/>
  <c r="X13" i="1" s="1"/>
  <c r="AM38" i="1"/>
  <c r="U75" i="1"/>
  <c r="V75" i="1"/>
  <c r="AN125" i="1"/>
  <c r="X147" i="1"/>
  <c r="U148" i="1"/>
  <c r="V148" i="1"/>
  <c r="X167" i="1"/>
  <c r="AN186" i="1"/>
  <c r="AM186" i="1"/>
  <c r="P47" i="2"/>
  <c r="P82" i="2"/>
  <c r="Q82" i="2"/>
  <c r="V179" i="1"/>
  <c r="U179" i="1"/>
  <c r="V129" i="1"/>
  <c r="U129" i="1"/>
  <c r="AN55" i="1"/>
  <c r="U106" i="1"/>
  <c r="W106" i="1" s="1"/>
  <c r="AM108" i="1"/>
  <c r="V113" i="1"/>
  <c r="W113" i="1" s="1"/>
  <c r="U126" i="1"/>
  <c r="W126" i="1" s="1"/>
  <c r="AN127" i="1"/>
  <c r="AM127" i="1"/>
  <c r="V132" i="1"/>
  <c r="W132" i="1" s="1"/>
  <c r="X139" i="1"/>
  <c r="V147" i="1"/>
  <c r="U147" i="1"/>
  <c r="AN169" i="1"/>
  <c r="AM169" i="1"/>
  <c r="V175" i="1"/>
  <c r="U175" i="1"/>
  <c r="Q15" i="2"/>
  <c r="P15" i="2"/>
  <c r="O155" i="2"/>
  <c r="K155" i="2"/>
  <c r="N171" i="2"/>
  <c r="P173" i="2"/>
  <c r="M187" i="2"/>
  <c r="N187" i="2" s="1"/>
  <c r="N249" i="2"/>
  <c r="M306" i="2"/>
  <c r="N306" i="2" s="1"/>
  <c r="Q582" i="2"/>
  <c r="P588" i="2"/>
  <c r="Q588" i="2"/>
  <c r="AN95" i="1"/>
  <c r="AM95" i="1"/>
  <c r="L18" i="1"/>
  <c r="X18" i="1" s="1"/>
  <c r="AN25" i="1"/>
  <c r="V86" i="1"/>
  <c r="U86" i="1"/>
  <c r="U122" i="1"/>
  <c r="W122" i="1" s="1"/>
  <c r="Q386" i="2"/>
  <c r="P386" i="2"/>
  <c r="Q812" i="2"/>
  <c r="P812" i="2"/>
  <c r="O985" i="2"/>
  <c r="K985" i="2"/>
  <c r="AM3" i="1"/>
  <c r="AN9" i="1"/>
  <c r="O2" i="2"/>
  <c r="K2" i="2"/>
  <c r="L2" i="2" s="1"/>
  <c r="M137" i="2"/>
  <c r="N137" i="2" s="1"/>
  <c r="M239" i="2"/>
  <c r="N239" i="2" s="1"/>
  <c r="AM22" i="1"/>
  <c r="AN23" i="1"/>
  <c r="V139" i="1"/>
  <c r="W139" i="1" s="1"/>
  <c r="X187" i="1"/>
  <c r="K12" i="2"/>
  <c r="L12" i="2" s="1"/>
  <c r="AO51" i="1"/>
  <c r="P226" i="2"/>
  <c r="O350" i="2"/>
  <c r="M528" i="2"/>
  <c r="N528" i="2" s="1"/>
  <c r="AN79" i="1"/>
  <c r="AQ79" i="1" s="1"/>
  <c r="AM79" i="1"/>
  <c r="P88" i="2"/>
  <c r="Q88" i="2"/>
  <c r="M279" i="2"/>
  <c r="N279" i="2" s="1"/>
  <c r="Q369" i="2"/>
  <c r="P369" i="2"/>
  <c r="O137" i="2"/>
  <c r="K137" i="2"/>
  <c r="M552" i="2"/>
  <c r="N552" i="2" s="1"/>
  <c r="AM4" i="1"/>
  <c r="V178" i="1"/>
  <c r="U178" i="1"/>
  <c r="AM43" i="1"/>
  <c r="V95" i="1"/>
  <c r="W95" i="1" s="1"/>
  <c r="AM97" i="1"/>
  <c r="AO23" i="1"/>
  <c r="AM34" i="1"/>
  <c r="X82" i="1"/>
  <c r="AM21" i="1"/>
  <c r="AM48" i="1"/>
  <c r="AN84" i="1"/>
  <c r="V97" i="1"/>
  <c r="U97" i="1"/>
  <c r="AN103" i="1"/>
  <c r="U131" i="1"/>
  <c r="W131" i="1" s="1"/>
  <c r="X154" i="1"/>
  <c r="AN185" i="1"/>
  <c r="AM195" i="1"/>
  <c r="O16" i="2"/>
  <c r="K16" i="2"/>
  <c r="L16" i="2" s="1"/>
  <c r="M67" i="2"/>
  <c r="N67" i="2" s="1"/>
  <c r="P171" i="2"/>
  <c r="M345" i="2"/>
  <c r="N345" i="2" s="1"/>
  <c r="M522" i="2"/>
  <c r="N522" i="2" s="1"/>
  <c r="O570" i="2"/>
  <c r="K570" i="2"/>
  <c r="K91" i="2"/>
  <c r="O91" i="2"/>
  <c r="L17" i="1"/>
  <c r="X17" i="1" s="1"/>
  <c r="AN50" i="1"/>
  <c r="AM50" i="1"/>
  <c r="M261" i="2"/>
  <c r="N261" i="2" s="1"/>
  <c r="U17" i="1"/>
  <c r="W17" i="1" s="1"/>
  <c r="X186" i="1"/>
  <c r="P430" i="2"/>
  <c r="Q430" i="2"/>
  <c r="AM56" i="1"/>
  <c r="AN66" i="1"/>
  <c r="AM85" i="1"/>
  <c r="AM98" i="1"/>
  <c r="AM128" i="1"/>
  <c r="AN170" i="1"/>
  <c r="AM170" i="1"/>
  <c r="P256" i="2"/>
  <c r="Q256" i="2"/>
  <c r="O991" i="2"/>
  <c r="K991" i="2"/>
  <c r="AN78" i="1"/>
  <c r="AQ78" i="1" s="1"/>
  <c r="AM78" i="1"/>
  <c r="V117" i="1"/>
  <c r="U117" i="1"/>
  <c r="AN124" i="1"/>
  <c r="AN147" i="1"/>
  <c r="AM147" i="1"/>
  <c r="AN8" i="1"/>
  <c r="AN35" i="1"/>
  <c r="N128" i="2"/>
  <c r="AM107" i="1"/>
  <c r="AM115" i="1"/>
  <c r="AN123" i="1"/>
  <c r="AM134" i="1"/>
  <c r="V185" i="1"/>
  <c r="U185" i="1"/>
  <c r="K7" i="2"/>
  <c r="L7" i="2" s="1"/>
  <c r="O7" i="2"/>
  <c r="M169" i="2"/>
  <c r="N169" i="2" s="1"/>
  <c r="M299" i="2"/>
  <c r="N299" i="2" s="1"/>
  <c r="M309" i="2"/>
  <c r="N309" i="2" s="1"/>
  <c r="Q345" i="2"/>
  <c r="P345" i="2"/>
  <c r="M378" i="2"/>
  <c r="N378" i="2" s="1"/>
  <c r="O506" i="2"/>
  <c r="K506" i="2"/>
  <c r="Q682" i="2"/>
  <c r="P682" i="2"/>
  <c r="AN101" i="1"/>
  <c r="AM101" i="1"/>
  <c r="V186" i="1"/>
  <c r="U186" i="1"/>
  <c r="O417" i="2"/>
  <c r="K417" i="2"/>
  <c r="AN36" i="1"/>
  <c r="AN189" i="1"/>
  <c r="AM166" i="1"/>
  <c r="Q120" i="2"/>
  <c r="M669" i="2"/>
  <c r="N669" i="2" s="1"/>
  <c r="AM5" i="1"/>
  <c r="AM6" i="1"/>
  <c r="AM73" i="1"/>
  <c r="U82" i="1"/>
  <c r="W82" i="1" s="1"/>
  <c r="AN91" i="1"/>
  <c r="AM91" i="1"/>
  <c r="AM135" i="1"/>
  <c r="AN151" i="1"/>
  <c r="AM151" i="1"/>
  <c r="V77" i="1"/>
  <c r="U77" i="1"/>
  <c r="V163" i="1"/>
  <c r="W163" i="1" s="1"/>
  <c r="AN191" i="1"/>
  <c r="AM191" i="1"/>
  <c r="O12" i="2"/>
  <c r="P28" i="2"/>
  <c r="O113" i="2"/>
  <c r="K113" i="2"/>
  <c r="O234" i="2"/>
  <c r="Q453" i="2"/>
  <c r="P453" i="2"/>
  <c r="M88" i="2"/>
  <c r="N88" i="2" s="1"/>
  <c r="M251" i="2"/>
  <c r="N251" i="2" s="1"/>
  <c r="Q357" i="2"/>
  <c r="P357" i="2"/>
  <c r="M369" i="2"/>
  <c r="N369" i="2" s="1"/>
  <c r="O994" i="2"/>
  <c r="K994" i="2"/>
  <c r="X125" i="1"/>
  <c r="AN109" i="1"/>
  <c r="AN178" i="1"/>
  <c r="M585" i="2"/>
  <c r="N585" i="2" s="1"/>
  <c r="AN70" i="1"/>
  <c r="AM70" i="1"/>
  <c r="X86" i="1"/>
  <c r="V99" i="1"/>
  <c r="W99" i="1" s="1"/>
  <c r="X123" i="1"/>
  <c r="U125" i="1"/>
  <c r="W125" i="1" s="1"/>
  <c r="AN133" i="1"/>
  <c r="AM133" i="1"/>
  <c r="O218" i="2"/>
  <c r="K218" i="2"/>
  <c r="M283" i="2"/>
  <c r="N283" i="2" s="1"/>
  <c r="Q447" i="2"/>
  <c r="P447" i="2"/>
  <c r="V187" i="1"/>
  <c r="U187" i="1"/>
  <c r="K86" i="2"/>
  <c r="O86" i="2"/>
  <c r="P118" i="2"/>
  <c r="Q118" i="2"/>
  <c r="Q544" i="2"/>
  <c r="P544" i="2"/>
  <c r="M582" i="2"/>
  <c r="N582" i="2" s="1"/>
  <c r="AN49" i="1"/>
  <c r="L47" i="1"/>
  <c r="AO47" i="1"/>
  <c r="AM47" i="1"/>
  <c r="X163" i="1"/>
  <c r="AN164" i="1"/>
  <c r="AM164" i="1"/>
  <c r="AN174" i="1"/>
  <c r="V177" i="1"/>
  <c r="U177" i="1"/>
  <c r="O8" i="2"/>
  <c r="K8" i="2"/>
  <c r="L8" i="2" s="1"/>
  <c r="M146" i="2"/>
  <c r="N146" i="2" s="1"/>
  <c r="M167" i="2"/>
  <c r="N167" i="2" s="1"/>
  <c r="M227" i="2"/>
  <c r="N227" i="2" s="1"/>
  <c r="M506" i="2"/>
  <c r="N506" i="2" s="1"/>
  <c r="P550" i="2"/>
  <c r="Q550" i="2"/>
  <c r="U183" i="1"/>
  <c r="V183" i="1"/>
  <c r="O871" i="2"/>
  <c r="K871" i="2"/>
  <c r="AN117" i="1"/>
  <c r="AM117" i="1"/>
  <c r="M131" i="2"/>
  <c r="N131" i="2" s="1"/>
  <c r="N189" i="2"/>
  <c r="AM24" i="1"/>
  <c r="O635" i="2"/>
  <c r="K635" i="2"/>
  <c r="U45" i="1"/>
  <c r="W45" i="1" s="1"/>
  <c r="AN18" i="1"/>
  <c r="AM89" i="1"/>
  <c r="V93" i="1"/>
  <c r="W93" i="1" s="1"/>
  <c r="X99" i="1"/>
  <c r="AN76" i="1"/>
  <c r="AQ76" i="1" s="1"/>
  <c r="AN121" i="1"/>
  <c r="AM121" i="1"/>
  <c r="X129" i="1"/>
  <c r="X183" i="1"/>
  <c r="M113" i="2"/>
  <c r="N113" i="2" s="1"/>
  <c r="M203" i="2"/>
  <c r="N203" i="2" s="1"/>
  <c r="O224" i="2"/>
  <c r="M260" i="2"/>
  <c r="N260" i="2" s="1"/>
  <c r="O278" i="2"/>
  <c r="K278" i="2"/>
  <c r="Q456" i="2"/>
  <c r="P456" i="2"/>
  <c r="AN150" i="1"/>
  <c r="AM150" i="1"/>
  <c r="X182" i="1"/>
  <c r="V182" i="1"/>
  <c r="U182" i="1"/>
  <c r="K32" i="2"/>
  <c r="L32" i="2" s="1"/>
  <c r="O32" i="2"/>
  <c r="O116" i="2"/>
  <c r="K116" i="2"/>
  <c r="O181" i="2"/>
  <c r="K181" i="2"/>
  <c r="K189" i="2"/>
  <c r="O189" i="2"/>
  <c r="M233" i="2"/>
  <c r="N233" i="2" s="1"/>
  <c r="M236" i="2"/>
  <c r="N236" i="2" s="1"/>
  <c r="Q243" i="2"/>
  <c r="P243" i="2"/>
  <c r="M347" i="2"/>
  <c r="N347" i="2" s="1"/>
  <c r="O383" i="2"/>
  <c r="K383" i="2"/>
  <c r="Q434" i="2"/>
  <c r="P434" i="2"/>
  <c r="M618" i="2"/>
  <c r="N618" i="2" s="1"/>
  <c r="O655" i="2"/>
  <c r="K655" i="2"/>
  <c r="AN111" i="1"/>
  <c r="AM111" i="1"/>
  <c r="AN139" i="1"/>
  <c r="AM139" i="1"/>
  <c r="AN165" i="1"/>
  <c r="AM165" i="1"/>
  <c r="AN181" i="1"/>
  <c r="AM181" i="1"/>
  <c r="Q14" i="2"/>
  <c r="P14" i="2"/>
  <c r="K43" i="2"/>
  <c r="L43" i="2" s="1"/>
  <c r="M43" i="2" s="1"/>
  <c r="O62" i="2"/>
  <c r="K62" i="2"/>
  <c r="L62" i="2" s="1"/>
  <c r="M62" i="2" s="1"/>
  <c r="Q78" i="2"/>
  <c r="P78" i="2"/>
  <c r="P125" i="2"/>
  <c r="P143" i="2"/>
  <c r="M152" i="2"/>
  <c r="N152" i="2" s="1"/>
  <c r="O201" i="2"/>
  <c r="K201" i="2"/>
  <c r="Q231" i="2"/>
  <c r="P231" i="2"/>
  <c r="O264" i="2"/>
  <c r="K264" i="2"/>
  <c r="M289" i="2"/>
  <c r="N289" i="2" s="1"/>
  <c r="M350" i="2"/>
  <c r="N350" i="2" s="1"/>
  <c r="N599" i="2"/>
  <c r="Q187" i="2"/>
  <c r="P187" i="2"/>
  <c r="Q425" i="2"/>
  <c r="P425" i="2"/>
  <c r="O443" i="2"/>
  <c r="K443" i="2"/>
  <c r="Q539" i="2"/>
  <c r="P539" i="2"/>
  <c r="M560" i="2"/>
  <c r="N560" i="2" s="1"/>
  <c r="O622" i="2"/>
  <c r="K622" i="2"/>
  <c r="AN71" i="1"/>
  <c r="AM71" i="1"/>
  <c r="X179" i="1"/>
  <c r="K5" i="2"/>
  <c r="L5" i="2" s="1"/>
  <c r="O5" i="2"/>
  <c r="K9" i="2"/>
  <c r="L9" i="2" s="1"/>
  <c r="O37" i="2"/>
  <c r="K37" i="2"/>
  <c r="L37" i="2" s="1"/>
  <c r="Q43" i="2"/>
  <c r="Q66" i="2"/>
  <c r="P66" i="2"/>
  <c r="N71" i="2"/>
  <c r="Q84" i="2"/>
  <c r="P84" i="2"/>
  <c r="O101" i="2"/>
  <c r="K101" i="2"/>
  <c r="Q182" i="2"/>
  <c r="P182" i="2"/>
  <c r="Q202" i="2"/>
  <c r="P202" i="2"/>
  <c r="K208" i="2"/>
  <c r="K213" i="2"/>
  <c r="O213" i="2"/>
  <c r="N224" i="2"/>
  <c r="N287" i="2"/>
  <c r="Q332" i="2"/>
  <c r="P332" i="2"/>
  <c r="N341" i="2"/>
  <c r="M384" i="2"/>
  <c r="N384" i="2" s="1"/>
  <c r="O440" i="2"/>
  <c r="K440" i="2"/>
  <c r="M688" i="2"/>
  <c r="N688" i="2" s="1"/>
  <c r="Q757" i="2"/>
  <c r="P757" i="2"/>
  <c r="M101" i="2"/>
  <c r="N101" i="2" s="1"/>
  <c r="K109" i="2"/>
  <c r="O109" i="2"/>
  <c r="P132" i="2"/>
  <c r="Q132" i="2"/>
  <c r="K140" i="2"/>
  <c r="O140" i="2"/>
  <c r="M213" i="2"/>
  <c r="N213" i="2" s="1"/>
  <c r="O216" i="2"/>
  <c r="K216" i="2"/>
  <c r="O252" i="2"/>
  <c r="P330" i="2"/>
  <c r="Q330" i="2"/>
  <c r="Q554" i="2"/>
  <c r="P554" i="2"/>
  <c r="O613" i="2"/>
  <c r="K613" i="2"/>
  <c r="K794" i="2"/>
  <c r="O794" i="2"/>
  <c r="AN131" i="1"/>
  <c r="AM131" i="1"/>
  <c r="V176" i="1"/>
  <c r="W176" i="1" s="1"/>
  <c r="X178" i="1"/>
  <c r="X185" i="1"/>
  <c r="O23" i="2"/>
  <c r="K23" i="2"/>
  <c r="L23" i="2" s="1"/>
  <c r="P98" i="2"/>
  <c r="P135" i="2"/>
  <c r="Q135" i="2"/>
  <c r="P150" i="2"/>
  <c r="Q150" i="2"/>
  <c r="M208" i="2"/>
  <c r="N208" i="2" s="1"/>
  <c r="O250" i="2"/>
  <c r="K250" i="2"/>
  <c r="K339" i="2"/>
  <c r="O339" i="2"/>
  <c r="M365" i="2"/>
  <c r="N365" i="2" s="1"/>
  <c r="Q371" i="2"/>
  <c r="P371" i="2"/>
  <c r="Q378" i="2"/>
  <c r="P378" i="2"/>
  <c r="Q398" i="2"/>
  <c r="P398" i="2"/>
  <c r="O473" i="2"/>
  <c r="K473" i="2"/>
  <c r="P673" i="2"/>
  <c r="Q673" i="2"/>
  <c r="X156" i="1"/>
  <c r="AN159" i="1"/>
  <c r="AM159" i="1"/>
  <c r="V197" i="1"/>
  <c r="U197" i="1"/>
  <c r="Q38" i="2"/>
  <c r="P41" i="2"/>
  <c r="P96" i="2"/>
  <c r="N109" i="2"/>
  <c r="N124" i="2"/>
  <c r="K132" i="2"/>
  <c r="O208" i="2"/>
  <c r="M216" i="2"/>
  <c r="N216" i="2" s="1"/>
  <c r="M247" i="2"/>
  <c r="N247" i="2" s="1"/>
  <c r="O277" i="2"/>
  <c r="K277" i="2"/>
  <c r="P359" i="2"/>
  <c r="N362" i="2"/>
  <c r="N478" i="2"/>
  <c r="Q481" i="2"/>
  <c r="P481" i="2"/>
  <c r="V188" i="1"/>
  <c r="U188" i="1"/>
  <c r="Q10" i="2"/>
  <c r="P10" i="2"/>
  <c r="K13" i="2"/>
  <c r="L13" i="2" s="1"/>
  <c r="Q13" i="2"/>
  <c r="P13" i="2"/>
  <c r="O34" i="2"/>
  <c r="P102" i="2"/>
  <c r="Q102" i="2"/>
  <c r="O107" i="2"/>
  <c r="K107" i="2"/>
  <c r="K122" i="2"/>
  <c r="K135" i="2"/>
  <c r="K148" i="2"/>
  <c r="O148" i="2"/>
  <c r="O193" i="2"/>
  <c r="K193" i="2"/>
  <c r="K211" i="2"/>
  <c r="K225" i="2"/>
  <c r="O225" i="2"/>
  <c r="K371" i="2"/>
  <c r="X188" i="1"/>
  <c r="K38" i="2"/>
  <c r="L38" i="2" s="1"/>
  <c r="Q115" i="2"/>
  <c r="P115" i="2"/>
  <c r="O124" i="2"/>
  <c r="M135" i="2"/>
  <c r="N135" i="2" s="1"/>
  <c r="Q203" i="2"/>
  <c r="P203" i="2"/>
  <c r="Q214" i="2"/>
  <c r="P214" i="2"/>
  <c r="K288" i="2"/>
  <c r="O288" i="2"/>
  <c r="P306" i="2"/>
  <c r="Q306" i="2"/>
  <c r="O323" i="2"/>
  <c r="K323" i="2"/>
  <c r="M352" i="2"/>
  <c r="N352" i="2" s="1"/>
  <c r="M371" i="2"/>
  <c r="N371" i="2" s="1"/>
  <c r="AM177" i="1"/>
  <c r="K10" i="2"/>
  <c r="L10" i="2" s="1"/>
  <c r="O56" i="2"/>
  <c r="K56" i="2"/>
  <c r="L56" i="2" s="1"/>
  <c r="M56" i="2" s="1"/>
  <c r="N56" i="2" s="1"/>
  <c r="Q69" i="2"/>
  <c r="M72" i="2"/>
  <c r="N72" i="2" s="1"/>
  <c r="N92" i="2"/>
  <c r="K102" i="2"/>
  <c r="P129" i="2"/>
  <c r="K157" i="2"/>
  <c r="O157" i="2"/>
  <c r="O175" i="2"/>
  <c r="K175" i="2"/>
  <c r="Q326" i="2"/>
  <c r="P530" i="2"/>
  <c r="AN157" i="1"/>
  <c r="AM157" i="1"/>
  <c r="V199" i="1"/>
  <c r="W199" i="1" s="1"/>
  <c r="P38" i="2"/>
  <c r="M102" i="2"/>
  <c r="N102" i="2" s="1"/>
  <c r="N107" i="2"/>
  <c r="K115" i="2"/>
  <c r="N148" i="2"/>
  <c r="O154" i="2"/>
  <c r="M161" i="2"/>
  <c r="N161" i="2" s="1"/>
  <c r="K191" i="2"/>
  <c r="O191" i="2"/>
  <c r="K203" i="2"/>
  <c r="M206" i="2"/>
  <c r="N206" i="2" s="1"/>
  <c r="O209" i="2"/>
  <c r="K209" i="2"/>
  <c r="K214" i="2"/>
  <c r="K306" i="2"/>
  <c r="M349" i="2"/>
  <c r="N349" i="2" s="1"/>
  <c r="P352" i="2"/>
  <c r="N461" i="2"/>
  <c r="K528" i="2"/>
  <c r="O528" i="2"/>
  <c r="O263" i="2"/>
  <c r="K263" i="2"/>
  <c r="Q335" i="2"/>
  <c r="P335" i="2"/>
  <c r="O360" i="2"/>
  <c r="K360" i="2"/>
  <c r="O521" i="2"/>
  <c r="K521" i="2"/>
  <c r="M615" i="2"/>
  <c r="N615" i="2" s="1"/>
  <c r="V107" i="1"/>
  <c r="U107" i="1"/>
  <c r="X146" i="1"/>
  <c r="Q85" i="2"/>
  <c r="P85" i="2"/>
  <c r="N90" i="2"/>
  <c r="N120" i="2"/>
  <c r="K184" i="2"/>
  <c r="O184" i="2"/>
  <c r="M266" i="2"/>
  <c r="N266" i="2" s="1"/>
  <c r="M272" i="2"/>
  <c r="N272" i="2" s="1"/>
  <c r="N292" i="2"/>
  <c r="O304" i="2"/>
  <c r="K304" i="2"/>
  <c r="P314" i="2"/>
  <c r="Q314" i="2"/>
  <c r="K326" i="2"/>
  <c r="O353" i="2"/>
  <c r="K353" i="2"/>
  <c r="K369" i="2"/>
  <c r="K419" i="2"/>
  <c r="O419" i="2"/>
  <c r="K454" i="2"/>
  <c r="O454" i="2"/>
  <c r="O514" i="2"/>
  <c r="K514" i="2"/>
  <c r="O527" i="2"/>
  <c r="K527" i="2"/>
  <c r="Q534" i="2"/>
  <c r="P534" i="2"/>
  <c r="P545" i="2"/>
  <c r="K583" i="2"/>
  <c r="O583" i="2"/>
  <c r="Q615" i="2"/>
  <c r="P615" i="2"/>
  <c r="O965" i="2"/>
  <c r="K965" i="2"/>
  <c r="AN61" i="1"/>
  <c r="AQ61" i="1" s="1"/>
  <c r="AM61" i="1"/>
  <c r="V127" i="1"/>
  <c r="U127" i="1"/>
  <c r="V168" i="1"/>
  <c r="U168" i="1"/>
  <c r="AN171" i="1"/>
  <c r="AM171" i="1"/>
  <c r="Q18" i="2"/>
  <c r="O72" i="2"/>
  <c r="K72" i="2"/>
  <c r="M144" i="2"/>
  <c r="N144" i="2" s="1"/>
  <c r="O336" i="2"/>
  <c r="K336" i="2"/>
  <c r="N390" i="2"/>
  <c r="Q393" i="2"/>
  <c r="P393" i="2"/>
  <c r="M495" i="2"/>
  <c r="N495" i="2" s="1"/>
  <c r="Q685" i="2"/>
  <c r="P685" i="2"/>
  <c r="P688" i="2"/>
  <c r="Q688" i="2"/>
  <c r="M847" i="2"/>
  <c r="N847" i="2" s="1"/>
  <c r="O863" i="2"/>
  <c r="K863" i="2"/>
  <c r="V137" i="1"/>
  <c r="U137" i="1"/>
  <c r="Q100" i="2"/>
  <c r="P100" i="2"/>
  <c r="Q133" i="2"/>
  <c r="P133" i="2"/>
  <c r="K185" i="2"/>
  <c r="O185" i="2"/>
  <c r="N222" i="2"/>
  <c r="M225" i="2"/>
  <c r="N225" i="2" s="1"/>
  <c r="K245" i="2"/>
  <c r="O245" i="2"/>
  <c r="K313" i="2"/>
  <c r="O313" i="2"/>
  <c r="Q324" i="2"/>
  <c r="P324" i="2"/>
  <c r="M377" i="2"/>
  <c r="N377" i="2" s="1"/>
  <c r="N393" i="2"/>
  <c r="Q396" i="2"/>
  <c r="P396" i="2"/>
  <c r="N405" i="2"/>
  <c r="M443" i="2"/>
  <c r="N443" i="2" s="1"/>
  <c r="M509" i="2"/>
  <c r="N509" i="2" s="1"/>
  <c r="O800" i="2"/>
  <c r="K800" i="2"/>
  <c r="AN141" i="1"/>
  <c r="AM141" i="1"/>
  <c r="V158" i="1"/>
  <c r="U158" i="1"/>
  <c r="AN161" i="1"/>
  <c r="AM161" i="1"/>
  <c r="Q39" i="2"/>
  <c r="P39" i="2"/>
  <c r="P70" i="2"/>
  <c r="Q70" i="2"/>
  <c r="M155" i="2"/>
  <c r="N155" i="2" s="1"/>
  <c r="Q247" i="2"/>
  <c r="P247" i="2"/>
  <c r="K265" i="2"/>
  <c r="O265" i="2"/>
  <c r="M380" i="2"/>
  <c r="N380" i="2" s="1"/>
  <c r="O423" i="2"/>
  <c r="K423" i="2"/>
  <c r="Q662" i="2"/>
  <c r="P662" i="2"/>
  <c r="O674" i="2"/>
  <c r="K674" i="2"/>
  <c r="M680" i="2"/>
  <c r="N680" i="2" s="1"/>
  <c r="V157" i="1"/>
  <c r="U157" i="1"/>
  <c r="K3" i="2"/>
  <c r="L3" i="2" s="1"/>
  <c r="O27" i="2"/>
  <c r="K27" i="2"/>
  <c r="L27" i="2" s="1"/>
  <c r="K100" i="2"/>
  <c r="Q111" i="2"/>
  <c r="P111" i="2"/>
  <c r="M130" i="2"/>
  <c r="N130" i="2" s="1"/>
  <c r="K133" i="2"/>
  <c r="N190" i="2"/>
  <c r="N201" i="2"/>
  <c r="N204" i="2"/>
  <c r="Q220" i="2"/>
  <c r="P220" i="2"/>
  <c r="P222" i="2"/>
  <c r="P275" i="2"/>
  <c r="M288" i="2"/>
  <c r="N288" i="2" s="1"/>
  <c r="P310" i="2"/>
  <c r="Q310" i="2"/>
  <c r="M313" i="2"/>
  <c r="N313" i="2" s="1"/>
  <c r="K324" i="2"/>
  <c r="Q375" i="2"/>
  <c r="P375" i="2"/>
  <c r="M383" i="2"/>
  <c r="N383" i="2" s="1"/>
  <c r="M388" i="2"/>
  <c r="N388" i="2" s="1"/>
  <c r="P391" i="2"/>
  <c r="Q391" i="2"/>
  <c r="K396" i="2"/>
  <c r="P415" i="2"/>
  <c r="M426" i="2"/>
  <c r="N426" i="2" s="1"/>
  <c r="Q428" i="2"/>
  <c r="P428" i="2"/>
  <c r="O493" i="2"/>
  <c r="K493" i="2"/>
  <c r="Q657" i="2"/>
  <c r="P657" i="2"/>
  <c r="P21" i="2"/>
  <c r="K33" i="2"/>
  <c r="L33" i="2" s="1"/>
  <c r="K39" i="2"/>
  <c r="L39" i="2" s="1"/>
  <c r="Q128" i="2"/>
  <c r="P128" i="2"/>
  <c r="M265" i="2"/>
  <c r="N265" i="2" s="1"/>
  <c r="M324" i="2"/>
  <c r="N324" i="2" s="1"/>
  <c r="M396" i="2"/>
  <c r="N396" i="2" s="1"/>
  <c r="Q504" i="2"/>
  <c r="P504" i="2"/>
  <c r="N611" i="2"/>
  <c r="K51" i="2"/>
  <c r="L51" i="2" s="1"/>
  <c r="M51" i="2" s="1"/>
  <c r="K63" i="2"/>
  <c r="L63" i="2" s="1"/>
  <c r="M63" i="2" s="1"/>
  <c r="N63" i="2" s="1"/>
  <c r="K78" i="2"/>
  <c r="M100" i="2"/>
  <c r="N100" i="2" s="1"/>
  <c r="N117" i="2"/>
  <c r="N133" i="2"/>
  <c r="M145" i="2"/>
  <c r="N145" i="2" s="1"/>
  <c r="Q147" i="2"/>
  <c r="P147" i="2"/>
  <c r="N150" i="2"/>
  <c r="M199" i="2"/>
  <c r="N199" i="2" s="1"/>
  <c r="P318" i="2"/>
  <c r="Q318" i="2"/>
  <c r="Q362" i="2"/>
  <c r="P362" i="2"/>
  <c r="K365" i="2"/>
  <c r="O365" i="2"/>
  <c r="Q413" i="2"/>
  <c r="P413" i="2"/>
  <c r="Q502" i="2"/>
  <c r="P502" i="2"/>
  <c r="O629" i="2"/>
  <c r="K629" i="2"/>
  <c r="V198" i="1"/>
  <c r="U198" i="1"/>
  <c r="AN201" i="1"/>
  <c r="AM201" i="1"/>
  <c r="O11" i="2"/>
  <c r="O68" i="2"/>
  <c r="K68" i="2"/>
  <c r="K128" i="2"/>
  <c r="N303" i="2"/>
  <c r="K316" i="2"/>
  <c r="M359" i="2"/>
  <c r="N359" i="2" s="1"/>
  <c r="N375" i="2"/>
  <c r="Q381" i="2"/>
  <c r="P381" i="2"/>
  <c r="Q388" i="2"/>
  <c r="O411" i="2"/>
  <c r="K411" i="2"/>
  <c r="Q461" i="2"/>
  <c r="P461" i="2"/>
  <c r="M467" i="2"/>
  <c r="N467" i="2" s="1"/>
  <c r="Q486" i="2"/>
  <c r="P486" i="2"/>
  <c r="O499" i="2"/>
  <c r="K499" i="2"/>
  <c r="M593" i="2"/>
  <c r="N593" i="2" s="1"/>
  <c r="Q611" i="2"/>
  <c r="P611" i="2"/>
  <c r="N632" i="2"/>
  <c r="K25" i="2"/>
  <c r="L25" i="2" s="1"/>
  <c r="K58" i="2"/>
  <c r="L58" i="2" s="1"/>
  <c r="M58" i="2" s="1"/>
  <c r="N58" i="2" s="1"/>
  <c r="K114" i="2"/>
  <c r="Q153" i="2"/>
  <c r="P153" i="2"/>
  <c r="P176" i="2"/>
  <c r="Q176" i="2"/>
  <c r="Q274" i="2"/>
  <c r="P274" i="2"/>
  <c r="M293" i="2"/>
  <c r="N293" i="2" s="1"/>
  <c r="M363" i="2"/>
  <c r="N363" i="2" s="1"/>
  <c r="M381" i="2"/>
  <c r="N381" i="2" s="1"/>
  <c r="Q403" i="2"/>
  <c r="P403" i="2"/>
  <c r="N481" i="2"/>
  <c r="O484" i="2"/>
  <c r="K484" i="2"/>
  <c r="Q649" i="2"/>
  <c r="P649" i="2"/>
  <c r="N797" i="2"/>
  <c r="O860" i="2"/>
  <c r="K860" i="2"/>
  <c r="O982" i="2"/>
  <c r="K982" i="2"/>
  <c r="M64" i="2"/>
  <c r="N64" i="2" s="1"/>
  <c r="Q174" i="2"/>
  <c r="P174" i="2"/>
  <c r="Q204" i="2"/>
  <c r="P204" i="2"/>
  <c r="O291" i="2"/>
  <c r="K291" i="2"/>
  <c r="Q334" i="2"/>
  <c r="P334" i="2"/>
  <c r="Q449" i="2"/>
  <c r="P449" i="2"/>
  <c r="O452" i="2"/>
  <c r="K452" i="2"/>
  <c r="Q541" i="2"/>
  <c r="P541" i="2"/>
  <c r="M70" i="2"/>
  <c r="N70" i="2" s="1"/>
  <c r="M93" i="2"/>
  <c r="N93" i="2" s="1"/>
  <c r="M97" i="2"/>
  <c r="N97" i="2" s="1"/>
  <c r="M114" i="2"/>
  <c r="N114" i="2" s="1"/>
  <c r="Q151" i="2"/>
  <c r="P151" i="2"/>
  <c r="M176" i="2"/>
  <c r="N176" i="2" s="1"/>
  <c r="M207" i="2"/>
  <c r="N207" i="2" s="1"/>
  <c r="O223" i="2"/>
  <c r="K223" i="2"/>
  <c r="M232" i="2"/>
  <c r="N232" i="2" s="1"/>
  <c r="O248" i="2"/>
  <c r="K248" i="2"/>
  <c r="M264" i="2"/>
  <c r="N264" i="2" s="1"/>
  <c r="P286" i="2"/>
  <c r="P309" i="2"/>
  <c r="O322" i="2"/>
  <c r="K322" i="2"/>
  <c r="K325" i="2"/>
  <c r="O325" i="2"/>
  <c r="M348" i="2"/>
  <c r="N348" i="2" s="1"/>
  <c r="M376" i="2"/>
  <c r="N376" i="2" s="1"/>
  <c r="N400" i="2"/>
  <c r="M403" i="2"/>
  <c r="N403" i="2" s="1"/>
  <c r="Q433" i="2"/>
  <c r="P433" i="2"/>
  <c r="M502" i="2"/>
  <c r="N502" i="2" s="1"/>
  <c r="M564" i="2"/>
  <c r="N564" i="2" s="1"/>
  <c r="M598" i="2"/>
  <c r="N598" i="2" s="1"/>
  <c r="M613" i="2"/>
  <c r="N613" i="2" s="1"/>
  <c r="O642" i="2"/>
  <c r="K642" i="2"/>
  <c r="P783" i="2"/>
  <c r="O954" i="2"/>
  <c r="K954" i="2"/>
  <c r="K54" i="2"/>
  <c r="L54" i="2" s="1"/>
  <c r="M54" i="2" s="1"/>
  <c r="N62" i="2"/>
  <c r="K81" i="2"/>
  <c r="K87" i="2"/>
  <c r="N95" i="2"/>
  <c r="P144" i="2"/>
  <c r="P146" i="2"/>
  <c r="M153" i="2"/>
  <c r="N153" i="2" s="1"/>
  <c r="K174" i="2"/>
  <c r="N183" i="2"/>
  <c r="M202" i="2"/>
  <c r="N202" i="2" s="1"/>
  <c r="K230" i="2"/>
  <c r="O237" i="2"/>
  <c r="P239" i="2"/>
  <c r="N277" i="2"/>
  <c r="O280" i="2"/>
  <c r="K280" i="2"/>
  <c r="M298" i="2"/>
  <c r="N298" i="2" s="1"/>
  <c r="M319" i="2"/>
  <c r="N319" i="2" s="1"/>
  <c r="K334" i="2"/>
  <c r="K337" i="2"/>
  <c r="P394" i="2"/>
  <c r="Q394" i="2"/>
  <c r="K449" i="2"/>
  <c r="M494" i="2"/>
  <c r="N494" i="2" s="1"/>
  <c r="Q610" i="2"/>
  <c r="M622" i="2"/>
  <c r="N622" i="2" s="1"/>
  <c r="O25" i="2"/>
  <c r="P42" i="2"/>
  <c r="Q42" i="2"/>
  <c r="O58" i="2"/>
  <c r="K77" i="2"/>
  <c r="O77" i="2"/>
  <c r="N87" i="2"/>
  <c r="O114" i="2"/>
  <c r="K151" i="2"/>
  <c r="N172" i="2"/>
  <c r="P183" i="2"/>
  <c r="K205" i="2"/>
  <c r="O205" i="2"/>
  <c r="K212" i="2"/>
  <c r="K235" i="2"/>
  <c r="M312" i="2"/>
  <c r="N312" i="2" s="1"/>
  <c r="O317" i="2"/>
  <c r="K317" i="2"/>
  <c r="O364" i="2"/>
  <c r="K364" i="2"/>
  <c r="M389" i="2"/>
  <c r="N389" i="2" s="1"/>
  <c r="K398" i="2"/>
  <c r="O424" i="2"/>
  <c r="K424" i="2"/>
  <c r="Q441" i="2"/>
  <c r="P441" i="2"/>
  <c r="M449" i="2"/>
  <c r="N449" i="2" s="1"/>
  <c r="Q771" i="2"/>
  <c r="P771" i="2"/>
  <c r="M947" i="2"/>
  <c r="N947" i="2" s="1"/>
  <c r="Q149" i="2"/>
  <c r="P149" i="2"/>
  <c r="O221" i="2"/>
  <c r="K221" i="2"/>
  <c r="M235" i="2"/>
  <c r="N235" i="2" s="1"/>
  <c r="M253" i="2"/>
  <c r="N253" i="2" s="1"/>
  <c r="O409" i="2"/>
  <c r="K409" i="2"/>
  <c r="K434" i="2"/>
  <c r="N590" i="2"/>
  <c r="Q593" i="2"/>
  <c r="P593" i="2"/>
  <c r="M636" i="2"/>
  <c r="N636" i="2" s="1"/>
  <c r="Q807" i="2"/>
  <c r="P807" i="2"/>
  <c r="Q40" i="2"/>
  <c r="P40" i="2"/>
  <c r="K42" i="2"/>
  <c r="L42" i="2" s="1"/>
  <c r="M42" i="2" s="1"/>
  <c r="Q60" i="2"/>
  <c r="N79" i="2"/>
  <c r="Q87" i="2"/>
  <c r="O106" i="2"/>
  <c r="K117" i="2"/>
  <c r="O117" i="2"/>
  <c r="M125" i="2"/>
  <c r="N125" i="2" s="1"/>
  <c r="O138" i="2"/>
  <c r="N192" i="2"/>
  <c r="N196" i="2"/>
  <c r="N205" i="2"/>
  <c r="N212" i="2"/>
  <c r="K330" i="2"/>
  <c r="M364" i="2"/>
  <c r="N364" i="2" s="1"/>
  <c r="Q401" i="2"/>
  <c r="P401" i="2"/>
  <c r="M424" i="2"/>
  <c r="N424" i="2" s="1"/>
  <c r="M460" i="2"/>
  <c r="N460" i="2" s="1"/>
  <c r="O463" i="2"/>
  <c r="N539" i="2"/>
  <c r="Q553" i="2"/>
  <c r="P553" i="2"/>
  <c r="K611" i="2"/>
  <c r="K771" i="2"/>
  <c r="M810" i="2"/>
  <c r="N810" i="2" s="1"/>
  <c r="Q233" i="2"/>
  <c r="P233" i="2"/>
  <c r="N262" i="2"/>
  <c r="N332" i="2"/>
  <c r="Q438" i="2"/>
  <c r="P438" i="2"/>
  <c r="M441" i="2"/>
  <c r="N441" i="2" s="1"/>
  <c r="Q472" i="2"/>
  <c r="P472" i="2"/>
  <c r="Q479" i="2"/>
  <c r="P479" i="2"/>
  <c r="O511" i="2"/>
  <c r="K511" i="2"/>
  <c r="K582" i="2"/>
  <c r="K585" i="2"/>
  <c r="P590" i="2"/>
  <c r="Q590" i="2"/>
  <c r="K643" i="2"/>
  <c r="O643" i="2"/>
  <c r="Q690" i="2"/>
  <c r="O697" i="2"/>
  <c r="K697" i="2"/>
  <c r="K197" i="2"/>
  <c r="O295" i="2"/>
  <c r="K295" i="2"/>
  <c r="Q321" i="2"/>
  <c r="P321" i="2"/>
  <c r="O422" i="2"/>
  <c r="K422" i="2"/>
  <c r="Q509" i="2"/>
  <c r="P509" i="2"/>
  <c r="O512" i="2"/>
  <c r="K512" i="2"/>
  <c r="K616" i="2"/>
  <c r="O616" i="2"/>
  <c r="O845" i="2"/>
  <c r="K845" i="2"/>
  <c r="N104" i="2"/>
  <c r="N132" i="2"/>
  <c r="N178" i="2"/>
  <c r="K240" i="2"/>
  <c r="M391" i="2"/>
  <c r="N391" i="2" s="1"/>
  <c r="N411" i="2"/>
  <c r="N432" i="2"/>
  <c r="K465" i="2"/>
  <c r="O465" i="2"/>
  <c r="Q489" i="2"/>
  <c r="P489" i="2"/>
  <c r="K500" i="2"/>
  <c r="O500" i="2"/>
  <c r="Q525" i="2"/>
  <c r="P525" i="2"/>
  <c r="O664" i="2"/>
  <c r="K664" i="2"/>
  <c r="M898" i="2"/>
  <c r="N898" i="2" s="1"/>
  <c r="K165" i="2"/>
  <c r="O165" i="2"/>
  <c r="M223" i="2"/>
  <c r="N223" i="2" s="1"/>
  <c r="K255" i="2"/>
  <c r="M263" i="2"/>
  <c r="N263" i="2" s="1"/>
  <c r="Q351" i="2"/>
  <c r="P351" i="2"/>
  <c r="K399" i="2"/>
  <c r="O399" i="2"/>
  <c r="N452" i="2"/>
  <c r="Q467" i="2"/>
  <c r="P467" i="2"/>
  <c r="Q475" i="2"/>
  <c r="P475" i="2"/>
  <c r="K541" i="2"/>
  <c r="O597" i="2"/>
  <c r="K597" i="2"/>
  <c r="M631" i="2"/>
  <c r="N631" i="2" s="1"/>
  <c r="M639" i="2"/>
  <c r="N639" i="2" s="1"/>
  <c r="N749" i="2"/>
  <c r="M755" i="2"/>
  <c r="N755" i="2" s="1"/>
  <c r="Q905" i="2"/>
  <c r="P905" i="2"/>
  <c r="O951" i="2"/>
  <c r="K951" i="2"/>
  <c r="O969" i="2"/>
  <c r="K969" i="2"/>
  <c r="K97" i="2"/>
  <c r="K169" i="2"/>
  <c r="N221" i="2"/>
  <c r="N248" i="2"/>
  <c r="K283" i="2"/>
  <c r="Q289" i="2"/>
  <c r="P289" i="2"/>
  <c r="N291" i="2"/>
  <c r="N322" i="2"/>
  <c r="O368" i="2"/>
  <c r="K368" i="2"/>
  <c r="P389" i="2"/>
  <c r="Q389" i="2"/>
  <c r="M407" i="2"/>
  <c r="N407" i="2" s="1"/>
  <c r="M409" i="2"/>
  <c r="N409" i="2" s="1"/>
  <c r="N500" i="2"/>
  <c r="M705" i="2"/>
  <c r="N705" i="2" s="1"/>
  <c r="O708" i="2"/>
  <c r="K708" i="2"/>
  <c r="M761" i="2"/>
  <c r="N761" i="2" s="1"/>
  <c r="M954" i="2"/>
  <c r="N954" i="2" s="1"/>
  <c r="Q259" i="2"/>
  <c r="P259" i="2"/>
  <c r="N276" i="2"/>
  <c r="N423" i="2"/>
  <c r="K495" i="2"/>
  <c r="O495" i="2"/>
  <c r="N592" i="2"/>
  <c r="N597" i="2"/>
  <c r="K618" i="2"/>
  <c r="N626" i="2"/>
  <c r="M650" i="2"/>
  <c r="N650" i="2" s="1"/>
  <c r="K753" i="2"/>
  <c r="O753" i="2"/>
  <c r="M849" i="2"/>
  <c r="N849" i="2" s="1"/>
  <c r="O874" i="2"/>
  <c r="K874" i="2"/>
  <c r="P886" i="2"/>
  <c r="Q895" i="2"/>
  <c r="O929" i="2"/>
  <c r="K929" i="2"/>
  <c r="Q933" i="2"/>
  <c r="P933" i="2"/>
  <c r="P966" i="2"/>
  <c r="K445" i="2"/>
  <c r="Q523" i="2"/>
  <c r="P523" i="2"/>
  <c r="M538" i="2"/>
  <c r="N538" i="2" s="1"/>
  <c r="N584" i="2"/>
  <c r="M589" i="2"/>
  <c r="N589" i="2" s="1"/>
  <c r="Q595" i="2"/>
  <c r="P595" i="2"/>
  <c r="Q687" i="2"/>
  <c r="P687" i="2"/>
  <c r="Q693" i="2"/>
  <c r="P693" i="2"/>
  <c r="P705" i="2"/>
  <c r="O736" i="2"/>
  <c r="K736" i="2"/>
  <c r="O945" i="2"/>
  <c r="K945" i="2"/>
  <c r="M929" i="2"/>
  <c r="N929" i="2" s="1"/>
  <c r="N84" i="2"/>
  <c r="Q246" i="2"/>
  <c r="P246" i="2"/>
  <c r="O283" i="2"/>
  <c r="Q302" i="2"/>
  <c r="P302" i="2"/>
  <c r="O338" i="2"/>
  <c r="Q349" i="2"/>
  <c r="P349" i="2"/>
  <c r="Q358" i="2"/>
  <c r="P358" i="2"/>
  <c r="Q366" i="2"/>
  <c r="P366" i="2"/>
  <c r="Q377" i="2"/>
  <c r="P377" i="2"/>
  <c r="N392" i="2"/>
  <c r="O397" i="2"/>
  <c r="K397" i="2"/>
  <c r="M450" i="2"/>
  <c r="N450" i="2" s="1"/>
  <c r="Q460" i="2"/>
  <c r="P460" i="2"/>
  <c r="P470" i="2"/>
  <c r="Q470" i="2"/>
  <c r="N483" i="2"/>
  <c r="K523" i="2"/>
  <c r="O526" i="2"/>
  <c r="K526" i="2"/>
  <c r="O536" i="2"/>
  <c r="K536" i="2"/>
  <c r="K595" i="2"/>
  <c r="K632" i="2"/>
  <c r="O676" i="2"/>
  <c r="K676" i="2"/>
  <c r="K693" i="2"/>
  <c r="O850" i="2"/>
  <c r="K850" i="2"/>
  <c r="K345" i="2"/>
  <c r="Q508" i="2"/>
  <c r="P508" i="2"/>
  <c r="M523" i="2"/>
  <c r="N523" i="2" s="1"/>
  <c r="K590" i="2"/>
  <c r="Q618" i="2"/>
  <c r="P618" i="2"/>
  <c r="N629" i="2"/>
  <c r="M637" i="2"/>
  <c r="N637" i="2" s="1"/>
  <c r="M648" i="2"/>
  <c r="N648" i="2" s="1"/>
  <c r="M665" i="2"/>
  <c r="N665" i="2" s="1"/>
  <c r="Q865" i="2"/>
  <c r="P865" i="2"/>
  <c r="N440" i="2"/>
  <c r="N472" i="2"/>
  <c r="M508" i="2"/>
  <c r="N508" i="2" s="1"/>
  <c r="K555" i="2"/>
  <c r="O555" i="2"/>
  <c r="K558" i="2"/>
  <c r="K572" i="2"/>
  <c r="Q637" i="2"/>
  <c r="P637" i="2"/>
  <c r="N645" i="2"/>
  <c r="Q482" i="2"/>
  <c r="P482" i="2"/>
  <c r="O542" i="2"/>
  <c r="K542" i="2"/>
  <c r="Q551" i="2"/>
  <c r="P551" i="2"/>
  <c r="M556" i="2"/>
  <c r="N556" i="2" s="1"/>
  <c r="O573" i="2"/>
  <c r="K573" i="2"/>
  <c r="Q617" i="2"/>
  <c r="P617" i="2"/>
  <c r="O630" i="2"/>
  <c r="K630" i="2"/>
  <c r="Q672" i="2"/>
  <c r="P672" i="2"/>
  <c r="Q677" i="2"/>
  <c r="P677" i="2"/>
  <c r="P727" i="2"/>
  <c r="Q727" i="2"/>
  <c r="O747" i="2"/>
  <c r="K747" i="2"/>
  <c r="O894" i="2"/>
  <c r="K894" i="2"/>
  <c r="M278" i="2"/>
  <c r="N278" i="2" s="1"/>
  <c r="M308" i="2"/>
  <c r="N308" i="2" s="1"/>
  <c r="M321" i="2"/>
  <c r="N321" i="2" s="1"/>
  <c r="M336" i="2"/>
  <c r="N336" i="2" s="1"/>
  <c r="P347" i="2"/>
  <c r="M351" i="2"/>
  <c r="N351" i="2" s="1"/>
  <c r="M366" i="2"/>
  <c r="N366" i="2" s="1"/>
  <c r="M379" i="2"/>
  <c r="N379" i="2" s="1"/>
  <c r="M401" i="2"/>
  <c r="N401" i="2" s="1"/>
  <c r="O464" i="2"/>
  <c r="K464" i="2"/>
  <c r="P466" i="2"/>
  <c r="P468" i="2"/>
  <c r="Q491" i="2"/>
  <c r="P491" i="2"/>
  <c r="K515" i="2"/>
  <c r="P546" i="2"/>
  <c r="Q563" i="2"/>
  <c r="M570" i="2"/>
  <c r="N570" i="2" s="1"/>
  <c r="P580" i="2"/>
  <c r="Q591" i="2"/>
  <c r="P591" i="2"/>
  <c r="N609" i="2"/>
  <c r="N625" i="2"/>
  <c r="K644" i="2"/>
  <c r="M646" i="2"/>
  <c r="N646" i="2" s="1"/>
  <c r="N661" i="2"/>
  <c r="P669" i="2"/>
  <c r="O793" i="2"/>
  <c r="K793" i="2"/>
  <c r="M805" i="2"/>
  <c r="N805" i="2" s="1"/>
  <c r="M885" i="2"/>
  <c r="N885" i="2" s="1"/>
  <c r="M252" i="2"/>
  <c r="N252" i="2" s="1"/>
  <c r="N323" i="2"/>
  <c r="K420" i="2"/>
  <c r="M446" i="2"/>
  <c r="N446" i="2" s="1"/>
  <c r="K482" i="2"/>
  <c r="K551" i="2"/>
  <c r="K566" i="2"/>
  <c r="M605" i="2"/>
  <c r="N605" i="2" s="1"/>
  <c r="K617" i="2"/>
  <c r="N620" i="2"/>
  <c r="K641" i="2"/>
  <c r="K672" i="2"/>
  <c r="O704" i="2"/>
  <c r="K704" i="2"/>
  <c r="M725" i="2"/>
  <c r="N725" i="2" s="1"/>
  <c r="M779" i="2"/>
  <c r="N779" i="2" s="1"/>
  <c r="O825" i="2"/>
  <c r="K825" i="2"/>
  <c r="Q909" i="2"/>
  <c r="P909" i="2"/>
  <c r="M912" i="2"/>
  <c r="N912" i="2" s="1"/>
  <c r="O942" i="2"/>
  <c r="K942" i="2"/>
  <c r="N945" i="2"/>
  <c r="O444" i="2"/>
  <c r="K444" i="2"/>
  <c r="Q549" i="2"/>
  <c r="P549" i="2"/>
  <c r="M551" i="2"/>
  <c r="N551" i="2" s="1"/>
  <c r="O803" i="2"/>
  <c r="K803" i="2"/>
  <c r="Q805" i="2"/>
  <c r="P805" i="2"/>
  <c r="O867" i="2"/>
  <c r="K867" i="2"/>
  <c r="Q925" i="2"/>
  <c r="P925" i="2"/>
  <c r="Q979" i="2"/>
  <c r="K386" i="2"/>
  <c r="M416" i="2"/>
  <c r="N416" i="2" s="1"/>
  <c r="K425" i="2"/>
  <c r="P446" i="2"/>
  <c r="P448" i="2"/>
  <c r="N498" i="2"/>
  <c r="Q510" i="2"/>
  <c r="P510" i="2"/>
  <c r="M517" i="2"/>
  <c r="N517" i="2" s="1"/>
  <c r="O540" i="2"/>
  <c r="K540" i="2"/>
  <c r="N568" i="2"/>
  <c r="O578" i="2"/>
  <c r="N586" i="2"/>
  <c r="N591" i="2"/>
  <c r="N603" i="2"/>
  <c r="N617" i="2"/>
  <c r="M644" i="2"/>
  <c r="N644" i="2" s="1"/>
  <c r="Q742" i="2"/>
  <c r="P742" i="2"/>
  <c r="Q790" i="2"/>
  <c r="N814" i="2"/>
  <c r="O876" i="2"/>
  <c r="K876" i="2"/>
  <c r="K909" i="2"/>
  <c r="Q462" i="2"/>
  <c r="P462" i="2"/>
  <c r="Q469" i="2"/>
  <c r="P469" i="2"/>
  <c r="K549" i="2"/>
  <c r="O581" i="2"/>
  <c r="K581" i="2"/>
  <c r="K623" i="2"/>
  <c r="O623" i="2"/>
  <c r="Q639" i="2"/>
  <c r="P639" i="2"/>
  <c r="O670" i="2"/>
  <c r="K670" i="2"/>
  <c r="M695" i="2"/>
  <c r="N695" i="2" s="1"/>
  <c r="Q853" i="2"/>
  <c r="P853" i="2"/>
  <c r="O870" i="2"/>
  <c r="K870" i="2"/>
  <c r="K925" i="2"/>
  <c r="M372" i="2"/>
  <c r="N372" i="2" s="1"/>
  <c r="K404" i="2"/>
  <c r="M406" i="2"/>
  <c r="N406" i="2" s="1"/>
  <c r="M412" i="2"/>
  <c r="N412" i="2" s="1"/>
  <c r="N431" i="2"/>
  <c r="P439" i="2"/>
  <c r="M471" i="2"/>
  <c r="N471" i="2" s="1"/>
  <c r="N480" i="2"/>
  <c r="Q507" i="2"/>
  <c r="N549" i="2"/>
  <c r="M554" i="2"/>
  <c r="N554" i="2" s="1"/>
  <c r="O557" i="2"/>
  <c r="K557" i="2"/>
  <c r="O571" i="2"/>
  <c r="K571" i="2"/>
  <c r="O574" i="2"/>
  <c r="K574" i="2"/>
  <c r="Q599" i="2"/>
  <c r="P599" i="2"/>
  <c r="N659" i="2"/>
  <c r="M681" i="2"/>
  <c r="N681" i="2" s="1"/>
  <c r="O748" i="2"/>
  <c r="K748" i="2"/>
  <c r="M759" i="2"/>
  <c r="N759" i="2" s="1"/>
  <c r="M803" i="2"/>
  <c r="N803" i="2" s="1"/>
  <c r="M867" i="2"/>
  <c r="N867" i="2" s="1"/>
  <c r="P873" i="2"/>
  <c r="O898" i="2"/>
  <c r="K898" i="2"/>
  <c r="O907" i="2"/>
  <c r="K907" i="2"/>
  <c r="Q916" i="2"/>
  <c r="P916" i="2"/>
  <c r="N925" i="2"/>
  <c r="K605" i="2"/>
  <c r="M664" i="2"/>
  <c r="N664" i="2" s="1"/>
  <c r="N690" i="2"/>
  <c r="O774" i="2"/>
  <c r="K774" i="2"/>
  <c r="M783" i="2"/>
  <c r="N783" i="2" s="1"/>
  <c r="O930" i="2"/>
  <c r="K930" i="2"/>
  <c r="M623" i="2"/>
  <c r="N623" i="2" s="1"/>
  <c r="P686" i="2"/>
  <c r="Q686" i="2"/>
  <c r="Q809" i="2"/>
  <c r="P809" i="2"/>
  <c r="Q854" i="2"/>
  <c r="P854" i="2"/>
  <c r="O902" i="2"/>
  <c r="K902" i="2"/>
  <c r="M462" i="2"/>
  <c r="N462" i="2" s="1"/>
  <c r="M482" i="2"/>
  <c r="N482" i="2" s="1"/>
  <c r="M497" i="2"/>
  <c r="N497" i="2" s="1"/>
  <c r="N553" i="2"/>
  <c r="K565" i="2"/>
  <c r="N583" i="2"/>
  <c r="N616" i="2"/>
  <c r="M630" i="2"/>
  <c r="N630" i="2" s="1"/>
  <c r="M642" i="2"/>
  <c r="N642" i="2" s="1"/>
  <c r="P713" i="2"/>
  <c r="M732" i="2"/>
  <c r="N732" i="2" s="1"/>
  <c r="N836" i="2"/>
  <c r="P881" i="2"/>
  <c r="Q881" i="2"/>
  <c r="O914" i="2"/>
  <c r="K914" i="2"/>
  <c r="O962" i="2"/>
  <c r="K962" i="2"/>
  <c r="O998" i="2"/>
  <c r="K998" i="2"/>
  <c r="K455" i="2"/>
  <c r="K475" i="2"/>
  <c r="K486" i="2"/>
  <c r="K501" i="2"/>
  <c r="K544" i="2"/>
  <c r="K569" i="2"/>
  <c r="K575" i="2"/>
  <c r="K579" i="2"/>
  <c r="Q633" i="2"/>
  <c r="P633" i="2"/>
  <c r="M697" i="2"/>
  <c r="N697" i="2" s="1"/>
  <c r="P706" i="2"/>
  <c r="Q706" i="2"/>
  <c r="Q836" i="2"/>
  <c r="P836" i="2"/>
  <c r="M845" i="2"/>
  <c r="N845" i="2" s="1"/>
  <c r="M977" i="2"/>
  <c r="N977" i="2" s="1"/>
  <c r="Q980" i="2"/>
  <c r="P980" i="2"/>
  <c r="K983" i="2"/>
  <c r="M542" i="2"/>
  <c r="N542" i="2" s="1"/>
  <c r="N565" i="2"/>
  <c r="M571" i="2"/>
  <c r="N571" i="2" s="1"/>
  <c r="M573" i="2"/>
  <c r="N573" i="2" s="1"/>
  <c r="N581" i="2"/>
  <c r="K602" i="2"/>
  <c r="M635" i="2"/>
  <c r="N635" i="2" s="1"/>
  <c r="M750" i="2"/>
  <c r="N750" i="2" s="1"/>
  <c r="K807" i="2"/>
  <c r="M809" i="2"/>
  <c r="N809" i="2" s="1"/>
  <c r="Q828" i="2"/>
  <c r="P828" i="2"/>
  <c r="K881" i="2"/>
  <c r="O619" i="2"/>
  <c r="K619" i="2"/>
  <c r="Q692" i="2"/>
  <c r="P692" i="2"/>
  <c r="K950" i="2"/>
  <c r="O950" i="2"/>
  <c r="O956" i="2"/>
  <c r="K956" i="2"/>
  <c r="Q972" i="2"/>
  <c r="P972" i="2"/>
  <c r="P977" i="2"/>
  <c r="K980" i="2"/>
  <c r="M466" i="2"/>
  <c r="N466" i="2" s="1"/>
  <c r="M503" i="2"/>
  <c r="N503" i="2" s="1"/>
  <c r="M529" i="2"/>
  <c r="N529" i="2" s="1"/>
  <c r="M561" i="2"/>
  <c r="N561" i="2" s="1"/>
  <c r="M577" i="2"/>
  <c r="N577" i="2" s="1"/>
  <c r="O594" i="2"/>
  <c r="K594" i="2"/>
  <c r="M610" i="2"/>
  <c r="N610" i="2" s="1"/>
  <c r="N628" i="2"/>
  <c r="M638" i="2"/>
  <c r="N638" i="2" s="1"/>
  <c r="M651" i="2"/>
  <c r="N651" i="2" s="1"/>
  <c r="O653" i="2"/>
  <c r="M673" i="2"/>
  <c r="N673" i="2" s="1"/>
  <c r="P675" i="2"/>
  <c r="N678" i="2"/>
  <c r="M706" i="2"/>
  <c r="N706" i="2" s="1"/>
  <c r="M738" i="2"/>
  <c r="N738" i="2" s="1"/>
  <c r="O745" i="2"/>
  <c r="Q759" i="2"/>
  <c r="P759" i="2"/>
  <c r="Q834" i="2"/>
  <c r="O843" i="2"/>
  <c r="K843" i="2"/>
  <c r="M878" i="2"/>
  <c r="N878" i="2" s="1"/>
  <c r="M896" i="2"/>
  <c r="N896" i="2" s="1"/>
  <c r="M932" i="2"/>
  <c r="N932" i="2" s="1"/>
  <c r="Q983" i="2"/>
  <c r="N563" i="2"/>
  <c r="P579" i="2"/>
  <c r="K592" i="2"/>
  <c r="N619" i="2"/>
  <c r="K626" i="2"/>
  <c r="K645" i="2"/>
  <c r="Q689" i="2"/>
  <c r="P689" i="2"/>
  <c r="K692" i="2"/>
  <c r="Q695" i="2"/>
  <c r="P695" i="2"/>
  <c r="N709" i="2"/>
  <c r="O730" i="2"/>
  <c r="K730" i="2"/>
  <c r="O776" i="2"/>
  <c r="K776" i="2"/>
  <c r="Q810" i="2"/>
  <c r="P810" i="2"/>
  <c r="Q829" i="2"/>
  <c r="P829" i="2"/>
  <c r="N832" i="2"/>
  <c r="O840" i="2"/>
  <c r="K840" i="2"/>
  <c r="M869" i="2"/>
  <c r="N869" i="2" s="1"/>
  <c r="M956" i="2"/>
  <c r="N956" i="2" s="1"/>
  <c r="K972" i="2"/>
  <c r="N612" i="2"/>
  <c r="K662" i="2"/>
  <c r="K678" i="2"/>
  <c r="O678" i="2"/>
  <c r="M708" i="2"/>
  <c r="N708" i="2" s="1"/>
  <c r="O738" i="2"/>
  <c r="K738" i="2"/>
  <c r="O750" i="2"/>
  <c r="K750" i="2"/>
  <c r="M796" i="2"/>
  <c r="N796" i="2" s="1"/>
  <c r="O862" i="2"/>
  <c r="K862" i="2"/>
  <c r="M909" i="2"/>
  <c r="N909" i="2" s="1"/>
  <c r="O663" i="2"/>
  <c r="K663" i="2"/>
  <c r="O701" i="2"/>
  <c r="K701" i="2"/>
  <c r="O721" i="2"/>
  <c r="K721" i="2"/>
  <c r="O778" i="2"/>
  <c r="K778" i="2"/>
  <c r="Q786" i="2"/>
  <c r="P786" i="2"/>
  <c r="M800" i="2"/>
  <c r="N800" i="2" s="1"/>
  <c r="M829" i="2"/>
  <c r="N829" i="2" s="1"/>
  <c r="Q852" i="2"/>
  <c r="P852" i="2"/>
  <c r="O911" i="2"/>
  <c r="K911" i="2"/>
  <c r="N916" i="2"/>
  <c r="M1001" i="2"/>
  <c r="N1001" i="2" s="1"/>
  <c r="O654" i="2"/>
  <c r="K654" i="2"/>
  <c r="Q660" i="2"/>
  <c r="M686" i="2"/>
  <c r="N686" i="2" s="1"/>
  <c r="O714" i="2"/>
  <c r="K714" i="2"/>
  <c r="M739" i="2"/>
  <c r="N739" i="2" s="1"/>
  <c r="Q754" i="2"/>
  <c r="P754" i="2"/>
  <c r="Q883" i="2"/>
  <c r="P883" i="2"/>
  <c r="M948" i="2"/>
  <c r="N948" i="2" s="1"/>
  <c r="O978" i="2"/>
  <c r="K978" i="2"/>
  <c r="P995" i="2"/>
  <c r="K652" i="2"/>
  <c r="N691" i="2"/>
  <c r="M701" i="2"/>
  <c r="N701" i="2" s="1"/>
  <c r="P709" i="2"/>
  <c r="P716" i="2"/>
  <c r="O729" i="2"/>
  <c r="K729" i="2"/>
  <c r="N736" i="2"/>
  <c r="O773" i="2"/>
  <c r="K773" i="2"/>
  <c r="K852" i="2"/>
  <c r="M877" i="2"/>
  <c r="N877" i="2" s="1"/>
  <c r="M894" i="2"/>
  <c r="N894" i="2" s="1"/>
  <c r="O923" i="2"/>
  <c r="K923" i="2"/>
  <c r="Q943" i="2"/>
  <c r="P943" i="2"/>
  <c r="Q948" i="2"/>
  <c r="P948" i="2"/>
  <c r="M969" i="2"/>
  <c r="N969" i="2" s="1"/>
  <c r="O694" i="2"/>
  <c r="K694" i="2"/>
  <c r="P696" i="2"/>
  <c r="Q699" i="2"/>
  <c r="P699" i="2"/>
  <c r="Q801" i="2"/>
  <c r="P801" i="2"/>
  <c r="Q821" i="2"/>
  <c r="P821" i="2"/>
  <c r="Q827" i="2"/>
  <c r="P827" i="2"/>
  <c r="O830" i="2"/>
  <c r="K830" i="2"/>
  <c r="P846" i="2"/>
  <c r="Q880" i="2"/>
  <c r="P880" i="2"/>
  <c r="K883" i="2"/>
  <c r="N914" i="2"/>
  <c r="Q967" i="2"/>
  <c r="P967" i="2"/>
  <c r="N652" i="2"/>
  <c r="M668" i="2"/>
  <c r="N668" i="2" s="1"/>
  <c r="O691" i="2"/>
  <c r="N729" i="2"/>
  <c r="Q732" i="2"/>
  <c r="P732" i="2"/>
  <c r="O752" i="2"/>
  <c r="K752" i="2"/>
  <c r="P781" i="2"/>
  <c r="M852" i="2"/>
  <c r="N852" i="2" s="1"/>
  <c r="O892" i="2"/>
  <c r="K892" i="2"/>
  <c r="O920" i="2"/>
  <c r="K920" i="2"/>
  <c r="Q932" i="2"/>
  <c r="P932" i="2"/>
  <c r="K943" i="2"/>
  <c r="O958" i="2"/>
  <c r="K958" i="2"/>
  <c r="P668" i="2"/>
  <c r="Q668" i="2"/>
  <c r="N734" i="2"/>
  <c r="K801" i="2"/>
  <c r="K827" i="2"/>
  <c r="O849" i="2"/>
  <c r="K849" i="2"/>
  <c r="O858" i="2"/>
  <c r="K858" i="2"/>
  <c r="K880" i="2"/>
  <c r="Q940" i="2"/>
  <c r="P940" i="2"/>
  <c r="K967" i="2"/>
  <c r="P970" i="2"/>
  <c r="Q970" i="2"/>
  <c r="M987" i="2"/>
  <c r="N987" i="2" s="1"/>
  <c r="P993" i="2"/>
  <c r="O996" i="2"/>
  <c r="K996" i="2"/>
  <c r="Q656" i="2"/>
  <c r="N666" i="2"/>
  <c r="N689" i="2"/>
  <c r="O702" i="2"/>
  <c r="K702" i="2"/>
  <c r="P710" i="2"/>
  <c r="Q710" i="2"/>
  <c r="M752" i="2"/>
  <c r="N752" i="2" s="1"/>
  <c r="Q767" i="2"/>
  <c r="P767" i="2"/>
  <c r="M801" i="2"/>
  <c r="N801" i="2" s="1"/>
  <c r="M819" i="2"/>
  <c r="N819" i="2" s="1"/>
  <c r="M827" i="2"/>
  <c r="N827" i="2" s="1"/>
  <c r="M917" i="2"/>
  <c r="N917" i="2" s="1"/>
  <c r="M943" i="2"/>
  <c r="N943" i="2" s="1"/>
  <c r="N958" i="2"/>
  <c r="O961" i="2"/>
  <c r="N967" i="2"/>
  <c r="N999" i="2"/>
  <c r="M857" i="2"/>
  <c r="N857" i="2" s="1"/>
  <c r="O891" i="2"/>
  <c r="K891" i="2"/>
  <c r="Q896" i="2"/>
  <c r="P896" i="2"/>
  <c r="O922" i="2"/>
  <c r="K922" i="2"/>
  <c r="Q927" i="2"/>
  <c r="P927" i="2"/>
  <c r="M972" i="2"/>
  <c r="N972" i="2" s="1"/>
  <c r="M985" i="2"/>
  <c r="N985" i="2" s="1"/>
  <c r="Q719" i="2"/>
  <c r="P719" i="2"/>
  <c r="M721" i="2"/>
  <c r="N721" i="2" s="1"/>
  <c r="Q938" i="2"/>
  <c r="P938" i="2"/>
  <c r="M959" i="2"/>
  <c r="N959" i="2" s="1"/>
  <c r="M670" i="2"/>
  <c r="N670" i="2" s="1"/>
  <c r="K685" i="2"/>
  <c r="Q815" i="2"/>
  <c r="P815" i="2"/>
  <c r="Q818" i="2"/>
  <c r="P818" i="2"/>
  <c r="M830" i="2"/>
  <c r="N830" i="2" s="1"/>
  <c r="Q889" i="2"/>
  <c r="P889" i="2"/>
  <c r="Q952" i="2"/>
  <c r="P952" i="2"/>
  <c r="N965" i="2"/>
  <c r="M994" i="2"/>
  <c r="N994" i="2" s="1"/>
  <c r="O910" i="2"/>
  <c r="K910" i="2"/>
  <c r="O941" i="2"/>
  <c r="K941" i="2"/>
  <c r="Q976" i="2"/>
  <c r="P976" i="2"/>
  <c r="M978" i="2"/>
  <c r="N978" i="2" s="1"/>
  <c r="M685" i="2"/>
  <c r="N685" i="2" s="1"/>
  <c r="K717" i="2"/>
  <c r="M737" i="2"/>
  <c r="N737" i="2" s="1"/>
  <c r="K742" i="2"/>
  <c r="K765" i="2"/>
  <c r="K769" i="2"/>
  <c r="O772" i="2"/>
  <c r="K772" i="2"/>
  <c r="O782" i="2"/>
  <c r="K782" i="2"/>
  <c r="M789" i="2"/>
  <c r="N789" i="2" s="1"/>
  <c r="P796" i="2"/>
  <c r="O811" i="2"/>
  <c r="K811" i="2"/>
  <c r="K818" i="2"/>
  <c r="Q838" i="2"/>
  <c r="P838" i="2"/>
  <c r="M843" i="2"/>
  <c r="N843" i="2" s="1"/>
  <c r="O851" i="2"/>
  <c r="K851" i="2"/>
  <c r="Q856" i="2"/>
  <c r="P856" i="2"/>
  <c r="M858" i="2"/>
  <c r="N858" i="2" s="1"/>
  <c r="Q872" i="2"/>
  <c r="P872" i="2"/>
  <c r="M874" i="2"/>
  <c r="N874" i="2" s="1"/>
  <c r="O882" i="2"/>
  <c r="K882" i="2"/>
  <c r="Q887" i="2"/>
  <c r="P887" i="2"/>
  <c r="K889" i="2"/>
  <c r="M897" i="2"/>
  <c r="N897" i="2" s="1"/>
  <c r="M923" i="2"/>
  <c r="N923" i="2" s="1"/>
  <c r="O931" i="2"/>
  <c r="K931" i="2"/>
  <c r="N938" i="2"/>
  <c r="P946" i="2"/>
  <c r="K952" i="2"/>
  <c r="Q989" i="2"/>
  <c r="P989" i="2"/>
  <c r="Q841" i="2"/>
  <c r="P841" i="2"/>
  <c r="M889" i="2"/>
  <c r="N889" i="2" s="1"/>
  <c r="Q900" i="2"/>
  <c r="P900" i="2"/>
  <c r="Q903" i="2"/>
  <c r="P903" i="2"/>
  <c r="Q918" i="2"/>
  <c r="P918" i="2"/>
  <c r="Q936" i="2"/>
  <c r="P936" i="2"/>
  <c r="Q949" i="2"/>
  <c r="P949" i="2"/>
  <c r="Q963" i="2"/>
  <c r="P963" i="2"/>
  <c r="Q974" i="2"/>
  <c r="P974" i="2"/>
  <c r="K976" i="2"/>
  <c r="K992" i="2"/>
  <c r="O681" i="2"/>
  <c r="K681" i="2"/>
  <c r="M715" i="2"/>
  <c r="N715" i="2" s="1"/>
  <c r="M717" i="2"/>
  <c r="N717" i="2" s="1"/>
  <c r="M726" i="2"/>
  <c r="N726" i="2" s="1"/>
  <c r="M735" i="2"/>
  <c r="N735" i="2" s="1"/>
  <c r="O756" i="2"/>
  <c r="K756" i="2"/>
  <c r="M758" i="2"/>
  <c r="N758" i="2" s="1"/>
  <c r="M765" i="2"/>
  <c r="N765" i="2" s="1"/>
  <c r="M769" i="2"/>
  <c r="N769" i="2" s="1"/>
  <c r="M799" i="2"/>
  <c r="N799" i="2" s="1"/>
  <c r="M818" i="2"/>
  <c r="N818" i="2" s="1"/>
  <c r="P913" i="2"/>
  <c r="M952" i="2"/>
  <c r="N952" i="2" s="1"/>
  <c r="O971" i="2"/>
  <c r="K971" i="2"/>
  <c r="Q981" i="2"/>
  <c r="N683" i="2"/>
  <c r="P728" i="2"/>
  <c r="P737" i="2"/>
  <c r="M767" i="2"/>
  <c r="N767" i="2" s="1"/>
  <c r="Q769" i="2"/>
  <c r="O777" i="2"/>
  <c r="M787" i="2"/>
  <c r="N787" i="2" s="1"/>
  <c r="M792" i="2"/>
  <c r="N792" i="2" s="1"/>
  <c r="N838" i="2"/>
  <c r="K841" i="2"/>
  <c r="P864" i="2"/>
  <c r="Q869" i="2"/>
  <c r="P869" i="2"/>
  <c r="K900" i="2"/>
  <c r="K903" i="2"/>
  <c r="K918" i="2"/>
  <c r="K936" i="2"/>
  <c r="K949" i="2"/>
  <c r="Q960" i="2"/>
  <c r="P960" i="2"/>
  <c r="K963" i="2"/>
  <c r="K974" i="2"/>
  <c r="Q987" i="2"/>
  <c r="P987" i="2"/>
  <c r="M989" i="2"/>
  <c r="N989" i="2" s="1"/>
  <c r="Q746" i="2"/>
  <c r="P746" i="2"/>
  <c r="Q780" i="2"/>
  <c r="P780" i="2"/>
  <c r="Q787" i="2"/>
  <c r="P787" i="2"/>
  <c r="N841" i="2"/>
  <c r="O890" i="2"/>
  <c r="K890" i="2"/>
  <c r="N918" i="2"/>
  <c r="K921" i="2"/>
  <c r="N936" i="2"/>
  <c r="Q947" i="2"/>
  <c r="P947" i="2"/>
  <c r="M949" i="2"/>
  <c r="N949" i="2" s="1"/>
  <c r="M963" i="2"/>
  <c r="N963" i="2" s="1"/>
  <c r="N974" i="2"/>
  <c r="Q992" i="2"/>
  <c r="M740" i="2"/>
  <c r="N740" i="2" s="1"/>
  <c r="K762" i="2"/>
  <c r="M780" i="2"/>
  <c r="N780" i="2" s="1"/>
  <c r="Q791" i="2"/>
  <c r="P791" i="2"/>
  <c r="K683" i="2"/>
  <c r="K703" i="2"/>
  <c r="K723" i="2"/>
  <c r="Q758" i="2"/>
  <c r="P758" i="2"/>
  <c r="K770" i="2"/>
  <c r="M772" i="2"/>
  <c r="N772" i="2" s="1"/>
  <c r="M776" i="2"/>
  <c r="N776" i="2" s="1"/>
  <c r="M778" i="2"/>
  <c r="N778" i="2" s="1"/>
  <c r="Q789" i="2"/>
  <c r="P789" i="2"/>
  <c r="K791" i="2"/>
  <c r="P795" i="2"/>
  <c r="O802" i="2"/>
  <c r="K802" i="2"/>
  <c r="M817" i="2"/>
  <c r="N817" i="2" s="1"/>
  <c r="M839" i="2"/>
  <c r="N839" i="2" s="1"/>
  <c r="M850" i="2"/>
  <c r="N850" i="2" s="1"/>
  <c r="M870" i="2"/>
  <c r="N870" i="2" s="1"/>
  <c r="M890" i="2"/>
  <c r="N890" i="2" s="1"/>
  <c r="M910" i="2"/>
  <c r="N910" i="2" s="1"/>
  <c r="M930" i="2"/>
  <c r="N930" i="2" s="1"/>
  <c r="M941" i="2"/>
  <c r="N941" i="2" s="1"/>
  <c r="K970" i="2"/>
  <c r="K981" i="2"/>
  <c r="M996" i="2"/>
  <c r="N996" i="2" s="1"/>
  <c r="M998" i="2"/>
  <c r="N998" i="2" s="1"/>
  <c r="K760" i="2"/>
  <c r="K785" i="2"/>
  <c r="M950" i="2"/>
  <c r="N950" i="2" s="1"/>
  <c r="M961" i="2"/>
  <c r="N961" i="2" s="1"/>
  <c r="K990" i="2"/>
  <c r="M760" i="2"/>
  <c r="N760" i="2" s="1"/>
  <c r="O762" i="2"/>
  <c r="O822" i="2"/>
  <c r="K822" i="2"/>
  <c r="Q798" i="2"/>
  <c r="P798" i="2"/>
  <c r="O842" i="2"/>
  <c r="K842" i="2"/>
  <c r="O831" i="2"/>
  <c r="K831" i="2"/>
  <c r="M820" i="2"/>
  <c r="N820" i="2" s="1"/>
  <c r="M840" i="2"/>
  <c r="N840" i="2" s="1"/>
  <c r="M860" i="2"/>
  <c r="N860" i="2" s="1"/>
  <c r="M880" i="2"/>
  <c r="N880" i="2" s="1"/>
  <c r="M900" i="2"/>
  <c r="N900" i="2" s="1"/>
  <c r="M920" i="2"/>
  <c r="N920" i="2" s="1"/>
  <c r="M940" i="2"/>
  <c r="N940" i="2" s="1"/>
  <c r="M960" i="2"/>
  <c r="N960" i="2" s="1"/>
  <c r="M980" i="2"/>
  <c r="N980" i="2" s="1"/>
  <c r="M1000" i="2"/>
  <c r="N1000" i="2" s="1"/>
  <c r="M751" i="2"/>
  <c r="N751" i="2" s="1"/>
  <c r="M771" i="2"/>
  <c r="N771" i="2" s="1"/>
  <c r="M791" i="2"/>
  <c r="N791" i="2" s="1"/>
  <c r="M811" i="2"/>
  <c r="N811" i="2" s="1"/>
  <c r="K813" i="2"/>
  <c r="M831" i="2"/>
  <c r="N831" i="2" s="1"/>
  <c r="K833" i="2"/>
  <c r="M851" i="2"/>
  <c r="N851" i="2" s="1"/>
  <c r="K853" i="2"/>
  <c r="M871" i="2"/>
  <c r="N871" i="2" s="1"/>
  <c r="K873" i="2"/>
  <c r="M891" i="2"/>
  <c r="N891" i="2" s="1"/>
  <c r="K893" i="2"/>
  <c r="M911" i="2"/>
  <c r="N911" i="2" s="1"/>
  <c r="K913" i="2"/>
  <c r="M931" i="2"/>
  <c r="N931" i="2" s="1"/>
  <c r="K933" i="2"/>
  <c r="M951" i="2"/>
  <c r="N951" i="2" s="1"/>
  <c r="K953" i="2"/>
  <c r="M971" i="2"/>
  <c r="N971" i="2" s="1"/>
  <c r="K973" i="2"/>
  <c r="M991" i="2"/>
  <c r="N991" i="2" s="1"/>
  <c r="K993" i="2"/>
  <c r="M784" i="2"/>
  <c r="N784" i="2" s="1"/>
  <c r="M804" i="2"/>
  <c r="N804" i="2" s="1"/>
  <c r="M824" i="2"/>
  <c r="N824" i="2" s="1"/>
  <c r="M844" i="2"/>
  <c r="N844" i="2" s="1"/>
  <c r="M864" i="2"/>
  <c r="N864" i="2" s="1"/>
  <c r="M884" i="2"/>
  <c r="N884" i="2" s="1"/>
  <c r="M904" i="2"/>
  <c r="N904" i="2" s="1"/>
  <c r="M924" i="2"/>
  <c r="N924" i="2" s="1"/>
  <c r="M944" i="2"/>
  <c r="N944" i="2" s="1"/>
  <c r="M964" i="2"/>
  <c r="N964" i="2" s="1"/>
  <c r="M984" i="2"/>
  <c r="N984" i="2" s="1"/>
  <c r="V76" i="1" l="1"/>
  <c r="W76" i="1" s="1"/>
  <c r="X73" i="1"/>
  <c r="AE73" i="1" s="1"/>
  <c r="V74" i="1"/>
  <c r="W74" i="1" s="1"/>
  <c r="X76" i="1"/>
  <c r="Y76" i="1" s="1"/>
  <c r="V73" i="1"/>
  <c r="W73" i="1" s="1"/>
  <c r="V72" i="1"/>
  <c r="W72" i="1" s="1"/>
  <c r="X74" i="1"/>
  <c r="AE74" i="1" s="1"/>
  <c r="X65" i="1"/>
  <c r="Y65" i="1" s="1"/>
  <c r="X71" i="1"/>
  <c r="Y71" i="1" s="1"/>
  <c r="X70" i="1"/>
  <c r="AE70" i="1" s="1"/>
  <c r="X72" i="1"/>
  <c r="AE72" i="1" s="1"/>
  <c r="U71" i="1"/>
  <c r="W71" i="1" s="1"/>
  <c r="U70" i="1"/>
  <c r="W70" i="1" s="1"/>
  <c r="N59" i="2"/>
  <c r="X67" i="1"/>
  <c r="Y67" i="1" s="1"/>
  <c r="U67" i="1"/>
  <c r="W67" i="1" s="1"/>
  <c r="X69" i="1"/>
  <c r="AE69" i="1" s="1"/>
  <c r="U69" i="1"/>
  <c r="W69" i="1" s="1"/>
  <c r="X68" i="1"/>
  <c r="AE68" i="1" s="1"/>
  <c r="X66" i="1"/>
  <c r="Y66" i="1" s="1"/>
  <c r="U66" i="1"/>
  <c r="W66" i="1" s="1"/>
  <c r="V68" i="1"/>
  <c r="W68" i="1" s="1"/>
  <c r="X63" i="1"/>
  <c r="AE63" i="1" s="1"/>
  <c r="X64" i="1"/>
  <c r="AE64" i="1" s="1"/>
  <c r="V65" i="1"/>
  <c r="W65" i="1" s="1"/>
  <c r="U63" i="1"/>
  <c r="W63" i="1" s="1"/>
  <c r="U64" i="1"/>
  <c r="W64" i="1" s="1"/>
  <c r="N55" i="2"/>
  <c r="N54" i="2"/>
  <c r="U62" i="1"/>
  <c r="W62" i="1" s="1"/>
  <c r="X62" i="1"/>
  <c r="AE62" i="1" s="1"/>
  <c r="N52" i="2"/>
  <c r="X59" i="1"/>
  <c r="AE59" i="1" s="1"/>
  <c r="N51" i="2"/>
  <c r="U60" i="1"/>
  <c r="W60" i="1" s="1"/>
  <c r="V53" i="1"/>
  <c r="W53" i="1" s="1"/>
  <c r="V59" i="1"/>
  <c r="W59" i="1" s="1"/>
  <c r="X60" i="1"/>
  <c r="Y60" i="1" s="1"/>
  <c r="X61" i="1"/>
  <c r="AE61" i="1" s="1"/>
  <c r="X53" i="1"/>
  <c r="AE53" i="1" s="1"/>
  <c r="N49" i="2"/>
  <c r="U61" i="1"/>
  <c r="W61" i="1" s="1"/>
  <c r="V57" i="1"/>
  <c r="W57" i="1" s="1"/>
  <c r="V54" i="1"/>
  <c r="W54" i="1" s="1"/>
  <c r="X58" i="1"/>
  <c r="AE58" i="1" s="1"/>
  <c r="X57" i="1"/>
  <c r="Y57" i="1" s="1"/>
  <c r="V58" i="1"/>
  <c r="W58" i="1" s="1"/>
  <c r="X56" i="1"/>
  <c r="Y56" i="1" s="1"/>
  <c r="U55" i="1"/>
  <c r="W55" i="1" s="1"/>
  <c r="U56" i="1"/>
  <c r="W56" i="1" s="1"/>
  <c r="X55" i="1"/>
  <c r="AE55" i="1" s="1"/>
  <c r="X52" i="1"/>
  <c r="AE52" i="1" s="1"/>
  <c r="X54" i="1"/>
  <c r="AE54" i="1" s="1"/>
  <c r="W168" i="1"/>
  <c r="V52" i="1"/>
  <c r="W52" i="1" s="1"/>
  <c r="N47" i="2"/>
  <c r="AE149" i="1"/>
  <c r="N46" i="2"/>
  <c r="N45" i="2"/>
  <c r="B9" i="4"/>
  <c r="P731" i="2"/>
  <c r="N44" i="2"/>
  <c r="AE98" i="1"/>
  <c r="W117" i="1"/>
  <c r="AE158" i="1"/>
  <c r="AE137" i="1"/>
  <c r="Y143" i="1"/>
  <c r="W137" i="1"/>
  <c r="Q1000" i="2"/>
  <c r="AE96" i="1"/>
  <c r="Y117" i="1"/>
  <c r="AE177" i="1"/>
  <c r="Y93" i="1"/>
  <c r="Y7" i="1"/>
  <c r="AE111" i="1"/>
  <c r="Y114" i="1"/>
  <c r="AE145" i="1"/>
  <c r="Y140" i="1"/>
  <c r="Y109" i="1"/>
  <c r="Y201" i="1"/>
  <c r="AE100" i="1"/>
  <c r="W100" i="1"/>
  <c r="N43" i="2"/>
  <c r="Q356" i="2"/>
  <c r="AE135" i="1"/>
  <c r="P751" i="2"/>
  <c r="W180" i="1"/>
  <c r="AE104" i="1"/>
  <c r="AE180" i="1"/>
  <c r="Y73" i="1"/>
  <c r="Y161" i="1"/>
  <c r="X41" i="1"/>
  <c r="AE41" i="1" s="1"/>
  <c r="AE155" i="1"/>
  <c r="W175" i="1"/>
  <c r="Y81" i="1"/>
  <c r="V5" i="1"/>
  <c r="W5" i="1" s="1"/>
  <c r="W157" i="1"/>
  <c r="AE65" i="1"/>
  <c r="Q576" i="2"/>
  <c r="N42" i="2"/>
  <c r="Q293" i="2"/>
  <c r="P823" i="2"/>
  <c r="Q254" i="2"/>
  <c r="Q395" i="2"/>
  <c r="P405" i="2"/>
  <c r="P665" i="2"/>
  <c r="P311" i="2"/>
  <c r="W129" i="1"/>
  <c r="AE198" i="1"/>
  <c r="AE162" i="1"/>
  <c r="P897" i="2"/>
  <c r="AE130" i="1"/>
  <c r="W167" i="1"/>
  <c r="AE87" i="1"/>
  <c r="Y108" i="1"/>
  <c r="Y92" i="1"/>
  <c r="AE105" i="1"/>
  <c r="P258" i="2"/>
  <c r="Q712" i="2"/>
  <c r="W77" i="1"/>
  <c r="W140" i="1"/>
  <c r="W40" i="1"/>
  <c r="AE112" i="1"/>
  <c r="W86" i="1"/>
  <c r="Y153" i="1"/>
  <c r="U27" i="1"/>
  <c r="W27" i="1" s="1"/>
  <c r="AE77" i="1"/>
  <c r="V41" i="1"/>
  <c r="W41" i="1" s="1"/>
  <c r="X32" i="1"/>
  <c r="AE32" i="1" s="1"/>
  <c r="X3" i="1"/>
  <c r="AE3" i="1" s="1"/>
  <c r="Y150" i="1"/>
  <c r="Y173" i="1"/>
  <c r="P90" i="2"/>
  <c r="AE71" i="1"/>
  <c r="P877" i="2"/>
  <c r="Q589" i="2"/>
  <c r="Y171" i="1"/>
  <c r="Y174" i="1"/>
  <c r="P186" i="2"/>
  <c r="P577" i="2"/>
  <c r="W170" i="1"/>
  <c r="U28" i="1"/>
  <c r="W28" i="1" s="1"/>
  <c r="X28" i="1"/>
  <c r="AE28" i="1" s="1"/>
  <c r="X19" i="1"/>
  <c r="Y19" i="1" s="1"/>
  <c r="AE164" i="1"/>
  <c r="X6" i="1"/>
  <c r="Y6" i="1" s="1"/>
  <c r="Y136" i="1"/>
  <c r="Y176" i="1"/>
  <c r="AE194" i="1"/>
  <c r="Y90" i="1"/>
  <c r="X16" i="1"/>
  <c r="AE16" i="1" s="1"/>
  <c r="AE189" i="1"/>
  <c r="Y160" i="1"/>
  <c r="Y184" i="1"/>
  <c r="AE95" i="1"/>
  <c r="AE115" i="1"/>
  <c r="AE134" i="1"/>
  <c r="AE102" i="1"/>
  <c r="Y144" i="1"/>
  <c r="AE192" i="1"/>
  <c r="X15" i="1"/>
  <c r="Y15" i="1" s="1"/>
  <c r="AE122" i="1"/>
  <c r="V31" i="1"/>
  <c r="W31" i="1" s="1"/>
  <c r="AE159" i="1"/>
  <c r="Y133" i="1"/>
  <c r="U19" i="1"/>
  <c r="W19" i="1" s="1"/>
  <c r="AE166" i="1"/>
  <c r="W84" i="1"/>
  <c r="P722" i="2"/>
  <c r="P548" i="2"/>
  <c r="Q788" i="2"/>
  <c r="N4" i="2"/>
  <c r="Q478" i="2"/>
  <c r="Q206" i="2"/>
  <c r="Q519" i="2"/>
  <c r="Q312" i="2"/>
  <c r="P31" i="2"/>
  <c r="N41" i="2"/>
  <c r="P984" i="2"/>
  <c r="P761" i="2"/>
  <c r="Y152" i="1"/>
  <c r="W118" i="1"/>
  <c r="X12" i="1"/>
  <c r="AE12" i="1" s="1"/>
  <c r="X11" i="1"/>
  <c r="Y11" i="1" s="1"/>
  <c r="U6" i="1"/>
  <c r="W6" i="1" s="1"/>
  <c r="V11" i="1"/>
  <c r="W11" i="1" s="1"/>
  <c r="W160" i="1"/>
  <c r="W172" i="1"/>
  <c r="Y138" i="1"/>
  <c r="Y172" i="1"/>
  <c r="W89" i="1"/>
  <c r="W138" i="1"/>
  <c r="W115" i="1"/>
  <c r="U50" i="1"/>
  <c r="W50" i="1" s="1"/>
  <c r="W186" i="1"/>
  <c r="X39" i="1"/>
  <c r="AE39" i="1" s="1"/>
  <c r="P935" i="2"/>
  <c r="X30" i="1"/>
  <c r="AE30" i="1" s="1"/>
  <c r="P820" i="2"/>
  <c r="P816" i="2"/>
  <c r="Q547" i="2"/>
  <c r="Q520" i="2"/>
  <c r="Y199" i="1"/>
  <c r="AE196" i="1"/>
  <c r="Y79" i="1"/>
  <c r="AE83" i="1"/>
  <c r="X31" i="1"/>
  <c r="Y31" i="1" s="1"/>
  <c r="U37" i="1"/>
  <c r="W37" i="1" s="1"/>
  <c r="Y170" i="1"/>
  <c r="Q494" i="2"/>
  <c r="X33" i="1"/>
  <c r="U39" i="1"/>
  <c r="W39" i="1" s="1"/>
  <c r="U33" i="1"/>
  <c r="W33" i="1" s="1"/>
  <c r="P924" i="2"/>
  <c r="P126" i="2"/>
  <c r="Q878" i="2"/>
  <c r="P387" i="2"/>
  <c r="AE103" i="1"/>
  <c r="P294" i="2"/>
  <c r="AE94" i="1"/>
  <c r="W173" i="1"/>
  <c r="W192" i="1"/>
  <c r="P944" i="2"/>
  <c r="P379" i="2"/>
  <c r="P284" i="2"/>
  <c r="W158" i="1"/>
  <c r="X5" i="1"/>
  <c r="Y89" i="1"/>
  <c r="Q957" i="2"/>
  <c r="P477" i="2"/>
  <c r="V21" i="1"/>
  <c r="U21" i="1"/>
  <c r="P646" i="2"/>
  <c r="P79" i="2"/>
  <c r="P24" i="2"/>
  <c r="AE193" i="1"/>
  <c r="AE40" i="1"/>
  <c r="P797" i="2"/>
  <c r="P779" i="2"/>
  <c r="P917" i="2"/>
  <c r="Q734" i="2"/>
  <c r="P480" i="2"/>
  <c r="V15" i="1"/>
  <c r="W15" i="1" s="1"/>
  <c r="W185" i="1"/>
  <c r="Q568" i="2"/>
  <c r="W112" i="1"/>
  <c r="Q297" i="2"/>
  <c r="P297" i="2"/>
  <c r="P857" i="2"/>
  <c r="P538" i="2"/>
  <c r="X25" i="1"/>
  <c r="Y25" i="1" s="1"/>
  <c r="Y165" i="1"/>
  <c r="AE97" i="1"/>
  <c r="AE75" i="1"/>
  <c r="Q912" i="2"/>
  <c r="P471" i="2"/>
  <c r="P287" i="2"/>
  <c r="Q604" i="2"/>
  <c r="Y200" i="1"/>
  <c r="AE80" i="1"/>
  <c r="Y107" i="1"/>
  <c r="X50" i="1"/>
  <c r="Q418" i="2"/>
  <c r="P418" i="2"/>
  <c r="V49" i="1"/>
  <c r="U49" i="1"/>
  <c r="X21" i="1"/>
  <c r="Q269" i="2"/>
  <c r="Q603" i="2"/>
  <c r="Q650" i="2"/>
  <c r="W188" i="1"/>
  <c r="U16" i="1"/>
  <c r="W16" i="1" s="1"/>
  <c r="Y142" i="1"/>
  <c r="AE78" i="1"/>
  <c r="Y84" i="1"/>
  <c r="X38" i="1"/>
  <c r="X37" i="1"/>
  <c r="W143" i="1"/>
  <c r="Q385" i="2"/>
  <c r="P614" i="2"/>
  <c r="P640" i="2"/>
  <c r="W107" i="1"/>
  <c r="W195" i="1"/>
  <c r="W135" i="1"/>
  <c r="X10" i="1"/>
  <c r="AE10" i="1" s="1"/>
  <c r="Y118" i="1"/>
  <c r="Y91" i="1"/>
  <c r="P354" i="2"/>
  <c r="U38" i="1"/>
  <c r="W38" i="1" s="1"/>
  <c r="U12" i="1"/>
  <c r="W12" i="1" s="1"/>
  <c r="Q99" i="2"/>
  <c r="P99" i="2"/>
  <c r="AE175" i="1"/>
  <c r="P188" i="2"/>
  <c r="Q188" i="2"/>
  <c r="X27" i="1"/>
  <c r="AE85" i="1"/>
  <c r="P733" i="2"/>
  <c r="AE131" i="1"/>
  <c r="P139" i="2"/>
  <c r="Y141" i="1"/>
  <c r="P458" i="2"/>
  <c r="P83" i="2"/>
  <c r="W200" i="1"/>
  <c r="V20" i="1"/>
  <c r="U20" i="1"/>
  <c r="P1001" i="2"/>
  <c r="P612" i="2"/>
  <c r="P975" i="2"/>
  <c r="P195" i="2"/>
  <c r="Q476" i="2"/>
  <c r="P476" i="2"/>
  <c r="X20" i="1"/>
  <c r="AE169" i="1"/>
  <c r="Y169" i="1"/>
  <c r="Y197" i="1"/>
  <c r="AE128" i="1"/>
  <c r="Y128" i="1"/>
  <c r="Y190" i="1"/>
  <c r="AE190" i="1"/>
  <c r="Y148" i="1"/>
  <c r="Y151" i="1"/>
  <c r="Y157" i="1"/>
  <c r="AE195" i="1"/>
  <c r="AE168" i="1"/>
  <c r="Y168" i="1"/>
  <c r="Y113" i="1"/>
  <c r="W127" i="1"/>
  <c r="X4" i="1"/>
  <c r="Y4" i="1" s="1"/>
  <c r="Y88" i="1"/>
  <c r="Y119" i="1"/>
  <c r="AE119" i="1"/>
  <c r="Y120" i="1"/>
  <c r="AE120" i="1"/>
  <c r="AE76" i="1"/>
  <c r="Y72" i="1"/>
  <c r="Y101" i="1"/>
  <c r="N15" i="2"/>
  <c r="AE132" i="1"/>
  <c r="W80" i="1"/>
  <c r="W177" i="1"/>
  <c r="W87" i="1"/>
  <c r="Y121" i="1"/>
  <c r="AE110" i="1"/>
  <c r="Y110" i="1"/>
  <c r="Y191" i="1"/>
  <c r="AE191" i="1"/>
  <c r="Y116" i="1"/>
  <c r="AE116" i="1"/>
  <c r="Y181" i="1"/>
  <c r="Y127" i="1"/>
  <c r="W97" i="1"/>
  <c r="Q261" i="2"/>
  <c r="P847" i="2"/>
  <c r="P824" i="2"/>
  <c r="Q824" i="2"/>
  <c r="M19" i="2"/>
  <c r="N19" i="2" s="1"/>
  <c r="Q179" i="2"/>
  <c r="P179" i="2"/>
  <c r="P308" i="2"/>
  <c r="Q308" i="2"/>
  <c r="P17" i="2"/>
  <c r="Q17" i="2"/>
  <c r="Q282" i="2"/>
  <c r="P282" i="2"/>
  <c r="M30" i="2"/>
  <c r="N30" i="2" s="1"/>
  <c r="P296" i="2"/>
  <c r="Q296" i="2"/>
  <c r="Q784" i="2"/>
  <c r="P784" i="2"/>
  <c r="P755" i="2"/>
  <c r="Q755" i="2"/>
  <c r="P884" i="2"/>
  <c r="Q884" i="2"/>
  <c r="P276" i="2"/>
  <c r="Q276" i="2"/>
  <c r="Q136" i="2"/>
  <c r="P136" i="2"/>
  <c r="Q279" i="2"/>
  <c r="P279" i="2"/>
  <c r="Q95" i="2"/>
  <c r="P95" i="2"/>
  <c r="Q934" i="2"/>
  <c r="Q885" i="2"/>
  <c r="Q200" i="2"/>
  <c r="P200" i="2"/>
  <c r="Q700" i="2"/>
  <c r="P700" i="2"/>
  <c r="P348" i="2"/>
  <c r="Q348" i="2"/>
  <c r="Q715" i="2"/>
  <c r="P715" i="2"/>
  <c r="Q414" i="2"/>
  <c r="P414" i="2"/>
  <c r="Q844" i="2"/>
  <c r="P844" i="2"/>
  <c r="Q384" i="2"/>
  <c r="P384" i="2"/>
  <c r="Q416" i="2"/>
  <c r="P416" i="2"/>
  <c r="Q355" i="2"/>
  <c r="P355" i="2"/>
  <c r="Q684" i="2"/>
  <c r="P684" i="2"/>
  <c r="P30" i="2"/>
  <c r="P561" i="2"/>
  <c r="Q561" i="2"/>
  <c r="Q166" i="2"/>
  <c r="P166" i="2"/>
  <c r="P808" i="2"/>
  <c r="Q808" i="2"/>
  <c r="Q764" i="2"/>
  <c r="P152" i="2"/>
  <c r="Q937" i="2"/>
  <c r="P937" i="2"/>
  <c r="P285" i="2"/>
  <c r="Q285" i="2"/>
  <c r="Q48" i="2"/>
  <c r="P48" i="2"/>
  <c r="Q658" i="2"/>
  <c r="P6" i="2"/>
  <c r="Q598" i="2"/>
  <c r="P598" i="2"/>
  <c r="Q20" i="2"/>
  <c r="P988" i="2"/>
  <c r="P698" i="2"/>
  <c r="P64" i="2"/>
  <c r="Q835" i="2"/>
  <c r="P835" i="2"/>
  <c r="Q718" i="2"/>
  <c r="P718" i="2"/>
  <c r="Q305" i="2"/>
  <c r="P305" i="2"/>
  <c r="Q142" i="2"/>
  <c r="P142" i="2"/>
  <c r="Q814" i="2"/>
  <c r="P814" i="2"/>
  <c r="Q817" i="2"/>
  <c r="P817" i="2"/>
  <c r="P190" i="2"/>
  <c r="Q190" i="2"/>
  <c r="P45" i="2"/>
  <c r="Q735" i="2"/>
  <c r="P735" i="2"/>
  <c r="N28" i="2"/>
  <c r="Q503" i="2"/>
  <c r="P503" i="2"/>
  <c r="P726" i="2"/>
  <c r="Q726" i="2"/>
  <c r="P498" i="2"/>
  <c r="Q498" i="2"/>
  <c r="P997" i="2"/>
  <c r="Q997" i="2"/>
  <c r="P621" i="2"/>
  <c r="P29" i="2"/>
  <c r="P145" i="2"/>
  <c r="Q145" i="2"/>
  <c r="Q435" i="2"/>
  <c r="P435" i="2"/>
  <c r="Q768" i="2"/>
  <c r="P768" i="2"/>
  <c r="Q741" i="2"/>
  <c r="P741" i="2"/>
  <c r="Q168" i="2"/>
  <c r="P168" i="2"/>
  <c r="Q459" i="2"/>
  <c r="P459" i="2"/>
  <c r="Q36" i="2"/>
  <c r="P36" i="2"/>
  <c r="P556" i="2"/>
  <c r="P61" i="2"/>
  <c r="P804" i="2"/>
  <c r="Q804" i="2"/>
  <c r="P724" i="2"/>
  <c r="Q724" i="2"/>
  <c r="Q437" i="2"/>
  <c r="P437" i="2"/>
  <c r="P535" i="2"/>
  <c r="Q535" i="2"/>
  <c r="AE13" i="1"/>
  <c r="Y13" i="1"/>
  <c r="Q941" i="2"/>
  <c r="P941" i="2"/>
  <c r="Q526" i="2"/>
  <c r="P526" i="2"/>
  <c r="P368" i="2"/>
  <c r="Q368" i="2"/>
  <c r="P802" i="2"/>
  <c r="Q802" i="2"/>
  <c r="Q971" i="2"/>
  <c r="P971" i="2"/>
  <c r="Q730" i="2"/>
  <c r="P730" i="2"/>
  <c r="U46" i="1"/>
  <c r="V46" i="1"/>
  <c r="P138" i="2"/>
  <c r="Q138" i="2"/>
  <c r="Q77" i="2"/>
  <c r="P77" i="2"/>
  <c r="Q325" i="2"/>
  <c r="P325" i="2"/>
  <c r="Q11" i="2"/>
  <c r="P11" i="2"/>
  <c r="Q800" i="2"/>
  <c r="P800" i="2"/>
  <c r="Q521" i="2"/>
  <c r="P521" i="2"/>
  <c r="P209" i="2"/>
  <c r="Q209" i="2"/>
  <c r="Q107" i="2"/>
  <c r="P107" i="2"/>
  <c r="Q12" i="2"/>
  <c r="P12" i="2"/>
  <c r="Q417" i="2"/>
  <c r="P417" i="2"/>
  <c r="Q910" i="2"/>
  <c r="P910" i="2"/>
  <c r="Q911" i="2"/>
  <c r="P911" i="2"/>
  <c r="P663" i="2"/>
  <c r="Q663" i="2"/>
  <c r="Q907" i="2"/>
  <c r="P907" i="2"/>
  <c r="Q867" i="2"/>
  <c r="P867" i="2"/>
  <c r="P942" i="2"/>
  <c r="Q942" i="2"/>
  <c r="P630" i="2"/>
  <c r="Q630" i="2"/>
  <c r="Q555" i="2"/>
  <c r="P555" i="2"/>
  <c r="Q283" i="2"/>
  <c r="P283" i="2"/>
  <c r="Q874" i="2"/>
  <c r="P874" i="2"/>
  <c r="Q422" i="2"/>
  <c r="P422" i="2"/>
  <c r="Q511" i="2"/>
  <c r="P511" i="2"/>
  <c r="P409" i="2"/>
  <c r="Q409" i="2"/>
  <c r="P424" i="2"/>
  <c r="Q424" i="2"/>
  <c r="P499" i="2"/>
  <c r="Q499" i="2"/>
  <c r="Q265" i="2"/>
  <c r="P265" i="2"/>
  <c r="Q185" i="2"/>
  <c r="P185" i="2"/>
  <c r="Q277" i="2"/>
  <c r="P277" i="2"/>
  <c r="Q101" i="2"/>
  <c r="P101" i="2"/>
  <c r="M8" i="2"/>
  <c r="N8" i="2" s="1"/>
  <c r="M2" i="2"/>
  <c r="N2" i="2" s="1"/>
  <c r="W75" i="1"/>
  <c r="V9" i="1"/>
  <c r="U9" i="1"/>
  <c r="V36" i="1"/>
  <c r="U36" i="1"/>
  <c r="U30" i="1"/>
  <c r="V30" i="1"/>
  <c r="P782" i="2"/>
  <c r="Q782" i="2"/>
  <c r="Q843" i="2"/>
  <c r="P843" i="2"/>
  <c r="Q465" i="2"/>
  <c r="P465" i="2"/>
  <c r="Q117" i="2"/>
  <c r="P117" i="2"/>
  <c r="Q58" i="2"/>
  <c r="P58" i="2"/>
  <c r="Q360" i="2"/>
  <c r="P360" i="2"/>
  <c r="Q124" i="2"/>
  <c r="P124" i="2"/>
  <c r="P252" i="2"/>
  <c r="Q252" i="2"/>
  <c r="Q622" i="2"/>
  <c r="P622" i="2"/>
  <c r="Q264" i="2"/>
  <c r="P264" i="2"/>
  <c r="Q871" i="2"/>
  <c r="P871" i="2"/>
  <c r="Q8" i="2"/>
  <c r="P8" i="2"/>
  <c r="P570" i="2"/>
  <c r="Q570" i="2"/>
  <c r="U23" i="1"/>
  <c r="V23" i="1"/>
  <c r="X23" i="1"/>
  <c r="Q2" i="2"/>
  <c r="P2" i="2"/>
  <c r="V22" i="1"/>
  <c r="U22" i="1"/>
  <c r="V42" i="1"/>
  <c r="U42" i="1"/>
  <c r="X9" i="1"/>
  <c r="X36" i="1"/>
  <c r="P882" i="2"/>
  <c r="Q882" i="2"/>
  <c r="Q898" i="2"/>
  <c r="P898" i="2"/>
  <c r="Q280" i="2"/>
  <c r="P280" i="2"/>
  <c r="Q642" i="2"/>
  <c r="P642" i="2"/>
  <c r="Q322" i="2"/>
  <c r="P322" i="2"/>
  <c r="W198" i="1"/>
  <c r="P336" i="2"/>
  <c r="Q336" i="2"/>
  <c r="P583" i="2"/>
  <c r="Q583" i="2"/>
  <c r="Q34" i="2"/>
  <c r="P34" i="2"/>
  <c r="Q440" i="2"/>
  <c r="P440" i="2"/>
  <c r="Y99" i="1"/>
  <c r="AE99" i="1"/>
  <c r="P218" i="2"/>
  <c r="Q218" i="2"/>
  <c r="AE154" i="1"/>
  <c r="Y154" i="1"/>
  <c r="W147" i="1"/>
  <c r="AE124" i="1"/>
  <c r="Y124" i="1"/>
  <c r="W43" i="1"/>
  <c r="X22" i="1"/>
  <c r="X42" i="1"/>
  <c r="Q965" i="2"/>
  <c r="P965" i="2"/>
  <c r="Y139" i="1"/>
  <c r="AE139" i="1"/>
  <c r="Q831" i="2"/>
  <c r="P831" i="2"/>
  <c r="P729" i="2"/>
  <c r="Q729" i="2"/>
  <c r="P862" i="2"/>
  <c r="Q862" i="2"/>
  <c r="P540" i="2"/>
  <c r="Q540" i="2"/>
  <c r="Q825" i="2"/>
  <c r="P825" i="2"/>
  <c r="Q708" i="2"/>
  <c r="P708" i="2"/>
  <c r="Q221" i="2"/>
  <c r="P221" i="2"/>
  <c r="Q27" i="2"/>
  <c r="P27" i="2"/>
  <c r="Q72" i="2"/>
  <c r="P72" i="2"/>
  <c r="Q157" i="2"/>
  <c r="P157" i="2"/>
  <c r="M23" i="2"/>
  <c r="N23" i="2" s="1"/>
  <c r="Y185" i="1"/>
  <c r="AE185" i="1"/>
  <c r="P702" i="2"/>
  <c r="Q702" i="2"/>
  <c r="Q840" i="2"/>
  <c r="P840" i="2"/>
  <c r="P774" i="2"/>
  <c r="Q774" i="2"/>
  <c r="Q736" i="2"/>
  <c r="P736" i="2"/>
  <c r="P643" i="2"/>
  <c r="Q643" i="2"/>
  <c r="P248" i="2"/>
  <c r="Q248" i="2"/>
  <c r="Q452" i="2"/>
  <c r="P452" i="2"/>
  <c r="Q863" i="2"/>
  <c r="P863" i="2"/>
  <c r="W178" i="1"/>
  <c r="P290" i="2"/>
  <c r="Q290" i="2"/>
  <c r="V4" i="1"/>
  <c r="U4" i="1"/>
  <c r="W18" i="1"/>
  <c r="X26" i="1"/>
  <c r="P250" i="2"/>
  <c r="Q250" i="2"/>
  <c r="Q91" i="2"/>
  <c r="P91" i="2"/>
  <c r="M12" i="2"/>
  <c r="N12" i="2" s="1"/>
  <c r="Q772" i="2"/>
  <c r="P772" i="2"/>
  <c r="Q295" i="2"/>
  <c r="P295" i="2"/>
  <c r="P65" i="2"/>
  <c r="Q65" i="2"/>
  <c r="U29" i="1"/>
  <c r="V29" i="1"/>
  <c r="Q998" i="2"/>
  <c r="P998" i="2"/>
  <c r="Q969" i="2"/>
  <c r="P969" i="2"/>
  <c r="Q37" i="2"/>
  <c r="P37" i="2"/>
  <c r="P777" i="2"/>
  <c r="Q777" i="2"/>
  <c r="Q849" i="2"/>
  <c r="P849" i="2"/>
  <c r="Q830" i="2"/>
  <c r="P830" i="2"/>
  <c r="Q894" i="2"/>
  <c r="P894" i="2"/>
  <c r="Q851" i="2"/>
  <c r="P851" i="2"/>
  <c r="Q961" i="2"/>
  <c r="P961" i="2"/>
  <c r="Q714" i="2"/>
  <c r="P714" i="2"/>
  <c r="Q748" i="2"/>
  <c r="P748" i="2"/>
  <c r="Q876" i="2"/>
  <c r="P876" i="2"/>
  <c r="Q676" i="2"/>
  <c r="P676" i="2"/>
  <c r="Q951" i="2"/>
  <c r="P951" i="2"/>
  <c r="P514" i="2"/>
  <c r="Q514" i="2"/>
  <c r="Q528" i="2"/>
  <c r="P528" i="2"/>
  <c r="P213" i="2"/>
  <c r="Q213" i="2"/>
  <c r="Q5" i="2"/>
  <c r="P5" i="2"/>
  <c r="AE49" i="1"/>
  <c r="Y49" i="1"/>
  <c r="P635" i="2"/>
  <c r="Q635" i="2"/>
  <c r="AE163" i="1"/>
  <c r="Y163" i="1"/>
  <c r="Q7" i="2"/>
  <c r="P7" i="2"/>
  <c r="U44" i="1"/>
  <c r="V44" i="1"/>
  <c r="U24" i="1"/>
  <c r="V24" i="1"/>
  <c r="U8" i="1"/>
  <c r="V8" i="1"/>
  <c r="P922" i="2"/>
  <c r="Q922" i="2"/>
  <c r="Q958" i="2"/>
  <c r="P958" i="2"/>
  <c r="Q678" i="2"/>
  <c r="P678" i="2"/>
  <c r="Q581" i="2"/>
  <c r="P581" i="2"/>
  <c r="P444" i="2"/>
  <c r="Q444" i="2"/>
  <c r="P338" i="2"/>
  <c r="Q338" i="2"/>
  <c r="Q114" i="2"/>
  <c r="P114" i="2"/>
  <c r="P423" i="2"/>
  <c r="Q423" i="2"/>
  <c r="X47" i="1"/>
  <c r="Q619" i="2"/>
  <c r="P619" i="2"/>
  <c r="P573" i="2"/>
  <c r="Q573" i="2"/>
  <c r="M33" i="2"/>
  <c r="N33" i="2" s="1"/>
  <c r="Q473" i="2"/>
  <c r="P473" i="2"/>
  <c r="U32" i="1"/>
  <c r="V32" i="1"/>
  <c r="AE187" i="1"/>
  <c r="Y187" i="1"/>
  <c r="Q858" i="2"/>
  <c r="P858" i="2"/>
  <c r="Q557" i="2"/>
  <c r="P557" i="2"/>
  <c r="Q850" i="2"/>
  <c r="P850" i="2"/>
  <c r="Q945" i="2"/>
  <c r="P945" i="2"/>
  <c r="Q317" i="2"/>
  <c r="P317" i="2"/>
  <c r="P411" i="2"/>
  <c r="Q411" i="2"/>
  <c r="M3" i="2"/>
  <c r="N3" i="2" s="1"/>
  <c r="Q184" i="2"/>
  <c r="P184" i="2"/>
  <c r="Q154" i="2"/>
  <c r="P154" i="2"/>
  <c r="AE188" i="1"/>
  <c r="Y188" i="1"/>
  <c r="P23" i="2"/>
  <c r="Q23" i="2"/>
  <c r="P140" i="2"/>
  <c r="Q140" i="2"/>
  <c r="M37" i="2"/>
  <c r="N37" i="2" s="1"/>
  <c r="Q224" i="2"/>
  <c r="P224" i="2"/>
  <c r="P527" i="2"/>
  <c r="Q527" i="2"/>
  <c r="Q991" i="2"/>
  <c r="P991" i="2"/>
  <c r="Y106" i="1"/>
  <c r="AE106" i="1"/>
  <c r="X29" i="1"/>
  <c r="V26" i="1"/>
  <c r="U26" i="1"/>
  <c r="P263" i="2"/>
  <c r="Q263" i="2"/>
  <c r="P323" i="2"/>
  <c r="Q323" i="2"/>
  <c r="Q225" i="2"/>
  <c r="P225" i="2"/>
  <c r="Y178" i="1"/>
  <c r="AE178" i="1"/>
  <c r="M9" i="2"/>
  <c r="N9" i="2" s="1"/>
  <c r="Q443" i="2"/>
  <c r="P443" i="2"/>
  <c r="P842" i="2"/>
  <c r="Q842" i="2"/>
  <c r="Q752" i="2"/>
  <c r="P752" i="2"/>
  <c r="P670" i="2"/>
  <c r="Q670" i="2"/>
  <c r="Q747" i="2"/>
  <c r="P747" i="2"/>
  <c r="Q542" i="2"/>
  <c r="P542" i="2"/>
  <c r="Q399" i="2"/>
  <c r="P399" i="2"/>
  <c r="P664" i="2"/>
  <c r="Q664" i="2"/>
  <c r="Q365" i="2"/>
  <c r="P365" i="2"/>
  <c r="M5" i="2"/>
  <c r="N5" i="2" s="1"/>
  <c r="P181" i="2"/>
  <c r="Q181" i="2"/>
  <c r="Y125" i="1"/>
  <c r="AE125" i="1"/>
  <c r="M7" i="2"/>
  <c r="N7" i="2" s="1"/>
  <c r="AE167" i="1"/>
  <c r="Y167" i="1"/>
  <c r="W154" i="1"/>
  <c r="X34" i="1"/>
  <c r="X44" i="1"/>
  <c r="V14" i="1"/>
  <c r="U14" i="1"/>
  <c r="X24" i="1"/>
  <c r="X8" i="1"/>
  <c r="Y48" i="1"/>
  <c r="AE48" i="1"/>
  <c r="W88" i="1"/>
  <c r="Q594" i="2"/>
  <c r="P594" i="2"/>
  <c r="P278" i="2"/>
  <c r="Q278" i="2"/>
  <c r="V35" i="1"/>
  <c r="U35" i="1"/>
  <c r="Q319" i="2"/>
  <c r="P319" i="2"/>
  <c r="Q57" i="2"/>
  <c r="P57" i="2"/>
  <c r="X35" i="1"/>
  <c r="AE123" i="1"/>
  <c r="Y123" i="1"/>
  <c r="P234" i="2"/>
  <c r="Q234" i="2"/>
  <c r="P350" i="2"/>
  <c r="Q350" i="2"/>
  <c r="P155" i="2"/>
  <c r="Q155" i="2"/>
  <c r="Q4" i="2"/>
  <c r="P4" i="2"/>
  <c r="U34" i="1"/>
  <c r="V34" i="1"/>
  <c r="X14" i="1"/>
  <c r="B12" i="3"/>
  <c r="B5" i="5" s="1"/>
  <c r="U2" i="1"/>
  <c r="V2" i="1"/>
  <c r="V47" i="1"/>
  <c r="U47" i="1"/>
  <c r="Q891" i="2"/>
  <c r="P891" i="2"/>
  <c r="Q920" i="2"/>
  <c r="P920" i="2"/>
  <c r="Q694" i="2"/>
  <c r="P694" i="2"/>
  <c r="P773" i="2"/>
  <c r="Q773" i="2"/>
  <c r="Q574" i="2"/>
  <c r="P574" i="2"/>
  <c r="Q870" i="2"/>
  <c r="P870" i="2"/>
  <c r="Q578" i="2"/>
  <c r="P578" i="2"/>
  <c r="Q753" i="2"/>
  <c r="P753" i="2"/>
  <c r="P463" i="2"/>
  <c r="Q463" i="2"/>
  <c r="Q106" i="2"/>
  <c r="P106" i="2"/>
  <c r="M39" i="2"/>
  <c r="N39" i="2" s="1"/>
  <c r="Q304" i="2"/>
  <c r="P304" i="2"/>
  <c r="P191" i="2"/>
  <c r="Q191" i="2"/>
  <c r="Q216" i="2"/>
  <c r="P216" i="2"/>
  <c r="Q892" i="2"/>
  <c r="P892" i="2"/>
  <c r="P745" i="2"/>
  <c r="Q745" i="2"/>
  <c r="Q930" i="2"/>
  <c r="P930" i="2"/>
  <c r="P571" i="2"/>
  <c r="Q571" i="2"/>
  <c r="P165" i="2"/>
  <c r="Q165" i="2"/>
  <c r="Q364" i="2"/>
  <c r="P364" i="2"/>
  <c r="Q25" i="2"/>
  <c r="P25" i="2"/>
  <c r="Q237" i="2"/>
  <c r="P237" i="2"/>
  <c r="P982" i="2"/>
  <c r="Q982" i="2"/>
  <c r="Q629" i="2"/>
  <c r="P629" i="2"/>
  <c r="M27" i="2"/>
  <c r="N27" i="2" s="1"/>
  <c r="Q175" i="2"/>
  <c r="P175" i="2"/>
  <c r="M13" i="2"/>
  <c r="N13" i="2" s="1"/>
  <c r="P208" i="2"/>
  <c r="Q208" i="2"/>
  <c r="Q201" i="2"/>
  <c r="P201" i="2"/>
  <c r="Q397" i="2"/>
  <c r="P397" i="2"/>
  <c r="Q697" i="2"/>
  <c r="P697" i="2"/>
  <c r="Q860" i="2"/>
  <c r="P860" i="2"/>
  <c r="Q454" i="2"/>
  <c r="P454" i="2"/>
  <c r="Q288" i="2"/>
  <c r="P288" i="2"/>
  <c r="Q756" i="2"/>
  <c r="P756" i="2"/>
  <c r="Q778" i="2"/>
  <c r="P778" i="2"/>
  <c r="P902" i="2"/>
  <c r="Q902" i="2"/>
  <c r="Q793" i="2"/>
  <c r="P793" i="2"/>
  <c r="Q495" i="2"/>
  <c r="P495" i="2"/>
  <c r="Q616" i="2"/>
  <c r="P616" i="2"/>
  <c r="M25" i="2"/>
  <c r="N25" i="2" s="1"/>
  <c r="P674" i="2"/>
  <c r="Q674" i="2"/>
  <c r="P313" i="2"/>
  <c r="Q313" i="2"/>
  <c r="Y146" i="1"/>
  <c r="AE146" i="1"/>
  <c r="Q193" i="2"/>
  <c r="P193" i="2"/>
  <c r="W197" i="1"/>
  <c r="Q339" i="2"/>
  <c r="P339" i="2"/>
  <c r="Q794" i="2"/>
  <c r="P794" i="2"/>
  <c r="Q109" i="2"/>
  <c r="P109" i="2"/>
  <c r="P62" i="2"/>
  <c r="Q62" i="2"/>
  <c r="Q116" i="2"/>
  <c r="P116" i="2"/>
  <c r="AE183" i="1"/>
  <c r="Y183" i="1"/>
  <c r="Q506" i="2"/>
  <c r="P506" i="2"/>
  <c r="W148" i="1"/>
  <c r="M26" i="2"/>
  <c r="N26" i="2" s="1"/>
  <c r="V25" i="1"/>
  <c r="U25" i="1"/>
  <c r="X2" i="1"/>
  <c r="W48" i="1"/>
  <c r="Y186" i="1"/>
  <c r="AE186" i="1"/>
  <c r="Q803" i="2"/>
  <c r="P803" i="2"/>
  <c r="U13" i="1"/>
  <c r="V13" i="1"/>
  <c r="V10" i="1"/>
  <c r="U10" i="1"/>
  <c r="Q985" i="2"/>
  <c r="P985" i="2"/>
  <c r="V3" i="1"/>
  <c r="U3" i="1"/>
  <c r="Y45" i="1"/>
  <c r="AE45" i="1"/>
  <c r="Q189" i="2"/>
  <c r="P189" i="2"/>
  <c r="Q86" i="2"/>
  <c r="P86" i="2"/>
  <c r="Q750" i="2"/>
  <c r="P750" i="2"/>
  <c r="P962" i="2"/>
  <c r="Q962" i="2"/>
  <c r="Q845" i="2"/>
  <c r="P845" i="2"/>
  <c r="Q205" i="2"/>
  <c r="P205" i="2"/>
  <c r="P223" i="2"/>
  <c r="Q223" i="2"/>
  <c r="Q484" i="2"/>
  <c r="P484" i="2"/>
  <c r="Q493" i="2"/>
  <c r="P493" i="2"/>
  <c r="Q931" i="2"/>
  <c r="P931" i="2"/>
  <c r="Q996" i="2"/>
  <c r="P996" i="2"/>
  <c r="Q654" i="2"/>
  <c r="P654" i="2"/>
  <c r="Q738" i="2"/>
  <c r="P738" i="2"/>
  <c r="P653" i="2"/>
  <c r="Q653" i="2"/>
  <c r="Q914" i="2"/>
  <c r="P914" i="2"/>
  <c r="P623" i="2"/>
  <c r="Q623" i="2"/>
  <c r="Q704" i="2"/>
  <c r="P704" i="2"/>
  <c r="Q536" i="2"/>
  <c r="P536" i="2"/>
  <c r="Q419" i="2"/>
  <c r="P419" i="2"/>
  <c r="P148" i="2"/>
  <c r="Q148" i="2"/>
  <c r="Q32" i="2"/>
  <c r="P32" i="2"/>
  <c r="W187" i="1"/>
  <c r="Y86" i="1"/>
  <c r="AE86" i="1"/>
  <c r="Q994" i="2"/>
  <c r="P994" i="2"/>
  <c r="Q113" i="2"/>
  <c r="P113" i="2"/>
  <c r="M16" i="2"/>
  <c r="N16" i="2" s="1"/>
  <c r="AE147" i="1"/>
  <c r="Y147" i="1"/>
  <c r="P130" i="2"/>
  <c r="Q130" i="2"/>
  <c r="Q701" i="2"/>
  <c r="P701" i="2"/>
  <c r="Q597" i="2"/>
  <c r="P597" i="2"/>
  <c r="Q68" i="2"/>
  <c r="P68" i="2"/>
  <c r="Q353" i="2"/>
  <c r="P353" i="2"/>
  <c r="Y156" i="1"/>
  <c r="AE156" i="1"/>
  <c r="Q383" i="2"/>
  <c r="P383" i="2"/>
  <c r="AE182" i="1"/>
  <c r="Y182" i="1"/>
  <c r="Q681" i="2"/>
  <c r="P681" i="2"/>
  <c r="Q954" i="2"/>
  <c r="P954" i="2"/>
  <c r="M38" i="2"/>
  <c r="N38" i="2" s="1"/>
  <c r="W183" i="1"/>
  <c r="Y179" i="1"/>
  <c r="AE179" i="1"/>
  <c r="Q655" i="2"/>
  <c r="P655" i="2"/>
  <c r="P822" i="2"/>
  <c r="Q822" i="2"/>
  <c r="Q691" i="2"/>
  <c r="P691" i="2"/>
  <c r="Q923" i="2"/>
  <c r="P923" i="2"/>
  <c r="Q978" i="2"/>
  <c r="P978" i="2"/>
  <c r="Q956" i="2"/>
  <c r="P956" i="2"/>
  <c r="P500" i="2"/>
  <c r="Q500" i="2"/>
  <c r="P291" i="2"/>
  <c r="Q291" i="2"/>
  <c r="Q245" i="2"/>
  <c r="P245" i="2"/>
  <c r="Q56" i="2"/>
  <c r="P56" i="2"/>
  <c r="M32" i="2"/>
  <c r="N32" i="2" s="1"/>
  <c r="Q16" i="2"/>
  <c r="P16" i="2"/>
  <c r="Y18" i="1"/>
  <c r="AE18" i="1"/>
  <c r="Y126" i="1"/>
  <c r="AE126" i="1"/>
  <c r="Y43" i="1"/>
  <c r="AE43" i="1"/>
  <c r="Q762" i="2"/>
  <c r="P762" i="2"/>
  <c r="Q890" i="2"/>
  <c r="P890" i="2"/>
  <c r="Q811" i="2"/>
  <c r="P811" i="2"/>
  <c r="Q721" i="2"/>
  <c r="P721" i="2"/>
  <c r="Q776" i="2"/>
  <c r="P776" i="2"/>
  <c r="Q950" i="2"/>
  <c r="P950" i="2"/>
  <c r="P464" i="2"/>
  <c r="Q464" i="2"/>
  <c r="Q929" i="2"/>
  <c r="P929" i="2"/>
  <c r="Q512" i="2"/>
  <c r="P512" i="2"/>
  <c r="M10" i="2"/>
  <c r="N10" i="2" s="1"/>
  <c r="Q613" i="2"/>
  <c r="P613" i="2"/>
  <c r="W182" i="1"/>
  <c r="Y129" i="1"/>
  <c r="AE129" i="1"/>
  <c r="Y17" i="1"/>
  <c r="AE17" i="1"/>
  <c r="AE82" i="1"/>
  <c r="Y82" i="1"/>
  <c r="Q137" i="2"/>
  <c r="P137" i="2"/>
  <c r="X51" i="1"/>
  <c r="V51" i="1"/>
  <c r="U51" i="1"/>
  <c r="W179" i="1"/>
  <c r="X46" i="1"/>
  <c r="Y69" i="1" l="1"/>
  <c r="Y68" i="1"/>
  <c r="Y70" i="1"/>
  <c r="AE66" i="1"/>
  <c r="Y74" i="1"/>
  <c r="AE67" i="1"/>
  <c r="Y63" i="1"/>
  <c r="Y64" i="1"/>
  <c r="Y59" i="1"/>
  <c r="Y62" i="1"/>
  <c r="AE60" i="1"/>
  <c r="Y53" i="1"/>
  <c r="Y61" i="1"/>
  <c r="Y58" i="1"/>
  <c r="AE57" i="1"/>
  <c r="AE56" i="1"/>
  <c r="Y55" i="1"/>
  <c r="Y52" i="1"/>
  <c r="Y54" i="1"/>
  <c r="W10" i="1"/>
  <c r="Y32" i="1"/>
  <c r="Y12" i="1"/>
  <c r="W35" i="1"/>
  <c r="Y41" i="1"/>
  <c r="AE25" i="1"/>
  <c r="Y30" i="1"/>
  <c r="AE6" i="1"/>
  <c r="AE19" i="1"/>
  <c r="W3" i="1"/>
  <c r="Y3" i="1"/>
  <c r="W9" i="1"/>
  <c r="W21" i="1"/>
  <c r="AE15" i="1"/>
  <c r="Y28" i="1"/>
  <c r="W49" i="1"/>
  <c r="AE11" i="1"/>
  <c r="W47" i="1"/>
  <c r="Y16" i="1"/>
  <c r="Y39" i="1"/>
  <c r="AE33" i="1"/>
  <c r="Y33" i="1"/>
  <c r="Y10" i="1"/>
  <c r="W4" i="1"/>
  <c r="W36" i="1"/>
  <c r="W22" i="1"/>
  <c r="AE31" i="1"/>
  <c r="AE5" i="1"/>
  <c r="Y5" i="1"/>
  <c r="W2" i="1"/>
  <c r="AE38" i="1"/>
  <c r="Y38" i="1"/>
  <c r="Y20" i="1"/>
  <c r="AE20" i="1"/>
  <c r="Y27" i="1"/>
  <c r="AE27" i="1"/>
  <c r="W25" i="1"/>
  <c r="W26" i="1"/>
  <c r="W20" i="1"/>
  <c r="AE21" i="1"/>
  <c r="Y21" i="1"/>
  <c r="Y50" i="1"/>
  <c r="AE50" i="1"/>
  <c r="Y37" i="1"/>
  <c r="AE37" i="1"/>
  <c r="AE4" i="1"/>
  <c r="W42" i="1"/>
  <c r="AE36" i="1"/>
  <c r="Y36" i="1"/>
  <c r="W23" i="1"/>
  <c r="W51" i="1"/>
  <c r="W44" i="1"/>
  <c r="W32" i="1"/>
  <c r="AE47" i="1"/>
  <c r="Y47" i="1"/>
  <c r="Y51" i="1"/>
  <c r="AE51" i="1"/>
  <c r="AE14" i="1"/>
  <c r="Y14" i="1"/>
  <c r="AE8" i="1"/>
  <c r="Y8" i="1"/>
  <c r="Y44" i="1"/>
  <c r="AE44" i="1"/>
  <c r="W30" i="1"/>
  <c r="AE34" i="1"/>
  <c r="Y34" i="1"/>
  <c r="Y24" i="1"/>
  <c r="AE24" i="1"/>
  <c r="B10" i="3"/>
  <c r="B5" i="3"/>
  <c r="B4" i="3"/>
  <c r="B14" i="4"/>
  <c r="B18" i="4" s="1"/>
  <c r="B8" i="4"/>
  <c r="B3" i="4"/>
  <c r="B11" i="3"/>
  <c r="B3" i="3"/>
  <c r="Y2" i="1"/>
  <c r="AE2" i="1"/>
  <c r="AE9" i="1"/>
  <c r="Y9" i="1"/>
  <c r="W29" i="1"/>
  <c r="W46" i="1"/>
  <c r="AE46" i="1"/>
  <c r="Y46" i="1"/>
  <c r="W34" i="1"/>
  <c r="Y26" i="1"/>
  <c r="AE26" i="1"/>
  <c r="Y42" i="1"/>
  <c r="AE42" i="1"/>
  <c r="W8" i="1"/>
  <c r="AE22" i="1"/>
  <c r="Y22" i="1"/>
  <c r="AE23" i="1"/>
  <c r="Y23" i="1"/>
  <c r="AE29" i="1"/>
  <c r="Y29" i="1"/>
  <c r="W24" i="1"/>
  <c r="W13" i="1"/>
  <c r="AE35" i="1"/>
  <c r="Y35" i="1"/>
  <c r="W14" i="1"/>
  <c r="B6" i="3" l="1"/>
  <c r="B9" i="3"/>
  <c r="B7" i="3"/>
  <c r="B20" i="4"/>
  <c r="B19" i="4"/>
  <c r="B14" i="3"/>
  <c r="B2" i="5"/>
  <c r="B4" i="5" s="1"/>
  <c r="B11" i="4"/>
  <c r="B7" i="4"/>
  <c r="AR82" i="1" s="1"/>
  <c r="B5" i="4"/>
  <c r="B8" i="3"/>
  <c r="Z14" i="1" s="1"/>
  <c r="AR80" i="1" l="1"/>
  <c r="AR81" i="1"/>
  <c r="AR77" i="1"/>
  <c r="AR74" i="1"/>
  <c r="AR75" i="1"/>
  <c r="AR72" i="1"/>
  <c r="AR70" i="1"/>
  <c r="AR71" i="1"/>
  <c r="AR67" i="1"/>
  <c r="AR68" i="1"/>
  <c r="AR65" i="1"/>
  <c r="AR66" i="1"/>
  <c r="AR59" i="1"/>
  <c r="AR60" i="1"/>
  <c r="AR56" i="1"/>
  <c r="AR57" i="1"/>
  <c r="AR54" i="1"/>
  <c r="AR55" i="1"/>
  <c r="B21" i="4"/>
  <c r="B22" i="4" s="1"/>
  <c r="B23" i="4" s="1"/>
  <c r="G54" i="1"/>
  <c r="G53" i="1"/>
  <c r="G52" i="1"/>
  <c r="B13" i="3"/>
  <c r="B6" i="5" s="1"/>
  <c r="B7" i="5" s="1"/>
  <c r="Z2" i="1"/>
  <c r="Z8" i="1"/>
  <c r="AB195" i="1"/>
  <c r="AC195" i="1" s="1"/>
  <c r="AB185" i="1"/>
  <c r="AC185" i="1" s="1"/>
  <c r="AB175" i="1"/>
  <c r="AC175" i="1" s="1"/>
  <c r="AB165" i="1"/>
  <c r="AC165" i="1" s="1"/>
  <c r="AB155" i="1"/>
  <c r="AC155" i="1" s="1"/>
  <c r="AB41" i="1"/>
  <c r="AC41" i="1" s="1"/>
  <c r="AB194" i="1"/>
  <c r="AC194" i="1" s="1"/>
  <c r="AB184" i="1"/>
  <c r="AC184" i="1" s="1"/>
  <c r="AB174" i="1"/>
  <c r="AC174" i="1" s="1"/>
  <c r="AB164" i="1"/>
  <c r="AC164" i="1" s="1"/>
  <c r="AB154" i="1"/>
  <c r="AC154" i="1" s="1"/>
  <c r="AB144" i="1"/>
  <c r="AC144" i="1" s="1"/>
  <c r="AB134" i="1"/>
  <c r="AC134" i="1" s="1"/>
  <c r="AB124" i="1"/>
  <c r="AC124" i="1" s="1"/>
  <c r="AB114" i="1"/>
  <c r="AC114" i="1" s="1"/>
  <c r="AB104" i="1"/>
  <c r="AC104" i="1" s="1"/>
  <c r="AB94" i="1"/>
  <c r="AC94" i="1" s="1"/>
  <c r="AB84" i="1"/>
  <c r="AC84" i="1" s="1"/>
  <c r="AB74" i="1"/>
  <c r="AC74" i="1" s="1"/>
  <c r="AB64" i="1"/>
  <c r="AC64" i="1" s="1"/>
  <c r="AB54" i="1"/>
  <c r="AC54" i="1" s="1"/>
  <c r="AB192" i="1"/>
  <c r="AC192" i="1" s="1"/>
  <c r="AB191" i="1"/>
  <c r="AC191" i="1" s="1"/>
  <c r="AB178" i="1"/>
  <c r="AC178" i="1" s="1"/>
  <c r="AB109" i="1"/>
  <c r="AC109" i="1" s="1"/>
  <c r="AB105" i="1"/>
  <c r="AC105" i="1" s="1"/>
  <c r="AB102" i="1"/>
  <c r="AC102" i="1" s="1"/>
  <c r="AB101" i="1"/>
  <c r="AC101" i="1" s="1"/>
  <c r="AB189" i="1"/>
  <c r="AC189" i="1" s="1"/>
  <c r="AB187" i="1"/>
  <c r="AC187" i="1" s="1"/>
  <c r="AB153" i="1"/>
  <c r="AC153" i="1" s="1"/>
  <c r="AB201" i="1"/>
  <c r="AC201" i="1" s="1"/>
  <c r="AB188" i="1"/>
  <c r="AC188" i="1" s="1"/>
  <c r="AB96" i="1"/>
  <c r="AC96" i="1" s="1"/>
  <c r="AB90" i="1"/>
  <c r="AC90" i="1" s="1"/>
  <c r="AB83" i="1"/>
  <c r="AC83" i="1" s="1"/>
  <c r="AB44" i="1"/>
  <c r="AC44" i="1" s="1"/>
  <c r="AB43" i="1"/>
  <c r="AC43" i="1" s="1"/>
  <c r="AB29" i="1"/>
  <c r="AC29" i="1" s="1"/>
  <c r="AB16" i="1"/>
  <c r="AC16" i="1" s="1"/>
  <c r="AB200" i="1"/>
  <c r="AC200" i="1" s="1"/>
  <c r="AB196" i="1"/>
  <c r="AC196" i="1" s="1"/>
  <c r="AB152" i="1"/>
  <c r="AC152" i="1" s="1"/>
  <c r="AB151" i="1"/>
  <c r="AC151" i="1" s="1"/>
  <c r="AB198" i="1"/>
  <c r="AC198" i="1" s="1"/>
  <c r="AB162" i="1"/>
  <c r="AC162" i="1" s="1"/>
  <c r="AB161" i="1"/>
  <c r="AC161" i="1" s="1"/>
  <c r="AB149" i="1"/>
  <c r="AC149" i="1" s="1"/>
  <c r="AB145" i="1"/>
  <c r="AC145" i="1" s="1"/>
  <c r="AB142" i="1"/>
  <c r="AC142" i="1" s="1"/>
  <c r="AB141" i="1"/>
  <c r="AC141" i="1" s="1"/>
  <c r="AB88" i="1"/>
  <c r="AC88" i="1" s="1"/>
  <c r="AB87" i="1"/>
  <c r="AC87" i="1" s="1"/>
  <c r="AB129" i="1"/>
  <c r="AC129" i="1" s="1"/>
  <c r="AB125" i="1"/>
  <c r="AC125" i="1" s="1"/>
  <c r="AB122" i="1"/>
  <c r="AC122" i="1" s="1"/>
  <c r="AB121" i="1"/>
  <c r="AC121" i="1" s="1"/>
  <c r="AB68" i="1"/>
  <c r="AC68" i="1" s="1"/>
  <c r="AB67" i="1"/>
  <c r="AC67" i="1" s="1"/>
  <c r="AB36" i="1"/>
  <c r="AC36" i="1" s="1"/>
  <c r="AB10" i="1"/>
  <c r="AC10" i="1" s="1"/>
  <c r="AB156" i="1"/>
  <c r="AC156" i="1" s="1"/>
  <c r="AB112" i="1"/>
  <c r="AC112" i="1" s="1"/>
  <c r="AB89" i="1"/>
  <c r="AC89" i="1" s="1"/>
  <c r="AB76" i="1"/>
  <c r="AC76" i="1" s="1"/>
  <c r="AB50" i="1"/>
  <c r="AC50" i="1" s="1"/>
  <c r="AB182" i="1"/>
  <c r="AC182" i="1" s="1"/>
  <c r="AB91" i="1"/>
  <c r="AC91" i="1" s="1"/>
  <c r="AB63" i="1"/>
  <c r="AC63" i="1" s="1"/>
  <c r="AB61" i="1"/>
  <c r="AC61" i="1" s="1"/>
  <c r="AB60" i="1"/>
  <c r="AC60" i="1" s="1"/>
  <c r="AB59" i="1"/>
  <c r="AC59" i="1" s="1"/>
  <c r="AB53" i="1"/>
  <c r="AC53" i="1" s="1"/>
  <c r="AB51" i="1"/>
  <c r="AC51" i="1" s="1"/>
  <c r="AB166" i="1"/>
  <c r="AC166" i="1" s="1"/>
  <c r="AB183" i="1"/>
  <c r="AC183" i="1" s="1"/>
  <c r="AB176" i="1"/>
  <c r="AC176" i="1" s="1"/>
  <c r="AB167" i="1"/>
  <c r="AC167" i="1" s="1"/>
  <c r="AB157" i="1"/>
  <c r="AC157" i="1" s="1"/>
  <c r="AB168" i="1"/>
  <c r="AC168" i="1" s="1"/>
  <c r="AB159" i="1"/>
  <c r="AC159" i="1" s="1"/>
  <c r="AB158" i="1"/>
  <c r="AC158" i="1" s="1"/>
  <c r="AB128" i="1"/>
  <c r="AC128" i="1" s="1"/>
  <c r="AB119" i="1"/>
  <c r="AC119" i="1" s="1"/>
  <c r="AB118" i="1"/>
  <c r="AC118" i="1" s="1"/>
  <c r="AB34" i="1"/>
  <c r="AC34" i="1" s="1"/>
  <c r="AB33" i="1"/>
  <c r="AC33" i="1" s="1"/>
  <c r="AB32" i="1"/>
  <c r="AC32" i="1" s="1"/>
  <c r="AB14" i="1"/>
  <c r="AC14" i="1" s="1"/>
  <c r="AB13" i="1"/>
  <c r="AC13" i="1" s="1"/>
  <c r="AB11" i="1"/>
  <c r="AC11" i="1" s="1"/>
  <c r="AB9" i="1"/>
  <c r="AC9" i="1" s="1"/>
  <c r="AB199" i="1"/>
  <c r="AC199" i="1" s="1"/>
  <c r="AB107" i="1"/>
  <c r="AC107" i="1" s="1"/>
  <c r="AB99" i="1"/>
  <c r="AC99" i="1" s="1"/>
  <c r="AB98" i="1"/>
  <c r="AC98" i="1" s="1"/>
  <c r="AB46" i="1"/>
  <c r="AC46" i="1" s="1"/>
  <c r="AB190" i="1"/>
  <c r="AC190" i="1" s="1"/>
  <c r="AB180" i="1"/>
  <c r="AC180" i="1" s="1"/>
  <c r="AB179" i="1"/>
  <c r="AC179" i="1" s="1"/>
  <c r="AB131" i="1"/>
  <c r="AC131" i="1" s="1"/>
  <c r="AB111" i="1"/>
  <c r="AC111" i="1" s="1"/>
  <c r="AB38" i="1"/>
  <c r="AC38" i="1" s="1"/>
  <c r="AB28" i="1"/>
  <c r="AC28" i="1" s="1"/>
  <c r="AB39" i="1"/>
  <c r="AC39" i="1" s="1"/>
  <c r="AB40" i="1"/>
  <c r="AC40" i="1" s="1"/>
  <c r="AB169" i="1"/>
  <c r="AC169" i="1" s="1"/>
  <c r="AB135" i="1"/>
  <c r="AC135" i="1" s="1"/>
  <c r="AB58" i="1"/>
  <c r="AC58" i="1" s="1"/>
  <c r="AB173" i="1"/>
  <c r="AC173" i="1" s="1"/>
  <c r="AB138" i="1"/>
  <c r="AC138" i="1" s="1"/>
  <c r="AB120" i="1"/>
  <c r="AC120" i="1" s="1"/>
  <c r="AB75" i="1"/>
  <c r="AC75" i="1" s="1"/>
  <c r="AB160" i="1"/>
  <c r="AC160" i="1" s="1"/>
  <c r="AB97" i="1"/>
  <c r="AC97" i="1" s="1"/>
  <c r="AB170" i="1"/>
  <c r="AC170" i="1" s="1"/>
  <c r="AB115" i="1"/>
  <c r="AC115" i="1" s="1"/>
  <c r="AB21" i="1"/>
  <c r="AC21" i="1" s="1"/>
  <c r="AB20" i="1"/>
  <c r="AC20" i="1" s="1"/>
  <c r="AB108" i="1"/>
  <c r="AC108" i="1" s="1"/>
  <c r="AB81" i="1"/>
  <c r="AC81" i="1" s="1"/>
  <c r="AB12" i="1"/>
  <c r="AC12" i="1" s="1"/>
  <c r="AB197" i="1"/>
  <c r="AC197" i="1" s="1"/>
  <c r="AB150" i="1"/>
  <c r="AC150" i="1" s="1"/>
  <c r="AB139" i="1"/>
  <c r="AC139" i="1" s="1"/>
  <c r="AB132" i="1"/>
  <c r="AC132" i="1" s="1"/>
  <c r="Z120" i="1"/>
  <c r="AB113" i="1"/>
  <c r="AC113" i="1" s="1"/>
  <c r="AB95" i="1"/>
  <c r="AC95" i="1" s="1"/>
  <c r="AB82" i="1"/>
  <c r="AC82" i="1" s="1"/>
  <c r="AB30" i="1"/>
  <c r="AC30" i="1" s="1"/>
  <c r="AB123" i="1"/>
  <c r="AC123" i="1" s="1"/>
  <c r="AB71" i="1"/>
  <c r="AC71" i="1" s="1"/>
  <c r="AB19" i="1"/>
  <c r="AC19" i="1" s="1"/>
  <c r="AB127" i="1"/>
  <c r="AC127" i="1" s="1"/>
  <c r="AB147" i="1"/>
  <c r="AC147" i="1" s="1"/>
  <c r="AB73" i="1"/>
  <c r="AC73" i="1" s="1"/>
  <c r="AB116" i="1"/>
  <c r="AC116" i="1" s="1"/>
  <c r="AB137" i="1"/>
  <c r="AC137" i="1" s="1"/>
  <c r="AB86" i="1"/>
  <c r="AC86" i="1" s="1"/>
  <c r="AB181" i="1"/>
  <c r="AC181" i="1" s="1"/>
  <c r="AB133" i="1"/>
  <c r="AC133" i="1" s="1"/>
  <c r="AB126" i="1"/>
  <c r="AC126" i="1" s="1"/>
  <c r="AB106" i="1"/>
  <c r="AC106" i="1" s="1"/>
  <c r="AB70" i="1"/>
  <c r="AC70" i="1" s="1"/>
  <c r="AB69" i="1"/>
  <c r="AC69" i="1" s="1"/>
  <c r="AB52" i="1"/>
  <c r="AC52" i="1" s="1"/>
  <c r="AB15" i="1"/>
  <c r="AC15" i="1" s="1"/>
  <c r="AB103" i="1"/>
  <c r="AC103" i="1" s="1"/>
  <c r="Z90" i="1"/>
  <c r="Z169" i="1"/>
  <c r="AB22" i="1"/>
  <c r="AC22" i="1" s="1"/>
  <c r="AB55" i="1"/>
  <c r="AC55" i="1" s="1"/>
  <c r="AB35" i="1"/>
  <c r="AC35" i="1" s="1"/>
  <c r="AB140" i="1"/>
  <c r="AC140" i="1" s="1"/>
  <c r="AB31" i="1"/>
  <c r="AC31" i="1" s="1"/>
  <c r="AB47" i="1"/>
  <c r="AC47" i="1" s="1"/>
  <c r="AB17" i="1"/>
  <c r="AC17" i="1" s="1"/>
  <c r="AB42" i="1"/>
  <c r="AC42" i="1" s="1"/>
  <c r="AB18" i="1"/>
  <c r="AC18" i="1" s="1"/>
  <c r="AB48" i="1"/>
  <c r="AC48" i="1" s="1"/>
  <c r="AB177" i="1"/>
  <c r="AC177" i="1" s="1"/>
  <c r="AB146" i="1"/>
  <c r="AC146" i="1" s="1"/>
  <c r="Z168" i="1"/>
  <c r="AB62" i="1"/>
  <c r="AC62" i="1" s="1"/>
  <c r="AB77" i="1"/>
  <c r="AC77" i="1" s="1"/>
  <c r="AB72" i="1"/>
  <c r="AC72" i="1" s="1"/>
  <c r="Z63" i="1"/>
  <c r="AB78" i="1"/>
  <c r="AC78" i="1" s="1"/>
  <c r="AB92" i="1"/>
  <c r="AC92" i="1" s="1"/>
  <c r="AB85" i="1"/>
  <c r="AC85" i="1" s="1"/>
  <c r="AB65" i="1"/>
  <c r="AC65" i="1" s="1"/>
  <c r="AB49" i="1"/>
  <c r="AC49" i="1" s="1"/>
  <c r="AB23" i="1"/>
  <c r="AC23" i="1" s="1"/>
  <c r="AB8" i="1"/>
  <c r="AC8" i="1" s="1"/>
  <c r="AB3" i="1"/>
  <c r="AC3" i="1" s="1"/>
  <c r="AB117" i="1"/>
  <c r="AC117" i="1" s="1"/>
  <c r="AB79" i="1"/>
  <c r="AC79" i="1" s="1"/>
  <c r="AB56" i="1"/>
  <c r="AC56" i="1" s="1"/>
  <c r="AB24" i="1"/>
  <c r="AC24" i="1" s="1"/>
  <c r="AB7" i="1"/>
  <c r="AC7" i="1" s="1"/>
  <c r="AB6" i="1"/>
  <c r="AC6" i="1" s="1"/>
  <c r="AB5" i="1"/>
  <c r="AC5" i="1" s="1"/>
  <c r="AB4" i="1"/>
  <c r="AC4" i="1" s="1"/>
  <c r="AB171" i="1"/>
  <c r="AC171" i="1" s="1"/>
  <c r="Z128" i="1"/>
  <c r="AB93" i="1"/>
  <c r="AC93" i="1" s="1"/>
  <c r="AB66" i="1"/>
  <c r="AC66" i="1" s="1"/>
  <c r="AB2" i="1"/>
  <c r="AC2" i="1" s="1"/>
  <c r="AB186" i="1"/>
  <c r="AC186" i="1" s="1"/>
  <c r="AB143" i="1"/>
  <c r="AC143" i="1" s="1"/>
  <c r="AB136" i="1"/>
  <c r="AC136" i="1" s="1"/>
  <c r="AB110" i="1"/>
  <c r="AC110" i="1" s="1"/>
  <c r="AB80" i="1"/>
  <c r="AC80" i="1" s="1"/>
  <c r="AB57" i="1"/>
  <c r="AC57" i="1" s="1"/>
  <c r="AB25" i="1"/>
  <c r="AC25" i="1" s="1"/>
  <c r="AB193" i="1"/>
  <c r="AC193" i="1" s="1"/>
  <c r="Z162" i="1"/>
  <c r="AB148" i="1"/>
  <c r="AC148" i="1" s="1"/>
  <c r="AB130" i="1"/>
  <c r="AC130" i="1" s="1"/>
  <c r="AB100" i="1"/>
  <c r="AC100" i="1" s="1"/>
  <c r="AB27" i="1"/>
  <c r="AC27" i="1" s="1"/>
  <c r="AB26" i="1"/>
  <c r="AC26" i="1" s="1"/>
  <c r="AB172" i="1"/>
  <c r="AC172" i="1" s="1"/>
  <c r="AB163" i="1"/>
  <c r="AC163" i="1" s="1"/>
  <c r="AB45" i="1"/>
  <c r="AC45" i="1" s="1"/>
  <c r="AB37" i="1"/>
  <c r="AC37" i="1" s="1"/>
  <c r="Z116" i="1"/>
  <c r="Z117" i="1"/>
  <c r="Z94" i="1"/>
  <c r="Z64" i="1"/>
  <c r="Z170" i="1"/>
  <c r="Z108" i="1"/>
  <c r="Z150" i="1"/>
  <c r="Z100" i="1"/>
  <c r="Z148" i="1"/>
  <c r="Z55" i="1"/>
  <c r="Z110" i="1"/>
  <c r="Z89" i="1"/>
  <c r="Z191" i="1"/>
  <c r="Z92" i="1"/>
  <c r="Z130" i="1"/>
  <c r="Z7" i="1"/>
  <c r="Z70" i="1"/>
  <c r="Z141" i="1"/>
  <c r="Z171" i="1"/>
  <c r="Z119" i="1"/>
  <c r="Z59" i="1"/>
  <c r="Z144" i="1"/>
  <c r="Z79" i="1"/>
  <c r="Z197" i="1"/>
  <c r="Z53" i="1"/>
  <c r="Z127" i="1"/>
  <c r="Z101" i="1"/>
  <c r="Z160" i="1"/>
  <c r="Z135" i="1"/>
  <c r="Z104" i="1"/>
  <c r="Z199" i="1"/>
  <c r="Z137" i="1"/>
  <c r="Z54" i="1"/>
  <c r="Z131" i="1"/>
  <c r="Z73" i="1"/>
  <c r="Z109" i="1"/>
  <c r="Z172" i="1"/>
  <c r="Z201" i="1"/>
  <c r="Z74" i="1"/>
  <c r="Z184" i="1"/>
  <c r="Z190" i="1"/>
  <c r="Z5" i="1"/>
  <c r="Z138" i="1"/>
  <c r="Z21" i="1"/>
  <c r="Z50" i="1"/>
  <c r="Z196" i="1"/>
  <c r="Z177" i="1"/>
  <c r="Z68" i="1"/>
  <c r="Z93" i="1"/>
  <c r="Z189" i="1"/>
  <c r="Z83" i="1"/>
  <c r="Z81" i="1"/>
  <c r="Z133" i="1"/>
  <c r="Z37" i="1"/>
  <c r="Z164" i="1"/>
  <c r="Z87" i="1"/>
  <c r="Z105" i="1"/>
  <c r="Z40" i="1"/>
  <c r="Z111" i="1"/>
  <c r="Z157" i="1"/>
  <c r="Z38" i="1"/>
  <c r="Z16" i="1"/>
  <c r="Z6" i="1"/>
  <c r="Z165" i="1"/>
  <c r="Z115" i="1"/>
  <c r="Z143" i="1"/>
  <c r="Z118" i="1"/>
  <c r="Z88" i="1"/>
  <c r="Z71" i="1"/>
  <c r="Z166" i="1"/>
  <c r="Z41" i="1"/>
  <c r="Z174" i="1"/>
  <c r="Z31" i="1"/>
  <c r="Z19" i="1"/>
  <c r="Z103" i="1"/>
  <c r="Z132" i="1"/>
  <c r="Z136" i="1"/>
  <c r="Z175" i="1"/>
  <c r="Z98" i="1"/>
  <c r="Z145" i="1"/>
  <c r="Z95" i="1"/>
  <c r="Z39" i="1"/>
  <c r="Z65" i="1"/>
  <c r="Z122" i="1"/>
  <c r="Z15" i="1"/>
  <c r="Z85" i="1"/>
  <c r="Z78" i="1"/>
  <c r="Z151" i="1"/>
  <c r="Z57" i="1"/>
  <c r="Z60" i="1"/>
  <c r="Z102" i="1"/>
  <c r="Z114" i="1"/>
  <c r="Z134" i="1"/>
  <c r="Z195" i="1"/>
  <c r="Z155" i="1"/>
  <c r="Z96" i="1"/>
  <c r="Z140" i="1"/>
  <c r="Z75" i="1"/>
  <c r="Z198" i="1"/>
  <c r="Z173" i="1"/>
  <c r="Z80" i="1"/>
  <c r="Z11" i="1"/>
  <c r="Z153" i="1"/>
  <c r="Z193" i="1"/>
  <c r="Z159" i="1"/>
  <c r="Z200" i="1"/>
  <c r="Z194" i="1"/>
  <c r="Z161" i="1"/>
  <c r="Z61" i="1"/>
  <c r="Z28" i="1"/>
  <c r="Z72" i="1"/>
  <c r="Z152" i="1"/>
  <c r="Z20" i="1"/>
  <c r="Z176" i="1"/>
  <c r="Z67" i="1"/>
  <c r="Z113" i="1"/>
  <c r="Z91" i="1"/>
  <c r="Z192" i="1"/>
  <c r="Z158" i="1"/>
  <c r="Z149" i="1"/>
  <c r="Z97" i="1"/>
  <c r="Z112" i="1"/>
  <c r="Z33" i="1"/>
  <c r="Z52" i="1"/>
  <c r="Z181" i="1"/>
  <c r="Z77" i="1"/>
  <c r="Z69" i="1"/>
  <c r="Z76" i="1"/>
  <c r="Z121" i="1"/>
  <c r="Z62" i="1"/>
  <c r="Z27" i="1"/>
  <c r="Z84" i="1"/>
  <c r="Z107" i="1"/>
  <c r="Z142" i="1"/>
  <c r="Z180" i="1"/>
  <c r="Z86" i="1"/>
  <c r="Z125" i="1"/>
  <c r="Z183" i="1"/>
  <c r="Z99" i="1"/>
  <c r="Z185" i="1"/>
  <c r="Z139" i="1"/>
  <c r="Z12" i="1"/>
  <c r="Z106" i="1"/>
  <c r="Z17" i="1"/>
  <c r="Z126" i="1"/>
  <c r="Z146" i="1"/>
  <c r="Z49" i="1"/>
  <c r="Z187" i="1"/>
  <c r="Z156" i="1"/>
  <c r="Z13" i="1"/>
  <c r="Z147" i="1"/>
  <c r="Z18" i="1"/>
  <c r="Z129" i="1"/>
  <c r="Z48" i="1"/>
  <c r="Z179" i="1"/>
  <c r="Z3" i="1"/>
  <c r="Z56" i="1"/>
  <c r="Z66" i="1"/>
  <c r="Z45" i="1"/>
  <c r="Z58" i="1"/>
  <c r="Z30" i="1"/>
  <c r="Z188" i="1"/>
  <c r="Z163" i="1"/>
  <c r="Z178" i="1"/>
  <c r="Z10" i="1"/>
  <c r="Z124" i="1"/>
  <c r="Z82" i="1"/>
  <c r="Z182" i="1"/>
  <c r="Z32" i="1"/>
  <c r="Z186" i="1"/>
  <c r="Z25" i="1"/>
  <c r="Z4" i="1"/>
  <c r="Z123" i="1"/>
  <c r="Z167" i="1"/>
  <c r="Z43" i="1"/>
  <c r="Z154" i="1"/>
  <c r="Z42" i="1"/>
  <c r="B10" i="4"/>
  <c r="AR14" i="1"/>
  <c r="AR22" i="1"/>
  <c r="AR42" i="1"/>
  <c r="AR6" i="1"/>
  <c r="AR29" i="1"/>
  <c r="AR25" i="1"/>
  <c r="AR10" i="1"/>
  <c r="AR49" i="1"/>
  <c r="AR40" i="1"/>
  <c r="AR7" i="1"/>
  <c r="AR8" i="1"/>
  <c r="AR23" i="1"/>
  <c r="AR34" i="1"/>
  <c r="AR15" i="1"/>
  <c r="AR2" i="1"/>
  <c r="AR17" i="1"/>
  <c r="AR47" i="1"/>
  <c r="AR44" i="1"/>
  <c r="AR39" i="1"/>
  <c r="AR16" i="1"/>
  <c r="AR32" i="1"/>
  <c r="AR11" i="1"/>
  <c r="AR38" i="1"/>
  <c r="AR20" i="1"/>
  <c r="AR37" i="1"/>
  <c r="AR4" i="1"/>
  <c r="Z47" i="1"/>
  <c r="Z23" i="1"/>
  <c r="Z22" i="1"/>
  <c r="Z34" i="1"/>
  <c r="Z9" i="1"/>
  <c r="Z26" i="1"/>
  <c r="Z29" i="1"/>
  <c r="Z44" i="1"/>
  <c r="Z46" i="1"/>
  <c r="Z51" i="1"/>
  <c r="Z36" i="1"/>
  <c r="Z24" i="1"/>
  <c r="Z35" i="1"/>
  <c r="G82" i="1" l="1"/>
  <c r="G83" i="1"/>
  <c r="G80" i="1"/>
  <c r="G81" i="1"/>
  <c r="G79" i="1"/>
  <c r="R63" i="2"/>
  <c r="AR79" i="1" s="1"/>
  <c r="G78" i="1"/>
  <c r="R62" i="2"/>
  <c r="AR78" i="1" s="1"/>
  <c r="R61" i="2"/>
  <c r="AR76" i="1" s="1"/>
  <c r="G77" i="1"/>
  <c r="G75" i="1"/>
  <c r="G76" i="1"/>
  <c r="R60" i="2"/>
  <c r="G74" i="1"/>
  <c r="G73" i="1"/>
  <c r="R59" i="2"/>
  <c r="R34" i="2"/>
  <c r="AR43" i="1" s="1"/>
  <c r="G71" i="1"/>
  <c r="G72" i="1"/>
  <c r="R58" i="2"/>
  <c r="G70" i="1"/>
  <c r="R47" i="2"/>
  <c r="AR53" i="1" s="1"/>
  <c r="R42" i="2"/>
  <c r="R57" i="2"/>
  <c r="R32" i="2"/>
  <c r="G69" i="1"/>
  <c r="R35" i="2"/>
  <c r="AR45" i="1" s="1"/>
  <c r="G67" i="1"/>
  <c r="G68" i="1"/>
  <c r="G65" i="1"/>
  <c r="G66" i="1"/>
  <c r="R41" i="2"/>
  <c r="R55" i="2"/>
  <c r="R56" i="2"/>
  <c r="R54" i="2"/>
  <c r="G64" i="1"/>
  <c r="R52" i="2"/>
  <c r="R53" i="2"/>
  <c r="R44" i="2"/>
  <c r="G63" i="1"/>
  <c r="R51" i="2"/>
  <c r="R36" i="2"/>
  <c r="AR46" i="1" s="1"/>
  <c r="G62" i="1"/>
  <c r="R50" i="2"/>
  <c r="AR62" i="1" s="1"/>
  <c r="R22" i="2"/>
  <c r="R49" i="2"/>
  <c r="AR61" i="1" s="1"/>
  <c r="R45" i="2"/>
  <c r="R5" i="2"/>
  <c r="AR9" i="1" s="1"/>
  <c r="R7" i="2"/>
  <c r="AR13" i="1" s="1"/>
  <c r="R6" i="2"/>
  <c r="AR12" i="1" s="1"/>
  <c r="R27" i="2"/>
  <c r="R26" i="2"/>
  <c r="R11" i="2"/>
  <c r="R21" i="2"/>
  <c r="AR28" i="1" s="1"/>
  <c r="R31" i="2"/>
  <c r="R2" i="2"/>
  <c r="R37" i="2"/>
  <c r="AR48" i="1" s="1"/>
  <c r="R39" i="2"/>
  <c r="G60" i="1"/>
  <c r="G61" i="1"/>
  <c r="R46" i="2"/>
  <c r="R12" i="2"/>
  <c r="R9" i="2"/>
  <c r="AR19" i="1" s="1"/>
  <c r="R19" i="2"/>
  <c r="R40" i="2"/>
  <c r="R3" i="2"/>
  <c r="R25" i="2"/>
  <c r="AR31" i="1" s="1"/>
  <c r="R33" i="2"/>
  <c r="AR41" i="1" s="1"/>
  <c r="R24" i="2"/>
  <c r="R38" i="2"/>
  <c r="R18" i="2"/>
  <c r="R29" i="2"/>
  <c r="R20" i="2"/>
  <c r="R13" i="2"/>
  <c r="R30" i="2"/>
  <c r="R23" i="2"/>
  <c r="R8" i="2"/>
  <c r="AR18" i="1" s="1"/>
  <c r="R15" i="2"/>
  <c r="AR24" i="1" s="1"/>
  <c r="R28" i="2"/>
  <c r="R14" i="2"/>
  <c r="R48" i="2"/>
  <c r="AR58" i="1" s="1"/>
  <c r="G59" i="1"/>
  <c r="G57" i="1"/>
  <c r="G58" i="1"/>
  <c r="R10" i="2"/>
  <c r="R43" i="2"/>
  <c r="R4" i="2"/>
  <c r="AR5" i="1" s="1"/>
  <c r="G55" i="1"/>
  <c r="G56" i="1"/>
  <c r="AR73" i="1" l="1"/>
  <c r="AR69" i="1"/>
  <c r="AR36" i="1"/>
  <c r="AR64" i="1"/>
  <c r="AR63" i="1"/>
  <c r="AR51" i="1"/>
  <c r="AR52" i="1"/>
  <c r="AR33" i="1"/>
  <c r="AR3" i="1"/>
  <c r="AR50" i="1"/>
  <c r="AR30" i="1"/>
  <c r="AR35" i="1"/>
  <c r="AR27" i="1"/>
  <c r="AR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<sst xmlns="http://schemas.openxmlformats.org/spreadsheetml/2006/main" count="476" uniqueCount="163">
  <si>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</si>
  <si>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</si>
  <si>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</si>
  <si>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</si>
  <si>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</si>
  <si>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</si>
  <si>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</si>
  <si>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</si>
  <si>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</si>
  <si>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</si>
  <si>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</si>
  <si>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</si>
  <si>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</si>
  <si>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</si>
  <si>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</si>
  <si>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</si>
  <si>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</si>
  <si>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</si>
  <si>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</si>
  <si>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</si>
  <si>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</si>
  <si>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</si>
  <si>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</si>
  <si>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</si>
  <si>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</si>
  <si>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</si>
  <si>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</si>
  <si>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</si>
  <si>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</si>
  <si>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</si>
  <si>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</si>
  <si>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</si>
  <si>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</si>
  <si>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</si>
  <si>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</si>
  <si>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</si>
  <si>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</si>
  <si>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</si>
  <si>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</si>
  <si>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</si>
  <si>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</si>
  <si>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</si>
  <si>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</si>
  <si>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</si>
  <si>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</si>
  <si>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</si>
  <si>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</si>
  <si>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</si>
  <si>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</si>
  <si>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</si>
  <si>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</si>
  <si>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</si>
  <si>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</si>
  <si>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</si>
  <si>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</si>
  <si>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</si>
  <si>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</si>
  <si>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</si>
  <si>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</si>
  <si>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</si>
  <si>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</si>
  <si>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</si>
  <si>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</si>
  <si>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</si>
  <si>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</si>
  <si>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</si>
  <si>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</si>
  <si>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</si>
  <si>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</si>
  <si>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</si>
  <si>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</si>
  <si>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</si>
  <si>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</si>
  <si>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</si>
  <si>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</si>
  <si>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</si>
  <si>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</si>
  <si>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</si>
  <si>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</si>
  <si>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</si>
  <si>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</si>
  <si>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</si>
  <si>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</si>
  <si>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</si>
  <si>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</si>
  <si>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</si>
  <si>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</si>
  <si>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</si>
  <si>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</si>
  <si>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</si>
  <si>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</si>
  <si>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</si>
  <si>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</si>
  <si>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</si>
  <si>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</si>
  <si>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</si>
  <si>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</si>
  <si>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</si>
  <si>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</si>
  <si>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</si>
  <si>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</si>
  <si>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</si>
  <si>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</si>
  <si>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</si>
  <si>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</si>
  <si>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</si>
  <si>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</si>
  <si>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</si>
  <si>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</si>
  <si>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</si>
  <si>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</si>
  <si>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</si>
  <si>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</si>
  <si>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</si>
  <si>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</si>
  <si>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</si>
  <si>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</si>
  <si>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</si>
  <si>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</si>
  <si>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</si>
  <si>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</si>
  <si>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</si>
  <si>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</si>
  <si>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</si>
  <si>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</si>
  <si>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</si>
  <si>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</si>
  <si>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</si>
  <si>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</si>
  <si>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</si>
  <si>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</si>
  <si>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</si>
  <si>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</si>
  <si>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</si>
  <si>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</si>
  <si>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</si>
  <si>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</si>
  <si>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</si>
  <si>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</si>
  <si>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</si>
  <si>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</si>
  <si>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</si>
  <si>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</si>
  <si>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</si>
  <si>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</si>
  <si>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</si>
  <si>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</si>
  <si>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</si>
  <si>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</si>
  <si>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</si>
  <si>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</si>
  <si>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</si>
  <si>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</si>
  <si>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</si>
  <si>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</si>
  <si>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</si>
  <si>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</si>
  <si>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</si>
  <si>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</si>
  <si>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</si>
  <si>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</si>
  <si>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</si>
  <si>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浪潮信息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</si>
</sst>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2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rgb="FFFF0000"/>
      <name val="宋体"/>
      <family val="3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6" fillId="6" borderId="1" xfId="0" applyNumberFormat="1" applyFont="1" applyFill="1" applyBorder="1" applyAlignment="1">
      <alignment vertical="top" wrapText="1"/>
    </xf>
    <xf numFmtId="176" fontId="6" fillId="6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74" zoomScale="115" zoomScaleNormal="115" workbookViewId="0">
      <pane xSplit="2" topLeftCell="C1" activePane="topRight" state="frozen"/>
      <selection pane="topRight" activeCell="B85" sqref="B85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0.19331742243436761</v>
      </c>
      <c r="V2" s="5">
        <f t="shared" ref="V2:V33" si="3">IF(OR(AO2="",N2="",AO2&lt;=0),"",(AO2-N2)/AO2)</f>
        <v>0.11353562904875548</v>
      </c>
      <c r="W2" s="23">
        <f t="shared" ref="W2:W33" si="4">IF(OR(U2="",V2="",V2&lt;=0),"",U2/V2)</f>
        <v>1.7027027027027042</v>
      </c>
      <c r="X2" s="3">
        <f t="shared" ref="X2:X33" si="5">IF(OR(K2="",L2="",AO2="",AP2=""),"",(K2-AO2)*L2-IF(O2="",0,O2)-IF(P2="",0,P2))</f>
        <v>-3323.9999999999995</v>
      </c>
      <c r="Y2" s="5">
        <f t="shared" ref="Y2:Y33" si="6">IF(OR(X2="",AO2="",L2=""),"",IF(AO2*L2+IF(O2="",0,O2)&lt;=0,"",X2/(AO2*L2+IF(O2="",0,O2))))</f>
        <v>-0.1888851005796113</v>
      </c>
      <c r="Z2" s="5">
        <f>IF(OR(AE2="",多次统计数据!$B$8=""),"",AE2-多次统计数据!$B$8)</f>
        <v>-0.12154349939651091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5.2127368536445173E-2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-3.3239999999999999E-2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-1.9721577726218159E-2</v>
      </c>
      <c r="V3" s="5">
        <f t="shared" si="3"/>
        <v>0.18938515081206503</v>
      </c>
      <c r="W3" s="23">
        <f t="shared" si="4"/>
        <v>-0.10413476263399722</v>
      </c>
      <c r="X3" s="3">
        <f t="shared" si="5"/>
        <v>3085.9999999999977</v>
      </c>
      <c r="Y3" s="5">
        <f t="shared" si="6"/>
        <v>4.4750580046403678E-2</v>
      </c>
      <c r="Z3" s="5">
        <f>IF(OR(AE3="",多次统计数据!$B$8=""),"",AE3-多次统计数据!$B$8)</f>
        <v>-5.6383434025541017E-2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5.2127368536445173E-2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3.1920065370969884E-2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26.523076923076925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0.21485595279416875</v>
      </c>
      <c r="V4" s="5">
        <f t="shared" si="3"/>
        <v>9.753557792433179E-2</v>
      </c>
      <c r="W4" s="23">
        <f t="shared" si="4"/>
        <v>2.2028469750889696</v>
      </c>
      <c r="X4" s="3">
        <f t="shared" si="5"/>
        <v>-1000</v>
      </c>
      <c r="Y4" s="5">
        <f t="shared" si="6"/>
        <v>-6.9420340159666777E-2</v>
      </c>
      <c r="Z4" s="5">
        <f>IF(OR(AE4="",多次统计数据!$B$8=""),"",AE4-多次统计数据!$B$8)</f>
        <v>-9.8327356175645239E-2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5.2127368536445173E-2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-1.002385677913434E-2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0.15606936416184972</v>
      </c>
      <c r="V5" s="5">
        <f t="shared" si="3"/>
        <v>6.06936416184971E-2</v>
      </c>
      <c r="W5" s="23">
        <f t="shared" si="4"/>
        <v>2.5714285714285721</v>
      </c>
      <c r="X5" s="3">
        <f t="shared" si="5"/>
        <v>574.99999999999932</v>
      </c>
      <c r="Y5" s="5">
        <f t="shared" si="6"/>
        <v>4.1546242774566422E-2</v>
      </c>
      <c r="Z5" s="5">
        <f>IF(OR(AE5="",多次统计数据!$B$8=""),"",AE5-多次统计数据!$B$8)</f>
        <v>-8.2481422079324129E-2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5.2127368536445173E-2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5.8220773171867657E-3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-6.5527065527065526E-2</v>
      </c>
      <c r="V6" s="5">
        <f t="shared" si="3"/>
        <v>7.4074074074074014E-2</v>
      </c>
      <c r="W6" s="23">
        <f t="shared" si="4"/>
        <v>-0.88461538461538536</v>
      </c>
      <c r="X6" s="3">
        <f t="shared" si="5"/>
        <v>-1655.9999999999998</v>
      </c>
      <c r="Y6" s="5">
        <f t="shared" si="6"/>
        <v>-6.5527065527065512E-2</v>
      </c>
      <c r="Z6" s="5">
        <f>IF(OR(AE6="",多次统计数据!$B$8=""),"",AE6-多次统计数据!$B$8)</f>
        <v>-0.10497402498113698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5.2127368536445173E-2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-1.6670525584626068E-2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0.11275964391691391</v>
      </c>
      <c r="V7" s="5">
        <f t="shared" si="3"/>
        <v>7.2700296735905071E-2</v>
      </c>
      <c r="W7" s="23">
        <f t="shared" si="4"/>
        <v>1.5510204081632644</v>
      </c>
      <c r="X7" s="3">
        <f t="shared" si="5"/>
        <v>-432.0000000000004</v>
      </c>
      <c r="Y7" s="5">
        <f t="shared" si="6"/>
        <v>-1.7804154302670641E-2</v>
      </c>
      <c r="Z7" s="5">
        <f>IF(OR(AE7="",多次统计数据!$B$8=""),"",AE7-多次统计数据!$B$8)</f>
        <v>-9.2726058543120785E-2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5.2127368536445173E-2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-4.4225591466098869E-3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0.15662650602409639</v>
      </c>
      <c r="V8" s="5">
        <f t="shared" si="3"/>
        <v>0.13253012048192772</v>
      </c>
      <c r="W8" s="23">
        <f t="shared" si="4"/>
        <v>1.1818181818181817</v>
      </c>
      <c r="X8" s="3">
        <f t="shared" si="5"/>
        <v>-1889.9999999999995</v>
      </c>
      <c r="Y8" s="5">
        <f t="shared" si="6"/>
        <v>-0.13012048192771081</v>
      </c>
      <c r="Z8" s="5">
        <f>IF(OR(AE8="",多次统计数据!$B$8=""),"",AE8-多次统计数据!$B$8)</f>
        <v>-0.10773814653941211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5.2127368536445173E-2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-1.9434647142901208E-2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0.10344827586206896</v>
      </c>
      <c r="V9" s="5">
        <f t="shared" si="3"/>
        <v>0.13793103448275862</v>
      </c>
      <c r="W9" s="23">
        <f t="shared" si="4"/>
        <v>0.75</v>
      </c>
      <c r="X9" s="3">
        <f t="shared" si="5"/>
        <v>-441.00000000000182</v>
      </c>
      <c r="Y9" s="5">
        <f t="shared" si="6"/>
        <v>-1.4482758620689715E-2</v>
      </c>
      <c r="Z9" s="5">
        <f>IF(OR(AE9="",多次统计数据!$B$8=""),"",AE9-多次统计数据!$B$8)</f>
        <v>-9.2928128429952961E-2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5.2127368536445173E-2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-4.6246290334420641E-3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0.10420979986197376</v>
      </c>
      <c r="V10" s="5">
        <f t="shared" si="3"/>
        <v>6.8322981366459645E-2</v>
      </c>
      <c r="W10" s="23">
        <f t="shared" si="4"/>
        <v>1.5252525252525246</v>
      </c>
      <c r="X10" s="3">
        <f t="shared" si="5"/>
        <v>-2147.0000000000014</v>
      </c>
      <c r="Y10" s="5">
        <f t="shared" si="6"/>
        <v>-7.7984817115251945E-2</v>
      </c>
      <c r="Z10" s="5">
        <f>IF(OR(AE10="",多次统计数据!$B$8=""),"",AE10-多次统计数据!$B$8)</f>
        <v>-0.11092302361741738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5.2127368536445173E-2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-2.2619524220906483E-2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0.28022759601706965</v>
      </c>
      <c r="V11" s="5">
        <f t="shared" si="3"/>
        <v>7.5391180654338585E-2</v>
      </c>
      <c r="W11" s="23">
        <f t="shared" si="4"/>
        <v>3.7169811320754693</v>
      </c>
      <c r="X11" s="3">
        <f t="shared" si="5"/>
        <v>-2312.0000000000023</v>
      </c>
      <c r="Y11" s="5">
        <f t="shared" si="6"/>
        <v>-9.6728307254623141E-2</v>
      </c>
      <c r="Z11" s="5">
        <f>IF(OR(AE11="",多次统计数据!$B$8=""),"",AE11-多次统计数据!$B$8)</f>
        <v>-0.11322508049405218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5.2127368536445173E-2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-2.4921581097541282E-2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0.20132145359895884</v>
      </c>
      <c r="V12" s="5">
        <f t="shared" si="3"/>
        <v>7.8986885574131555E-2</v>
      </c>
      <c r="W12" s="23">
        <f t="shared" si="4"/>
        <v>2.548795944233206</v>
      </c>
      <c r="X12" s="3">
        <f t="shared" si="5"/>
        <v>-1382.9999999999998</v>
      </c>
      <c r="Y12" s="5">
        <f t="shared" si="6"/>
        <v>-4.615076584242666E-2</v>
      </c>
      <c r="Z12" s="5">
        <f>IF(OR(AE12="",多次统计数据!$B$8=""),"",AE12-多次统计数据!$B$8)</f>
        <v>-0.10359219372211698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5.2127368536445173E-2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-1.5288694325606074E-2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0.20786839986195785</v>
      </c>
      <c r="V13" s="5">
        <f t="shared" si="3"/>
        <v>0.11422984010123091</v>
      </c>
      <c r="W13" s="23">
        <f t="shared" si="4"/>
        <v>1.8197381671701904</v>
      </c>
      <c r="X13" s="3">
        <f t="shared" si="5"/>
        <v>2640.0000000000005</v>
      </c>
      <c r="Y13" s="5">
        <f t="shared" si="6"/>
        <v>3.7961578281375828E-2</v>
      </c>
      <c r="Z13" s="5">
        <f>IF(OR(AE13="",多次统计数据!$B$8=""),"",AE13-多次统计数据!$B$8)</f>
        <v>-5.8665886571507529E-2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5.2127368536445173E-2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2.9637612825003372E-2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12.418571428571429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0.17924528301886786</v>
      </c>
      <c r="V14" s="5">
        <f t="shared" si="3"/>
        <v>9.5911949685534639E-2</v>
      </c>
      <c r="W14" s="23">
        <f t="shared" si="4"/>
        <v>1.8688524590163917</v>
      </c>
      <c r="X14" s="3">
        <f t="shared" si="5"/>
        <v>-2700.0000000000009</v>
      </c>
      <c r="Y14" s="5">
        <f t="shared" si="6"/>
        <v>-0.1415094339622642</v>
      </c>
      <c r="Z14" s="5">
        <f>IF(OR(AE14="",多次统计数据!$B$8=""),"",AE14-多次统计数据!$B$8)</f>
        <v>-0.11774220147684586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5.2127368536445173E-2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-2.9438702080334958E-2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10.199999999999999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0.13314447592067991</v>
      </c>
      <c r="V15" s="5">
        <f t="shared" si="3"/>
        <v>5.5712936732766748E-2</v>
      </c>
      <c r="W15" s="23">
        <f t="shared" si="4"/>
        <v>2.389830508474577</v>
      </c>
      <c r="X15" s="3">
        <f t="shared" si="5"/>
        <v>-1170.0000000000018</v>
      </c>
      <c r="Y15" s="5">
        <f t="shared" si="6"/>
        <v>-3.6827195467422157E-2</v>
      </c>
      <c r="Z15" s="5">
        <f>IF(OR(AE15="",多次统计数据!$B$8=""),"",AE15-多次统计数据!$B$8)</f>
        <v>-0.10144720389907226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5.2127368536445173E-2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-1.3143704502561358E-2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9.7200000000000006</v>
      </c>
      <c r="F16" s="6">
        <f t="shared" si="0"/>
        <v>2400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0.23456790123456783</v>
      </c>
      <c r="V16" s="5">
        <f t="shared" si="3"/>
        <v>7.4074074074074139E-2</v>
      </c>
      <c r="W16" s="23">
        <f t="shared" si="4"/>
        <v>3.166666666666663</v>
      </c>
      <c r="X16" s="3">
        <f t="shared" si="5"/>
        <v>-2088.0000000000023</v>
      </c>
      <c r="Y16" s="5">
        <f t="shared" si="6"/>
        <v>-8.9506172839506265E-2</v>
      </c>
      <c r="Z16" s="5">
        <f>IF(OR(AE16="",多次统计数据!$B$8=""),"",AE16-多次统计数据!$B$8)</f>
        <v>-0.11207236764321539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5.2127368536445173E-2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-2.3768868246704485E-2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9.7200000000000006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0.32860938883968122</v>
      </c>
      <c r="V17" s="5">
        <f t="shared" si="3"/>
        <v>6.9973427812223141E-2</v>
      </c>
      <c r="W17" s="23">
        <f t="shared" si="4"/>
        <v>4.6962025316455751</v>
      </c>
      <c r="X17" s="3">
        <f t="shared" si="5"/>
        <v>-1889.999999999997</v>
      </c>
      <c r="Y17" s="5">
        <f t="shared" si="6"/>
        <v>-7.9716563330380741E-2</v>
      </c>
      <c r="Z17" s="5">
        <f>IF(OR(AE17="",多次统计数据!$B$8=""),"",AE17-多次统计数据!$B$8)</f>
        <v>-0.11034225962879241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5.2127368536445173E-2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-2.2038760232281501E-2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9.1389488623495746E-2</v>
      </c>
      <c r="W18" s="23">
        <f t="shared" si="4"/>
        <v>1.696183710556751</v>
      </c>
      <c r="X18" s="3">
        <f t="shared" si="5"/>
        <v>7869.9999999999991</v>
      </c>
      <c r="Y18" s="5">
        <f t="shared" si="6"/>
        <v>0.11882294324581401</v>
      </c>
      <c r="Z18" s="5">
        <f>IF(OR(AE18="",多次统计数据!$B$8=""),"",AE18-多次统计数据!$B$8)</f>
        <v>5.5344364073713764E-3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5.2127368536445173E-2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9.3837935803882278E-2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12.986862745098039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9.1163441361622813E-2</v>
      </c>
      <c r="V19" s="5">
        <f t="shared" si="3"/>
        <v>0.12100722779202606</v>
      </c>
      <c r="W19" s="23">
        <f t="shared" si="4"/>
        <v>0.75337186897880615</v>
      </c>
      <c r="X19" s="3">
        <f t="shared" si="5"/>
        <v>16395</v>
      </c>
      <c r="Y19" s="5">
        <f t="shared" si="6"/>
        <v>0.25483795756586619</v>
      </c>
      <c r="Z19" s="5">
        <f>IF(OR(AE19="",多次统计数据!$B$8=""),"",AE19-多次统计数据!$B$8)</f>
        <v>9.0411972926844733E-2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5.2127368536445173E-2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0.17871547232335563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17.649999999999999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16.496153846153845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0.1044638748274275</v>
      </c>
      <c r="V20" s="5">
        <f t="shared" si="3"/>
        <v>7.9613437643810417E-2</v>
      </c>
      <c r="W20" s="23">
        <f t="shared" si="4"/>
        <v>1.3121387283236989</v>
      </c>
      <c r="X20" s="3">
        <f t="shared" si="5"/>
        <v>84.000000000000341</v>
      </c>
      <c r="Y20" s="5">
        <f t="shared" si="6"/>
        <v>3.2213529682466767E-3</v>
      </c>
      <c r="Z20" s="5">
        <f>IF(OR(AE20="",多次统计数据!$B$8=""),"",AE20-多次统计数据!$B$8)</f>
        <v>-8.7526678259577675E-2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5.2127368536445173E-2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7.7682113693322433E-4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-0.10582887800152745</v>
      </c>
      <c r="V21" s="5">
        <f t="shared" si="3"/>
        <v>0.3144688064678377</v>
      </c>
      <c r="W21" s="23">
        <f t="shared" si="4"/>
        <v>-0.33653219595995476</v>
      </c>
      <c r="X21" s="3">
        <f t="shared" si="5"/>
        <v>74910.000000000015</v>
      </c>
      <c r="Y21" s="5">
        <f t="shared" si="6"/>
        <v>0.6977329036344333</v>
      </c>
      <c r="Z21" s="5">
        <f>IF(OR(AE21="",多次统计数据!$B$8=""),"",AE21-多次统计数据!$B$8)</f>
        <v>0.60391676174545394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5.2127368536445173E-2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0.69222026114196489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33.550624999999997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69.099999999999994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0.13074204946996468</v>
      </c>
      <c r="V22" s="5">
        <f t="shared" si="3"/>
        <v>0.22261484098939929</v>
      </c>
      <c r="W22" s="23">
        <f t="shared" si="4"/>
        <v>0.58730158730158732</v>
      </c>
      <c r="X22" s="3">
        <f t="shared" si="5"/>
        <v>-330.00000000000114</v>
      </c>
      <c r="Y22" s="5">
        <f t="shared" si="6"/>
        <v>-2.3321554770318102E-2</v>
      </c>
      <c r="Z22" s="5">
        <f>IF(OR(AE22="",多次统计数据!$B$8=""),"",AE22-多次统计数据!$B$8)</f>
        <v>-9.0105527497227902E-2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5.2127368536445173E-2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-1.8020281007169949E-3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0.15135021980322372</v>
      </c>
      <c r="V23" s="5">
        <f t="shared" si="3"/>
        <v>5.7986183797362423E-2</v>
      </c>
      <c r="W23" s="23">
        <f t="shared" si="4"/>
        <v>2.6101083032490937</v>
      </c>
      <c r="X23" s="3">
        <f t="shared" si="5"/>
        <v>1221.999999999997</v>
      </c>
      <c r="Y23" s="5">
        <f t="shared" si="6"/>
        <v>1.9677621938455049E-2</v>
      </c>
      <c r="Z23" s="5">
        <f>IF(OR(AE23="",多次统计数据!$B$8=""),"",AE23-多次统计数据!$B$8)</f>
        <v>-8.1618488154532112E-2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5.2127368536445173E-2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6.6850112419787906E-3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33.450000000000003</v>
      </c>
      <c r="F24" s="6">
        <f t="shared" si="0"/>
        <v>1000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0.14655695690294723</v>
      </c>
      <c r="V24" s="5">
        <f t="shared" si="3"/>
        <v>0.14008228232278958</v>
      </c>
      <c r="W24" s="23">
        <f t="shared" si="4"/>
        <v>1.0462205103514672</v>
      </c>
      <c r="X24" s="3">
        <f t="shared" si="5"/>
        <v>-2902.0000000000059</v>
      </c>
      <c r="Y24" s="5">
        <f t="shared" si="6"/>
        <v>-4.8931004249005289E-2</v>
      </c>
      <c r="Z24" s="5">
        <f>IF(OR(AE24="",多次统计数据!$B$8=""),"",AE24-多次统计数据!$B$8)</f>
        <v>-0.10407361009160221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5.2127368536445173E-2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-1.5770110695091301E-2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34.887058823529415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35.450000000000003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0.13475177304964539</v>
      </c>
      <c r="V25" s="5">
        <f t="shared" si="3"/>
        <v>6.3829787234042548E-2</v>
      </c>
      <c r="W25" s="23">
        <f t="shared" si="4"/>
        <v>2.1111111111111112</v>
      </c>
      <c r="X25" s="3">
        <f t="shared" si="5"/>
        <v>320.00000000000455</v>
      </c>
      <c r="Y25" s="5">
        <f t="shared" si="6"/>
        <v>5.673758865248308E-3</v>
      </c>
      <c r="Z25" s="5">
        <f>IF(OR(AE25="",多次统计数据!$B$8=""),"",AE25-多次统计数据!$B$8)</f>
        <v>-8.6536685679410877E-2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5.2127368536445173E-2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1.7668137171000212E-3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9.8717116966285157E-2</v>
      </c>
      <c r="V26" s="5">
        <f t="shared" si="3"/>
        <v>0.2089236757842747</v>
      </c>
      <c r="W26" s="23">
        <f t="shared" si="4"/>
        <v>0.47250325553440897</v>
      </c>
      <c r="X26" s="3">
        <f t="shared" si="5"/>
        <v>9791.0000000000091</v>
      </c>
      <c r="Y26" s="5">
        <f t="shared" si="6"/>
        <v>0.10245275516397054</v>
      </c>
      <c r="Z26" s="5">
        <f>IF(OR(AE26="",多次统计数据!$B$8=""),"",AE26-多次统计数据!$B$8)</f>
        <v>-3.4339864636235937E-2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5.2127368536445173E-2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5.3963634760274964E-2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45.507619047619045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-0.19635820647890831</v>
      </c>
      <c r="V27" s="5">
        <f t="shared" si="3"/>
        <v>0.35708656518312665</v>
      </c>
      <c r="W27" s="23">
        <f t="shared" si="4"/>
        <v>-0.54988965036589621</v>
      </c>
      <c r="X27" s="3">
        <f t="shared" si="5"/>
        <v>41332.999999999985</v>
      </c>
      <c r="Y27" s="5">
        <f t="shared" si="6"/>
        <v>0.2143027500103695</v>
      </c>
      <c r="Z27" s="5">
        <f>IF(OR(AE27="",多次统计数据!$B$8=""),"",AE27-多次统计数据!$B$8)</f>
        <v>0.12784162579436065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5.2127368536445173E-2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0.21614512519087156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62.216774193548389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0.11343545448410818</v>
      </c>
      <c r="V28" s="5">
        <f t="shared" si="3"/>
        <v>0.11853026520008103</v>
      </c>
      <c r="W28" s="23">
        <f t="shared" si="4"/>
        <v>0.95701679476231039</v>
      </c>
      <c r="X28" s="3">
        <f t="shared" si="5"/>
        <v>1050.9999999999977</v>
      </c>
      <c r="Y28" s="5">
        <f t="shared" si="6"/>
        <v>8.8653080504757214E-3</v>
      </c>
      <c r="Z28" s="5">
        <f>IF(OR(AE28="",多次统计数据!$B$8=""),"",AE28-多次统计数据!$B$8)</f>
        <v>-8.3784254983217191E-2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5.2127368536445173E-2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4.5192444132937069E-3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107.77454545454546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0.16513903992543102</v>
      </c>
      <c r="V29" s="5">
        <f t="shared" si="3"/>
        <v>6.7888768059655186E-2</v>
      </c>
      <c r="W29" s="23">
        <f t="shared" si="4"/>
        <v>2.4324942791761979</v>
      </c>
      <c r="X29" s="3">
        <f t="shared" si="5"/>
        <v>-5855.0000000000036</v>
      </c>
      <c r="Y29" s="5">
        <f t="shared" si="6"/>
        <v>-9.0958521050178695E-2</v>
      </c>
      <c r="Z29" s="5">
        <f>IF(OR(AE29="",多次统计数据!$B$8=""),"",AE29-多次统计数据!$B$8)</f>
        <v>-0.11336642424626178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5.2127368536445173E-2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-2.5062924849750885E-2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131.72999999999999</v>
      </c>
      <c r="F30" s="6">
        <f t="shared" si="0"/>
        <v>600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-4.0098293934701032E-2</v>
      </c>
      <c r="V30" s="5">
        <f t="shared" si="3"/>
        <v>0.20008191161225086</v>
      </c>
      <c r="W30" s="23">
        <f t="shared" si="4"/>
        <v>-0.200409390392119</v>
      </c>
      <c r="X30" s="3">
        <f t="shared" si="5"/>
        <v>48216.000000000007</v>
      </c>
      <c r="Y30" s="5">
        <f t="shared" si="6"/>
        <v>0.2057005362650865</v>
      </c>
      <c r="Z30" s="5">
        <f>IF(OR(AE30="",多次统计数据!$B$8=""),"",AE30-多次统计数据!$B$8)</f>
        <v>0.12339581171138043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5.2127368536445173E-2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0.21169931110789134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156.26599999999999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4.9428061706370055E-2</v>
      </c>
      <c r="V31" s="5">
        <f t="shared" si="3"/>
        <v>0.16045755063490397</v>
      </c>
      <c r="W31" s="23">
        <f t="shared" si="4"/>
        <v>0.30804447351209957</v>
      </c>
      <c r="X31" s="3">
        <f t="shared" si="5"/>
        <v>9933.0000000000036</v>
      </c>
      <c r="Y31" s="5">
        <f t="shared" si="6"/>
        <v>6.9493126246195844E-2</v>
      </c>
      <c r="Z31" s="5">
        <f>IF(OR(AE31="",多次统计数据!$B$8=""),"",AE31-多次统计数据!$B$8)</f>
        <v>-5.2310847941477244E-2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5.2127368536445173E-2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3.5992651455033657E-2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238.22499999999999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0.13018674990581774</v>
      </c>
      <c r="V32" s="5">
        <f t="shared" si="3"/>
        <v>8.5086916742909441E-2</v>
      </c>
      <c r="W32" s="23">
        <f t="shared" si="4"/>
        <v>1.5300442757748254</v>
      </c>
      <c r="X32" s="3">
        <f t="shared" si="5"/>
        <v>-5534.9999999999964</v>
      </c>
      <c r="Y32" s="5">
        <f t="shared" si="6"/>
        <v>-9.9294978741725354E-2</v>
      </c>
      <c r="Z32" s="5">
        <f>IF(OR(AE32="",多次统计数据!$B$8=""),"",AE32-多次统计数据!$B$8)</f>
        <v>-0.10766300916545593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5.2127368536445173E-2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-1.9359509768945026E-2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5.5648529404547502E-2</v>
      </c>
      <c r="V33" s="5">
        <f t="shared" si="3"/>
        <v>0.17894003268535194</v>
      </c>
      <c r="W33" s="23">
        <f t="shared" si="4"/>
        <v>0.31098982474424741</v>
      </c>
      <c r="X33" s="3">
        <f t="shared" si="5"/>
        <v>32849.000000000015</v>
      </c>
      <c r="Y33" s="5">
        <f t="shared" si="6"/>
        <v>0.16121338234500229</v>
      </c>
      <c r="Z33" s="5">
        <f>IF(OR(AE33="",多次统计数据!$B$8=""),"",AE33-多次统计数据!$B$8)</f>
        <v>2.8859117279250904E-2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5.2127368536445173E-2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0.1171626166757618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4.2627824267782426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4.2699999999999996</v>
      </c>
      <c r="F34" s="6">
        <f t="shared" ref="F34:F65" si="11">IF(OR(C34="",D34="",E34="",N34="",C34&lt;=0,D34&lt;=0,E34&lt;=N34),"",ROUNDDOWN((C34*D34)/(E34-N34)/100,0)*100)</f>
        <v>23200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0.17096018735363008</v>
      </c>
      <c r="V34" s="5">
        <f t="shared" ref="V34:V65" si="14">IF(OR(AO34="",N34="",AO34&lt;=0),"",(AO34-N34)/AO34)</f>
        <v>6.3231850117095922E-2</v>
      </c>
      <c r="W34" s="23">
        <f t="shared" ref="W34:W65" si="15">IF(OR(U34="",V34="",V34&lt;=0),"",U34/V34)</f>
        <v>2.7037037037037095</v>
      </c>
      <c r="X34" s="3">
        <f t="shared" ref="X34:X65" si="16">IF(OR(K34="",L34="",AO34="",AP34=""),"",(K34-AO34)*L34-IF(O34="",0,O34)-IF(P34="",0,P34))</f>
        <v>-2551.9999999999868</v>
      </c>
      <c r="Y34" s="5">
        <f t="shared" ref="Y34:Y65" si="17">IF(OR(X34="",AO34="",L34=""),"",IF(AO34*L34+IF(O34="",0,O34)&lt;=0,"",X34/(AO34*L34+IF(O34="",0,O34))))</f>
        <v>-2.5761124121779728E-2</v>
      </c>
      <c r="Z34" s="5">
        <f>IF(OR(AE34="",多次统计数据!$B$8=""),"",AE34-多次统计数据!$B$8)</f>
        <v>-9.6451127261908978E-2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5.2127368536445173E-2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-8.1476278653980806E-3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4.2699999999999996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4.6500000000000004</v>
      </c>
      <c r="O35" s="7"/>
      <c r="P35" s="7"/>
      <c r="Q35" s="21"/>
      <c r="R35" s="21"/>
      <c r="S35" s="21"/>
      <c r="T35" s="21"/>
      <c r="U35" s="5">
        <f t="shared" si="13"/>
        <v>2.8700419219606626E-2</v>
      </c>
      <c r="V35" s="5">
        <f t="shared" si="14"/>
        <v>0.13028055465978705</v>
      </c>
      <c r="W35" s="23">
        <f t="shared" si="15"/>
        <v>0.22029702970297085</v>
      </c>
      <c r="X35" s="3">
        <f t="shared" si="16"/>
        <v>34950.000000000029</v>
      </c>
      <c r="Y35" s="5">
        <f t="shared" si="17"/>
        <v>0.15027410512737838</v>
      </c>
      <c r="Z35" s="5">
        <f>IF(OR(AE35="",多次统计数据!$B$8=""),"",AE35-多次统计数据!$B$8)</f>
        <v>2.4196017772943404E-2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5.2127368536445173E-2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0.11249951716945431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5.3465517241379308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-1.5586546349466808E-2</v>
      </c>
      <c r="V36" s="5">
        <f t="shared" si="14"/>
        <v>0.20016406890894178</v>
      </c>
      <c r="W36" s="23">
        <f t="shared" si="15"/>
        <v>-7.7868852459016535E-2</v>
      </c>
      <c r="X36" s="3">
        <f t="shared" si="16"/>
        <v>41615.999999999985</v>
      </c>
      <c r="Y36" s="5">
        <f t="shared" si="17"/>
        <v>0.11853978671041833</v>
      </c>
      <c r="Z36" s="5">
        <f>IF(OR(AE36="",多次统计数据!$B$8=""),"",AE36-多次统计数据!$B$8)</f>
        <v>3.210689589540093E-2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5.2127368536445173E-2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0.12041039529191183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8.1266666666666669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10.220000000000001</v>
      </c>
      <c r="F37" s="6">
        <f t="shared" si="11"/>
        <v>10700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0.17416829745596862</v>
      </c>
      <c r="V37" s="5">
        <f t="shared" si="14"/>
        <v>7.0450097847358173E-2</v>
      </c>
      <c r="W37" s="23">
        <f t="shared" si="15"/>
        <v>2.4722222222222197</v>
      </c>
      <c r="X37" s="3">
        <f t="shared" si="16"/>
        <v>-13696.000000000013</v>
      </c>
      <c r="Y37" s="5">
        <f t="shared" si="17"/>
        <v>-0.12524461839530343</v>
      </c>
      <c r="Z37" s="5">
        <f>IF(OR(AE37="",多次统计数据!$B$8=""),"",AE37-多次统计数据!$B$8)</f>
        <v>-0.12367229449198291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5.2127368536445173E-2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-3.5368795095472021E-2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10.220000000000001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 s="20" customFormat="1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0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1">
        <v>42160</v>
      </c>
      <c r="J38" s="28">
        <v>12.5</v>
      </c>
      <c r="K38" s="28">
        <v>9.65</v>
      </c>
      <c r="L38" s="30">
        <f t="shared" si="12"/>
        <v>12600</v>
      </c>
      <c r="M38" s="31">
        <v>42171</v>
      </c>
      <c r="N38" s="28">
        <v>10.5</v>
      </c>
      <c r="O38" s="28"/>
      <c r="P38" s="28"/>
      <c r="Q38" s="26"/>
      <c r="R38" s="26"/>
      <c r="S38" s="26"/>
      <c r="T38" s="26"/>
      <c r="U38" s="32">
        <f t="shared" si="13"/>
        <v>0.12714156898106405</v>
      </c>
      <c r="V38" s="32">
        <f t="shared" si="14"/>
        <v>5.3201082055906207E-2</v>
      </c>
      <c r="W38" s="33">
        <f t="shared" si="15"/>
        <v>2.3898305084745775</v>
      </c>
      <c r="X38" s="34">
        <f t="shared" si="16"/>
        <v>-18143.999999999993</v>
      </c>
      <c r="Y38" s="32">
        <f t="shared" si="17"/>
        <v>-0.12984670874661852</v>
      </c>
      <c r="Z38" s="32">
        <f>IF(OR(AE38="",多次统计数据!$B$8=""),"",AE38-多次统计数据!$B$8)</f>
        <v>-0.13687687078041291</v>
      </c>
      <c r="AA38" s="35">
        <f t="shared" si="18"/>
        <v>11</v>
      </c>
      <c r="AB38" s="32">
        <f>IF(OR(A38="",多次统计数据!$B$8="",多次统计数据!$B$6&lt;=0,多次统计数据!$B$6&gt;=1),"",1-POWER(1+多次统计数据!$B$8,-多次统计数据!$B$6/(1-多次统计数据!$B$6)))</f>
        <v>5.2127368536445173E-2</v>
      </c>
      <c r="AC38" s="30" t="str">
        <f>IF(OR(AB38="",多次统计数据!$B$9=""),"",IF(多次统计数据!$B$9&lt;AB38,"低于上限","达到或超过上限"))</f>
        <v>低于上限</v>
      </c>
      <c r="AD38" s="26"/>
      <c r="AE38" s="32">
        <f t="shared" si="19"/>
        <v>-4.8573371383902018E-2</v>
      </c>
      <c r="AG38" s="26" t="s">
        <v>45</v>
      </c>
      <c r="AH38" s="26" t="s">
        <v>46</v>
      </c>
      <c r="AI38" s="27" t="s">
        <v>59</v>
      </c>
      <c r="AJ38" s="30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7" t="str">
        <f>IF(AK38=0,"",IFERROR(LOOKUP(2,1/((加仓管理!$A$2:$A$1001=A38)*(加仓管理!$G$2:$G$1001&gt;0)),加仓管理!$D$2:$D$1001),""))</f>
        <v/>
      </c>
      <c r="AN38" s="37" t="str">
        <f>IF(AK38=0,"",IFERROR(LOOKUP(2,1/((加仓管理!$A$2:$A$1001=A38)*(加仓管理!$G$2:$G$1001&gt;0)),加仓管理!$E$2:$E$1001),""))</f>
        <v/>
      </c>
      <c r="AO38" s="37">
        <f>IF(OR(A38="",H38="",H38&lt;=0),"",(E38*H38+SUMIFS(加仓管理!$H$2:$H$1001,加仓管理!$A$2:$A$1001,A38))/AP38)</f>
        <v>11.09</v>
      </c>
      <c r="AP38" s="36">
        <f t="shared" si="21"/>
        <v>12600</v>
      </c>
      <c r="AQ38" s="37">
        <f>IF(A38="","",IF(M38&lt;&gt;"",0,IF(OR(H38="",N38=""),"",MAX((E38*H38+SUMIFS(加仓管理!$H$2:$H$1001,加仓管理!$A$2:$A$1001,A38))-MAX(N38,AN38)*AP38,0))))</f>
        <v>0</v>
      </c>
      <c r="AR38" s="37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4.1900000000000004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0.15473441108545033</v>
      </c>
      <c r="V39" s="5">
        <f t="shared" si="14"/>
        <v>7.6212471131639745E-2</v>
      </c>
      <c r="W39" s="23">
        <f t="shared" si="15"/>
        <v>2.0303030303030294</v>
      </c>
      <c r="X39" s="3">
        <f t="shared" si="16"/>
        <v>-3009.9999999999932</v>
      </c>
      <c r="Y39" s="5">
        <f t="shared" si="17"/>
        <v>-3.2332563510392535E-2</v>
      </c>
      <c r="Z39" s="5">
        <f>IF(OR(AE39="",多次统计数据!$B$8=""),"",AE39-多次统计数据!$B$8)</f>
        <v>-9.6772972713449271E-2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5.2127368536445173E-2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-8.4694733169383644E-3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4.4000000000000004</v>
      </c>
      <c r="O40" s="7"/>
      <c r="P40" s="7"/>
      <c r="Q40" s="21"/>
      <c r="R40" s="21"/>
      <c r="S40" s="21"/>
      <c r="T40" s="21"/>
      <c r="U40" s="5">
        <f t="shared" si="13"/>
        <v>0.14822546972860123</v>
      </c>
      <c r="V40" s="5">
        <f t="shared" si="14"/>
        <v>8.141962421711893E-2</v>
      </c>
      <c r="W40" s="23">
        <f t="shared" si="15"/>
        <v>1.8205128205128218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-8.8303499396510901E-2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5.2127368536445173E-2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4.8499999999999996</v>
      </c>
      <c r="O41" s="7"/>
      <c r="P41" s="7"/>
      <c r="Q41" s="21"/>
      <c r="R41" s="21"/>
      <c r="S41" s="21"/>
      <c r="T41" s="21"/>
      <c r="U41" s="5">
        <f t="shared" si="13"/>
        <v>5.0547090018124421E-2</v>
      </c>
      <c r="V41" s="5">
        <f t="shared" si="14"/>
        <v>0.15080776890201616</v>
      </c>
      <c r="W41" s="23">
        <f t="shared" si="15"/>
        <v>0.33517563707852621</v>
      </c>
      <c r="X41" s="3">
        <f t="shared" si="16"/>
        <v>-3484.0000000000168</v>
      </c>
      <c r="Y41" s="5">
        <f t="shared" si="17"/>
        <v>-1.9489382649750604E-2</v>
      </c>
      <c r="Z41" s="5">
        <f>IF(OR(AE41="",多次统计数据!$B$8=""),"",AE41-多次统计数据!$B$8)</f>
        <v>-9.8190440914854571E-2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5.2127368536445173E-2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-9.8869415183436733E-3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5.7113099041533548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0.11111111111111117</v>
      </c>
      <c r="V42" s="5">
        <f t="shared" si="14"/>
        <v>5.9829059829059769E-2</v>
      </c>
      <c r="W42" s="23">
        <f t="shared" si="15"/>
        <v>1.8571428571428601</v>
      </c>
      <c r="X42" s="3">
        <f t="shared" si="16"/>
        <v>-8158.9999999999854</v>
      </c>
      <c r="Y42" s="5">
        <f t="shared" si="17"/>
        <v>-7.0085470085469961E-2</v>
      </c>
      <c r="Z42" s="5">
        <f>IF(OR(AE42="",多次统计数据!$B$8=""),"",AE42-多次统计数据!$B$8)</f>
        <v>-0.11168842344351573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5.2127368536445173E-2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-2.3384924047004832E-2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0.15951496345894742</v>
      </c>
      <c r="V43" s="5">
        <f t="shared" si="14"/>
        <v>0.13036377740578944</v>
      </c>
      <c r="W43" s="23">
        <f t="shared" si="15"/>
        <v>1.2236141559661755</v>
      </c>
      <c r="X43" s="3">
        <f t="shared" si="16"/>
        <v>-414.00000000000796</v>
      </c>
      <c r="Y43" s="5">
        <f t="shared" si="17"/>
        <v>-2.8171314253052433E-3</v>
      </c>
      <c r="Z43" s="5">
        <f>IF(OR(AE43="",多次统计数据!$B$8=""),"",AE43-多次统计数据!$B$8)</f>
        <v>-8.9518498472055105E-2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5.2127368536445173E-2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-1.214999075544205E-3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3.4497183098591551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0.23762376237623761</v>
      </c>
      <c r="V44" s="5">
        <f t="shared" si="14"/>
        <v>0.1089108910891089</v>
      </c>
      <c r="W44" s="23">
        <f t="shared" si="15"/>
        <v>2.1818181818181821</v>
      </c>
      <c r="X44" s="3">
        <f t="shared" si="16"/>
        <v>-2309.9999999999986</v>
      </c>
      <c r="Y44" s="5">
        <f t="shared" si="17"/>
        <v>-3.7128712871287106E-2</v>
      </c>
      <c r="Z44" s="5">
        <f>IF(OR(AE44="",多次统计数据!$B$8=""),"",AE44-多次统计数据!$B$8)</f>
        <v>-9.5091088979470814E-2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5.2127368536445173E-2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-6.787589582959914E-3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0.14285714285714285</v>
      </c>
      <c r="V45" s="5">
        <f t="shared" si="14"/>
        <v>0.14285714285714285</v>
      </c>
      <c r="W45" s="23">
        <f t="shared" si="15"/>
        <v>1</v>
      </c>
      <c r="X45" s="3">
        <f t="shared" si="16"/>
        <v>-9100.0000000000073</v>
      </c>
      <c r="Y45" s="5">
        <f t="shared" si="17"/>
        <v>-5.714285714285719E-2</v>
      </c>
      <c r="Z45" s="5">
        <f>IF(OR(AE45="",多次统计数据!$B$8=""),"",AE45-多次统计数据!$B$8)</f>
        <v>-0.11522522226843748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5.2127368536445173E-2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-2.6921722871926582E-2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0.13652711840023021</v>
      </c>
      <c r="V46" s="5">
        <f t="shared" si="14"/>
        <v>0.18170047475183423</v>
      </c>
      <c r="W46" s="23">
        <f t="shared" si="15"/>
        <v>0.75138558986540016</v>
      </c>
      <c r="X46" s="3">
        <f t="shared" si="16"/>
        <v>-612.00000000000045</v>
      </c>
      <c r="Y46" s="5">
        <f t="shared" si="17"/>
        <v>-4.4022442813983634E-3</v>
      </c>
      <c r="Z46" s="5">
        <f>IF(OR(AE46="",多次统计数据!$B$8=""),"",AE46-多次统计数据!$B$8)</f>
        <v>-9.0164151171882811E-2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5.2127368536445173E-2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-1.8606517753719037E-3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4.4000000000000004</v>
      </c>
      <c r="AO46" s="25">
        <f>IF(OR(A46="",H46="",H46&lt;=0),"",(E46*H46+SUMIFS(加仓管理!$H$2:$H$1001,加仓管理!$A$2:$A$1001,A46))/AP46)</f>
        <v>4.3993670886075948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4.9400000000000004</v>
      </c>
      <c r="F47" s="6">
        <f t="shared" si="11"/>
        <v>14900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0.21457489878542502</v>
      </c>
      <c r="V47" s="5">
        <f t="shared" si="14"/>
        <v>8.9068825910931251E-2</v>
      </c>
      <c r="W47" s="23">
        <f t="shared" si="15"/>
        <v>2.4090909090909061</v>
      </c>
      <c r="X47" s="3">
        <f t="shared" si="16"/>
        <v>-6407.0000000000091</v>
      </c>
      <c r="Y47" s="5">
        <f t="shared" si="17"/>
        <v>-8.7044534412955593E-2</v>
      </c>
      <c r="Z47" s="5">
        <f>IF(OR(AE47="",多次统计数据!$B$8=""),"",AE47-多次统计数据!$B$8)</f>
        <v>-0.10781888904942513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5.2127368536445173E-2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-1.9515389652914238E-2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4.9400000000000004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9.0982557747996448E-2</v>
      </c>
      <c r="V48" s="5">
        <f t="shared" si="14"/>
        <v>9.0847868543336291E-2</v>
      </c>
      <c r="W48" s="23">
        <f t="shared" si="15"/>
        <v>1.0014825796886573</v>
      </c>
      <c r="X48" s="3">
        <f t="shared" si="16"/>
        <v>-9814.0000000000018</v>
      </c>
      <c r="Y48" s="5">
        <f t="shared" si="17"/>
        <v>-4.7208566233416398E-2</v>
      </c>
      <c r="Z48" s="5">
        <f>IF(OR(AE48="",多次统计数据!$B$8=""),"",AE48-多次统计数据!$B$8)</f>
        <v>-0.11879141792971086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5.2127368536445173E-2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-3.0487918533199963E-2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5.4996296296296299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0.14566284779050731</v>
      </c>
      <c r="V49" s="5">
        <f t="shared" si="14"/>
        <v>5.0736497545008259E-2</v>
      </c>
      <c r="W49" s="23">
        <f t="shared" si="15"/>
        <v>2.8709677419354787</v>
      </c>
      <c r="X49" s="3">
        <f t="shared" si="16"/>
        <v>-6834.0000000000146</v>
      </c>
      <c r="Y49" s="5">
        <f t="shared" si="17"/>
        <v>-5.5646481178396191E-2</v>
      </c>
      <c r="Z49" s="5">
        <f>IF(OR(AE49="",多次统计数据!$B$8=""),"",AE49-多次统计数据!$B$8)</f>
        <v>-0.11020144994828547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5.2127368536445173E-2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-2.189795055177457E-2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6.821170842731498E-3</v>
      </c>
      <c r="V50" s="5">
        <f t="shared" si="14"/>
        <v>0.19454306332581481</v>
      </c>
      <c r="W50" s="23">
        <f t="shared" si="15"/>
        <v>3.5062524081404069E-2</v>
      </c>
      <c r="X50" s="3">
        <f t="shared" si="16"/>
        <v>15398.000000000004</v>
      </c>
      <c r="Y50" s="5">
        <f t="shared" si="17"/>
        <v>5.2463730587601974E-2</v>
      </c>
      <c r="Z50" s="5">
        <f>IF(OR(AE50="",多次统计数据!$B$8=""),"",AE50-多次统计数据!$B$8)</f>
        <v>-3.7859600952612447E-2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5.2127368536445173E-2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5.0443898443898454E-2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7.449187817258883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44376</v>
      </c>
      <c r="J51" s="7">
        <v>9</v>
      </c>
      <c r="K51" s="7">
        <v>15.04</v>
      </c>
      <c r="L51" s="6">
        <f t="shared" si="12"/>
        <v>23200</v>
      </c>
      <c r="M51" s="22">
        <v>44438</v>
      </c>
      <c r="N51" s="7">
        <v>7</v>
      </c>
      <c r="O51" s="7"/>
      <c r="P51" s="7"/>
      <c r="Q51" s="21"/>
      <c r="R51" s="21"/>
      <c r="S51" s="21"/>
      <c r="T51" s="21"/>
      <c r="U51" s="5">
        <f t="shared" si="13"/>
        <v>-8.5878397310170926E-2</v>
      </c>
      <c r="V51" s="5">
        <f t="shared" si="14"/>
        <v>0.28901653124124405</v>
      </c>
      <c r="W51" s="23">
        <f t="shared" si="15"/>
        <v>-0.29714008725157542</v>
      </c>
      <c r="X51" s="3">
        <f t="shared" si="16"/>
        <v>120511.99999999999</v>
      </c>
      <c r="Y51" s="5">
        <f t="shared" si="17"/>
        <v>0.52759876716166987</v>
      </c>
      <c r="Z51" s="5">
        <f>IF(OR(AE51="",多次统计数据!$B$8=""),"",AE51-多次统计数据!$B$8)</f>
        <v>0.28753542677798571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5.2127368536445173E-2</v>
      </c>
      <c r="AC51" s="6" t="str">
        <f>IF(OR(AB51="",多次统计数据!$B$9=""),"",IF(多次统计数据!$B$9&lt;AB51,"低于上限","达到或超过上限"))</f>
        <v>低于上限</v>
      </c>
      <c r="AD51" s="21"/>
      <c r="AE51" s="5">
        <f t="shared" si="19"/>
        <v>0.3758389261744966</v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5</v>
      </c>
      <c r="AL51" s="24">
        <f>IF(A51="","",SUMIFS(加仓管理!$G$2:$G$1001,加仓管理!$A$2:$A$1001,A51))</f>
        <v>14000</v>
      </c>
      <c r="AM51" s="25">
        <f>IF(AK51=0,"",IFERROR(LOOKUP(2,1/((加仓管理!$A$2:$A$1001=A51)*(加仓管理!$G$2:$G$1001&gt;0)),加仓管理!$D$2:$D$1001),""))</f>
        <v>13.67</v>
      </c>
      <c r="AN51" s="25">
        <f>IF(AK51=0,"",IFERROR(LOOKUP(2,1/((加仓管理!$A$2:$A$1001=A51)*(加仓管理!$G$2:$G$1001&gt;0)),加仓管理!$E$2:$E$1001),""))</f>
        <v>12.4</v>
      </c>
      <c r="AO51" s="25">
        <f>IF(OR(A51="",H51="",H51&lt;=0),"",(E51*H51+SUMIFS(加仓管理!$H$2:$H$1001,加仓管理!$A$2:$A$1001,A51))/AP51)</f>
        <v>9.8455172413793104</v>
      </c>
      <c r="AP51" s="24">
        <f t="shared" si="21"/>
        <v>23200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 s="51" customFormat="1">
      <c r="A52" s="41">
        <v>51</v>
      </c>
      <c r="B52" s="42" t="s">
        <v>60</v>
      </c>
      <c r="C52" s="43">
        <v>441160</v>
      </c>
      <c r="D52" s="44">
        <v>0.02</v>
      </c>
      <c r="E52" s="43">
        <v>15.04</v>
      </c>
      <c r="F52" s="45">
        <f t="shared" si="11"/>
        <v>220500</v>
      </c>
      <c r="G52" s="45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41">
        <v>26600</v>
      </c>
      <c r="I52" s="46">
        <v>44438</v>
      </c>
      <c r="J52" s="43">
        <v>18</v>
      </c>
      <c r="K52" s="43">
        <v>16.649999999999999</v>
      </c>
      <c r="L52" s="45">
        <f t="shared" si="12"/>
        <v>32200</v>
      </c>
      <c r="M52" s="46">
        <v>44455</v>
      </c>
      <c r="N52" s="43">
        <v>15</v>
      </c>
      <c r="O52" s="43"/>
      <c r="P52" s="43"/>
      <c r="Q52" s="41"/>
      <c r="R52" s="41"/>
      <c r="S52" s="41"/>
      <c r="T52" s="41"/>
      <c r="U52" s="47">
        <f t="shared" si="13"/>
        <v>0.16116003814438778</v>
      </c>
      <c r="V52" s="47">
        <f t="shared" si="14"/>
        <v>3.2366634879676844E-2</v>
      </c>
      <c r="W52" s="48">
        <f t="shared" si="15"/>
        <v>4.9792027729636148</v>
      </c>
      <c r="X52" s="49">
        <f t="shared" si="16"/>
        <v>36973.999999999978</v>
      </c>
      <c r="Y52" s="47">
        <f t="shared" si="17"/>
        <v>7.4073035283558603E-2</v>
      </c>
      <c r="Z52" s="47">
        <f>IF(OR(AE52="",多次统计数据!$B$8=""),"",AE52-多次统计数据!$B$8)</f>
        <v>-4.4926371243194513E-3</v>
      </c>
      <c r="AA52" s="50">
        <f t="shared" si="18"/>
        <v>17</v>
      </c>
      <c r="AB52" s="47">
        <f>IF(OR(A52="",多次统计数据!$B$8="",多次统计数据!$B$6&lt;=0,多次统计数据!$B$6&gt;=1),"",1-POWER(1+多次统计数据!$B$8,-多次统计数据!$B$6/(1-多次统计数据!$B$6)))</f>
        <v>5.2127368536445173E-2</v>
      </c>
      <c r="AC52" s="45" t="str">
        <f>IF(OR(AB52="",多次统计数据!$B$9=""),"",IF(多次统计数据!$B$9&lt;AB52,"低于上限","达到或超过上限"))</f>
        <v>低于上限</v>
      </c>
      <c r="AD52" s="41"/>
      <c r="AE52" s="47">
        <f t="shared" si="19"/>
        <v>8.381086227219145E-2</v>
      </c>
      <c r="AG52" s="41" t="s">
        <v>50</v>
      </c>
      <c r="AH52" s="41" t="s">
        <v>51</v>
      </c>
      <c r="AI52" s="42" t="s">
        <v>59</v>
      </c>
      <c r="AJ52" s="45" t="str">
        <f t="shared" si="20"/>
        <v>匹配</v>
      </c>
      <c r="AK52" s="52">
        <f>IF(A52="","",COUNTIFS(加仓管理!$A$2:$A$1001,A52,加仓管理!$G$2:$G$1001,"&gt;0"))</f>
        <v>2</v>
      </c>
      <c r="AL52" s="52">
        <f>IF(A52="","",SUMIFS(加仓管理!$G$2:$G$1001,加仓管理!$A$2:$A$1001,A52))</f>
        <v>5600</v>
      </c>
      <c r="AM52" s="53">
        <f>IF(AK52=0,"",IFERROR(LOOKUP(2,1/((加仓管理!$A$2:$A$1001=A52)*(加仓管理!$G$2:$G$1001&gt;0)),加仓管理!$D$2:$D$1001),""))</f>
        <v>18.64</v>
      </c>
      <c r="AN52" s="53">
        <f>IF(AK52=0,"",IFERROR(LOOKUP(2,1/((加仓管理!$A$2:$A$1001=A52)*(加仓管理!$G$2:$G$1001&gt;0)),加仓管理!$E$2:$E$1001),""))</f>
        <v>16.75</v>
      </c>
      <c r="AO52" s="53">
        <f>IF(OR(A52="",H52="",H52&lt;=0),"",(E52*H52+SUMIFS(加仓管理!$H$2:$H$1001,加仓管理!$A$2:$A$1001,A52))/AP52)</f>
        <v>15.501739130434782</v>
      </c>
      <c r="AP52" s="52">
        <f t="shared" si="21"/>
        <v>32200</v>
      </c>
      <c r="AQ52" s="53">
        <f>IF(A52="","",IF(M52&lt;&gt;"",0,IF(OR(H52="",N52=""),"",MAX((E52*H52+SUMIFS(加仓管理!$H$2:$H$1001,加仓管理!$A$2:$A$1001,A52))-MAX(N52,AN52)*AP52,0))))</f>
        <v>0</v>
      </c>
      <c r="AR52" s="5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1">
        <v>52</v>
      </c>
      <c r="B53" s="10" t="s">
        <v>60</v>
      </c>
      <c r="C53" s="7">
        <v>478174</v>
      </c>
      <c r="D53" s="4">
        <v>0.02</v>
      </c>
      <c r="E53" s="7">
        <v>16.899999999999999</v>
      </c>
      <c r="F53" s="6">
        <f t="shared" si="11"/>
        <v>10600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1">
        <v>10600</v>
      </c>
      <c r="I53" s="22">
        <v>44720</v>
      </c>
      <c r="J53" s="7">
        <v>19</v>
      </c>
      <c r="K53" s="7">
        <v>17.920000000000002</v>
      </c>
      <c r="L53" s="6">
        <f t="shared" si="12"/>
        <v>13600</v>
      </c>
      <c r="M53" s="22">
        <v>44734</v>
      </c>
      <c r="N53" s="7">
        <v>16</v>
      </c>
      <c r="O53" s="7"/>
      <c r="P53" s="7"/>
      <c r="Q53" s="21"/>
      <c r="R53" s="21"/>
      <c r="S53" s="21"/>
      <c r="T53" s="21"/>
      <c r="U53" s="5">
        <f t="shared" si="13"/>
        <v>9.3710319139930637E-2</v>
      </c>
      <c r="V53" s="5">
        <f t="shared" si="14"/>
        <v>7.8980783882163674E-2</v>
      </c>
      <c r="W53" s="23">
        <f t="shared" si="15"/>
        <v>1.1864951768488758</v>
      </c>
      <c r="X53" s="3">
        <f t="shared" si="16"/>
        <v>7452.0000000000355</v>
      </c>
      <c r="Y53" s="5">
        <f t="shared" si="17"/>
        <v>3.1541522051976786E-2</v>
      </c>
      <c r="Z53" s="5">
        <f>IF(OR(AE53="",多次统计数据!$B$8=""),"",AE53-多次统计数据!$B$8)</f>
        <v>-7.2719214178159353E-2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5.2127368536445173E-2</v>
      </c>
      <c r="AC53" s="6" t="str">
        <f>IF(OR(AB53="",多次统计数据!$B$9=""),"",IF(多次统计数据!$B$9&lt;AB53,"低于上限","达到或超过上限"))</f>
        <v>低于上限</v>
      </c>
      <c r="AD53" s="21"/>
      <c r="AE53" s="5">
        <f t="shared" si="19"/>
        <v>1.5584285218351554E-2</v>
      </c>
      <c r="AG53" s="21" t="s">
        <v>50</v>
      </c>
      <c r="AH53" s="21" t="s">
        <v>51</v>
      </c>
      <c r="AI53" s="10" t="s">
        <v>59</v>
      </c>
      <c r="AJ53" s="6" t="str">
        <f t="shared" si="20"/>
        <v>匹配</v>
      </c>
      <c r="AK53" s="24">
        <f>IF(A53="","",COUNTIFS(加仓管理!$A$2:$A$1001,A53,加仓管理!$G$2:$G$1001,"&gt;0"))</f>
        <v>1</v>
      </c>
      <c r="AL53" s="24">
        <f>IF(A53="","",SUMIFS(加仓管理!$G$2:$G$1001,加仓管理!$A$2:$A$1001,A53))</f>
        <v>3000</v>
      </c>
      <c r="AM53" s="25">
        <f>IF(AK53=0,"",IFERROR(LOOKUP(2,1/((加仓管理!$A$2:$A$1001=A53)*(加仓管理!$G$2:$G$1001&gt;0)),加仓管理!$D$2:$D$1001),""))</f>
        <v>19.04</v>
      </c>
      <c r="AN53" s="25">
        <f>IF(AK53=0,"",IFERROR(LOOKUP(2,1/((加仓管理!$A$2:$A$1001=A53)*(加仓管理!$G$2:$G$1001&gt;0)),加仓管理!$E$2:$E$1001),""))</f>
        <v>18</v>
      </c>
      <c r="AO53" s="25">
        <f>IF(OR(A53="",H53="",H53&lt;=0),"",(E53*H53+SUMIFS(加仓管理!$H$2:$H$1001,加仓管理!$A$2:$A$1001,A53))/AP53)</f>
        <v>17.372058823529411</v>
      </c>
      <c r="AP53" s="24">
        <f t="shared" si="21"/>
        <v>13600</v>
      </c>
      <c r="AQ53" s="25">
        <f>IF(A53="","",IF(M53&lt;&gt;"",0,IF(OR(H53="",N53=""),"",MAX((E53*H53+SUMIFS(加仓管理!$H$2:$H$1001,加仓管理!$A$2:$A$1001,A53))-MAX(N53,AN53)*AP53,0))))</f>
        <v>0</v>
      </c>
      <c r="AR53" s="25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spans="1:44">
      <c r="A54" s="21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1">
        <v>7200</v>
      </c>
      <c r="I54" s="22">
        <v>44746</v>
      </c>
      <c r="J54" s="7">
        <v>24</v>
      </c>
      <c r="K54" s="7">
        <v>19.34</v>
      </c>
      <c r="L54" s="6">
        <f t="shared" si="12"/>
        <v>7200</v>
      </c>
      <c r="M54" s="22">
        <v>44753</v>
      </c>
      <c r="N54" s="7">
        <v>19.5</v>
      </c>
      <c r="O54" s="7"/>
      <c r="P54" s="7"/>
      <c r="Q54" s="21"/>
      <c r="R54" s="21"/>
      <c r="S54" s="21"/>
      <c r="T54" s="21"/>
      <c r="U54" s="5">
        <f t="shared" si="13"/>
        <v>0.15163147792706336</v>
      </c>
      <c r="V54" s="5">
        <f t="shared" si="14"/>
        <v>6.4299424184261031E-2</v>
      </c>
      <c r="W54" s="23">
        <f t="shared" si="15"/>
        <v>2.3582089552238812</v>
      </c>
      <c r="X54" s="3">
        <f t="shared" si="16"/>
        <v>-10800</v>
      </c>
      <c r="Y54" s="5">
        <f t="shared" si="17"/>
        <v>-7.1976967370441458E-2</v>
      </c>
      <c r="Z54" s="5">
        <f>IF(OR(AE54="",多次统计数据!$B$8=""),"",AE54-多次统计数据!$B$8)</f>
        <v>-0.11054466779922432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5.2127368536445173E-2</v>
      </c>
      <c r="AC54" s="6" t="str">
        <f>IF(OR(AB54="",多次统计数据!$B$9=""),"",IF(多次统计数据!$B$9&lt;AB54,"低于上限","达到或超过上限"))</f>
        <v>低于上限</v>
      </c>
      <c r="AD54" s="21"/>
      <c r="AE54" s="5">
        <f t="shared" si="19"/>
        <v>-2.2241168402713424E-2</v>
      </c>
      <c r="AG54" s="21" t="s">
        <v>45</v>
      </c>
      <c r="AH54" s="21" t="s">
        <v>46</v>
      </c>
      <c r="AI54" s="10" t="s">
        <v>59</v>
      </c>
      <c r="AJ54" s="6" t="str">
        <f t="shared" si="20"/>
        <v>匹配</v>
      </c>
      <c r="AK54" s="24">
        <f>IF(A54="","",COUNTIFS(加仓管理!$A$2:$A$1001,A54,加仓管理!$G$2:$G$1001,"&gt;0"))</f>
        <v>0</v>
      </c>
      <c r="AL54" s="24">
        <f>IF(A54="","",SUMIFS(加仓管理!$G$2:$G$1001,加仓管理!$A$2:$A$1001,A54))</f>
        <v>0</v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>
        <f>IF(OR(A54="",H54="",H54&lt;=0),"",(E54*H54+SUMIFS(加仓管理!$H$2:$H$1001,加仓管理!$A$2:$A$1001,A54))/AP54)</f>
        <v>20.84</v>
      </c>
      <c r="AP54" s="24">
        <f t="shared" si="21"/>
        <v>7200</v>
      </c>
      <c r="AQ54" s="25">
        <f>IF(A54="","",IF(M54&lt;&gt;"",0,IF(OR(H54="",N54=""),"",MAX((E54*H54+SUMIFS(加仓管理!$H$2:$H$1001,加仓管理!$A$2:$A$1001,A54))-MAX(N54,AN54)*AP54,0))))</f>
        <v>0</v>
      </c>
      <c r="AR54" s="25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spans="1:44">
      <c r="A55" s="21">
        <v>54</v>
      </c>
      <c r="B55" s="10" t="s">
        <v>60</v>
      </c>
      <c r="C55" s="7">
        <v>474786</v>
      </c>
      <c r="D55" s="4">
        <v>0.02</v>
      </c>
      <c r="E55" s="7">
        <v>16.690000000000001</v>
      </c>
      <c r="F55" s="6">
        <f t="shared" si="11"/>
        <v>13700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1">
        <v>13700</v>
      </c>
      <c r="I55" s="22">
        <v>45054</v>
      </c>
      <c r="J55" s="7">
        <v>18</v>
      </c>
      <c r="K55" s="7">
        <v>16.34</v>
      </c>
      <c r="L55" s="6">
        <f t="shared" si="12"/>
        <v>13700</v>
      </c>
      <c r="M55" s="22">
        <v>44702</v>
      </c>
      <c r="N55" s="7">
        <v>16</v>
      </c>
      <c r="O55" s="7"/>
      <c r="P55" s="7"/>
      <c r="Q55" s="21"/>
      <c r="R55" s="21"/>
      <c r="S55" s="21"/>
      <c r="T55" s="21"/>
      <c r="U55" s="5">
        <f t="shared" si="13"/>
        <v>7.8490113840623044E-2</v>
      </c>
      <c r="V55" s="5">
        <f t="shared" si="14"/>
        <v>4.1342121030557295E-2</v>
      </c>
      <c r="W55" s="23">
        <f t="shared" si="15"/>
        <v>1.8985507246376756</v>
      </c>
      <c r="X55" s="3">
        <f t="shared" si="16"/>
        <v>-4795.0000000000191</v>
      </c>
      <c r="Y55" s="5">
        <f t="shared" si="17"/>
        <v>-2.0970641102456642E-2</v>
      </c>
      <c r="Z55" s="5">
        <f>IF(OR(AE55="",多次统计数据!$B$8=""),"",AE55-多次统计数据!$B$8)</f>
        <v>-9.8402786233106804E-2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5.2127368536445173E-2</v>
      </c>
      <c r="AC55" s="6" t="str">
        <f>IF(OR(AB55="",多次统计数据!$B$9=""),"",IF(多次统计数据!$B$9&lt;AB55,"低于上限","达到或超过上限"))</f>
        <v>低于上限</v>
      </c>
      <c r="AD55" s="21"/>
      <c r="AE55" s="5">
        <f t="shared" si="19"/>
        <v>-1.0099286836595896E-2</v>
      </c>
      <c r="AG55" s="21" t="s">
        <v>50</v>
      </c>
      <c r="AH55" s="21" t="s">
        <v>51</v>
      </c>
      <c r="AI55" s="10" t="s">
        <v>59</v>
      </c>
      <c r="AJ55" s="6" t="str">
        <f t="shared" si="20"/>
        <v>匹配</v>
      </c>
      <c r="AK55" s="24">
        <f>IF(A55="","",COUNTIFS(加仓管理!$A$2:$A$1001,A55,加仓管理!$G$2:$G$1001,"&gt;0"))</f>
        <v>0</v>
      </c>
      <c r="AL55" s="24">
        <f>IF(A55="","",SUMIFS(加仓管理!$G$2:$G$1001,加仓管理!$A$2:$A$1001,A55))</f>
        <v>0</v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>
        <f>IF(OR(A55="",H55="",H55&lt;=0),"",(E55*H55+SUMIFS(加仓管理!$H$2:$H$1001,加仓管理!$A$2:$A$1001,A55))/AP55)</f>
        <v>16.690000000000001</v>
      </c>
      <c r="AP55" s="24">
        <f t="shared" si="21"/>
        <v>13700</v>
      </c>
      <c r="AQ55" s="25">
        <f>IF(A55="","",IF(M55&lt;&gt;"",0,IF(OR(H55="",N55=""),"",MAX((E55*H55+SUMIFS(加仓管理!$H$2:$H$1001,加仓管理!$A$2:$A$1001,A55))-MAX(N55,AN55)*AP55,0))))</f>
        <v>0</v>
      </c>
      <c r="AR55" s="25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1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1">
        <v>8700</v>
      </c>
      <c r="I56" s="22">
        <v>45357</v>
      </c>
      <c r="J56" s="7">
        <v>18</v>
      </c>
      <c r="K56" s="7">
        <v>14.31</v>
      </c>
      <c r="L56" s="6">
        <f t="shared" si="12"/>
        <v>8700</v>
      </c>
      <c r="M56" s="22">
        <v>45378</v>
      </c>
      <c r="N56" s="7">
        <v>14.5</v>
      </c>
      <c r="O56" s="7"/>
      <c r="P56" s="7"/>
      <c r="Q56" s="21"/>
      <c r="R56" s="21"/>
      <c r="S56" s="21"/>
      <c r="T56" s="21"/>
      <c r="U56" s="5">
        <f t="shared" si="13"/>
        <v>0.15606936416184969</v>
      </c>
      <c r="V56" s="5">
        <f t="shared" si="14"/>
        <v>6.8721901091843299E-2</v>
      </c>
      <c r="W56" s="23">
        <f t="shared" si="15"/>
        <v>2.2710280373831768</v>
      </c>
      <c r="X56" s="3">
        <f t="shared" si="16"/>
        <v>-10961.999999999998</v>
      </c>
      <c r="Y56" s="5">
        <f t="shared" si="17"/>
        <v>-8.0924855491329467E-2</v>
      </c>
      <c r="Z56" s="5">
        <f>IF(OR(AE56="",多次统计数据!$B$8=""),"",AE56-多次统计数据!$B$8)</f>
        <v>-0.11162735027876183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5.2127368536445173E-2</v>
      </c>
      <c r="AC56" s="6" t="str">
        <f>IF(OR(AB56="",多次统计数据!$B$9=""),"",IF(多次统计数据!$B$9&lt;AB56,"低于上限","达到或超过上限"))</f>
        <v>低于上限</v>
      </c>
      <c r="AD56" s="21"/>
      <c r="AE56" s="5">
        <f t="shared" si="19"/>
        <v>-2.3323850882250932E-2</v>
      </c>
      <c r="AG56" s="21" t="s">
        <v>50</v>
      </c>
      <c r="AH56" s="21" t="s">
        <v>51</v>
      </c>
      <c r="AI56" s="10" t="s">
        <v>59</v>
      </c>
      <c r="AJ56" s="6" t="str">
        <f t="shared" si="20"/>
        <v>匹配</v>
      </c>
      <c r="AK56" s="24">
        <f>IF(A56="","",COUNTIFS(加仓管理!$A$2:$A$1001,A56,加仓管理!$G$2:$G$1001,"&gt;0"))</f>
        <v>0</v>
      </c>
      <c r="AL56" s="24">
        <f>IF(A56="","",SUMIFS(加仓管理!$G$2:$G$1001,加仓管理!$A$2:$A$1001,A56))</f>
        <v>0</v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>
        <f>IF(OR(A56="",H56="",H56&lt;=0),"",(E56*H56+SUMIFS(加仓管理!$H$2:$H$1001,加仓管理!$A$2:$A$1001,A56))/AP56)</f>
        <v>15.57</v>
      </c>
      <c r="AP56" s="24">
        <f t="shared" si="21"/>
        <v>8700</v>
      </c>
      <c r="AQ56" s="25">
        <f>IF(A56="","",IF(M56&lt;&gt;"",0,IF(OR(H56="",N56=""),"",MAX((E56*H56+SUMIFS(加仓管理!$H$2:$H$1001,加仓管理!$A$2:$A$1001,A56))-MAX(N56,AN56)*AP56,0))))</f>
        <v>0</v>
      </c>
      <c r="AR56" s="25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 s="51" customFormat="1">
      <c r="A57" s="41">
        <v>56</v>
      </c>
      <c r="B57" s="42" t="s">
        <v>60</v>
      </c>
      <c r="C57" s="43">
        <v>459029</v>
      </c>
      <c r="D57" s="44">
        <v>0.02</v>
      </c>
      <c r="E57" s="43">
        <v>15.79</v>
      </c>
      <c r="F57" s="45">
        <f t="shared" si="11"/>
        <v>7100</v>
      </c>
      <c r="G57" s="45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41">
        <v>7100</v>
      </c>
      <c r="I57" s="46">
        <v>45917</v>
      </c>
      <c r="J57" s="43">
        <v>18</v>
      </c>
      <c r="K57" s="43">
        <v>15.86</v>
      </c>
      <c r="L57" s="45">
        <f t="shared" si="12"/>
        <v>7100</v>
      </c>
      <c r="M57" s="46">
        <v>45834</v>
      </c>
      <c r="N57" s="43">
        <v>14.5</v>
      </c>
      <c r="O57" s="43"/>
      <c r="P57" s="43"/>
      <c r="Q57" s="41"/>
      <c r="R57" s="41"/>
      <c r="S57" s="41"/>
      <c r="T57" s="41"/>
      <c r="U57" s="47">
        <f t="shared" si="13"/>
        <v>0.1399620012666245</v>
      </c>
      <c r="V57" s="47">
        <f t="shared" si="14"/>
        <v>8.1697276757441373E-2</v>
      </c>
      <c r="W57" s="48">
        <f t="shared" si="15"/>
        <v>1.7131782945736451</v>
      </c>
      <c r="X57" s="49">
        <f t="shared" si="16"/>
        <v>497.00000000000205</v>
      </c>
      <c r="Y57" s="47">
        <f t="shared" si="17"/>
        <v>4.4331855604813359E-3</v>
      </c>
      <c r="Z57" s="47">
        <f>IF(OR(AE57="",多次统计数据!$B$8=""),"",AE57-多次统计数据!$B$8)</f>
        <v>-8.722077913264957E-2</v>
      </c>
      <c r="AA57" s="50" t="str">
        <f t="shared" si="18"/>
        <v/>
      </c>
      <c r="AB57" s="47">
        <f>IF(OR(A57="",多次统计数据!$B$8="",多次统计数据!$B$6&lt;=0,多次统计数据!$B$6&gt;=1),"",1-POWER(1+多次统计数据!$B$8,-多次统计数据!$B$6/(1-多次统计数据!$B$6)))</f>
        <v>5.2127368536445173E-2</v>
      </c>
      <c r="AC57" s="45" t="str">
        <f>IF(OR(AB57="",多次统计数据!$B$9=""),"",IF(多次统计数据!$B$9&lt;AB57,"低于上限","达到或超过上限"))</f>
        <v>低于上限</v>
      </c>
      <c r="AD57" s="41"/>
      <c r="AE57" s="47">
        <f t="shared" si="19"/>
        <v>1.0827202638613292E-3</v>
      </c>
      <c r="AG57" s="41" t="s">
        <v>50</v>
      </c>
      <c r="AH57" s="41" t="s">
        <v>51</v>
      </c>
      <c r="AI57" s="42" t="s">
        <v>59</v>
      </c>
      <c r="AJ57" s="45" t="str">
        <f t="shared" si="20"/>
        <v>匹配</v>
      </c>
      <c r="AK57" s="52">
        <f>IF(A57="","",COUNTIFS(加仓管理!$A$2:$A$1001,A57,加仓管理!$G$2:$G$1001,"&gt;0"))</f>
        <v>0</v>
      </c>
      <c r="AL57" s="52">
        <f>IF(A57="","",SUMIFS(加仓管理!$G$2:$G$1001,加仓管理!$A$2:$A$1001,A57))</f>
        <v>0</v>
      </c>
      <c r="AM57" s="53" t="str">
        <f>IF(AK57=0,"",IFERROR(LOOKUP(2,1/((加仓管理!$A$2:$A$1001=A57)*(加仓管理!$G$2:$G$1001&gt;0)),加仓管理!$D$2:$D$1001),""))</f>
        <v/>
      </c>
      <c r="AN57" s="53" t="str">
        <f>IF(AK57=0,"",IFERROR(LOOKUP(2,1/((加仓管理!$A$2:$A$1001=A57)*(加仓管理!$G$2:$G$1001&gt;0)),加仓管理!$E$2:$E$1001),""))</f>
        <v/>
      </c>
      <c r="AO57" s="53">
        <f>IF(OR(A57="",H57="",H57&lt;=0),"",(E57*H57+SUMIFS(加仓管理!$H$2:$H$1001,加仓管理!$A$2:$A$1001,A57))/AP57)</f>
        <v>15.79</v>
      </c>
      <c r="AP57" s="52">
        <f t="shared" si="21"/>
        <v>7100</v>
      </c>
      <c r="AQ57" s="53">
        <f>IF(A57="","",IF(M57&lt;&gt;"",0,IF(OR(H57="",N57=""),"",MAX((E57*H57+SUMIFS(加仓管理!$H$2:$H$1001,加仓管理!$A$2:$A$1001,A57))-MAX(N57,AN57)*AP57,0))))</f>
        <v>0</v>
      </c>
      <c r="AR57" s="5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spans="1:44">
      <c r="A58" s="21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1">
        <v>7700</v>
      </c>
      <c r="I58" s="22">
        <v>45926</v>
      </c>
      <c r="J58" s="7">
        <v>24</v>
      </c>
      <c r="K58" s="7">
        <v>24.05</v>
      </c>
      <c r="L58" s="6">
        <f t="shared" si="12"/>
        <v>9700</v>
      </c>
      <c r="M58" s="22">
        <v>45973</v>
      </c>
      <c r="N58" s="7">
        <v>20</v>
      </c>
      <c r="O58" s="7"/>
      <c r="P58" s="7"/>
      <c r="Q58" s="21"/>
      <c r="R58" s="21"/>
      <c r="S58" s="21"/>
      <c r="T58" s="21"/>
      <c r="U58" s="5">
        <f t="shared" si="13"/>
        <v>0.10548659455044487</v>
      </c>
      <c r="V58" s="5">
        <f t="shared" si="14"/>
        <v>7.8761171207962596E-2</v>
      </c>
      <c r="W58" s="23">
        <f t="shared" si="15"/>
        <v>1.3393223200289381</v>
      </c>
      <c r="X58" s="3">
        <f t="shared" si="16"/>
        <v>22698.999999999993</v>
      </c>
      <c r="Y58" s="5">
        <f t="shared" si="17"/>
        <v>0.10778969162242501</v>
      </c>
      <c r="Z58" s="5">
        <f>IF(OR(AE58="",多次统计数据!$B$8=""),"",AE58-多次统计数据!$B$8)</f>
        <v>-3.8906947297173776E-2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5.2127368536445173E-2</v>
      </c>
      <c r="AC58" s="6" t="str">
        <f>IF(OR(AB58="",多次统计数据!$B$9=""),"",IF(多次统计数据!$B$9&lt;AB58,"低于上限","达到或超过上限"))</f>
        <v>低于上限</v>
      </c>
      <c r="AD58" s="21"/>
      <c r="AE58" s="5">
        <f t="shared" si="19"/>
        <v>4.9396552099337125E-2</v>
      </c>
      <c r="AG58" s="21" t="s">
        <v>45</v>
      </c>
      <c r="AH58" s="21" t="s">
        <v>46</v>
      </c>
      <c r="AI58" s="10" t="s">
        <v>59</v>
      </c>
      <c r="AJ58" s="6" t="str">
        <f t="shared" si="20"/>
        <v>匹配</v>
      </c>
      <c r="AK58" s="24">
        <f>IF(A58="","",COUNTIFS(加仓管理!$A$2:$A$1001,A58,加仓管理!$G$2:$G$1001,"&gt;0"))</f>
        <v>1</v>
      </c>
      <c r="AL58" s="24">
        <f>IF(A58="","",SUMIFS(加仓管理!$G$2:$G$1001,加仓管理!$A$2:$A$1001,A58))</f>
        <v>2000</v>
      </c>
      <c r="AM58" s="25">
        <f>IF(AK58=0,"",IFERROR(LOOKUP(2,1/((加仓管理!$A$2:$A$1001=A58)*(加仓管理!$G$2:$G$1001&gt;0)),加仓管理!$D$2:$D$1001),""))</f>
        <v>23.75</v>
      </c>
      <c r="AN58" s="25">
        <f>IF(AK58=0,"",IFERROR(LOOKUP(2,1/((加仓管理!$A$2:$A$1001=A58)*(加仓管理!$G$2:$G$1001&gt;0)),加仓管理!$E$2:$E$1001),""))</f>
        <v>21.05</v>
      </c>
      <c r="AO58" s="25">
        <f>IF(OR(A58="",H58="",H58&lt;=0),"",(E58*H58+SUMIFS(加仓管理!$H$2:$H$1001,加仓管理!$A$2:$A$1001,A58))/AP58)</f>
        <v>21.709896907216496</v>
      </c>
      <c r="AP58" s="24">
        <f t="shared" si="21"/>
        <v>9700</v>
      </c>
      <c r="AQ58" s="25">
        <f>IF(A58="","",IF(M58&lt;&gt;"",0,IF(OR(H58="",N58=""),"",MAX((E58*H58+SUMIFS(加仓管理!$H$2:$H$1001,加仓管理!$A$2:$A$1001,A58))-MAX(N58,AN58)*AP58,0))))</f>
        <v>0</v>
      </c>
      <c r="AR58" s="25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违规：请检查加仓管理表</v>
      </c>
    </row>
    <row r="59" spans="1:44">
      <c r="A59" s="21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1">
        <v>5900</v>
      </c>
      <c r="I59" s="22">
        <v>46037</v>
      </c>
      <c r="J59" s="7">
        <v>30</v>
      </c>
      <c r="K59" s="7">
        <v>28.54</v>
      </c>
      <c r="L59" s="6">
        <f t="shared" si="12"/>
        <v>5900</v>
      </c>
      <c r="M59" s="22">
        <v>46044</v>
      </c>
      <c r="N59" s="7">
        <v>26.5</v>
      </c>
      <c r="O59" s="7"/>
      <c r="P59" s="7"/>
      <c r="Q59" s="21"/>
      <c r="R59" s="21"/>
      <c r="S59" s="21"/>
      <c r="T59" s="21"/>
      <c r="U59" s="5">
        <f t="shared" si="13"/>
        <v>6.6477070742979066E-2</v>
      </c>
      <c r="V59" s="5">
        <f t="shared" si="14"/>
        <v>5.7945254177035159E-2</v>
      </c>
      <c r="W59" s="23">
        <f t="shared" si="15"/>
        <v>1.1472392638036824</v>
      </c>
      <c r="X59" s="3">
        <f t="shared" si="16"/>
        <v>2419.0000000000009</v>
      </c>
      <c r="Y59" s="5">
        <f t="shared" si="17"/>
        <v>1.4575186633487386E-2</v>
      </c>
      <c r="Z59" s="5">
        <f>IF(OR(AE59="",多次统计数据!$B$8=""),"",AE59-多次统计数据!$B$8)</f>
        <v>-8.3287168845419604E-2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5.2127368536445173E-2</v>
      </c>
      <c r="AC59" s="6" t="str">
        <f>IF(OR(AB59="",多次统计数据!$B$9=""),"",IF(多次统计数据!$B$9&lt;AB59,"低于上限","达到或超过上限"))</f>
        <v>低于上限</v>
      </c>
      <c r="AD59" s="21"/>
      <c r="AE59" s="5">
        <f t="shared" si="19"/>
        <v>5.0163305510912979E-3</v>
      </c>
      <c r="AG59" s="21" t="s">
        <v>45</v>
      </c>
      <c r="AH59" s="21" t="s">
        <v>46</v>
      </c>
      <c r="AI59" s="10" t="s">
        <v>59</v>
      </c>
      <c r="AJ59" s="6" t="str">
        <f t="shared" si="20"/>
        <v>匹配</v>
      </c>
      <c r="AK59" s="24">
        <f>IF(A59="","",COUNTIFS(加仓管理!$A$2:$A$1001,A59,加仓管理!$G$2:$G$1001,"&gt;0"))</f>
        <v>0</v>
      </c>
      <c r="AL59" s="24">
        <f>IF(A59="","",SUMIFS(加仓管理!$G$2:$G$1001,加仓管理!$A$2:$A$1001,A59))</f>
        <v>0</v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>
        <f>IF(OR(A59="",H59="",H59&lt;=0),"",(E59*H59+SUMIFS(加仓管理!$H$2:$H$1001,加仓管理!$A$2:$A$1001,A59))/AP59)</f>
        <v>28.13</v>
      </c>
      <c r="AP59" s="24">
        <f t="shared" si="21"/>
        <v>5900</v>
      </c>
      <c r="AQ59" s="25">
        <f>IF(A59="","",IF(M59&lt;&gt;"",0,IF(OR(H59="",N59=""),"",MAX((E59*H59+SUMIFS(加仓管理!$H$2:$H$1001,加仓管理!$A$2:$A$1001,A59))-MAX(N59,AN59)*AP59,0))))</f>
        <v>0</v>
      </c>
      <c r="AR59" s="25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1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1">
        <v>5900</v>
      </c>
      <c r="I60" s="22">
        <v>46083</v>
      </c>
      <c r="J60" s="7">
        <v>35</v>
      </c>
      <c r="K60" s="7">
        <v>29.32</v>
      </c>
      <c r="L60" s="6">
        <f t="shared" si="12"/>
        <v>5900</v>
      </c>
      <c r="M60" s="22">
        <v>46084</v>
      </c>
      <c r="N60" s="7">
        <v>29.5</v>
      </c>
      <c r="O60" s="7"/>
      <c r="P60" s="7"/>
      <c r="Q60" s="21"/>
      <c r="R60" s="21"/>
      <c r="S60" s="21"/>
      <c r="T60" s="21"/>
      <c r="U60" s="5">
        <f t="shared" si="13"/>
        <v>0.1243173787343399</v>
      </c>
      <c r="V60" s="5">
        <f t="shared" si="14"/>
        <v>5.2361066495342085E-2</v>
      </c>
      <c r="W60" s="23">
        <f t="shared" si="15"/>
        <v>2.3742331288343577</v>
      </c>
      <c r="X60" s="3">
        <f t="shared" si="16"/>
        <v>-10678.999999999993</v>
      </c>
      <c r="Y60" s="5">
        <f t="shared" si="17"/>
        <v>-5.8143270157404392E-2</v>
      </c>
      <c r="Z60" s="5">
        <f>IF(OR(AE60="",多次统计数据!$B$8=""),"",AE60-多次统计数据!$B$8)</f>
        <v>-0.11033823004416153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5.2127368536445173E-2</v>
      </c>
      <c r="AC60" s="6" t="str">
        <f>IF(OR(AB60="",多次统计数据!$B$9=""),"",IF(多次统计数据!$B$9&lt;AB60,"低于上限","达到或超过上限"))</f>
        <v>低于上限</v>
      </c>
      <c r="AD60" s="21"/>
      <c r="AE60" s="5">
        <f t="shared" si="19"/>
        <v>-2.203473064765063E-2</v>
      </c>
      <c r="AG60" s="21" t="s">
        <v>45</v>
      </c>
      <c r="AH60" s="21" t="s">
        <v>46</v>
      </c>
      <c r="AI60" s="10" t="s">
        <v>59</v>
      </c>
      <c r="AJ60" s="6" t="str">
        <f t="shared" si="20"/>
        <v>匹配</v>
      </c>
      <c r="AK60" s="24">
        <f>IF(A60="","",COUNTIFS(加仓管理!$A$2:$A$1001,A60,加仓管理!$G$2:$G$1001,"&gt;0"))</f>
        <v>0</v>
      </c>
      <c r="AL60" s="24">
        <f>IF(A60="","",SUMIFS(加仓管理!$G$2:$G$1001,加仓管理!$A$2:$A$1001,A60))</f>
        <v>0</v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>
        <f>IF(OR(A60="",H60="",H60&lt;=0),"",(E60*H60+SUMIFS(加仓管理!$H$2:$H$1001,加仓管理!$A$2:$A$1001,A60))/AP60)</f>
        <v>31.13</v>
      </c>
      <c r="AP60" s="24">
        <f t="shared" si="21"/>
        <v>5900</v>
      </c>
      <c r="AQ60" s="25">
        <f>IF(A60="","",IF(M60&lt;&gt;"",0,IF(OR(H60="",N60=""),"",MAX((E60*H60+SUMIFS(加仓管理!$H$2:$H$1001,加仓管理!$A$2:$A$1001,A60))-MAX(N60,AN60)*AP60,0))))</f>
        <v>0</v>
      </c>
      <c r="AR60" s="25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>
      <c r="A61" s="21">
        <v>60</v>
      </c>
      <c r="B61" s="54" t="s">
        <v>162</v>
      </c>
      <c r="C61" s="7">
        <v>473965</v>
      </c>
      <c r="D61" s="4">
        <v>0.02</v>
      </c>
      <c r="E61" s="7">
        <v>5.44</v>
      </c>
      <c r="F61" s="6">
        <f t="shared" si="11"/>
        <v>21500</v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1">
        <v>21500</v>
      </c>
      <c r="I61" s="22">
        <v>44978</v>
      </c>
      <c r="J61" s="7">
        <v>6.5</v>
      </c>
      <c r="K61" s="7">
        <v>6</v>
      </c>
      <c r="L61" s="6">
        <f t="shared" si="12"/>
        <v>31500</v>
      </c>
      <c r="M61" s="22">
        <v>41366</v>
      </c>
      <c r="N61" s="7">
        <v>5</v>
      </c>
      <c r="O61" s="7"/>
      <c r="P61" s="7"/>
      <c r="Q61" s="21"/>
      <c r="R61" s="21"/>
      <c r="S61" s="21"/>
      <c r="T61" s="21"/>
      <c r="U61" s="5">
        <f t="shared" si="13"/>
        <v>0.14155887600356817</v>
      </c>
      <c r="V61" s="5">
        <f t="shared" si="14"/>
        <v>0.12187778768956295</v>
      </c>
      <c r="W61" s="23">
        <f t="shared" si="15"/>
        <v>1.1614821591948754</v>
      </c>
      <c r="X61" s="3">
        <f t="shared" si="16"/>
        <v>9639.9999999999873</v>
      </c>
      <c r="Y61" s="5">
        <f t="shared" si="17"/>
        <v>5.3746654772524459E-2</v>
      </c>
      <c r="Z61" s="5">
        <f>IF(OR(AE61="",多次统计数据!$B$8=""),"",AE61-多次统计数据!$B$8)</f>
        <v>-6.796444482497084E-2</v>
      </c>
      <c r="AA61" s="8" t="str">
        <f t="shared" si="18"/>
        <v/>
      </c>
      <c r="AB61" s="5">
        <f>IF(OR(A61="",多次统计数据!$B$8="",多次统计数据!$B$6&lt;=0,多次统计数据!$B$6&gt;=1),"",1-POWER(1+多次统计数据!$B$8,-多次统计数据!$B$6/(1-多次统计数据!$B$6)))</f>
        <v>5.2127368536445173E-2</v>
      </c>
      <c r="AC61" s="6" t="str">
        <f>IF(OR(AB61="",多次统计数据!$B$9=""),"",IF(多次统计数据!$B$9&lt;AB61,"低于上限","达到或超过上限"))</f>
        <v>低于上限</v>
      </c>
      <c r="AD61" s="21"/>
      <c r="AE61" s="5">
        <f t="shared" si="19"/>
        <v>2.0339054571540064E-2</v>
      </c>
      <c r="AG61" s="21" t="s">
        <v>45</v>
      </c>
      <c r="AH61" s="21" t="s">
        <v>46</v>
      </c>
      <c r="AI61" s="10" t="s">
        <v>59</v>
      </c>
      <c r="AJ61" s="6" t="str">
        <f t="shared" si="20"/>
        <v>匹配</v>
      </c>
      <c r="AK61" s="24">
        <f>IF(A61="","",COUNTIFS(加仓管理!$A$2:$A$1001,A61,加仓管理!$G$2:$G$1001,"&gt;0"))</f>
        <v>1</v>
      </c>
      <c r="AL61" s="24">
        <f>IF(A61="","",SUMIFS(加仓管理!$G$2:$G$1001,加仓管理!$A$2:$A$1001,A61))</f>
        <v>10000</v>
      </c>
      <c r="AM61" s="25">
        <f>IF(AK61=0,"",IFERROR(LOOKUP(2,1/((加仓管理!$A$2:$A$1001=A61)*(加仓管理!$G$2:$G$1001&gt;0)),加仓管理!$D$2:$D$1001),""))</f>
        <v>6.24</v>
      </c>
      <c r="AN61" s="25">
        <f>IF(AK61=0,"",IFERROR(LOOKUP(2,1/((加仓管理!$A$2:$A$1001=A61)*(加仓管理!$G$2:$G$1001&gt;0)),加仓管理!$E$2:$E$1001),""))</f>
        <v>5.95</v>
      </c>
      <c r="AO61" s="25">
        <f>IF(OR(A61="",H61="",H61&lt;=0),"",(E61*H61+SUMIFS(加仓管理!$H$2:$H$1001,加仓管理!$A$2:$A$1001,A61))/AP61)</f>
        <v>5.6939682539682543</v>
      </c>
      <c r="AP61" s="24">
        <f t="shared" si="21"/>
        <v>31500</v>
      </c>
      <c r="AQ61" s="25">
        <f>IF(A61="","",IF(M61&lt;&gt;"",0,IF(OR(H61="",N61=""),"",MAX((E61*H61+SUMIFS(加仓管理!$H$2:$H$1001,加仓管理!$A$2:$A$1001,A61))-MAX(N61,AN61)*AP61,0))))</f>
        <v>0</v>
      </c>
      <c r="AR61" s="25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通过</v>
      </c>
    </row>
    <row r="62" spans="1:44">
      <c r="A62" s="21">
        <v>61</v>
      </c>
      <c r="B62" s="54" t="s">
        <v>162</v>
      </c>
      <c r="C62" s="7">
        <v>483605</v>
      </c>
      <c r="D62" s="4">
        <v>0.02</v>
      </c>
      <c r="E62" s="7">
        <v>6.5</v>
      </c>
      <c r="F62" s="6">
        <f t="shared" si="11"/>
        <v>19300</v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1">
        <v>19300</v>
      </c>
      <c r="I62" s="22">
        <v>45052</v>
      </c>
      <c r="J62" s="7">
        <v>8</v>
      </c>
      <c r="K62" s="7">
        <v>6.9</v>
      </c>
      <c r="L62" s="6">
        <f t="shared" si="12"/>
        <v>29300</v>
      </c>
      <c r="M62" s="22">
        <v>41432</v>
      </c>
      <c r="N62" s="7">
        <v>6</v>
      </c>
      <c r="O62" s="7"/>
      <c r="P62" s="7"/>
      <c r="Q62" s="21"/>
      <c r="R62" s="21"/>
      <c r="S62" s="21"/>
      <c r="T62" s="21"/>
      <c r="U62" s="5">
        <f t="shared" si="13"/>
        <v>0.18473591104372003</v>
      </c>
      <c r="V62" s="5">
        <f t="shared" si="14"/>
        <v>0.11144806671720997</v>
      </c>
      <c r="W62" s="23">
        <f t="shared" si="15"/>
        <v>1.6575963718820872</v>
      </c>
      <c r="X62" s="3">
        <f t="shared" si="16"/>
        <v>4320.0000000000173</v>
      </c>
      <c r="Y62" s="5">
        <f t="shared" si="17"/>
        <v>2.1834723275208578E-2</v>
      </c>
      <c r="Z62" s="5">
        <f>IF(OR(AE62="",多次统计数据!$B$8=""),"",AE62-多次统计数据!$B$8)</f>
        <v>-7.9370589273579956E-2</v>
      </c>
      <c r="AA62" s="8" t="str">
        <f t="shared" si="18"/>
        <v/>
      </c>
      <c r="AB62" s="5">
        <f>IF(OR(A62="",多次统计数据!$B$8="",多次统计数据!$B$6&lt;=0,多次统计数据!$B$6&gt;=1),"",1-POWER(1+多次统计数据!$B$8,-多次统计数据!$B$6/(1-多次统计数据!$B$6)))</f>
        <v>5.2127368536445173E-2</v>
      </c>
      <c r="AC62" s="6" t="str">
        <f>IF(OR(AB62="",多次统计数据!$B$9=""),"",IF(多次统计数据!$B$9&lt;AB62,"低于上限","达到或超过上限"))</f>
        <v>低于上限</v>
      </c>
      <c r="AD62" s="21"/>
      <c r="AE62" s="5">
        <f t="shared" si="19"/>
        <v>8.9329101229309402E-3</v>
      </c>
      <c r="AG62" s="21" t="s">
        <v>45</v>
      </c>
      <c r="AH62" s="21" t="s">
        <v>46</v>
      </c>
      <c r="AI62" s="10" t="s">
        <v>59</v>
      </c>
      <c r="AJ62" s="6" t="str">
        <f t="shared" si="20"/>
        <v>匹配</v>
      </c>
      <c r="AK62" s="24">
        <f>IF(A62="","",COUNTIFS(加仓管理!$A$2:$A$1001,A62,加仓管理!$G$2:$G$1001,"&gt;0"))</f>
        <v>1</v>
      </c>
      <c r="AL62" s="24">
        <f>IF(A62="","",SUMIFS(加仓管理!$G$2:$G$1001,加仓管理!$A$2:$A$1001,A62))</f>
        <v>10000</v>
      </c>
      <c r="AM62" s="25">
        <f>IF(AK62=0,"",IFERROR(LOOKUP(2,1/((加仓管理!$A$2:$A$1001=A62)*(加仓管理!$G$2:$G$1001&gt;0)),加仓管理!$D$2:$D$1001),""))</f>
        <v>7.24</v>
      </c>
      <c r="AN62" s="25">
        <f>IF(AK62=0,"",IFERROR(LOOKUP(2,1/((加仓管理!$A$2:$A$1001=A62)*(加仓管理!$G$2:$G$1001&gt;0)),加仓管理!$E$2:$E$1001),""))</f>
        <v>6.8</v>
      </c>
      <c r="AO62" s="25">
        <f>IF(OR(A62="",H62="",H62&lt;=0),"",(E62*H62+SUMIFS(加仓管理!$H$2:$H$1001,加仓管理!$A$2:$A$1001,A62))/AP62)</f>
        <v>6.7525597269624571</v>
      </c>
      <c r="AP62" s="24">
        <f t="shared" si="21"/>
        <v>29300</v>
      </c>
      <c r="AQ62" s="25">
        <f>IF(A62="","",IF(M62&lt;&gt;"",0,IF(OR(H62="",N62=""),"",MAX((E62*H62+SUMIFS(加仓管理!$H$2:$H$1001,加仓管理!$A$2:$A$1001,A62))-MAX(N62,AN62)*AP62,0))))</f>
        <v>0</v>
      </c>
      <c r="AR62" s="25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通过</v>
      </c>
    </row>
    <row r="63" spans="1:44">
      <c r="A63" s="21">
        <v>62</v>
      </c>
      <c r="B63" s="54" t="s">
        <v>162</v>
      </c>
      <c r="C63" s="7">
        <v>487925</v>
      </c>
      <c r="D63" s="4">
        <v>0.02</v>
      </c>
      <c r="E63" s="7">
        <v>7.58</v>
      </c>
      <c r="F63" s="6">
        <f t="shared" si="11"/>
        <v>16800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1">
        <v>16800</v>
      </c>
      <c r="I63" s="22">
        <v>41487</v>
      </c>
      <c r="J63" s="7">
        <v>9</v>
      </c>
      <c r="K63" s="7">
        <v>10.74</v>
      </c>
      <c r="L63" s="6">
        <f t="shared" si="12"/>
        <v>48800</v>
      </c>
      <c r="M63" s="22">
        <v>41570</v>
      </c>
      <c r="N63" s="7">
        <v>7</v>
      </c>
      <c r="O63" s="7"/>
      <c r="P63" s="7"/>
      <c r="Q63" s="21"/>
      <c r="R63" s="21"/>
      <c r="S63" s="21"/>
      <c r="T63" s="21"/>
      <c r="U63" s="5">
        <f t="shared" si="13"/>
        <v>-8.8105726872246774E-3</v>
      </c>
      <c r="V63" s="5">
        <f t="shared" si="14"/>
        <v>0.22907488986784141</v>
      </c>
      <c r="W63" s="23">
        <f t="shared" si="15"/>
        <v>-3.8461538461538491E-2</v>
      </c>
      <c r="X63" s="3">
        <f t="shared" si="16"/>
        <v>81008</v>
      </c>
      <c r="Y63" s="5">
        <f t="shared" si="17"/>
        <v>0.1828193832599119</v>
      </c>
      <c r="Z63" s="5">
        <f>IF(OR(AE63="",多次统计数据!$B$8=""),"",AE63-多次统计数据!$B$8)</f>
        <v>7.772201682012074E-2</v>
      </c>
      <c r="AA63" s="8">
        <f t="shared" si="18"/>
        <v>83</v>
      </c>
      <c r="AB63" s="5">
        <f>IF(OR(A63="",多次统计数据!$B$8="",多次统计数据!$B$6&lt;=0,多次统计数据!$B$6&gt;=1),"",1-POWER(1+多次统计数据!$B$8,-多次统计数据!$B$6/(1-多次统计数据!$B$6)))</f>
        <v>5.2127368536445173E-2</v>
      </c>
      <c r="AC63" s="6" t="str">
        <f>IF(OR(AB63="",多次统计数据!$B$9=""),"",IF(多次统计数据!$B$9&lt;AB63,"低于上限","达到或超过上限"))</f>
        <v>低于上限</v>
      </c>
      <c r="AD63" s="21"/>
      <c r="AE63" s="5">
        <f t="shared" si="19"/>
        <v>0.16602551621663164</v>
      </c>
      <c r="AG63" s="21" t="s">
        <v>45</v>
      </c>
      <c r="AH63" s="21" t="s">
        <v>46</v>
      </c>
      <c r="AI63" s="10" t="s">
        <v>59</v>
      </c>
      <c r="AJ63" s="6" t="str">
        <f t="shared" si="20"/>
        <v>匹配</v>
      </c>
      <c r="AK63" s="24">
        <f>IF(A63="","",COUNTIFS(加仓管理!$A$2:$A$1001,A63,加仓管理!$G$2:$G$1001,"&gt;0"))</f>
        <v>4</v>
      </c>
      <c r="AL63" s="24">
        <f>IF(A63="","",SUMIFS(加仓管理!$G$2:$G$1001,加仓管理!$A$2:$A$1001,A63))</f>
        <v>32000</v>
      </c>
      <c r="AM63" s="25">
        <f>IF(AK63=0,"",IFERROR(LOOKUP(2,1/((加仓管理!$A$2:$A$1001=A63)*(加仓管理!$G$2:$G$1001&gt;0)),加仓管理!$D$2:$D$1001),""))</f>
        <v>11.61</v>
      </c>
      <c r="AN63" s="25">
        <f>IF(AK63=0,"",IFERROR(LOOKUP(2,1/((加仓管理!$A$2:$A$1001=A63)*(加仓管理!$G$2:$G$1001&gt;0)),加仓管理!$E$2:$E$1001),""))</f>
        <v>10</v>
      </c>
      <c r="AO63" s="25">
        <f>IF(OR(A63="",H63="",H63&lt;=0),"",(E63*H63+SUMIFS(加仓管理!$H$2:$H$1001,加仓管理!$A$2:$A$1001,A63))/AP63)</f>
        <v>9.08</v>
      </c>
      <c r="AP63" s="24">
        <f t="shared" si="21"/>
        <v>48800</v>
      </c>
      <c r="AQ63" s="25">
        <f>IF(A63="","",IF(M63&lt;&gt;"",0,IF(OR(H63="",N63=""),"",MAX((E63*H63+SUMIFS(加仓管理!$H$2:$H$1001,加仓管理!$A$2:$A$1001,A63))-MAX(N63,AN63)*AP63,0))))</f>
        <v>0</v>
      </c>
      <c r="AR63" s="25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通过</v>
      </c>
    </row>
    <row r="64" spans="1:44">
      <c r="A64" s="21">
        <v>63</v>
      </c>
      <c r="B64" s="54" t="s">
        <v>162</v>
      </c>
      <c r="C64" s="7">
        <v>568933</v>
      </c>
      <c r="D64" s="4">
        <v>0.02</v>
      </c>
      <c r="E64" s="7">
        <v>12.71</v>
      </c>
      <c r="F64" s="6">
        <f t="shared" si="11"/>
        <v>16000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1">
        <v>16000</v>
      </c>
      <c r="I64" s="22">
        <v>41420</v>
      </c>
      <c r="J64" s="7">
        <v>15</v>
      </c>
      <c r="K64" s="7">
        <v>14.24</v>
      </c>
      <c r="L64" s="6">
        <f t="shared" si="12"/>
        <v>26000</v>
      </c>
      <c r="M64" s="22">
        <v>41809</v>
      </c>
      <c r="N64" s="7">
        <v>12</v>
      </c>
      <c r="O64" s="7"/>
      <c r="P64" s="7"/>
      <c r="Q64" s="21"/>
      <c r="R64" s="21"/>
      <c r="S64" s="21"/>
      <c r="T64" s="21"/>
      <c r="U64" s="5">
        <f t="shared" si="13"/>
        <v>0.10682256782835732</v>
      </c>
      <c r="V64" s="5">
        <f t="shared" si="14"/>
        <v>0.11454194573731415</v>
      </c>
      <c r="W64" s="23">
        <f t="shared" si="15"/>
        <v>0.93260654112983088</v>
      </c>
      <c r="X64" s="3">
        <f t="shared" si="16"/>
        <v>17879.999999999993</v>
      </c>
      <c r="Y64" s="5">
        <f t="shared" si="17"/>
        <v>5.07435577250539E-2</v>
      </c>
      <c r="Z64" s="5">
        <f>IF(OR(AE64="",多次统计数据!$B$8=""),"",AE64-多次统计数据!$B$8)</f>
        <v>-5.6876248736064075E-2</v>
      </c>
      <c r="AA64" s="8">
        <f t="shared" si="18"/>
        <v>389</v>
      </c>
      <c r="AB64" s="5">
        <f>IF(OR(A64="",多次统计数据!$B$8="",多次统计数据!$B$6&lt;=0,多次统计数据!$B$6&gt;=1),"",1-POWER(1+多次统计数据!$B$8,-多次统计数据!$B$6/(1-多次统计数据!$B$6)))</f>
        <v>5.2127368536445173E-2</v>
      </c>
      <c r="AC64" s="6" t="str">
        <f>IF(OR(AB64="",多次统计数据!$B$9=""),"",IF(多次统计数据!$B$9&lt;AB64,"低于上限","达到或超过上限"))</f>
        <v>低于上限</v>
      </c>
      <c r="AD64" s="21"/>
      <c r="AE64" s="5">
        <f t="shared" si="19"/>
        <v>3.1427250660446826E-2</v>
      </c>
      <c r="AG64" s="21" t="s">
        <v>45</v>
      </c>
      <c r="AH64" s="21" t="s">
        <v>46</v>
      </c>
      <c r="AI64" s="10" t="s">
        <v>59</v>
      </c>
      <c r="AJ64" s="6" t="str">
        <f t="shared" si="20"/>
        <v>匹配</v>
      </c>
      <c r="AK64" s="24">
        <f>IF(A64="","",COUNTIFS(加仓管理!$A$2:$A$1001,A64,加仓管理!$G$2:$G$1001,"&gt;0"))</f>
        <v>2</v>
      </c>
      <c r="AL64" s="24">
        <f>IF(A64="","",SUMIFS(加仓管理!$G$2:$G$1001,加仓管理!$A$2:$A$1001,A64))</f>
        <v>10000</v>
      </c>
      <c r="AM64" s="25">
        <f>IF(AK64=0,"",IFERROR(LOOKUP(2,1/((加仓管理!$A$2:$A$1001=A64)*(加仓管理!$G$2:$G$1001&gt;0)),加仓管理!$D$2:$D$1001),""))</f>
        <v>15.54</v>
      </c>
      <c r="AN64" s="25">
        <f>IF(AK64=0,"",IFERROR(LOOKUP(2,1/((加仓管理!$A$2:$A$1001=A64)*(加仓管理!$G$2:$G$1001&gt;0)),加仓管理!$E$2:$E$1001),""))</f>
        <v>14.5</v>
      </c>
      <c r="AO64" s="25">
        <f>IF(OR(A64="",H64="",H64&lt;=0),"",(E64*H64+SUMIFS(加仓管理!$H$2:$H$1001,加仓管理!$A$2:$A$1001,A64))/AP64)</f>
        <v>13.552307692307693</v>
      </c>
      <c r="AP64" s="24">
        <f t="shared" si="21"/>
        <v>26000</v>
      </c>
      <c r="AQ64" s="25">
        <f>IF(A64="","",IF(M64&lt;&gt;"",0,IF(OR(H64="",N64=""),"",MAX((E64*H64+SUMIFS(加仓管理!$H$2:$H$1001,加仓管理!$A$2:$A$1001,A64))-MAX(N64,AN64)*AP64,0))))</f>
        <v>0</v>
      </c>
      <c r="AR64" s="25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通过</v>
      </c>
    </row>
    <row r="65" spans="1:44">
      <c r="A65" s="21">
        <v>64</v>
      </c>
      <c r="B65" s="54" t="s">
        <v>162</v>
      </c>
      <c r="C65" s="7">
        <v>586813</v>
      </c>
      <c r="D65" s="4">
        <v>0.02</v>
      </c>
      <c r="E65" s="7">
        <v>16.23</v>
      </c>
      <c r="F65" s="6">
        <f t="shared" si="11"/>
        <v>16000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1">
        <v>16000</v>
      </c>
      <c r="I65" s="22">
        <v>41828</v>
      </c>
      <c r="J65" s="7">
        <v>20</v>
      </c>
      <c r="K65" s="7">
        <v>15.19</v>
      </c>
      <c r="L65" s="6">
        <f t="shared" si="12"/>
        <v>16000</v>
      </c>
      <c r="M65" s="22">
        <v>41836</v>
      </c>
      <c r="N65" s="7">
        <v>15.5</v>
      </c>
      <c r="O65" s="7"/>
      <c r="P65" s="7"/>
      <c r="Q65" s="21"/>
      <c r="R65" s="21"/>
      <c r="S65" s="21"/>
      <c r="T65" s="21"/>
      <c r="U65" s="5">
        <f t="shared" si="13"/>
        <v>0.23228589032655572</v>
      </c>
      <c r="V65" s="5">
        <f t="shared" si="14"/>
        <v>4.4978434996919309E-2</v>
      </c>
      <c r="W65" s="23">
        <f t="shared" si="15"/>
        <v>5.1643835616438318</v>
      </c>
      <c r="X65" s="3">
        <f t="shared" si="16"/>
        <v>-16640.000000000015</v>
      </c>
      <c r="Y65" s="5">
        <f t="shared" si="17"/>
        <v>-6.4078866296980952E-2</v>
      </c>
      <c r="Z65" s="5">
        <f>IF(OR(AE65="",多次统计数据!$B$8=""),"",AE65-多次统计数据!$B$8)</f>
        <v>-0.11666006273099738</v>
      </c>
      <c r="AA65" s="8">
        <f t="shared" si="18"/>
        <v>8</v>
      </c>
      <c r="AB65" s="5">
        <f>IF(OR(A65="",多次统计数据!$B$8="",多次统计数据!$B$6&lt;=0,多次统计数据!$B$6&gt;=1),"",1-POWER(1+多次统计数据!$B$8,-多次统计数据!$B$6/(1-多次统计数据!$B$6)))</f>
        <v>5.2127368536445173E-2</v>
      </c>
      <c r="AC65" s="6" t="str">
        <f>IF(OR(AB65="",多次统计数据!$B$9=""),"",IF(多次统计数据!$B$9&lt;AB65,"低于上限","达到或超过上限"))</f>
        <v>低于上限</v>
      </c>
      <c r="AD65" s="21"/>
      <c r="AE65" s="5">
        <f t="shared" si="19"/>
        <v>-2.8356563334486478E-2</v>
      </c>
      <c r="AG65" s="21" t="s">
        <v>45</v>
      </c>
      <c r="AH65" s="21" t="s">
        <v>46</v>
      </c>
      <c r="AI65" s="10" t="s">
        <v>59</v>
      </c>
      <c r="AJ65" s="6" t="str">
        <f t="shared" si="20"/>
        <v>匹配</v>
      </c>
      <c r="AK65" s="24">
        <f>IF(A65="","",COUNTIFS(加仓管理!$A$2:$A$1001,A65,加仓管理!$G$2:$G$1001,"&gt;0"))</f>
        <v>0</v>
      </c>
      <c r="AL65" s="24">
        <f>IF(A65="","",SUMIFS(加仓管理!$G$2:$G$1001,加仓管理!$A$2:$A$1001,A65))</f>
        <v>0</v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>
        <f>IF(OR(A65="",H65="",H65&lt;=0),"",(E65*H65+SUMIFS(加仓管理!$H$2:$H$1001,加仓管理!$A$2:$A$1001,A65))/AP65)</f>
        <v>16.23</v>
      </c>
      <c r="AP65" s="24">
        <f t="shared" si="21"/>
        <v>16000</v>
      </c>
      <c r="AQ65" s="25">
        <f>IF(A65="","",IF(M65&lt;&gt;"",0,IF(OR(H65="",N65=""),"",MAX((E65*H65+SUMIFS(加仓管理!$H$2:$H$1001,加仓管理!$A$2:$A$1001,A65))-MAX(N65,AN65)*AP65,0))))</f>
        <v>0</v>
      </c>
      <c r="AR65" s="25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通过</v>
      </c>
    </row>
    <row r="66" spans="1:44">
      <c r="A66" s="21">
        <v>65</v>
      </c>
      <c r="B66" s="54" t="s">
        <v>162</v>
      </c>
      <c r="C66" s="7">
        <v>570173</v>
      </c>
      <c r="D66" s="4">
        <v>0.02</v>
      </c>
      <c r="E66" s="7">
        <v>17.41</v>
      </c>
      <c r="F66" s="6">
        <f t="shared" ref="F66:F97" si="22">IF(OR(C66="",D66="",E66="",N66="",C66&lt;=0,D66&lt;=0,E66&lt;=N66),"",ROUNDDOWN((C66*D66)/(E66-N66)/100,0)*100)</f>
        <v>12500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1">
        <v>12500</v>
      </c>
      <c r="I66" s="22">
        <v>41883</v>
      </c>
      <c r="J66" s="7">
        <v>20</v>
      </c>
      <c r="K66" s="7">
        <v>16.309999999999999</v>
      </c>
      <c r="L66" s="6">
        <f t="shared" ref="L66:L97" si="23">IF(AP66="","",AP66)</f>
        <v>12500</v>
      </c>
      <c r="M66" s="22">
        <v>41898</v>
      </c>
      <c r="N66" s="7">
        <v>16.5</v>
      </c>
      <c r="O66" s="7"/>
      <c r="P66" s="7"/>
      <c r="Q66" s="21"/>
      <c r="R66" s="21"/>
      <c r="S66" s="21"/>
      <c r="T66" s="21"/>
      <c r="U66" s="5">
        <f t="shared" ref="U66:U97" si="24">IF(OR(AO66="",J66="",AO66&lt;=0),"",(J66-AO66)/AO66)</f>
        <v>0.14876507754164273</v>
      </c>
      <c r="V66" s="5">
        <f t="shared" ref="V66:V97" si="25">IF(OR(AO66="",N66="",AO66&lt;=0),"",(AO66-N66)/AO66)</f>
        <v>5.2268811028144749E-2</v>
      </c>
      <c r="W66" s="23">
        <f t="shared" ref="W66:W97" si="26">IF(OR(U66="",V66="",V66&lt;=0),"",U66/V66)</f>
        <v>2.8461538461538458</v>
      </c>
      <c r="X66" s="3">
        <f t="shared" ref="X66:X97" si="27">IF(OR(K66="",L66="",AO66="",AP66=""),"",(K66-AO66)*L66-IF(O66="",0,O66)-IF(P66="",0,P66))</f>
        <v>-13750.000000000018</v>
      </c>
      <c r="Y66" s="5">
        <f t="shared" ref="Y66:Y97" si="28">IF(OR(X66="",AO66="",L66=""),"",IF(AO66*L66+IF(O66="",0,O66)&lt;=0,"",X66/(AO66*L66+IF(O66="",0,O66))))</f>
        <v>-6.3182079264790428E-2</v>
      </c>
      <c r="Z66" s="5">
        <f>IF(OR(AE66="",多次统计数据!$B$8=""),"",AE66-多次统计数据!$B$8)</f>
        <v>-0.11241898715198165</v>
      </c>
      <c r="AA66" s="8">
        <f t="shared" ref="AA66:AA97" si="29">IF(OR(I66="",M66="",M66&lt;I66),"",M66-I66)</f>
        <v>15</v>
      </c>
      <c r="AB66" s="5">
        <f>IF(OR(A66="",多次统计数据!$B$8="",多次统计数据!$B$6&lt;=0,多次统计数据!$B$6&gt;=1),"",1-POWER(1+多次统计数据!$B$8,-多次统计数据!$B$6/(1-多次统计数据!$B$6)))</f>
        <v>5.2127368536445173E-2</v>
      </c>
      <c r="AC66" s="6" t="str">
        <f>IF(OR(AB66="",多次统计数据!$B$9=""),"",IF(多次统计数据!$B$9&lt;AB66,"低于上限","达到或超过上限"))</f>
        <v>低于上限</v>
      </c>
      <c r="AD66" s="21"/>
      <c r="AE66" s="5">
        <f t="shared" ref="AE66:AE97" si="30">IF(OR(X66="",C66="",C66&lt;=0),"",X66/C66)</f>
        <v>-2.4115487755470739E-2</v>
      </c>
      <c r="AG66" s="21" t="s">
        <v>45</v>
      </c>
      <c r="AH66" s="21" t="s">
        <v>46</v>
      </c>
      <c r="AI66" s="10" t="s">
        <v>59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4">
        <f>IF(A66="","",COUNTIFS(加仓管理!$A$2:$A$1001,A66,加仓管理!$G$2:$G$1001,"&gt;0"))</f>
        <v>0</v>
      </c>
      <c r="AL66" s="24">
        <f>IF(A66="","",SUMIFS(加仓管理!$G$2:$G$1001,加仓管理!$A$2:$A$1001,A66))</f>
        <v>0</v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>
        <f>IF(OR(A66="",H66="",H66&lt;=0),"",(E66*H66+SUMIFS(加仓管理!$H$2:$H$1001,加仓管理!$A$2:$A$1001,A66))/AP66)</f>
        <v>17.41</v>
      </c>
      <c r="AP66" s="24">
        <f t="shared" ref="AP66:AP97" si="32">IF(OR(A66="",H66="",H66&lt;=0),"",H66+AL66)</f>
        <v>12500</v>
      </c>
      <c r="AQ66" s="25">
        <f>IF(A66="","",IF(M66&lt;&gt;"",0,IF(OR(H66="",N66=""),"",MAX((E66*H66+SUMIFS(加仓管理!$H$2:$H$1001,加仓管理!$A$2:$A$1001,A66))-MAX(N66,AN66)*AP66,0))))</f>
        <v>0</v>
      </c>
      <c r="AR66" s="25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1">
        <v>66</v>
      </c>
      <c r="B67" s="54" t="s">
        <v>162</v>
      </c>
      <c r="C67" s="7">
        <v>556423</v>
      </c>
      <c r="D67" s="4">
        <v>0.02</v>
      </c>
      <c r="E67" s="7">
        <v>19.75</v>
      </c>
      <c r="F67" s="6">
        <f t="shared" si="22"/>
        <v>14800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1">
        <v>14800</v>
      </c>
      <c r="I67" s="22">
        <v>42041</v>
      </c>
      <c r="J67" s="7">
        <v>22</v>
      </c>
      <c r="K67" s="7">
        <v>19.559999999999999</v>
      </c>
      <c r="L67" s="6">
        <f t="shared" si="23"/>
        <v>14800</v>
      </c>
      <c r="M67" s="22">
        <v>42074</v>
      </c>
      <c r="N67" s="7">
        <v>19</v>
      </c>
      <c r="O67" s="7"/>
      <c r="P67" s="7"/>
      <c r="Q67" s="21"/>
      <c r="R67" s="21"/>
      <c r="S67" s="21"/>
      <c r="T67" s="21"/>
      <c r="U67" s="5">
        <f t="shared" si="24"/>
        <v>0.11392405063291139</v>
      </c>
      <c r="V67" s="5">
        <f t="shared" si="25"/>
        <v>3.7974683544303799E-2</v>
      </c>
      <c r="W67" s="23">
        <f t="shared" si="26"/>
        <v>3</v>
      </c>
      <c r="X67" s="3">
        <f t="shared" si="27"/>
        <v>-2812.0000000000191</v>
      </c>
      <c r="Y67" s="5">
        <f t="shared" si="28"/>
        <v>-9.6202531645570282E-3</v>
      </c>
      <c r="Z67" s="5">
        <f>IF(OR(AE67="",多次统计数据!$B$8=""),"",AE67-多次统计数据!$B$8)</f>
        <v>-9.3357208535062006E-2</v>
      </c>
      <c r="AA67" s="8">
        <f t="shared" si="29"/>
        <v>33</v>
      </c>
      <c r="AB67" s="5">
        <f>IF(OR(A67="",多次统计数据!$B$8="",多次统计数据!$B$6&lt;=0,多次统计数据!$B$6&gt;=1),"",1-POWER(1+多次统计数据!$B$8,-多次统计数据!$B$6/(1-多次统计数据!$B$6)))</f>
        <v>5.2127368536445173E-2</v>
      </c>
      <c r="AC67" s="6" t="str">
        <f>IF(OR(AB67="",多次统计数据!$B$9=""),"",IF(多次统计数据!$B$9&lt;AB67,"低于上限","达到或超过上限"))</f>
        <v>低于上限</v>
      </c>
      <c r="AD67" s="21"/>
      <c r="AE67" s="5">
        <f t="shared" si="30"/>
        <v>-5.0537091385511003E-3</v>
      </c>
      <c r="AG67" s="21" t="s">
        <v>45</v>
      </c>
      <c r="AH67" s="21" t="s">
        <v>46</v>
      </c>
      <c r="AI67" s="10" t="s">
        <v>59</v>
      </c>
      <c r="AJ67" s="6" t="str">
        <f t="shared" si="31"/>
        <v>匹配</v>
      </c>
      <c r="AK67" s="24">
        <f>IF(A67="","",COUNTIFS(加仓管理!$A$2:$A$1001,A67,加仓管理!$G$2:$G$1001,"&gt;0"))</f>
        <v>0</v>
      </c>
      <c r="AL67" s="24">
        <f>IF(A67="","",SUMIFS(加仓管理!$G$2:$G$1001,加仓管理!$A$2:$A$1001,A67))</f>
        <v>0</v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>
        <f>IF(OR(A67="",H67="",H67&lt;=0),"",(E67*H67+SUMIFS(加仓管理!$H$2:$H$1001,加仓管理!$A$2:$A$1001,A67))/AP67)</f>
        <v>19.75</v>
      </c>
      <c r="AP67" s="24">
        <f t="shared" si="32"/>
        <v>14800</v>
      </c>
      <c r="AQ67" s="25">
        <f>IF(A67="","",IF(M67&lt;&gt;"",0,IF(OR(H67="",N67=""),"",MAX((E67*H67+SUMIFS(加仓管理!$H$2:$H$1001,加仓管理!$A$2:$A$1001,A67))-MAX(N67,AN67)*AP67,0))))</f>
        <v>0</v>
      </c>
      <c r="AR67" s="25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spans="1:44">
      <c r="A68" s="21">
        <v>67</v>
      </c>
      <c r="B68" s="54" t="s">
        <v>162</v>
      </c>
      <c r="C68" s="7">
        <v>553611</v>
      </c>
      <c r="D68" s="4">
        <v>0.02</v>
      </c>
      <c r="E68" s="7">
        <v>22.51</v>
      </c>
      <c r="F68" s="6">
        <f t="shared" si="22"/>
        <v>10900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1">
        <v>10900</v>
      </c>
      <c r="I68" s="22">
        <v>42083</v>
      </c>
      <c r="J68" s="7">
        <v>25</v>
      </c>
      <c r="K68" s="7">
        <v>22.78</v>
      </c>
      <c r="L68" s="6">
        <f t="shared" si="23"/>
        <v>10900</v>
      </c>
      <c r="M68" s="22">
        <v>42109</v>
      </c>
      <c r="N68" s="7">
        <v>21.5</v>
      </c>
      <c r="O68" s="7"/>
      <c r="P68" s="7"/>
      <c r="Q68" s="21"/>
      <c r="R68" s="21"/>
      <c r="S68" s="21"/>
      <c r="T68" s="21"/>
      <c r="U68" s="5">
        <f t="shared" si="24"/>
        <v>0.11061750333185243</v>
      </c>
      <c r="V68" s="5">
        <f t="shared" si="25"/>
        <v>4.4868947134606908E-2</v>
      </c>
      <c r="W68" s="23">
        <f t="shared" si="26"/>
        <v>2.46534653465346</v>
      </c>
      <c r="X68" s="3">
        <f t="shared" si="27"/>
        <v>2942.9999999999955</v>
      </c>
      <c r="Y68" s="5">
        <f t="shared" si="28"/>
        <v>1.1994669035983988E-2</v>
      </c>
      <c r="Z68" s="5">
        <f>IF(OR(AE68="",多次统计数据!$B$8=""),"",AE68-多次统计数据!$B$8)</f>
        <v>-8.2987492308501457E-2</v>
      </c>
      <c r="AA68" s="8">
        <f t="shared" si="29"/>
        <v>26</v>
      </c>
      <c r="AB68" s="5">
        <f>IF(OR(A68="",多次统计数据!$B$8="",多次统计数据!$B$6&lt;=0,多次统计数据!$B$6&gt;=1),"",1-POWER(1+多次统计数据!$B$8,-多次统计数据!$B$6/(1-多次统计数据!$B$6)))</f>
        <v>5.2127368536445173E-2</v>
      </c>
      <c r="AC68" s="6" t="str">
        <f>IF(OR(AB68="",多次统计数据!$B$9=""),"",IF(多次统计数据!$B$9&lt;AB68,"低于上限","达到或超过上限"))</f>
        <v>低于上限</v>
      </c>
      <c r="AD68" s="21"/>
      <c r="AE68" s="5">
        <f t="shared" si="30"/>
        <v>5.3160070880094428E-3</v>
      </c>
      <c r="AG68" s="21" t="s">
        <v>45</v>
      </c>
      <c r="AH68" s="21" t="s">
        <v>46</v>
      </c>
      <c r="AI68" s="10" t="s">
        <v>59</v>
      </c>
      <c r="AJ68" s="6" t="str">
        <f t="shared" si="31"/>
        <v>匹配</v>
      </c>
      <c r="AK68" s="24">
        <f>IF(A68="","",COUNTIFS(加仓管理!$A$2:$A$1001,A68,加仓管理!$G$2:$G$1001,"&gt;0"))</f>
        <v>0</v>
      </c>
      <c r="AL68" s="24">
        <f>IF(A68="","",SUMIFS(加仓管理!$G$2:$G$1001,加仓管理!$A$2:$A$1001,A68))</f>
        <v>0</v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>
        <f>IF(OR(A68="",H68="",H68&lt;=0),"",(E68*H68+SUMIFS(加仓管理!$H$2:$H$1001,加仓管理!$A$2:$A$1001,A68))/AP68)</f>
        <v>22.51</v>
      </c>
      <c r="AP68" s="24">
        <f t="shared" si="32"/>
        <v>10900</v>
      </c>
      <c r="AQ68" s="25">
        <f>IF(A68="","",IF(M68&lt;&gt;"",0,IF(OR(H68="",N68=""),"",MAX((E68*H68+SUMIFS(加仓管理!$H$2:$H$1001,加仓管理!$A$2:$A$1001,A68))-MAX(N68,AN68)*AP68,0))))</f>
        <v>0</v>
      </c>
      <c r="AR68" s="25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>
      <c r="A69" s="21">
        <v>68</v>
      </c>
      <c r="B69" s="54" t="s">
        <v>162</v>
      </c>
      <c r="C69" s="7">
        <v>556554</v>
      </c>
      <c r="D69" s="4">
        <v>0.02</v>
      </c>
      <c r="E69" s="7">
        <v>27.22</v>
      </c>
      <c r="F69" s="6">
        <f t="shared" si="22"/>
        <v>5000</v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1">
        <v>5000</v>
      </c>
      <c r="I69" s="22">
        <v>42118</v>
      </c>
      <c r="J69" s="7">
        <v>30</v>
      </c>
      <c r="K69" s="7">
        <v>30</v>
      </c>
      <c r="L69" s="6">
        <f t="shared" si="23"/>
        <v>10000</v>
      </c>
      <c r="M69" s="22">
        <v>42171</v>
      </c>
      <c r="N69" s="7">
        <v>25</v>
      </c>
      <c r="O69" s="7"/>
      <c r="P69" s="7"/>
      <c r="Q69" s="21"/>
      <c r="R69" s="21"/>
      <c r="S69" s="21"/>
      <c r="T69" s="21"/>
      <c r="U69" s="5">
        <f t="shared" si="24"/>
        <v>7.3029463611181443E-3</v>
      </c>
      <c r="V69" s="5">
        <f t="shared" si="25"/>
        <v>0.16058087803240154</v>
      </c>
      <c r="W69" s="23">
        <f t="shared" si="26"/>
        <v>4.5478306325144005E-2</v>
      </c>
      <c r="X69" s="3">
        <f t="shared" si="27"/>
        <v>2175.0000000000114</v>
      </c>
      <c r="Y69" s="5">
        <f t="shared" si="28"/>
        <v>7.3029463611181443E-3</v>
      </c>
      <c r="Z69" s="5">
        <f>IF(OR(AE69="",多次统计数据!$B$8=""),"",AE69-多次统计数据!$B$8)</f>
        <v>-8.4395522812028514E-2</v>
      </c>
      <c r="AA69" s="8">
        <f t="shared" si="29"/>
        <v>53</v>
      </c>
      <c r="AB69" s="5">
        <f>IF(OR(A69="",多次统计数据!$B$8="",多次统计数据!$B$6&lt;=0,多次统计数据!$B$6&gt;=1),"",1-POWER(1+多次统计数据!$B$8,-多次统计数据!$B$6/(1-多次统计数据!$B$6)))</f>
        <v>5.2127368536445173E-2</v>
      </c>
      <c r="AC69" s="6" t="str">
        <f>IF(OR(AB69="",多次统计数据!$B$9=""),"",IF(多次统计数据!$B$9&lt;AB69,"低于上限","达到或超过上限"))</f>
        <v>低于上限</v>
      </c>
      <c r="AD69" s="21"/>
      <c r="AE69" s="5">
        <f t="shared" si="30"/>
        <v>3.9079765844823883E-3</v>
      </c>
      <c r="AG69" s="21" t="s">
        <v>45</v>
      </c>
      <c r="AH69" s="21" t="s">
        <v>46</v>
      </c>
      <c r="AI69" s="10" t="s">
        <v>59</v>
      </c>
      <c r="AJ69" s="6" t="str">
        <f t="shared" si="31"/>
        <v>匹配</v>
      </c>
      <c r="AK69" s="24">
        <f>IF(A69="","",COUNTIFS(加仓管理!$A$2:$A$1001,A69,加仓管理!$G$2:$G$1001,"&gt;0"))</f>
        <v>2</v>
      </c>
      <c r="AL69" s="24">
        <f>IF(A69="","",SUMIFS(加仓管理!$G$2:$G$1001,加仓管理!$A$2:$A$1001,A69))</f>
        <v>5000</v>
      </c>
      <c r="AM69" s="25">
        <f>IF(AK69=0,"",IFERROR(LOOKUP(2,1/((加仓管理!$A$2:$A$1001=A69)*(加仓管理!$G$2:$G$1001&gt;0)),加仓管理!$D$2:$D$1001),""))</f>
        <v>33.909999999999997</v>
      </c>
      <c r="AN69" s="25">
        <f>IF(AK69=0,"",IFERROR(LOOKUP(2,1/((加仓管理!$A$2:$A$1001=A69)*(加仓管理!$G$2:$G$1001&gt;0)),加仓管理!$E$2:$E$1001),""))</f>
        <v>30.5</v>
      </c>
      <c r="AO69" s="25">
        <f>IF(OR(A69="",H69="",H69&lt;=0),"",(E69*H69+SUMIFS(加仓管理!$H$2:$H$1001,加仓管理!$A$2:$A$1001,A69))/AP69)</f>
        <v>29.782499999999999</v>
      </c>
      <c r="AP69" s="24">
        <f t="shared" si="32"/>
        <v>10000</v>
      </c>
      <c r="AQ69" s="25">
        <f>IF(A69="","",IF(M69&lt;&gt;"",0,IF(OR(H69="",N69=""),"",MAX((E69*H69+SUMIFS(加仓管理!$H$2:$H$1001,加仓管理!$A$2:$A$1001,A69))-MAX(N69,AN69)*AP69,0))))</f>
        <v>0</v>
      </c>
      <c r="AR69" s="25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通过</v>
      </c>
    </row>
    <row r="70" spans="1:44">
      <c r="A70" s="21">
        <v>69</v>
      </c>
      <c r="B70" s="54" t="s">
        <v>162</v>
      </c>
      <c r="C70" s="7">
        <v>558729</v>
      </c>
      <c r="D70" s="4">
        <v>0.02</v>
      </c>
      <c r="E70" s="7">
        <v>21.32</v>
      </c>
      <c r="F70" s="6">
        <f t="shared" si="22"/>
        <v>8400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1">
        <v>8400</v>
      </c>
      <c r="I70" s="22">
        <v>42636</v>
      </c>
      <c r="J70" s="7">
        <v>24</v>
      </c>
      <c r="K70" s="7">
        <v>19.760000000000002</v>
      </c>
      <c r="L70" s="6">
        <f t="shared" si="23"/>
        <v>8400</v>
      </c>
      <c r="M70" s="22">
        <v>46314</v>
      </c>
      <c r="N70" s="7">
        <v>20</v>
      </c>
      <c r="O70" s="7"/>
      <c r="P70" s="7"/>
      <c r="Q70" s="21"/>
      <c r="R70" s="21"/>
      <c r="S70" s="21"/>
      <c r="T70" s="21"/>
      <c r="U70" s="5">
        <f t="shared" si="24"/>
        <v>0.12570356472795496</v>
      </c>
      <c r="V70" s="5">
        <f t="shared" si="25"/>
        <v>6.1913696060037535E-2</v>
      </c>
      <c r="W70" s="23">
        <f t="shared" si="26"/>
        <v>2.0303030303030298</v>
      </c>
      <c r="X70" s="3">
        <f t="shared" si="27"/>
        <v>-13103.999999999989</v>
      </c>
      <c r="Y70" s="5">
        <f t="shared" si="28"/>
        <v>-7.3170731707317013E-2</v>
      </c>
      <c r="Z70" s="5">
        <f>IF(OR(AE70="",多次统计数据!$B$8=""),"",AE70-多次统计数据!$B$8)</f>
        <v>-0.1117567298534945</v>
      </c>
      <c r="AA70" s="8">
        <f t="shared" si="29"/>
        <v>3678</v>
      </c>
      <c r="AB70" s="5">
        <f>IF(OR(A70="",多次统计数据!$B$8="",多次统计数据!$B$6&lt;=0,多次统计数据!$B$6&gt;=1),"",1-POWER(1+多次统计数据!$B$8,-多次统计数据!$B$6/(1-多次统计数据!$B$6)))</f>
        <v>5.2127368536445173E-2</v>
      </c>
      <c r="AC70" s="6" t="str">
        <f>IF(OR(AB70="",多次统计数据!$B$9=""),"",IF(多次统计数据!$B$9&lt;AB70,"低于上限","达到或超过上限"))</f>
        <v>低于上限</v>
      </c>
      <c r="AD70" s="21"/>
      <c r="AE70" s="5">
        <f t="shared" si="30"/>
        <v>-2.3453230456983599E-2</v>
      </c>
      <c r="AG70" s="21" t="s">
        <v>50</v>
      </c>
      <c r="AH70" s="21" t="s">
        <v>58</v>
      </c>
      <c r="AI70" s="10" t="s">
        <v>59</v>
      </c>
      <c r="AJ70" s="6" t="str">
        <f t="shared" si="31"/>
        <v>匹配</v>
      </c>
      <c r="AK70" s="24">
        <f>IF(A70="","",COUNTIFS(加仓管理!$A$2:$A$1001,A70,加仓管理!$G$2:$G$1001,"&gt;0"))</f>
        <v>0</v>
      </c>
      <c r="AL70" s="24">
        <f>IF(A70="","",SUMIFS(加仓管理!$G$2:$G$1001,加仓管理!$A$2:$A$1001,A70))</f>
        <v>0</v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>
        <f>IF(OR(A70="",H70="",H70&lt;=0),"",(E70*H70+SUMIFS(加仓管理!$H$2:$H$1001,加仓管理!$A$2:$A$1001,A70))/AP70)</f>
        <v>21.32</v>
      </c>
      <c r="AP70" s="24">
        <f t="shared" si="32"/>
        <v>8400</v>
      </c>
      <c r="AQ70" s="25">
        <f>IF(A70="","",IF(M70&lt;&gt;"",0,IF(OR(H70="",N70=""),"",MAX((E70*H70+SUMIFS(加仓管理!$H$2:$H$1001,加仓管理!$A$2:$A$1001,A70))-MAX(N70,AN70)*AP70,0))))</f>
        <v>0</v>
      </c>
      <c r="AR70" s="25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1">
        <v>70</v>
      </c>
      <c r="B71" s="54" t="s">
        <v>162</v>
      </c>
      <c r="C71" s="7">
        <v>545625</v>
      </c>
      <c r="D71" s="4">
        <v>0.02</v>
      </c>
      <c r="E71" s="7">
        <v>18.27</v>
      </c>
      <c r="F71" s="6">
        <f t="shared" si="22"/>
        <v>8500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1">
        <v>8500</v>
      </c>
      <c r="I71" s="22">
        <v>42990</v>
      </c>
      <c r="J71" s="7">
        <v>22</v>
      </c>
      <c r="K71" s="7">
        <v>16.89</v>
      </c>
      <c r="L71" s="6">
        <f t="shared" si="23"/>
        <v>8500</v>
      </c>
      <c r="M71" s="22">
        <v>43026</v>
      </c>
      <c r="N71" s="7">
        <v>17</v>
      </c>
      <c r="O71" s="7"/>
      <c r="P71" s="7"/>
      <c r="Q71" s="21"/>
      <c r="R71" s="21"/>
      <c r="S71" s="21"/>
      <c r="T71" s="21"/>
      <c r="U71" s="5">
        <f t="shared" si="24"/>
        <v>0.20415982484948006</v>
      </c>
      <c r="V71" s="5">
        <f t="shared" si="25"/>
        <v>6.9512862616310872E-2</v>
      </c>
      <c r="W71" s="23">
        <f t="shared" si="26"/>
        <v>2.9370078740157495</v>
      </c>
      <c r="X71" s="3">
        <f t="shared" si="27"/>
        <v>-11729.999999999991</v>
      </c>
      <c r="Y71" s="5">
        <f t="shared" si="28"/>
        <v>-7.5533661740558228E-2</v>
      </c>
      <c r="Z71" s="5">
        <f>IF(OR(AE71="",多次统计数据!$B$8=""),"",AE71-多次统计数据!$B$8)</f>
        <v>-0.10980178118345246</v>
      </c>
      <c r="AA71" s="8">
        <f t="shared" si="29"/>
        <v>36</v>
      </c>
      <c r="AB71" s="5">
        <f>IF(OR(A71="",多次统计数据!$B$8="",多次统计数据!$B$6&lt;=0,多次统计数据!$B$6&gt;=1),"",1-POWER(1+多次统计数据!$B$8,-多次统计数据!$B$6/(1-多次统计数据!$B$6)))</f>
        <v>5.2127368536445173E-2</v>
      </c>
      <c r="AC71" s="6" t="str">
        <f>IF(OR(AB71="",多次统计数据!$B$9=""),"",IF(多次统计数据!$B$9&lt;AB71,"低于上限","达到或超过上限"))</f>
        <v>低于上限</v>
      </c>
      <c r="AD71" s="21"/>
      <c r="AE71" s="5">
        <f t="shared" si="30"/>
        <v>-2.1498281786941565E-2</v>
      </c>
      <c r="AG71" s="21" t="s">
        <v>50</v>
      </c>
      <c r="AH71" s="21" t="s">
        <v>58</v>
      </c>
      <c r="AI71" s="10" t="s">
        <v>59</v>
      </c>
      <c r="AJ71" s="6" t="str">
        <f t="shared" si="31"/>
        <v>匹配</v>
      </c>
      <c r="AK71" s="24">
        <f>IF(A71="","",COUNTIFS(加仓管理!$A$2:$A$1001,A71,加仓管理!$G$2:$G$1001,"&gt;0"))</f>
        <v>0</v>
      </c>
      <c r="AL71" s="24">
        <f>IF(A71="","",SUMIFS(加仓管理!$G$2:$G$1001,加仓管理!$A$2:$A$1001,A71))</f>
        <v>0</v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>
        <f>IF(OR(A71="",H71="",H71&lt;=0),"",(E71*H71+SUMIFS(加仓管理!$H$2:$H$1001,加仓管理!$A$2:$A$1001,A71))/AP71)</f>
        <v>18.27</v>
      </c>
      <c r="AP71" s="24">
        <f t="shared" si="32"/>
        <v>8500</v>
      </c>
      <c r="AQ71" s="25">
        <f>IF(A71="","",IF(M71&lt;&gt;"",0,IF(OR(H71="",N71=""),"",MAX((E71*H71+SUMIFS(加仓管理!$H$2:$H$1001,加仓管理!$A$2:$A$1001,A71))-MAX(N71,AN71)*AP71,0))))</f>
        <v>0</v>
      </c>
      <c r="AR71" s="25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spans="1:44">
      <c r="A72" s="21">
        <v>71</v>
      </c>
      <c r="B72" s="54" t="s">
        <v>162</v>
      </c>
      <c r="C72" s="7">
        <v>533895</v>
      </c>
      <c r="D72" s="4">
        <v>0.02</v>
      </c>
      <c r="E72" s="7">
        <v>19.59</v>
      </c>
      <c r="F72" s="6">
        <f t="shared" si="22"/>
        <v>6700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1">
        <v>6700</v>
      </c>
      <c r="I72" s="22">
        <v>42956</v>
      </c>
      <c r="J72" s="7">
        <v>24</v>
      </c>
      <c r="K72" s="7">
        <v>17.34</v>
      </c>
      <c r="L72" s="6">
        <f t="shared" si="23"/>
        <v>6700</v>
      </c>
      <c r="M72" s="22">
        <v>43066</v>
      </c>
      <c r="N72" s="7">
        <v>18</v>
      </c>
      <c r="O72" s="7"/>
      <c r="P72" s="7"/>
      <c r="Q72" s="21"/>
      <c r="R72" s="21"/>
      <c r="S72" s="21"/>
      <c r="T72" s="21"/>
      <c r="U72" s="5">
        <f t="shared" si="24"/>
        <v>0.22511485451761104</v>
      </c>
      <c r="V72" s="5">
        <f t="shared" si="25"/>
        <v>8.116385911179172E-2</v>
      </c>
      <c r="W72" s="23">
        <f t="shared" si="26"/>
        <v>2.7735849056603779</v>
      </c>
      <c r="X72" s="3">
        <f t="shared" si="27"/>
        <v>-15075</v>
      </c>
      <c r="Y72" s="5">
        <f t="shared" si="28"/>
        <v>-0.11485451761102604</v>
      </c>
      <c r="Z72" s="5">
        <f>IF(OR(AE72="",多次统计数据!$B$8=""),"",AE72-多次统计数据!$B$8)</f>
        <v>-0.11653938847582425</v>
      </c>
      <c r="AA72" s="8">
        <f t="shared" si="29"/>
        <v>110</v>
      </c>
      <c r="AB72" s="5">
        <f>IF(OR(A72="",多次统计数据!$B$8="",多次统计数据!$B$6&lt;=0,多次统计数据!$B$6&gt;=1),"",1-POWER(1+多次统计数据!$B$8,-多次统计数据!$B$6/(1-多次统计数据!$B$6)))</f>
        <v>5.2127368536445173E-2</v>
      </c>
      <c r="AC72" s="6" t="str">
        <f>IF(OR(AB72="",多次统计数据!$B$9=""),"",IF(多次统计数据!$B$9&lt;AB72,"低于上限","达到或超过上限"))</f>
        <v>低于上限</v>
      </c>
      <c r="AD72" s="21"/>
      <c r="AE72" s="5">
        <f t="shared" si="30"/>
        <v>-2.8235889079313348E-2</v>
      </c>
      <c r="AG72" s="21" t="s">
        <v>50</v>
      </c>
      <c r="AH72" s="21" t="s">
        <v>58</v>
      </c>
      <c r="AI72" s="10" t="s">
        <v>59</v>
      </c>
      <c r="AJ72" s="6" t="str">
        <f t="shared" si="31"/>
        <v>匹配</v>
      </c>
      <c r="AK72" s="24">
        <f>IF(A72="","",COUNTIFS(加仓管理!$A$2:$A$1001,A72,加仓管理!$G$2:$G$1001,"&gt;0"))</f>
        <v>0</v>
      </c>
      <c r="AL72" s="24">
        <f>IF(A72="","",SUMIFS(加仓管理!$G$2:$G$1001,加仓管理!$A$2:$A$1001,A72))</f>
        <v>0</v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>
        <f>IF(OR(A72="",H72="",H72&lt;=0),"",(E72*H72+SUMIFS(加仓管理!$H$2:$H$1001,加仓管理!$A$2:$A$1001,A72))/AP72)</f>
        <v>19.59</v>
      </c>
      <c r="AP72" s="24">
        <f t="shared" si="32"/>
        <v>6700</v>
      </c>
      <c r="AQ72" s="25">
        <f>IF(A72="","",IF(M72&lt;&gt;"",0,IF(OR(H72="",N72=""),"",MAX((E72*H72+SUMIFS(加仓管理!$H$2:$H$1001,加仓管理!$A$2:$A$1001,A72))-MAX(N72,AN72)*AP72,0))))</f>
        <v>0</v>
      </c>
      <c r="AR72" s="25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spans="1:44">
      <c r="A73" s="21">
        <v>72</v>
      </c>
      <c r="B73" s="54" t="s">
        <v>162</v>
      </c>
      <c r="C73" s="7">
        <v>518820</v>
      </c>
      <c r="D73" s="4">
        <v>0.02</v>
      </c>
      <c r="E73" s="7">
        <v>19.309999999999999</v>
      </c>
      <c r="F73" s="6">
        <f t="shared" si="22"/>
        <v>7900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1">
        <v>7900</v>
      </c>
      <c r="I73" s="22">
        <v>43167</v>
      </c>
      <c r="J73" s="7">
        <v>24</v>
      </c>
      <c r="K73" s="7">
        <v>20.67</v>
      </c>
      <c r="L73" s="6">
        <f t="shared" si="23"/>
        <v>12500</v>
      </c>
      <c r="M73" s="22">
        <v>43213</v>
      </c>
      <c r="N73" s="7">
        <v>18</v>
      </c>
      <c r="O73" s="7"/>
      <c r="P73" s="7"/>
      <c r="Q73" s="21"/>
      <c r="R73" s="21"/>
      <c r="S73" s="21"/>
      <c r="T73" s="21"/>
      <c r="U73" s="5">
        <f t="shared" si="24"/>
        <v>0.15545935286573184</v>
      </c>
      <c r="V73" s="5">
        <f t="shared" si="25"/>
        <v>0.13340548535070113</v>
      </c>
      <c r="W73" s="23">
        <f t="shared" si="26"/>
        <v>1.1653145480266776</v>
      </c>
      <c r="X73" s="3">
        <f t="shared" si="27"/>
        <v>-1261.9999999999632</v>
      </c>
      <c r="Y73" s="5">
        <f t="shared" si="28"/>
        <v>-4.8606323443883704E-3</v>
      </c>
      <c r="Z73" s="5">
        <f>IF(OR(AE73="",多次统计数据!$B$8=""),"",AE73-多次统计数据!$B$8)</f>
        <v>-9.0735942247595985E-2</v>
      </c>
      <c r="AA73" s="8">
        <f t="shared" si="29"/>
        <v>46</v>
      </c>
      <c r="AB73" s="5">
        <f>IF(OR(A73="",多次统计数据!$B$8="",多次统计数据!$B$6&lt;=0,多次统计数据!$B$6&gt;=1),"",1-POWER(1+多次统计数据!$B$8,-多次统计数据!$B$6/(1-多次统计数据!$B$6)))</f>
        <v>5.2127368536445173E-2</v>
      </c>
      <c r="AC73" s="6" t="str">
        <f>IF(OR(AB73="",多次统计数据!$B$9=""),"",IF(多次统计数据!$B$9&lt;AB73,"低于上限","达到或超过上限"))</f>
        <v>低于上限</v>
      </c>
      <c r="AD73" s="21"/>
      <c r="AE73" s="5">
        <f t="shared" si="30"/>
        <v>-2.4324428510850839E-3</v>
      </c>
      <c r="AG73" s="21" t="s">
        <v>50</v>
      </c>
      <c r="AH73" s="21" t="s">
        <v>58</v>
      </c>
      <c r="AI73" s="10" t="s">
        <v>59</v>
      </c>
      <c r="AJ73" s="6" t="str">
        <f t="shared" si="31"/>
        <v>匹配</v>
      </c>
      <c r="AK73" s="24">
        <f>IF(A73="","",COUNTIFS(加仓管理!$A$2:$A$1001,A73,加仓管理!$G$2:$G$1001,"&gt;0"))</f>
        <v>2</v>
      </c>
      <c r="AL73" s="24">
        <f>IF(A73="","",SUMIFS(加仓管理!$G$2:$G$1001,加仓管理!$A$2:$A$1001,A73))</f>
        <v>4600</v>
      </c>
      <c r="AM73" s="25">
        <f>IF(AK73=0,"",IFERROR(LOOKUP(2,1/((加仓管理!$A$2:$A$1001=A73)*(加仓管理!$G$2:$G$1001&gt;0)),加仓管理!$D$2:$D$1001),""))</f>
        <v>24.26</v>
      </c>
      <c r="AN73" s="25">
        <f>IF(AK73=0,"",IFERROR(LOOKUP(2,1/((加仓管理!$A$2:$A$1001=A73)*(加仓管理!$G$2:$G$1001&gt;0)),加仓管理!$E$2:$E$1001),""))</f>
        <v>22</v>
      </c>
      <c r="AO73" s="25">
        <f>IF(OR(A73="",H73="",H73&lt;=0),"",(E73*H73+SUMIFS(加仓管理!$H$2:$H$1001,加仓管理!$A$2:$A$1001,A73))/AP73)</f>
        <v>20.770959999999999</v>
      </c>
      <c r="AP73" s="24">
        <f t="shared" si="32"/>
        <v>12500</v>
      </c>
      <c r="AQ73" s="25">
        <f>IF(A73="","",IF(M73&lt;&gt;"",0,IF(OR(H73="",N73=""),"",MAX((E73*H73+SUMIFS(加仓管理!$H$2:$H$1001,加仓管理!$A$2:$A$1001,A73))-MAX(N73,AN73)*AP73,0))))</f>
        <v>0</v>
      </c>
      <c r="AR73" s="25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spans="1:44">
      <c r="A74" s="21">
        <v>73</v>
      </c>
      <c r="B74" s="54" t="s">
        <v>162</v>
      </c>
      <c r="C74" s="7">
        <v>517558</v>
      </c>
      <c r="D74" s="4">
        <v>0.02</v>
      </c>
      <c r="E74" s="7">
        <v>25.24</v>
      </c>
      <c r="F74" s="6">
        <f t="shared" si="22"/>
        <v>13900</v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1">
        <v>13900</v>
      </c>
      <c r="I74" s="22">
        <v>43301</v>
      </c>
      <c r="J74" s="7">
        <v>30</v>
      </c>
      <c r="K74" s="7">
        <v>23.77</v>
      </c>
      <c r="L74" s="6">
        <f t="shared" si="23"/>
        <v>13900</v>
      </c>
      <c r="M74" s="22">
        <v>43307</v>
      </c>
      <c r="N74" s="7">
        <v>24.5</v>
      </c>
      <c r="O74" s="7"/>
      <c r="P74" s="7"/>
      <c r="Q74" s="21"/>
      <c r="R74" s="21"/>
      <c r="S74" s="21"/>
      <c r="T74" s="21"/>
      <c r="U74" s="5">
        <f t="shared" si="24"/>
        <v>0.18858954041204445</v>
      </c>
      <c r="V74" s="5">
        <f t="shared" si="25"/>
        <v>2.9318541996830368E-2</v>
      </c>
      <c r="W74" s="23">
        <f t="shared" si="26"/>
        <v>6.4324324324324484</v>
      </c>
      <c r="X74" s="3">
        <f t="shared" si="27"/>
        <v>-20432.999999999985</v>
      </c>
      <c r="Y74" s="5">
        <f t="shared" si="28"/>
        <v>-5.8240887480190136E-2</v>
      </c>
      <c r="Z74" s="5">
        <f>IF(OR(AE74="",多次统计数据!$B$8=""),"",AE74-多次统计数据!$B$8)</f>
        <v>-0.12778313259704105</v>
      </c>
      <c r="AA74" s="8">
        <f t="shared" si="29"/>
        <v>6</v>
      </c>
      <c r="AB74" s="5">
        <f>IF(OR(A74="",多次统计数据!$B$8="",多次统计数据!$B$6&lt;=0,多次统计数据!$B$6&gt;=1),"",1-POWER(1+多次统计数据!$B$8,-多次统计数据!$B$6/(1-多次统计数据!$B$6)))</f>
        <v>5.2127368536445173E-2</v>
      </c>
      <c r="AC74" s="6" t="str">
        <f>IF(OR(AB74="",多次统计数据!$B$9=""),"",IF(多次统计数据!$B$9&lt;AB74,"低于上限","达到或超过上限"))</f>
        <v>低于上限</v>
      </c>
      <c r="AD74" s="21"/>
      <c r="AE74" s="5">
        <f t="shared" si="30"/>
        <v>-3.9479633200530155E-2</v>
      </c>
      <c r="AG74" s="21" t="s">
        <v>50</v>
      </c>
      <c r="AH74" s="21" t="s">
        <v>58</v>
      </c>
      <c r="AI74" s="10" t="s">
        <v>59</v>
      </c>
      <c r="AJ74" s="6" t="str">
        <f t="shared" si="31"/>
        <v>匹配</v>
      </c>
      <c r="AK74" s="24">
        <f>IF(A74="","",COUNTIFS(加仓管理!$A$2:$A$1001,A74,加仓管理!$G$2:$G$1001,"&gt;0"))</f>
        <v>0</v>
      </c>
      <c r="AL74" s="24">
        <f>IF(A74="","",SUMIFS(加仓管理!$G$2:$G$1001,加仓管理!$A$2:$A$1001,A74))</f>
        <v>0</v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>
        <f>IF(OR(A74="",H74="",H74&lt;=0),"",(E74*H74+SUMIFS(加仓管理!$H$2:$H$1001,加仓管理!$A$2:$A$1001,A74))/AP74)</f>
        <v>25.24</v>
      </c>
      <c r="AP74" s="24">
        <f t="shared" si="32"/>
        <v>13900</v>
      </c>
      <c r="AQ74" s="25">
        <f>IF(A74="","",IF(M74&lt;&gt;"",0,IF(OR(H74="",N74=""),"",MAX((E74*H74+SUMIFS(加仓管理!$H$2:$H$1001,加仓管理!$A$2:$A$1001,A74))-MAX(N74,AN74)*AP74,0))))</f>
        <v>0</v>
      </c>
      <c r="AR74" s="25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通过</v>
      </c>
    </row>
    <row r="75" spans="1:44">
      <c r="A75" s="21">
        <v>74</v>
      </c>
      <c r="B75" s="54" t="s">
        <v>162</v>
      </c>
      <c r="C75" s="7">
        <v>497125</v>
      </c>
      <c r="D75" s="4">
        <v>0.02</v>
      </c>
      <c r="E75" s="7">
        <v>25.76</v>
      </c>
      <c r="F75" s="6">
        <f t="shared" si="22"/>
        <v>2600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1">
        <v>2600</v>
      </c>
      <c r="I75" s="22">
        <v>43318</v>
      </c>
      <c r="J75" s="7">
        <v>30</v>
      </c>
      <c r="K75" s="7">
        <v>21.62</v>
      </c>
      <c r="L75" s="6">
        <f t="shared" si="23"/>
        <v>2600</v>
      </c>
      <c r="M75" s="22">
        <v>43349</v>
      </c>
      <c r="N75" s="7">
        <v>22</v>
      </c>
      <c r="O75" s="7"/>
      <c r="P75" s="7"/>
      <c r="Q75" s="21"/>
      <c r="R75" s="21"/>
      <c r="S75" s="21"/>
      <c r="T75" s="21"/>
      <c r="U75" s="5">
        <f t="shared" si="24"/>
        <v>0.16459627329192539</v>
      </c>
      <c r="V75" s="5">
        <f t="shared" si="25"/>
        <v>0.14596273291925471</v>
      </c>
      <c r="W75" s="23">
        <f t="shared" si="26"/>
        <v>1.1276595744680842</v>
      </c>
      <c r="X75" s="3">
        <f t="shared" si="27"/>
        <v>-10764.000000000002</v>
      </c>
      <c r="Y75" s="5">
        <f t="shared" si="28"/>
        <v>-0.16071428571428575</v>
      </c>
      <c r="Z75" s="5">
        <f>IF(OR(AE75="",多次统计数据!$B$8=""),"",AE75-多次统计数据!$B$8)</f>
        <v>-0.1099560012823545</v>
      </c>
      <c r="AA75" s="8">
        <f t="shared" si="29"/>
        <v>31</v>
      </c>
      <c r="AB75" s="5">
        <f>IF(OR(A75="",多次统计数据!$B$8="",多次统计数据!$B$6&lt;=0,多次统计数据!$B$6&gt;=1),"",1-POWER(1+多次统计数据!$B$8,-多次统计数据!$B$6/(1-多次统计数据!$B$6)))</f>
        <v>5.2127368536445173E-2</v>
      </c>
      <c r="AC75" s="6" t="str">
        <f>IF(OR(AB75="",多次统计数据!$B$9=""),"",IF(多次统计数据!$B$9&lt;AB75,"低于上限","达到或超过上限"))</f>
        <v>低于上限</v>
      </c>
      <c r="AD75" s="21"/>
      <c r="AE75" s="5">
        <f t="shared" si="30"/>
        <v>-2.1652501885843604E-2</v>
      </c>
      <c r="AF75" s="38"/>
      <c r="AG75" s="21" t="s">
        <v>50</v>
      </c>
      <c r="AH75" s="21" t="s">
        <v>58</v>
      </c>
      <c r="AI75" s="10" t="s">
        <v>59</v>
      </c>
      <c r="AJ75" s="6" t="str">
        <f t="shared" si="31"/>
        <v>匹配</v>
      </c>
      <c r="AK75" s="24">
        <f>IF(A75="","",COUNTIFS(加仓管理!$A$2:$A$1001,A75,加仓管理!$G$2:$G$1001,"&gt;0"))</f>
        <v>0</v>
      </c>
      <c r="AL75" s="24">
        <f>IF(A75="","",SUMIFS(加仓管理!$G$2:$G$1001,加仓管理!$A$2:$A$1001,A75))</f>
        <v>0</v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>
        <f>IF(OR(A75="",H75="",H75&lt;=0),"",(E75*H75+SUMIFS(加仓管理!$H$2:$H$1001,加仓管理!$A$2:$A$1001,A75))/AP75)</f>
        <v>25.76</v>
      </c>
      <c r="AP75" s="24">
        <f t="shared" si="32"/>
        <v>2600</v>
      </c>
      <c r="AQ75" s="25">
        <f>IF(A75="","",IF(M75&lt;&gt;"",0,IF(OR(H75="",N75=""),"",MAX((E75*H75+SUMIFS(加仓管理!$H$2:$H$1001,加仓管理!$A$2:$A$1001,A75))-MAX(N75,AN75)*AP75,0))))</f>
        <v>0</v>
      </c>
      <c r="AR75" s="25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spans="1:44">
      <c r="A76" s="21">
        <v>75</v>
      </c>
      <c r="B76" s="54" t="s">
        <v>162</v>
      </c>
      <c r="C76" s="7">
        <v>486361</v>
      </c>
      <c r="D76" s="4">
        <v>0.02</v>
      </c>
      <c r="E76" s="7">
        <v>20.47</v>
      </c>
      <c r="F76" s="6">
        <f t="shared" si="22"/>
        <v>4900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1">
        <v>4900</v>
      </c>
      <c r="I76" s="22">
        <v>43521</v>
      </c>
      <c r="J76" s="7">
        <v>24</v>
      </c>
      <c r="K76" s="7">
        <v>22.3</v>
      </c>
      <c r="L76" s="6">
        <f t="shared" si="23"/>
        <v>6900</v>
      </c>
      <c r="M76" s="22">
        <v>43538</v>
      </c>
      <c r="N76" s="7">
        <v>18.5</v>
      </c>
      <c r="O76" s="7"/>
      <c r="P76" s="7"/>
      <c r="Q76" s="21"/>
      <c r="R76" s="21"/>
      <c r="S76" s="21"/>
      <c r="T76" s="21"/>
      <c r="U76" s="5">
        <f t="shared" si="24"/>
        <v>9.8850056070549405E-2</v>
      </c>
      <c r="V76" s="5">
        <f t="shared" si="25"/>
        <v>0.15296974844561817</v>
      </c>
      <c r="W76" s="23">
        <f t="shared" si="26"/>
        <v>0.64620656747494942</v>
      </c>
      <c r="X76" s="3">
        <f t="shared" si="27"/>
        <v>3167.0000000000114</v>
      </c>
      <c r="Y76" s="5">
        <f t="shared" si="28"/>
        <v>2.1014843765552189E-2</v>
      </c>
      <c r="Z76" s="5">
        <f>IF(OR(AE76="",多次统计数据!$B$8=""),"",AE76-多次统计数据!$B$8)</f>
        <v>-8.1791875314810247E-2</v>
      </c>
      <c r="AA76" s="8">
        <f t="shared" si="29"/>
        <v>17</v>
      </c>
      <c r="AB76" s="5">
        <f>IF(OR(A76="",多次统计数据!$B$8="",多次统计数据!$B$6&lt;=0,多次统计数据!$B$6&gt;=1),"",1-POWER(1+多次统计数据!$B$8,-多次统计数据!$B$6/(1-多次统计数据!$B$6)))</f>
        <v>5.2127368536445173E-2</v>
      </c>
      <c r="AC76" s="6" t="str">
        <f>IF(OR(AB76="",多次统计数据!$B$9=""),"",IF(多次统计数据!$B$9&lt;AB76,"低于上限","达到或超过上限"))</f>
        <v>低于上限</v>
      </c>
      <c r="AD76" s="21"/>
      <c r="AE76" s="5">
        <f t="shared" si="30"/>
        <v>6.5116240817006529E-3</v>
      </c>
      <c r="AF76" s="38"/>
      <c r="AG76" s="21" t="s">
        <v>50</v>
      </c>
      <c r="AH76" s="21" t="s">
        <v>58</v>
      </c>
      <c r="AI76" s="10" t="s">
        <v>59</v>
      </c>
      <c r="AJ76" s="6" t="str">
        <f t="shared" si="31"/>
        <v>匹配</v>
      </c>
      <c r="AK76" s="24">
        <f>IF(A76="","",COUNTIFS(加仓管理!$A$2:$A$1001,A76,加仓管理!$G$2:$G$1001,"&gt;0"))</f>
        <v>1</v>
      </c>
      <c r="AL76" s="24">
        <f>IF(A76="","",SUMIFS(加仓管理!$G$2:$G$1001,加仓管理!$A$2:$A$1001,A76))</f>
        <v>2000</v>
      </c>
      <c r="AM76" s="25">
        <f>IF(AK76=0,"",IFERROR(LOOKUP(2,1/((加仓管理!$A$2:$A$1001=A76)*(加仓管理!$G$2:$G$1001&gt;0)),加仓管理!$D$2:$D$1001),""))</f>
        <v>25.2</v>
      </c>
      <c r="AN76" s="25">
        <f>IF(AK76=0,"",IFERROR(LOOKUP(2,1/((加仓管理!$A$2:$A$1001=A76)*(加仓管理!$G$2:$G$1001&gt;0)),加仓管理!$E$2:$E$1001),""))</f>
        <v>22.5</v>
      </c>
      <c r="AO76" s="25">
        <f>IF(OR(A76="",H76="",H76&lt;=0),"",(E76*H76+SUMIFS(加仓管理!$H$2:$H$1001,加仓管理!$A$2:$A$1001,A76))/AP76)</f>
        <v>21.841014492753622</v>
      </c>
      <c r="AP76" s="24">
        <f t="shared" si="32"/>
        <v>6900</v>
      </c>
      <c r="AQ76" s="25">
        <f>IF(A76="","",IF(M76&lt;&gt;"",0,IF(OR(H76="",N76=""),"",MAX((E76*H76+SUMIFS(加仓管理!$H$2:$H$1001,加仓管理!$A$2:$A$1001,A76))-MAX(N76,AN76)*AP76,0))))</f>
        <v>0</v>
      </c>
      <c r="AR76" s="25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spans="1:44">
      <c r="A77" s="21">
        <v>76</v>
      </c>
      <c r="B77" s="54" t="s">
        <v>162</v>
      </c>
      <c r="C77" s="7">
        <v>489528</v>
      </c>
      <c r="D77" s="4">
        <v>0.02</v>
      </c>
      <c r="E77" s="7">
        <v>26.66</v>
      </c>
      <c r="F77" s="6">
        <f t="shared" si="22"/>
        <v>5800</v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1">
        <v>5800</v>
      </c>
      <c r="I77" s="22">
        <v>43733</v>
      </c>
      <c r="J77" s="7">
        <v>30</v>
      </c>
      <c r="K77" s="7">
        <v>24.72</v>
      </c>
      <c r="L77" s="6">
        <f t="shared" si="23"/>
        <v>5800</v>
      </c>
      <c r="M77" s="22">
        <v>43734</v>
      </c>
      <c r="N77" s="7">
        <v>25</v>
      </c>
      <c r="O77" s="7"/>
      <c r="P77" s="7"/>
      <c r="Q77" s="21"/>
      <c r="R77" s="21"/>
      <c r="S77" s="21"/>
      <c r="T77" s="21"/>
      <c r="U77" s="5">
        <f t="shared" si="24"/>
        <v>0.12528132033008252</v>
      </c>
      <c r="V77" s="5">
        <f t="shared" si="25"/>
        <v>6.2265566391597901E-2</v>
      </c>
      <c r="W77" s="23">
        <f t="shared" si="26"/>
        <v>2.012048192771084</v>
      </c>
      <c r="X77" s="3">
        <f t="shared" si="27"/>
        <v>-11252.000000000007</v>
      </c>
      <c r="Y77" s="5">
        <f t="shared" si="28"/>
        <v>-7.2768192048012048E-2</v>
      </c>
      <c r="Z77" s="5">
        <f>IF(OR(AE77="",多次统计数据!$B$8=""),"",AE77-多次统计数据!$B$8)</f>
        <v>-0.11128890574711803</v>
      </c>
      <c r="AA77" s="8">
        <f t="shared" si="29"/>
        <v>1</v>
      </c>
      <c r="AB77" s="5">
        <f>IF(OR(A77="",多次统计数据!$B$8="",多次统计数据!$B$6&lt;=0,多次统计数据!$B$6&gt;=1),"",1-POWER(1+多次统计数据!$B$8,-多次统计数据!$B$6/(1-多次统计数据!$B$6)))</f>
        <v>5.2127368536445173E-2</v>
      </c>
      <c r="AC77" s="6" t="str">
        <f>IF(OR(AB77="",多次统计数据!$B$9=""),"",IF(多次统计数据!$B$9&lt;AB77,"低于上限","达到或超过上限"))</f>
        <v>低于上限</v>
      </c>
      <c r="AD77" s="21"/>
      <c r="AE77" s="5">
        <f t="shared" si="30"/>
        <v>-2.298540635060713E-2</v>
      </c>
      <c r="AF77" s="38"/>
      <c r="AG77" s="21" t="s">
        <v>45</v>
      </c>
      <c r="AH77" s="21" t="s">
        <v>58</v>
      </c>
      <c r="AI77" s="10" t="s">
        <v>59</v>
      </c>
      <c r="AJ77" s="6" t="str">
        <f t="shared" si="31"/>
        <v>匹配</v>
      </c>
      <c r="AK77" s="24">
        <f>IF(A77="","",COUNTIFS(加仓管理!$A$2:$A$1001,A77,加仓管理!$G$2:$G$1001,"&gt;0"))</f>
        <v>0</v>
      </c>
      <c r="AL77" s="24">
        <f>IF(A77="","",SUMIFS(加仓管理!$G$2:$G$1001,加仓管理!$A$2:$A$1001,A77))</f>
        <v>0</v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>
        <f>IF(OR(A77="",H77="",H77&lt;=0),"",(E77*H77+SUMIFS(加仓管理!$H$2:$H$1001,加仓管理!$A$2:$A$1001,A77))/AP77)</f>
        <v>26.66</v>
      </c>
      <c r="AP77" s="24">
        <f t="shared" si="32"/>
        <v>5800</v>
      </c>
      <c r="AQ77" s="25">
        <f>IF(A77="","",IF(M77&lt;&gt;"",0,IF(OR(H77="",N77=""),"",MAX((E77*H77+SUMIFS(加仓管理!$H$2:$H$1001,加仓管理!$A$2:$A$1001,A77))-MAX(N77,AN77)*AP77,0))))</f>
        <v>0</v>
      </c>
      <c r="AR77" s="25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通过</v>
      </c>
    </row>
    <row r="78" spans="1:44">
      <c r="A78" s="21">
        <v>77</v>
      </c>
      <c r="B78" s="54" t="s">
        <v>162</v>
      </c>
      <c r="C78" s="7">
        <v>478276</v>
      </c>
      <c r="D78" s="4">
        <v>0.02</v>
      </c>
      <c r="E78" s="7">
        <v>27.72</v>
      </c>
      <c r="F78" s="6">
        <f t="shared" si="22"/>
        <v>2900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1">
        <v>2900</v>
      </c>
      <c r="I78" s="22">
        <v>43679</v>
      </c>
      <c r="J78" s="7">
        <v>30</v>
      </c>
      <c r="K78" s="7">
        <v>29.28</v>
      </c>
      <c r="L78" s="6">
        <f t="shared" si="23"/>
        <v>6100</v>
      </c>
      <c r="M78" s="22">
        <v>43864</v>
      </c>
      <c r="N78" s="7">
        <v>24.5</v>
      </c>
      <c r="O78" s="7"/>
      <c r="P78" s="7"/>
      <c r="Q78" s="21"/>
      <c r="R78" s="21"/>
      <c r="S78" s="21"/>
      <c r="T78" s="21"/>
      <c r="U78" s="5">
        <f t="shared" si="24"/>
        <v>6.3428183985477535E-4</v>
      </c>
      <c r="V78" s="5">
        <f t="shared" si="25"/>
        <v>0.18281533649745194</v>
      </c>
      <c r="W78" s="23">
        <f t="shared" si="26"/>
        <v>3.4695220434288669E-3</v>
      </c>
      <c r="X78" s="3">
        <f t="shared" si="27"/>
        <v>-4275.9999999999927</v>
      </c>
      <c r="Y78" s="5">
        <f t="shared" si="28"/>
        <v>-2.3380940924301704E-2</v>
      </c>
      <c r="Z78" s="5">
        <f>IF(OR(AE78="",多次统计数据!$B$8=""),"",AE78-多次统计数据!$B$8)</f>
        <v>-9.7243943826087115E-2</v>
      </c>
      <c r="AA78" s="8">
        <f t="shared" si="29"/>
        <v>185</v>
      </c>
      <c r="AB78" s="5">
        <f>IF(OR(A78="",多次统计数据!$B$8="",多次统计数据!$B$6&lt;=0,多次统计数据!$B$6&gt;=1),"",1-POWER(1+多次统计数据!$B$8,-多次统计数据!$B$6/(1-多次统计数据!$B$6)))</f>
        <v>5.2127368536445173E-2</v>
      </c>
      <c r="AC78" s="6" t="str">
        <f>IF(OR(AB78="",多次统计数据!$B$9=""),"",IF(多次统计数据!$B$9&lt;AB78,"低于上限","达到或超过上限"))</f>
        <v>低于上限</v>
      </c>
      <c r="AD78" s="21"/>
      <c r="AE78" s="5">
        <f t="shared" si="30"/>
        <v>-8.9404444295762119E-3</v>
      </c>
      <c r="AG78" s="21" t="s">
        <v>45</v>
      </c>
      <c r="AH78" s="21" t="s">
        <v>46</v>
      </c>
      <c r="AI78" s="10" t="s">
        <v>59</v>
      </c>
      <c r="AJ78" s="6" t="str">
        <f t="shared" si="31"/>
        <v>匹配</v>
      </c>
      <c r="AK78" s="24">
        <f>IF(A78="","",COUNTIFS(加仓管理!$A$2:$A$1001,A78,加仓管理!$G$2:$G$1001,"&gt;0"))</f>
        <v>1</v>
      </c>
      <c r="AL78" s="24">
        <f>IF(A78="","",SUMIFS(加仓管理!$G$2:$G$1001,加仓管理!$A$2:$A$1001,A78))</f>
        <v>3200</v>
      </c>
      <c r="AM78" s="25">
        <f>IF(AK78=0,"",IFERROR(LOOKUP(2,1/((加仓管理!$A$2:$A$1001=A78)*(加仓管理!$G$2:$G$1001&gt;0)),加仓管理!$D$2:$D$1001),""))</f>
        <v>32.03</v>
      </c>
      <c r="AN78" s="25">
        <f>IF(AK78=0,"",IFERROR(LOOKUP(2,1/((加仓管理!$A$2:$A$1001=A78)*(加仓管理!$G$2:$G$1001&gt;0)),加仓管理!$E$2:$E$1001),""))</f>
        <v>30</v>
      </c>
      <c r="AO78" s="25">
        <f>IF(OR(A78="",H78="",H78&lt;=0),"",(E78*H78+SUMIFS(加仓管理!$H$2:$H$1001,加仓管理!$A$2:$A$1001,A78))/AP78)</f>
        <v>29.980983606557377</v>
      </c>
      <c r="AP78" s="24">
        <f t="shared" si="32"/>
        <v>6100</v>
      </c>
      <c r="AQ78" s="25">
        <f>IF(A78="","",IF(M78&lt;&gt;"",0,IF(OR(H78="",N78=""),"",MAX((E78*H78+SUMIFS(加仓管理!$H$2:$H$1001,加仓管理!$A$2:$A$1001,A78))-MAX(N78,AN78)*AP78,0))))</f>
        <v>0</v>
      </c>
      <c r="AR78" s="25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1">
        <v>78</v>
      </c>
      <c r="B79" s="54" t="s">
        <v>162</v>
      </c>
      <c r="C79" s="7">
        <v>474000</v>
      </c>
      <c r="D79" s="4">
        <v>0.02</v>
      </c>
      <c r="E79" s="7">
        <v>36.159999999999997</v>
      </c>
      <c r="F79" s="6">
        <f t="shared" si="22"/>
        <v>3000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1">
        <v>3000</v>
      </c>
      <c r="I79" s="22">
        <v>43867</v>
      </c>
      <c r="J79" s="7">
        <v>40</v>
      </c>
      <c r="K79" s="7">
        <v>37.33</v>
      </c>
      <c r="L79" s="6">
        <f t="shared" si="23"/>
        <v>4000</v>
      </c>
      <c r="M79" s="22">
        <v>43899</v>
      </c>
      <c r="N79" s="7">
        <v>33</v>
      </c>
      <c r="O79" s="7"/>
      <c r="P79" s="7"/>
      <c r="Q79" s="21"/>
      <c r="R79" s="21"/>
      <c r="S79" s="21"/>
      <c r="T79" s="21"/>
      <c r="U79" s="5">
        <f t="shared" si="24"/>
        <v>5.5687516495117433E-2</v>
      </c>
      <c r="V79" s="5">
        <f t="shared" si="25"/>
        <v>0.12905779889152813</v>
      </c>
      <c r="W79" s="23">
        <f t="shared" si="26"/>
        <v>0.43149284253578712</v>
      </c>
      <c r="X79" s="3">
        <f t="shared" si="27"/>
        <v>-2240.0000000000091</v>
      </c>
      <c r="Y79" s="5">
        <f t="shared" si="28"/>
        <v>-1.4779625230931704E-2</v>
      </c>
      <c r="Z79" s="5">
        <f>IF(OR(AE79="",多次统计数据!$B$8=""),"",AE79-多次统计数据!$B$8)</f>
        <v>-9.3029237793135391E-2</v>
      </c>
      <c r="AA79" s="8">
        <f t="shared" si="29"/>
        <v>32</v>
      </c>
      <c r="AB79" s="5">
        <f>IF(OR(A79="",多次统计数据!$B$8="",多次统计数据!$B$6&lt;=0,多次统计数据!$B$6&gt;=1),"",1-POWER(1+多次统计数据!$B$8,-多次统计数据!$B$6/(1-多次统计数据!$B$6)))</f>
        <v>5.2127368536445173E-2</v>
      </c>
      <c r="AC79" s="6" t="str">
        <f>IF(OR(AB79="",多次统计数据!$B$9=""),"",IF(多次统计数据!$B$9&lt;AB79,"低于上限","达到或超过上限"))</f>
        <v>低于上限</v>
      </c>
      <c r="AD79" s="21"/>
      <c r="AE79" s="5">
        <f t="shared" si="30"/>
        <v>-4.7257383966244921E-3</v>
      </c>
      <c r="AG79" s="21" t="s">
        <v>45</v>
      </c>
      <c r="AH79" s="21" t="s">
        <v>46</v>
      </c>
      <c r="AI79" s="10" t="s">
        <v>59</v>
      </c>
      <c r="AJ79" s="6" t="str">
        <f t="shared" si="31"/>
        <v>匹配</v>
      </c>
      <c r="AK79" s="24">
        <f>IF(A79="","",COUNTIFS(加仓管理!$A$2:$A$1001,A79,加仓管理!$G$2:$G$1001,"&gt;0"))</f>
        <v>1</v>
      </c>
      <c r="AL79" s="24">
        <f>IF(A79="","",SUMIFS(加仓管理!$G$2:$G$1001,加仓管理!$A$2:$A$1001,A79))</f>
        <v>1000</v>
      </c>
      <c r="AM79" s="25">
        <f>IF(AK79=0,"",IFERROR(LOOKUP(2,1/((加仓管理!$A$2:$A$1001=A79)*(加仓管理!$G$2:$G$1001&gt;0)),加仓管理!$D$2:$D$1001),""))</f>
        <v>43.08</v>
      </c>
      <c r="AN79" s="25">
        <f>IF(AK79=0,"",IFERROR(LOOKUP(2,1/((加仓管理!$A$2:$A$1001=A79)*(加仓管理!$G$2:$G$1001&gt;0)),加仓管理!$E$2:$E$1001),""))</f>
        <v>38</v>
      </c>
      <c r="AO79" s="25">
        <f>IF(OR(A79="",H79="",H79&lt;=0),"",(E79*H79+SUMIFS(加仓管理!$H$2:$H$1001,加仓管理!$A$2:$A$1001,A79))/AP79)</f>
        <v>37.89</v>
      </c>
      <c r="AP79" s="24">
        <f t="shared" si="32"/>
        <v>4000</v>
      </c>
      <c r="AQ79" s="25">
        <f>IF(A79="","",IF(M79&lt;&gt;"",0,IF(OR(H79="",N79=""),"",MAX((E79*H79+SUMIFS(加仓管理!$H$2:$H$1001,加仓管理!$A$2:$A$1001,A79))-MAX(N79,AN79)*AP79,0))))</f>
        <v>0</v>
      </c>
      <c r="AR79" s="25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spans="1:44">
      <c r="A80" s="21">
        <v>79</v>
      </c>
      <c r="B80" s="54" t="s">
        <v>162</v>
      </c>
      <c r="C80" s="7">
        <v>471760</v>
      </c>
      <c r="D80" s="4">
        <v>0.02</v>
      </c>
      <c r="E80" s="7">
        <v>44.3</v>
      </c>
      <c r="F80" s="6">
        <f t="shared" si="22"/>
        <v>5200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1">
        <v>5200</v>
      </c>
      <c r="I80" s="22">
        <v>44013</v>
      </c>
      <c r="J80" s="7">
        <v>50</v>
      </c>
      <c r="K80" s="7">
        <v>41.32</v>
      </c>
      <c r="L80" s="6">
        <f t="shared" si="23"/>
        <v>5200</v>
      </c>
      <c r="M80" s="22">
        <v>44015</v>
      </c>
      <c r="N80" s="7">
        <v>42.5</v>
      </c>
      <c r="O80" s="7"/>
      <c r="P80" s="7"/>
      <c r="Q80" s="21"/>
      <c r="R80" s="21"/>
      <c r="S80" s="21"/>
      <c r="T80" s="21"/>
      <c r="U80" s="5">
        <f t="shared" si="24"/>
        <v>0.12866817155756216</v>
      </c>
      <c r="V80" s="5">
        <f t="shared" si="25"/>
        <v>4.0632054176072172E-2</v>
      </c>
      <c r="W80" s="23">
        <f t="shared" si="26"/>
        <v>3.1666666666666736</v>
      </c>
      <c r="X80" s="3">
        <f t="shared" si="27"/>
        <v>-15495.999999999984</v>
      </c>
      <c r="Y80" s="5">
        <f t="shared" si="28"/>
        <v>-6.7268623024830637E-2</v>
      </c>
      <c r="Z80" s="5">
        <f>IF(OR(AE80="",多次统计数据!$B$8=""),"",AE80-多次统计数据!$B$8)</f>
        <v>-0.12115070984250034</v>
      </c>
      <c r="AA80" s="8">
        <f t="shared" si="29"/>
        <v>2</v>
      </c>
      <c r="AB80" s="5">
        <f>IF(OR(A80="",多次统计数据!$B$8="",多次统计数据!$B$6&lt;=0,多次统计数据!$B$6&gt;=1),"",1-POWER(1+多次统计数据!$B$8,-多次统计数据!$B$6/(1-多次统计数据!$B$6)))</f>
        <v>5.2127368536445173E-2</v>
      </c>
      <c r="AC80" s="6" t="str">
        <f>IF(OR(AB80="",多次统计数据!$B$9=""),"",IF(多次统计数据!$B$9&lt;AB80,"低于上限","达到或超过上限"))</f>
        <v>低于上限</v>
      </c>
      <c r="AD80" s="21"/>
      <c r="AE80" s="5">
        <f t="shared" si="30"/>
        <v>-3.2847210445989448E-2</v>
      </c>
      <c r="AG80" s="21" t="s">
        <v>45</v>
      </c>
      <c r="AH80" s="21" t="s">
        <v>46</v>
      </c>
      <c r="AI80" s="10" t="s">
        <v>59</v>
      </c>
      <c r="AJ80" s="6" t="str">
        <f t="shared" si="31"/>
        <v>匹配</v>
      </c>
      <c r="AK80" s="24">
        <f>IF(A80="","",COUNTIFS(加仓管理!$A$2:$A$1001,A80,加仓管理!$G$2:$G$1001,"&gt;0"))</f>
        <v>0</v>
      </c>
      <c r="AL80" s="24">
        <f>IF(A80="","",SUMIFS(加仓管理!$G$2:$G$1001,加仓管理!$A$2:$A$1001,A80))</f>
        <v>0</v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>
        <f>IF(OR(A80="",H80="",H80&lt;=0),"",(E80*H80+SUMIFS(加仓管理!$H$2:$H$1001,加仓管理!$A$2:$A$1001,A80))/AP80)</f>
        <v>44.3</v>
      </c>
      <c r="AP80" s="24">
        <f t="shared" si="32"/>
        <v>5200</v>
      </c>
      <c r="AQ80" s="25">
        <f>IF(A80="","",IF(M80&lt;&gt;"",0,IF(OR(H80="",N80=""),"",MAX((E80*H80+SUMIFS(加仓管理!$H$2:$H$1001,加仓管理!$A$2:$A$1001,A80))-MAX(N80,AN80)*AP80,0))))</f>
        <v>0</v>
      </c>
      <c r="AR80" s="25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21">
        <v>80</v>
      </c>
      <c r="B81" s="54" t="s">
        <v>162</v>
      </c>
      <c r="C81" s="7">
        <v>456264</v>
      </c>
      <c r="D81" s="4">
        <v>0.02</v>
      </c>
      <c r="E81" s="7">
        <v>32.61</v>
      </c>
      <c r="F81" s="6">
        <f t="shared" si="22"/>
        <v>2900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1">
        <v>2900</v>
      </c>
      <c r="I81" s="22">
        <v>44413</v>
      </c>
      <c r="J81" s="7">
        <v>36</v>
      </c>
      <c r="K81" s="7">
        <v>29.36</v>
      </c>
      <c r="L81" s="6">
        <f t="shared" si="23"/>
        <v>2900</v>
      </c>
      <c r="M81" s="22">
        <v>44425</v>
      </c>
      <c r="N81" s="7">
        <v>29.5</v>
      </c>
      <c r="O81" s="7"/>
      <c r="P81" s="7"/>
      <c r="Q81" s="21"/>
      <c r="R81" s="21"/>
      <c r="S81" s="21"/>
      <c r="T81" s="21"/>
      <c r="U81" s="5">
        <f t="shared" si="24"/>
        <v>0.10395584176632937</v>
      </c>
      <c r="V81" s="5">
        <f t="shared" si="25"/>
        <v>9.5369518552591209E-2</v>
      </c>
      <c r="W81" s="23">
        <f t="shared" si="26"/>
        <v>1.0900321543408364</v>
      </c>
      <c r="X81" s="3">
        <f t="shared" si="27"/>
        <v>-9425</v>
      </c>
      <c r="Y81" s="5">
        <f t="shared" si="28"/>
        <v>-9.9662680159460282E-2</v>
      </c>
      <c r="Z81" s="5">
        <f>IF(OR(AE81="",多次统计数据!$B$8=""),"",AE81-多次统计数据!$B$8)</f>
        <v>-0.1089603997875126</v>
      </c>
      <c r="AA81" s="8">
        <f t="shared" si="29"/>
        <v>12</v>
      </c>
      <c r="AB81" s="5">
        <f>IF(OR(A81="",多次统计数据!$B$8="",多次统计数据!$B$6&lt;=0,多次统计数据!$B$6&gt;=1),"",1-POWER(1+多次统计数据!$B$8,-多次统计数据!$B$6/(1-多次统计数据!$B$6)))</f>
        <v>5.2127368536445173E-2</v>
      </c>
      <c r="AC81" s="6" t="str">
        <f>IF(OR(AB81="",多次统计数据!$B$9=""),"",IF(多次统计数据!$B$9&lt;AB81,"低于上限","达到或超过上限"))</f>
        <v>低于上限</v>
      </c>
      <c r="AD81" s="21"/>
      <c r="AE81" s="5">
        <f t="shared" si="30"/>
        <v>-2.0656900391001702E-2</v>
      </c>
      <c r="AG81" s="21" t="s">
        <v>50</v>
      </c>
      <c r="AH81" s="21" t="s">
        <v>58</v>
      </c>
      <c r="AI81" s="10" t="s">
        <v>59</v>
      </c>
      <c r="AJ81" s="6" t="str">
        <f t="shared" si="31"/>
        <v>匹配</v>
      </c>
      <c r="AK81" s="24">
        <f>IF(A81="","",COUNTIFS(加仓管理!$A$2:$A$1001,A81,加仓管理!$G$2:$G$1001,"&gt;0"))</f>
        <v>0</v>
      </c>
      <c r="AL81" s="24">
        <f>IF(A81="","",SUMIFS(加仓管理!$G$2:$G$1001,加仓管理!$A$2:$A$1001,A81))</f>
        <v>0</v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>
        <f>IF(OR(A81="",H81="",H81&lt;=0),"",(E81*H81+SUMIFS(加仓管理!$H$2:$H$1001,加仓管理!$A$2:$A$1001,A81))/AP81)</f>
        <v>32.61</v>
      </c>
      <c r="AP81" s="24">
        <f t="shared" si="32"/>
        <v>2900</v>
      </c>
      <c r="AQ81" s="25">
        <f>IF(A81="","",IF(M81&lt;&gt;"",0,IF(OR(H81="",N81=""),"",MAX((E81*H81+SUMIFS(加仓管理!$H$2:$H$1001,加仓管理!$A$2:$A$1001,A81))-MAX(N81,AN81)*AP81,0))))</f>
        <v>0</v>
      </c>
      <c r="AR81" s="25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21">
        <v>81</v>
      </c>
      <c r="B82" s="54" t="s">
        <v>162</v>
      </c>
      <c r="C82" s="7">
        <v>446839</v>
      </c>
      <c r="D82" s="4">
        <v>0.02</v>
      </c>
      <c r="E82" s="7">
        <v>35.6</v>
      </c>
      <c r="F82" s="6">
        <f t="shared" si="22"/>
        <v>3400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1">
        <v>3400</v>
      </c>
      <c r="I82" s="22">
        <v>44552</v>
      </c>
      <c r="J82" s="7">
        <v>40</v>
      </c>
      <c r="K82" s="7">
        <v>32.69</v>
      </c>
      <c r="L82" s="6">
        <f t="shared" si="23"/>
        <v>3400</v>
      </c>
      <c r="M82" s="22">
        <v>44574</v>
      </c>
      <c r="N82" s="7">
        <v>33</v>
      </c>
      <c r="O82" s="7"/>
      <c r="P82" s="7"/>
      <c r="Q82" s="21"/>
      <c r="R82" s="21"/>
      <c r="S82" s="21"/>
      <c r="T82" s="21"/>
      <c r="U82" s="5">
        <f t="shared" si="24"/>
        <v>0.12359550561797748</v>
      </c>
      <c r="V82" s="5">
        <f t="shared" si="25"/>
        <v>7.3033707865168579E-2</v>
      </c>
      <c r="W82" s="23">
        <f t="shared" si="26"/>
        <v>1.6923076923076907</v>
      </c>
      <c r="X82" s="3">
        <f t="shared" si="27"/>
        <v>-9894.0000000000127</v>
      </c>
      <c r="Y82" s="5">
        <f t="shared" si="28"/>
        <v>-8.1741573033707965E-2</v>
      </c>
      <c r="Z82" s="5">
        <f>IF(OR(AE82="",多次统计数据!$B$8=""),"",AE82-多次统计数据!$B$8)</f>
        <v>-0.11044570274044466</v>
      </c>
      <c r="AA82" s="8">
        <f t="shared" si="29"/>
        <v>22</v>
      </c>
      <c r="AB82" s="5">
        <f>IF(OR(A82="",多次统计数据!$B$8="",多次统计数据!$B$6&lt;=0,多次统计数据!$B$6&gt;=1),"",1-POWER(1+多次统计数据!$B$8,-多次统计数据!$B$6/(1-多次统计数据!$B$6)))</f>
        <v>5.2127368536445173E-2</v>
      </c>
      <c r="AC82" s="6" t="str">
        <f>IF(OR(AB82="",多次统计数据!$B$9=""),"",IF(多次统计数据!$B$9&lt;AB82,"低于上限","达到或超过上限"))</f>
        <v>低于上限</v>
      </c>
      <c r="AD82" s="21"/>
      <c r="AE82" s="5">
        <f t="shared" si="30"/>
        <v>-2.2142203343933749E-2</v>
      </c>
      <c r="AG82" s="21" t="s">
        <v>50</v>
      </c>
      <c r="AH82" s="21" t="s">
        <v>58</v>
      </c>
      <c r="AI82" s="10" t="s">
        <v>59</v>
      </c>
      <c r="AJ82" s="6" t="str">
        <f t="shared" si="31"/>
        <v>匹配</v>
      </c>
      <c r="AK82" s="24">
        <f>IF(A82="","",COUNTIFS(加仓管理!$A$2:$A$1001,A82,加仓管理!$G$2:$G$1001,"&gt;0"))</f>
        <v>0</v>
      </c>
      <c r="AL82" s="24">
        <f>IF(A82="","",SUMIFS(加仓管理!$G$2:$G$1001,加仓管理!$A$2:$A$1001,A82))</f>
        <v>0</v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>
        <f>IF(OR(A82="",H82="",H82&lt;=0),"",(E82*H82+SUMIFS(加仓管理!$H$2:$H$1001,加仓管理!$A$2:$A$1001,A82))/AP82)</f>
        <v>35.6</v>
      </c>
      <c r="AP82" s="24">
        <f t="shared" si="32"/>
        <v>3400</v>
      </c>
      <c r="AQ82" s="25">
        <f>IF(A82="","",IF(M82&lt;&gt;"",0,IF(OR(H82="",N82=""),"",MAX((E82*H82+SUMIFS(加仓管理!$H$2:$H$1001,加仓管理!$A$2:$A$1001,A82))-MAX(N82,AN82)*AP82,0))))</f>
        <v>0</v>
      </c>
      <c r="AR82" s="25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通过</v>
      </c>
    </row>
    <row r="83" spans="1:44">
      <c r="A83" s="21">
        <v>82</v>
      </c>
      <c r="B83" s="21"/>
      <c r="C83" s="7"/>
      <c r="D83" s="4"/>
      <c r="E83" s="7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1"/>
      <c r="I83" s="22"/>
      <c r="J83" s="7"/>
      <c r="K83" s="7"/>
      <c r="L83" s="6" t="str">
        <f t="shared" si="23"/>
        <v/>
      </c>
      <c r="M83" s="22"/>
      <c r="N83" s="7"/>
      <c r="O83" s="7"/>
      <c r="P83" s="7"/>
      <c r="Q83" s="21"/>
      <c r="R83" s="21"/>
      <c r="S83" s="21"/>
      <c r="T83" s="21"/>
      <c r="U83" s="5" t="str">
        <f t="shared" si="24"/>
        <v/>
      </c>
      <c r="V83" s="5" t="str">
        <f t="shared" si="25"/>
        <v/>
      </c>
      <c r="W83" s="23" t="str">
        <f t="shared" si="26"/>
        <v/>
      </c>
      <c r="X83" s="3" t="str">
        <f t="shared" si="27"/>
        <v/>
      </c>
      <c r="Y83" s="5" t="str">
        <f t="shared" si="28"/>
        <v/>
      </c>
      <c r="Z83" s="5" t="str">
        <f>IF(OR(AE83="",多次统计数据!$B$8=""),"",AE83-多次统计数据!$B$8)</f>
        <v/>
      </c>
      <c r="AA83" s="8" t="str">
        <f t="shared" si="29"/>
        <v/>
      </c>
      <c r="AB83" s="5">
        <f>IF(OR(A83="",多次统计数据!$B$8="",多次统计数据!$B$6&lt;=0,多次统计数据!$B$6&gt;=1),"",1-POWER(1+多次统计数据!$B$8,-多次统计数据!$B$6/(1-多次统计数据!$B$6)))</f>
        <v>5.2127368536445173E-2</v>
      </c>
      <c r="AC83" s="6" t="str">
        <f>IF(OR(AB83="",多次统计数据!$B$9=""),"",IF(多次统计数据!$B$9&lt;AB83,"低于上限","达到或超过上限"))</f>
        <v>低于上限</v>
      </c>
      <c r="AD83" s="21"/>
      <c r="AE83" s="5" t="str">
        <f t="shared" si="30"/>
        <v/>
      </c>
      <c r="AG83" s="21"/>
      <c r="AH83" s="21"/>
      <c r="AI83" s="21"/>
      <c r="AJ83" s="6" t="str">
        <f t="shared" si="31"/>
        <v/>
      </c>
      <c r="AK83" s="24">
        <f>IF(A83="","",COUNTIFS(加仓管理!$A$2:$A$1001,A83,加仓管理!$G$2:$G$1001,"&gt;0"))</f>
        <v>0</v>
      </c>
      <c r="AL83" s="24">
        <f>IF(A83="","",SUMIFS(加仓管理!$G$2:$G$1001,加仓管理!$A$2:$A$1001,A83))</f>
        <v>0</v>
      </c>
      <c r="AM83" s="25" t="str">
        <f>IF(AK83=0,"",IFERROR(LOOKUP(2,1/((加仓管理!$A$2:$A$1001=A83)*(加仓管理!$G$2:$G$1001&gt;0)),加仓管理!$D$2:$D$1001),""))</f>
        <v/>
      </c>
      <c r="AN83" s="25" t="str">
        <f>IF(AK83=0,"",IFERROR(LOOKUP(2,1/((加仓管理!$A$2:$A$1001=A83)*(加仓管理!$G$2:$G$1001&gt;0)),加仓管理!$E$2:$E$1001),""))</f>
        <v/>
      </c>
      <c r="AO83" s="25" t="str">
        <f>IF(OR(A83="",H83="",H83&lt;=0),"",(E83*H83+SUMIFS(加仓管理!$H$2:$H$1001,加仓管理!$A$2:$A$1001,A83))/AP83)</f>
        <v/>
      </c>
      <c r="AP83" s="24" t="str">
        <f t="shared" si="32"/>
        <v/>
      </c>
      <c r="AQ83" s="25" t="str">
        <f>IF(A83="","",IF(M83&lt;&gt;"",0,IF(OR(H83="",N83=""),"",MAX((E83*H83+SUMIFS(加仓管理!$H$2:$H$1001,加仓管理!$A$2:$A$1001,A83))-MAX(N83,AN83)*AP83,0))))</f>
        <v/>
      </c>
      <c r="AR83" s="25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违规：首次买入价格或股数缺失</v>
      </c>
    </row>
    <row r="84" spans="1:44">
      <c r="A84" s="21"/>
      <c r="B84" s="21"/>
      <c r="C84" s="7"/>
      <c r="D84" s="4"/>
      <c r="E84" s="7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1"/>
      <c r="I84" s="22"/>
      <c r="J84" s="7"/>
      <c r="K84" s="7"/>
      <c r="L84" s="6" t="str">
        <f t="shared" si="23"/>
        <v/>
      </c>
      <c r="M84" s="22"/>
      <c r="N84" s="7"/>
      <c r="O84" s="7"/>
      <c r="P84" s="7"/>
      <c r="Q84" s="21"/>
      <c r="R84" s="21"/>
      <c r="S84" s="21"/>
      <c r="T84" s="21"/>
      <c r="U84" s="5" t="str">
        <f t="shared" si="24"/>
        <v/>
      </c>
      <c r="V84" s="5" t="str">
        <f t="shared" si="25"/>
        <v/>
      </c>
      <c r="W84" s="23" t="str">
        <f t="shared" si="26"/>
        <v/>
      </c>
      <c r="X84" s="3" t="str">
        <f t="shared" si="27"/>
        <v/>
      </c>
      <c r="Y84" s="5" t="str">
        <f t="shared" si="28"/>
        <v/>
      </c>
      <c r="Z84" s="5" t="str">
        <f>IF(OR(AE84="",多次统计数据!$B$8=""),"",AE84-多次统计数据!$B$8)</f>
        <v/>
      </c>
      <c r="AA84" s="8" t="str">
        <f t="shared" si="29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1"/>
      <c r="AE84" s="5" t="str">
        <f t="shared" si="30"/>
        <v/>
      </c>
      <c r="AG84" s="21"/>
      <c r="AH84" s="21"/>
      <c r="AI84" s="21"/>
      <c r="AJ84" s="6" t="str">
        <f t="shared" si="31"/>
        <v/>
      </c>
      <c r="AK84" s="24" t="str">
        <f>IF(A84="","",COUNTIFS(加仓管理!$A$2:$A$1001,A84,加仓管理!$G$2:$G$1001,"&gt;0"))</f>
        <v/>
      </c>
      <c r="AL84" s="24" t="str">
        <f>IF(A84="","",SUMIFS(加仓管理!$G$2:$G$1001,加仓管理!$A$2:$A$1001,A84))</f>
        <v/>
      </c>
      <c r="AM84" s="25" t="str">
        <f>IF(AK84=0,"",IFERROR(LOOKUP(2,1/((加仓管理!$A$2:$A$1001=A84)*(加仓管理!$G$2:$G$1001&gt;0)),加仓管理!$D$2:$D$1001),""))</f>
        <v/>
      </c>
      <c r="AN84" s="25" t="str">
        <f>IF(AK84=0,"",IFERROR(LOOKUP(2,1/((加仓管理!$A$2:$A$1001=A84)*(加仓管理!$G$2:$G$1001&gt;0)),加仓管理!$E$2:$E$1001),""))</f>
        <v/>
      </c>
      <c r="AO84" s="25" t="str">
        <f>IF(OR(A84="",H84="",H84&lt;=0),"",(E84*H84+SUMIFS(加仓管理!$H$2:$H$1001,加仓管理!$A$2:$A$1001,A84))/AP84)</f>
        <v/>
      </c>
      <c r="AP84" s="24" t="str">
        <f t="shared" si="32"/>
        <v/>
      </c>
      <c r="AQ84" s="25" t="str">
        <f>IF(A84="","",IF(M84&lt;&gt;"",0,IF(OR(H84="",N84=""),"",MAX((E84*H84+SUMIFS(加仓管理!$H$2:$H$1001,加仓管理!$A$2:$A$1001,A84))-MAX(N84,AN84)*AP84,0))))</f>
        <v/>
      </c>
      <c r="AR84" s="25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21"/>
      <c r="B85" s="21"/>
      <c r="C85" s="7"/>
      <c r="D85" s="4"/>
      <c r="E85" s="7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1"/>
      <c r="I85" s="22"/>
      <c r="J85" s="7"/>
      <c r="K85" s="7"/>
      <c r="L85" s="6" t="str">
        <f t="shared" si="23"/>
        <v/>
      </c>
      <c r="M85" s="22"/>
      <c r="N85" s="7"/>
      <c r="O85" s="7"/>
      <c r="P85" s="7"/>
      <c r="Q85" s="21"/>
      <c r="R85" s="21"/>
      <c r="S85" s="21"/>
      <c r="T85" s="21"/>
      <c r="U85" s="5" t="str">
        <f t="shared" si="24"/>
        <v/>
      </c>
      <c r="V85" s="5" t="str">
        <f t="shared" si="25"/>
        <v/>
      </c>
      <c r="W85" s="23" t="str">
        <f t="shared" si="26"/>
        <v/>
      </c>
      <c r="X85" s="3" t="str">
        <f t="shared" si="27"/>
        <v/>
      </c>
      <c r="Y85" s="5" t="str">
        <f t="shared" si="28"/>
        <v/>
      </c>
      <c r="Z85" s="5" t="str">
        <f>IF(OR(AE85="",多次统计数据!$B$8=""),"",AE85-多次统计数据!$B$8)</f>
        <v/>
      </c>
      <c r="AA85" s="8" t="str">
        <f t="shared" si="29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1"/>
      <c r="AE85" s="5" t="str">
        <f t="shared" si="30"/>
        <v/>
      </c>
      <c r="AG85" s="21"/>
      <c r="AH85" s="21"/>
      <c r="AI85" s="21"/>
      <c r="AJ85" s="6" t="str">
        <f t="shared" si="31"/>
        <v/>
      </c>
      <c r="AK85" s="24" t="str">
        <f>IF(A85="","",COUNTIFS(加仓管理!$A$2:$A$1001,A85,加仓管理!$G$2:$G$1001,"&gt;0"))</f>
        <v/>
      </c>
      <c r="AL85" s="24" t="str">
        <f>IF(A85="","",SUMIFS(加仓管理!$G$2:$G$1001,加仓管理!$A$2:$A$1001,A85))</f>
        <v/>
      </c>
      <c r="AM85" s="25" t="str">
        <f>IF(AK85=0,"",IFERROR(LOOKUP(2,1/((加仓管理!$A$2:$A$1001=A85)*(加仓管理!$G$2:$G$1001&gt;0)),加仓管理!$D$2:$D$1001),""))</f>
        <v/>
      </c>
      <c r="AN85" s="25" t="str">
        <f>IF(AK85=0,"",IFERROR(LOOKUP(2,1/((加仓管理!$A$2:$A$1001=A85)*(加仓管理!$G$2:$G$1001&gt;0)),加仓管理!$E$2:$E$1001),""))</f>
        <v/>
      </c>
      <c r="AO85" s="25" t="str">
        <f>IF(OR(A85="",H85="",H85&lt;=0),"",(E85*H85+SUMIFS(加仓管理!$H$2:$H$1001,加仓管理!$A$2:$A$1001,A85))/AP85)</f>
        <v/>
      </c>
      <c r="AP85" s="24" t="str">
        <f t="shared" si="32"/>
        <v/>
      </c>
      <c r="AQ85" s="25" t="str">
        <f>IF(A85="","",IF(M85&lt;&gt;"",0,IF(OR(H85="",N85=""),"",MAX((E85*H85+SUMIFS(加仓管理!$H$2:$H$1001,加仓管理!$A$2:$A$1001,A85))-MAX(N85,AN85)*AP85,0))))</f>
        <v/>
      </c>
      <c r="AR85" s="25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21"/>
      <c r="B86" s="21"/>
      <c r="C86" s="7"/>
      <c r="D86" s="4"/>
      <c r="E86" s="7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1"/>
      <c r="I86" s="22"/>
      <c r="J86" s="7"/>
      <c r="K86" s="7"/>
      <c r="L86" s="6" t="str">
        <f t="shared" si="23"/>
        <v/>
      </c>
      <c r="M86" s="22"/>
      <c r="N86" s="7"/>
      <c r="O86" s="7"/>
      <c r="P86" s="7"/>
      <c r="Q86" s="21"/>
      <c r="R86" s="21"/>
      <c r="S86" s="21"/>
      <c r="T86" s="21"/>
      <c r="U86" s="5" t="str">
        <f t="shared" si="24"/>
        <v/>
      </c>
      <c r="V86" s="5" t="str">
        <f t="shared" si="25"/>
        <v/>
      </c>
      <c r="W86" s="23" t="str">
        <f t="shared" si="26"/>
        <v/>
      </c>
      <c r="X86" s="3" t="str">
        <f t="shared" si="27"/>
        <v/>
      </c>
      <c r="Y86" s="5" t="str">
        <f t="shared" si="28"/>
        <v/>
      </c>
      <c r="Z86" s="5" t="str">
        <f>IF(OR(AE86="",多次统计数据!$B$8=""),"",AE86-多次统计数据!$B$8)</f>
        <v/>
      </c>
      <c r="AA86" s="8" t="str">
        <f t="shared" si="29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1"/>
      <c r="AE86" s="5" t="str">
        <f t="shared" si="30"/>
        <v/>
      </c>
      <c r="AG86" s="21"/>
      <c r="AH86" s="21"/>
      <c r="AI86" s="21"/>
      <c r="AJ86" s="6" t="str">
        <f t="shared" si="31"/>
        <v/>
      </c>
      <c r="AK86" s="24" t="str">
        <f>IF(A86="","",COUNTIFS(加仓管理!$A$2:$A$1001,A86,加仓管理!$G$2:$G$1001,"&gt;0"))</f>
        <v/>
      </c>
      <c r="AL86" s="24" t="str">
        <f>IF(A86="","",SUMIFS(加仓管理!$G$2:$G$1001,加仓管理!$A$2:$A$1001,A86))</f>
        <v/>
      </c>
      <c r="AM86" s="25" t="str">
        <f>IF(AK86=0,"",IFERROR(LOOKUP(2,1/((加仓管理!$A$2:$A$1001=A86)*(加仓管理!$G$2:$G$1001&gt;0)),加仓管理!$D$2:$D$1001),""))</f>
        <v/>
      </c>
      <c r="AN86" s="25" t="str">
        <f>IF(AK86=0,"",IFERROR(LOOKUP(2,1/((加仓管理!$A$2:$A$1001=A86)*(加仓管理!$G$2:$G$1001&gt;0)),加仓管理!$E$2:$E$1001),""))</f>
        <v/>
      </c>
      <c r="AO86" s="25" t="str">
        <f>IF(OR(A86="",H86="",H86&lt;=0),"",(E86*H86+SUMIFS(加仓管理!$H$2:$H$1001,加仓管理!$A$2:$A$1001,A86))/AP86)</f>
        <v/>
      </c>
      <c r="AP86" s="24" t="str">
        <f t="shared" si="32"/>
        <v/>
      </c>
      <c r="AQ86" s="25" t="str">
        <f>IF(A86="","",IF(M86&lt;&gt;"",0,IF(OR(H86="",N86=""),"",MAX((E86*H86+SUMIFS(加仓管理!$H$2:$H$1001,加仓管理!$A$2:$A$1001,A86))-MAX(N86,AN86)*AP86,0))))</f>
        <v/>
      </c>
      <c r="AR86" s="25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21"/>
      <c r="B87" s="21"/>
      <c r="C87" s="7"/>
      <c r="D87" s="4"/>
      <c r="E87" s="7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1"/>
      <c r="I87" s="22"/>
      <c r="J87" s="7"/>
      <c r="K87" s="7"/>
      <c r="L87" s="6" t="str">
        <f t="shared" si="23"/>
        <v/>
      </c>
      <c r="M87" s="22"/>
      <c r="N87" s="7"/>
      <c r="O87" s="7"/>
      <c r="P87" s="7"/>
      <c r="Q87" s="21"/>
      <c r="R87" s="21"/>
      <c r="S87" s="21"/>
      <c r="T87" s="21"/>
      <c r="U87" s="5" t="str">
        <f t="shared" si="24"/>
        <v/>
      </c>
      <c r="V87" s="5" t="str">
        <f t="shared" si="25"/>
        <v/>
      </c>
      <c r="W87" s="23" t="str">
        <f t="shared" si="26"/>
        <v/>
      </c>
      <c r="X87" s="3" t="str">
        <f t="shared" si="27"/>
        <v/>
      </c>
      <c r="Y87" s="5" t="str">
        <f t="shared" si="28"/>
        <v/>
      </c>
      <c r="Z87" s="5" t="str">
        <f>IF(OR(AE87="",多次统计数据!$B$8=""),"",AE87-多次统计数据!$B$8)</f>
        <v/>
      </c>
      <c r="AA87" s="8" t="str">
        <f t="shared" si="29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1"/>
      <c r="AE87" s="5" t="str">
        <f t="shared" si="30"/>
        <v/>
      </c>
      <c r="AG87" s="21"/>
      <c r="AH87" s="21"/>
      <c r="AI87" s="21"/>
      <c r="AJ87" s="6" t="str">
        <f t="shared" si="31"/>
        <v/>
      </c>
      <c r="AK87" s="24" t="str">
        <f>IF(A87="","",COUNTIFS(加仓管理!$A$2:$A$1001,A87,加仓管理!$G$2:$G$1001,"&gt;0"))</f>
        <v/>
      </c>
      <c r="AL87" s="24" t="str">
        <f>IF(A87="","",SUMIFS(加仓管理!$G$2:$G$1001,加仓管理!$A$2:$A$1001,A87))</f>
        <v/>
      </c>
      <c r="AM87" s="25" t="str">
        <f>IF(AK87=0,"",IFERROR(LOOKUP(2,1/((加仓管理!$A$2:$A$1001=A87)*(加仓管理!$G$2:$G$1001&gt;0)),加仓管理!$D$2:$D$1001),""))</f>
        <v/>
      </c>
      <c r="AN87" s="25" t="str">
        <f>IF(AK87=0,"",IFERROR(LOOKUP(2,1/((加仓管理!$A$2:$A$1001=A87)*(加仓管理!$G$2:$G$1001&gt;0)),加仓管理!$E$2:$E$1001),""))</f>
        <v/>
      </c>
      <c r="AO87" s="25" t="str">
        <f>IF(OR(A87="",H87="",H87&lt;=0),"",(E87*H87+SUMIFS(加仓管理!$H$2:$H$1001,加仓管理!$A$2:$A$1001,A87))/AP87)</f>
        <v/>
      </c>
      <c r="AP87" s="24" t="str">
        <f t="shared" si="32"/>
        <v/>
      </c>
      <c r="AQ87" s="25" t="str">
        <f>IF(A87="","",IF(M87&lt;&gt;"",0,IF(OR(H87="",N87=""),"",MAX((E87*H87+SUMIFS(加仓管理!$H$2:$H$1001,加仓管理!$A$2:$A$1001,A87))-MAX(N87,AN87)*AP87,0))))</f>
        <v/>
      </c>
      <c r="AR87" s="25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21"/>
      <c r="B88" s="21"/>
      <c r="C88" s="7"/>
      <c r="D88" s="4"/>
      <c r="E88" s="7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1"/>
      <c r="I88" s="22"/>
      <c r="J88" s="7"/>
      <c r="K88" s="7"/>
      <c r="L88" s="6" t="str">
        <f t="shared" si="23"/>
        <v/>
      </c>
      <c r="M88" s="22"/>
      <c r="N88" s="7"/>
      <c r="O88" s="7"/>
      <c r="P88" s="7"/>
      <c r="Q88" s="21"/>
      <c r="R88" s="21"/>
      <c r="S88" s="21"/>
      <c r="T88" s="21"/>
      <c r="U88" s="5" t="str">
        <f t="shared" si="24"/>
        <v/>
      </c>
      <c r="V88" s="5" t="str">
        <f t="shared" si="25"/>
        <v/>
      </c>
      <c r="W88" s="23" t="str">
        <f t="shared" si="26"/>
        <v/>
      </c>
      <c r="X88" s="3" t="str">
        <f t="shared" si="27"/>
        <v/>
      </c>
      <c r="Y88" s="5" t="str">
        <f t="shared" si="28"/>
        <v/>
      </c>
      <c r="Z88" s="5" t="str">
        <f>IF(OR(AE88="",多次统计数据!$B$8=""),"",AE88-多次统计数据!$B$8)</f>
        <v/>
      </c>
      <c r="AA88" s="8" t="str">
        <f t="shared" si="29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1"/>
      <c r="AE88" s="5" t="str">
        <f t="shared" si="30"/>
        <v/>
      </c>
      <c r="AG88" s="21"/>
      <c r="AH88" s="21"/>
      <c r="AI88" s="21"/>
      <c r="AJ88" s="6" t="str">
        <f t="shared" si="31"/>
        <v/>
      </c>
      <c r="AK88" s="24" t="str">
        <f>IF(A88="","",COUNTIFS(加仓管理!$A$2:$A$1001,A88,加仓管理!$G$2:$G$1001,"&gt;0"))</f>
        <v/>
      </c>
      <c r="AL88" s="24" t="str">
        <f>IF(A88="","",SUMIFS(加仓管理!$G$2:$G$1001,加仓管理!$A$2:$A$1001,A88))</f>
        <v/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 t="str">
        <f>IF(OR(A88="",H88="",H88&lt;=0),"",(E88*H88+SUMIFS(加仓管理!$H$2:$H$1001,加仓管理!$A$2:$A$1001,A88))/AP88)</f>
        <v/>
      </c>
      <c r="AP88" s="24" t="str">
        <f t="shared" si="32"/>
        <v/>
      </c>
      <c r="AQ88" s="25" t="str">
        <f>IF(A88="","",IF(M88&lt;&gt;"",0,IF(OR(H88="",N88=""),"",MAX((E88*H88+SUMIFS(加仓管理!$H$2:$H$1001,加仓管理!$A$2:$A$1001,A88))-MAX(N88,AN88)*AP88,0))))</f>
        <v/>
      </c>
      <c r="AR88" s="25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21"/>
      <c r="B89" s="21"/>
      <c r="C89" s="7"/>
      <c r="D89" s="4"/>
      <c r="E89" s="7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1"/>
      <c r="I89" s="22"/>
      <c r="J89" s="7"/>
      <c r="K89" s="7"/>
      <c r="L89" s="6" t="str">
        <f t="shared" si="23"/>
        <v/>
      </c>
      <c r="M89" s="22"/>
      <c r="N89" s="7"/>
      <c r="O89" s="7"/>
      <c r="P89" s="7"/>
      <c r="Q89" s="21"/>
      <c r="R89" s="21"/>
      <c r="S89" s="21"/>
      <c r="T89" s="21"/>
      <c r="U89" s="5" t="str">
        <f t="shared" si="24"/>
        <v/>
      </c>
      <c r="V89" s="5" t="str">
        <f t="shared" si="25"/>
        <v/>
      </c>
      <c r="W89" s="23" t="str">
        <f t="shared" si="26"/>
        <v/>
      </c>
      <c r="X89" s="3" t="str">
        <f t="shared" si="27"/>
        <v/>
      </c>
      <c r="Y89" s="5" t="str">
        <f t="shared" si="28"/>
        <v/>
      </c>
      <c r="Z89" s="5" t="str">
        <f>IF(OR(AE89="",多次统计数据!$B$8=""),"",AE89-多次统计数据!$B$8)</f>
        <v/>
      </c>
      <c r="AA89" s="8" t="str">
        <f t="shared" si="29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1"/>
      <c r="AE89" s="5" t="str">
        <f t="shared" si="30"/>
        <v/>
      </c>
      <c r="AG89" s="21"/>
      <c r="AH89" s="21"/>
      <c r="AI89" s="21"/>
      <c r="AJ89" s="6" t="str">
        <f t="shared" si="31"/>
        <v/>
      </c>
      <c r="AK89" s="24" t="str">
        <f>IF(A89="","",COUNTIFS(加仓管理!$A$2:$A$1001,A89,加仓管理!$G$2:$G$1001,"&gt;0"))</f>
        <v/>
      </c>
      <c r="AL89" s="24" t="str">
        <f>IF(A89="","",SUMIFS(加仓管理!$G$2:$G$1001,加仓管理!$A$2:$A$1001,A89))</f>
        <v/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 t="str">
        <f>IF(OR(A89="",H89="",H89&lt;=0),"",(E89*H89+SUMIFS(加仓管理!$H$2:$H$1001,加仓管理!$A$2:$A$1001,A89))/AP89)</f>
        <v/>
      </c>
      <c r="AP89" s="24" t="str">
        <f t="shared" si="32"/>
        <v/>
      </c>
      <c r="AQ89" s="25" t="str">
        <f>IF(A89="","",IF(M89&lt;&gt;"",0,IF(OR(H89="",N89=""),"",MAX((E89*H89+SUMIFS(加仓管理!$H$2:$H$1001,加仓管理!$A$2:$A$1001,A89))-MAX(N89,AN89)*AP89,0))))</f>
        <v/>
      </c>
      <c r="AR89" s="25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21"/>
      <c r="B90" s="21"/>
      <c r="C90" s="7"/>
      <c r="D90" s="4"/>
      <c r="E90" s="7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1"/>
      <c r="I90" s="22"/>
      <c r="J90" s="7"/>
      <c r="K90" s="7"/>
      <c r="L90" s="6" t="str">
        <f t="shared" si="23"/>
        <v/>
      </c>
      <c r="M90" s="22"/>
      <c r="N90" s="7"/>
      <c r="O90" s="7"/>
      <c r="P90" s="7"/>
      <c r="Q90" s="21"/>
      <c r="R90" s="21"/>
      <c r="S90" s="21"/>
      <c r="T90" s="21"/>
      <c r="U90" s="5" t="str">
        <f t="shared" si="24"/>
        <v/>
      </c>
      <c r="V90" s="5" t="str">
        <f t="shared" si="25"/>
        <v/>
      </c>
      <c r="W90" s="23" t="str">
        <f t="shared" si="26"/>
        <v/>
      </c>
      <c r="X90" s="3" t="str">
        <f t="shared" si="27"/>
        <v/>
      </c>
      <c r="Y90" s="5" t="str">
        <f t="shared" si="28"/>
        <v/>
      </c>
      <c r="Z90" s="5" t="str">
        <f>IF(OR(AE90="",多次统计数据!$B$8=""),"",AE90-多次统计数据!$B$8)</f>
        <v/>
      </c>
      <c r="AA90" s="8" t="str">
        <f t="shared" si="29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1"/>
      <c r="AE90" s="5" t="str">
        <f t="shared" si="30"/>
        <v/>
      </c>
      <c r="AG90" s="21"/>
      <c r="AH90" s="21"/>
      <c r="AI90" s="21"/>
      <c r="AJ90" s="6" t="str">
        <f t="shared" si="31"/>
        <v/>
      </c>
      <c r="AK90" s="24" t="str">
        <f>IF(A90="","",COUNTIFS(加仓管理!$A$2:$A$1001,A90,加仓管理!$G$2:$G$1001,"&gt;0"))</f>
        <v/>
      </c>
      <c r="AL90" s="24" t="str">
        <f>IF(A90="","",SUMIFS(加仓管理!$G$2:$G$1001,加仓管理!$A$2:$A$1001,A90))</f>
        <v/>
      </c>
      <c r="AM90" s="25" t="str">
        <f>IF(AK90=0,"",IFERROR(LOOKUP(2,1/((加仓管理!$A$2:$A$1001=A90)*(加仓管理!$G$2:$G$1001&gt;0)),加仓管理!$D$2:$D$1001),""))</f>
        <v/>
      </c>
      <c r="AN90" s="25" t="str">
        <f>IF(AK90=0,"",IFERROR(LOOKUP(2,1/((加仓管理!$A$2:$A$1001=A90)*(加仓管理!$G$2:$G$1001&gt;0)),加仓管理!$E$2:$E$1001),""))</f>
        <v/>
      </c>
      <c r="AO90" s="25" t="str">
        <f>IF(OR(A90="",H90="",H90&lt;=0),"",(E90*H90+SUMIFS(加仓管理!$H$2:$H$1001,加仓管理!$A$2:$A$1001,A90))/AP90)</f>
        <v/>
      </c>
      <c r="AP90" s="24" t="str">
        <f t="shared" si="32"/>
        <v/>
      </c>
      <c r="AQ90" s="25" t="str">
        <f>IF(A90="","",IF(M90&lt;&gt;"",0,IF(OR(H90="",N90=""),"",MAX((E90*H90+SUMIFS(加仓管理!$H$2:$H$1001,加仓管理!$A$2:$A$1001,A90))-MAX(N90,AN90)*AP90,0))))</f>
        <v/>
      </c>
      <c r="AR90" s="25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21"/>
      <c r="B91" s="21"/>
      <c r="C91" s="7"/>
      <c r="D91" s="4"/>
      <c r="E91" s="7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1"/>
      <c r="I91" s="22"/>
      <c r="J91" s="7"/>
      <c r="K91" s="7"/>
      <c r="L91" s="6" t="str">
        <f t="shared" si="23"/>
        <v/>
      </c>
      <c r="M91" s="22"/>
      <c r="N91" s="7"/>
      <c r="O91" s="7"/>
      <c r="P91" s="7"/>
      <c r="Q91" s="21"/>
      <c r="R91" s="21"/>
      <c r="S91" s="21"/>
      <c r="T91" s="21"/>
      <c r="U91" s="5" t="str">
        <f t="shared" si="24"/>
        <v/>
      </c>
      <c r="V91" s="5" t="str">
        <f t="shared" si="25"/>
        <v/>
      </c>
      <c r="W91" s="23" t="str">
        <f t="shared" si="26"/>
        <v/>
      </c>
      <c r="X91" s="3" t="str">
        <f t="shared" si="27"/>
        <v/>
      </c>
      <c r="Y91" s="5" t="str">
        <f t="shared" si="28"/>
        <v/>
      </c>
      <c r="Z91" s="5" t="str">
        <f>IF(OR(AE91="",多次统计数据!$B$8=""),"",AE91-多次统计数据!$B$8)</f>
        <v/>
      </c>
      <c r="AA91" s="8" t="str">
        <f t="shared" si="29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1"/>
      <c r="AE91" s="5" t="str">
        <f t="shared" si="30"/>
        <v/>
      </c>
      <c r="AG91" s="21"/>
      <c r="AH91" s="21"/>
      <c r="AI91" s="21"/>
      <c r="AJ91" s="6" t="str">
        <f t="shared" si="31"/>
        <v/>
      </c>
      <c r="AK91" s="24" t="str">
        <f>IF(A91="","",COUNTIFS(加仓管理!$A$2:$A$1001,A91,加仓管理!$G$2:$G$1001,"&gt;0"))</f>
        <v/>
      </c>
      <c r="AL91" s="24" t="str">
        <f>IF(A91="","",SUMIFS(加仓管理!$G$2:$G$1001,加仓管理!$A$2:$A$1001,A91))</f>
        <v/>
      </c>
      <c r="AM91" s="25" t="str">
        <f>IF(AK91=0,"",IFERROR(LOOKUP(2,1/((加仓管理!$A$2:$A$1001=A91)*(加仓管理!$G$2:$G$1001&gt;0)),加仓管理!$D$2:$D$1001),""))</f>
        <v/>
      </c>
      <c r="AN91" s="25" t="str">
        <f>IF(AK91=0,"",IFERROR(LOOKUP(2,1/((加仓管理!$A$2:$A$1001=A91)*(加仓管理!$G$2:$G$1001&gt;0)),加仓管理!$E$2:$E$1001),""))</f>
        <v/>
      </c>
      <c r="AO91" s="25" t="str">
        <f>IF(OR(A91="",H91="",H91&lt;=0),"",(E91*H91+SUMIFS(加仓管理!$H$2:$H$1001,加仓管理!$A$2:$A$1001,A91))/AP91)</f>
        <v/>
      </c>
      <c r="AP91" s="24" t="str">
        <f t="shared" si="32"/>
        <v/>
      </c>
      <c r="AQ91" s="25" t="str">
        <f>IF(A91="","",IF(M91&lt;&gt;"",0,IF(OR(H91="",N91=""),"",MAX((E91*H91+SUMIFS(加仓管理!$H$2:$H$1001,加仓管理!$A$2:$A$1001,A91))-MAX(N91,AN91)*AP91,0))))</f>
        <v/>
      </c>
      <c r="AR91" s="25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21"/>
      <c r="B92" s="21"/>
      <c r="C92" s="7"/>
      <c r="D92" s="4"/>
      <c r="E92" s="7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1"/>
      <c r="I92" s="22"/>
      <c r="J92" s="7"/>
      <c r="K92" s="7"/>
      <c r="L92" s="6" t="str">
        <f t="shared" si="23"/>
        <v/>
      </c>
      <c r="M92" s="22"/>
      <c r="N92" s="7"/>
      <c r="O92" s="7"/>
      <c r="P92" s="7"/>
      <c r="Q92" s="21"/>
      <c r="R92" s="21"/>
      <c r="S92" s="21"/>
      <c r="T92" s="21"/>
      <c r="U92" s="5" t="str">
        <f t="shared" si="24"/>
        <v/>
      </c>
      <c r="V92" s="5" t="str">
        <f t="shared" si="25"/>
        <v/>
      </c>
      <c r="W92" s="23" t="str">
        <f t="shared" si="26"/>
        <v/>
      </c>
      <c r="X92" s="3" t="str">
        <f t="shared" si="27"/>
        <v/>
      </c>
      <c r="Y92" s="5" t="str">
        <f t="shared" si="28"/>
        <v/>
      </c>
      <c r="Z92" s="5" t="str">
        <f>IF(OR(AE92="",多次统计数据!$B$8=""),"",AE92-多次统计数据!$B$8)</f>
        <v/>
      </c>
      <c r="AA92" s="8" t="str">
        <f t="shared" si="29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1"/>
      <c r="AE92" s="5" t="str">
        <f t="shared" si="30"/>
        <v/>
      </c>
      <c r="AG92" s="21"/>
      <c r="AH92" s="21"/>
      <c r="AI92" s="21"/>
      <c r="AJ92" s="6" t="str">
        <f t="shared" si="31"/>
        <v/>
      </c>
      <c r="AK92" s="24" t="str">
        <f>IF(A92="","",COUNTIFS(加仓管理!$A$2:$A$1001,A92,加仓管理!$G$2:$G$1001,"&gt;0"))</f>
        <v/>
      </c>
      <c r="AL92" s="24" t="str">
        <f>IF(A92="","",SUMIFS(加仓管理!$G$2:$G$1001,加仓管理!$A$2:$A$1001,A92))</f>
        <v/>
      </c>
      <c r="AM92" s="25" t="str">
        <f>IF(AK92=0,"",IFERROR(LOOKUP(2,1/((加仓管理!$A$2:$A$1001=A92)*(加仓管理!$G$2:$G$1001&gt;0)),加仓管理!$D$2:$D$1001),""))</f>
        <v/>
      </c>
      <c r="AN92" s="25" t="str">
        <f>IF(AK92=0,"",IFERROR(LOOKUP(2,1/((加仓管理!$A$2:$A$1001=A92)*(加仓管理!$G$2:$G$1001&gt;0)),加仓管理!$E$2:$E$1001),""))</f>
        <v/>
      </c>
      <c r="AO92" s="25" t="str">
        <f>IF(OR(A92="",H92="",H92&lt;=0),"",(E92*H92+SUMIFS(加仓管理!$H$2:$H$1001,加仓管理!$A$2:$A$1001,A92))/AP92)</f>
        <v/>
      </c>
      <c r="AP92" s="24" t="str">
        <f t="shared" si="32"/>
        <v/>
      </c>
      <c r="AQ92" s="25" t="str">
        <f>IF(A92="","",IF(M92&lt;&gt;"",0,IF(OR(H92="",N92=""),"",MAX((E92*H92+SUMIFS(加仓管理!$H$2:$H$1001,加仓管理!$A$2:$A$1001,A92))-MAX(N92,AN92)*AP92,0))))</f>
        <v/>
      </c>
      <c r="AR92" s="25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21"/>
      <c r="B93" s="21"/>
      <c r="C93" s="7"/>
      <c r="D93" s="4"/>
      <c r="E93" s="7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1"/>
      <c r="I93" s="22"/>
      <c r="J93" s="7"/>
      <c r="K93" s="7"/>
      <c r="L93" s="6" t="str">
        <f t="shared" si="23"/>
        <v/>
      </c>
      <c r="M93" s="22"/>
      <c r="N93" s="7"/>
      <c r="O93" s="7"/>
      <c r="P93" s="7"/>
      <c r="Q93" s="21"/>
      <c r="R93" s="21"/>
      <c r="S93" s="21"/>
      <c r="T93" s="21"/>
      <c r="U93" s="5" t="str">
        <f t="shared" si="24"/>
        <v/>
      </c>
      <c r="V93" s="5" t="str">
        <f t="shared" si="25"/>
        <v/>
      </c>
      <c r="W93" s="23" t="str">
        <f t="shared" si="26"/>
        <v/>
      </c>
      <c r="X93" s="3" t="str">
        <f t="shared" si="27"/>
        <v/>
      </c>
      <c r="Y93" s="5" t="str">
        <f t="shared" si="28"/>
        <v/>
      </c>
      <c r="Z93" s="5" t="str">
        <f>IF(OR(AE93="",多次统计数据!$B$8=""),"",AE93-多次统计数据!$B$8)</f>
        <v/>
      </c>
      <c r="AA93" s="8" t="str">
        <f t="shared" si="29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1"/>
      <c r="AE93" s="5" t="str">
        <f t="shared" si="30"/>
        <v/>
      </c>
      <c r="AG93" s="21"/>
      <c r="AH93" s="21"/>
      <c r="AI93" s="21"/>
      <c r="AJ93" s="6" t="str">
        <f t="shared" si="31"/>
        <v/>
      </c>
      <c r="AK93" s="24" t="str">
        <f>IF(A93="","",COUNTIFS(加仓管理!$A$2:$A$1001,A93,加仓管理!$G$2:$G$1001,"&gt;0"))</f>
        <v/>
      </c>
      <c r="AL93" s="24" t="str">
        <f>IF(A93="","",SUMIFS(加仓管理!$G$2:$G$1001,加仓管理!$A$2:$A$1001,A93))</f>
        <v/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 t="str">
        <f>IF(OR(A93="",H93="",H93&lt;=0),"",(E93*H93+SUMIFS(加仓管理!$H$2:$H$1001,加仓管理!$A$2:$A$1001,A93))/AP93)</f>
        <v/>
      </c>
      <c r="AP93" s="24" t="str">
        <f t="shared" si="32"/>
        <v/>
      </c>
      <c r="AQ93" s="25" t="str">
        <f>IF(A93="","",IF(M93&lt;&gt;"",0,IF(OR(H93="",N93=""),"",MAX((E93*H93+SUMIFS(加仓管理!$H$2:$H$1001,加仓管理!$A$2:$A$1001,A93))-MAX(N93,AN93)*AP93,0))))</f>
        <v/>
      </c>
      <c r="AR93" s="25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21"/>
      <c r="B94" s="21"/>
      <c r="C94" s="7"/>
      <c r="D94" s="4"/>
      <c r="E94" s="7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1"/>
      <c r="I94" s="22"/>
      <c r="J94" s="7"/>
      <c r="K94" s="7"/>
      <c r="L94" s="6" t="str">
        <f t="shared" si="23"/>
        <v/>
      </c>
      <c r="M94" s="22"/>
      <c r="N94" s="7"/>
      <c r="O94" s="7"/>
      <c r="P94" s="7"/>
      <c r="Q94" s="21"/>
      <c r="R94" s="21"/>
      <c r="S94" s="21"/>
      <c r="T94" s="21"/>
      <c r="U94" s="5" t="str">
        <f t="shared" si="24"/>
        <v/>
      </c>
      <c r="V94" s="5" t="str">
        <f t="shared" si="25"/>
        <v/>
      </c>
      <c r="W94" s="23" t="str">
        <f t="shared" si="26"/>
        <v/>
      </c>
      <c r="X94" s="3" t="str">
        <f t="shared" si="27"/>
        <v/>
      </c>
      <c r="Y94" s="5" t="str">
        <f t="shared" si="28"/>
        <v/>
      </c>
      <c r="Z94" s="5" t="str">
        <f>IF(OR(AE94="",多次统计数据!$B$8=""),"",AE94-多次统计数据!$B$8)</f>
        <v/>
      </c>
      <c r="AA94" s="8" t="str">
        <f t="shared" si="29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1"/>
      <c r="AE94" s="5" t="str">
        <f t="shared" si="30"/>
        <v/>
      </c>
      <c r="AG94" s="21"/>
      <c r="AH94" s="21"/>
      <c r="AI94" s="21"/>
      <c r="AJ94" s="6" t="str">
        <f t="shared" si="31"/>
        <v/>
      </c>
      <c r="AK94" s="24" t="str">
        <f>IF(A94="","",COUNTIFS(加仓管理!$A$2:$A$1001,A94,加仓管理!$G$2:$G$1001,"&gt;0"))</f>
        <v/>
      </c>
      <c r="AL94" s="24" t="str">
        <f>IF(A94="","",SUMIFS(加仓管理!$G$2:$G$1001,加仓管理!$A$2:$A$1001,A94))</f>
        <v/>
      </c>
      <c r="AM94" s="25" t="str">
        <f>IF(AK94=0,"",IFERROR(LOOKUP(2,1/((加仓管理!$A$2:$A$1001=A94)*(加仓管理!$G$2:$G$1001&gt;0)),加仓管理!$D$2:$D$1001),""))</f>
        <v/>
      </c>
      <c r="AN94" s="25" t="str">
        <f>IF(AK94=0,"",IFERROR(LOOKUP(2,1/((加仓管理!$A$2:$A$1001=A94)*(加仓管理!$G$2:$G$1001&gt;0)),加仓管理!$E$2:$E$1001),""))</f>
        <v/>
      </c>
      <c r="AO94" s="25" t="str">
        <f>IF(OR(A94="",H94="",H94&lt;=0),"",(E94*H94+SUMIFS(加仓管理!$H$2:$H$1001,加仓管理!$A$2:$A$1001,A94))/AP94)</f>
        <v/>
      </c>
      <c r="AP94" s="24" t="str">
        <f t="shared" si="32"/>
        <v/>
      </c>
      <c r="AQ94" s="25" t="str">
        <f>IF(A94="","",IF(M94&lt;&gt;"",0,IF(OR(H94="",N94=""),"",MAX((E94*H94+SUMIFS(加仓管理!$H$2:$H$1001,加仓管理!$A$2:$A$1001,A94))-MAX(N94,AN94)*AP94,0))))</f>
        <v/>
      </c>
      <c r="AR94" s="25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21"/>
      <c r="B95" s="21"/>
      <c r="C95" s="7"/>
      <c r="D95" s="4"/>
      <c r="E95" s="7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1"/>
      <c r="I95" s="22"/>
      <c r="J95" s="7"/>
      <c r="K95" s="7"/>
      <c r="L95" s="6" t="str">
        <f t="shared" si="23"/>
        <v/>
      </c>
      <c r="M95" s="22"/>
      <c r="N95" s="7"/>
      <c r="O95" s="7"/>
      <c r="P95" s="7"/>
      <c r="Q95" s="21"/>
      <c r="R95" s="21"/>
      <c r="S95" s="21"/>
      <c r="T95" s="21"/>
      <c r="U95" s="5" t="str">
        <f t="shared" si="24"/>
        <v/>
      </c>
      <c r="V95" s="5" t="str">
        <f t="shared" si="25"/>
        <v/>
      </c>
      <c r="W95" s="23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1"/>
      <c r="AE95" s="5" t="str">
        <f t="shared" si="30"/>
        <v/>
      </c>
      <c r="AG95" s="21"/>
      <c r="AH95" s="21"/>
      <c r="AI95" s="21"/>
      <c r="AJ95" s="6" t="str">
        <f t="shared" si="31"/>
        <v/>
      </c>
      <c r="AK95" s="24" t="str">
        <f>IF(A95="","",COUNTIFS(加仓管理!$A$2:$A$1001,A95,加仓管理!$G$2:$G$1001,"&gt;0"))</f>
        <v/>
      </c>
      <c r="AL95" s="24" t="str">
        <f>IF(A95="","",SUMIFS(加仓管理!$G$2:$G$1001,加仓管理!$A$2:$A$1001,A95))</f>
        <v/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 t="str">
        <f>IF(OR(A95="",H95="",H95&lt;=0),"",(E95*H95+SUMIFS(加仓管理!$H$2:$H$1001,加仓管理!$A$2:$A$1001,A95))/AP95)</f>
        <v/>
      </c>
      <c r="AP95" s="24" t="str">
        <f t="shared" si="32"/>
        <v/>
      </c>
      <c r="AQ95" s="25" t="str">
        <f>IF(A95="","",IF(M95&lt;&gt;"",0,IF(OR(H95="",N95=""),"",MAX((E95*H95+SUMIFS(加仓管理!$H$2:$H$1001,加仓管理!$A$2:$A$1001,A95))-MAX(N95,AN95)*AP95,0))))</f>
        <v/>
      </c>
      <c r="AR95" s="25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21"/>
      <c r="B96" s="21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1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38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38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1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38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39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1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0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38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0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1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0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0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0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0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0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0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0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0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0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0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0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0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0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0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0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0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0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0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0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0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0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0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0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0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0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0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0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0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0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0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0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0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0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0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0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0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0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0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0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0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0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0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0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0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0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0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0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0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0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0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0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0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0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0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0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0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0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0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0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0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0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0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0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0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0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0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0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0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0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0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0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0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0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0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0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0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0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0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0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0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0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0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0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0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0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0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0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0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0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0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0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0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0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0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0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0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10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C2 C4:C201 E2:E201 N2:N201 J2:K201" xr:uid="{00000000-0002-0000-0000-000000000000}">
      <formula1>0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2:AG201" xr:uid="{00000000-0002-0000-0000-000002000000}">
      <formula1>"短期博反弹,突破冲新高,趋势波段"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53" activePane="bottomLeft" state="frozen"/>
      <selection pane="bottomLeft" activeCell="H64" sqref="H64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24.855263157894736</v>
      </c>
      <c r="Q2" s="17">
        <f t="shared" ref="Q2:Q65" si="7">IF(OR(O2="",E2=""),"",MAX(J2+H2-E2*O2,0))</f>
        <v>0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26.523076923076925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t="shared" si="8"/>
        <v>计划可执行：建议股数见N列</v>
      </c>
    </row>
    <row r="5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t="shared" si="8"/>
        <v>通过</v>
      </c>
    </row>
    <row r="6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t="shared" si="8"/>
        <v>通过</v>
      </c>
    </row>
    <row r="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12.418571428571429</v>
      </c>
      <c r="Q7" s="17">
        <f t="shared" si="7"/>
        <v>0</v>
      </c>
      <c r="R7" s="19" t="str">
        <f t="shared" si="8"/>
        <v>通过</v>
      </c>
    </row>
    <row r="8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12.986862745098039</v>
      </c>
      <c r="Q8" s="17">
        <f t="shared" si="7"/>
        <v>0</v>
      </c>
      <c r="R8" s="19" t="str">
        <f t="shared" si="8"/>
        <v>通过</v>
      </c>
    </row>
    <row r="9" spans="1:18">
      <c r="A9" s="13">
        <v>18</v>
      </c>
      <c r="B9" s="14">
        <v>1</v>
      </c>
      <c r="C9" s="15">
        <v>44984</v>
      </c>
      <c r="D9" s="16">
        <v>17.649999999999999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16.496153846153845</v>
      </c>
      <c r="Q9" s="17">
        <f t="shared" si="7"/>
        <v>0</v>
      </c>
      <c r="R9" s="19" t="str">
        <f t="shared" si="8"/>
        <v>通过</v>
      </c>
    </row>
    <row r="10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26.083333333333332</v>
      </c>
      <c r="Q10" s="17">
        <f t="shared" si="7"/>
        <v>0</v>
      </c>
      <c r="R10" s="19" t="str">
        <f t="shared" si="8"/>
        <v>通过</v>
      </c>
    </row>
    <row r="11" spans="1:18">
      <c r="A11" s="13">
        <v>20</v>
      </c>
      <c r="B11" s="14">
        <v>2</v>
      </c>
      <c r="C11" s="15">
        <v>45012</v>
      </c>
      <c r="D11" s="16">
        <v>32.130000000000003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27.594999999999999</v>
      </c>
      <c r="Q11" s="17">
        <f t="shared" si="7"/>
        <v>0</v>
      </c>
      <c r="R11" s="19" t="str">
        <f t="shared" si="8"/>
        <v>通过</v>
      </c>
    </row>
    <row r="12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t="shared" si="8"/>
        <v>通过</v>
      </c>
    </row>
    <row r="13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t="shared" si="8"/>
        <v>通过</v>
      </c>
    </row>
    <row r="14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33.550624999999997</v>
      </c>
      <c r="Q14" s="17">
        <f t="shared" si="7"/>
        <v>0</v>
      </c>
      <c r="R14" s="19" t="str">
        <f t="shared" si="8"/>
        <v>通过</v>
      </c>
    </row>
    <row r="15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34.887058823529415</v>
      </c>
      <c r="Q15" s="17">
        <f t="shared" si="7"/>
        <v>0</v>
      </c>
      <c r="R15" s="19" t="str">
        <f t="shared" si="8"/>
        <v>通过</v>
      </c>
    </row>
    <row r="16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41.863076923076925</v>
      </c>
      <c r="Q16" s="17">
        <f t="shared" si="7"/>
        <v>0</v>
      </c>
      <c r="R16" s="19" t="str">
        <f t="shared" si="8"/>
        <v>违规：同一交易的加仓序号重复</v>
      </c>
    </row>
    <row r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t="shared" si="8"/>
        <v>违规：同一交易的加仓序号重复</v>
      </c>
    </row>
    <row r="18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47.946470588235293</v>
      </c>
      <c r="Q18" s="17">
        <f t="shared" si="7"/>
        <v>0</v>
      </c>
      <c r="R18" s="19" t="str">
        <f t="shared" si="8"/>
        <v>通过</v>
      </c>
    </row>
    <row r="19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52.751249999999999</v>
      </c>
      <c r="Q19" s="17">
        <f t="shared" si="7"/>
        <v>0</v>
      </c>
      <c r="R19" s="19" t="str">
        <f t="shared" si="8"/>
        <v>通过</v>
      </c>
    </row>
    <row r="20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62.216774193548389</v>
      </c>
      <c r="Q20" s="17">
        <f t="shared" si="7"/>
        <v>0</v>
      </c>
      <c r="R20" s="19" t="str">
        <f t="shared" si="8"/>
        <v>通过</v>
      </c>
    </row>
    <row r="21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107.77454545454546</v>
      </c>
      <c r="Q21" s="17">
        <f t="shared" si="7"/>
        <v>0</v>
      </c>
      <c r="R21" s="19" t="str">
        <f t="shared" si="8"/>
        <v>通过</v>
      </c>
    </row>
    <row r="22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138.46333333333334</v>
      </c>
      <c r="Q22" s="17">
        <f t="shared" si="7"/>
        <v>0</v>
      </c>
      <c r="R22" s="19" t="str">
        <f t="shared" si="8"/>
        <v>通过</v>
      </c>
    </row>
    <row r="23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146.80000000000001</v>
      </c>
      <c r="Q23" s="17">
        <f t="shared" si="7"/>
        <v>0</v>
      </c>
      <c r="R23" s="19" t="str">
        <f t="shared" si="8"/>
        <v>通过</v>
      </c>
    </row>
    <row r="24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156.26599999999999</v>
      </c>
      <c r="Q24" s="17">
        <f t="shared" si="7"/>
        <v>0</v>
      </c>
      <c r="R24" s="19" t="str">
        <f t="shared" si="8"/>
        <v>通过</v>
      </c>
    </row>
    <row r="25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238.22499999999999</v>
      </c>
      <c r="Q25" s="17">
        <f t="shared" si="7"/>
        <v>0</v>
      </c>
      <c r="R25" s="19" t="str">
        <f t="shared" si="8"/>
        <v>通过</v>
      </c>
    </row>
    <row r="26" spans="1:18">
      <c r="A26" s="13">
        <v>32</v>
      </c>
      <c r="B26" s="14">
        <v>1</v>
      </c>
      <c r="C26" s="15">
        <v>41540</v>
      </c>
      <c r="D26" s="16">
        <v>4.4400000000000004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3.9996581196581196</v>
      </c>
      <c r="Q26" s="17">
        <f t="shared" si="7"/>
        <v>0</v>
      </c>
      <c r="R26" s="19" t="str">
        <f t="shared" si="8"/>
        <v>通过</v>
      </c>
    </row>
    <row r="2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4.2627824267782426</v>
      </c>
      <c r="Q27" s="17">
        <f t="shared" si="7"/>
        <v>0</v>
      </c>
      <c r="R27" s="19" t="str">
        <f t="shared" si="8"/>
        <v>通过</v>
      </c>
    </row>
    <row r="28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4.9984615384615383</v>
      </c>
      <c r="Q28" s="17">
        <f t="shared" si="7"/>
        <v>0</v>
      </c>
      <c r="R28" s="19" t="str">
        <f t="shared" si="8"/>
        <v>通过</v>
      </c>
    </row>
    <row r="29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5.1636842105263154</v>
      </c>
      <c r="Q29" s="17">
        <f t="shared" si="7"/>
        <v>0</v>
      </c>
      <c r="R29" s="19" t="str">
        <f t="shared" si="8"/>
        <v>通过</v>
      </c>
    </row>
    <row r="30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5.3465517241379308</v>
      </c>
      <c r="Q30" s="17">
        <f t="shared" si="7"/>
        <v>0</v>
      </c>
      <c r="R30" s="19" t="str">
        <f t="shared" si="8"/>
        <v>通过</v>
      </c>
    </row>
    <row r="31" spans="1:18">
      <c r="A31" s="13">
        <v>35</v>
      </c>
      <c r="B31" s="14">
        <v>1</v>
      </c>
      <c r="C31" s="15">
        <v>42095</v>
      </c>
      <c r="D31" s="16">
        <v>8.2200000000000006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t="shared" si="8"/>
        <v>通过</v>
      </c>
    </row>
    <row r="32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8.1266666666666669</v>
      </c>
      <c r="Q32" s="17">
        <f t="shared" si="7"/>
        <v>0</v>
      </c>
      <c r="R32" s="19" t="str">
        <f t="shared" si="8"/>
        <v>通过</v>
      </c>
    </row>
    <row r="33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5.7113099041533548</v>
      </c>
      <c r="Q33" s="17">
        <f t="shared" si="7"/>
        <v>0</v>
      </c>
      <c r="R33" s="19" t="str">
        <f t="shared" si="8"/>
        <v>通过</v>
      </c>
    </row>
    <row r="34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3.4497183098591551</v>
      </c>
      <c r="Q34" s="17">
        <f t="shared" si="7"/>
        <v>0</v>
      </c>
      <c r="R34" s="19" t="str">
        <f t="shared" si="8"/>
        <v>通过</v>
      </c>
    </row>
    <row r="35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t="shared" si="8"/>
        <v>通过</v>
      </c>
    </row>
    <row r="36" spans="1:18">
      <c r="A36" s="13">
        <v>45</v>
      </c>
      <c r="B36" s="14">
        <v>1</v>
      </c>
      <c r="C36" s="15">
        <v>44043</v>
      </c>
      <c r="D36" s="16">
        <v>4.72</v>
      </c>
      <c r="E36" s="16">
        <v>4.4000000000000004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4.3993670886075948</v>
      </c>
      <c r="Q36" s="17">
        <f t="shared" si="7"/>
        <v>0</v>
      </c>
      <c r="R36" s="19" t="str">
        <f t="shared" si="8"/>
        <v>通过</v>
      </c>
    </row>
    <row r="3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125425.99999999999</v>
      </c>
      <c r="K37" s="17">
        <f t="shared" si="1"/>
        <v>5474.0000000000146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5.4996296296296299</v>
      </c>
      <c r="Q37" s="17">
        <f t="shared" si="7"/>
        <v>0</v>
      </c>
      <c r="R37" s="19" t="str">
        <f t="shared" si="8"/>
        <v>通过</v>
      </c>
    </row>
    <row r="38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6.9995774647887323</v>
      </c>
      <c r="Q38" s="17">
        <f t="shared" si="7"/>
        <v>0</v>
      </c>
      <c r="R38" s="19" t="str">
        <f t="shared" si="8"/>
        <v>通过</v>
      </c>
    </row>
    <row r="39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7.449187817258883</v>
      </c>
      <c r="Q39" s="17">
        <f t="shared" si="7"/>
        <v>0</v>
      </c>
      <c r="R39" s="19" t="str">
        <f t="shared" si="8"/>
        <v>通过</v>
      </c>
    </row>
    <row r="40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7.9956666666666667</v>
      </c>
      <c r="Q40" s="17">
        <f t="shared" si="7"/>
        <v>0</v>
      </c>
      <c r="R40" s="19" t="str">
        <f t="shared" si="8"/>
        <v>通过</v>
      </c>
    </row>
    <row r="41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8.3881081081081081</v>
      </c>
      <c r="Q41" s="17">
        <f t="shared" si="7"/>
        <v>0</v>
      </c>
      <c r="R41" s="19" t="str">
        <f t="shared" si="8"/>
        <v>通过</v>
      </c>
    </row>
    <row r="42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31135.999999999996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8.8227272727272723</v>
      </c>
      <c r="Q42" s="17">
        <f t="shared" si="7"/>
        <v>0</v>
      </c>
      <c r="R42" s="19" t="str">
        <f t="shared" si="8"/>
        <v>通过</v>
      </c>
    </row>
    <row r="43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9.3205882352941174</v>
      </c>
      <c r="Q43" s="17">
        <f t="shared" si="7"/>
        <v>0</v>
      </c>
      <c r="R43" s="19" t="str">
        <f t="shared" si="8"/>
        <v>通过</v>
      </c>
    </row>
    <row r="44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9.8455172413793104</v>
      </c>
      <c r="Q44" s="17">
        <f t="shared" si="7"/>
        <v>0</v>
      </c>
      <c r="R44" s="19" t="str">
        <f t="shared" si="8"/>
        <v>通过</v>
      </c>
    </row>
    <row r="45" spans="1:18" ht="27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15.202857142857143</v>
      </c>
      <c r="Q45" s="17">
        <f t="shared" si="7"/>
        <v>5964</v>
      </c>
      <c r="R45" s="19" t="str">
        <f t="shared" si="8"/>
        <v>违规：实际股数超过风险或金字塔上限</v>
      </c>
    </row>
    <row r="46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15.501739130434782</v>
      </c>
      <c r="Q46" s="17">
        <f t="shared" si="7"/>
        <v>0</v>
      </c>
      <c r="R46" s="19" t="str">
        <f t="shared" si="8"/>
        <v>通过</v>
      </c>
    </row>
    <row r="4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179139.99999999997</v>
      </c>
      <c r="K47" s="17">
        <f t="shared" si="1"/>
        <v>11660.000000000029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17.372058823529411</v>
      </c>
      <c r="Q47" s="17">
        <f t="shared" si="7"/>
        <v>0</v>
      </c>
      <c r="R47" s="19" t="str">
        <f t="shared" si="8"/>
        <v>通过</v>
      </c>
    </row>
    <row r="48" spans="1:18" ht="27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21.709896907216496</v>
      </c>
      <c r="Q48" s="17">
        <f t="shared" si="7"/>
        <v>6401</v>
      </c>
      <c r="R48" s="19" t="str">
        <f t="shared" si="8"/>
        <v>违规：实际股数超过风险或金字塔上限</v>
      </c>
    </row>
    <row r="49" spans="1:18">
      <c r="A49" s="13">
        <v>60</v>
      </c>
      <c r="B49" s="14">
        <v>1</v>
      </c>
      <c r="C49" s="15">
        <v>44276</v>
      </c>
      <c r="D49" s="16">
        <v>6.24</v>
      </c>
      <c r="E49" s="16">
        <v>5.95</v>
      </c>
      <c r="F49" s="16">
        <v>1</v>
      </c>
      <c r="G49" s="14">
        <v>10000</v>
      </c>
      <c r="H49" s="17">
        <f t="shared" si="0"/>
        <v>62400</v>
      </c>
      <c r="I49" s="18">
        <f>IF(OR(A49="",B49=""),"",IFERROR(LOOKUP(2,1/(单次交易!$A$2:$A$201=A49),单次交易!$H$2:$H$201),0)+SUMIFS($G$2:$G$1001,$A$2:$A$1001,A49,$B$2:$B$1001,"&lt;"&amp;B49))</f>
        <v>21500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116960.00000000001</v>
      </c>
      <c r="K49" s="17">
        <f t="shared" si="1"/>
        <v>10964.999999999985</v>
      </c>
      <c r="L49" s="18">
        <f t="shared" si="2"/>
        <v>37800</v>
      </c>
      <c r="M49" s="18">
        <f t="shared" si="3"/>
        <v>37800</v>
      </c>
      <c r="N49" s="18">
        <f t="shared" si="4"/>
        <v>37800</v>
      </c>
      <c r="O49" s="18">
        <f t="shared" si="5"/>
        <v>31500</v>
      </c>
      <c r="P49" s="17">
        <f t="shared" si="6"/>
        <v>5.6939682539682543</v>
      </c>
      <c r="Q49" s="17">
        <f t="shared" si="7"/>
        <v>0</v>
      </c>
      <c r="R49" s="19" t="str">
        <f t="shared" si="8"/>
        <v>通过</v>
      </c>
    </row>
    <row r="50" spans="1:18">
      <c r="A50" s="13">
        <v>61</v>
      </c>
      <c r="B50" s="14">
        <v>1</v>
      </c>
      <c r="C50" s="15">
        <v>45067</v>
      </c>
      <c r="D50" s="16">
        <v>7.24</v>
      </c>
      <c r="E50" s="16">
        <v>6.8</v>
      </c>
      <c r="F50" s="16">
        <v>1</v>
      </c>
      <c r="G50" s="14">
        <v>10000</v>
      </c>
      <c r="H50" s="17">
        <f t="shared" si="0"/>
        <v>72400</v>
      </c>
      <c r="I50" s="18">
        <f>IF(OR(A50="",B50=""),"",IFERROR(LOOKUP(2,1/(单次交易!$A$2:$A$201=A50),单次交易!$H$2:$H$201),0)+SUMIFS($G$2:$G$1001,$A$2:$A$1001,A50,$B$2:$B$1001,"&lt;"&amp;B50))</f>
        <v>19300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125450</v>
      </c>
      <c r="K50" s="17">
        <f t="shared" si="1"/>
        <v>5790</v>
      </c>
      <c r="L50" s="18">
        <f t="shared" si="2"/>
        <v>13100</v>
      </c>
      <c r="M50" s="18">
        <f t="shared" si="3"/>
        <v>13100</v>
      </c>
      <c r="N50" s="18">
        <f t="shared" si="4"/>
        <v>13100</v>
      </c>
      <c r="O50" s="18">
        <f t="shared" si="5"/>
        <v>29300</v>
      </c>
      <c r="P50" s="17">
        <f t="shared" si="6"/>
        <v>6.7525597269624571</v>
      </c>
      <c r="Q50" s="17">
        <f t="shared" si="7"/>
        <v>0</v>
      </c>
      <c r="R50" s="19" t="str">
        <f t="shared" si="8"/>
        <v>通过</v>
      </c>
    </row>
    <row r="51" spans="1:18">
      <c r="A51" s="13">
        <v>62</v>
      </c>
      <c r="B51" s="14">
        <v>1</v>
      </c>
      <c r="C51" s="15">
        <v>41493</v>
      </c>
      <c r="D51" s="16">
        <v>8.44</v>
      </c>
      <c r="E51" s="16">
        <v>8</v>
      </c>
      <c r="F51" s="16">
        <v>1</v>
      </c>
      <c r="G51" s="14">
        <v>8000</v>
      </c>
      <c r="H51" s="17">
        <f t="shared" si="0"/>
        <v>67520</v>
      </c>
      <c r="I51" s="18">
        <f>IF(OR(A51="",B51=""),"",IFERROR(LOOKUP(2,1/(单次交易!$A$2:$A$201=A51),单次交易!$H$2:$H$201),0)+SUMIFS($G$2:$G$1001,$A$2:$A$1001,A51,$B$2:$B$1001,"&lt;"&amp;B51))</f>
        <v>16800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127344</v>
      </c>
      <c r="K51" s="17">
        <f t="shared" si="1"/>
        <v>7056</v>
      </c>
      <c r="L51" s="18">
        <f t="shared" si="2"/>
        <v>16000</v>
      </c>
      <c r="M51" s="18">
        <f t="shared" si="3"/>
        <v>16000</v>
      </c>
      <c r="N51" s="18">
        <f t="shared" si="4"/>
        <v>16000</v>
      </c>
      <c r="O51" s="18">
        <f t="shared" si="5"/>
        <v>24800</v>
      </c>
      <c r="P51" s="17">
        <f t="shared" si="6"/>
        <v>7.8574193548387097</v>
      </c>
      <c r="Q51" s="17">
        <f t="shared" si="7"/>
        <v>0</v>
      </c>
      <c r="R51" s="19" t="str">
        <f t="shared" si="8"/>
        <v>通过</v>
      </c>
    </row>
    <row r="52" spans="1:18">
      <c r="A52" s="13">
        <v>62</v>
      </c>
      <c r="B52" s="14">
        <v>2</v>
      </c>
      <c r="C52" s="15">
        <v>41505</v>
      </c>
      <c r="D52" s="16">
        <v>9.24</v>
      </c>
      <c r="E52" s="16">
        <v>8.5</v>
      </c>
      <c r="F52" s="16">
        <v>1</v>
      </c>
      <c r="G52" s="14">
        <v>8000</v>
      </c>
      <c r="H52" s="17">
        <f t="shared" si="0"/>
        <v>73920</v>
      </c>
      <c r="I52" s="18">
        <f>IF(OR(A52="",B52=""),"",IFERROR(LOOKUP(2,1/(单次交易!$A$2:$A$201=A52),单次交易!$H$2:$H$201),0)+SUMIFS($G$2:$G$1001,$A$2:$A$1001,A52,$B$2:$B$1001,"&lt;"&amp;B52))</f>
        <v>24800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194864</v>
      </c>
      <c r="K52" s="17">
        <f t="shared" si="1"/>
        <v>15936</v>
      </c>
      <c r="L52" s="18">
        <f t="shared" si="2"/>
        <v>21500</v>
      </c>
      <c r="M52" s="18">
        <f t="shared" si="3"/>
        <v>8000</v>
      </c>
      <c r="N52" s="18">
        <f t="shared" si="4"/>
        <v>8000</v>
      </c>
      <c r="O52" s="18">
        <f t="shared" si="5"/>
        <v>32800</v>
      </c>
      <c r="P52" s="17">
        <f t="shared" si="6"/>
        <v>8.194634146341464</v>
      </c>
      <c r="Q52" s="17">
        <f t="shared" si="7"/>
        <v>0</v>
      </c>
      <c r="R52" s="19" t="str">
        <f t="shared" si="8"/>
        <v>通过</v>
      </c>
    </row>
    <row r="53" spans="1:18">
      <c r="A53" s="13">
        <v>62</v>
      </c>
      <c r="B53" s="14">
        <v>3</v>
      </c>
      <c r="C53" s="15">
        <v>41521</v>
      </c>
      <c r="D53" s="16">
        <v>10.18</v>
      </c>
      <c r="E53" s="16">
        <v>9</v>
      </c>
      <c r="F53" s="16">
        <v>1</v>
      </c>
      <c r="G53" s="14">
        <v>8000</v>
      </c>
      <c r="H53" s="17">
        <f t="shared" si="0"/>
        <v>81440</v>
      </c>
      <c r="I53" s="18">
        <f>IF(OR(A53="",B53=""),"",IFERROR(LOOKUP(2,1/(单次交易!$A$2:$A$201=A53),单次交易!$H$2:$H$201),0)+SUMIFS($G$2:$G$1001,$A$2:$A$1001,A53,$B$2:$B$1001,"&lt;"&amp;B53))</f>
        <v>32800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268784</v>
      </c>
      <c r="K53" s="17">
        <f t="shared" si="1"/>
        <v>26416</v>
      </c>
      <c r="L53" s="18">
        <f t="shared" si="2"/>
        <v>22300</v>
      </c>
      <c r="M53" s="18">
        <f t="shared" si="3"/>
        <v>8000</v>
      </c>
      <c r="N53" s="18">
        <f t="shared" si="4"/>
        <v>8000</v>
      </c>
      <c r="O53" s="18">
        <f t="shared" si="5"/>
        <v>40800</v>
      </c>
      <c r="P53" s="17">
        <f t="shared" si="6"/>
        <v>8.583921568627451</v>
      </c>
      <c r="Q53" s="17">
        <f t="shared" si="7"/>
        <v>0</v>
      </c>
      <c r="R53" s="19" t="str">
        <f t="shared" si="8"/>
        <v>通过</v>
      </c>
    </row>
    <row r="54" spans="1:18">
      <c r="A54" s="13">
        <v>62</v>
      </c>
      <c r="B54" s="14">
        <v>4</v>
      </c>
      <c r="C54" s="15">
        <v>41534</v>
      </c>
      <c r="D54" s="16">
        <v>11.61</v>
      </c>
      <c r="E54" s="16">
        <v>10</v>
      </c>
      <c r="F54" s="16">
        <v>1</v>
      </c>
      <c r="G54" s="14">
        <v>8000</v>
      </c>
      <c r="H54" s="17">
        <f t="shared" si="0"/>
        <v>92880</v>
      </c>
      <c r="I54" s="18">
        <f>IF(OR(A54="",B54=""),"",IFERROR(LOOKUP(2,1/(单次交易!$A$2:$A$201=A54),单次交易!$H$2:$H$201),0)+SUMIFS($G$2:$G$1001,$A$2:$A$1001,A54,$B$2:$B$1001,"&lt;"&amp;B54))</f>
        <v>40800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350224</v>
      </c>
      <c r="K54" s="17">
        <f t="shared" si="1"/>
        <v>57776</v>
      </c>
      <c r="L54" s="18">
        <f t="shared" si="2"/>
        <v>35800</v>
      </c>
      <c r="M54" s="18">
        <f t="shared" si="3"/>
        <v>8000</v>
      </c>
      <c r="N54" s="18">
        <f t="shared" si="4"/>
        <v>8000</v>
      </c>
      <c r="O54" s="18">
        <f t="shared" si="5"/>
        <v>48800</v>
      </c>
      <c r="P54" s="17">
        <f t="shared" si="6"/>
        <v>9.08</v>
      </c>
      <c r="Q54" s="17">
        <f t="shared" si="7"/>
        <v>0</v>
      </c>
      <c r="R54" s="19" t="str">
        <f t="shared" si="8"/>
        <v>通过</v>
      </c>
    </row>
    <row r="55" spans="1:18">
      <c r="A55" s="13">
        <v>63</v>
      </c>
      <c r="B55" s="14">
        <v>1</v>
      </c>
      <c r="C55" s="15">
        <v>41787</v>
      </c>
      <c r="D55" s="16">
        <v>14.26</v>
      </c>
      <c r="E55" s="16">
        <v>13.5</v>
      </c>
      <c r="F55" s="16">
        <v>1</v>
      </c>
      <c r="G55" s="14">
        <v>5000</v>
      </c>
      <c r="H55" s="17">
        <f t="shared" si="0"/>
        <v>71300</v>
      </c>
      <c r="I55" s="18">
        <f>IF(OR(A55="",B55=""),"",IFERROR(LOOKUP(2,1/(单次交易!$A$2:$A$201=A55),单次交易!$H$2:$H$201),0)+SUMIFS($G$2:$G$1001,$A$2:$A$1001,A55,$B$2:$B$1001,"&lt;"&amp;B55))</f>
        <v>16000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203360</v>
      </c>
      <c r="K55" s="17">
        <f t="shared" si="1"/>
        <v>12640</v>
      </c>
      <c r="L55" s="18">
        <f t="shared" si="2"/>
        <v>16600</v>
      </c>
      <c r="M55" s="18">
        <f t="shared" si="3"/>
        <v>16600</v>
      </c>
      <c r="N55" s="18">
        <f t="shared" si="4"/>
        <v>16600</v>
      </c>
      <c r="O55" s="18">
        <f t="shared" si="5"/>
        <v>21000</v>
      </c>
      <c r="P55" s="17">
        <f t="shared" si="6"/>
        <v>13.079047619047619</v>
      </c>
      <c r="Q55" s="17">
        <f t="shared" si="7"/>
        <v>0</v>
      </c>
      <c r="R55" s="19" t="str">
        <f t="shared" si="8"/>
        <v>通过</v>
      </c>
    </row>
    <row r="56" spans="1:18">
      <c r="A56" s="13">
        <v>63</v>
      </c>
      <c r="B56" s="14">
        <v>2</v>
      </c>
      <c r="C56" s="15">
        <v>41803</v>
      </c>
      <c r="D56" s="16">
        <v>15.54</v>
      </c>
      <c r="E56" s="16">
        <v>14.5</v>
      </c>
      <c r="F56" s="16">
        <v>1</v>
      </c>
      <c r="G56" s="14">
        <v>5000</v>
      </c>
      <c r="H56" s="17">
        <f t="shared" si="0"/>
        <v>77700</v>
      </c>
      <c r="I56" s="18">
        <f>IF(OR(A56="",B56=""),"",IFERROR(LOOKUP(2,1/(单次交易!$A$2:$A$201=A56),单次交易!$H$2:$H$201),0)+SUMIFS($G$2:$G$1001,$A$2:$A$1001,A56,$B$2:$B$1001,"&lt;"&amp;B56))</f>
        <v>21000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274660</v>
      </c>
      <c r="K56" s="17">
        <f t="shared" si="1"/>
        <v>29840</v>
      </c>
      <c r="L56" s="18">
        <f t="shared" si="2"/>
        <v>28600</v>
      </c>
      <c r="M56" s="18">
        <f t="shared" si="3"/>
        <v>5000</v>
      </c>
      <c r="N56" s="18">
        <f t="shared" si="4"/>
        <v>5000</v>
      </c>
      <c r="O56" s="18">
        <f t="shared" si="5"/>
        <v>26000</v>
      </c>
      <c r="P56" s="17">
        <f t="shared" si="6"/>
        <v>13.552307692307693</v>
      </c>
      <c r="Q56" s="17">
        <f t="shared" si="7"/>
        <v>0</v>
      </c>
      <c r="R56" s="19" t="str">
        <f t="shared" si="8"/>
        <v>通过</v>
      </c>
    </row>
    <row r="57" spans="1:18">
      <c r="A57" s="13">
        <v>68</v>
      </c>
      <c r="B57" s="14">
        <v>1</v>
      </c>
      <c r="C57" s="15">
        <v>42137</v>
      </c>
      <c r="D57" s="16">
        <v>30.78</v>
      </c>
      <c r="E57" s="16">
        <v>28.5</v>
      </c>
      <c r="F57" s="16">
        <v>1</v>
      </c>
      <c r="G57" s="14">
        <v>2500</v>
      </c>
      <c r="H57" s="17">
        <f t="shared" si="0"/>
        <v>76950</v>
      </c>
      <c r="I57" s="18">
        <f>IF(OR(A57="",B57=""),"",IFERROR(LOOKUP(2,1/(单次交易!$A$2:$A$201=A57),单次交易!$H$2:$H$201),0)+SUMIFS($G$2:$G$1001,$A$2:$A$1001,A57,$B$2:$B$1001,"&lt;"&amp;B57))</f>
        <v>5000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136100</v>
      </c>
      <c r="K57" s="17">
        <f t="shared" si="1"/>
        <v>6400</v>
      </c>
      <c r="L57" s="18">
        <f t="shared" si="2"/>
        <v>2800</v>
      </c>
      <c r="M57" s="18">
        <f t="shared" si="3"/>
        <v>2800</v>
      </c>
      <c r="N57" s="18">
        <f t="shared" si="4"/>
        <v>2800</v>
      </c>
      <c r="O57" s="18">
        <f t="shared" si="5"/>
        <v>7500</v>
      </c>
      <c r="P57" s="17">
        <f t="shared" si="6"/>
        <v>28.406666666666666</v>
      </c>
      <c r="Q57" s="17">
        <f t="shared" si="7"/>
        <v>0</v>
      </c>
      <c r="R57" s="19" t="str">
        <f t="shared" si="8"/>
        <v>通过</v>
      </c>
    </row>
    <row r="58" spans="1:18">
      <c r="A58" s="13">
        <v>68</v>
      </c>
      <c r="B58" s="14">
        <v>2</v>
      </c>
      <c r="C58" s="15">
        <v>42145</v>
      </c>
      <c r="D58" s="16">
        <v>33.909999999999997</v>
      </c>
      <c r="E58" s="16">
        <v>30.5</v>
      </c>
      <c r="F58" s="16">
        <v>1</v>
      </c>
      <c r="G58" s="14">
        <v>2500</v>
      </c>
      <c r="H58" s="17">
        <f t="shared" si="0"/>
        <v>84774.999999999985</v>
      </c>
      <c r="I58" s="18">
        <f>IF(OR(A58="",B58=""),"",IFERROR(LOOKUP(2,1/(单次交易!$A$2:$A$201=A58),单次交易!$H$2:$H$201),0)+SUMIFS($G$2:$G$1001,$A$2:$A$1001,A58,$B$2:$B$1001,"&lt;"&amp;B58))</f>
        <v>7500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213050</v>
      </c>
      <c r="K58" s="17">
        <f t="shared" si="1"/>
        <v>15700</v>
      </c>
      <c r="L58" s="18">
        <f t="shared" si="2"/>
        <v>4600</v>
      </c>
      <c r="M58" s="18">
        <f t="shared" si="3"/>
        <v>2500</v>
      </c>
      <c r="N58" s="18">
        <f t="shared" si="4"/>
        <v>2500</v>
      </c>
      <c r="O58" s="18">
        <f t="shared" si="5"/>
        <v>10000</v>
      </c>
      <c r="P58" s="17">
        <f t="shared" si="6"/>
        <v>29.782499999999999</v>
      </c>
      <c r="Q58" s="17">
        <f t="shared" si="7"/>
        <v>0</v>
      </c>
      <c r="R58" s="19" t="str">
        <f t="shared" si="8"/>
        <v>通过</v>
      </c>
    </row>
    <row r="59" spans="1:18">
      <c r="A59" s="13">
        <v>72</v>
      </c>
      <c r="B59" s="14">
        <v>1</v>
      </c>
      <c r="C59" s="15">
        <v>43186</v>
      </c>
      <c r="D59" s="16">
        <v>22.3</v>
      </c>
      <c r="E59" s="16">
        <v>20</v>
      </c>
      <c r="F59" s="16">
        <v>1</v>
      </c>
      <c r="G59" s="14">
        <v>2300</v>
      </c>
      <c r="H59" s="17">
        <f t="shared" si="0"/>
        <v>51290</v>
      </c>
      <c r="I59" s="18">
        <f>IF(OR(A59="",B59=""),"",IFERROR(LOOKUP(2,1/(单次交易!$A$2:$A$201=A59),单次交易!$H$2:$H$201),0)+SUMIFS($G$2:$G$1001,$A$2:$A$1001,A59,$B$2:$B$1001,"&lt;"&amp;B59))</f>
        <v>7900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152549</v>
      </c>
      <c r="K59" s="17">
        <f t="shared" si="1"/>
        <v>5451</v>
      </c>
      <c r="L59" s="18">
        <f t="shared" si="2"/>
        <v>2300</v>
      </c>
      <c r="M59" s="18">
        <f t="shared" si="3"/>
        <v>2300</v>
      </c>
      <c r="N59" s="18">
        <f t="shared" si="4"/>
        <v>2300</v>
      </c>
      <c r="O59" s="18">
        <f t="shared" si="5"/>
        <v>10200</v>
      </c>
      <c r="P59" s="17">
        <f t="shared" si="6"/>
        <v>19.98421568627451</v>
      </c>
      <c r="Q59" s="17">
        <f t="shared" si="7"/>
        <v>0</v>
      </c>
      <c r="R59" s="19" t="str">
        <f t="shared" si="8"/>
        <v>通过</v>
      </c>
    </row>
    <row r="60" spans="1:18">
      <c r="A60" s="13">
        <v>72</v>
      </c>
      <c r="B60" s="14">
        <v>2</v>
      </c>
      <c r="C60" s="15">
        <v>43208</v>
      </c>
      <c r="D60" s="16">
        <v>24.26</v>
      </c>
      <c r="E60" s="16">
        <v>22</v>
      </c>
      <c r="F60" s="16">
        <v>1</v>
      </c>
      <c r="G60" s="14">
        <v>2300</v>
      </c>
      <c r="H60" s="17">
        <f t="shared" si="0"/>
        <v>55798</v>
      </c>
      <c r="I60" s="18">
        <f>IF(OR(A60="",B60=""),"",IFERROR(LOOKUP(2,1/(单次交易!$A$2:$A$201=A60),单次交易!$H$2:$H$201),0)+SUMIFS($G$2:$G$1001,$A$2:$A$1001,A60,$B$2:$B$1001,"&lt;"&amp;B60))</f>
        <v>10200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203839</v>
      </c>
      <c r="K60" s="17">
        <f t="shared" si="1"/>
        <v>20561</v>
      </c>
      <c r="L60" s="18">
        <f t="shared" si="2"/>
        <v>9000</v>
      </c>
      <c r="M60" s="18">
        <f t="shared" si="3"/>
        <v>2300</v>
      </c>
      <c r="N60" s="18">
        <f t="shared" si="4"/>
        <v>2300</v>
      </c>
      <c r="O60" s="18">
        <f t="shared" si="5"/>
        <v>12500</v>
      </c>
      <c r="P60" s="17">
        <f t="shared" si="6"/>
        <v>20.770959999999999</v>
      </c>
      <c r="Q60" s="17">
        <f t="shared" si="7"/>
        <v>0</v>
      </c>
      <c r="R60" s="19" t="str">
        <f t="shared" si="8"/>
        <v>通过</v>
      </c>
    </row>
    <row r="61" spans="1:18">
      <c r="A61" s="13">
        <v>75</v>
      </c>
      <c r="B61" s="14">
        <v>1</v>
      </c>
      <c r="C61" s="15">
        <v>43529</v>
      </c>
      <c r="D61" s="16">
        <v>25.2</v>
      </c>
      <c r="E61" s="16">
        <v>22.5</v>
      </c>
      <c r="F61" s="16">
        <v>1</v>
      </c>
      <c r="G61" s="14">
        <v>2000</v>
      </c>
      <c r="H61" s="17">
        <f t="shared" si="0"/>
        <v>50400</v>
      </c>
      <c r="I61" s="18">
        <f>IF(OR(A61="",B61=""),"",IFERROR(LOOKUP(2,1/(单次交易!$A$2:$A$201=A61),单次交易!$H$2:$H$201),0)+SUMIFS($G$2:$G$1001,$A$2:$A$1001,A61,$B$2:$B$1001,"&lt;"&amp;B61))</f>
        <v>4900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100303</v>
      </c>
      <c r="K61" s="17">
        <f t="shared" si="1"/>
        <v>9947</v>
      </c>
      <c r="L61" s="18">
        <f t="shared" si="2"/>
        <v>3600</v>
      </c>
      <c r="M61" s="18">
        <f t="shared" si="3"/>
        <v>3600</v>
      </c>
      <c r="N61" s="18">
        <f t="shared" si="4"/>
        <v>3600</v>
      </c>
      <c r="O61" s="18">
        <f t="shared" si="5"/>
        <v>6900</v>
      </c>
      <c r="P61" s="17">
        <f t="shared" si="6"/>
        <v>21.841014492753622</v>
      </c>
      <c r="Q61" s="17">
        <f t="shared" si="7"/>
        <v>0</v>
      </c>
      <c r="R61" s="19" t="str">
        <f t="shared" si="8"/>
        <v>通过</v>
      </c>
    </row>
    <row r="62" spans="1:18">
      <c r="A62" s="13">
        <v>77</v>
      </c>
      <c r="B62" s="14">
        <v>1</v>
      </c>
      <c r="C62" s="15">
        <v>43850</v>
      </c>
      <c r="D62" s="16">
        <v>32.03</v>
      </c>
      <c r="E62" s="16">
        <v>30</v>
      </c>
      <c r="F62" s="16">
        <v>1</v>
      </c>
      <c r="G62" s="14">
        <v>3200</v>
      </c>
      <c r="H62" s="17">
        <f t="shared" si="0"/>
        <v>102496</v>
      </c>
      <c r="I62" s="18">
        <f>IF(OR(A62="",B62=""),"",IFERROR(LOOKUP(2,1/(单次交易!$A$2:$A$201=A62),单次交易!$H$2:$H$201),0)+SUMIFS($G$2:$G$1001,$A$2:$A$1001,A62,$B$2:$B$1001,"&lt;"&amp;B62))</f>
        <v>2900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80388</v>
      </c>
      <c r="K62" s="17">
        <f t="shared" si="1"/>
        <v>6612</v>
      </c>
      <c r="L62" s="18">
        <f t="shared" si="2"/>
        <v>3200</v>
      </c>
      <c r="M62" s="18">
        <f t="shared" si="3"/>
        <v>3200</v>
      </c>
      <c r="N62" s="18">
        <f t="shared" si="4"/>
        <v>3200</v>
      </c>
      <c r="O62" s="18">
        <f t="shared" si="5"/>
        <v>6100</v>
      </c>
      <c r="P62" s="17">
        <f t="shared" si="6"/>
        <v>29.980983606557377</v>
      </c>
      <c r="Q62" s="17">
        <f t="shared" si="7"/>
        <v>0</v>
      </c>
      <c r="R62" s="19" t="str">
        <f t="shared" si="8"/>
        <v>通过</v>
      </c>
    </row>
    <row r="63" spans="1:18">
      <c r="A63" s="13">
        <v>78</v>
      </c>
      <c r="B63" s="14">
        <v>1</v>
      </c>
      <c r="C63" s="15">
        <v>43873</v>
      </c>
      <c r="D63" s="16">
        <v>43.08</v>
      </c>
      <c r="E63" s="16">
        <v>38</v>
      </c>
      <c r="F63" s="16">
        <v>1</v>
      </c>
      <c r="G63" s="14">
        <v>1000</v>
      </c>
      <c r="H63" s="17">
        <f t="shared" si="0"/>
        <v>43080</v>
      </c>
      <c r="I63" s="18">
        <f>IF(OR(A63="",B63=""),"",IFERROR(LOOKUP(2,1/(单次交易!$A$2:$A$201=A63),单次交易!$H$2:$H$201),0)+SUMIFS($G$2:$G$1001,$A$2:$A$1001,A63,$B$2:$B$1001,"&lt;"&amp;B63))</f>
        <v>3000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108479.99999999999</v>
      </c>
      <c r="K63" s="17">
        <f t="shared" si="1"/>
        <v>5520.0000000000146</v>
      </c>
      <c r="L63" s="18">
        <f t="shared" si="2"/>
        <v>1000</v>
      </c>
      <c r="M63" s="18">
        <f t="shared" si="3"/>
        <v>1000</v>
      </c>
      <c r="N63" s="18">
        <f t="shared" si="4"/>
        <v>1000</v>
      </c>
      <c r="O63" s="18">
        <f t="shared" si="5"/>
        <v>4000</v>
      </c>
      <c r="P63" s="17">
        <f t="shared" si="6"/>
        <v>37.89</v>
      </c>
      <c r="Q63" s="17">
        <f t="shared" si="7"/>
        <v>0</v>
      </c>
      <c r="R63" s="19" t="str">
        <f t="shared" si="8"/>
        <v>通过</v>
      </c>
    </row>
    <row r="64" spans="1:18">
      <c r="A64" s="13"/>
      <c r="B64" s="14"/>
      <c r="C64" s="15"/>
      <c r="D64" s="16"/>
      <c r="E64" s="16"/>
      <c r="F64" s="16"/>
      <c r="G64" s="14"/>
      <c r="H64" s="17" t="str">
        <f t="shared" si="0"/>
        <v/>
      </c>
      <c r="I64" s="18" t="str">
        <f>IF(OR(A64="",B64=""),"",IFERROR(LOOKUP(2,1/(单次交易!$A$2:$A$201=A64),单次交易!$H$2:$H$201),0)+SUMIFS($G$2:$G$1001,$A$2:$A$1001,A64,$B$2:$B$1001,"&lt;"&amp;B64))</f>
        <v/>
      </c>
      <c r="J64" s="17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17" t="str">
        <f t="shared" si="1"/>
        <v/>
      </c>
      <c r="L64" s="18" t="str">
        <f t="shared" si="2"/>
        <v/>
      </c>
      <c r="M64" s="18" t="str">
        <f t="shared" si="3"/>
        <v/>
      </c>
      <c r="N64" s="18" t="str">
        <f t="shared" si="4"/>
        <v/>
      </c>
      <c r="O64" s="18" t="str">
        <f t="shared" si="5"/>
        <v/>
      </c>
      <c r="P64" s="17" t="str">
        <f t="shared" si="6"/>
        <v/>
      </c>
      <c r="Q64" s="17" t="str">
        <f t="shared" si="7"/>
        <v/>
      </c>
      <c r="R64" s="19" t="str">
        <f t="shared" si="8"/>
        <v/>
      </c>
    </row>
    <row r="65" spans="1:18">
      <c r="A65" s="13"/>
      <c r="B65" s="14"/>
      <c r="C65" s="15"/>
      <c r="D65" s="16"/>
      <c r="E65" s="16"/>
      <c r="F65" s="16"/>
      <c r="G65" s="14"/>
      <c r="H65" s="17" t="str">
        <f t="shared" si="0"/>
        <v/>
      </c>
      <c r="I65" s="18" t="str">
        <f>IF(OR(A65="",B65=""),"",IFERROR(LOOKUP(2,1/(单次交易!$A$2:$A$201=A65),单次交易!$H$2:$H$201),0)+SUMIFS($G$2:$G$1001,$A$2:$A$1001,A65,$B$2:$B$1001,"&lt;"&amp;B65))</f>
        <v/>
      </c>
      <c r="J65" s="17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17" t="str">
        <f t="shared" si="1"/>
        <v/>
      </c>
      <c r="L65" s="18" t="str">
        <f t="shared" si="2"/>
        <v/>
      </c>
      <c r="M65" s="18" t="str">
        <f t="shared" si="3"/>
        <v/>
      </c>
      <c r="N65" s="18" t="str">
        <f t="shared" si="4"/>
        <v/>
      </c>
      <c r="O65" s="18" t="str">
        <f t="shared" si="5"/>
        <v/>
      </c>
      <c r="P65" s="17" t="str">
        <f t="shared" si="6"/>
        <v/>
      </c>
      <c r="Q65" s="17" t="str">
        <f t="shared" si="7"/>
        <v/>
      </c>
      <c r="R65" s="19" t="str">
        <f t="shared" si="8"/>
        <v/>
      </c>
    </row>
    <row r="66" spans="1:18">
      <c r="A66" s="13"/>
      <c r="B66" s="14"/>
      <c r="C66" s="15"/>
      <c r="D66" s="16"/>
      <c r="E66" s="16"/>
      <c r="F66" s="16"/>
      <c r="G66" s="14"/>
      <c r="H66" s="17" t="str">
        <f t="shared" ref="H66:H129" si="9">IF(OR(A66="",D66="",G66=""),"",D66*G66)</f>
        <v/>
      </c>
      <c r="I66" s="18" t="str">
        <f>IF(OR(A66="",B66=""),"",IFERROR(LOOKUP(2,1/(单次交易!$A$2:$A$201=A66),单次交易!$H$2:$H$201),0)+SUMIFS($G$2:$G$1001,$A$2:$A$1001,A66,$B$2:$B$1001,"&lt;"&amp;B66))</f>
        <v/>
      </c>
      <c r="J66" s="17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17" t="str">
        <f t="shared" ref="K66:K129" si="10">IF(OR(E66="",I66="",J66=""),"",MAX(E66*I66-J66,0))</f>
        <v/>
      </c>
      <c r="L66" s="18" t="str">
        <f t="shared" ref="L66:L129" si="11">IF(OR(D66="",E66="",F66="",D66&lt;=E66),"",FLOOR((F66+K66)/(D66-E66),100))</f>
        <v/>
      </c>
      <c r="M66" s="18" t="str">
        <f t="shared" ref="M66:M129" si="12">IF(OR(A66="",B66="",L66=""),"",IF(B66=1,L66,IFERROR(SUMIFS($G$2:$G$1001,$A$2:$A$1001,A66,$B$2:$B$1001,B66-1),0)))</f>
        <v/>
      </c>
      <c r="N66" s="18" t="str">
        <f t="shared" ref="N66:N129" si="13">IF(OR(L66="",M66=""),"",MIN(L66,M66))</f>
        <v/>
      </c>
      <c r="O66" s="18" t="str">
        <f t="shared" ref="O66:O129" si="14">IF(OR(I66="",G66=""),"",I66+G66)</f>
        <v/>
      </c>
      <c r="P66" s="17" t="str">
        <f t="shared" ref="P66:P129" si="15">IF(OR(O66="",O66=0),"",(J66+H66)/O66)</f>
        <v/>
      </c>
      <c r="Q66" s="17" t="str">
        <f t="shared" ref="Q66:Q129" si="16">IF(OR(O66="",E66=""),"",MAX(J66+H66-E66*O66,0))</f>
        <v/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3"/>
      <c r="B67" s="14"/>
      <c r="C67" s="15"/>
      <c r="D67" s="16"/>
      <c r="E67" s="16"/>
      <c r="F67" s="16"/>
      <c r="G67" s="14"/>
      <c r="H67" s="17" t="str">
        <f t="shared" si="9"/>
        <v/>
      </c>
      <c r="I67" s="18" t="str">
        <f>IF(OR(A67="",B67=""),"",IFERROR(LOOKUP(2,1/(单次交易!$A$2:$A$201=A67),单次交易!$H$2:$H$201),0)+SUMIFS($G$2:$G$1001,$A$2:$A$1001,A67,$B$2:$B$1001,"&lt;"&amp;B67))</f>
        <v/>
      </c>
      <c r="J67" s="17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17" t="str">
        <f t="shared" si="10"/>
        <v/>
      </c>
      <c r="L67" s="18" t="str">
        <f t="shared" si="11"/>
        <v/>
      </c>
      <c r="M67" s="18" t="str">
        <f t="shared" si="12"/>
        <v/>
      </c>
      <c r="N67" s="18" t="str">
        <f t="shared" si="13"/>
        <v/>
      </c>
      <c r="O67" s="18" t="str">
        <f t="shared" si="14"/>
        <v/>
      </c>
      <c r="P67" s="17" t="str">
        <f t="shared" si="15"/>
        <v/>
      </c>
      <c r="Q67" s="17" t="str">
        <f t="shared" si="16"/>
        <v/>
      </c>
      <c r="R67" s="19" t="str">
        <f t="shared" si="17"/>
        <v/>
      </c>
    </row>
    <row r="68" spans="1:18">
      <c r="A68" s="13"/>
      <c r="B68" s="14"/>
      <c r="C68" s="15"/>
      <c r="D68" s="16"/>
      <c r="E68" s="16"/>
      <c r="F68" s="16"/>
      <c r="G68" s="14"/>
      <c r="H68" s="17" t="str">
        <f t="shared" si="9"/>
        <v/>
      </c>
      <c r="I68" s="18" t="str">
        <f>IF(OR(A68="",B68=""),"",IFERROR(LOOKUP(2,1/(单次交易!$A$2:$A$201=A68),单次交易!$H$2:$H$201),0)+SUMIFS($G$2:$G$1001,$A$2:$A$1001,A68,$B$2:$B$1001,"&lt;"&amp;B68))</f>
        <v/>
      </c>
      <c r="J68" s="17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17" t="str">
        <f t="shared" si="10"/>
        <v/>
      </c>
      <c r="L68" s="18" t="str">
        <f t="shared" si="11"/>
        <v/>
      </c>
      <c r="M68" s="18" t="str">
        <f t="shared" si="12"/>
        <v/>
      </c>
      <c r="N68" s="18" t="str">
        <f t="shared" si="13"/>
        <v/>
      </c>
      <c r="O68" s="18" t="str">
        <f t="shared" si="14"/>
        <v/>
      </c>
      <c r="P68" s="17" t="str">
        <f t="shared" si="15"/>
        <v/>
      </c>
      <c r="Q68" s="17" t="str">
        <f t="shared" si="16"/>
        <v/>
      </c>
      <c r="R68" s="19" t="str">
        <f t="shared" si="17"/>
        <v/>
      </c>
    </row>
    <row r="69" spans="1:18">
      <c r="A69" s="13"/>
      <c r="B69" s="14"/>
      <c r="C69" s="15"/>
      <c r="D69" s="16"/>
      <c r="E69" s="16"/>
      <c r="F69" s="16"/>
      <c r="G69" s="14"/>
      <c r="H69" s="17" t="str">
        <f t="shared" si="9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10"/>
        <v/>
      </c>
      <c r="L69" s="18" t="str">
        <f t="shared" si="11"/>
        <v/>
      </c>
      <c r="M69" s="18" t="str">
        <f t="shared" si="12"/>
        <v/>
      </c>
      <c r="N69" s="18" t="str">
        <f t="shared" si="13"/>
        <v/>
      </c>
      <c r="O69" s="18" t="str">
        <f t="shared" si="14"/>
        <v/>
      </c>
      <c r="P69" s="17" t="str">
        <f t="shared" si="15"/>
        <v/>
      </c>
      <c r="Q69" s="17" t="str">
        <f t="shared" si="16"/>
        <v/>
      </c>
      <c r="R69" s="19" t="str">
        <f t="shared" si="17"/>
        <v/>
      </c>
    </row>
    <row r="70" spans="1:18">
      <c r="A70" s="13"/>
      <c r="B70" s="14"/>
      <c r="C70" s="15"/>
      <c r="D70" s="16"/>
      <c r="E70" s="16"/>
      <c r="F70" s="16"/>
      <c r="G70" s="14"/>
      <c r="H70" s="17" t="str">
        <f t="shared" si="9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10"/>
        <v/>
      </c>
      <c r="L70" s="18" t="str">
        <f t="shared" si="11"/>
        <v/>
      </c>
      <c r="M70" s="18" t="str">
        <f t="shared" si="12"/>
        <v/>
      </c>
      <c r="N70" s="18" t="str">
        <f t="shared" si="13"/>
        <v/>
      </c>
      <c r="O70" s="18" t="str">
        <f t="shared" si="14"/>
        <v/>
      </c>
      <c r="P70" s="17" t="str">
        <f t="shared" si="15"/>
        <v/>
      </c>
      <c r="Q70" s="17" t="str">
        <f t="shared" si="16"/>
        <v/>
      </c>
      <c r="R70" s="19" t="str">
        <f t="shared" si="17"/>
        <v/>
      </c>
    </row>
    <row r="71" spans="1:18">
      <c r="A71" s="13"/>
      <c r="B71" s="14"/>
      <c r="C71" s="15"/>
      <c r="D71" s="16"/>
      <c r="E71" s="16"/>
      <c r="F71" s="16"/>
      <c r="G71" s="14"/>
      <c r="H71" s="17" t="str">
        <f t="shared" si="9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10"/>
        <v/>
      </c>
      <c r="L71" s="18" t="str">
        <f t="shared" si="11"/>
        <v/>
      </c>
      <c r="M71" s="18" t="str">
        <f t="shared" si="12"/>
        <v/>
      </c>
      <c r="N71" s="18" t="str">
        <f t="shared" si="13"/>
        <v/>
      </c>
      <c r="O71" s="18" t="str">
        <f t="shared" si="14"/>
        <v/>
      </c>
      <c r="P71" s="17" t="str">
        <f t="shared" si="15"/>
        <v/>
      </c>
      <c r="Q71" s="17" t="str">
        <f t="shared" si="16"/>
        <v/>
      </c>
      <c r="R71" s="19" t="str">
        <f t="shared" si="17"/>
        <v/>
      </c>
    </row>
    <row r="72" spans="1:18">
      <c r="A72" s="13"/>
      <c r="B72" s="14"/>
      <c r="C72" s="15"/>
      <c r="D72" s="16"/>
      <c r="E72" s="16"/>
      <c r="F72" s="16"/>
      <c r="G72" s="14"/>
      <c r="H72" s="17" t="str">
        <f t="shared" si="9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10"/>
        <v/>
      </c>
      <c r="L72" s="18" t="str">
        <f t="shared" si="11"/>
        <v/>
      </c>
      <c r="M72" s="18" t="str">
        <f t="shared" si="12"/>
        <v/>
      </c>
      <c r="N72" s="18" t="str">
        <f t="shared" si="13"/>
        <v/>
      </c>
      <c r="O72" s="18" t="str">
        <f t="shared" si="14"/>
        <v/>
      </c>
      <c r="P72" s="17" t="str">
        <f t="shared" si="15"/>
        <v/>
      </c>
      <c r="Q72" s="17" t="str">
        <f t="shared" si="16"/>
        <v/>
      </c>
      <c r="R72" s="19" t="str">
        <f t="shared" si="17"/>
        <v/>
      </c>
    </row>
    <row r="73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t="shared" si="17"/>
        <v/>
      </c>
    </row>
    <row r="74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t="shared" si="17"/>
        <v/>
      </c>
    </row>
    <row r="75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t="shared" si="17"/>
        <v/>
      </c>
    </row>
    <row r="76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t="shared" si="17"/>
        <v/>
      </c>
    </row>
    <row r="7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t="shared" si="17"/>
        <v/>
      </c>
    </row>
    <row r="78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t="shared" si="17"/>
        <v/>
      </c>
    </row>
    <row r="79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t="shared" si="17"/>
        <v/>
      </c>
    </row>
    <row r="80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t="shared" si="17"/>
        <v/>
      </c>
    </row>
    <row r="81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t="shared" si="17"/>
        <v/>
      </c>
    </row>
    <row r="82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t="shared" si="17"/>
        <v/>
      </c>
    </row>
    <row r="83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t="shared" si="17"/>
        <v/>
      </c>
    </row>
    <row r="84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t="shared" si="17"/>
        <v/>
      </c>
    </row>
    <row r="85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t="shared" si="17"/>
        <v/>
      </c>
    </row>
    <row r="86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t="shared" si="17"/>
        <v/>
      </c>
    </row>
    <row r="8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t="shared" si="17"/>
        <v/>
      </c>
    </row>
    <row r="88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t="shared" si="17"/>
        <v/>
      </c>
    </row>
    <row r="89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t="shared" si="17"/>
        <v/>
      </c>
    </row>
    <row r="90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t="shared" si="17"/>
        <v/>
      </c>
    </row>
    <row r="91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t="shared" si="17"/>
        <v/>
      </c>
    </row>
    <row r="92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t="shared" si="17"/>
        <v/>
      </c>
    </row>
    <row r="93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t="shared" si="17"/>
        <v/>
      </c>
    </row>
    <row r="94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t="shared" si="17"/>
        <v/>
      </c>
    </row>
    <row r="95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t="shared" si="17"/>
        <v/>
      </c>
    </row>
    <row r="96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t="shared" si="17"/>
        <v/>
      </c>
    </row>
    <row r="9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t="shared" si="17"/>
        <v/>
      </c>
    </row>
    <row r="98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t="shared" si="17"/>
        <v/>
      </c>
    </row>
    <row r="99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t="shared" si="17"/>
        <v/>
      </c>
    </row>
    <row r="100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t="shared" si="17"/>
        <v/>
      </c>
    </row>
    <row r="101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t="shared" si="17"/>
        <v/>
      </c>
    </row>
    <row r="102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t="shared" si="17"/>
        <v/>
      </c>
    </row>
    <row r="103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t="shared" si="17"/>
        <v/>
      </c>
    </row>
    <row r="104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t="shared" si="17"/>
        <v/>
      </c>
    </row>
    <row r="105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t="shared" si="17"/>
        <v/>
      </c>
    </row>
    <row r="106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t="shared" si="17"/>
        <v/>
      </c>
    </row>
    <row r="10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t="shared" si="17"/>
        <v/>
      </c>
    </row>
    <row r="108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t="shared" si="17"/>
        <v/>
      </c>
    </row>
    <row r="109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t="shared" si="17"/>
        <v/>
      </c>
    </row>
    <row r="110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t="shared" si="17"/>
        <v/>
      </c>
    </row>
    <row r="111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t="shared" si="17"/>
        <v/>
      </c>
    </row>
    <row r="112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t="shared" si="17"/>
        <v/>
      </c>
    </row>
    <row r="113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t="shared" si="17"/>
        <v/>
      </c>
    </row>
    <row r="114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t="shared" si="17"/>
        <v/>
      </c>
    </row>
    <row r="115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t="shared" si="17"/>
        <v/>
      </c>
    </row>
    <row r="116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t="shared" si="17"/>
        <v/>
      </c>
    </row>
    <row r="1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t="shared" si="17"/>
        <v/>
      </c>
    </row>
    <row r="118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t="shared" si="17"/>
        <v/>
      </c>
    </row>
    <row r="119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t="shared" si="17"/>
        <v/>
      </c>
    </row>
    <row r="120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t="shared" si="17"/>
        <v/>
      </c>
    </row>
    <row r="121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t="shared" si="17"/>
        <v/>
      </c>
    </row>
    <row r="122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t="shared" si="17"/>
        <v/>
      </c>
    </row>
    <row r="123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t="shared" si="17"/>
        <v/>
      </c>
    </row>
    <row r="124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t="shared" si="17"/>
        <v/>
      </c>
    </row>
    <row r="125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t="shared" si="17"/>
        <v/>
      </c>
    </row>
    <row r="126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t="shared" si="17"/>
        <v/>
      </c>
    </row>
    <row r="12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t="shared" si="17"/>
        <v/>
      </c>
    </row>
    <row r="128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t="shared" si="17"/>
        <v/>
      </c>
    </row>
    <row r="129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t="shared" si="17"/>
        <v/>
      </c>
    </row>
    <row r="130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t="shared" si="26"/>
        <v/>
      </c>
    </row>
    <row r="132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t="shared" si="26"/>
        <v/>
      </c>
    </row>
    <row r="133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t="shared" si="26"/>
        <v/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10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79</v>
      </c>
      <c r="C1" s="1" t="s">
        <v>80</v>
      </c>
    </row>
    <row r="2" spans="1:3">
      <c r="A2" s="2" t="s">
        <v>81</v>
      </c>
      <c r="B2" s="6">
        <f>COUNT(单次交易!M2:M201)</f>
        <v>81</v>
      </c>
      <c r="C2" s="2" t="s">
        <v>82</v>
      </c>
    </row>
    <row r="3" spans="1:3">
      <c r="A3" s="2" t="s">
        <v>83</v>
      </c>
      <c r="B3" s="6">
        <f>COUNTIF(单次交易!X2:X201,"&gt;0")</f>
        <v>31</v>
      </c>
      <c r="C3" s="2" t="s">
        <v>84</v>
      </c>
    </row>
    <row r="4" spans="1:3">
      <c r="A4" s="2" t="s">
        <v>85</v>
      </c>
      <c r="B4" s="6">
        <f>COUNTIF(单次交易!X2:X201,"&lt;0")</f>
        <v>49</v>
      </c>
      <c r="C4" s="2" t="s">
        <v>86</v>
      </c>
    </row>
    <row r="5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spans="1:3">
      <c r="A6" s="2" t="s">
        <v>89</v>
      </c>
      <c r="B6" s="5">
        <f>IFERROR(B3/(B3+B4),"")</f>
        <v>0.38750000000000001</v>
      </c>
      <c r="C6" s="2" t="s">
        <v>90</v>
      </c>
    </row>
    <row r="7" spans="1:3">
      <c r="A7" s="2" t="s">
        <v>91</v>
      </c>
      <c r="B7" s="5">
        <f>IFERROR(B4/(B3+B4),"")</f>
        <v>0.61250000000000004</v>
      </c>
      <c r="C7" s="2" t="s">
        <v>92</v>
      </c>
    </row>
    <row r="8" spans="1:3">
      <c r="A8" s="2" t="s">
        <v>93</v>
      </c>
      <c r="B8" s="5">
        <f>IFERROR(AVERAGEIF(单次交易!X2:X201,"&gt;0",单次交易!AE2:AE201),"")</f>
        <v>8.8303499396510901E-2</v>
      </c>
      <c r="C8" s="2" t="s">
        <v>94</v>
      </c>
    </row>
    <row r="9" spans="1:3">
      <c r="A9" s="2" t="s">
        <v>95</v>
      </c>
      <c r="B9" s="5">
        <f>IFERROR(-AVERAGEIF(单次交易!X2:X201,"&lt;0",单次交易!AE2:AE201),"")</f>
        <v>1.8947401238654151E-2</v>
      </c>
      <c r="C9" s="2" t="s">
        <v>96</v>
      </c>
    </row>
    <row r="10" spans="1:3">
      <c r="A10" s="2" t="s">
        <v>97</v>
      </c>
      <c r="B10" s="6">
        <f>SUMIF(单次交易!X2:X201,"&gt;0",单次交易!AA2:AA201)</f>
        <v>1549</v>
      </c>
      <c r="C10" s="2" t="s">
        <v>98</v>
      </c>
    </row>
    <row r="11" spans="1:3">
      <c r="A11" s="2" t="s">
        <v>99</v>
      </c>
      <c r="B11" s="6">
        <f>SUMIF(单次交易!X2:X201,"&lt;0",单次交易!AA2:AA201)</f>
        <v>4949</v>
      </c>
      <c r="C11" s="2" t="s">
        <v>98</v>
      </c>
    </row>
    <row r="12" spans="1:3">
      <c r="A12" s="2" t="s">
        <v>100</v>
      </c>
      <c r="B12" s="3">
        <f>IFERROR(SUMPRODUCT(单次交易!AO2:AO201,单次交易!AP2:AP201)/COUNT(单次交易!AP2:AP201),"")</f>
        <v>141956.28395061727</v>
      </c>
      <c r="C12" s="2" t="s">
        <v>101</v>
      </c>
    </row>
    <row r="13" spans="1:3">
      <c r="A13" s="2" t="s">
        <v>102</v>
      </c>
      <c r="B13" s="5">
        <f>IF(OR(B6="",B7="",B8="",B9=""),"",B6*B8-B7*B9)</f>
        <v>2.2612322757472308E-2</v>
      </c>
      <c r="C13" s="2" t="s">
        <v>103</v>
      </c>
    </row>
    <row r="14" spans="1:3">
      <c r="A14" s="2" t="s">
        <v>104</v>
      </c>
      <c r="B14" s="5">
        <f>IF(COUNT(单次交易!AE2:AE201)=0,"",EXP(SUMPRODUCT(IFERROR(LN(1+单次交易!AE2:AE201),0)))-1)</f>
        <v>-2.9438702080334944E-2</v>
      </c>
      <c r="C14" s="2" t="s">
        <v>105</v>
      </c>
    </row>
  </sheetData>
  <phoneticPr fontId="1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28" sqref="C2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107</v>
      </c>
    </row>
    <row r="2" spans="1:3">
      <c r="A2" s="2" t="s">
        <v>108</v>
      </c>
      <c r="B2" s="7">
        <v>100000</v>
      </c>
      <c r="C2" s="2" t="s">
        <v>109</v>
      </c>
    </row>
    <row r="3" spans="1:3">
      <c r="A3" s="2" t="s">
        <v>110</v>
      </c>
      <c r="B3" s="3">
        <f>IF(B2="","",B2+SUM(单次交易!X2:X201))</f>
        <v>436945.00000000012</v>
      </c>
      <c r="C3" s="2" t="s">
        <v>111</v>
      </c>
    </row>
    <row r="4" spans="1:3">
      <c r="A4" s="2" t="s">
        <v>112</v>
      </c>
      <c r="B4" s="4">
        <v>0.02</v>
      </c>
      <c r="C4" s="2" t="s">
        <v>113</v>
      </c>
    </row>
    <row r="5" spans="1:3">
      <c r="A5" s="2" t="s">
        <v>114</v>
      </c>
      <c r="B5" s="3">
        <f>IF(B3="","",B3*B4)</f>
        <v>8738.9000000000033</v>
      </c>
      <c r="C5" s="2" t="s">
        <v>115</v>
      </c>
    </row>
    <row r="6" spans="1:3">
      <c r="A6" s="2" t="s">
        <v>116</v>
      </c>
      <c r="B6" s="4">
        <v>0.06</v>
      </c>
      <c r="C6" s="2" t="s">
        <v>117</v>
      </c>
    </row>
    <row r="7" spans="1:3">
      <c r="A7" s="2" t="s">
        <v>118</v>
      </c>
      <c r="B7" s="3">
        <f>IF(B3="","",B3*B6)</f>
        <v>26216.700000000004</v>
      </c>
      <c r="C7" s="2" t="s">
        <v>119</v>
      </c>
    </row>
    <row r="8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spans="1:3">
      <c r="A9" s="2" t="s">
        <v>122</v>
      </c>
      <c r="B9" s="3">
        <f>IFERROR(SUM(单次交易!AQ2:AQ201),0)</f>
        <v>0</v>
      </c>
      <c r="C9" s="2" t="s">
        <v>123</v>
      </c>
    </row>
    <row r="10" spans="1:3">
      <c r="A10" s="2" t="s">
        <v>124</v>
      </c>
      <c r="B10" s="3">
        <f>IF(OR(B7="",B9=""),"",B7-B9)</f>
        <v>26216.700000000004</v>
      </c>
      <c r="C10" s="2" t="s">
        <v>125</v>
      </c>
    </row>
    <row r="11" spans="1:3">
      <c r="A11" s="2" t="s">
        <v>126</v>
      </c>
      <c r="B11" s="5">
        <f>IF(OR(B2="",B3="",B2&lt;=0),"",B3/B2-1)</f>
        <v>3.3694500000000014</v>
      </c>
      <c r="C11" s="2" t="s">
        <v>127</v>
      </c>
    </row>
    <row r="12" spans="1:3">
      <c r="A12" s="2"/>
      <c r="B12" s="2"/>
      <c r="C12" s="2"/>
    </row>
    <row r="13" spans="1:3">
      <c r="A13" s="2" t="s">
        <v>128</v>
      </c>
      <c r="B13" s="4">
        <v>0.06</v>
      </c>
      <c r="C13" s="2" t="s">
        <v>129</v>
      </c>
    </row>
    <row r="14" spans="1:3">
      <c r="A14" s="2" t="s">
        <v>130</v>
      </c>
      <c r="B14" s="8">
        <f>IFERROR(LOOKUP(2,1/((单次交易!$M$2:$M$201&lt;&gt;"")*(单次交易!$X$2:$X$201&gt;0)),ROW(单次交易!$X$2:$X$201)-1),0)</f>
        <v>75</v>
      </c>
      <c r="C14" s="2" t="s">
        <v>131</v>
      </c>
    </row>
    <row r="15" spans="1:3">
      <c r="A15" s="2" t="s">
        <v>132</v>
      </c>
      <c r="B15" s="8">
        <f>IFERROR(LOOKUP(2,1/(单次交易!$M$2:$M$201&lt;&gt;""),ROW(单次交易!$M$2:$M$201)-1),0)</f>
        <v>81</v>
      </c>
      <c r="C15" s="2" t="s">
        <v>133</v>
      </c>
    </row>
    <row r="16" spans="1:3">
      <c r="A16" s="2" t="s">
        <v>134</v>
      </c>
      <c r="B16" s="9">
        <v>48</v>
      </c>
      <c r="C16" s="2" t="s">
        <v>135</v>
      </c>
    </row>
    <row r="17" spans="1:3" ht="27" customHeight="1">
      <c r="A17" s="2" t="s">
        <v>136</v>
      </c>
      <c r="B17" s="10" t="s">
        <v>137</v>
      </c>
      <c r="C17" s="11" t="s">
        <v>138</v>
      </c>
    </row>
    <row r="18" spans="1:3">
      <c r="A18" s="2" t="s">
        <v>139</v>
      </c>
      <c r="B18" s="8">
        <f>MAX(B14,IF(AND(ISNUMBER(B16),B16&gt;=1,B16&lt;=B15,B17&lt;&gt;""),B16,0))</f>
        <v>75</v>
      </c>
      <c r="C18" s="2" t="s">
        <v>140</v>
      </c>
    </row>
    <row r="19" spans="1:3">
      <c r="A19" s="2" t="s">
        <v>141</v>
      </c>
      <c r="B19" s="3">
        <f>IF(B2="","",IF(B18=0,B2,B2+SUM(单次交易!$X$2:INDEX(单次交易!$X:$X,B18+1))))</f>
        <v>489528.00000000012</v>
      </c>
      <c r="C19" s="2" t="s">
        <v>142</v>
      </c>
    </row>
    <row r="20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spans="1:3">
      <c r="A21" s="2" t="s">
        <v>145</v>
      </c>
      <c r="B21" s="5">
        <f>IF(OR(B19="",B19&lt;=0),"",B20/B19)</f>
        <v>0</v>
      </c>
      <c r="C21" s="2" t="s">
        <v>146</v>
      </c>
    </row>
    <row r="22" spans="1:3">
      <c r="A22" s="2" t="s">
        <v>147</v>
      </c>
      <c r="B22" s="5">
        <f>IF(OR(B13="",B13&lt;=0,B21=""),"",B21/B13)</f>
        <v>0</v>
      </c>
      <c r="C22" s="2" t="s">
        <v>148</v>
      </c>
    </row>
    <row r="23" spans="1:3">
      <c r="A23" s="2" t="s">
        <v>149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phoneticPr fontId="10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78</v>
      </c>
      <c r="B1" s="1" t="s">
        <v>106</v>
      </c>
      <c r="C1" s="1" t="s">
        <v>80</v>
      </c>
    </row>
    <row r="2" spans="1:3">
      <c r="A2" s="2" t="s">
        <v>151</v>
      </c>
      <c r="B2" s="3">
        <f>账户数据!B3</f>
        <v>436945.00000000012</v>
      </c>
      <c r="C2" s="2" t="s">
        <v>152</v>
      </c>
    </row>
    <row r="3" spans="1:3">
      <c r="A3" s="2" t="s">
        <v>153</v>
      </c>
      <c r="B3" s="4">
        <v>0.1</v>
      </c>
      <c r="C3" s="2" t="s">
        <v>154</v>
      </c>
    </row>
    <row r="4" spans="1:3">
      <c r="A4" s="2" t="s">
        <v>155</v>
      </c>
      <c r="B4" s="3">
        <f>IF(OR(B2="",B3=""),"",B2*B3)</f>
        <v>43694.500000000015</v>
      </c>
      <c r="C4" s="2" t="s">
        <v>156</v>
      </c>
    </row>
    <row r="5" spans="1:3">
      <c r="A5" s="2" t="s">
        <v>100</v>
      </c>
      <c r="B5" s="3">
        <f>多次统计数据!B12</f>
        <v>141956.28395061727</v>
      </c>
      <c r="C5" s="2" t="s">
        <v>157</v>
      </c>
    </row>
    <row r="6" spans="1:3">
      <c r="A6" s="2" t="s">
        <v>158</v>
      </c>
      <c r="B6" s="5">
        <f>多次统计数据!B13</f>
        <v>2.2612322757472308E-2</v>
      </c>
      <c r="C6" s="2" t="s">
        <v>159</v>
      </c>
    </row>
    <row r="7" spans="1:3">
      <c r="A7" s="2" t="s">
        <v>160</v>
      </c>
      <c r="B7" s="6">
        <f>IF(OR(B3="",B6="",B3&lt;=0,B6&lt;=0),"暂不可计算",ROUNDUP(LN(1+B3)/LN(1+B6),0))</f>
        <v>5</v>
      </c>
      <c r="C7" s="2" t="s">
        <v>161</v>
      </c>
    </row>
  </sheetData>
  <phoneticPr fontId="10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2026-09-12T07:57:25Z</dcterms:created>
  <dcterms:modified xsi:type="dcterms:W3CDTF">2026-09-17T01:41:30Z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