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 activeTab="1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C1" authorId="0">
      <text>
        <r>
          <rPr>
            <sz val="10"/>
            <rFont val="Noto Sans CJK SC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Noto Sans CJK SC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Noto Sans CJK SC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Noto Sans CJK SC"/>
            <charset val="134"/>
          </rPr>
          <t>开仓风险告警检查账户锁仓状态、交易预期和风险额度。精简版不再依赖持仓跟踪表。</t>
        </r>
      </text>
    </comment>
    <comment ref="H1" authorId="0">
      <text>
        <r>
          <rPr>
            <sz val="10"/>
            <rFont val="Noto Sans CJK SC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Noto Sans CJK SC"/>
            <charset val="134"/>
          </rPr>
          <t>自动等于最终持仓股数：第一批买入股数加上所有已填写的实际加仓股数。无需手工填写。</t>
        </r>
      </text>
    </comment>
    <comment ref="X1" authorId="0">
      <text>
        <r>
          <rPr>
            <sz val="10"/>
            <rFont val="Noto Sans CJK SC"/>
            <charset val="134"/>
          </rPr>
          <t>按实际卖出价、实际加权买入价和最终卖出股数计算，并扣除买入总费用与卖出费用。</t>
        </r>
      </text>
    </comment>
    <comment ref="AE1" authorId="0">
      <text>
        <r>
          <rPr>
            <sz val="10"/>
            <rFont val="Noto Sans CJK SC"/>
            <charset val="134"/>
          </rPr>
          <t>实际盈亏金额</t>
        </r>
        <r>
          <rPr>
            <sz val="10"/>
            <rFont val="Arial"/>
            <charset val="134"/>
          </rPr>
          <t>÷</t>
        </r>
        <r>
          <rPr>
            <sz val="10"/>
            <rFont val="Noto Sans CJK SC"/>
            <charset val="134"/>
          </rPr>
          <t>买入时账户金额快照；用于账户口径统计与逐笔复利。</t>
        </r>
      </text>
    </comment>
    <comment ref="AG1" authorId="0">
      <text>
        <r>
          <rPr>
            <sz val="10"/>
            <rFont val="Noto Sans CJK SC"/>
            <charset val="134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0"/>
            <rFont val="Noto Sans CJK SC"/>
            <charset val="134"/>
          </rPr>
          <t>需要第二批时先填价格，再填股数；股数录入时会检查锁仓和风险上限。</t>
        </r>
      </text>
    </comment>
    <comment ref="AM1" authorId="0">
      <text>
        <r>
          <rPr>
            <sz val="10"/>
            <rFont val="Noto Sans CJK SC"/>
            <charset val="134"/>
          </rPr>
          <t>第三批必须在第二批完整后填写，同样采用先价格、后股数。</t>
        </r>
      </text>
    </comment>
    <comment ref="AR1" authorId="0">
      <text>
        <r>
          <rPr>
            <sz val="10"/>
            <rFont val="Noto Sans CJK SC"/>
            <charset val="134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E1" authorId="0">
      <text>
        <r>
          <rPr>
            <sz val="10"/>
            <rFont val="Noto Sans CJK SC"/>
            <charset val="134"/>
          </rPr>
          <t>每次加仓都填写新的止损价。该止损价用于计算底仓在止损位已经锁定的利润。</t>
        </r>
      </text>
    </comment>
    <comment ref="F1" authorId="0">
      <text>
        <r>
          <rPr>
            <sz val="10"/>
            <rFont val="Noto Sans CJK SC"/>
            <charset val="134"/>
          </rPr>
          <t>本次愿意承担的最大净亏损金额。按照金字塔原则，应随加仓次数逐次不增加。</t>
        </r>
      </text>
    </comment>
    <comment ref="G1" authorId="0">
      <text>
        <r>
          <rPr>
            <sz val="10"/>
            <rFont val="Noto Sans CJK SC"/>
            <charset val="134"/>
          </rPr>
          <t>成交后填写实际股数，可以少于建议股数。此列不会再因旧开仓股数或旧风险额度而拒绝录入。</t>
        </r>
      </text>
    </comment>
    <comment ref="K1" authorId="0">
      <text>
        <r>
          <rPr>
            <sz val="10"/>
            <rFont val="Noto Sans CJK SC"/>
            <charset val="134"/>
          </rPr>
          <t>公式：</t>
        </r>
        <r>
          <rPr>
            <sz val="10"/>
            <rFont val="Arial"/>
            <charset val="134"/>
          </rPr>
          <t>max(</t>
        </r>
        <r>
          <rPr>
            <sz val="10"/>
            <rFont val="Noto Sans CJK SC"/>
            <charset val="134"/>
          </rPr>
          <t>新止损价</t>
        </r>
        <r>
          <rPr>
            <sz val="10"/>
            <rFont val="Arial"/>
            <charset val="134"/>
          </rPr>
          <t>×</t>
        </r>
        <r>
          <rPr>
            <sz val="10"/>
            <rFont val="Noto Sans CJK SC"/>
            <charset val="134"/>
          </rPr>
          <t>加仓前股数－加仓前持仓成本</t>
        </r>
        <r>
          <rPr>
            <sz val="10"/>
            <rFont val="Arial"/>
            <charset val="134"/>
          </rPr>
          <t>, 0)</t>
        </r>
        <r>
          <rPr>
            <sz val="10"/>
            <rFont val="Noto Sans CJK SC"/>
            <charset val="134"/>
          </rPr>
          <t>。锁定利润可抵扣新仓风险。</t>
        </r>
      </text>
    </comment>
    <comment ref="N1" authorId="0">
      <text>
        <r>
          <rPr>
            <sz val="10"/>
            <rFont val="Noto Sans CJK SC"/>
            <charset val="134"/>
          </rPr>
          <t>建议股数</t>
        </r>
        <r>
          <rPr>
            <sz val="10"/>
            <rFont val="Arial"/>
            <charset val="134"/>
          </rPr>
          <t>=min(</t>
        </r>
        <r>
          <rPr>
            <sz val="10"/>
            <rFont val="Noto Sans CJK SC"/>
            <charset val="134"/>
          </rPr>
          <t>风险允许股数</t>
        </r>
        <r>
          <rPr>
            <sz val="10"/>
            <rFont val="Arial"/>
            <charset val="134"/>
          </rPr>
          <t xml:space="preserve">, </t>
        </r>
        <r>
          <rPr>
            <sz val="10"/>
            <rFont val="Noto Sans CJK SC"/>
            <charset val="134"/>
          </rPr>
          <t>金字塔上限股数</t>
        </r>
        <r>
          <rPr>
            <sz val="10"/>
            <rFont val="Arial"/>
            <charset val="134"/>
          </rPr>
          <t>)</t>
        </r>
        <r>
          <rPr>
            <sz val="10"/>
            <rFont val="Noto Sans CJK SC"/>
            <charset val="134"/>
          </rPr>
          <t>，向下取整到</t>
        </r>
        <r>
          <rPr>
            <sz val="10"/>
            <rFont val="Arial"/>
            <charset val="134"/>
          </rPr>
          <t>100</t>
        </r>
        <r>
          <rPr>
            <sz val="10"/>
            <rFont val="Noto Sans CJK SC"/>
            <charset val="134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<sst xmlns="http://schemas.openxmlformats.org/spreadsheetml/2006/main" count="352" uniqueCount="162">
  <si>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</si>
  <si>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</si>
  <si>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</si>
  <si>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</si>
  <si>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</si>
  <si>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</si>
  <si>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</si>
  <si>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</si>
  <si>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</si>
  <si>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</si>
  <si>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</si>
  <si>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</si>
  <si>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</si>
  <si>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</si>
  <si>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</si>
  <si>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</si>
  <si>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</si>
  <si>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</si>
  <si>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</si>
  <si>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</si>
  <si>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</si>
  <si>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</si>
  <si>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</si>
  <si>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</si>
  <si>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</si>
  <si>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</si>
  <si>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</si>
  <si>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</si>
  <si>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</si>
  <si>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</si>
  <si>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</si>
  <si>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</si>
  <si>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</si>
  <si>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</si>
  <si>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</si>
  <si>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</si>
  <si>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</si>
  <si>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</si>
  <si>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</si>
  <si>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</si>
  <si>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</si>
  <si>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</si>
  <si>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</si>
  <si>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</si>
  <si>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剑桥科技</t>
  </si>
  <si>
    <t>突破冲新高</t>
  </si>
  <si>
    <t>4～10个交易日</t>
  </si>
  <si>
    <t>交易量没有下跌有支持</t>
  </si>
  <si>
    <t>短期博反弹</t>
  </si>
  <si>
    <t>下跌不当，还是上升</t>
  </si>
  <si>
    <t>趋势波段</t>
  </si>
  <si>
    <t>21～60个交易日</t>
  </si>
  <si>
    <t>还需继续上升也是有风险，小仓尝试</t>
  </si>
  <si>
    <t>弹不上去就要走人</t>
  </si>
  <si>
    <t>1～3个交易日</t>
  </si>
  <si>
    <t>60个交易日以上</t>
  </si>
  <si>
    <t>开始反弹了</t>
  </si>
  <si>
    <t>突破创新高</t>
  </si>
  <si>
    <t>11～20个交易日</t>
  </si>
  <si>
    <t>突破箱体</t>
  </si>
  <si>
    <t>特变电工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</si>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</sst>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&quot;-¥&quot;#,##0.00"/>
    <numFmt numFmtId="177" formatCode="yyyy\-mm\-dd"/>
  </numFmts>
  <fonts count="3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11"/>
      <color rgb="FF008000"/>
      <name val="宋体"/>
      <charset val="134"/>
    </font>
    <font>
      <sz val="11"/>
      <color rgb="FFFF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0"/>
      <name val="Noto Sans CJK SC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43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76" fontId="6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176" fontId="5" fillId="4" borderId="1" xfId="0" applyNumberFormat="1" applyFont="1" applyFill="1" applyBorder="1" applyAlignment="1">
      <alignment vertical="top" wrapText="1"/>
    </xf>
    <xf numFmtId="10" fontId="5" fillId="4" borderId="1" xfId="0" applyNumberFormat="1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77" fontId="5" fillId="4" borderId="1" xfId="0" applyNumberFormat="1" applyFont="1" applyFill="1" applyBorder="1" applyAlignment="1">
      <alignment vertical="top" wrapText="1"/>
    </xf>
    <xf numFmtId="10" fontId="5" fillId="3" borderId="1" xfId="0" applyNumberFormat="1" applyFont="1" applyFill="1" applyBorder="1" applyAlignment="1">
      <alignment vertical="top" wrapText="1"/>
    </xf>
    <xf numFmtId="2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radeRecords" displayName="TradeRecords" ref="A1:AR201" totalsRowShown="0">
  <autoFilter xmlns:etc="http://www.wps.cn/officeDocument/2017/etCustomData" ref="A1:AR201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/>
    <tableColumn id="7" name="开仓风险告警"/>
    <tableColumn id="8" name="第一批买入股数"/>
    <tableColumn id="9" name="首次买入日期"/>
    <tableColumn id="10" name="期望卖出价"/>
    <tableColumn id="11" name="实际卖出价（填写）"/>
    <tableColumn id="12" name="最终卖出股数（自动）"/>
    <tableColumn id="13" name="卖出日期（填写）"/>
    <tableColumn id="14" name="止损价"/>
    <tableColumn id="15" name="买入总费用"/>
    <tableColumn id="16" name="卖出费用（填写）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加权后实际盈亏"/>
    <tableColumn id="25" name="单笔仓位收益率"/>
    <tableColumn id="26" name="账户收益率与平均盈利率差值"/>
    <tableColumn id="27" name="持有天数"/>
    <tableColumn id="28" name="复利容许平均亏损上限"/>
    <tableColumn id="29" name="复利风险判断"/>
    <tableColumn id="30" name="交易打分评价"/>
    <tableColumn id="31" name="实际账户收益率"/>
    <tableColumn id="32" name="列1"/>
    <tableColumn id="33" name="交易预期类型"/>
    <tableColumn id="34" name="预期持有周期"/>
    <tableColumn id="35" name="预期选择理由"/>
    <tableColumn id="36" name="周期匹配检查"/>
    <tableColumn id="37" name="已执行加仓次数"/>
    <tableColumn id="38" name="加仓总股数"/>
    <tableColumn id="39" name="最近加仓价"/>
    <tableColumn id="40" name="最新加仓止损价"/>
    <tableColumn id="41" name="实际加权买入价"/>
    <tableColumn id="42" name="最终持仓股数"/>
    <tableColumn id="43" name="当前净止损风险"/>
    <tableColumn id="44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" name="AddRecords" displayName="AddRecords" ref="A1:R1001" totalsRowShown="0">
  <autoFilter xmlns:etc="http://www.wps.cn/officeDocument/2017/etCustomData" ref="A1:R1001" etc:filterBottomFollowUsedRange="0"/>
  <tableColumns count="18">
    <tableColumn id="1" name="交易编号"/>
    <tableColumn id="2" name="加仓序号(1-5)"/>
    <tableColumn id="3" name="加仓日期"/>
    <tableColumn id="4" name="加仓价"/>
    <tableColumn id="5" name="新止损价"/>
    <tableColumn id="6" name="本次风险预算金额"/>
    <tableColumn id="7" name="实际加仓股数"/>
    <tableColumn id="8" name="本次买入金额"/>
    <tableColumn id="9" name="加仓前持仓股数"/>
    <tableColumn id="10" name="加仓前持仓成本"/>
    <tableColumn id="11" name="新止损下底仓锁定利润"/>
    <tableColumn id="12" name="风险允许股数"/>
    <tableColumn id="13" name="金字塔上限股数"/>
    <tableColumn id="14" name="建议加仓股数"/>
    <tableColumn id="15" name="加仓后累计股数"/>
    <tableColumn id="16" name="加仓后加权成本"/>
    <tableColumn id="17" name="加仓后止损风险"/>
    <tableColumn id="18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01"/>
  <sheetViews>
    <sheetView zoomScale="115" zoomScaleNormal="115" topLeftCell="A29" workbookViewId="0">
      <pane xSplit="2" topLeftCell="C1" activePane="topRight" state="frozen"/>
      <selection/>
      <selection pane="topRight" activeCell="I54" sqref="I54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ht="42" customHeight="1" spans="1:4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ht="17" spans="1:44">
      <c r="A2" s="21">
        <v>1</v>
      </c>
      <c r="B2" s="10" t="s">
        <v>44</v>
      </c>
      <c r="C2" s="7">
        <v>100000</v>
      </c>
      <c r="D2" s="4">
        <v>0.02</v>
      </c>
      <c r="E2" s="7">
        <v>29.33</v>
      </c>
      <c r="F2" s="6">
        <f t="shared" ref="F2:F33" si="0">IF(OR(C2="",D2="",E2="",N2="",C2&lt;=0,D2&lt;=0,E2&lt;=N2),"",ROUNDDOWN((C2*D2)/(E2-N2)/100,0)*100)</f>
        <v>600</v>
      </c>
      <c r="G2" s="6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1">
        <v>600</v>
      </c>
      <c r="I2" s="22">
        <v>43900</v>
      </c>
      <c r="J2" s="7">
        <v>35</v>
      </c>
      <c r="K2" s="7">
        <v>23.79</v>
      </c>
      <c r="L2" s="6">
        <f t="shared" ref="L2:L33" si="1">IF(AP2="","",AP2)</f>
        <v>600</v>
      </c>
      <c r="M2" s="22">
        <v>43906</v>
      </c>
      <c r="N2" s="7">
        <v>26</v>
      </c>
      <c r="O2" s="7"/>
      <c r="P2" s="7"/>
      <c r="Q2" s="21"/>
      <c r="R2" s="21"/>
      <c r="S2" s="21"/>
      <c r="T2" s="21"/>
      <c r="U2" s="5">
        <f t="shared" ref="U2:U33" si="2">IF(OR(AO2="",J2="",AO2&lt;=0),"",(J2-AO2)/AO2)</f>
        <v>0.193317422434368</v>
      </c>
      <c r="V2" s="5">
        <f t="shared" ref="V2:V33" si="3">IF(OR(AO2="",N2="",AO2&lt;=0),"",(AO2-N2)/AO2)</f>
        <v>0.113535629048755</v>
      </c>
      <c r="W2" s="23">
        <f t="shared" ref="W2:W33" si="4">IF(OR(U2="",V2="",V2&lt;=0),"",U2/V2)</f>
        <v>1.7027027027027</v>
      </c>
      <c r="X2" s="3">
        <f t="shared" ref="X2:X33" si="5">IF(OR(K2="",L2="",AO2="",AP2=""),"",(K2-AO2)*L2-IF(O2="",0,O2)-IF(P2="",0,P2))</f>
        <v>-3324</v>
      </c>
      <c r="Y2" s="5">
        <f t="shared" ref="Y2:Y33" si="6">IF(OR(X2="",AO2="",L2=""),"",IF(AO2*L2+IF(O2="",0,O2)&lt;=0,"",X2/(AO2*L2+IF(O2="",0,O2))))</f>
        <v>-0.188885100579611</v>
      </c>
      <c r="Z2" s="5">
        <f>IF(OR(AE2="",多次统计数据!$B$8=""),"",AE2-多次统计数据!$B$8)</f>
        <v>-0.142363248077043</v>
      </c>
      <c r="AA2" s="8">
        <f t="shared" ref="AA2:AA33" si="7">IF(OR(I2="",M2="",M2&lt;I2),"",M2-I2)</f>
        <v>6</v>
      </c>
      <c r="AB2" s="5">
        <f>IF(OR(A2="",多次统计数据!$B$8="",多次统计数据!$B$6&lt;=0,多次统计数据!$B$6&gt;=1),"",1-POWER(1+多次统计数据!$B$8,-多次统计数据!$B$6/(1-多次统计数据!$B$6)))</f>
        <v>0.0602504749804965</v>
      </c>
      <c r="AC2" s="6" t="str">
        <f>IF(OR(AB2="",多次统计数据!$B$9=""),"",IF(多次统计数据!$B$9&lt;AB2,"低于上限","达到或超过上限"))</f>
        <v>低于上限</v>
      </c>
      <c r="AD2" s="21"/>
      <c r="AE2" s="5">
        <f t="shared" ref="AE2:AE33" si="8">IF(OR(X2="",C2="",C2&lt;=0),"",X2/C2)</f>
        <v>-0.03324</v>
      </c>
      <c r="AG2" s="21" t="s">
        <v>45</v>
      </c>
      <c r="AH2" s="21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4">
        <f>IF(A2="","",COUNTIFS(加仓管理!$A$2:$A$1001,A2,加仓管理!$G$2:$G$1001,"&gt;0"))</f>
        <v>0</v>
      </c>
      <c r="AL2" s="24">
        <f>IF(A2="","",SUMIFS(加仓管理!$G$2:$G$1001,加仓管理!$A$2:$A$1001,A2))</f>
        <v>0</v>
      </c>
      <c r="AM2" s="25" t="str">
        <f>IF(AK2=0,"",IFERROR(LOOKUP(2,1/((加仓管理!$A$2:$A$1001=A2)*(加仓管理!$G$2:$G$1001&gt;0)),加仓管理!$D$2:$D$1001),""))</f>
        <v/>
      </c>
      <c r="AN2" s="25" t="str">
        <f>IF(AK2=0,"",IFERROR(LOOKUP(2,1/((加仓管理!$A$2:$A$1001=A2)*(加仓管理!$G$2:$G$1001&gt;0)),加仓管理!$E$2:$E$1001),""))</f>
        <v/>
      </c>
      <c r="AO2" s="25">
        <f>IF(OR(A2="",H2="",H2&lt;=0),"",(E2*H2+SUMIFS(加仓管理!$H$2:$H$1001,加仓管理!$A$2:$A$1001,A2))/AP2)</f>
        <v>29.33</v>
      </c>
      <c r="AP2" s="24">
        <f t="shared" ref="AP2:AP33" si="10">IF(OR(A2="",H2="",H2&lt;=0),"",H2+AL2)</f>
        <v>600</v>
      </c>
      <c r="AQ2" s="25">
        <f>IF(A2="","",IF(M2&lt;&gt;"",0,IF(OR(H2="",N2=""),"",MAX((E2*H2+SUMIFS(加仓管理!$H$2:$H$1001,加仓管理!$A$2:$A$1001,A2))-MAX(N2,AN2)*AP2,0))))</f>
        <v>0</v>
      </c>
      <c r="AR2" s="25" t="str">
        <f ca="1"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ht="17" spans="1:44">
      <c r="A3" s="21">
        <v>2</v>
      </c>
      <c r="B3" s="10" t="s">
        <v>44</v>
      </c>
      <c r="C3" s="3">
        <v>96679</v>
      </c>
      <c r="D3" s="4">
        <v>0.02</v>
      </c>
      <c r="E3" s="7">
        <v>23.05</v>
      </c>
      <c r="F3" s="6">
        <f t="shared" si="0"/>
        <v>1200</v>
      </c>
      <c r="G3" s="6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1">
        <v>1200</v>
      </c>
      <c r="I3" s="22">
        <v>43914</v>
      </c>
      <c r="J3" s="7">
        <v>26</v>
      </c>
      <c r="K3" s="7">
        <v>27.71</v>
      </c>
      <c r="L3" s="6">
        <f t="shared" si="1"/>
        <v>2600</v>
      </c>
      <c r="M3" s="22">
        <v>43972</v>
      </c>
      <c r="N3" s="7">
        <v>21.5</v>
      </c>
      <c r="O3" s="7"/>
      <c r="P3" s="7"/>
      <c r="Q3" s="21"/>
      <c r="R3" s="21"/>
      <c r="S3" s="21"/>
      <c r="T3" s="21"/>
      <c r="U3" s="5">
        <f t="shared" si="2"/>
        <v>-0.0197215777262182</v>
      </c>
      <c r="V3" s="5">
        <f t="shared" si="3"/>
        <v>0.189385150812065</v>
      </c>
      <c r="W3" s="23">
        <f t="shared" si="4"/>
        <v>-0.104134762633997</v>
      </c>
      <c r="X3" s="3">
        <f t="shared" si="5"/>
        <v>3086</v>
      </c>
      <c r="Y3" s="5">
        <f t="shared" si="6"/>
        <v>0.0447505800464037</v>
      </c>
      <c r="Z3" s="5">
        <f>IF(OR(AE3="",多次统计数据!$B$8=""),"",AE3-多次统计数据!$B$8)</f>
        <v>-0.0772031827060727</v>
      </c>
      <c r="AA3" s="8">
        <f t="shared" si="7"/>
        <v>58</v>
      </c>
      <c r="AB3" s="5">
        <f>IF(OR(A3="",多次统计数据!$B$8="",多次统计数据!$B$6&lt;=0,多次统计数据!$B$6&gt;=1),"",1-POWER(1+多次统计数据!$B$8,-多次统计数据!$B$6/(1-多次统计数据!$B$6)))</f>
        <v>0.0602504749804965</v>
      </c>
      <c r="AC3" s="6" t="str">
        <f>IF(OR(AB3="",多次统计数据!$B$9=""),"",IF(多次统计数据!$B$9&lt;AB3,"低于上限","达到或超过上限"))</f>
        <v>低于上限</v>
      </c>
      <c r="AD3" s="21"/>
      <c r="AE3" s="5">
        <f t="shared" si="8"/>
        <v>0.0319200653709699</v>
      </c>
      <c r="AG3" s="21" t="s">
        <v>48</v>
      </c>
      <c r="AH3" s="21" t="s">
        <v>46</v>
      </c>
      <c r="AI3" s="10" t="s">
        <v>49</v>
      </c>
      <c r="AJ3" s="6" t="str">
        <f t="shared" si="9"/>
        <v>匹配</v>
      </c>
      <c r="AK3" s="24">
        <f>IF(A3="","",COUNTIFS(加仓管理!$A$2:$A$1001,A3,加仓管理!$G$2:$G$1001,"&gt;0"))</f>
        <v>2</v>
      </c>
      <c r="AL3" s="24">
        <f>IF(A3="","",SUMIFS(加仓管理!$G$2:$G$1001,加仓管理!$A$2:$A$1001,A3))</f>
        <v>1400</v>
      </c>
      <c r="AM3" s="25">
        <f>IF(AK3=0,"",IFERROR(LOOKUP(2,1/((加仓管理!$A$2:$A$1001=A3)*(加仓管理!$G$2:$G$1001&gt;0)),加仓管理!$D$2:$D$1001),""))</f>
        <v>31.05</v>
      </c>
      <c r="AN3" s="25">
        <f>IF(AK3=0,"",IFERROR(LOOKUP(2,1/((加仓管理!$A$2:$A$1001=A3)*(加仓管理!$G$2:$G$1001&gt;0)),加仓管理!$E$2:$E$1001),""))</f>
        <v>29</v>
      </c>
      <c r="AO3" s="25">
        <f>IF(OR(A3="",H3="",H3&lt;=0),"",(E3*H3+SUMIFS(加仓管理!$H$2:$H$1001,加仓管理!$A$2:$A$1001,A3))/AP3)</f>
        <v>26.5230769230769</v>
      </c>
      <c r="AP3" s="24">
        <f t="shared" si="10"/>
        <v>2600</v>
      </c>
      <c r="AQ3" s="25">
        <f>IF(A3="","",IF(M3&lt;&gt;"",0,IF(OR(H3="",N3=""),"",MAX((E3*H3+SUMIFS(加仓管理!$H$2:$H$1001,加仓管理!$A$2:$A$1001,A3))-MAX(N3,AN3)*AP3,0))))</f>
        <v>0</v>
      </c>
      <c r="AR3" s="25" t="str">
        <f ca="1"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通过</v>
      </c>
    </row>
    <row r="4" ht="17" spans="1:44">
      <c r="A4" s="21">
        <v>3</v>
      </c>
      <c r="B4" s="10" t="s">
        <v>44</v>
      </c>
      <c r="C4" s="7">
        <v>99762</v>
      </c>
      <c r="D4" s="4">
        <v>0.02</v>
      </c>
      <c r="E4" s="7">
        <v>28.81</v>
      </c>
      <c r="F4" s="6">
        <f t="shared" si="0"/>
        <v>700</v>
      </c>
      <c r="G4" s="6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1">
        <v>500</v>
      </c>
      <c r="I4" s="22">
        <v>43984</v>
      </c>
      <c r="J4" s="7">
        <v>35</v>
      </c>
      <c r="K4" s="7">
        <v>26.81</v>
      </c>
      <c r="L4" s="6">
        <f t="shared" si="1"/>
        <v>500</v>
      </c>
      <c r="M4" s="22">
        <v>43992</v>
      </c>
      <c r="N4" s="7">
        <v>26</v>
      </c>
      <c r="O4" s="7"/>
      <c r="P4" s="7"/>
      <c r="Q4" s="21"/>
      <c r="R4" s="21"/>
      <c r="S4" s="21"/>
      <c r="T4" s="21"/>
      <c r="U4" s="5">
        <f t="shared" si="2"/>
        <v>0.214855952794169</v>
      </c>
      <c r="V4" s="5">
        <f t="shared" si="3"/>
        <v>0.0975355779243318</v>
      </c>
      <c r="W4" s="23">
        <f t="shared" si="4"/>
        <v>2.20284697508897</v>
      </c>
      <c r="X4" s="3">
        <f t="shared" si="5"/>
        <v>-1000</v>
      </c>
      <c r="Y4" s="5">
        <f t="shared" si="6"/>
        <v>-0.0694203401596668</v>
      </c>
      <c r="Z4" s="5">
        <f>IF(OR(AE4="",多次统计数据!$B$8=""),"",AE4-多次统计数据!$B$8)</f>
        <v>-0.119147104856177</v>
      </c>
      <c r="AA4" s="8">
        <f t="shared" si="7"/>
        <v>8</v>
      </c>
      <c r="AB4" s="5">
        <f>IF(OR(A4="",多次统计数据!$B$8="",多次统计数据!$B$6&lt;=0,多次统计数据!$B$6&gt;=1),"",1-POWER(1+多次统计数据!$B$8,-多次统计数据!$B$6/(1-多次统计数据!$B$6)))</f>
        <v>0.0602504749804965</v>
      </c>
      <c r="AC4" s="6" t="str">
        <f>IF(OR(AB4="",多次统计数据!$B$9=""),"",IF(多次统计数据!$B$9&lt;AB4,"低于上限","达到或超过上限"))</f>
        <v>低于上限</v>
      </c>
      <c r="AD4" s="21"/>
      <c r="AE4" s="5">
        <f t="shared" si="8"/>
        <v>-0.0100238567791343</v>
      </c>
      <c r="AG4" s="21" t="s">
        <v>50</v>
      </c>
      <c r="AH4" s="21" t="s">
        <v>51</v>
      </c>
      <c r="AI4" s="10" t="s">
        <v>52</v>
      </c>
      <c r="AJ4" s="6" t="str">
        <f t="shared" si="9"/>
        <v>匹配</v>
      </c>
      <c r="AK4" s="24">
        <f>IF(A4="","",COUNTIFS(加仓管理!$A$2:$A$1001,A4,加仓管理!$G$2:$G$1001,"&gt;0"))</f>
        <v>0</v>
      </c>
      <c r="AL4" s="24">
        <f>IF(A4="","",SUMIFS(加仓管理!$G$2:$G$1001,加仓管理!$A$2:$A$1001,A4))</f>
        <v>0</v>
      </c>
      <c r="AM4" s="25" t="str">
        <f>IF(AK4=0,"",IFERROR(LOOKUP(2,1/((加仓管理!$A$2:$A$1001=A4)*(加仓管理!$G$2:$G$1001&gt;0)),加仓管理!$D$2:$D$1001),""))</f>
        <v/>
      </c>
      <c r="AN4" s="25" t="str">
        <f>IF(AK4=0,"",IFERROR(LOOKUP(2,1/((加仓管理!$A$2:$A$1001=A4)*(加仓管理!$G$2:$G$1001&gt;0)),加仓管理!$E$2:$E$1001),""))</f>
        <v/>
      </c>
      <c r="AO4" s="25">
        <f>IF(OR(A4="",H4="",H4&lt;=0),"",(E4*H4+SUMIFS(加仓管理!$H$2:$H$1001,加仓管理!$A$2:$A$1001,A4))/AP4)</f>
        <v>28.81</v>
      </c>
      <c r="AP4" s="24">
        <f t="shared" si="10"/>
        <v>500</v>
      </c>
      <c r="AQ4" s="25">
        <f>IF(A4="","",IF(M4&lt;&gt;"",0,IF(OR(H4="",N4=""),"",MAX((E4*H4+SUMIFS(加仓管理!$H$2:$H$1001,加仓管理!$A$2:$A$1001,A4))-MAX(N4,AN4)*AP4,0))))</f>
        <v>0</v>
      </c>
      <c r="AR4" s="25" t="str">
        <f ca="1"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ht="17" spans="1:44">
      <c r="A5" s="21">
        <v>4</v>
      </c>
      <c r="B5" s="10" t="s">
        <v>44</v>
      </c>
      <c r="C5" s="7">
        <v>98762</v>
      </c>
      <c r="D5" s="4">
        <v>0.02</v>
      </c>
      <c r="E5" s="7">
        <v>27.68</v>
      </c>
      <c r="F5" s="6">
        <f t="shared" si="0"/>
        <v>1100</v>
      </c>
      <c r="G5" s="6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1">
        <v>500</v>
      </c>
      <c r="I5" s="22">
        <v>43994</v>
      </c>
      <c r="J5" s="7">
        <v>32</v>
      </c>
      <c r="K5" s="7">
        <v>28.83</v>
      </c>
      <c r="L5" s="6">
        <f t="shared" si="1"/>
        <v>500</v>
      </c>
      <c r="M5" s="22">
        <v>44027</v>
      </c>
      <c r="N5" s="7">
        <v>26</v>
      </c>
      <c r="O5" s="7"/>
      <c r="P5" s="7"/>
      <c r="Q5" s="21"/>
      <c r="R5" s="21"/>
      <c r="S5" s="21"/>
      <c r="T5" s="21"/>
      <c r="U5" s="5">
        <f t="shared" si="2"/>
        <v>0.15606936416185</v>
      </c>
      <c r="V5" s="5">
        <f t="shared" si="3"/>
        <v>0.0606936416184971</v>
      </c>
      <c r="W5" s="23">
        <f t="shared" si="4"/>
        <v>2.57142857142857</v>
      </c>
      <c r="X5" s="3">
        <f t="shared" si="5"/>
        <v>574.999999999999</v>
      </c>
      <c r="Y5" s="5">
        <f t="shared" si="6"/>
        <v>0.0415462427745664</v>
      </c>
      <c r="Z5" s="5">
        <f>IF(OR(AE5="",多次统计数据!$B$8=""),"",AE5-多次统计数据!$B$8)</f>
        <v>-0.103301170759856</v>
      </c>
      <c r="AA5" s="8">
        <f t="shared" si="7"/>
        <v>33</v>
      </c>
      <c r="AB5" s="5">
        <f>IF(OR(A5="",多次统计数据!$B$8="",多次统计数据!$B$6&lt;=0,多次统计数据!$B$6&gt;=1),"",1-POWER(1+多次统计数据!$B$8,-多次统计数据!$B$6/(1-多次统计数据!$B$6)))</f>
        <v>0.0602504749804965</v>
      </c>
      <c r="AC5" s="6" t="str">
        <f>IF(OR(AB5="",多次统计数据!$B$9=""),"",IF(多次统计数据!$B$9&lt;AB5,"低于上限","达到或超过上限"))</f>
        <v>低于上限</v>
      </c>
      <c r="AD5" s="21"/>
      <c r="AE5" s="5">
        <f t="shared" si="8"/>
        <v>0.00582207731718677</v>
      </c>
      <c r="AG5" s="21" t="s">
        <v>50</v>
      </c>
      <c r="AH5" s="21" t="s">
        <v>51</v>
      </c>
      <c r="AI5" s="10" t="s">
        <v>52</v>
      </c>
      <c r="AJ5" s="6" t="str">
        <f t="shared" si="9"/>
        <v>匹配</v>
      </c>
      <c r="AK5" s="24">
        <f>IF(A5="","",COUNTIFS(加仓管理!$A$2:$A$1001,A5,加仓管理!$G$2:$G$1001,"&gt;0"))</f>
        <v>0</v>
      </c>
      <c r="AL5" s="24">
        <f>IF(A5="","",SUMIFS(加仓管理!$G$2:$G$1001,加仓管理!$A$2:$A$1001,A5))</f>
        <v>0</v>
      </c>
      <c r="AM5" s="25" t="str">
        <f>IF(AK5=0,"",IFERROR(LOOKUP(2,1/((加仓管理!$A$2:$A$1001=A5)*(加仓管理!$G$2:$G$1001&gt;0)),加仓管理!$D$2:$D$1001),""))</f>
        <v/>
      </c>
      <c r="AN5" s="25" t="str">
        <f>IF(AK5=0,"",IFERROR(LOOKUP(2,1/((加仓管理!$A$2:$A$1001=A5)*(加仓管理!$G$2:$G$1001&gt;0)),加仓管理!$E$2:$E$1001),""))</f>
        <v/>
      </c>
      <c r="AO5" s="25">
        <f>IF(OR(A5="",H5="",H5&lt;=0),"",(E5*H5+SUMIFS(加仓管理!$H$2:$H$1001,加仓管理!$A$2:$A$1001,A5))/AP5)</f>
        <v>27.68</v>
      </c>
      <c r="AP5" s="24">
        <f t="shared" si="10"/>
        <v>500</v>
      </c>
      <c r="AQ5" s="25">
        <f>IF(A5="","",IF(M5&lt;&gt;"",0,IF(OR(H5="",N5=""),"",MAX((E5*H5+SUMIFS(加仓管理!$H$2:$H$1001,加仓管理!$A$2:$A$1001,A5))-MAX(N5,AN5)*AP5,0))))</f>
        <v>0</v>
      </c>
      <c r="AR5" s="25" t="str">
        <f ca="1"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ht="17" spans="1:44">
      <c r="A6" s="21">
        <v>5</v>
      </c>
      <c r="B6" s="10" t="s">
        <v>44</v>
      </c>
      <c r="C6" s="7">
        <v>99337</v>
      </c>
      <c r="D6" s="4">
        <v>0.02</v>
      </c>
      <c r="E6" s="7">
        <v>28.08</v>
      </c>
      <c r="F6" s="6">
        <f t="shared" si="0"/>
        <v>900</v>
      </c>
      <c r="G6" s="6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1">
        <v>900</v>
      </c>
      <c r="I6" s="22">
        <v>44032</v>
      </c>
      <c r="J6" s="7">
        <v>26.24</v>
      </c>
      <c r="K6" s="7">
        <v>26.24</v>
      </c>
      <c r="L6" s="6">
        <f t="shared" si="1"/>
        <v>900</v>
      </c>
      <c r="M6" s="22">
        <v>44036</v>
      </c>
      <c r="N6" s="7">
        <v>26</v>
      </c>
      <c r="O6" s="7"/>
      <c r="P6" s="7"/>
      <c r="Q6" s="21"/>
      <c r="R6" s="21"/>
      <c r="S6" s="21"/>
      <c r="T6" s="21"/>
      <c r="U6" s="5">
        <f t="shared" si="2"/>
        <v>-0.0655270655270655</v>
      </c>
      <c r="V6" s="5">
        <f t="shared" si="3"/>
        <v>0.074074074074074</v>
      </c>
      <c r="W6" s="23">
        <f t="shared" si="4"/>
        <v>-0.884615384615385</v>
      </c>
      <c r="X6" s="3">
        <f t="shared" si="5"/>
        <v>-1656</v>
      </c>
      <c r="Y6" s="5">
        <f t="shared" si="6"/>
        <v>-0.0655270655270655</v>
      </c>
      <c r="Z6" s="5">
        <f>IF(OR(AE6="",多次统计数据!$B$8=""),"",AE6-多次统计数据!$B$8)</f>
        <v>-0.125793773661669</v>
      </c>
      <c r="AA6" s="8">
        <f t="shared" si="7"/>
        <v>4</v>
      </c>
      <c r="AB6" s="5">
        <f>IF(OR(A6="",多次统计数据!$B$8="",多次统计数据!$B$6&lt;=0,多次统计数据!$B$6&gt;=1),"",1-POWER(1+多次统计数据!$B$8,-多次统计数据!$B$6/(1-多次统计数据!$B$6)))</f>
        <v>0.0602504749804965</v>
      </c>
      <c r="AC6" s="6" t="str">
        <f>IF(OR(AB6="",多次统计数据!$B$9=""),"",IF(多次统计数据!$B$9&lt;AB6,"低于上限","达到或超过上限"))</f>
        <v>低于上限</v>
      </c>
      <c r="AD6" s="21"/>
      <c r="AE6" s="5">
        <f t="shared" si="8"/>
        <v>-0.0166705255846261</v>
      </c>
      <c r="AG6" s="21" t="s">
        <v>48</v>
      </c>
      <c r="AH6" s="21" t="s">
        <v>46</v>
      </c>
      <c r="AI6" s="10" t="s">
        <v>53</v>
      </c>
      <c r="AJ6" s="6" t="str">
        <f t="shared" si="9"/>
        <v>匹配</v>
      </c>
      <c r="AK6" s="24">
        <f>IF(A6="","",COUNTIFS(加仓管理!$A$2:$A$1001,A6,加仓管理!$G$2:$G$1001,"&gt;0"))</f>
        <v>0</v>
      </c>
      <c r="AL6" s="24">
        <f>IF(A6="","",SUMIFS(加仓管理!$G$2:$G$1001,加仓管理!$A$2:$A$1001,A6))</f>
        <v>0</v>
      </c>
      <c r="AM6" s="25" t="str">
        <f>IF(AK6=0,"",IFERROR(LOOKUP(2,1/((加仓管理!$A$2:$A$1001=A6)*(加仓管理!$G$2:$G$1001&gt;0)),加仓管理!$D$2:$D$1001),""))</f>
        <v/>
      </c>
      <c r="AN6" s="25" t="str">
        <f>IF(AK6=0,"",IFERROR(LOOKUP(2,1/((加仓管理!$A$2:$A$1001=A6)*(加仓管理!$G$2:$G$1001&gt;0)),加仓管理!$E$2:$E$1001),""))</f>
        <v/>
      </c>
      <c r="AO6" s="25">
        <f>IF(OR(A6="",H6="",H6&lt;=0),"",(E6*H6+SUMIFS(加仓管理!$H$2:$H$1001,加仓管理!$A$2:$A$1001,A6))/AP6)</f>
        <v>28.08</v>
      </c>
      <c r="AP6" s="24">
        <f t="shared" si="10"/>
        <v>900</v>
      </c>
      <c r="AQ6" s="25">
        <f>IF(A6="","",IF(M6&lt;&gt;"",0,IF(OR(H6="",N6=""),"",MAX((E6*H6+SUMIFS(加仓管理!$H$2:$H$1001,加仓管理!$A$2:$A$1001,A6))-MAX(N6,AN6)*AP6,0))))</f>
        <v>0</v>
      </c>
      <c r="AR6" s="25" t="str">
        <f ca="1"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ht="17" spans="1:44">
      <c r="A7" s="21">
        <v>6</v>
      </c>
      <c r="B7" s="10" t="s">
        <v>44</v>
      </c>
      <c r="C7" s="7">
        <v>97681</v>
      </c>
      <c r="D7" s="4">
        <v>0.02</v>
      </c>
      <c r="E7" s="7">
        <v>26.96</v>
      </c>
      <c r="F7" s="6">
        <f t="shared" si="0"/>
        <v>900</v>
      </c>
      <c r="G7" s="6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1">
        <v>900</v>
      </c>
      <c r="I7" s="22">
        <v>44046</v>
      </c>
      <c r="J7" s="7">
        <v>30</v>
      </c>
      <c r="K7" s="7">
        <v>26.48</v>
      </c>
      <c r="L7" s="6">
        <f t="shared" si="1"/>
        <v>900</v>
      </c>
      <c r="M7" s="22">
        <v>44053</v>
      </c>
      <c r="N7" s="7">
        <v>25</v>
      </c>
      <c r="O7" s="7"/>
      <c r="P7" s="7"/>
      <c r="Q7" s="21"/>
      <c r="R7" s="21"/>
      <c r="S7" s="21"/>
      <c r="T7" s="21"/>
      <c r="U7" s="5">
        <f t="shared" si="2"/>
        <v>0.112759643916914</v>
      </c>
      <c r="V7" s="5">
        <f t="shared" si="3"/>
        <v>0.0727002967359051</v>
      </c>
      <c r="W7" s="23">
        <f t="shared" si="4"/>
        <v>1.55102040816326</v>
      </c>
      <c r="X7" s="3">
        <f t="shared" si="5"/>
        <v>-432</v>
      </c>
      <c r="Y7" s="5">
        <f t="shared" si="6"/>
        <v>-0.0178041543026706</v>
      </c>
      <c r="Z7" s="5">
        <f>IF(OR(AE7="",多次统计数据!$B$8=""),"",AE7-多次统计数据!$B$8)</f>
        <v>-0.113545807223652</v>
      </c>
      <c r="AA7" s="8">
        <f t="shared" si="7"/>
        <v>7</v>
      </c>
      <c r="AB7" s="5">
        <f>IF(OR(A7="",多次统计数据!$B$8="",多次统计数据!$B$6&lt;=0,多次统计数据!$B$6&gt;=1),"",1-POWER(1+多次统计数据!$B$8,-多次统计数据!$B$6/(1-多次统计数据!$B$6)))</f>
        <v>0.0602504749804965</v>
      </c>
      <c r="AC7" s="6" t="str">
        <f>IF(OR(AB7="",多次统计数据!$B$9=""),"",IF(多次统计数据!$B$9&lt;AB7,"低于上限","达到或超过上限"))</f>
        <v>低于上限</v>
      </c>
      <c r="AD7" s="21"/>
      <c r="AE7" s="5">
        <f t="shared" si="8"/>
        <v>-0.00442255914660989</v>
      </c>
      <c r="AG7" s="21" t="s">
        <v>48</v>
      </c>
      <c r="AH7" s="21" t="s">
        <v>46</v>
      </c>
      <c r="AI7" s="10" t="s">
        <v>53</v>
      </c>
      <c r="AJ7" s="6" t="str">
        <f t="shared" si="9"/>
        <v>匹配</v>
      </c>
      <c r="AK7" s="24">
        <f>IF(A7="","",COUNTIFS(加仓管理!$A$2:$A$1001,A7,加仓管理!$G$2:$G$1001,"&gt;0"))</f>
        <v>0</v>
      </c>
      <c r="AL7" s="24">
        <f>IF(A7="","",SUMIFS(加仓管理!$G$2:$G$1001,加仓管理!$A$2:$A$1001,A7))</f>
        <v>0</v>
      </c>
      <c r="AM7" s="25" t="str">
        <f>IF(AK7=0,"",IFERROR(LOOKUP(2,1/((加仓管理!$A$2:$A$1001=A7)*(加仓管理!$G$2:$G$1001&gt;0)),加仓管理!$D$2:$D$1001),""))</f>
        <v/>
      </c>
      <c r="AN7" s="25" t="str">
        <f>IF(AK7=0,"",IFERROR(LOOKUP(2,1/((加仓管理!$A$2:$A$1001=A7)*(加仓管理!$G$2:$G$1001&gt;0)),加仓管理!$E$2:$E$1001),""))</f>
        <v/>
      </c>
      <c r="AO7" s="25">
        <f>IF(OR(A7="",H7="",H7&lt;=0),"",(E7*H7+SUMIFS(加仓管理!$H$2:$H$1001,加仓管理!$A$2:$A$1001,A7))/AP7)</f>
        <v>26.96</v>
      </c>
      <c r="AP7" s="24">
        <f t="shared" si="10"/>
        <v>900</v>
      </c>
      <c r="AQ7" s="25">
        <f>IF(A7="","",IF(M7&lt;&gt;"",0,IF(OR(H7="",N7=""),"",MAX((E7*H7+SUMIFS(加仓管理!$H$2:$H$1001,加仓管理!$A$2:$A$1001,A7))-MAX(N7,AN7)*AP7,0))))</f>
        <v>0</v>
      </c>
      <c r="AR7" s="25" t="str">
        <f ca="1"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ht="17" spans="1:44">
      <c r="A8" s="21">
        <v>7</v>
      </c>
      <c r="B8" s="10" t="s">
        <v>44</v>
      </c>
      <c r="C8" s="7">
        <v>97249</v>
      </c>
      <c r="D8" s="4">
        <v>0.02</v>
      </c>
      <c r="E8" s="7">
        <v>20.75</v>
      </c>
      <c r="F8" s="6">
        <f t="shared" si="0"/>
        <v>700</v>
      </c>
      <c r="G8" s="6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1">
        <v>700</v>
      </c>
      <c r="I8" s="22">
        <v>44116</v>
      </c>
      <c r="J8" s="7">
        <v>24</v>
      </c>
      <c r="K8" s="7">
        <v>18.05</v>
      </c>
      <c r="L8" s="6">
        <f t="shared" si="1"/>
        <v>700</v>
      </c>
      <c r="M8" s="22">
        <v>44123</v>
      </c>
      <c r="N8" s="7">
        <v>18</v>
      </c>
      <c r="O8" s="7"/>
      <c r="P8" s="7"/>
      <c r="Q8" s="21"/>
      <c r="R8" s="21"/>
      <c r="S8" s="21"/>
      <c r="T8" s="21"/>
      <c r="U8" s="5">
        <f t="shared" si="2"/>
        <v>0.156626506024096</v>
      </c>
      <c r="V8" s="5">
        <f t="shared" si="3"/>
        <v>0.132530120481928</v>
      </c>
      <c r="W8" s="23">
        <f t="shared" si="4"/>
        <v>1.18181818181818</v>
      </c>
      <c r="X8" s="3">
        <f t="shared" si="5"/>
        <v>-1890</v>
      </c>
      <c r="Y8" s="5">
        <f t="shared" si="6"/>
        <v>-0.130120481927711</v>
      </c>
      <c r="Z8" s="5">
        <f>IF(OR(AE8="",多次统计数据!$B$8=""),"",AE8-多次统计数据!$B$8)</f>
        <v>-0.128557895219944</v>
      </c>
      <c r="AA8" s="8">
        <f t="shared" si="7"/>
        <v>7</v>
      </c>
      <c r="AB8" s="5">
        <f>IF(OR(A8="",多次统计数据!$B$8="",多次统计数据!$B$6&lt;=0,多次统计数据!$B$6&gt;=1),"",1-POWER(1+多次统计数据!$B$8,-多次统计数据!$B$6/(1-多次统计数据!$B$6)))</f>
        <v>0.0602504749804965</v>
      </c>
      <c r="AC8" s="6" t="str">
        <f>IF(OR(AB8="",多次统计数据!$B$9=""),"",IF(多次统计数据!$B$9&lt;AB8,"低于上限","达到或超过上限"))</f>
        <v>低于上限</v>
      </c>
      <c r="AD8" s="21"/>
      <c r="AE8" s="5">
        <f t="shared" si="8"/>
        <v>-0.0194346471429012</v>
      </c>
      <c r="AG8" s="21" t="s">
        <v>48</v>
      </c>
      <c r="AH8" s="21" t="s">
        <v>54</v>
      </c>
      <c r="AI8" s="10" t="s">
        <v>53</v>
      </c>
      <c r="AJ8" s="6" t="str">
        <f t="shared" si="9"/>
        <v>匹配</v>
      </c>
      <c r="AK8" s="24">
        <f>IF(A8="","",COUNTIFS(加仓管理!$A$2:$A$1001,A8,加仓管理!$G$2:$G$1001,"&gt;0"))</f>
        <v>0</v>
      </c>
      <c r="AL8" s="24">
        <f>IF(A8="","",SUMIFS(加仓管理!$G$2:$G$1001,加仓管理!$A$2:$A$1001,A8))</f>
        <v>0</v>
      </c>
      <c r="AM8" s="25" t="str">
        <f>IF(AK8=0,"",IFERROR(LOOKUP(2,1/((加仓管理!$A$2:$A$1001=A8)*(加仓管理!$G$2:$G$1001&gt;0)),加仓管理!$D$2:$D$1001),""))</f>
        <v/>
      </c>
      <c r="AN8" s="25" t="str">
        <f>IF(AK8=0,"",IFERROR(LOOKUP(2,1/((加仓管理!$A$2:$A$1001=A8)*(加仓管理!$G$2:$G$1001&gt;0)),加仓管理!$E$2:$E$1001),""))</f>
        <v/>
      </c>
      <c r="AO8" s="25">
        <f>IF(OR(A8="",H8="",H8&lt;=0),"",(E8*H8+SUMIFS(加仓管理!$H$2:$H$1001,加仓管理!$A$2:$A$1001,A8))/AP8)</f>
        <v>20.75</v>
      </c>
      <c r="AP8" s="24">
        <f t="shared" si="10"/>
        <v>700</v>
      </c>
      <c r="AQ8" s="25">
        <f>IF(A8="","",IF(M8&lt;&gt;"",0,IF(OR(H8="",N8=""),"",MAX((E8*H8+SUMIFS(加仓管理!$H$2:$H$1001,加仓管理!$A$2:$A$1001,A8))-MAX(N8,AN8)*AP8,0))))</f>
        <v>0</v>
      </c>
      <c r="AR8" s="25" t="str">
        <f ca="1"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通过</v>
      </c>
    </row>
    <row r="9" ht="17" spans="1:44">
      <c r="A9" s="21">
        <v>8</v>
      </c>
      <c r="B9" s="10" t="s">
        <v>44</v>
      </c>
      <c r="C9" s="7">
        <v>95359</v>
      </c>
      <c r="D9" s="4">
        <v>0.02</v>
      </c>
      <c r="E9" s="7">
        <v>13.94</v>
      </c>
      <c r="F9" s="6">
        <f t="shared" si="0"/>
        <v>1300</v>
      </c>
      <c r="G9" s="6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1">
        <v>1300</v>
      </c>
      <c r="I9" s="22">
        <v>44399</v>
      </c>
      <c r="J9" s="7">
        <v>16</v>
      </c>
      <c r="K9" s="7">
        <v>14.29</v>
      </c>
      <c r="L9" s="6">
        <f t="shared" si="1"/>
        <v>2100</v>
      </c>
      <c r="M9" s="22">
        <v>44425</v>
      </c>
      <c r="N9" s="7">
        <v>12.5</v>
      </c>
      <c r="O9" s="7"/>
      <c r="P9" s="7"/>
      <c r="Q9" s="21"/>
      <c r="R9" s="21"/>
      <c r="S9" s="21"/>
      <c r="T9" s="21"/>
      <c r="U9" s="5">
        <f t="shared" si="2"/>
        <v>0.103448275862069</v>
      </c>
      <c r="V9" s="5">
        <f t="shared" si="3"/>
        <v>0.137931034482759</v>
      </c>
      <c r="W9" s="23">
        <f t="shared" si="4"/>
        <v>0.75</v>
      </c>
      <c r="X9" s="3">
        <f t="shared" si="5"/>
        <v>-441.000000000002</v>
      </c>
      <c r="Y9" s="5">
        <f t="shared" si="6"/>
        <v>-0.0144827586206897</v>
      </c>
      <c r="Z9" s="5">
        <f>IF(OR(AE9="",多次统计数据!$B$8=""),"",AE9-多次统计数据!$B$8)</f>
        <v>-0.113747877110485</v>
      </c>
      <c r="AA9" s="8">
        <f t="shared" si="7"/>
        <v>26</v>
      </c>
      <c r="AB9" s="5">
        <f>IF(OR(A9="",多次统计数据!$B$8="",多次统计数据!$B$6&lt;=0,多次统计数据!$B$6&gt;=1),"",1-POWER(1+多次统计数据!$B$8,-多次统计数据!$B$6/(1-多次统计数据!$B$6)))</f>
        <v>0.0602504749804965</v>
      </c>
      <c r="AC9" s="6" t="str">
        <f>IF(OR(AB9="",多次统计数据!$B$9=""),"",IF(多次统计数据!$B$9&lt;AB9,"低于上限","达到或超过上限"))</f>
        <v>低于上限</v>
      </c>
      <c r="AD9" s="21"/>
      <c r="AE9" s="5">
        <f t="shared" si="8"/>
        <v>-0.00462462903344206</v>
      </c>
      <c r="AG9" s="21" t="s">
        <v>50</v>
      </c>
      <c r="AH9" s="21" t="s">
        <v>55</v>
      </c>
      <c r="AI9" s="10" t="s">
        <v>56</v>
      </c>
      <c r="AJ9" s="6" t="str">
        <f t="shared" si="9"/>
        <v>匹配</v>
      </c>
      <c r="AK9" s="24">
        <f>IF(A9="","",COUNTIFS(加仓管理!$A$2:$A$1001,A9,加仓管理!$G$2:$G$1001,"&gt;0"))</f>
        <v>1</v>
      </c>
      <c r="AL9" s="24">
        <f>IF(A9="","",SUMIFS(加仓管理!$G$2:$G$1001,加仓管理!$A$2:$A$1001,A9))</f>
        <v>800</v>
      </c>
      <c r="AM9" s="25">
        <f>IF(AK9=0,"",IFERROR(LOOKUP(2,1/((加仓管理!$A$2:$A$1001=A9)*(加仓管理!$G$2:$G$1001&gt;0)),加仓管理!$D$2:$D$1001),""))</f>
        <v>15.41</v>
      </c>
      <c r="AN9" s="25">
        <f>IF(AK9=0,"",IFERROR(LOOKUP(2,1/((加仓管理!$A$2:$A$1001=A9)*(加仓管理!$G$2:$G$1001&gt;0)),加仓管理!$E$2:$E$1001),""))</f>
        <v>14.5</v>
      </c>
      <c r="AO9" s="25">
        <f>IF(OR(A9="",H9="",H9&lt;=0),"",(E9*H9+SUMIFS(加仓管理!$H$2:$H$1001,加仓管理!$A$2:$A$1001,A9))/AP9)</f>
        <v>14.5</v>
      </c>
      <c r="AP9" s="24">
        <f t="shared" si="10"/>
        <v>2100</v>
      </c>
      <c r="AQ9" s="25">
        <f>IF(A9="","",IF(M9&lt;&gt;"",0,IF(OR(H9="",N9=""),"",MAX((E9*H9+SUMIFS(加仓管理!$H$2:$H$1001,加仓管理!$A$2:$A$1001,A9))-MAX(N9,AN9)*AP9,0))))</f>
        <v>0</v>
      </c>
      <c r="AR9" s="25" t="str">
        <f ca="1"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ht="27" customHeight="1" spans="1:44">
      <c r="A10" s="21">
        <v>9</v>
      </c>
      <c r="B10" s="10" t="s">
        <v>44</v>
      </c>
      <c r="C10" s="7">
        <v>94918</v>
      </c>
      <c r="D10" s="4">
        <v>0.02</v>
      </c>
      <c r="E10" s="7">
        <v>14.49</v>
      </c>
      <c r="F10" s="6">
        <f t="shared" si="0"/>
        <v>1900</v>
      </c>
      <c r="G10" s="6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1">
        <v>1900</v>
      </c>
      <c r="I10" s="22">
        <v>44427</v>
      </c>
      <c r="J10" s="7">
        <v>16</v>
      </c>
      <c r="K10" s="7">
        <v>13.36</v>
      </c>
      <c r="L10" s="6">
        <f t="shared" si="1"/>
        <v>1900</v>
      </c>
      <c r="M10" s="22">
        <v>44439</v>
      </c>
      <c r="N10" s="7">
        <v>13.5</v>
      </c>
      <c r="O10" s="7"/>
      <c r="P10" s="7"/>
      <c r="Q10" s="21"/>
      <c r="R10" s="21"/>
      <c r="S10" s="21"/>
      <c r="T10" s="21"/>
      <c r="U10" s="5">
        <f t="shared" si="2"/>
        <v>0.104209799861974</v>
      </c>
      <c r="V10" s="5">
        <f t="shared" si="3"/>
        <v>0.0683229813664596</v>
      </c>
      <c r="W10" s="23">
        <f t="shared" si="4"/>
        <v>1.52525252525252</v>
      </c>
      <c r="X10" s="3">
        <f t="shared" si="5"/>
        <v>-2147</v>
      </c>
      <c r="Y10" s="5">
        <f t="shared" si="6"/>
        <v>-0.0779848171152519</v>
      </c>
      <c r="Z10" s="5">
        <f>IF(OR(AE10="",多次统计数据!$B$8=""),"",AE10-多次统计数据!$B$8)</f>
        <v>-0.131742772297949</v>
      </c>
      <c r="AA10" s="8">
        <f t="shared" si="7"/>
        <v>12</v>
      </c>
      <c r="AB10" s="5">
        <f>IF(OR(A10="",多次统计数据!$B$8="",多次统计数据!$B$6&lt;=0,多次统计数据!$B$6&gt;=1),"",1-POWER(1+多次统计数据!$B$8,-多次统计数据!$B$6/(1-多次统计数据!$B$6)))</f>
        <v>0.0602504749804965</v>
      </c>
      <c r="AC10" s="6" t="str">
        <f>IF(OR(AB10="",多次统计数据!$B$9=""),"",IF(多次统计数据!$B$9&lt;AB10,"低于上限","达到或超过上限"))</f>
        <v>低于上限</v>
      </c>
      <c r="AD10" s="21"/>
      <c r="AE10" s="5">
        <f t="shared" si="8"/>
        <v>-0.0226195242209065</v>
      </c>
      <c r="AG10" s="21" t="s">
        <v>50</v>
      </c>
      <c r="AH10" s="21" t="s">
        <v>55</v>
      </c>
      <c r="AI10" s="10" t="s">
        <v>56</v>
      </c>
      <c r="AJ10" s="6" t="str">
        <f t="shared" si="9"/>
        <v>匹配</v>
      </c>
      <c r="AK10" s="24">
        <f>IF(A10="","",COUNTIFS(加仓管理!$A$2:$A$1001,A10,加仓管理!$G$2:$G$1001,"&gt;0"))</f>
        <v>0</v>
      </c>
      <c r="AL10" s="24">
        <f>IF(A10="","",SUMIFS(加仓管理!$G$2:$G$1001,加仓管理!$A$2:$A$1001,A10))</f>
        <v>0</v>
      </c>
      <c r="AM10" s="25" t="str">
        <f>IF(AK10=0,"",IFERROR(LOOKUP(2,1/((加仓管理!$A$2:$A$1001=A10)*(加仓管理!$G$2:$G$1001&gt;0)),加仓管理!$D$2:$D$1001),""))</f>
        <v/>
      </c>
      <c r="AN10" s="25" t="str">
        <f>IF(AK10=0,"",IFERROR(LOOKUP(2,1/((加仓管理!$A$2:$A$1001=A10)*(加仓管理!$G$2:$G$1001&gt;0)),加仓管理!$E$2:$E$1001),""))</f>
        <v/>
      </c>
      <c r="AO10" s="25">
        <f>IF(OR(A10="",H10="",H10&lt;=0),"",(E10*H10+SUMIFS(加仓管理!$H$2:$H$1001,加仓管理!$A$2:$A$1001,A10))/AP10)</f>
        <v>14.49</v>
      </c>
      <c r="AP10" s="24">
        <f t="shared" si="10"/>
        <v>1900</v>
      </c>
      <c r="AQ10" s="25">
        <f>IF(A10="","",IF(M10&lt;&gt;"",0,IF(OR(H10="",N10=""),"",MAX((E10*H10+SUMIFS(加仓管理!$H$2:$H$1001,加仓管理!$A$2:$A$1001,A10))-MAX(N10,AN10)*AP10,0))))</f>
        <v>0</v>
      </c>
      <c r="AR10" s="25" t="str">
        <f ca="1"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通过</v>
      </c>
    </row>
    <row r="11" ht="17" spans="1:44">
      <c r="A11" s="21">
        <v>10</v>
      </c>
      <c r="B11" s="10" t="s">
        <v>44</v>
      </c>
      <c r="C11" s="7">
        <v>92771</v>
      </c>
      <c r="D11" s="4">
        <v>0.02</v>
      </c>
      <c r="E11" s="7">
        <v>14.06</v>
      </c>
      <c r="F11" s="6">
        <f t="shared" si="0"/>
        <v>1700</v>
      </c>
      <c r="G11" s="6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1">
        <v>1700</v>
      </c>
      <c r="I11" s="22">
        <v>44439</v>
      </c>
      <c r="J11" s="7">
        <v>18</v>
      </c>
      <c r="K11" s="7">
        <v>12.7</v>
      </c>
      <c r="L11" s="6">
        <f t="shared" si="1"/>
        <v>1700</v>
      </c>
      <c r="M11" s="22">
        <v>44461</v>
      </c>
      <c r="N11" s="7">
        <v>13</v>
      </c>
      <c r="O11" s="7"/>
      <c r="P11" s="7"/>
      <c r="Q11" s="21"/>
      <c r="R11" s="21"/>
      <c r="S11" s="21"/>
      <c r="T11" s="21"/>
      <c r="U11" s="5">
        <f t="shared" si="2"/>
        <v>0.28022759601707</v>
      </c>
      <c r="V11" s="5">
        <f t="shared" si="3"/>
        <v>0.0753911806543386</v>
      </c>
      <c r="W11" s="23">
        <f t="shared" si="4"/>
        <v>3.71698113207547</v>
      </c>
      <c r="X11" s="3">
        <f t="shared" si="5"/>
        <v>-2312</v>
      </c>
      <c r="Y11" s="5">
        <f t="shared" si="6"/>
        <v>-0.0967283072546231</v>
      </c>
      <c r="Z11" s="5">
        <f>IF(OR(AE11="",多次统计数据!$B$8=""),"",AE11-多次统计数据!$B$8)</f>
        <v>-0.134044829174584</v>
      </c>
      <c r="AA11" s="8">
        <f t="shared" si="7"/>
        <v>22</v>
      </c>
      <c r="AB11" s="5">
        <f>IF(OR(A11="",多次统计数据!$B$8="",多次统计数据!$B$6&lt;=0,多次统计数据!$B$6&gt;=1),"",1-POWER(1+多次统计数据!$B$8,-多次统计数据!$B$6/(1-多次统计数据!$B$6)))</f>
        <v>0.0602504749804965</v>
      </c>
      <c r="AC11" s="6" t="str">
        <f>IF(OR(AB11="",多次统计数据!$B$9=""),"",IF(多次统计数据!$B$9&lt;AB11,"低于上限","达到或超过上限"))</f>
        <v>低于上限</v>
      </c>
      <c r="AD11" s="21"/>
      <c r="AE11" s="5">
        <f t="shared" si="8"/>
        <v>-0.0249215810975413</v>
      </c>
      <c r="AG11" s="21" t="s">
        <v>50</v>
      </c>
      <c r="AH11" s="21" t="s">
        <v>55</v>
      </c>
      <c r="AI11" s="10" t="s">
        <v>56</v>
      </c>
      <c r="AJ11" s="6" t="str">
        <f t="shared" si="9"/>
        <v>匹配</v>
      </c>
      <c r="AK11" s="24">
        <f>IF(A11="","",COUNTIFS(加仓管理!$A$2:$A$1001,A11,加仓管理!$G$2:$G$1001,"&gt;0"))</f>
        <v>0</v>
      </c>
      <c r="AL11" s="24">
        <f>IF(A11="","",SUMIFS(加仓管理!$G$2:$G$1001,加仓管理!$A$2:$A$1001,A11))</f>
        <v>0</v>
      </c>
      <c r="AM11" s="25" t="str">
        <f>IF(AK11=0,"",IFERROR(LOOKUP(2,1/((加仓管理!$A$2:$A$1001=A11)*(加仓管理!$G$2:$G$1001&gt;0)),加仓管理!$D$2:$D$1001),""))</f>
        <v/>
      </c>
      <c r="AN11" s="25" t="str">
        <f>IF(AK11=0,"",IFERROR(LOOKUP(2,1/((加仓管理!$A$2:$A$1001=A11)*(加仓管理!$G$2:$G$1001&gt;0)),加仓管理!$E$2:$E$1001),""))</f>
        <v/>
      </c>
      <c r="AO11" s="25">
        <f>IF(OR(A11="",H11="",H11&lt;=0),"",(E11*H11+SUMIFS(加仓管理!$H$2:$H$1001,加仓管理!$A$2:$A$1001,A11))/AP11)</f>
        <v>14.06</v>
      </c>
      <c r="AP11" s="24">
        <f t="shared" si="10"/>
        <v>1700</v>
      </c>
      <c r="AQ11" s="25">
        <f>IF(A11="","",IF(M11&lt;&gt;"",0,IF(OR(H11="",N11=""),"",MAX((E11*H11+SUMIFS(加仓管理!$H$2:$H$1001,加仓管理!$A$2:$A$1001,A11))-MAX(N11,AN11)*AP11,0))))</f>
        <v>0</v>
      </c>
      <c r="AR11" s="25" t="str">
        <f ca="1"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ht="17" spans="1:44">
      <c r="A12" s="21">
        <v>11</v>
      </c>
      <c r="B12" s="10" t="s">
        <v>44</v>
      </c>
      <c r="C12" s="7">
        <v>90459</v>
      </c>
      <c r="D12" s="4">
        <v>0.02</v>
      </c>
      <c r="E12" s="7">
        <v>12.36</v>
      </c>
      <c r="F12" s="6">
        <f t="shared" si="0"/>
        <v>2100</v>
      </c>
      <c r="G12" s="6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1">
        <v>2100</v>
      </c>
      <c r="I12" s="22">
        <v>44560</v>
      </c>
      <c r="J12" s="7">
        <v>15</v>
      </c>
      <c r="K12" s="7">
        <v>11.91</v>
      </c>
      <c r="L12" s="6">
        <f t="shared" si="1"/>
        <v>2400</v>
      </c>
      <c r="M12" s="22">
        <v>44586</v>
      </c>
      <c r="N12" s="7">
        <v>11.5</v>
      </c>
      <c r="O12" s="7"/>
      <c r="P12" s="7"/>
      <c r="Q12" s="21"/>
      <c r="R12" s="21"/>
      <c r="S12" s="21"/>
      <c r="T12" s="21"/>
      <c r="U12" s="5">
        <f t="shared" si="2"/>
        <v>0.201321453598959</v>
      </c>
      <c r="V12" s="5">
        <f t="shared" si="3"/>
        <v>0.0789868855741316</v>
      </c>
      <c r="W12" s="23">
        <f t="shared" si="4"/>
        <v>2.54879594423321</v>
      </c>
      <c r="X12" s="3">
        <f t="shared" si="5"/>
        <v>-1383</v>
      </c>
      <c r="Y12" s="5">
        <f t="shared" si="6"/>
        <v>-0.0461507658424267</v>
      </c>
      <c r="Z12" s="5">
        <f>IF(OR(AE12="",多次统计数据!$B$8=""),"",AE12-多次统计数据!$B$8)</f>
        <v>-0.124411942402649</v>
      </c>
      <c r="AA12" s="8">
        <f t="shared" si="7"/>
        <v>26</v>
      </c>
      <c r="AB12" s="5">
        <f>IF(OR(A12="",多次统计数据!$B$8="",多次统计数据!$B$6&lt;=0,多次统计数据!$B$6&gt;=1),"",1-POWER(1+多次统计数据!$B$8,-多次统计数据!$B$6/(1-多次统计数据!$B$6)))</f>
        <v>0.0602504749804965</v>
      </c>
      <c r="AC12" s="6" t="str">
        <f>IF(OR(AB12="",多次统计数据!$B$9=""),"",IF(多次统计数据!$B$9&lt;AB12,"低于上限","达到或超过上限"))</f>
        <v>低于上限</v>
      </c>
      <c r="AD12" s="21"/>
      <c r="AE12" s="5">
        <f t="shared" si="8"/>
        <v>-0.0152886943256061</v>
      </c>
      <c r="AG12" s="21" t="s">
        <v>50</v>
      </c>
      <c r="AH12" s="21" t="s">
        <v>55</v>
      </c>
      <c r="AI12" s="10" t="s">
        <v>56</v>
      </c>
      <c r="AJ12" s="6" t="str">
        <f t="shared" si="9"/>
        <v>匹配</v>
      </c>
      <c r="AK12" s="24">
        <f>IF(A12="","",COUNTIFS(加仓管理!$A$2:$A$1001,A12,加仓管理!$G$2:$G$1001,"&gt;0"))</f>
        <v>1</v>
      </c>
      <c r="AL12" s="24">
        <f>IF(A12="","",SUMIFS(加仓管理!$G$2:$G$1001,加仓管理!$A$2:$A$1001,A12))</f>
        <v>300</v>
      </c>
      <c r="AM12" s="25">
        <f>IF(AK12=0,"",IFERROR(LOOKUP(2,1/((加仓管理!$A$2:$A$1001=A12)*(加仓管理!$G$2:$G$1001&gt;0)),加仓管理!$D$2:$D$1001),""))</f>
        <v>13.37</v>
      </c>
      <c r="AN12" s="25">
        <f>IF(AK12=0,"",IFERROR(LOOKUP(2,1/((加仓管理!$A$2:$A$1001=A12)*(加仓管理!$G$2:$G$1001&gt;0)),加仓管理!$E$2:$E$1001),""))</f>
        <v>12.5</v>
      </c>
      <c r="AO12" s="25">
        <f>IF(OR(A12="",H12="",H12&lt;=0),"",(E12*H12+SUMIFS(加仓管理!$H$2:$H$1001,加仓管理!$A$2:$A$1001,A12))/AP12)</f>
        <v>12.48625</v>
      </c>
      <c r="AP12" s="24">
        <f t="shared" si="10"/>
        <v>2400</v>
      </c>
      <c r="AQ12" s="25">
        <f>IF(A12="","",IF(M12&lt;&gt;"",0,IF(OR(H12="",N12=""),"",MAX((E12*H12+SUMIFS(加仓管理!$H$2:$H$1001,加仓管理!$A$2:$A$1001,A12))-MAX(N12,AN12)*AP12,0))))</f>
        <v>0</v>
      </c>
      <c r="AR12" s="25" t="str">
        <f ca="1"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ht="17" spans="1:44">
      <c r="A13" s="21">
        <v>12</v>
      </c>
      <c r="B13" s="10" t="s">
        <v>44</v>
      </c>
      <c r="C13" s="7">
        <v>89076</v>
      </c>
      <c r="D13" s="4">
        <v>0.02</v>
      </c>
      <c r="E13" s="7">
        <v>11.49</v>
      </c>
      <c r="F13" s="6">
        <f t="shared" si="0"/>
        <v>3600</v>
      </c>
      <c r="G13" s="6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1">
        <v>3600</v>
      </c>
      <c r="I13" s="22">
        <v>44588</v>
      </c>
      <c r="J13" s="7">
        <v>15</v>
      </c>
      <c r="K13" s="7">
        <v>12.89</v>
      </c>
      <c r="L13" s="6">
        <f t="shared" si="1"/>
        <v>5600</v>
      </c>
      <c r="M13" s="22">
        <v>44635</v>
      </c>
      <c r="N13" s="7">
        <v>11</v>
      </c>
      <c r="O13" s="7"/>
      <c r="P13" s="7"/>
      <c r="Q13" s="21"/>
      <c r="R13" s="21"/>
      <c r="S13" s="21"/>
      <c r="T13" s="21"/>
      <c r="U13" s="5">
        <f t="shared" si="2"/>
        <v>0.207868399861958</v>
      </c>
      <c r="V13" s="5">
        <f t="shared" si="3"/>
        <v>0.114229840101231</v>
      </c>
      <c r="W13" s="23">
        <f t="shared" si="4"/>
        <v>1.81973816717019</v>
      </c>
      <c r="X13" s="3">
        <f t="shared" si="5"/>
        <v>2640</v>
      </c>
      <c r="Y13" s="5">
        <f t="shared" si="6"/>
        <v>0.0379615782813758</v>
      </c>
      <c r="Z13" s="5">
        <f>IF(OR(AE13="",多次统计数据!$B$8=""),"",AE13-多次统计数据!$B$8)</f>
        <v>-0.0794856352520392</v>
      </c>
      <c r="AA13" s="8">
        <f t="shared" si="7"/>
        <v>47</v>
      </c>
      <c r="AB13" s="5">
        <f>IF(OR(A13="",多次统计数据!$B$8="",多次统计数据!$B$6&lt;=0,多次统计数据!$B$6&gt;=1),"",1-POWER(1+多次统计数据!$B$8,-多次统计数据!$B$6/(1-多次统计数据!$B$6)))</f>
        <v>0.0602504749804965</v>
      </c>
      <c r="AC13" s="6" t="str">
        <f>IF(OR(AB13="",多次统计数据!$B$9=""),"",IF(多次统计数据!$B$9&lt;AB13,"低于上限","达到或超过上限"))</f>
        <v>低于上限</v>
      </c>
      <c r="AD13" s="21"/>
      <c r="AE13" s="5">
        <f t="shared" si="8"/>
        <v>0.0296376128250034</v>
      </c>
      <c r="AG13" s="21" t="s">
        <v>50</v>
      </c>
      <c r="AH13" s="21" t="s">
        <v>55</v>
      </c>
      <c r="AI13" s="10" t="s">
        <v>56</v>
      </c>
      <c r="AJ13" s="6" t="str">
        <f t="shared" si="9"/>
        <v>匹配</v>
      </c>
      <c r="AK13" s="24">
        <f>IF(A13="","",COUNTIFS(加仓管理!$A$2:$A$1001,A13,加仓管理!$G$2:$G$1001,"&gt;0"))</f>
        <v>1</v>
      </c>
      <c r="AL13" s="24">
        <f>IF(A13="","",SUMIFS(加仓管理!$G$2:$G$1001,加仓管理!$A$2:$A$1001,A13))</f>
        <v>2000</v>
      </c>
      <c r="AM13" s="25">
        <f>IF(AK13=0,"",IFERROR(LOOKUP(2,1/((加仓管理!$A$2:$A$1001=A13)*(加仓管理!$G$2:$G$1001&gt;0)),加仓管理!$D$2:$D$1001),""))</f>
        <v>14.09</v>
      </c>
      <c r="AN13" s="25">
        <f>IF(AK13=0,"",IFERROR(LOOKUP(2,1/((加仓管理!$A$2:$A$1001=A13)*(加仓管理!$G$2:$G$1001&gt;0)),加仓管理!$E$2:$E$1001),""))</f>
        <v>13</v>
      </c>
      <c r="AO13" s="25">
        <f>IF(OR(A13="",H13="",H13&lt;=0),"",(E13*H13+SUMIFS(加仓管理!$H$2:$H$1001,加仓管理!$A$2:$A$1001,A13))/AP13)</f>
        <v>12.4185714285714</v>
      </c>
      <c r="AP13" s="24">
        <f t="shared" si="10"/>
        <v>5600</v>
      </c>
      <c r="AQ13" s="25">
        <f>IF(A13="","",IF(M13&lt;&gt;"",0,IF(OR(H13="",N13=""),"",MAX((E13*H13+SUMIFS(加仓管理!$H$2:$H$1001,加仓管理!$A$2:$A$1001,A13))-MAX(N13,AN13)*AP13,0))))</f>
        <v>0</v>
      </c>
      <c r="AR13" s="25" t="str">
        <f ca="1"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通过</v>
      </c>
    </row>
    <row r="14" ht="17" spans="1:44">
      <c r="A14" s="21">
        <v>13</v>
      </c>
      <c r="B14" s="10" t="s">
        <v>44</v>
      </c>
      <c r="C14" s="7">
        <v>91716</v>
      </c>
      <c r="D14" s="4">
        <v>0.02</v>
      </c>
      <c r="E14" s="7">
        <v>12.72</v>
      </c>
      <c r="F14" s="6">
        <f t="shared" si="0"/>
        <v>1500</v>
      </c>
      <c r="G14" s="6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1">
        <v>1500</v>
      </c>
      <c r="I14" s="22">
        <v>44631</v>
      </c>
      <c r="J14" s="7">
        <v>15</v>
      </c>
      <c r="K14" s="7">
        <v>10.92</v>
      </c>
      <c r="L14" s="6">
        <f t="shared" si="1"/>
        <v>1500</v>
      </c>
      <c r="M14" s="22">
        <v>44662</v>
      </c>
      <c r="N14" s="7">
        <v>11.5</v>
      </c>
      <c r="O14" s="7"/>
      <c r="P14" s="7"/>
      <c r="Q14" s="21"/>
      <c r="R14" s="21"/>
      <c r="S14" s="21"/>
      <c r="T14" s="21"/>
      <c r="U14" s="5">
        <f t="shared" si="2"/>
        <v>0.179245283018868</v>
      </c>
      <c r="V14" s="5">
        <f t="shared" si="3"/>
        <v>0.0959119496855346</v>
      </c>
      <c r="W14" s="23">
        <f t="shared" si="4"/>
        <v>1.86885245901639</v>
      </c>
      <c r="X14" s="3">
        <f t="shared" si="5"/>
        <v>-2700</v>
      </c>
      <c r="Y14" s="5">
        <f t="shared" si="6"/>
        <v>-0.141509433962264</v>
      </c>
      <c r="Z14" s="5">
        <f>IF(OR(AE14="",多次统计数据!$B$8=""),"",AE14-多次统计数据!$B$8)</f>
        <v>-0.138561950157378</v>
      </c>
      <c r="AA14" s="8">
        <f t="shared" si="7"/>
        <v>31</v>
      </c>
      <c r="AB14" s="5">
        <f>IF(OR(A14="",多次统计数据!$B$8="",多次统计数据!$B$6&lt;=0,多次统计数据!$B$6&gt;=1),"",1-POWER(1+多次统计数据!$B$8,-多次统计数据!$B$6/(1-多次统计数据!$B$6)))</f>
        <v>0.0602504749804965</v>
      </c>
      <c r="AC14" s="6" t="str">
        <f>IF(OR(AB14="",多次统计数据!$B$9=""),"",IF(多次统计数据!$B$9&lt;AB14,"低于上限","达到或超过上限"))</f>
        <v>低于上限</v>
      </c>
      <c r="AD14" s="21"/>
      <c r="AE14" s="5">
        <f t="shared" si="8"/>
        <v>-0.029438702080335</v>
      </c>
      <c r="AG14" s="21" t="s">
        <v>45</v>
      </c>
      <c r="AH14" s="21" t="s">
        <v>46</v>
      </c>
      <c r="AI14" s="10" t="s">
        <v>56</v>
      </c>
      <c r="AJ14" s="6" t="str">
        <f t="shared" si="9"/>
        <v>匹配</v>
      </c>
      <c r="AK14" s="24">
        <f>IF(A14="","",COUNTIFS(加仓管理!$A$2:$A$1001,A14,加仓管理!$G$2:$G$1001,"&gt;0"))</f>
        <v>0</v>
      </c>
      <c r="AL14" s="24">
        <f>IF(A14="","",SUMIFS(加仓管理!$G$2:$G$1001,加仓管理!$A$2:$A$1001,A14))</f>
        <v>0</v>
      </c>
      <c r="AM14" s="25" t="str">
        <f>IF(AK14=0,"",IFERROR(LOOKUP(2,1/((加仓管理!$A$2:$A$1001=A14)*(加仓管理!$G$2:$G$1001&gt;0)),加仓管理!$D$2:$D$1001),""))</f>
        <v/>
      </c>
      <c r="AN14" s="25" t="str">
        <f>IF(AK14=0,"",IFERROR(LOOKUP(2,1/((加仓管理!$A$2:$A$1001=A14)*(加仓管理!$G$2:$G$1001&gt;0)),加仓管理!$E$2:$E$1001),""))</f>
        <v/>
      </c>
      <c r="AO14" s="25">
        <f>IF(OR(A14="",H14="",H14&lt;=0),"",(E14*H14+SUMIFS(加仓管理!$H$2:$H$1001,加仓管理!$A$2:$A$1001,A14))/AP14)</f>
        <v>12.72</v>
      </c>
      <c r="AP14" s="24">
        <f t="shared" si="10"/>
        <v>1500</v>
      </c>
      <c r="AQ14" s="25">
        <f>IF(A14="","",IF(M14&lt;&gt;"",0,IF(OR(H14="",N14=""),"",MAX((E14*H14+SUMIFS(加仓管理!$H$2:$H$1001,加仓管理!$A$2:$A$1001,A14))-MAX(N14,AN14)*AP14,0))))</f>
        <v>0</v>
      </c>
      <c r="AR14" s="25" t="str">
        <f ca="1"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ht="17" spans="1:44">
      <c r="A15" s="21">
        <v>14</v>
      </c>
      <c r="B15" s="10" t="s">
        <v>44</v>
      </c>
      <c r="C15" s="7">
        <v>89016</v>
      </c>
      <c r="D15" s="4">
        <v>0.02</v>
      </c>
      <c r="E15" s="7">
        <v>10.59</v>
      </c>
      <c r="F15" s="6">
        <f t="shared" si="0"/>
        <v>3000</v>
      </c>
      <c r="G15" s="6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1">
        <v>3000</v>
      </c>
      <c r="I15" s="22">
        <v>44805</v>
      </c>
      <c r="J15" s="7">
        <v>12</v>
      </c>
      <c r="K15" s="7">
        <v>10.2</v>
      </c>
      <c r="L15" s="6">
        <f t="shared" si="1"/>
        <v>3000</v>
      </c>
      <c r="M15" s="22">
        <v>44811</v>
      </c>
      <c r="N15" s="7">
        <v>10</v>
      </c>
      <c r="O15" s="7"/>
      <c r="P15" s="7"/>
      <c r="Q15" s="21"/>
      <c r="R15" s="21"/>
      <c r="S15" s="21"/>
      <c r="T15" s="21"/>
      <c r="U15" s="5">
        <f t="shared" si="2"/>
        <v>0.13314447592068</v>
      </c>
      <c r="V15" s="5">
        <f t="shared" si="3"/>
        <v>0.0557129367327667</v>
      </c>
      <c r="W15" s="23">
        <f t="shared" si="4"/>
        <v>2.38983050847458</v>
      </c>
      <c r="X15" s="3">
        <f t="shared" si="5"/>
        <v>-1170</v>
      </c>
      <c r="Y15" s="5">
        <f t="shared" si="6"/>
        <v>-0.0368271954674222</v>
      </c>
      <c r="Z15" s="5">
        <f>IF(OR(AE15="",多次统计数据!$B$8=""),"",AE15-多次统计数据!$B$8)</f>
        <v>-0.122266952579604</v>
      </c>
      <c r="AA15" s="8">
        <f t="shared" si="7"/>
        <v>6</v>
      </c>
      <c r="AB15" s="5">
        <f>IF(OR(A15="",多次统计数据!$B$8="",多次统计数据!$B$6&lt;=0,多次统计数据!$B$6&gt;=1),"",1-POWER(1+多次统计数据!$B$8,-多次统计数据!$B$6/(1-多次统计数据!$B$6)))</f>
        <v>0.0602504749804965</v>
      </c>
      <c r="AC15" s="6" t="str">
        <f>IF(OR(AB15="",多次统计数据!$B$9=""),"",IF(多次统计数据!$B$9&lt;AB15,"低于上限","达到或超过上限"))</f>
        <v>低于上限</v>
      </c>
      <c r="AD15" s="21"/>
      <c r="AE15" s="5">
        <f t="shared" si="8"/>
        <v>-0.0131437045025614</v>
      </c>
      <c r="AG15" s="21" t="s">
        <v>50</v>
      </c>
      <c r="AH15" s="21" t="s">
        <v>55</v>
      </c>
      <c r="AI15" s="10" t="s">
        <v>56</v>
      </c>
      <c r="AJ15" s="6" t="str">
        <f t="shared" si="9"/>
        <v>匹配</v>
      </c>
      <c r="AK15" s="24">
        <f>IF(A15="","",COUNTIFS(加仓管理!$A$2:$A$1001,A15,加仓管理!$G$2:$G$1001,"&gt;0"))</f>
        <v>0</v>
      </c>
      <c r="AL15" s="24">
        <f>IF(A15="","",SUMIFS(加仓管理!$G$2:$G$1001,加仓管理!$A$2:$A$1001,A15))</f>
        <v>0</v>
      </c>
      <c r="AM15" s="25" t="str">
        <f>IF(AK15=0,"",IFERROR(LOOKUP(2,1/((加仓管理!$A$2:$A$1001=A15)*(加仓管理!$G$2:$G$1001&gt;0)),加仓管理!$D$2:$D$1001),""))</f>
        <v/>
      </c>
      <c r="AN15" s="25" t="str">
        <f>IF(AK15=0,"",IFERROR(LOOKUP(2,1/((加仓管理!$A$2:$A$1001=A15)*(加仓管理!$G$2:$G$1001&gt;0)),加仓管理!$E$2:$E$1001),""))</f>
        <v/>
      </c>
      <c r="AO15" s="25">
        <f>IF(OR(A15="",H15="",H15&lt;=0),"",(E15*H15+SUMIFS(加仓管理!$H$2:$H$1001,加仓管理!$A$2:$A$1001,A15))/AP15)</f>
        <v>10.59</v>
      </c>
      <c r="AP15" s="24">
        <f t="shared" si="10"/>
        <v>3000</v>
      </c>
      <c r="AQ15" s="25">
        <f>IF(A15="","",IF(M15&lt;&gt;"",0,IF(OR(H15="",N15=""),"",MAX((E15*H15+SUMIFS(加仓管理!$H$2:$H$1001,加仓管理!$A$2:$A$1001,A15))-MAX(N15,AN15)*AP15,0))))</f>
        <v>0</v>
      </c>
      <c r="AR15" s="25" t="str">
        <f ca="1"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通过</v>
      </c>
    </row>
    <row r="16" ht="17" spans="1:44">
      <c r="A16" s="21">
        <v>15</v>
      </c>
      <c r="B16" s="10" t="s">
        <v>44</v>
      </c>
      <c r="C16" s="7">
        <v>87846</v>
      </c>
      <c r="D16" s="4">
        <v>0.02</v>
      </c>
      <c r="E16" s="7">
        <v>9.72</v>
      </c>
      <c r="F16" s="6">
        <f t="shared" si="0"/>
        <v>2400</v>
      </c>
      <c r="G16" s="6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1">
        <v>2400</v>
      </c>
      <c r="I16" s="22">
        <v>44782</v>
      </c>
      <c r="J16" s="7">
        <v>12</v>
      </c>
      <c r="K16" s="7">
        <v>8.85</v>
      </c>
      <c r="L16" s="6">
        <f t="shared" si="1"/>
        <v>2400</v>
      </c>
      <c r="M16" s="22">
        <v>44793</v>
      </c>
      <c r="N16" s="7">
        <v>9</v>
      </c>
      <c r="O16" s="7"/>
      <c r="P16" s="7"/>
      <c r="Q16" s="21"/>
      <c r="R16" s="21"/>
      <c r="S16" s="21"/>
      <c r="T16" s="21"/>
      <c r="U16" s="5">
        <f t="shared" si="2"/>
        <v>0.234567901234568</v>
      </c>
      <c r="V16" s="5">
        <f t="shared" si="3"/>
        <v>0.0740740740740741</v>
      </c>
      <c r="W16" s="23">
        <f t="shared" si="4"/>
        <v>3.16666666666666</v>
      </c>
      <c r="X16" s="3">
        <f t="shared" si="5"/>
        <v>-2088</v>
      </c>
      <c r="Y16" s="5">
        <f t="shared" si="6"/>
        <v>-0.0895061728395063</v>
      </c>
      <c r="Z16" s="5">
        <f>IF(OR(AE16="",多次统计数据!$B$8=""),"",AE16-多次统计数据!$B$8)</f>
        <v>-0.132892116323747</v>
      </c>
      <c r="AA16" s="8">
        <f t="shared" si="7"/>
        <v>11</v>
      </c>
      <c r="AB16" s="5">
        <f>IF(OR(A16="",多次统计数据!$B$8="",多次统计数据!$B$6&lt;=0,多次统计数据!$B$6&gt;=1),"",1-POWER(1+多次统计数据!$B$8,-多次统计数据!$B$6/(1-多次统计数据!$B$6)))</f>
        <v>0.0602504749804965</v>
      </c>
      <c r="AC16" s="6" t="str">
        <f>IF(OR(AB16="",多次统计数据!$B$9=""),"",IF(多次统计数据!$B$9&lt;AB16,"低于上限","达到或超过上限"))</f>
        <v>低于上限</v>
      </c>
      <c r="AD16" s="21"/>
      <c r="AE16" s="5">
        <f t="shared" si="8"/>
        <v>-0.0237688682467045</v>
      </c>
      <c r="AG16" s="21" t="s">
        <v>50</v>
      </c>
      <c r="AH16" s="21" t="s">
        <v>55</v>
      </c>
      <c r="AI16" s="10" t="s">
        <v>56</v>
      </c>
      <c r="AJ16" s="6" t="str">
        <f t="shared" si="9"/>
        <v>匹配</v>
      </c>
      <c r="AK16" s="24">
        <f>IF(A16="","",COUNTIFS(加仓管理!$A$2:$A$1001,A16,加仓管理!$G$2:$G$1001,"&gt;0"))</f>
        <v>0</v>
      </c>
      <c r="AL16" s="24">
        <f>IF(A16="","",SUMIFS(加仓管理!$G$2:$G$1001,加仓管理!$A$2:$A$1001,A16))</f>
        <v>0</v>
      </c>
      <c r="AM16" s="25" t="str">
        <f>IF(AK16=0,"",IFERROR(LOOKUP(2,1/((加仓管理!$A$2:$A$1001=A16)*(加仓管理!$G$2:$G$1001&gt;0)),加仓管理!$D$2:$D$1001),""))</f>
        <v/>
      </c>
      <c r="AN16" s="25" t="str">
        <f>IF(AK16=0,"",IFERROR(LOOKUP(2,1/((加仓管理!$A$2:$A$1001=A16)*(加仓管理!$G$2:$G$1001&gt;0)),加仓管理!$E$2:$E$1001),""))</f>
        <v/>
      </c>
      <c r="AO16" s="25">
        <f>IF(OR(A16="",H16="",H16&lt;=0),"",(E16*H16+SUMIFS(加仓管理!$H$2:$H$1001,加仓管理!$A$2:$A$1001,A16))/AP16)</f>
        <v>9.72</v>
      </c>
      <c r="AP16" s="24">
        <f t="shared" si="10"/>
        <v>2400</v>
      </c>
      <c r="AQ16" s="25">
        <f>IF(A16="","",IF(M16&lt;&gt;"",0,IF(OR(H16="",N16=""),"",MAX((E16*H16+SUMIFS(加仓管理!$H$2:$H$1001,加仓管理!$A$2:$A$1001,A16))-MAX(N16,AN16)*AP16,0))))</f>
        <v>0</v>
      </c>
      <c r="AR16" s="25" t="str">
        <f ca="1"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ht="17" spans="1:44">
      <c r="A17" s="10">
        <v>16</v>
      </c>
      <c r="B17" s="10" t="s">
        <v>44</v>
      </c>
      <c r="C17" s="7">
        <v>85758</v>
      </c>
      <c r="D17" s="4">
        <v>0.02</v>
      </c>
      <c r="E17" s="7">
        <v>11.29</v>
      </c>
      <c r="F17" s="6">
        <f t="shared" si="0"/>
        <v>2100</v>
      </c>
      <c r="G17" s="6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1">
        <v>2100</v>
      </c>
      <c r="I17" s="22">
        <v>44858</v>
      </c>
      <c r="J17" s="7">
        <v>15</v>
      </c>
      <c r="K17" s="7">
        <v>10.39</v>
      </c>
      <c r="L17" s="6">
        <f t="shared" si="1"/>
        <v>2100</v>
      </c>
      <c r="M17" s="22">
        <v>44917</v>
      </c>
      <c r="N17" s="7">
        <v>10.5</v>
      </c>
      <c r="O17" s="7"/>
      <c r="P17" s="7"/>
      <c r="Q17" s="21"/>
      <c r="R17" s="21"/>
      <c r="S17" s="21"/>
      <c r="T17" s="21"/>
      <c r="U17" s="5">
        <f t="shared" si="2"/>
        <v>0.328609388839681</v>
      </c>
      <c r="V17" s="5">
        <f t="shared" si="3"/>
        <v>0.0699734278122231</v>
      </c>
      <c r="W17" s="23">
        <f t="shared" si="4"/>
        <v>4.69620253164558</v>
      </c>
      <c r="X17" s="3">
        <f t="shared" si="5"/>
        <v>-1890</v>
      </c>
      <c r="Y17" s="5">
        <f t="shared" si="6"/>
        <v>-0.0797165633303807</v>
      </c>
      <c r="Z17" s="5">
        <f>IF(OR(AE17="",多次统计数据!$B$8=""),"",AE17-多次统计数据!$B$8)</f>
        <v>-0.131162008309324</v>
      </c>
      <c r="AA17" s="8">
        <f t="shared" si="7"/>
        <v>59</v>
      </c>
      <c r="AB17" s="5">
        <f>IF(OR(A17="",多次统计数据!$B$8="",多次统计数据!$B$6&lt;=0,多次统计数据!$B$6&gt;=1),"",1-POWER(1+多次统计数据!$B$8,-多次统计数据!$B$6/(1-多次统计数据!$B$6)))</f>
        <v>0.0602504749804965</v>
      </c>
      <c r="AC17" s="6" t="str">
        <f>IF(OR(AB17="",多次统计数据!$B$9=""),"",IF(多次统计数据!$B$9&lt;AB17,"低于上限","达到或超过上限"))</f>
        <v>低于上限</v>
      </c>
      <c r="AD17" s="21"/>
      <c r="AE17" s="5">
        <f t="shared" si="8"/>
        <v>-0.0220387602322815</v>
      </c>
      <c r="AG17" s="21" t="s">
        <v>50</v>
      </c>
      <c r="AH17" s="21" t="s">
        <v>51</v>
      </c>
      <c r="AI17" s="10" t="s">
        <v>57</v>
      </c>
      <c r="AJ17" s="6" t="str">
        <f t="shared" si="9"/>
        <v>匹配</v>
      </c>
      <c r="AK17" s="24">
        <f>IF(A17="","",COUNTIFS(加仓管理!$A$2:$A$1001,A17,加仓管理!$G$2:$G$1001,"&gt;0"))</f>
        <v>0</v>
      </c>
      <c r="AL17" s="24">
        <f>IF(A17="","",SUMIFS(加仓管理!$G$2:$G$1001,加仓管理!$A$2:$A$1001,A17))</f>
        <v>0</v>
      </c>
      <c r="AM17" s="25" t="str">
        <f>IF(AK17=0,"",IFERROR(LOOKUP(2,1/((加仓管理!$A$2:$A$1001=A17)*(加仓管理!$G$2:$G$1001&gt;0)),加仓管理!$D$2:$D$1001),""))</f>
        <v/>
      </c>
      <c r="AN17" s="25" t="str">
        <f>IF(AK17=0,"",IFERROR(LOOKUP(2,1/((加仓管理!$A$2:$A$1001=A17)*(加仓管理!$G$2:$G$1001&gt;0)),加仓管理!$E$2:$E$1001),""))</f>
        <v/>
      </c>
      <c r="AO17" s="25">
        <f>IF(OR(A17="",H17="",H17&lt;=0),"",(E17*H17+SUMIFS(加仓管理!$H$2:$H$1001,加仓管理!$A$2:$A$1001,A17))/AP17)</f>
        <v>11.29</v>
      </c>
      <c r="AP17" s="24">
        <f t="shared" si="10"/>
        <v>2100</v>
      </c>
      <c r="AQ17" s="25">
        <f>IF(A17="","",IF(M17&lt;&gt;"",0,IF(OR(H17="",N17=""),"",MAX((E17*H17+SUMIFS(加仓管理!$H$2:$H$1001,加仓管理!$A$2:$A$1001,A17))-MAX(N17,AN17)*AP17,0))))</f>
        <v>0</v>
      </c>
      <c r="AR17" s="25" t="str">
        <f ca="1"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ht="17" spans="1:44">
      <c r="A18" s="21">
        <v>17</v>
      </c>
      <c r="B18" s="10" t="s">
        <v>44</v>
      </c>
      <c r="C18" s="7">
        <v>83868</v>
      </c>
      <c r="D18" s="4">
        <v>0.02</v>
      </c>
      <c r="E18" s="7">
        <v>12.37</v>
      </c>
      <c r="F18" s="6">
        <f t="shared" si="0"/>
        <v>2900</v>
      </c>
      <c r="G18" s="6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1">
        <v>2900</v>
      </c>
      <c r="I18" s="22">
        <v>44859</v>
      </c>
      <c r="J18" s="7">
        <v>15</v>
      </c>
      <c r="K18" s="7">
        <v>14.53</v>
      </c>
      <c r="L18" s="6">
        <f t="shared" si="1"/>
        <v>5100</v>
      </c>
      <c r="M18" s="22">
        <v>44973</v>
      </c>
      <c r="N18" s="7">
        <v>11.8</v>
      </c>
      <c r="O18" s="7"/>
      <c r="P18" s="7"/>
      <c r="Q18" s="21"/>
      <c r="R18" s="21"/>
      <c r="S18" s="21"/>
      <c r="T18" s="21"/>
      <c r="U18" s="5">
        <f t="shared" si="2"/>
        <v>0.155013361919285</v>
      </c>
      <c r="V18" s="5">
        <f t="shared" si="3"/>
        <v>0.0913894886234957</v>
      </c>
      <c r="W18" s="23">
        <f t="shared" si="4"/>
        <v>1.69618371055675</v>
      </c>
      <c r="X18" s="3">
        <f t="shared" si="5"/>
        <v>7870</v>
      </c>
      <c r="Y18" s="5">
        <f t="shared" si="6"/>
        <v>0.118822943245814</v>
      </c>
      <c r="Z18" s="5">
        <f>IF(OR(AE18="",多次统计数据!$B$8=""),"",AE18-多次统计数据!$B$8)</f>
        <v>-0.0152853122731603</v>
      </c>
      <c r="AA18" s="8">
        <f t="shared" si="7"/>
        <v>114</v>
      </c>
      <c r="AB18" s="5">
        <f>IF(OR(A18="",多次统计数据!$B$8="",多次统计数据!$B$6&lt;=0,多次统计数据!$B$6&gt;=1),"",1-POWER(1+多次统计数据!$B$8,-多次统计数据!$B$6/(1-多次统计数据!$B$6)))</f>
        <v>0.0602504749804965</v>
      </c>
      <c r="AC18" s="6" t="str">
        <f>IF(OR(AB18="",多次统计数据!$B$9=""),"",IF(多次统计数据!$B$9&lt;AB18,"低于上限","达到或超过上限"))</f>
        <v>低于上限</v>
      </c>
      <c r="AD18" s="21"/>
      <c r="AE18" s="5">
        <f t="shared" si="8"/>
        <v>0.0938379358038823</v>
      </c>
      <c r="AG18" s="21" t="s">
        <v>50</v>
      </c>
      <c r="AH18" s="21" t="s">
        <v>51</v>
      </c>
      <c r="AI18" s="10" t="s">
        <v>57</v>
      </c>
      <c r="AJ18" s="6" t="str">
        <f t="shared" si="9"/>
        <v>匹配</v>
      </c>
      <c r="AK18" s="24">
        <f>IF(A18="","",COUNTIFS(加仓管理!$A$2:$A$1001,A18,加仓管理!$G$2:$G$1001,"&gt;0"))</f>
        <v>1</v>
      </c>
      <c r="AL18" s="24">
        <f>IF(A18="","",SUMIFS(加仓管理!$G$2:$G$1001,加仓管理!$A$2:$A$1001,A18))</f>
        <v>2200</v>
      </c>
      <c r="AM18" s="25">
        <f>IF(AK18=0,"",IFERROR(LOOKUP(2,1/((加仓管理!$A$2:$A$1001=A18)*(加仓管理!$G$2:$G$1001&gt;0)),加仓管理!$D$2:$D$1001),""))</f>
        <v>13.8</v>
      </c>
      <c r="AN18" s="25">
        <f>IF(AK18=0,"",IFERROR(LOOKUP(2,1/((加仓管理!$A$2:$A$1001=A18)*(加仓管理!$G$2:$G$1001&gt;0)),加仓管理!$E$2:$E$1001),""))</f>
        <v>13</v>
      </c>
      <c r="AO18" s="25">
        <f>IF(OR(A18="",H18="",H18&lt;=0),"",(E18*H18+SUMIFS(加仓管理!$H$2:$H$1001,加仓管理!$A$2:$A$1001,A18))/AP18)</f>
        <v>12.986862745098</v>
      </c>
      <c r="AP18" s="24">
        <f t="shared" si="10"/>
        <v>5100</v>
      </c>
      <c r="AQ18" s="25">
        <f>IF(A18="","",IF(M18&lt;&gt;"",0,IF(OR(H18="",N18=""),"",MAX((E18*H18+SUMIFS(加仓管理!$H$2:$H$1001,加仓管理!$A$2:$A$1001,A18))-MAX(N18,AN18)*AP18,0))))</f>
        <v>0</v>
      </c>
      <c r="AR18" s="25" t="str">
        <f ca="1"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通过</v>
      </c>
    </row>
    <row r="19" ht="17" spans="1:44">
      <c r="A19" s="21">
        <v>18</v>
      </c>
      <c r="B19" s="10" t="s">
        <v>44</v>
      </c>
      <c r="C19" s="7">
        <v>91738</v>
      </c>
      <c r="D19" s="4">
        <v>0.02</v>
      </c>
      <c r="E19" s="7">
        <v>15.4</v>
      </c>
      <c r="F19" s="6">
        <f t="shared" si="0"/>
        <v>2000</v>
      </c>
      <c r="G19" s="6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1">
        <v>2000</v>
      </c>
      <c r="I19" s="22">
        <v>44977</v>
      </c>
      <c r="J19" s="7">
        <v>18</v>
      </c>
      <c r="K19" s="7">
        <v>20.7</v>
      </c>
      <c r="L19" s="6">
        <f t="shared" si="1"/>
        <v>3900</v>
      </c>
      <c r="M19" s="22">
        <v>44991</v>
      </c>
      <c r="N19" s="7">
        <v>14.5</v>
      </c>
      <c r="O19" s="7"/>
      <c r="P19" s="7"/>
      <c r="Q19" s="21"/>
      <c r="R19" s="21"/>
      <c r="S19" s="21"/>
      <c r="T19" s="21"/>
      <c r="U19" s="5">
        <f t="shared" si="2"/>
        <v>0.0911634413616228</v>
      </c>
      <c r="V19" s="5">
        <f t="shared" si="3"/>
        <v>0.121007227792026</v>
      </c>
      <c r="W19" s="23">
        <f t="shared" si="4"/>
        <v>0.753371868978806</v>
      </c>
      <c r="X19" s="3">
        <f t="shared" si="5"/>
        <v>16395</v>
      </c>
      <c r="Y19" s="5">
        <f t="shared" si="6"/>
        <v>0.254837957565866</v>
      </c>
      <c r="Z19" s="5">
        <f>IF(OR(AE19="",多次统计数据!$B$8=""),"",AE19-多次统计数据!$B$8)</f>
        <v>0.0695922242463131</v>
      </c>
      <c r="AA19" s="8">
        <f t="shared" si="7"/>
        <v>14</v>
      </c>
      <c r="AB19" s="5">
        <f>IF(OR(A19="",多次统计数据!$B$8="",多次统计数据!$B$6&lt;=0,多次统计数据!$B$6&gt;=1),"",1-POWER(1+多次统计数据!$B$8,-多次统计数据!$B$6/(1-多次统计数据!$B$6)))</f>
        <v>0.0602504749804965</v>
      </c>
      <c r="AC19" s="6" t="str">
        <f>IF(OR(AB19="",多次统计数据!$B$9=""),"",IF(多次统计数据!$B$9&lt;AB19,"低于上限","达到或超过上限"))</f>
        <v>低于上限</v>
      </c>
      <c r="AD19" s="21"/>
      <c r="AE19" s="5">
        <f t="shared" si="8"/>
        <v>0.178715472323356</v>
      </c>
      <c r="AG19" s="21" t="s">
        <v>45</v>
      </c>
      <c r="AH19" s="21" t="s">
        <v>58</v>
      </c>
      <c r="AI19" s="10" t="s">
        <v>57</v>
      </c>
      <c r="AJ19" s="6" t="str">
        <f t="shared" si="9"/>
        <v>匹配</v>
      </c>
      <c r="AK19" s="24">
        <f>IF(A19="","",COUNTIFS(加仓管理!$A$2:$A$1001,A19,加仓管理!$G$2:$G$1001,"&gt;0"))</f>
        <v>1</v>
      </c>
      <c r="AL19" s="24">
        <f>IF(A19="","",SUMIFS(加仓管理!$G$2:$G$1001,加仓管理!$A$2:$A$1001,A19))</f>
        <v>1900</v>
      </c>
      <c r="AM19" s="25">
        <f>IF(AK19=0,"",IFERROR(LOOKUP(2,1/((加仓管理!$A$2:$A$1001=A19)*(加仓管理!$G$2:$G$1001&gt;0)),加仓管理!$D$2:$D$1001),""))</f>
        <v>17.65</v>
      </c>
      <c r="AN19" s="25">
        <f>IF(AK19=0,"",IFERROR(LOOKUP(2,1/((加仓管理!$A$2:$A$1001=A19)*(加仓管理!$G$2:$G$1001&gt;0)),加仓管理!$E$2:$E$1001),""))</f>
        <v>16.5</v>
      </c>
      <c r="AO19" s="25">
        <f>IF(OR(A19="",H19="",H19&lt;=0),"",(E19*H19+SUMIFS(加仓管理!$H$2:$H$1001,加仓管理!$A$2:$A$1001,A19))/AP19)</f>
        <v>16.4961538461538</v>
      </c>
      <c r="AP19" s="24">
        <f t="shared" si="10"/>
        <v>3900</v>
      </c>
      <c r="AQ19" s="25">
        <f>IF(A19="","",IF(M19&lt;&gt;"",0,IF(OR(H19="",N19=""),"",MAX((E19*H19+SUMIFS(加仓管理!$H$2:$H$1001,加仓管理!$A$2:$A$1001,A19))-MAX(N19,AN19)*AP19,0))))</f>
        <v>0</v>
      </c>
      <c r="AR19" s="25" t="str">
        <f ca="1"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通过</v>
      </c>
    </row>
    <row r="20" ht="17" spans="1:44">
      <c r="A20" s="21">
        <v>19</v>
      </c>
      <c r="B20" s="10" t="s">
        <v>44</v>
      </c>
      <c r="C20" s="7">
        <v>108133</v>
      </c>
      <c r="D20" s="4">
        <v>0.02</v>
      </c>
      <c r="E20" s="7">
        <v>21.73</v>
      </c>
      <c r="F20" s="6">
        <f t="shared" si="0"/>
        <v>1200</v>
      </c>
      <c r="G20" s="6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1">
        <v>1200</v>
      </c>
      <c r="I20" s="22">
        <v>44998</v>
      </c>
      <c r="J20" s="7">
        <v>24</v>
      </c>
      <c r="K20" s="7">
        <v>21.8</v>
      </c>
      <c r="L20" s="6">
        <f t="shared" si="1"/>
        <v>1200</v>
      </c>
      <c r="M20" s="22">
        <v>45000</v>
      </c>
      <c r="N20" s="7">
        <v>20</v>
      </c>
      <c r="O20" s="7"/>
      <c r="P20" s="7"/>
      <c r="Q20" s="21"/>
      <c r="R20" s="21"/>
      <c r="S20" s="21"/>
      <c r="T20" s="21"/>
      <c r="U20" s="5">
        <f t="shared" si="2"/>
        <v>0.104463874827427</v>
      </c>
      <c r="V20" s="5">
        <f t="shared" si="3"/>
        <v>0.0796134376438104</v>
      </c>
      <c r="W20" s="23">
        <f t="shared" si="4"/>
        <v>1.3121387283237</v>
      </c>
      <c r="X20" s="3">
        <f t="shared" si="5"/>
        <v>84.0000000000003</v>
      </c>
      <c r="Y20" s="5">
        <f t="shared" si="6"/>
        <v>0.00322135296824668</v>
      </c>
      <c r="Z20" s="5">
        <f>IF(OR(AE20="",多次统计数据!$B$8=""),"",AE20-多次统计数据!$B$8)</f>
        <v>-0.108346426940109</v>
      </c>
      <c r="AA20" s="8">
        <f t="shared" si="7"/>
        <v>2</v>
      </c>
      <c r="AB20" s="5">
        <f>IF(OR(A20="",多次统计数据!$B$8="",多次统计数据!$B$6&lt;=0,多次统计数据!$B$6&gt;=1),"",1-POWER(1+多次统计数据!$B$8,-多次统计数据!$B$6/(1-多次统计数据!$B$6)))</f>
        <v>0.0602504749804965</v>
      </c>
      <c r="AC20" s="6" t="str">
        <f>IF(OR(AB20="",多次统计数据!$B$9=""),"",IF(多次统计数据!$B$9&lt;AB20,"低于上限","达到或超过上限"))</f>
        <v>低于上限</v>
      </c>
      <c r="AD20" s="21"/>
      <c r="AE20" s="5">
        <f t="shared" si="8"/>
        <v>0.000776821136933224</v>
      </c>
      <c r="AG20" s="21" t="s">
        <v>45</v>
      </c>
      <c r="AH20" s="21" t="s">
        <v>58</v>
      </c>
      <c r="AI20" s="10" t="s">
        <v>57</v>
      </c>
      <c r="AJ20" s="6" t="str">
        <f t="shared" si="9"/>
        <v>匹配</v>
      </c>
      <c r="AK20" s="24">
        <f>IF(A20="","",COUNTIFS(加仓管理!$A$2:$A$1001,A20,加仓管理!$G$2:$G$1001,"&gt;0"))</f>
        <v>0</v>
      </c>
      <c r="AL20" s="24">
        <f>IF(A20="","",SUMIFS(加仓管理!$G$2:$G$1001,加仓管理!$A$2:$A$1001,A20))</f>
        <v>0</v>
      </c>
      <c r="AM20" s="25" t="str">
        <f>IF(AK20=0,"",IFERROR(LOOKUP(2,1/((加仓管理!$A$2:$A$1001=A20)*(加仓管理!$G$2:$G$1001&gt;0)),加仓管理!$D$2:$D$1001),""))</f>
        <v/>
      </c>
      <c r="AN20" s="25" t="str">
        <f>IF(AK20=0,"",IFERROR(LOOKUP(2,1/((加仓管理!$A$2:$A$1001=A20)*(加仓管理!$G$2:$G$1001&gt;0)),加仓管理!$E$2:$E$1001),""))</f>
        <v/>
      </c>
      <c r="AO20" s="25">
        <f>IF(OR(A20="",H20="",H20&lt;=0),"",(E20*H20+SUMIFS(加仓管理!$H$2:$H$1001,加仓管理!$A$2:$A$1001,A20))/AP20)</f>
        <v>21.73</v>
      </c>
      <c r="AP20" s="24">
        <f t="shared" si="10"/>
        <v>1200</v>
      </c>
      <c r="AQ20" s="25">
        <f>IF(A20="","",IF(M20&lt;&gt;"",0,IF(OR(H20="",N20=""),"",MAX((E20*H20+SUMIFS(加仓管理!$H$2:$H$1001,加仓管理!$A$2:$A$1001,A20))-MAX(N20,AN20)*AP20,0))))</f>
        <v>0</v>
      </c>
      <c r="AR20" s="25" t="str">
        <f ca="1"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通过</v>
      </c>
    </row>
    <row r="21" ht="17" spans="1:44">
      <c r="A21" s="21">
        <v>20</v>
      </c>
      <c r="B21" s="10" t="s">
        <v>44</v>
      </c>
      <c r="C21" s="7">
        <v>108217</v>
      </c>
      <c r="D21" s="4">
        <v>0.02</v>
      </c>
      <c r="E21" s="7">
        <v>25.15</v>
      </c>
      <c r="F21" s="6">
        <f t="shared" si="0"/>
        <v>1000</v>
      </c>
      <c r="G21" s="6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1">
        <v>1000</v>
      </c>
      <c r="I21" s="22">
        <v>45005</v>
      </c>
      <c r="J21" s="7">
        <v>30</v>
      </c>
      <c r="K21" s="7">
        <v>56.96</v>
      </c>
      <c r="L21" s="6">
        <f t="shared" si="1"/>
        <v>3200</v>
      </c>
      <c r="M21" s="22">
        <v>45054</v>
      </c>
      <c r="N21" s="7">
        <v>23</v>
      </c>
      <c r="O21" s="7"/>
      <c r="P21" s="7"/>
      <c r="Q21" s="21"/>
      <c r="R21" s="21"/>
      <c r="S21" s="21"/>
      <c r="T21" s="21"/>
      <c r="U21" s="5">
        <f t="shared" si="2"/>
        <v>-0.105828878001527</v>
      </c>
      <c r="V21" s="5">
        <f t="shared" si="3"/>
        <v>0.314468806467838</v>
      </c>
      <c r="W21" s="23">
        <f t="shared" si="4"/>
        <v>-0.336532195959955</v>
      </c>
      <c r="X21" s="3">
        <f t="shared" si="5"/>
        <v>74910</v>
      </c>
      <c r="Y21" s="5">
        <f t="shared" si="6"/>
        <v>0.697732903634433</v>
      </c>
      <c r="Z21" s="5">
        <f>IF(OR(AE21="",多次统计数据!$B$8=""),"",AE21-多次统计数据!$B$8)</f>
        <v>0.583097013064922</v>
      </c>
      <c r="AA21" s="8">
        <f t="shared" si="7"/>
        <v>49</v>
      </c>
      <c r="AB21" s="5">
        <f>IF(OR(A21="",多次统计数据!$B$8="",多次统计数据!$B$6&lt;=0,多次统计数据!$B$6&gt;=1),"",1-POWER(1+多次统计数据!$B$8,-多次统计数据!$B$6/(1-多次统计数据!$B$6)))</f>
        <v>0.0602504749804965</v>
      </c>
      <c r="AC21" s="6" t="str">
        <f>IF(OR(AB21="",多次统计数据!$B$9=""),"",IF(多次统计数据!$B$9&lt;AB21,"低于上限","达到或超过上限"))</f>
        <v>低于上限</v>
      </c>
      <c r="AD21" s="21"/>
      <c r="AE21" s="5">
        <f t="shared" si="8"/>
        <v>0.692220261141965</v>
      </c>
      <c r="AG21" s="21" t="s">
        <v>45</v>
      </c>
      <c r="AH21" s="21" t="s">
        <v>58</v>
      </c>
      <c r="AI21" s="10" t="s">
        <v>57</v>
      </c>
      <c r="AJ21" s="6" t="str">
        <f t="shared" si="9"/>
        <v>匹配</v>
      </c>
      <c r="AK21" s="24">
        <f>IF(A21="","",COUNTIFS(加仓管理!$A$2:$A$1001,A21,加仓管理!$G$2:$G$1001,"&gt;0"))</f>
        <v>5</v>
      </c>
      <c r="AL21" s="24">
        <f>IF(A21="","",SUMIFS(加仓管理!$G$2:$G$1001,加仓管理!$A$2:$A$1001,A21))</f>
        <v>2200</v>
      </c>
      <c r="AM21" s="25">
        <f>IF(AK21=0,"",IFERROR(LOOKUP(2,1/((加仓管理!$A$2:$A$1001=A21)*(加仓管理!$G$2:$G$1001&gt;0)),加仓管理!$D$2:$D$1001),""))</f>
        <v>56.96</v>
      </c>
      <c r="AN21" s="25">
        <f>IF(AK21=0,"",IFERROR(LOOKUP(2,1/((加仓管理!$A$2:$A$1001=A21)*(加仓管理!$G$2:$G$1001&gt;0)),加仓管理!$E$2:$E$1001),""))</f>
        <v>50</v>
      </c>
      <c r="AO21" s="25">
        <f>IF(OR(A21="",H21="",H21&lt;=0),"",(E21*H21+SUMIFS(加仓管理!$H$2:$H$1001,加仓管理!$A$2:$A$1001,A21))/AP21)</f>
        <v>33.550625</v>
      </c>
      <c r="AP21" s="24">
        <f t="shared" si="10"/>
        <v>3200</v>
      </c>
      <c r="AQ21" s="25">
        <f>IF(A21="","",IF(M21&lt;&gt;"",0,IF(OR(H21="",N21=""),"",MAX((E21*H21+SUMIFS(加仓管理!$H$2:$H$1001,加仓管理!$A$2:$A$1001,A21))-MAX(N21,AN21)*AP21,0))))</f>
        <v>0</v>
      </c>
      <c r="AR21" s="25" t="str">
        <f ca="1"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ht="17" spans="1:44">
      <c r="A22" s="21">
        <v>21</v>
      </c>
      <c r="B22" s="10" t="s">
        <v>44</v>
      </c>
      <c r="C22" s="7">
        <v>183127</v>
      </c>
      <c r="D22" s="4">
        <v>0.02</v>
      </c>
      <c r="E22" s="7">
        <v>70.75</v>
      </c>
      <c r="F22" s="6">
        <f t="shared" si="0"/>
        <v>200</v>
      </c>
      <c r="G22" s="6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1">
        <v>200</v>
      </c>
      <c r="I22" s="22">
        <v>45071</v>
      </c>
      <c r="J22" s="7">
        <v>80</v>
      </c>
      <c r="K22" s="7">
        <v>69.1</v>
      </c>
      <c r="L22" s="6">
        <f t="shared" si="1"/>
        <v>200</v>
      </c>
      <c r="M22" s="22">
        <v>45082</v>
      </c>
      <c r="N22" s="7">
        <v>55</v>
      </c>
      <c r="O22" s="7"/>
      <c r="P22" s="7"/>
      <c r="Q22" s="21"/>
      <c r="R22" s="21"/>
      <c r="S22" s="21"/>
      <c r="T22" s="21"/>
      <c r="U22" s="5">
        <f t="shared" si="2"/>
        <v>0.130742049469965</v>
      </c>
      <c r="V22" s="5">
        <f t="shared" si="3"/>
        <v>0.222614840989399</v>
      </c>
      <c r="W22" s="23">
        <f t="shared" si="4"/>
        <v>0.587301587301587</v>
      </c>
      <c r="X22" s="3">
        <f t="shared" si="5"/>
        <v>-330.000000000001</v>
      </c>
      <c r="Y22" s="5">
        <f t="shared" si="6"/>
        <v>-0.0233215547703181</v>
      </c>
      <c r="Z22" s="5">
        <f>IF(OR(AE22="",多次统计数据!$B$8=""),"",AE22-多次统计数据!$B$8)</f>
        <v>-0.11092527617776</v>
      </c>
      <c r="AA22" s="8">
        <f t="shared" si="7"/>
        <v>11</v>
      </c>
      <c r="AB22" s="5">
        <f>IF(OR(A22="",多次统计数据!$B$8="",多次统计数据!$B$6&lt;=0,多次统计数据!$B$6&gt;=1),"",1-POWER(1+多次统计数据!$B$8,-多次统计数据!$B$6/(1-多次统计数据!$B$6)))</f>
        <v>0.0602504749804965</v>
      </c>
      <c r="AC22" s="6" t="str">
        <f>IF(OR(AB22="",多次统计数据!$B$9=""),"",IF(多次统计数据!$B$9&lt;AB22,"低于上限","达到或超过上限"))</f>
        <v>低于上限</v>
      </c>
      <c r="AD22" s="21"/>
      <c r="AE22" s="5">
        <f t="shared" si="8"/>
        <v>-0.00180202810071699</v>
      </c>
      <c r="AG22" s="21" t="s">
        <v>45</v>
      </c>
      <c r="AH22" s="21" t="s">
        <v>58</v>
      </c>
      <c r="AI22" s="10" t="s">
        <v>57</v>
      </c>
      <c r="AJ22" s="6" t="str">
        <f t="shared" si="9"/>
        <v>匹配</v>
      </c>
      <c r="AK22" s="24">
        <f>IF(A22="","",COUNTIFS(加仓管理!$A$2:$A$1001,A22,加仓管理!$G$2:$G$1001,"&gt;0"))</f>
        <v>0</v>
      </c>
      <c r="AL22" s="24">
        <f>IF(A22="","",SUMIFS(加仓管理!$G$2:$G$1001,加仓管理!$A$2:$A$1001,A22))</f>
        <v>0</v>
      </c>
      <c r="AM22" s="25" t="str">
        <f>IF(AK22=0,"",IFERROR(LOOKUP(2,1/((加仓管理!$A$2:$A$1001=A22)*(加仓管理!$G$2:$G$1001&gt;0)),加仓管理!$D$2:$D$1001),""))</f>
        <v/>
      </c>
      <c r="AN22" s="25" t="str">
        <f>IF(AK22=0,"",IFERROR(LOOKUP(2,1/((加仓管理!$A$2:$A$1001=A22)*(加仓管理!$G$2:$G$1001&gt;0)),加仓管理!$E$2:$E$1001),""))</f>
        <v/>
      </c>
      <c r="AO22" s="25">
        <f>IF(OR(A22="",H22="",H22&lt;=0),"",(E22*H22+SUMIFS(加仓管理!$H$2:$H$1001,加仓管理!$A$2:$A$1001,A22))/AP22)</f>
        <v>70.75</v>
      </c>
      <c r="AP22" s="24">
        <f t="shared" si="10"/>
        <v>200</v>
      </c>
      <c r="AQ22" s="25">
        <f>IF(A22="","",IF(M22&lt;&gt;"",0,IF(OR(H22="",N22=""),"",MAX((E22*H22+SUMIFS(加仓管理!$H$2:$H$1001,加仓管理!$A$2:$A$1001,A22))-MAX(N22,AN22)*AP22,0))))</f>
        <v>0</v>
      </c>
      <c r="AR22" s="25" t="str">
        <f ca="1"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通过</v>
      </c>
    </row>
    <row r="23" ht="17" spans="1:44">
      <c r="A23" s="21">
        <v>22</v>
      </c>
      <c r="B23" s="10" t="s">
        <v>44</v>
      </c>
      <c r="C23" s="7">
        <v>182797</v>
      </c>
      <c r="D23" s="4">
        <v>0.02</v>
      </c>
      <c r="E23" s="7">
        <v>47.77</v>
      </c>
      <c r="F23" s="6">
        <f t="shared" si="0"/>
        <v>1300</v>
      </c>
      <c r="G23" s="6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1">
        <v>1300</v>
      </c>
      <c r="I23" s="22">
        <v>45355</v>
      </c>
      <c r="J23" s="7">
        <v>55</v>
      </c>
      <c r="K23" s="7">
        <v>48.71</v>
      </c>
      <c r="L23" s="6">
        <f t="shared" si="1"/>
        <v>1300</v>
      </c>
      <c r="M23" s="22">
        <v>45361</v>
      </c>
      <c r="N23" s="7">
        <v>45</v>
      </c>
      <c r="O23" s="7"/>
      <c r="P23" s="7"/>
      <c r="Q23" s="21"/>
      <c r="R23" s="21"/>
      <c r="S23" s="21"/>
      <c r="T23" s="21"/>
      <c r="U23" s="5">
        <f t="shared" si="2"/>
        <v>0.151350219803224</v>
      </c>
      <c r="V23" s="5">
        <f t="shared" si="3"/>
        <v>0.0579861837973624</v>
      </c>
      <c r="W23" s="23">
        <f t="shared" si="4"/>
        <v>2.61010830324909</v>
      </c>
      <c r="X23" s="3">
        <f t="shared" si="5"/>
        <v>1222</v>
      </c>
      <c r="Y23" s="5">
        <f t="shared" si="6"/>
        <v>0.019677621938455</v>
      </c>
      <c r="Z23" s="5">
        <f>IF(OR(AE23="",多次统计数据!$B$8=""),"",AE23-多次统计数据!$B$8)</f>
        <v>-0.102438236835064</v>
      </c>
      <c r="AA23" s="8">
        <f t="shared" si="7"/>
        <v>6</v>
      </c>
      <c r="AB23" s="5">
        <f>IF(OR(A23="",多次统计数据!$B$8="",多次统计数据!$B$6&lt;=0,多次统计数据!$B$6&gt;=1),"",1-POWER(1+多次统计数据!$B$8,-多次统计数据!$B$6/(1-多次统计数据!$B$6)))</f>
        <v>0.0602504749804965</v>
      </c>
      <c r="AC23" s="6" t="str">
        <f>IF(OR(AB23="",多次统计数据!$B$9=""),"",IF(多次统计数据!$B$9&lt;AB23,"低于上限","达到或超过上限"))</f>
        <v>低于上限</v>
      </c>
      <c r="AD23" s="21"/>
      <c r="AE23" s="5">
        <f t="shared" si="8"/>
        <v>0.00668501124197879</v>
      </c>
      <c r="AG23" s="21" t="s">
        <v>50</v>
      </c>
      <c r="AH23" s="21" t="s">
        <v>58</v>
      </c>
      <c r="AI23" s="10" t="s">
        <v>59</v>
      </c>
      <c r="AJ23" s="6" t="str">
        <f t="shared" si="9"/>
        <v>匹配</v>
      </c>
      <c r="AK23" s="24">
        <f>IF(A23="","",COUNTIFS(加仓管理!$A$2:$A$1001,A23,加仓管理!$G$2:$G$1001,"&gt;0"))</f>
        <v>0</v>
      </c>
      <c r="AL23" s="24">
        <f>IF(A23="","",SUMIFS(加仓管理!$G$2:$G$1001,加仓管理!$A$2:$A$1001,A23))</f>
        <v>0</v>
      </c>
      <c r="AM23" s="25" t="str">
        <f>IF(AK23=0,"",IFERROR(LOOKUP(2,1/((加仓管理!$A$2:$A$1001=A23)*(加仓管理!$G$2:$G$1001&gt;0)),加仓管理!$D$2:$D$1001),""))</f>
        <v/>
      </c>
      <c r="AN23" s="25" t="str">
        <f>IF(AK23=0,"",IFERROR(LOOKUP(2,1/((加仓管理!$A$2:$A$1001=A23)*(加仓管理!$G$2:$G$1001&gt;0)),加仓管理!$E$2:$E$1001),""))</f>
        <v/>
      </c>
      <c r="AO23" s="25">
        <f>IF(OR(A23="",H23="",H23&lt;=0),"",(E23*H23+SUMIFS(加仓管理!$H$2:$H$1001,加仓管理!$A$2:$A$1001,A23))/AP23)</f>
        <v>47.77</v>
      </c>
      <c r="AP23" s="24">
        <f t="shared" si="10"/>
        <v>1300</v>
      </c>
      <c r="AQ23" s="25">
        <f>IF(A23="","",IF(M23&lt;&gt;"",0,IF(OR(H23="",N23=""),"",MAX((E23*H23+SUMIFS(加仓管理!$H$2:$H$1001,加仓管理!$A$2:$A$1001,A23))-MAX(N23,AN23)*AP23,0))))</f>
        <v>0</v>
      </c>
      <c r="AR23" s="25" t="str">
        <f ca="1"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ht="17" spans="1:44">
      <c r="A24" s="21">
        <v>23</v>
      </c>
      <c r="B24" s="10" t="s">
        <v>44</v>
      </c>
      <c r="C24" s="7">
        <v>184019</v>
      </c>
      <c r="D24" s="4">
        <v>0.02</v>
      </c>
      <c r="E24" s="7">
        <v>33.45</v>
      </c>
      <c r="F24" s="6">
        <f t="shared" si="0"/>
        <v>1000</v>
      </c>
      <c r="G24" s="6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1">
        <v>1000</v>
      </c>
      <c r="I24" s="22">
        <v>45476</v>
      </c>
      <c r="J24" s="7">
        <v>40</v>
      </c>
      <c r="K24" s="7">
        <v>33.18</v>
      </c>
      <c r="L24" s="6">
        <f t="shared" si="1"/>
        <v>1700</v>
      </c>
      <c r="M24" s="22">
        <v>45574</v>
      </c>
      <c r="N24" s="7">
        <v>30</v>
      </c>
      <c r="O24" s="7"/>
      <c r="P24" s="7"/>
      <c r="Q24" s="21"/>
      <c r="R24" s="21"/>
      <c r="S24" s="21"/>
      <c r="T24" s="21"/>
      <c r="U24" s="5">
        <f t="shared" si="2"/>
        <v>0.146556956902947</v>
      </c>
      <c r="V24" s="5">
        <f t="shared" si="3"/>
        <v>0.14008228232279</v>
      </c>
      <c r="W24" s="23">
        <f t="shared" si="4"/>
        <v>1.04622051035147</v>
      </c>
      <c r="X24" s="3">
        <f t="shared" si="5"/>
        <v>-2902.00000000001</v>
      </c>
      <c r="Y24" s="5">
        <f t="shared" si="6"/>
        <v>-0.0489310042490053</v>
      </c>
      <c r="Z24" s="5">
        <f>IF(OR(AE24="",多次统计数据!$B$8=""),"",AE24-多次统计数据!$B$8)</f>
        <v>-0.124893358772134</v>
      </c>
      <c r="AA24" s="8">
        <f t="shared" si="7"/>
        <v>98</v>
      </c>
      <c r="AB24" s="5">
        <f>IF(OR(A24="",多次统计数据!$B$8="",多次统计数据!$B$6&lt;=0,多次统计数据!$B$6&gt;=1),"",1-POWER(1+多次统计数据!$B$8,-多次统计数据!$B$6/(1-多次统计数据!$B$6)))</f>
        <v>0.0602504749804965</v>
      </c>
      <c r="AC24" s="6" t="str">
        <f>IF(OR(AB24="",多次统计数据!$B$9=""),"",IF(多次统计数据!$B$9&lt;AB24,"低于上限","达到或超过上限"))</f>
        <v>低于上限</v>
      </c>
      <c r="AD24" s="21"/>
      <c r="AE24" s="5">
        <f t="shared" si="8"/>
        <v>-0.0157701106950913</v>
      </c>
      <c r="AG24" s="21" t="s">
        <v>50</v>
      </c>
      <c r="AH24" s="21" t="s">
        <v>58</v>
      </c>
      <c r="AI24" s="10" t="s">
        <v>59</v>
      </c>
      <c r="AJ24" s="6" t="str">
        <f t="shared" si="9"/>
        <v>匹配</v>
      </c>
      <c r="AK24" s="24">
        <f>IF(A24="","",COUNTIFS(加仓管理!$A$2:$A$1001,A24,加仓管理!$G$2:$G$1001,"&gt;0"))</f>
        <v>1</v>
      </c>
      <c r="AL24" s="24">
        <f>IF(A24="","",SUMIFS(加仓管理!$G$2:$G$1001,加仓管理!$A$2:$A$1001,A24))</f>
        <v>700</v>
      </c>
      <c r="AM24" s="25">
        <f>IF(AK24=0,"",IFERROR(LOOKUP(2,1/((加仓管理!$A$2:$A$1001=A24)*(加仓管理!$G$2:$G$1001&gt;0)),加仓管理!$D$2:$D$1001),""))</f>
        <v>36.94</v>
      </c>
      <c r="AN24" s="25">
        <f>IF(AK24=0,"",IFERROR(LOOKUP(2,1/((加仓管理!$A$2:$A$1001=A24)*(加仓管理!$G$2:$G$1001&gt;0)),加仓管理!$E$2:$E$1001),""))</f>
        <v>35</v>
      </c>
      <c r="AO24" s="25">
        <f>IF(OR(A24="",H24="",H24&lt;=0),"",(E24*H24+SUMIFS(加仓管理!$H$2:$H$1001,加仓管理!$A$2:$A$1001,A24))/AP24)</f>
        <v>34.8870588235294</v>
      </c>
      <c r="AP24" s="24">
        <f t="shared" si="10"/>
        <v>1700</v>
      </c>
      <c r="AQ24" s="25">
        <f>IF(A24="","",IF(M24&lt;&gt;"",0,IF(OR(H24="",N24=""),"",MAX((E24*H24+SUMIFS(加仓管理!$H$2:$H$1001,加仓管理!$A$2:$A$1001,A24))-MAX(N24,AN24)*AP24,0))))</f>
        <v>0</v>
      </c>
      <c r="AR24" s="25" t="str">
        <f ca="1"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ht="17" spans="1:44">
      <c r="A25" s="21">
        <v>24</v>
      </c>
      <c r="B25" s="10" t="s">
        <v>44</v>
      </c>
      <c r="C25" s="7">
        <v>181117</v>
      </c>
      <c r="D25" s="4">
        <v>0.02</v>
      </c>
      <c r="E25" s="7">
        <v>35.25</v>
      </c>
      <c r="F25" s="6">
        <f t="shared" si="0"/>
        <v>1600</v>
      </c>
      <c r="G25" s="6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1">
        <v>1600</v>
      </c>
      <c r="I25" s="22">
        <v>45586</v>
      </c>
      <c r="J25" s="7">
        <v>40</v>
      </c>
      <c r="K25" s="7">
        <v>35.45</v>
      </c>
      <c r="L25" s="6">
        <f t="shared" si="1"/>
        <v>1600</v>
      </c>
      <c r="M25" s="22">
        <v>45594</v>
      </c>
      <c r="N25" s="7">
        <v>33</v>
      </c>
      <c r="O25" s="7"/>
      <c r="P25" s="7"/>
      <c r="Q25" s="21"/>
      <c r="R25" s="21"/>
      <c r="S25" s="21"/>
      <c r="T25" s="21"/>
      <c r="U25" s="5">
        <f t="shared" si="2"/>
        <v>0.134751773049645</v>
      </c>
      <c r="V25" s="5">
        <f t="shared" si="3"/>
        <v>0.0638297872340425</v>
      </c>
      <c r="W25" s="23">
        <f t="shared" si="4"/>
        <v>2.11111111111111</v>
      </c>
      <c r="X25" s="3">
        <f t="shared" si="5"/>
        <v>320.000000000005</v>
      </c>
      <c r="Y25" s="5">
        <f t="shared" si="6"/>
        <v>0.00567375886524831</v>
      </c>
      <c r="Z25" s="5">
        <f>IF(OR(AE25="",多次统计数据!$B$8=""),"",AE25-多次统计数据!$B$8)</f>
        <v>-0.107356434359943</v>
      </c>
      <c r="AA25" s="8">
        <f t="shared" si="7"/>
        <v>8</v>
      </c>
      <c r="AB25" s="5">
        <f>IF(OR(A25="",多次统计数据!$B$8="",多次统计数据!$B$6&lt;=0,多次统计数据!$B$6&gt;=1),"",1-POWER(1+多次统计数据!$B$8,-多次统计数据!$B$6/(1-多次统计数据!$B$6)))</f>
        <v>0.0602504749804965</v>
      </c>
      <c r="AC25" s="6" t="str">
        <f>IF(OR(AB25="",多次统计数据!$B$9=""),"",IF(多次统计数据!$B$9&lt;AB25,"低于上限","达到或超过上限"))</f>
        <v>低于上限</v>
      </c>
      <c r="AD25" s="21"/>
      <c r="AE25" s="5">
        <f t="shared" si="8"/>
        <v>0.00176681371710002</v>
      </c>
      <c r="AG25" s="21" t="s">
        <v>50</v>
      </c>
      <c r="AH25" s="21" t="s">
        <v>58</v>
      </c>
      <c r="AI25" s="10" t="s">
        <v>59</v>
      </c>
      <c r="AJ25" s="6" t="str">
        <f t="shared" si="9"/>
        <v>匹配</v>
      </c>
      <c r="AK25" s="24">
        <f>IF(A25="","",COUNTIFS(加仓管理!$A$2:$A$1001,A25,加仓管理!$G$2:$G$1001,"&gt;0"))</f>
        <v>0</v>
      </c>
      <c r="AL25" s="24">
        <f>IF(A25="","",SUMIFS(加仓管理!$G$2:$G$1001,加仓管理!$A$2:$A$1001,A25))</f>
        <v>0</v>
      </c>
      <c r="AM25" s="25" t="str">
        <f>IF(AK25=0,"",IFERROR(LOOKUP(2,1/((加仓管理!$A$2:$A$1001=A25)*(加仓管理!$G$2:$G$1001&gt;0)),加仓管理!$D$2:$D$1001),""))</f>
        <v/>
      </c>
      <c r="AN25" s="25" t="str">
        <f>IF(AK25=0,"",IFERROR(LOOKUP(2,1/((加仓管理!$A$2:$A$1001=A25)*(加仓管理!$G$2:$G$1001&gt;0)),加仓管理!$E$2:$E$1001),""))</f>
        <v/>
      </c>
      <c r="AO25" s="25">
        <f>IF(OR(A25="",H25="",H25&lt;=0),"",(E25*H25+SUMIFS(加仓管理!$H$2:$H$1001,加仓管理!$A$2:$A$1001,A25))/AP25)</f>
        <v>35.25</v>
      </c>
      <c r="AP25" s="24">
        <f t="shared" si="10"/>
        <v>1600</v>
      </c>
      <c r="AQ25" s="25">
        <f>IF(A25="","",IF(M25&lt;&gt;"",0,IF(OR(H25="",N25=""),"",MAX((E25*H25+SUMIFS(加仓管理!$H$2:$H$1001,加仓管理!$A$2:$A$1001,A25))-MAX(N25,AN25)*AP25,0))))</f>
        <v>0</v>
      </c>
      <c r="AR25" s="25" t="str">
        <f ca="1"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通过</v>
      </c>
    </row>
    <row r="26" ht="17" spans="1:44">
      <c r="A26" s="21">
        <v>25</v>
      </c>
      <c r="B26" s="10" t="s">
        <v>44</v>
      </c>
      <c r="C26" s="7">
        <v>181437</v>
      </c>
      <c r="D26" s="4">
        <v>0.02</v>
      </c>
      <c r="E26" s="7">
        <v>40.29</v>
      </c>
      <c r="F26" s="6">
        <f t="shared" si="0"/>
        <v>800</v>
      </c>
      <c r="G26" s="6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1">
        <v>800</v>
      </c>
      <c r="I26" s="22">
        <v>45594</v>
      </c>
      <c r="J26" s="7">
        <v>50</v>
      </c>
      <c r="K26" s="7">
        <v>50.17</v>
      </c>
      <c r="L26" s="6">
        <f t="shared" si="1"/>
        <v>2100</v>
      </c>
      <c r="M26" s="22">
        <v>45610</v>
      </c>
      <c r="N26" s="7">
        <v>36</v>
      </c>
      <c r="O26" s="7"/>
      <c r="P26" s="7"/>
      <c r="Q26" s="21"/>
      <c r="R26" s="21"/>
      <c r="S26" s="21"/>
      <c r="T26" s="21"/>
      <c r="U26" s="5">
        <f t="shared" si="2"/>
        <v>0.0987171169662852</v>
      </c>
      <c r="V26" s="5">
        <f t="shared" si="3"/>
        <v>0.208923675784275</v>
      </c>
      <c r="W26" s="23">
        <f t="shared" si="4"/>
        <v>0.472503255534409</v>
      </c>
      <c r="X26" s="3">
        <f t="shared" si="5"/>
        <v>9791.00000000001</v>
      </c>
      <c r="Y26" s="5">
        <f t="shared" si="6"/>
        <v>0.102452755163971</v>
      </c>
      <c r="Z26" s="5">
        <f>IF(OR(AE26="",多次统计数据!$B$8=""),"",AE26-多次统计数据!$B$8)</f>
        <v>-0.0551596133167676</v>
      </c>
      <c r="AA26" s="8">
        <f t="shared" si="7"/>
        <v>16</v>
      </c>
      <c r="AB26" s="5">
        <f>IF(OR(A26="",多次统计数据!$B$8="",多次统计数据!$B$6&lt;=0,多次统计数据!$B$6&gt;=1),"",1-POWER(1+多次统计数据!$B$8,-多次统计数据!$B$6/(1-多次统计数据!$B$6)))</f>
        <v>0.0602504749804965</v>
      </c>
      <c r="AC26" s="6" t="str">
        <f>IF(OR(AB26="",多次统计数据!$B$9=""),"",IF(多次统计数据!$B$9&lt;AB26,"低于上限","达到或超过上限"))</f>
        <v>低于上限</v>
      </c>
      <c r="AD26" s="21"/>
      <c r="AE26" s="5">
        <f t="shared" si="8"/>
        <v>0.053963634760275</v>
      </c>
      <c r="AG26" s="21" t="s">
        <v>50</v>
      </c>
      <c r="AH26" s="21" t="s">
        <v>58</v>
      </c>
      <c r="AI26" s="10" t="s">
        <v>59</v>
      </c>
      <c r="AJ26" s="6" t="str">
        <f t="shared" si="9"/>
        <v>匹配</v>
      </c>
      <c r="AK26" s="24">
        <f>IF(A26="","",COUNTIFS(加仓管理!$A$2:$A$1001,A26,加仓管理!$G$2:$G$1001,"&gt;0"))</f>
        <v>2</v>
      </c>
      <c r="AL26" s="24">
        <f>IF(A26="","",SUMIFS(加仓管理!$G$2:$G$1001,加仓管理!$A$2:$A$1001,A26))</f>
        <v>1300</v>
      </c>
      <c r="AM26" s="25">
        <f>IF(AK26=0,"",IFERROR(LOOKUP(2,1/((加仓管理!$A$2:$A$1001=A26)*(加仓管理!$G$2:$G$1001&gt;0)),加仓管理!$D$2:$D$1001),""))</f>
        <v>51.43</v>
      </c>
      <c r="AN26" s="25">
        <f>IF(AK26=0,"",IFERROR(LOOKUP(2,1/((加仓管理!$A$2:$A$1001=A26)*(加仓管理!$G$2:$G$1001&gt;0)),加仓管理!$E$2:$E$1001),""))</f>
        <v>46</v>
      </c>
      <c r="AO26" s="25">
        <f>IF(OR(A26="",H26="",H26&lt;=0),"",(E26*H26+SUMIFS(加仓管理!$H$2:$H$1001,加仓管理!$A$2:$A$1001,A26))/AP26)</f>
        <v>45.507619047619</v>
      </c>
      <c r="AP26" s="24">
        <f t="shared" si="10"/>
        <v>2100</v>
      </c>
      <c r="AQ26" s="25">
        <f>IF(A26="","",IF(M26&lt;&gt;"",0,IF(OR(H26="",N26=""),"",MAX((E26*H26+SUMIFS(加仓管理!$H$2:$H$1001,加仓管理!$A$2:$A$1001,A26))-MAX(N26,AN26)*AP26,0))))</f>
        <v>0</v>
      </c>
      <c r="AR26" s="25" t="str">
        <f ca="1"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违规：请检查加仓管理表</v>
      </c>
    </row>
    <row r="27" ht="17" spans="1:44">
      <c r="A27" s="21">
        <v>26</v>
      </c>
      <c r="B27" s="10" t="s">
        <v>44</v>
      </c>
      <c r="C27" s="7">
        <v>191228</v>
      </c>
      <c r="D27" s="4">
        <v>0.02</v>
      </c>
      <c r="E27" s="7">
        <v>43.8</v>
      </c>
      <c r="F27" s="6">
        <f t="shared" si="0"/>
        <v>1000</v>
      </c>
      <c r="G27" s="6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1">
        <v>1000</v>
      </c>
      <c r="I27" s="22">
        <v>45817</v>
      </c>
      <c r="J27" s="7">
        <v>50</v>
      </c>
      <c r="K27" s="7">
        <v>75.55</v>
      </c>
      <c r="L27" s="6">
        <f t="shared" si="1"/>
        <v>3100</v>
      </c>
      <c r="M27" s="22">
        <v>45904</v>
      </c>
      <c r="N27" s="7">
        <v>40</v>
      </c>
      <c r="O27" s="7"/>
      <c r="P27" s="7"/>
      <c r="Q27" s="21"/>
      <c r="R27" s="21"/>
      <c r="S27" s="21"/>
      <c r="T27" s="21"/>
      <c r="U27" s="5">
        <f t="shared" si="2"/>
        <v>-0.196358206478908</v>
      </c>
      <c r="V27" s="5">
        <f t="shared" si="3"/>
        <v>0.357086565183127</v>
      </c>
      <c r="W27" s="23">
        <f t="shared" si="4"/>
        <v>-0.549889650365896</v>
      </c>
      <c r="X27" s="3">
        <f t="shared" si="5"/>
        <v>41333</v>
      </c>
      <c r="Y27" s="5">
        <f t="shared" si="6"/>
        <v>0.214302750010369</v>
      </c>
      <c r="Z27" s="5">
        <f>IF(OR(AE27="",多次统计数据!$B$8=""),"",AE27-多次统计数据!$B$8)</f>
        <v>0.107021877113829</v>
      </c>
      <c r="AA27" s="8">
        <f t="shared" si="7"/>
        <v>87</v>
      </c>
      <c r="AB27" s="5">
        <f>IF(OR(A27="",多次统计数据!$B$8="",多次统计数据!$B$6&lt;=0,多次统计数据!$B$6&gt;=1),"",1-POWER(1+多次统计数据!$B$8,-多次统计数据!$B$6/(1-多次统计数据!$B$6)))</f>
        <v>0.0602504749804965</v>
      </c>
      <c r="AC27" s="6" t="str">
        <f>IF(OR(AB27="",多次统计数据!$B$9=""),"",IF(多次统计数据!$B$9&lt;AB27,"低于上限","达到或超过上限"))</f>
        <v>低于上限</v>
      </c>
      <c r="AD27" s="21"/>
      <c r="AE27" s="5">
        <f t="shared" si="8"/>
        <v>0.216145125190872</v>
      </c>
      <c r="AG27" s="21" t="s">
        <v>50</v>
      </c>
      <c r="AH27" s="21" t="s">
        <v>58</v>
      </c>
      <c r="AI27" s="10" t="s">
        <v>59</v>
      </c>
      <c r="AJ27" s="6" t="str">
        <f t="shared" si="9"/>
        <v>匹配</v>
      </c>
      <c r="AK27" s="24">
        <f>IF(A27="","",COUNTIFS(加仓管理!$A$2:$A$1001,A27,加仓管理!$G$2:$G$1001,"&gt;0"))</f>
        <v>3</v>
      </c>
      <c r="AL27" s="24">
        <f>IF(A27="","",SUMIFS(加仓管理!$G$2:$G$1001,加仓管理!$A$2:$A$1001,A27))</f>
        <v>2100</v>
      </c>
      <c r="AM27" s="25">
        <f>IF(AK27=0,"",IFERROR(LOOKUP(2,1/((加仓管理!$A$2:$A$1001=A27)*(加仓管理!$G$2:$G$1001&gt;0)),加仓管理!$D$2:$D$1001),""))</f>
        <v>94.67</v>
      </c>
      <c r="AN27" s="25">
        <f>IF(AK27=0,"",IFERROR(LOOKUP(2,1/((加仓管理!$A$2:$A$1001=A27)*(加仓管理!$G$2:$G$1001&gt;0)),加仓管理!$E$2:$E$1001),""))</f>
        <v>80</v>
      </c>
      <c r="AO27" s="25">
        <f>IF(OR(A27="",H27="",H27&lt;=0),"",(E27*H27+SUMIFS(加仓管理!$H$2:$H$1001,加仓管理!$A$2:$A$1001,A27))/AP27)</f>
        <v>62.2167741935484</v>
      </c>
      <c r="AP27" s="24">
        <f t="shared" si="10"/>
        <v>3100</v>
      </c>
      <c r="AQ27" s="25">
        <f>IF(A27="","",IF(M27&lt;&gt;"",0,IF(OR(H27="",N27=""),"",MAX((E27*H27+SUMIFS(加仓管理!$H$2:$H$1001,加仓管理!$A$2:$A$1001,A27))-MAX(N27,AN27)*AP27,0))))</f>
        <v>0</v>
      </c>
      <c r="AR27" s="25" t="str">
        <f ca="1"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ht="17" spans="1:44">
      <c r="A28" s="21">
        <v>27</v>
      </c>
      <c r="B28" s="10" t="s">
        <v>44</v>
      </c>
      <c r="C28" s="7">
        <v>232561</v>
      </c>
      <c r="D28" s="4">
        <v>0.02</v>
      </c>
      <c r="E28" s="7">
        <v>101.08</v>
      </c>
      <c r="F28" s="6">
        <f t="shared" si="0"/>
        <v>700</v>
      </c>
      <c r="G28" s="6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1">
        <v>700</v>
      </c>
      <c r="I28" s="22">
        <v>45832</v>
      </c>
      <c r="J28" s="7">
        <v>120</v>
      </c>
      <c r="K28" s="7">
        <v>108.73</v>
      </c>
      <c r="L28" s="6">
        <f t="shared" si="1"/>
        <v>1100</v>
      </c>
      <c r="M28" s="22">
        <v>45940</v>
      </c>
      <c r="N28" s="7">
        <v>95</v>
      </c>
      <c r="O28" s="7"/>
      <c r="P28" s="7"/>
      <c r="Q28" s="21"/>
      <c r="R28" s="21"/>
      <c r="S28" s="21"/>
      <c r="T28" s="21"/>
      <c r="U28" s="5">
        <f t="shared" si="2"/>
        <v>0.113435454484108</v>
      </c>
      <c r="V28" s="5">
        <f t="shared" si="3"/>
        <v>0.118530265200081</v>
      </c>
      <c r="W28" s="23">
        <f t="shared" si="4"/>
        <v>0.95701679476231</v>
      </c>
      <c r="X28" s="3">
        <f t="shared" si="5"/>
        <v>1051</v>
      </c>
      <c r="Y28" s="5">
        <f t="shared" si="6"/>
        <v>0.00886530805047572</v>
      </c>
      <c r="Z28" s="5">
        <f>IF(OR(AE28="",多次统计数据!$B$8=""),"",AE28-多次统计数据!$B$8)</f>
        <v>-0.104604003663749</v>
      </c>
      <c r="AA28" s="8">
        <f t="shared" si="7"/>
        <v>108</v>
      </c>
      <c r="AB28" s="5">
        <f>IF(OR(A28="",多次统计数据!$B$8="",多次统计数据!$B$6&lt;=0,多次统计数据!$B$6&gt;=1),"",1-POWER(1+多次统计数据!$B$8,-多次统计数据!$B$6/(1-多次统计数据!$B$6)))</f>
        <v>0.0602504749804965</v>
      </c>
      <c r="AC28" s="6" t="str">
        <f>IF(OR(AB28="",多次统计数据!$B$9=""),"",IF(多次统计数据!$B$9&lt;AB28,"低于上限","达到或超过上限"))</f>
        <v>低于上限</v>
      </c>
      <c r="AD28" s="21"/>
      <c r="AE28" s="5">
        <f t="shared" si="8"/>
        <v>0.00451924441329371</v>
      </c>
      <c r="AG28" s="21" t="s">
        <v>45</v>
      </c>
      <c r="AH28" s="21" t="s">
        <v>58</v>
      </c>
      <c r="AI28" s="10" t="s">
        <v>59</v>
      </c>
      <c r="AJ28" s="6" t="str">
        <f t="shared" si="9"/>
        <v>匹配</v>
      </c>
      <c r="AK28" s="24">
        <f>IF(A28="","",COUNTIFS(加仓管理!$A$2:$A$1001,A28,加仓管理!$G$2:$G$1001,"&gt;0"))</f>
        <v>1</v>
      </c>
      <c r="AL28" s="24">
        <f>IF(A28="","",SUMIFS(加仓管理!$G$2:$G$1001,加仓管理!$A$2:$A$1001,A28))</f>
        <v>400</v>
      </c>
      <c r="AM28" s="25">
        <f>IF(AK28=0,"",IFERROR(LOOKUP(2,1/((加仓管理!$A$2:$A$1001=A28)*(加仓管理!$G$2:$G$1001&gt;0)),加仓管理!$D$2:$D$1001),""))</f>
        <v>119.49</v>
      </c>
      <c r="AN28" s="25">
        <f>IF(AK28=0,"",IFERROR(LOOKUP(2,1/((加仓管理!$A$2:$A$1001=A28)*(加仓管理!$G$2:$G$1001&gt;0)),加仓管理!$E$2:$E$1001),""))</f>
        <v>108</v>
      </c>
      <c r="AO28" s="25">
        <f>IF(OR(A28="",H28="",H28&lt;=0),"",(E28*H28+SUMIFS(加仓管理!$H$2:$H$1001,加仓管理!$A$2:$A$1001,A28))/AP28)</f>
        <v>107.774545454545</v>
      </c>
      <c r="AP28" s="24">
        <f t="shared" si="10"/>
        <v>1100</v>
      </c>
      <c r="AQ28" s="25">
        <f>IF(A28="","",IF(M28&lt;&gt;"",0,IF(OR(H28="",N28=""),"",MAX((E28*H28+SUMIFS(加仓管理!$H$2:$H$1001,加仓管理!$A$2:$A$1001,A28))-MAX(N28,AN28)*AP28,0))))</f>
        <v>0</v>
      </c>
      <c r="AR28" s="25" t="str">
        <f ca="1"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ht="17" spans="1:44">
      <c r="A29" s="21">
        <v>28</v>
      </c>
      <c r="B29" s="10" t="s">
        <v>44</v>
      </c>
      <c r="C29" s="7">
        <v>233612</v>
      </c>
      <c r="D29" s="4">
        <v>0.02</v>
      </c>
      <c r="E29" s="7">
        <v>128.74</v>
      </c>
      <c r="F29" s="6">
        <f t="shared" si="0"/>
        <v>500</v>
      </c>
      <c r="G29" s="6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1">
        <v>500</v>
      </c>
      <c r="I29" s="22">
        <v>45917</v>
      </c>
      <c r="J29" s="7">
        <v>150</v>
      </c>
      <c r="K29" s="7">
        <v>117.03</v>
      </c>
      <c r="L29" s="6">
        <f t="shared" si="1"/>
        <v>500</v>
      </c>
      <c r="M29" s="22">
        <v>46035</v>
      </c>
      <c r="N29" s="7">
        <v>120</v>
      </c>
      <c r="O29" s="7"/>
      <c r="P29" s="7"/>
      <c r="Q29" s="21"/>
      <c r="R29" s="21"/>
      <c r="S29" s="21"/>
      <c r="T29" s="21"/>
      <c r="U29" s="5">
        <f t="shared" si="2"/>
        <v>0.165139039925431</v>
      </c>
      <c r="V29" s="5">
        <f t="shared" si="3"/>
        <v>0.0678887680596552</v>
      </c>
      <c r="W29" s="23">
        <f t="shared" si="4"/>
        <v>2.4324942791762</v>
      </c>
      <c r="X29" s="3">
        <f t="shared" si="5"/>
        <v>-5855</v>
      </c>
      <c r="Y29" s="5">
        <f t="shared" si="6"/>
        <v>-0.0909585210501787</v>
      </c>
      <c r="Z29" s="5">
        <f>IF(OR(AE29="",多次统计数据!$B$8=""),"",AE29-多次统计数据!$B$8)</f>
        <v>-0.134186172926793</v>
      </c>
      <c r="AA29" s="8">
        <f t="shared" si="7"/>
        <v>118</v>
      </c>
      <c r="AB29" s="5">
        <f>IF(OR(A29="",多次统计数据!$B$8="",多次统计数据!$B$6&lt;=0,多次统计数据!$B$6&gt;=1),"",1-POWER(1+多次统计数据!$B$8,-多次统计数据!$B$6/(1-多次统计数据!$B$6)))</f>
        <v>0.0602504749804965</v>
      </c>
      <c r="AC29" s="6" t="str">
        <f>IF(OR(AB29="",多次统计数据!$B$9=""),"",IF(多次统计数据!$B$9&lt;AB29,"低于上限","达到或超过上限"))</f>
        <v>低于上限</v>
      </c>
      <c r="AD29" s="21"/>
      <c r="AE29" s="5">
        <f t="shared" si="8"/>
        <v>-0.0250629248497509</v>
      </c>
      <c r="AG29" s="21" t="s">
        <v>45</v>
      </c>
      <c r="AH29" s="21" t="s">
        <v>58</v>
      </c>
      <c r="AI29" s="10" t="s">
        <v>59</v>
      </c>
      <c r="AJ29" s="6" t="str">
        <f t="shared" si="9"/>
        <v>匹配</v>
      </c>
      <c r="AK29" s="24">
        <f>IF(A29="","",COUNTIFS(加仓管理!$A$2:$A$1001,A29,加仓管理!$G$2:$G$1001,"&gt;0"))</f>
        <v>0</v>
      </c>
      <c r="AL29" s="24">
        <f>IF(A29="","",SUMIFS(加仓管理!$G$2:$G$1001,加仓管理!$A$2:$A$1001,A29))</f>
        <v>0</v>
      </c>
      <c r="AM29" s="25" t="str">
        <f>IF(AK29=0,"",IFERROR(LOOKUP(2,1/((加仓管理!$A$2:$A$1001=A29)*(加仓管理!$G$2:$G$1001&gt;0)),加仓管理!$D$2:$D$1001),""))</f>
        <v/>
      </c>
      <c r="AN29" s="25" t="str">
        <f>IF(AK29=0,"",IFERROR(LOOKUP(2,1/((加仓管理!$A$2:$A$1001=A29)*(加仓管理!$G$2:$G$1001&gt;0)),加仓管理!$E$2:$E$1001),""))</f>
        <v/>
      </c>
      <c r="AO29" s="25">
        <f>IF(OR(A29="",H29="",H29&lt;=0),"",(E29*H29+SUMIFS(加仓管理!$H$2:$H$1001,加仓管理!$A$2:$A$1001,A29))/AP29)</f>
        <v>128.74</v>
      </c>
      <c r="AP29" s="24">
        <f t="shared" si="10"/>
        <v>500</v>
      </c>
      <c r="AQ29" s="25">
        <f>IF(A29="","",IF(M29&lt;&gt;"",0,IF(OR(H29="",N29=""),"",MAX((E29*H29+SUMIFS(加仓管理!$H$2:$H$1001,加仓管理!$A$2:$A$1001,A29))-MAX(N29,AN29)*AP29,0))))</f>
        <v>0</v>
      </c>
      <c r="AR29" s="25" t="str">
        <f ca="1"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ht="17" spans="1:44">
      <c r="A30" s="21">
        <v>29</v>
      </c>
      <c r="B30" s="10" t="s">
        <v>44</v>
      </c>
      <c r="C30" s="7">
        <v>227757</v>
      </c>
      <c r="D30" s="4">
        <v>0.02</v>
      </c>
      <c r="E30" s="7">
        <v>131.73</v>
      </c>
      <c r="F30" s="6">
        <f t="shared" si="0"/>
        <v>600</v>
      </c>
      <c r="G30" s="6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1">
        <v>600</v>
      </c>
      <c r="I30" s="22">
        <v>46092</v>
      </c>
      <c r="J30" s="7">
        <v>150</v>
      </c>
      <c r="K30" s="7">
        <v>188.41</v>
      </c>
      <c r="L30" s="6">
        <f t="shared" si="1"/>
        <v>1500</v>
      </c>
      <c r="M30" s="22">
        <v>46169</v>
      </c>
      <c r="N30" s="7">
        <v>125</v>
      </c>
      <c r="O30" s="7"/>
      <c r="P30" s="7"/>
      <c r="Q30" s="21"/>
      <c r="R30" s="21"/>
      <c r="S30" s="21"/>
      <c r="T30" s="21"/>
      <c r="U30" s="5">
        <f t="shared" si="2"/>
        <v>-0.040098293934701</v>
      </c>
      <c r="V30" s="5">
        <f t="shared" si="3"/>
        <v>0.200081911612251</v>
      </c>
      <c r="W30" s="23">
        <f t="shared" si="4"/>
        <v>-0.200409390392119</v>
      </c>
      <c r="X30" s="3">
        <f t="shared" si="5"/>
        <v>48216</v>
      </c>
      <c r="Y30" s="5">
        <f t="shared" si="6"/>
        <v>0.205700536265086</v>
      </c>
      <c r="Z30" s="5">
        <f>IF(OR(AE30="",多次统计数据!$B$8=""),"",AE30-多次统计数据!$B$8)</f>
        <v>0.102576063030849</v>
      </c>
      <c r="AA30" s="8">
        <f t="shared" si="7"/>
        <v>77</v>
      </c>
      <c r="AB30" s="5">
        <f>IF(OR(A30="",多次统计数据!$B$8="",多次统计数据!$B$6&lt;=0,多次统计数据!$B$6&gt;=1),"",1-POWER(1+多次统计数据!$B$8,-多次统计数据!$B$6/(1-多次统计数据!$B$6)))</f>
        <v>0.0602504749804965</v>
      </c>
      <c r="AC30" s="6" t="str">
        <f>IF(OR(AB30="",多次统计数据!$B$9=""),"",IF(多次统计数据!$B$9&lt;AB30,"低于上限","达到或超过上限"))</f>
        <v>低于上限</v>
      </c>
      <c r="AD30" s="21"/>
      <c r="AE30" s="5">
        <f t="shared" si="8"/>
        <v>0.211699311107891</v>
      </c>
      <c r="AG30" s="21" t="s">
        <v>45</v>
      </c>
      <c r="AH30" s="21" t="s">
        <v>58</v>
      </c>
      <c r="AI30" s="10" t="s">
        <v>59</v>
      </c>
      <c r="AJ30" s="6" t="str">
        <f t="shared" si="9"/>
        <v>匹配</v>
      </c>
      <c r="AK30" s="24">
        <f>IF(A30="","",COUNTIFS(加仓管理!$A$2:$A$1001,A30,加仓管理!$G$2:$G$1001,"&gt;0"))</f>
        <v>3</v>
      </c>
      <c r="AL30" s="24">
        <f>IF(A30="","",SUMIFS(加仓管理!$G$2:$G$1001,加仓管理!$A$2:$A$1001,A30))</f>
        <v>900</v>
      </c>
      <c r="AM30" s="25">
        <f>IF(AK30=0,"",IFERROR(LOOKUP(2,1/((加仓管理!$A$2:$A$1001=A30)*(加仓管理!$G$2:$G$1001&gt;0)),加仓管理!$D$2:$D$1001),""))</f>
        <v>194.13</v>
      </c>
      <c r="AN30" s="25">
        <f>IF(AK30=0,"",IFERROR(LOOKUP(2,1/((加仓管理!$A$2:$A$1001=A30)*(加仓管理!$G$2:$G$1001&gt;0)),加仓管理!$E$2:$E$1001),""))</f>
        <v>170</v>
      </c>
      <c r="AO30" s="25">
        <f>IF(OR(A30="",H30="",H30&lt;=0),"",(E30*H30+SUMIFS(加仓管理!$H$2:$H$1001,加仓管理!$A$2:$A$1001,A30))/AP30)</f>
        <v>156.266</v>
      </c>
      <c r="AP30" s="24">
        <f t="shared" si="10"/>
        <v>1500</v>
      </c>
      <c r="AQ30" s="25">
        <f>IF(A30="","",IF(M30&lt;&gt;"",0,IF(OR(H30="",N30=""),"",MAX((E30*H30+SUMIFS(加仓管理!$H$2:$H$1001,加仓管理!$A$2:$A$1001,A30))-MAX(N30,AN30)*AP30,0))))</f>
        <v>0</v>
      </c>
      <c r="AR30" s="25" t="str">
        <f ca="1"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ht="17" spans="1:44">
      <c r="A31" s="21">
        <v>30</v>
      </c>
      <c r="B31" s="10" t="s">
        <v>44</v>
      </c>
      <c r="C31" s="7">
        <v>275973</v>
      </c>
      <c r="D31" s="4">
        <v>0.02</v>
      </c>
      <c r="E31" s="7">
        <v>214.45</v>
      </c>
      <c r="F31" s="6">
        <f t="shared" si="0"/>
        <v>300</v>
      </c>
      <c r="G31" s="6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1">
        <v>300</v>
      </c>
      <c r="I31" s="22">
        <v>46171</v>
      </c>
      <c r="J31" s="7">
        <v>250</v>
      </c>
      <c r="K31" s="7">
        <v>254.78</v>
      </c>
      <c r="L31" s="6">
        <f t="shared" si="1"/>
        <v>600</v>
      </c>
      <c r="M31" s="22">
        <v>46203</v>
      </c>
      <c r="N31" s="7">
        <v>200</v>
      </c>
      <c r="O31" s="7"/>
      <c r="P31" s="7"/>
      <c r="Q31" s="21"/>
      <c r="R31" s="21"/>
      <c r="S31" s="21"/>
      <c r="T31" s="21"/>
      <c r="U31" s="5">
        <f t="shared" si="2"/>
        <v>0.0494280617063701</v>
      </c>
      <c r="V31" s="5">
        <f t="shared" si="3"/>
        <v>0.160457550634904</v>
      </c>
      <c r="W31" s="23">
        <f t="shared" si="4"/>
        <v>0.3080444735121</v>
      </c>
      <c r="X31" s="3">
        <f t="shared" si="5"/>
        <v>9933</v>
      </c>
      <c r="Y31" s="5">
        <f t="shared" si="6"/>
        <v>0.0694931262461958</v>
      </c>
      <c r="Z31" s="5">
        <f>IF(OR(AE31="",多次统计数据!$B$8=""),"",AE31-多次统计数据!$B$8)</f>
        <v>-0.0731305966220089</v>
      </c>
      <c r="AA31" s="8">
        <f t="shared" si="7"/>
        <v>32</v>
      </c>
      <c r="AB31" s="5">
        <f>IF(OR(A31="",多次统计数据!$B$8="",多次统计数据!$B$6&lt;=0,多次统计数据!$B$6&gt;=1),"",1-POWER(1+多次统计数据!$B$8,-多次统计数据!$B$6/(1-多次统计数据!$B$6)))</f>
        <v>0.0602504749804965</v>
      </c>
      <c r="AC31" s="6" t="str">
        <f>IF(OR(AB31="",多次统计数据!$B$9=""),"",IF(多次统计数据!$B$9&lt;AB31,"低于上限","达到或超过上限"))</f>
        <v>低于上限</v>
      </c>
      <c r="AD31" s="21"/>
      <c r="AE31" s="5">
        <f t="shared" si="8"/>
        <v>0.0359926514550337</v>
      </c>
      <c r="AG31" s="21" t="s">
        <v>45</v>
      </c>
      <c r="AH31" s="21" t="s">
        <v>46</v>
      </c>
      <c r="AI31" s="10" t="s">
        <v>59</v>
      </c>
      <c r="AJ31" s="6" t="str">
        <f t="shared" si="9"/>
        <v>匹配</v>
      </c>
      <c r="AK31" s="24">
        <f>IF(A31="","",COUNTIFS(加仓管理!$A$2:$A$1001,A31,加仓管理!$G$2:$G$1001,"&gt;0"))</f>
        <v>1</v>
      </c>
      <c r="AL31" s="24">
        <f>IF(A31="","",SUMIFS(加仓管理!$G$2:$G$1001,加仓管理!$A$2:$A$1001,A31))</f>
        <v>300</v>
      </c>
      <c r="AM31" s="25">
        <f>IF(AK31=0,"",IFERROR(LOOKUP(2,1/((加仓管理!$A$2:$A$1001=A31)*(加仓管理!$G$2:$G$1001&gt;0)),加仓管理!$D$2:$D$1001),""))</f>
        <v>262</v>
      </c>
      <c r="AN31" s="25">
        <f>IF(AK31=0,"",IFERROR(LOOKUP(2,1/((加仓管理!$A$2:$A$1001=A31)*(加仓管理!$G$2:$G$1001&gt;0)),加仓管理!$E$2:$E$1001),""))</f>
        <v>240</v>
      </c>
      <c r="AO31" s="25">
        <f>IF(OR(A31="",H31="",H31&lt;=0),"",(E31*H31+SUMIFS(加仓管理!$H$2:$H$1001,加仓管理!$A$2:$A$1001,A31))/AP31)</f>
        <v>238.225</v>
      </c>
      <c r="AP31" s="24">
        <f t="shared" si="10"/>
        <v>600</v>
      </c>
      <c r="AQ31" s="25">
        <f>IF(A31="","",IF(M31&lt;&gt;"",0,IF(OR(H31="",N31=""),"",MAX((E31*H31+SUMIFS(加仓管理!$H$2:$H$1001,加仓管理!$A$2:$A$1001,A31))-MAX(N31,AN31)*AP31,0))))</f>
        <v>0</v>
      </c>
      <c r="AR31" s="25" t="str">
        <f ca="1"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通过</v>
      </c>
    </row>
    <row r="32" ht="17" spans="1:44">
      <c r="A32" s="21">
        <v>31</v>
      </c>
      <c r="B32" s="10" t="s">
        <v>44</v>
      </c>
      <c r="C32" s="7">
        <v>285906</v>
      </c>
      <c r="D32" s="4">
        <v>0.02</v>
      </c>
      <c r="E32" s="7">
        <v>185.81</v>
      </c>
      <c r="F32" s="6">
        <f t="shared" si="0"/>
        <v>300</v>
      </c>
      <c r="G32" s="6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1">
        <v>300</v>
      </c>
      <c r="I32" s="22">
        <v>46248</v>
      </c>
      <c r="J32" s="7">
        <v>210</v>
      </c>
      <c r="K32" s="7">
        <v>167.36</v>
      </c>
      <c r="L32" s="6">
        <f t="shared" si="1"/>
        <v>300</v>
      </c>
      <c r="M32" s="22">
        <v>46253</v>
      </c>
      <c r="N32" s="7">
        <v>170</v>
      </c>
      <c r="O32" s="7"/>
      <c r="P32" s="7"/>
      <c r="Q32" s="21"/>
      <c r="R32" s="21"/>
      <c r="S32" s="21"/>
      <c r="T32" s="21"/>
      <c r="U32" s="5">
        <f t="shared" si="2"/>
        <v>0.130186749905818</v>
      </c>
      <c r="V32" s="5">
        <f t="shared" si="3"/>
        <v>0.0850869167429094</v>
      </c>
      <c r="W32" s="23">
        <f t="shared" si="4"/>
        <v>1.53004427577483</v>
      </c>
      <c r="X32" s="3">
        <f t="shared" si="5"/>
        <v>-5535</v>
      </c>
      <c r="Y32" s="5">
        <f t="shared" si="6"/>
        <v>-0.0992949787417254</v>
      </c>
      <c r="Z32" s="5">
        <f>IF(OR(AE32="",多次统计数据!$B$8=""),"",AE32-多次统计数据!$B$8)</f>
        <v>-0.128482757845988</v>
      </c>
      <c r="AA32" s="8">
        <f t="shared" si="7"/>
        <v>5</v>
      </c>
      <c r="AB32" s="5">
        <f>IF(OR(A32="",多次统计数据!$B$8="",多次统计数据!$B$6&lt;=0,多次统计数据!$B$6&gt;=1),"",1-POWER(1+多次统计数据!$B$8,-多次统计数据!$B$6/(1-多次统计数据!$B$6)))</f>
        <v>0.0602504749804965</v>
      </c>
      <c r="AC32" s="6" t="str">
        <f>IF(OR(AB32="",多次统计数据!$B$9=""),"",IF(多次统计数据!$B$9&lt;AB32,"低于上限","达到或超过上限"))</f>
        <v>低于上限</v>
      </c>
      <c r="AD32" s="21"/>
      <c r="AE32" s="5">
        <f t="shared" si="8"/>
        <v>-0.019359509768945</v>
      </c>
      <c r="AG32" s="21" t="s">
        <v>45</v>
      </c>
      <c r="AH32" s="21" t="s">
        <v>46</v>
      </c>
      <c r="AI32" s="10" t="s">
        <v>59</v>
      </c>
      <c r="AJ32" s="6" t="str">
        <f t="shared" si="9"/>
        <v>匹配</v>
      </c>
      <c r="AK32" s="24">
        <f>IF(A32="","",COUNTIFS(加仓管理!$A$2:$A$1001,A32,加仓管理!$G$2:$G$1001,"&gt;0"))</f>
        <v>0</v>
      </c>
      <c r="AL32" s="24">
        <f>IF(A32="","",SUMIFS(加仓管理!$G$2:$G$1001,加仓管理!$A$2:$A$1001,A32))</f>
        <v>0</v>
      </c>
      <c r="AM32" s="25" t="str">
        <f>IF(AK32=0,"",IFERROR(LOOKUP(2,1/((加仓管理!$A$2:$A$1001=A32)*(加仓管理!$G$2:$G$1001&gt;0)),加仓管理!$D$2:$D$1001),""))</f>
        <v/>
      </c>
      <c r="AN32" s="25" t="str">
        <f>IF(AK32=0,"",IFERROR(LOOKUP(2,1/((加仓管理!$A$2:$A$1001=A32)*(加仓管理!$G$2:$G$1001&gt;0)),加仓管理!$E$2:$E$1001),""))</f>
        <v/>
      </c>
      <c r="AO32" s="25">
        <f>IF(OR(A32="",H32="",H32&lt;=0),"",(E32*H32+SUMIFS(加仓管理!$H$2:$H$1001,加仓管理!$A$2:$A$1001,A32))/AP32)</f>
        <v>185.81</v>
      </c>
      <c r="AP32" s="24">
        <f t="shared" si="10"/>
        <v>300</v>
      </c>
      <c r="AQ32" s="25">
        <f>IF(A32="","",IF(M32&lt;&gt;"",0,IF(OR(H32="",N32=""),"",MAX((E32*H32+SUMIFS(加仓管理!$H$2:$H$1001,加仓管理!$A$2:$A$1001,A32))-MAX(N32,AN32)*AP32,0))))</f>
        <v>0</v>
      </c>
      <c r="AR32" s="25" t="str">
        <f ca="1"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ht="17" spans="1:44">
      <c r="A33" s="21">
        <v>32</v>
      </c>
      <c r="B33" s="10" t="s">
        <v>60</v>
      </c>
      <c r="C33" s="7">
        <v>280371</v>
      </c>
      <c r="D33" s="4">
        <v>0.02</v>
      </c>
      <c r="E33" s="7">
        <v>3.75</v>
      </c>
      <c r="F33" s="6">
        <f t="shared" si="0"/>
        <v>22400</v>
      </c>
      <c r="G33" s="6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1">
        <v>22400</v>
      </c>
      <c r="I33" s="22">
        <v>41520</v>
      </c>
      <c r="J33" s="7">
        <v>4.5</v>
      </c>
      <c r="K33" s="7">
        <v>4.95</v>
      </c>
      <c r="L33" s="6">
        <f t="shared" si="1"/>
        <v>47800</v>
      </c>
      <c r="M33" s="22">
        <v>41563</v>
      </c>
      <c r="N33" s="7">
        <v>3.5</v>
      </c>
      <c r="O33" s="7"/>
      <c r="P33" s="7"/>
      <c r="Q33" s="21"/>
      <c r="R33" s="21"/>
      <c r="S33" s="21"/>
      <c r="T33" s="21"/>
      <c r="U33" s="5">
        <f t="shared" si="2"/>
        <v>0.0556485294045475</v>
      </c>
      <c r="V33" s="5">
        <f t="shared" si="3"/>
        <v>0.178940032685352</v>
      </c>
      <c r="W33" s="23">
        <f t="shared" si="4"/>
        <v>0.310989824744247</v>
      </c>
      <c r="X33" s="3">
        <f t="shared" si="5"/>
        <v>32849</v>
      </c>
      <c r="Y33" s="5">
        <f t="shared" si="6"/>
        <v>0.161213382345002</v>
      </c>
      <c r="Z33" s="5">
        <f>IF(OR(AE33="",多次统计数据!$B$8=""),"",AE33-多次统计数据!$B$8)</f>
        <v>0.00803936859871923</v>
      </c>
      <c r="AA33" s="8">
        <f t="shared" si="7"/>
        <v>43</v>
      </c>
      <c r="AB33" s="5">
        <f>IF(OR(A33="",多次统计数据!$B$8="",多次统计数据!$B$6&lt;=0,多次统计数据!$B$6&gt;=1),"",1-POWER(1+多次统计数据!$B$8,-多次统计数据!$B$6/(1-多次统计数据!$B$6)))</f>
        <v>0.0602504749804965</v>
      </c>
      <c r="AC33" s="6" t="str">
        <f>IF(OR(AB33="",多次统计数据!$B$9=""),"",IF(多次统计数据!$B$9&lt;AB33,"低于上限","达到或超过上限"))</f>
        <v>低于上限</v>
      </c>
      <c r="AD33" s="21"/>
      <c r="AE33" s="5">
        <f t="shared" si="8"/>
        <v>0.117162616675762</v>
      </c>
      <c r="AG33" s="21" t="s">
        <v>50</v>
      </c>
      <c r="AH33" s="21" t="s">
        <v>58</v>
      </c>
      <c r="AI33" s="10" t="s">
        <v>59</v>
      </c>
      <c r="AJ33" s="6" t="str">
        <f t="shared" si="9"/>
        <v>匹配</v>
      </c>
      <c r="AK33" s="24">
        <f>IF(A33="","",COUNTIFS(加仓管理!$A$2:$A$1001,A33,加仓管理!$G$2:$G$1001,"&gt;0"))</f>
        <v>2</v>
      </c>
      <c r="AL33" s="24">
        <f>IF(A33="","",SUMIFS(加仓管理!$G$2:$G$1001,加仓管理!$A$2:$A$1001,A33))</f>
        <v>25400</v>
      </c>
      <c r="AM33" s="25">
        <f>IF(AK33=0,"",IFERROR(LOOKUP(2,1/((加仓管理!$A$2:$A$1001=A33)*(加仓管理!$G$2:$G$1001&gt;0)),加仓管理!$D$2:$D$1001),""))</f>
        <v>4.99</v>
      </c>
      <c r="AN33" s="25">
        <f>IF(AK33=0,"",IFERROR(LOOKUP(2,1/((加仓管理!$A$2:$A$1001=A33)*(加仓管理!$G$2:$G$1001&gt;0)),加仓管理!$E$2:$E$1001),""))</f>
        <v>4.5</v>
      </c>
      <c r="AO33" s="25">
        <f>IF(OR(A33="",H33="",H33&lt;=0),"",(E33*H33+SUMIFS(加仓管理!$H$2:$H$1001,加仓管理!$A$2:$A$1001,A33))/AP33)</f>
        <v>4.26278242677824</v>
      </c>
      <c r="AP33" s="24">
        <f t="shared" si="10"/>
        <v>47800</v>
      </c>
      <c r="AQ33" s="25">
        <f>IF(A33="","",IF(M33&lt;&gt;"",0,IF(OR(H33="",N33=""),"",MAX((E33*H33+SUMIFS(加仓管理!$H$2:$H$1001,加仓管理!$A$2:$A$1001,A33))-MAX(N33,AN33)*AP33,0))))</f>
        <v>0</v>
      </c>
      <c r="AR33" s="25" t="str">
        <f ca="1"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通过</v>
      </c>
    </row>
    <row r="34" ht="17" spans="1:44">
      <c r="A34" s="21">
        <v>33</v>
      </c>
      <c r="B34" s="10" t="s">
        <v>60</v>
      </c>
      <c r="C34" s="7">
        <v>313220</v>
      </c>
      <c r="D34" s="4">
        <v>0.02</v>
      </c>
      <c r="E34" s="7">
        <v>4.27</v>
      </c>
      <c r="F34" s="6">
        <f t="shared" ref="F34:F65" si="11">IF(OR(C34="",D34="",E34="",N34="",C34&lt;=0,D34&lt;=0,E34&lt;=N34),"",ROUNDDOWN((C34*D34)/(E34-N34)/100,0)*100)</f>
        <v>23200</v>
      </c>
      <c r="G34" s="6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1">
        <v>23200</v>
      </c>
      <c r="I34" s="22">
        <v>41886</v>
      </c>
      <c r="J34" s="7">
        <v>5</v>
      </c>
      <c r="K34" s="7">
        <v>4.16</v>
      </c>
      <c r="L34" s="6">
        <f t="shared" ref="L34:L65" si="12">IF(AP34="","",AP34)</f>
        <v>23200</v>
      </c>
      <c r="M34" s="22">
        <v>41898</v>
      </c>
      <c r="N34" s="7">
        <v>4</v>
      </c>
      <c r="O34" s="7"/>
      <c r="P34" s="7"/>
      <c r="Q34" s="21"/>
      <c r="R34" s="21"/>
      <c r="S34" s="21"/>
      <c r="T34" s="21"/>
      <c r="U34" s="5">
        <f t="shared" ref="U34:U65" si="13">IF(OR(AO34="",J34="",AO34&lt;=0),"",(J34-AO34)/AO34)</f>
        <v>0.17096018735363</v>
      </c>
      <c r="V34" s="5">
        <f t="shared" ref="V34:V65" si="14">IF(OR(AO34="",N34="",AO34&lt;=0),"",(AO34-N34)/AO34)</f>
        <v>0.0632318501170959</v>
      </c>
      <c r="W34" s="23">
        <f t="shared" ref="W34:W65" si="15">IF(OR(U34="",V34="",V34&lt;=0),"",U34/V34)</f>
        <v>2.70370370370371</v>
      </c>
      <c r="X34" s="3">
        <f t="shared" ref="X34:X65" si="16">IF(OR(K34="",L34="",AO34="",AP34=""),"",(K34-AO34)*L34-IF(O34="",0,O34)-IF(P34="",0,P34))</f>
        <v>-2551.99999999999</v>
      </c>
      <c r="Y34" s="5">
        <f t="shared" ref="Y34:Y65" si="17">IF(OR(X34="",AO34="",L34=""),"",IF(AO34*L34+IF(O34="",0,O34)&lt;=0,"",X34/(AO34*L34+IF(O34="",0,O34))))</f>
        <v>-0.0257611241217797</v>
      </c>
      <c r="Z34" s="5">
        <f>IF(OR(AE34="",多次统计数据!$B$8=""),"",AE34-多次统计数据!$B$8)</f>
        <v>-0.117270875942441</v>
      </c>
      <c r="AA34" s="8">
        <f t="shared" ref="AA34:AA65" si="18">IF(OR(I34="",M34="",M34&lt;I34),"",M34-I34)</f>
        <v>12</v>
      </c>
      <c r="AB34" s="5">
        <f>IF(OR(A34="",多次统计数据!$B$8="",多次统计数据!$B$6&lt;=0,多次统计数据!$B$6&gt;=1),"",1-POWER(1+多次统计数据!$B$8,-多次统计数据!$B$6/(1-多次统计数据!$B$6)))</f>
        <v>0.0602504749804965</v>
      </c>
      <c r="AC34" s="6" t="str">
        <f>IF(OR(AB34="",多次统计数据!$B$9=""),"",IF(多次统计数据!$B$9&lt;AB34,"低于上限","达到或超过上限"))</f>
        <v>低于上限</v>
      </c>
      <c r="AD34" s="21"/>
      <c r="AE34" s="5">
        <f t="shared" ref="AE34:AE65" si="19">IF(OR(X34="",C34="",C34&lt;=0),"",X34/C34)</f>
        <v>-0.00814762786539808</v>
      </c>
      <c r="AG34" s="21" t="s">
        <v>45</v>
      </c>
      <c r="AH34" s="21" t="s">
        <v>46</v>
      </c>
      <c r="AI34" s="10" t="s">
        <v>59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4">
        <f>IF(A34="","",COUNTIFS(加仓管理!$A$2:$A$1001,A34,加仓管理!$G$2:$G$1001,"&gt;0"))</f>
        <v>0</v>
      </c>
      <c r="AL34" s="24">
        <f>IF(A34="","",SUMIFS(加仓管理!$G$2:$G$1001,加仓管理!$A$2:$A$1001,A34))</f>
        <v>0</v>
      </c>
      <c r="AM34" s="25" t="str">
        <f>IF(AK34=0,"",IFERROR(LOOKUP(2,1/((加仓管理!$A$2:$A$1001=A34)*(加仓管理!$G$2:$G$1001&gt;0)),加仓管理!$D$2:$D$1001),""))</f>
        <v/>
      </c>
      <c r="AN34" s="25" t="str">
        <f>IF(AK34=0,"",IFERROR(LOOKUP(2,1/((加仓管理!$A$2:$A$1001=A34)*(加仓管理!$G$2:$G$1001&gt;0)),加仓管理!$E$2:$E$1001),""))</f>
        <v/>
      </c>
      <c r="AO34" s="25">
        <f>IF(OR(A34="",H34="",H34&lt;=0),"",(E34*H34+SUMIFS(加仓管理!$H$2:$H$1001,加仓管理!$A$2:$A$1001,A34))/AP34)</f>
        <v>4.27</v>
      </c>
      <c r="AP34" s="24">
        <f t="shared" ref="AP34:AP65" si="21">IF(OR(A34="",H34="",H34&lt;=0),"",H34+AL34)</f>
        <v>23200</v>
      </c>
      <c r="AQ34" s="25">
        <f>IF(A34="","",IF(M34&lt;&gt;"",0,IF(OR(H34="",N34=""),"",MAX((E34*H34+SUMIFS(加仓管理!$H$2:$H$1001,加仓管理!$A$2:$A$1001,A34))-MAX(N34,AN34)*AP34,0))))</f>
        <v>0</v>
      </c>
      <c r="AR34" s="25" t="str">
        <f ca="1"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通过</v>
      </c>
    </row>
    <row r="35" ht="17" spans="1:44">
      <c r="A35" s="21">
        <v>34</v>
      </c>
      <c r="B35" s="10" t="s">
        <v>60</v>
      </c>
      <c r="C35" s="7">
        <v>310668</v>
      </c>
      <c r="D35" s="4">
        <v>0.02</v>
      </c>
      <c r="E35" s="7">
        <v>4.88</v>
      </c>
      <c r="F35" s="6">
        <f t="shared" si="11"/>
        <v>27000</v>
      </c>
      <c r="G35" s="6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1">
        <v>27000</v>
      </c>
      <c r="I35" s="22">
        <v>41967</v>
      </c>
      <c r="J35" s="7">
        <v>5.5</v>
      </c>
      <c r="K35" s="7">
        <v>6.15</v>
      </c>
      <c r="L35" s="6">
        <f t="shared" si="12"/>
        <v>43500</v>
      </c>
      <c r="M35" s="22">
        <v>42016</v>
      </c>
      <c r="N35" s="7">
        <v>4.65</v>
      </c>
      <c r="O35" s="7"/>
      <c r="P35" s="7"/>
      <c r="Q35" s="21"/>
      <c r="R35" s="21"/>
      <c r="S35" s="21"/>
      <c r="T35" s="21"/>
      <c r="U35" s="5">
        <f t="shared" si="13"/>
        <v>0.0287004192196066</v>
      </c>
      <c r="V35" s="5">
        <f t="shared" si="14"/>
        <v>0.130280554659787</v>
      </c>
      <c r="W35" s="23">
        <f t="shared" si="15"/>
        <v>0.220297029702971</v>
      </c>
      <c r="X35" s="3">
        <f t="shared" si="16"/>
        <v>34950</v>
      </c>
      <c r="Y35" s="5">
        <f t="shared" si="17"/>
        <v>0.150274105127378</v>
      </c>
      <c r="Z35" s="5">
        <f>IF(OR(AE35="",多次统计数据!$B$8=""),"",AE35-多次统计数据!$B$8)</f>
        <v>0.00337626909241173</v>
      </c>
      <c r="AA35" s="8">
        <f t="shared" si="18"/>
        <v>49</v>
      </c>
      <c r="AB35" s="5">
        <f>IF(OR(A35="",多次统计数据!$B$8="",多次统计数据!$B$6&lt;=0,多次统计数据!$B$6&gt;=1),"",1-POWER(1+多次统计数据!$B$8,-多次统计数据!$B$6/(1-多次统计数据!$B$6)))</f>
        <v>0.0602504749804965</v>
      </c>
      <c r="AC35" s="6" t="str">
        <f>IF(OR(AB35="",多次统计数据!$B$9=""),"",IF(多次统计数据!$B$9&lt;AB35,"低于上限","达到或超过上限"))</f>
        <v>低于上限</v>
      </c>
      <c r="AD35" s="21"/>
      <c r="AE35" s="5">
        <f t="shared" si="19"/>
        <v>0.112499517169454</v>
      </c>
      <c r="AG35" s="21" t="s">
        <v>45</v>
      </c>
      <c r="AH35" s="21" t="s">
        <v>46</v>
      </c>
      <c r="AI35" s="10" t="s">
        <v>59</v>
      </c>
      <c r="AJ35" s="6" t="str">
        <f t="shared" si="20"/>
        <v>匹配</v>
      </c>
      <c r="AK35" s="24">
        <f>IF(A35="","",COUNTIFS(加仓管理!$A$2:$A$1001,A35,加仓管理!$G$2:$G$1001,"&gt;0"))</f>
        <v>3</v>
      </c>
      <c r="AL35" s="24">
        <f>IF(A35="","",SUMIFS(加仓管理!$G$2:$G$1001,加仓管理!$A$2:$A$1001,A35))</f>
        <v>16500</v>
      </c>
      <c r="AM35" s="25">
        <f>IF(AK35=0,"",IFERROR(LOOKUP(2,1/((加仓管理!$A$2:$A$1001=A35)*(加仓管理!$G$2:$G$1001&gt;0)),加仓管理!$D$2:$D$1001),""))</f>
        <v>6.61</v>
      </c>
      <c r="AN35" s="25">
        <f>IF(AK35=0,"",IFERROR(LOOKUP(2,1/((加仓管理!$A$2:$A$1001=A35)*(加仓管理!$G$2:$G$1001&gt;0)),加仓管理!$E$2:$E$1001),""))</f>
        <v>6.2</v>
      </c>
      <c r="AO35" s="25">
        <f>IF(OR(A35="",H35="",H35&lt;=0),"",(E35*H35+SUMIFS(加仓管理!$H$2:$H$1001,加仓管理!$A$2:$A$1001,A35))/AP35)</f>
        <v>5.34655172413793</v>
      </c>
      <c r="AP35" s="24">
        <f t="shared" si="21"/>
        <v>43500</v>
      </c>
      <c r="AQ35" s="25">
        <f>IF(A35="","",IF(M35&lt;&gt;"",0,IF(OR(H35="",N35=""),"",MAX((E35*H35+SUMIFS(加仓管理!$H$2:$H$1001,加仓管理!$A$2:$A$1001,A35))-MAX(N35,AN35)*AP35,0))))</f>
        <v>0</v>
      </c>
      <c r="AR35" s="25" t="str">
        <f ca="1"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通过</v>
      </c>
    </row>
    <row r="36" ht="17" spans="1:44">
      <c r="A36" s="21">
        <v>35</v>
      </c>
      <c r="B36" s="10" t="s">
        <v>60</v>
      </c>
      <c r="C36" s="7">
        <v>345618</v>
      </c>
      <c r="D36" s="4">
        <v>0.02</v>
      </c>
      <c r="E36" s="7">
        <v>6.98</v>
      </c>
      <c r="F36" s="6">
        <f t="shared" si="11"/>
        <v>14400</v>
      </c>
      <c r="G36" s="6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1">
        <v>14400</v>
      </c>
      <c r="I36" s="22">
        <v>42041</v>
      </c>
      <c r="J36" s="7">
        <v>8</v>
      </c>
      <c r="K36" s="7">
        <v>9.09</v>
      </c>
      <c r="L36" s="6">
        <f t="shared" si="12"/>
        <v>43200</v>
      </c>
      <c r="M36" s="22">
        <v>42122</v>
      </c>
      <c r="N36" s="7">
        <v>6.5</v>
      </c>
      <c r="O36" s="7"/>
      <c r="P36" s="7"/>
      <c r="Q36" s="21"/>
      <c r="R36" s="21"/>
      <c r="S36" s="21"/>
      <c r="T36" s="21"/>
      <c r="U36" s="5">
        <f t="shared" si="13"/>
        <v>-0.0155865463494668</v>
      </c>
      <c r="V36" s="5">
        <f t="shared" si="14"/>
        <v>0.200164068908942</v>
      </c>
      <c r="W36" s="23">
        <f t="shared" si="15"/>
        <v>-0.0778688524590165</v>
      </c>
      <c r="X36" s="3">
        <f t="shared" si="16"/>
        <v>41616</v>
      </c>
      <c r="Y36" s="5">
        <f t="shared" si="17"/>
        <v>0.118539786710418</v>
      </c>
      <c r="Z36" s="5">
        <f>IF(OR(AE36="",多次统计数据!$B$8=""),"",AE36-多次统计数据!$B$8)</f>
        <v>0.0112871472148693</v>
      </c>
      <c r="AA36" s="8">
        <f t="shared" si="18"/>
        <v>81</v>
      </c>
      <c r="AB36" s="5">
        <f>IF(OR(A36="",多次统计数据!$B$8="",多次统计数据!$B$6&lt;=0,多次统计数据!$B$6&gt;=1),"",1-POWER(1+多次统计数据!$B$8,-多次统计数据!$B$6/(1-多次统计数据!$B$6)))</f>
        <v>0.0602504749804965</v>
      </c>
      <c r="AC36" s="6" t="str">
        <f>IF(OR(AB36="",多次统计数据!$B$9=""),"",IF(多次统计数据!$B$9&lt;AB36,"低于上限","达到或超过上限"))</f>
        <v>低于上限</v>
      </c>
      <c r="AD36" s="21"/>
      <c r="AE36" s="5">
        <f t="shared" si="19"/>
        <v>0.120410395291912</v>
      </c>
      <c r="AG36" s="21" t="s">
        <v>45</v>
      </c>
      <c r="AH36" s="21" t="s">
        <v>46</v>
      </c>
      <c r="AI36" s="10" t="s">
        <v>59</v>
      </c>
      <c r="AJ36" s="6" t="str">
        <f t="shared" si="20"/>
        <v>匹配</v>
      </c>
      <c r="AK36" s="24">
        <f>IF(A36="","",COUNTIFS(加仓管理!$A$2:$A$1001,A36,加仓管理!$G$2:$G$1001,"&gt;0"))</f>
        <v>2</v>
      </c>
      <c r="AL36" s="24">
        <f>IF(A36="","",SUMIFS(加仓管理!$G$2:$G$1001,加仓管理!$A$2:$A$1001,A36))</f>
        <v>28800</v>
      </c>
      <c r="AM36" s="25">
        <f>IF(AK36=0,"",IFERROR(LOOKUP(2,1/((加仓管理!$A$2:$A$1001=A36)*(加仓管理!$G$2:$G$1001&gt;0)),加仓管理!$D$2:$D$1001),""))</f>
        <v>9.18</v>
      </c>
      <c r="AN36" s="25">
        <f>IF(AK36=0,"",IFERROR(LOOKUP(2,1/((加仓管理!$A$2:$A$1001=A36)*(加仓管理!$G$2:$G$1001&gt;0)),加仓管理!$E$2:$E$1001),""))</f>
        <v>8.5</v>
      </c>
      <c r="AO36" s="25">
        <f>IF(OR(A36="",H36="",H36&lt;=0),"",(E36*H36+SUMIFS(加仓管理!$H$2:$H$1001,加仓管理!$A$2:$A$1001,A36))/AP36)</f>
        <v>8.12666666666667</v>
      </c>
      <c r="AP36" s="24">
        <f t="shared" si="21"/>
        <v>43200</v>
      </c>
      <c r="AQ36" s="25">
        <f>IF(A36="","",IF(M36&lt;&gt;"",0,IF(OR(H36="",N36=""),"",MAX((E36*H36+SUMIFS(加仓管理!$H$2:$H$1001,加仓管理!$A$2:$A$1001,A36))-MAX(N36,AN36)*AP36,0))))</f>
        <v>0</v>
      </c>
      <c r="AR36" s="25" t="str">
        <f ca="1"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ht="17" spans="1:44">
      <c r="A37" s="21">
        <v>36</v>
      </c>
      <c r="B37" s="10" t="s">
        <v>60</v>
      </c>
      <c r="C37" s="7">
        <v>387234</v>
      </c>
      <c r="D37" s="4">
        <v>0.02</v>
      </c>
      <c r="E37" s="7">
        <v>10.22</v>
      </c>
      <c r="F37" s="6">
        <f t="shared" si="11"/>
        <v>10700</v>
      </c>
      <c r="G37" s="6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1">
        <v>10700</v>
      </c>
      <c r="I37" s="22">
        <v>42149</v>
      </c>
      <c r="J37" s="7">
        <v>12</v>
      </c>
      <c r="K37" s="7">
        <v>8.94</v>
      </c>
      <c r="L37" s="6">
        <f t="shared" si="12"/>
        <v>10700</v>
      </c>
      <c r="M37" s="22">
        <v>42152</v>
      </c>
      <c r="N37" s="7">
        <v>9.5</v>
      </c>
      <c r="O37" s="7"/>
      <c r="P37" s="7"/>
      <c r="Q37" s="21"/>
      <c r="R37" s="21"/>
      <c r="S37" s="21"/>
      <c r="T37" s="21"/>
      <c r="U37" s="5">
        <f t="shared" si="13"/>
        <v>0.174168297455969</v>
      </c>
      <c r="V37" s="5">
        <f t="shared" si="14"/>
        <v>0.0704500978473582</v>
      </c>
      <c r="W37" s="23">
        <f t="shared" si="15"/>
        <v>2.47222222222222</v>
      </c>
      <c r="X37" s="3">
        <f t="shared" si="16"/>
        <v>-13696</v>
      </c>
      <c r="Y37" s="5">
        <f t="shared" si="17"/>
        <v>-0.125244618395303</v>
      </c>
      <c r="Z37" s="5">
        <f>IF(OR(AE37="",多次统计数据!$B$8=""),"",AE37-多次统计数据!$B$8)</f>
        <v>-0.144492043172515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0.0602504749804965</v>
      </c>
      <c r="AC37" s="6" t="str">
        <f>IF(OR(AB37="",多次统计数据!$B$9=""),"",IF(多次统计数据!$B$9&lt;AB37,"低于上限","达到或超过上限"))</f>
        <v>低于上限</v>
      </c>
      <c r="AD37" s="21"/>
      <c r="AE37" s="5">
        <f t="shared" si="19"/>
        <v>-0.035368795095472</v>
      </c>
      <c r="AG37" s="21" t="s">
        <v>45</v>
      </c>
      <c r="AH37" s="21" t="s">
        <v>46</v>
      </c>
      <c r="AI37" s="10" t="s">
        <v>59</v>
      </c>
      <c r="AJ37" s="6" t="str">
        <f t="shared" si="20"/>
        <v>匹配</v>
      </c>
      <c r="AK37" s="24">
        <f>IF(A37="","",COUNTIFS(加仓管理!$A$2:$A$1001,A37,加仓管理!$G$2:$G$1001,"&gt;0"))</f>
        <v>0</v>
      </c>
      <c r="AL37" s="24">
        <f>IF(A37="","",SUMIFS(加仓管理!$G$2:$G$1001,加仓管理!$A$2:$A$1001,A37))</f>
        <v>0</v>
      </c>
      <c r="AM37" s="25" t="str">
        <f>IF(AK37=0,"",IFERROR(LOOKUP(2,1/((加仓管理!$A$2:$A$1001=A37)*(加仓管理!$G$2:$G$1001&gt;0)),加仓管理!$D$2:$D$1001),""))</f>
        <v/>
      </c>
      <c r="AN37" s="25" t="str">
        <f>IF(AK37=0,"",IFERROR(LOOKUP(2,1/((加仓管理!$A$2:$A$1001=A37)*(加仓管理!$G$2:$G$1001&gt;0)),加仓管理!$E$2:$E$1001),""))</f>
        <v/>
      </c>
      <c r="AO37" s="25">
        <f>IF(OR(A37="",H37="",H37&lt;=0),"",(E37*H37+SUMIFS(加仓管理!$H$2:$H$1001,加仓管理!$A$2:$A$1001,A37))/AP37)</f>
        <v>10.22</v>
      </c>
      <c r="AP37" s="24">
        <f t="shared" si="21"/>
        <v>10700</v>
      </c>
      <c r="AQ37" s="25">
        <f>IF(A37="","",IF(M37&lt;&gt;"",0,IF(OR(H37="",N37=""),"",MAX((E37*H37+SUMIFS(加仓管理!$H$2:$H$1001,加仓管理!$A$2:$A$1001,A37))-MAX(N37,AN37)*AP37,0))))</f>
        <v>0</v>
      </c>
      <c r="AR37" s="25" t="str">
        <f ca="1"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="20" customFormat="1" ht="17" spans="1:44">
      <c r="A38" s="26">
        <v>37</v>
      </c>
      <c r="B38" s="27" t="s">
        <v>60</v>
      </c>
      <c r="C38" s="28">
        <v>373538</v>
      </c>
      <c r="D38" s="29">
        <v>0.02</v>
      </c>
      <c r="E38" s="28">
        <v>11.09</v>
      </c>
      <c r="F38" s="30">
        <f t="shared" si="11"/>
        <v>12600</v>
      </c>
      <c r="G38" s="31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6">
        <v>12600</v>
      </c>
      <c r="I38" s="32">
        <v>42160</v>
      </c>
      <c r="J38" s="28">
        <v>12.5</v>
      </c>
      <c r="K38" s="28">
        <v>9.65</v>
      </c>
      <c r="L38" s="30">
        <f t="shared" si="12"/>
        <v>12600</v>
      </c>
      <c r="M38" s="32">
        <v>42171</v>
      </c>
      <c r="N38" s="28">
        <v>10.5</v>
      </c>
      <c r="O38" s="28"/>
      <c r="P38" s="28"/>
      <c r="Q38" s="26"/>
      <c r="R38" s="26"/>
      <c r="S38" s="26"/>
      <c r="T38" s="26"/>
      <c r="U38" s="33">
        <f t="shared" si="13"/>
        <v>0.127141568981064</v>
      </c>
      <c r="V38" s="33">
        <f t="shared" si="14"/>
        <v>0.0532010820559062</v>
      </c>
      <c r="W38" s="34">
        <f t="shared" si="15"/>
        <v>2.38983050847458</v>
      </c>
      <c r="X38" s="35">
        <f t="shared" si="16"/>
        <v>-18144</v>
      </c>
      <c r="Y38" s="33">
        <f t="shared" si="17"/>
        <v>-0.129846708746619</v>
      </c>
      <c r="Z38" s="33">
        <f>IF(OR(AE38="",多次统计数据!$B$8=""),"",AE38-多次统计数据!$B$8)</f>
        <v>-0.157696619460945</v>
      </c>
      <c r="AA38" s="36">
        <f t="shared" si="18"/>
        <v>11</v>
      </c>
      <c r="AB38" s="33">
        <f>IF(OR(A38="",多次统计数据!$B$8="",多次统计数据!$B$6&lt;=0,多次统计数据!$B$6&gt;=1),"",1-POWER(1+多次统计数据!$B$8,-多次统计数据!$B$6/(1-多次统计数据!$B$6)))</f>
        <v>0.0602504749804965</v>
      </c>
      <c r="AC38" s="31" t="str">
        <f>IF(OR(AB38="",多次统计数据!$B$9=""),"",IF(多次统计数据!$B$9&lt;AB38,"低于上限","达到或超过上限"))</f>
        <v>低于上限</v>
      </c>
      <c r="AD38" s="26"/>
      <c r="AE38" s="33">
        <f t="shared" si="19"/>
        <v>-0.048573371383902</v>
      </c>
      <c r="AG38" s="37" t="s">
        <v>45</v>
      </c>
      <c r="AH38" s="37" t="s">
        <v>46</v>
      </c>
      <c r="AI38" s="27" t="s">
        <v>59</v>
      </c>
      <c r="AJ38" s="31" t="str">
        <f t="shared" si="20"/>
        <v>匹配</v>
      </c>
      <c r="AK38" s="38">
        <f>IF(A38="","",COUNTIFS(加仓管理!$A$2:$A$1001,A38,加仓管理!$G$2:$G$1001,"&gt;0"))</f>
        <v>0</v>
      </c>
      <c r="AL38" s="38">
        <f>IF(A38="","",SUMIFS(加仓管理!$G$2:$G$1001,加仓管理!$A$2:$A$1001,A38))</f>
        <v>0</v>
      </c>
      <c r="AM38" s="39" t="str">
        <f>IF(AK38=0,"",IFERROR(LOOKUP(2,1/((加仓管理!$A$2:$A$1001=A38)*(加仓管理!$G$2:$G$1001&gt;0)),加仓管理!$D$2:$D$1001),""))</f>
        <v/>
      </c>
      <c r="AN38" s="39" t="str">
        <f>IF(AK38=0,"",IFERROR(LOOKUP(2,1/((加仓管理!$A$2:$A$1001=A38)*(加仓管理!$G$2:$G$1001&gt;0)),加仓管理!$E$2:$E$1001),""))</f>
        <v/>
      </c>
      <c r="AO38" s="39">
        <f>IF(OR(A38="",H38="",H38&lt;=0),"",(E38*H38+SUMIFS(加仓管理!$H$2:$H$1001,加仓管理!$A$2:$A$1001,A38))/AP38)</f>
        <v>11.09</v>
      </c>
      <c r="AP38" s="38">
        <f t="shared" si="21"/>
        <v>12600</v>
      </c>
      <c r="AQ38" s="39">
        <f>IF(A38="","",IF(M38&lt;&gt;"",0,IF(OR(H38="",N38=""),"",MAX((E38*H38+SUMIFS(加仓管理!$H$2:$H$1001,加仓管理!$A$2:$A$1001,A38))-MAX(N38,AN38)*AP38,0))))</f>
        <v>0</v>
      </c>
      <c r="AR38" s="39" t="str">
        <f ca="1"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通过</v>
      </c>
    </row>
    <row r="39" ht="17" spans="1:44">
      <c r="A39" s="21">
        <v>38</v>
      </c>
      <c r="B39" s="10" t="s">
        <v>60</v>
      </c>
      <c r="C39" s="7">
        <v>355394</v>
      </c>
      <c r="D39" s="4">
        <v>0.02</v>
      </c>
      <c r="E39" s="7">
        <v>4.33</v>
      </c>
      <c r="F39" s="6">
        <f t="shared" si="11"/>
        <v>21500</v>
      </c>
      <c r="G39" s="6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1">
        <v>21500</v>
      </c>
      <c r="I39" s="22">
        <v>42702</v>
      </c>
      <c r="J39" s="7">
        <v>5</v>
      </c>
      <c r="K39" s="7">
        <v>4.19</v>
      </c>
      <c r="L39" s="6">
        <f t="shared" si="12"/>
        <v>21500</v>
      </c>
      <c r="M39" s="22">
        <v>42710</v>
      </c>
      <c r="N39" s="7">
        <v>4</v>
      </c>
      <c r="O39" s="7"/>
      <c r="P39" s="7"/>
      <c r="Q39" s="21"/>
      <c r="R39" s="21"/>
      <c r="S39" s="21"/>
      <c r="T39" s="21"/>
      <c r="U39" s="5">
        <f t="shared" si="13"/>
        <v>0.15473441108545</v>
      </c>
      <c r="V39" s="5">
        <f t="shared" si="14"/>
        <v>0.0762124711316397</v>
      </c>
      <c r="W39" s="23">
        <f t="shared" si="15"/>
        <v>2.03030303030303</v>
      </c>
      <c r="X39" s="3">
        <f t="shared" si="16"/>
        <v>-3009.99999999999</v>
      </c>
      <c r="Y39" s="5">
        <f t="shared" si="17"/>
        <v>-0.0323325635103925</v>
      </c>
      <c r="Z39" s="5">
        <f>IF(OR(AE39="",多次统计数据!$B$8=""),"",AE39-多次统计数据!$B$8)</f>
        <v>-0.117592721393981</v>
      </c>
      <c r="AA39" s="8">
        <f t="shared" si="18"/>
        <v>8</v>
      </c>
      <c r="AB39" s="5">
        <f>IF(OR(A39="",多次统计数据!$B$8="",多次统计数据!$B$6&lt;=0,多次统计数据!$B$6&gt;=1),"",1-POWER(1+多次统计数据!$B$8,-多次统计数据!$B$6/(1-多次统计数据!$B$6)))</f>
        <v>0.0602504749804965</v>
      </c>
      <c r="AC39" s="6" t="str">
        <f>IF(OR(AB39="",多次统计数据!$B$9=""),"",IF(多次统计数据!$B$9&lt;AB39,"低于上限","达到或超过上限"))</f>
        <v>低于上限</v>
      </c>
      <c r="AD39" s="21"/>
      <c r="AE39" s="5">
        <f t="shared" si="19"/>
        <v>-0.00846947331693836</v>
      </c>
      <c r="AG39" s="21" t="s">
        <v>50</v>
      </c>
      <c r="AH39" s="21" t="s">
        <v>58</v>
      </c>
      <c r="AI39" s="10" t="s">
        <v>59</v>
      </c>
      <c r="AJ39" s="6" t="str">
        <f t="shared" si="20"/>
        <v>匹配</v>
      </c>
      <c r="AK39" s="24">
        <f>IF(A39="","",COUNTIFS(加仓管理!$A$2:$A$1001,A39,加仓管理!$G$2:$G$1001,"&gt;0"))</f>
        <v>0</v>
      </c>
      <c r="AL39" s="24">
        <f>IF(A39="","",SUMIFS(加仓管理!$G$2:$G$1001,加仓管理!$A$2:$A$1001,A39))</f>
        <v>0</v>
      </c>
      <c r="AM39" s="25" t="str">
        <f>IF(AK39=0,"",IFERROR(LOOKUP(2,1/((加仓管理!$A$2:$A$1001=A39)*(加仓管理!$G$2:$G$1001&gt;0)),加仓管理!$D$2:$D$1001),""))</f>
        <v/>
      </c>
      <c r="AN39" s="25" t="str">
        <f>IF(AK39=0,"",IFERROR(LOOKUP(2,1/((加仓管理!$A$2:$A$1001=A39)*(加仓管理!$G$2:$G$1001&gt;0)),加仓管理!$E$2:$E$1001),""))</f>
        <v/>
      </c>
      <c r="AO39" s="25">
        <f>IF(OR(A39="",H39="",H39&lt;=0),"",(E39*H39+SUMIFS(加仓管理!$H$2:$H$1001,加仓管理!$A$2:$A$1001,A39))/AP39)</f>
        <v>4.33</v>
      </c>
      <c r="AP39" s="24">
        <f t="shared" si="21"/>
        <v>21500</v>
      </c>
      <c r="AQ39" s="25">
        <f>IF(A39="","",IF(M39&lt;&gt;"",0,IF(OR(H39="",N39=""),"",MAX((E39*H39+SUMIFS(加仓管理!$H$2:$H$1001,加仓管理!$A$2:$A$1001,A39))-MAX(N39,AN39)*AP39,0))))</f>
        <v>0</v>
      </c>
      <c r="AR39" s="25" t="str">
        <f ca="1"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ht="17" spans="1:44">
      <c r="A40" s="21">
        <v>39</v>
      </c>
      <c r="B40" s="10" t="s">
        <v>60</v>
      </c>
      <c r="C40" s="7">
        <v>352384</v>
      </c>
      <c r="D40" s="4">
        <v>0.02</v>
      </c>
      <c r="E40" s="7">
        <v>4.79</v>
      </c>
      <c r="F40" s="6">
        <f t="shared" si="11"/>
        <v>18000</v>
      </c>
      <c r="G40" s="6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1">
        <v>18000</v>
      </c>
      <c r="I40" s="22">
        <v>42780</v>
      </c>
      <c r="J40" s="7">
        <v>5.5</v>
      </c>
      <c r="K40" s="7">
        <v>4.79</v>
      </c>
      <c r="L40" s="6">
        <f t="shared" si="12"/>
        <v>18000</v>
      </c>
      <c r="M40" s="22">
        <v>42800</v>
      </c>
      <c r="N40" s="7">
        <v>4.4</v>
      </c>
      <c r="O40" s="7"/>
      <c r="P40" s="7"/>
      <c r="Q40" s="21"/>
      <c r="R40" s="21"/>
      <c r="S40" s="21"/>
      <c r="T40" s="21"/>
      <c r="U40" s="5">
        <f t="shared" si="13"/>
        <v>0.148225469728601</v>
      </c>
      <c r="V40" s="5">
        <f t="shared" si="14"/>
        <v>0.0814196242171189</v>
      </c>
      <c r="W40" s="23">
        <f t="shared" si="15"/>
        <v>1.82051282051282</v>
      </c>
      <c r="X40" s="3">
        <f t="shared" si="16"/>
        <v>0</v>
      </c>
      <c r="Y40" s="5">
        <f t="shared" si="17"/>
        <v>0</v>
      </c>
      <c r="Z40" s="5">
        <f>IF(OR(AE40="",多次统计数据!$B$8=""),"",AE40-多次统计数据!$B$8)</f>
        <v>-0.109123248077043</v>
      </c>
      <c r="AA40" s="8">
        <f t="shared" si="18"/>
        <v>20</v>
      </c>
      <c r="AB40" s="5">
        <f>IF(OR(A40="",多次统计数据!$B$8="",多次统计数据!$B$6&lt;=0,多次统计数据!$B$6&gt;=1),"",1-POWER(1+多次统计数据!$B$8,-多次统计数据!$B$6/(1-多次统计数据!$B$6)))</f>
        <v>0.0602504749804965</v>
      </c>
      <c r="AC40" s="6" t="str">
        <f>IF(OR(AB40="",多次统计数据!$B$9=""),"",IF(多次统计数据!$B$9&lt;AB40,"低于上限","达到或超过上限"))</f>
        <v>低于上限</v>
      </c>
      <c r="AD40" s="21"/>
      <c r="AE40" s="5">
        <f t="shared" si="19"/>
        <v>0</v>
      </c>
      <c r="AG40" s="21" t="s">
        <v>50</v>
      </c>
      <c r="AH40" s="21" t="s">
        <v>58</v>
      </c>
      <c r="AI40" s="10" t="s">
        <v>59</v>
      </c>
      <c r="AJ40" s="6" t="str">
        <f t="shared" si="20"/>
        <v>匹配</v>
      </c>
      <c r="AK40" s="24">
        <f>IF(A40="","",COUNTIFS(加仓管理!$A$2:$A$1001,A40,加仓管理!$G$2:$G$1001,"&gt;0"))</f>
        <v>0</v>
      </c>
      <c r="AL40" s="24">
        <f>IF(A40="","",SUMIFS(加仓管理!$G$2:$G$1001,加仓管理!$A$2:$A$1001,A40))</f>
        <v>0</v>
      </c>
      <c r="AM40" s="25" t="str">
        <f>IF(AK40=0,"",IFERROR(LOOKUP(2,1/((加仓管理!$A$2:$A$1001=A40)*(加仓管理!$G$2:$G$1001&gt;0)),加仓管理!$D$2:$D$1001),""))</f>
        <v/>
      </c>
      <c r="AN40" s="25" t="str">
        <f>IF(AK40=0,"",IFERROR(LOOKUP(2,1/((加仓管理!$A$2:$A$1001=A40)*(加仓管理!$G$2:$G$1001&gt;0)),加仓管理!$E$2:$E$1001),""))</f>
        <v/>
      </c>
      <c r="AO40" s="25">
        <f>IF(OR(A40="",H40="",H40&lt;=0),"",(E40*H40+SUMIFS(加仓管理!$H$2:$H$1001,加仓管理!$A$2:$A$1001,A40))/AP40)</f>
        <v>4.79</v>
      </c>
      <c r="AP40" s="24">
        <f t="shared" si="21"/>
        <v>18000</v>
      </c>
      <c r="AQ40" s="25">
        <f>IF(A40="","",IF(M40&lt;&gt;"",0,IF(OR(H40="",N40=""),"",MAX((E40*H40+SUMIFS(加仓管理!$H$2:$H$1001,加仓管理!$A$2:$A$1001,A40))-MAX(N40,AN40)*AP40,0))))</f>
        <v>0</v>
      </c>
      <c r="AR40" s="25" t="str">
        <f ca="1"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ht="17" spans="1:44">
      <c r="A41" s="21">
        <v>40</v>
      </c>
      <c r="B41" s="10" t="s">
        <v>60</v>
      </c>
      <c r="C41" s="7">
        <v>352384</v>
      </c>
      <c r="D41" s="4">
        <v>0.02</v>
      </c>
      <c r="E41" s="7">
        <v>5.28</v>
      </c>
      <c r="F41" s="6">
        <f t="shared" si="11"/>
        <v>16300</v>
      </c>
      <c r="G41" s="6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1">
        <v>16300</v>
      </c>
      <c r="I41" s="22">
        <v>42823</v>
      </c>
      <c r="J41" s="7">
        <v>6</v>
      </c>
      <c r="K41" s="7">
        <v>5.6</v>
      </c>
      <c r="L41" s="6">
        <f t="shared" si="12"/>
        <v>31300</v>
      </c>
      <c r="M41" s="22">
        <v>42846</v>
      </c>
      <c r="N41" s="7">
        <v>4.85</v>
      </c>
      <c r="O41" s="7"/>
      <c r="P41" s="7"/>
      <c r="Q41" s="21"/>
      <c r="R41" s="21"/>
      <c r="S41" s="21"/>
      <c r="T41" s="21"/>
      <c r="U41" s="5">
        <f t="shared" si="13"/>
        <v>0.0505470900181244</v>
      </c>
      <c r="V41" s="5">
        <f t="shared" si="14"/>
        <v>0.150807768902016</v>
      </c>
      <c r="W41" s="23">
        <f t="shared" si="15"/>
        <v>0.335175637078526</v>
      </c>
      <c r="X41" s="3">
        <f t="shared" si="16"/>
        <v>-3484.00000000002</v>
      </c>
      <c r="Y41" s="5">
        <f t="shared" si="17"/>
        <v>-0.0194893826497506</v>
      </c>
      <c r="Z41" s="5">
        <f>IF(OR(AE41="",多次统计数据!$B$8=""),"",AE41-多次统计数据!$B$8)</f>
        <v>-0.119010189595386</v>
      </c>
      <c r="AA41" s="8">
        <f t="shared" si="18"/>
        <v>23</v>
      </c>
      <c r="AB41" s="5">
        <f>IF(OR(A41="",多次统计数据!$B$8="",多次统计数据!$B$6&lt;=0,多次统计数据!$B$6&gt;=1),"",1-POWER(1+多次统计数据!$B$8,-多次统计数据!$B$6/(1-多次统计数据!$B$6)))</f>
        <v>0.0602504749804965</v>
      </c>
      <c r="AC41" s="6" t="str">
        <f>IF(OR(AB41="",多次统计数据!$B$9=""),"",IF(多次统计数据!$B$9&lt;AB41,"低于上限","达到或超过上限"))</f>
        <v>低于上限</v>
      </c>
      <c r="AD41" s="21"/>
      <c r="AE41" s="5">
        <f t="shared" si="19"/>
        <v>-0.00988694151834367</v>
      </c>
      <c r="AG41" s="21" t="s">
        <v>50</v>
      </c>
      <c r="AH41" s="21" t="s">
        <v>58</v>
      </c>
      <c r="AI41" s="10" t="s">
        <v>59</v>
      </c>
      <c r="AJ41" s="6" t="str">
        <f t="shared" si="20"/>
        <v>匹配</v>
      </c>
      <c r="AK41" s="24">
        <f>IF(A41="","",COUNTIFS(加仓管理!$A$2:$A$1001,A41,加仓管理!$G$2:$G$1001,"&gt;0"))</f>
        <v>1</v>
      </c>
      <c r="AL41" s="24">
        <f>IF(A41="","",SUMIFS(加仓管理!$G$2:$G$1001,加仓管理!$A$2:$A$1001,A41))</f>
        <v>15000</v>
      </c>
      <c r="AM41" s="25">
        <f>IF(AK41=0,"",IFERROR(LOOKUP(2,1/((加仓管理!$A$2:$A$1001=A41)*(加仓管理!$G$2:$G$1001&gt;0)),加仓管理!$D$2:$D$1001),""))</f>
        <v>6.18</v>
      </c>
      <c r="AN41" s="25">
        <f>IF(AK41=0,"",IFERROR(LOOKUP(2,1/((加仓管理!$A$2:$A$1001=A41)*(加仓管理!$G$2:$G$1001&gt;0)),加仓管理!$E$2:$E$1001),""))</f>
        <v>5.8</v>
      </c>
      <c r="AO41" s="25">
        <f>IF(OR(A41="",H41="",H41&lt;=0),"",(E41*H41+SUMIFS(加仓管理!$H$2:$H$1001,加仓管理!$A$2:$A$1001,A41))/AP41)</f>
        <v>5.71130990415335</v>
      </c>
      <c r="AP41" s="24">
        <f t="shared" si="21"/>
        <v>31300</v>
      </c>
      <c r="AQ41" s="25">
        <f>IF(A41="","",IF(M41&lt;&gt;"",0,IF(OR(H41="",N41=""),"",MAX((E41*H41+SUMIFS(加仓管理!$H$2:$H$1001,加仓管理!$A$2:$A$1001,A41))-MAX(N41,AN41)*AP41,0))))</f>
        <v>0</v>
      </c>
      <c r="AR41" s="25" t="str">
        <f ca="1"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通过</v>
      </c>
    </row>
    <row r="42" ht="17" spans="1:44">
      <c r="A42" s="21">
        <v>41</v>
      </c>
      <c r="B42" s="10" t="s">
        <v>60</v>
      </c>
      <c r="C42" s="7">
        <v>348900</v>
      </c>
      <c r="D42" s="4">
        <v>0.02</v>
      </c>
      <c r="E42" s="7">
        <v>5.85</v>
      </c>
      <c r="F42" s="6">
        <f t="shared" si="11"/>
        <v>19900</v>
      </c>
      <c r="G42" s="6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1">
        <v>19900</v>
      </c>
      <c r="I42" s="22">
        <v>42968</v>
      </c>
      <c r="J42" s="7">
        <v>6.5</v>
      </c>
      <c r="K42" s="7">
        <v>5.44</v>
      </c>
      <c r="L42" s="6">
        <f t="shared" si="12"/>
        <v>19900</v>
      </c>
      <c r="M42" s="22">
        <v>43056</v>
      </c>
      <c r="N42" s="7">
        <v>5.5</v>
      </c>
      <c r="O42" s="7"/>
      <c r="P42" s="7"/>
      <c r="Q42" s="21"/>
      <c r="R42" s="21"/>
      <c r="S42" s="21"/>
      <c r="T42" s="21"/>
      <c r="U42" s="5">
        <f t="shared" si="13"/>
        <v>0.111111111111111</v>
      </c>
      <c r="V42" s="5">
        <f t="shared" si="14"/>
        <v>0.0598290598290598</v>
      </c>
      <c r="W42" s="23">
        <f t="shared" si="15"/>
        <v>1.85714285714286</v>
      </c>
      <c r="X42" s="3">
        <f t="shared" si="16"/>
        <v>-8158.99999999999</v>
      </c>
      <c r="Y42" s="5">
        <f t="shared" si="17"/>
        <v>-0.07008547008547</v>
      </c>
      <c r="Z42" s="5">
        <f>IF(OR(AE42="",多次统计数据!$B$8=""),"",AE42-多次统计数据!$B$8)</f>
        <v>-0.132508172124047</v>
      </c>
      <c r="AA42" s="8">
        <f t="shared" si="18"/>
        <v>88</v>
      </c>
      <c r="AB42" s="5">
        <f>IF(OR(A42="",多次统计数据!$B$8="",多次统计数据!$B$6&lt;=0,多次统计数据!$B$6&gt;=1),"",1-POWER(1+多次统计数据!$B$8,-多次统计数据!$B$6/(1-多次统计数据!$B$6)))</f>
        <v>0.0602504749804965</v>
      </c>
      <c r="AC42" s="6" t="str">
        <f>IF(OR(AB42="",多次统计数据!$B$9=""),"",IF(多次统计数据!$B$9&lt;AB42,"低于上限","达到或超过上限"))</f>
        <v>低于上限</v>
      </c>
      <c r="AD42" s="21"/>
      <c r="AE42" s="5">
        <f t="shared" si="19"/>
        <v>-0.0233849240470048</v>
      </c>
      <c r="AG42" s="21" t="s">
        <v>45</v>
      </c>
      <c r="AH42" s="21" t="s">
        <v>46</v>
      </c>
      <c r="AI42" s="10" t="s">
        <v>59</v>
      </c>
      <c r="AJ42" s="6" t="str">
        <f t="shared" si="20"/>
        <v>匹配</v>
      </c>
      <c r="AK42" s="24">
        <f>IF(A42="","",COUNTIFS(加仓管理!$A$2:$A$1001,A42,加仓管理!$G$2:$G$1001,"&gt;0"))</f>
        <v>0</v>
      </c>
      <c r="AL42" s="24">
        <f>IF(A42="","",SUMIFS(加仓管理!$G$2:$G$1001,加仓管理!$A$2:$A$1001,A42))</f>
        <v>0</v>
      </c>
      <c r="AM42" s="25" t="str">
        <f>IF(AK42=0,"",IFERROR(LOOKUP(2,1/((加仓管理!$A$2:$A$1001=A42)*(加仓管理!$G$2:$G$1001&gt;0)),加仓管理!$D$2:$D$1001),""))</f>
        <v/>
      </c>
      <c r="AN42" s="25" t="str">
        <f>IF(AK42=0,"",IFERROR(LOOKUP(2,1/((加仓管理!$A$2:$A$1001=A42)*(加仓管理!$G$2:$G$1001&gt;0)),加仓管理!$E$2:$E$1001),""))</f>
        <v/>
      </c>
      <c r="AO42" s="25">
        <f>IF(OR(A42="",H42="",H42&lt;=0),"",(E42*H42+SUMIFS(加仓管理!$H$2:$H$1001,加仓管理!$A$2:$A$1001,A42))/AP42)</f>
        <v>5.85</v>
      </c>
      <c r="AP42" s="24">
        <f t="shared" si="21"/>
        <v>19900</v>
      </c>
      <c r="AQ42" s="25">
        <f>IF(A42="","",IF(M42&lt;&gt;"",0,IF(OR(H42="",N42=""),"",MAX((E42*H42+SUMIFS(加仓管理!$H$2:$H$1001,加仓管理!$A$2:$A$1001,A42))-MAX(N42,AN42)*AP42,0))))</f>
        <v>0</v>
      </c>
      <c r="AR42" s="25" t="str">
        <f ca="1"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通过</v>
      </c>
    </row>
    <row r="43" ht="17" spans="1:44">
      <c r="A43" s="21">
        <v>42</v>
      </c>
      <c r="B43" s="10" t="s">
        <v>60</v>
      </c>
      <c r="C43" s="7">
        <v>340741</v>
      </c>
      <c r="D43" s="4">
        <v>0.02</v>
      </c>
      <c r="E43" s="7">
        <v>3.27</v>
      </c>
      <c r="F43" s="6">
        <f t="shared" si="11"/>
        <v>25200</v>
      </c>
      <c r="G43" s="6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1">
        <v>25200</v>
      </c>
      <c r="I43" s="22">
        <v>43515</v>
      </c>
      <c r="J43" s="7">
        <v>4</v>
      </c>
      <c r="K43" s="7">
        <v>3.44</v>
      </c>
      <c r="L43" s="6">
        <f t="shared" si="12"/>
        <v>42600</v>
      </c>
      <c r="M43" s="22">
        <v>43532</v>
      </c>
      <c r="N43" s="7">
        <v>3</v>
      </c>
      <c r="O43" s="7"/>
      <c r="P43" s="7"/>
      <c r="Q43" s="21"/>
      <c r="R43" s="21"/>
      <c r="S43" s="21"/>
      <c r="T43" s="21"/>
      <c r="U43" s="5">
        <f t="shared" si="13"/>
        <v>0.159514963458947</v>
      </c>
      <c r="V43" s="5">
        <f t="shared" si="14"/>
        <v>0.130363777405789</v>
      </c>
      <c r="W43" s="23">
        <f t="shared" si="15"/>
        <v>1.22361415596618</v>
      </c>
      <c r="X43" s="3">
        <f t="shared" si="16"/>
        <v>-414.000000000008</v>
      </c>
      <c r="Y43" s="5">
        <f t="shared" si="17"/>
        <v>-0.00281713142530524</v>
      </c>
      <c r="Z43" s="5">
        <f>IF(OR(AE43="",多次统计数据!$B$8=""),"",AE43-多次统计数据!$B$8)</f>
        <v>-0.110338247152587</v>
      </c>
      <c r="AA43" s="8">
        <f t="shared" si="18"/>
        <v>17</v>
      </c>
      <c r="AB43" s="5">
        <f>IF(OR(A43="",多次统计数据!$B$8="",多次统计数据!$B$6&lt;=0,多次统计数据!$B$6&gt;=1),"",1-POWER(1+多次统计数据!$B$8,-多次统计数据!$B$6/(1-多次统计数据!$B$6)))</f>
        <v>0.0602504749804965</v>
      </c>
      <c r="AC43" s="6" t="str">
        <f>IF(OR(AB43="",多次统计数据!$B$9=""),"",IF(多次统计数据!$B$9&lt;AB43,"低于上限","达到或超过上限"))</f>
        <v>低于上限</v>
      </c>
      <c r="AD43" s="21"/>
      <c r="AE43" s="5">
        <f t="shared" si="19"/>
        <v>-0.00121499907554421</v>
      </c>
      <c r="AG43" s="21" t="s">
        <v>50</v>
      </c>
      <c r="AH43" s="21" t="s">
        <v>58</v>
      </c>
      <c r="AI43" s="10" t="s">
        <v>59</v>
      </c>
      <c r="AJ43" s="6" t="str">
        <f t="shared" si="20"/>
        <v>匹配</v>
      </c>
      <c r="AK43" s="24">
        <f>IF(A43="","",COUNTIFS(加仓管理!$A$2:$A$1001,A43,加仓管理!$G$2:$G$1001,"&gt;0"))</f>
        <v>1</v>
      </c>
      <c r="AL43" s="24">
        <f>IF(A43="","",SUMIFS(加仓管理!$G$2:$G$1001,加仓管理!$A$2:$A$1001,A43))</f>
        <v>17400</v>
      </c>
      <c r="AM43" s="25">
        <f>IF(AK43=0,"",IFERROR(LOOKUP(2,1/((加仓管理!$A$2:$A$1001=A43)*(加仓管理!$G$2:$G$1001&gt;0)),加仓管理!$D$2:$D$1001),""))</f>
        <v>3.71</v>
      </c>
      <c r="AN43" s="25">
        <f>IF(AK43=0,"",IFERROR(LOOKUP(2,1/((加仓管理!$A$2:$A$1001=A43)*(加仓管理!$G$2:$G$1001&gt;0)),加仓管理!$E$2:$E$1001),""))</f>
        <v>3.45</v>
      </c>
      <c r="AO43" s="25">
        <f>IF(OR(A43="",H43="",H43&lt;=0),"",(E43*H43+SUMIFS(加仓管理!$H$2:$H$1001,加仓管理!$A$2:$A$1001,A43))/AP43)</f>
        <v>3.44971830985915</v>
      </c>
      <c r="AP43" s="24">
        <f t="shared" si="21"/>
        <v>42600</v>
      </c>
      <c r="AQ43" s="25">
        <f>IF(A43="","",IF(M43&lt;&gt;"",0,IF(OR(H43="",N43=""),"",MAX((E43*H43+SUMIFS(加仓管理!$H$2:$H$1001,加仓管理!$A$2:$A$1001,A43))-MAX(N43,AN43)*AP43,0))))</f>
        <v>0</v>
      </c>
      <c r="AR43" s="25" t="str">
        <f ca="1"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ht="17" spans="1:44">
      <c r="A44" s="21">
        <v>43</v>
      </c>
      <c r="B44" s="10" t="s">
        <v>60</v>
      </c>
      <c r="C44" s="7">
        <v>340327</v>
      </c>
      <c r="D44" s="4">
        <v>0.02</v>
      </c>
      <c r="E44" s="7">
        <v>4.04</v>
      </c>
      <c r="F44" s="6">
        <f t="shared" si="11"/>
        <v>15400</v>
      </c>
      <c r="G44" s="6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1">
        <v>15400</v>
      </c>
      <c r="I44" s="22">
        <v>43535</v>
      </c>
      <c r="J44" s="7">
        <v>5</v>
      </c>
      <c r="K44" s="7">
        <v>3.89</v>
      </c>
      <c r="L44" s="6">
        <f t="shared" si="12"/>
        <v>15400</v>
      </c>
      <c r="M44" s="22">
        <v>43549</v>
      </c>
      <c r="N44" s="7">
        <v>3.6</v>
      </c>
      <c r="O44" s="7"/>
      <c r="P44" s="7"/>
      <c r="Q44" s="21"/>
      <c r="R44" s="21"/>
      <c r="S44" s="21"/>
      <c r="T44" s="21"/>
      <c r="U44" s="5">
        <f t="shared" si="13"/>
        <v>0.237623762376238</v>
      </c>
      <c r="V44" s="5">
        <f t="shared" si="14"/>
        <v>0.108910891089109</v>
      </c>
      <c r="W44" s="23">
        <f t="shared" si="15"/>
        <v>2.18181818181818</v>
      </c>
      <c r="X44" s="3">
        <f t="shared" si="16"/>
        <v>-2310</v>
      </c>
      <c r="Y44" s="5">
        <f t="shared" si="17"/>
        <v>-0.0371287128712871</v>
      </c>
      <c r="Z44" s="5">
        <f>IF(OR(AE44="",多次统计数据!$B$8=""),"",AE44-多次统计数据!$B$8)</f>
        <v>-0.115910837660002</v>
      </c>
      <c r="AA44" s="8">
        <f t="shared" si="18"/>
        <v>14</v>
      </c>
      <c r="AB44" s="5">
        <f>IF(OR(A44="",多次统计数据!$B$8="",多次统计数据!$B$6&lt;=0,多次统计数据!$B$6&gt;=1),"",1-POWER(1+多次统计数据!$B$8,-多次统计数据!$B$6/(1-多次统计数据!$B$6)))</f>
        <v>0.0602504749804965</v>
      </c>
      <c r="AC44" s="6" t="str">
        <f>IF(OR(AB44="",多次统计数据!$B$9=""),"",IF(多次统计数据!$B$9&lt;AB44,"低于上限","达到或超过上限"))</f>
        <v>低于上限</v>
      </c>
      <c r="AD44" s="21"/>
      <c r="AE44" s="5">
        <f t="shared" si="19"/>
        <v>-0.00678758958295991</v>
      </c>
      <c r="AG44" s="21" t="s">
        <v>50</v>
      </c>
      <c r="AH44" s="21" t="s">
        <v>58</v>
      </c>
      <c r="AI44" s="10" t="s">
        <v>59</v>
      </c>
      <c r="AJ44" s="6" t="str">
        <f t="shared" si="20"/>
        <v>匹配</v>
      </c>
      <c r="AK44" s="24">
        <f>IF(A44="","",COUNTIFS(加仓管理!$A$2:$A$1001,A44,加仓管理!$G$2:$G$1001,"&gt;0"))</f>
        <v>0</v>
      </c>
      <c r="AL44" s="24">
        <f>IF(A44="","",SUMIFS(加仓管理!$G$2:$G$1001,加仓管理!$A$2:$A$1001,A44))</f>
        <v>0</v>
      </c>
      <c r="AM44" s="25" t="str">
        <f>IF(AK44=0,"",IFERROR(LOOKUP(2,1/((加仓管理!$A$2:$A$1001=A44)*(加仓管理!$G$2:$G$1001&gt;0)),加仓管理!$D$2:$D$1001),""))</f>
        <v/>
      </c>
      <c r="AN44" s="25" t="str">
        <f>IF(AK44=0,"",IFERROR(LOOKUP(2,1/((加仓管理!$A$2:$A$1001=A44)*(加仓管理!$G$2:$G$1001&gt;0)),加仓管理!$E$2:$E$1001),""))</f>
        <v/>
      </c>
      <c r="AO44" s="25">
        <f>IF(OR(A44="",H44="",H44&lt;=0),"",(E44*H44+SUMIFS(加仓管理!$H$2:$H$1001,加仓管理!$A$2:$A$1001,A44))/AP44)</f>
        <v>4.04</v>
      </c>
      <c r="AP44" s="24">
        <f t="shared" si="21"/>
        <v>15400</v>
      </c>
      <c r="AQ44" s="25">
        <f>IF(A44="","",IF(M44&lt;&gt;"",0,IF(OR(H44="",N44=""),"",MAX((E44*H44+SUMIFS(加仓管理!$H$2:$H$1001,加仓管理!$A$2:$A$1001,A44))-MAX(N44,AN44)*AP44,0))))</f>
        <v>0</v>
      </c>
      <c r="AR44" s="25" t="str">
        <f ca="1"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ht="17" spans="1:44">
      <c r="A45" s="21">
        <v>44</v>
      </c>
      <c r="B45" s="10" t="s">
        <v>60</v>
      </c>
      <c r="C45" s="7">
        <v>338017</v>
      </c>
      <c r="D45" s="4">
        <v>0.02</v>
      </c>
      <c r="E45" s="7">
        <v>3.26</v>
      </c>
      <c r="F45" s="6">
        <f t="shared" si="11"/>
        <v>26000</v>
      </c>
      <c r="G45" s="6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1">
        <v>26000</v>
      </c>
      <c r="I45" s="22">
        <v>43895</v>
      </c>
      <c r="J45" s="7">
        <v>4</v>
      </c>
      <c r="K45" s="7">
        <v>3.3</v>
      </c>
      <c r="L45" s="6">
        <f t="shared" si="12"/>
        <v>45500</v>
      </c>
      <c r="M45" s="22">
        <v>43913</v>
      </c>
      <c r="N45" s="7">
        <v>3</v>
      </c>
      <c r="O45" s="7"/>
      <c r="P45" s="7"/>
      <c r="Q45" s="21"/>
      <c r="R45" s="21"/>
      <c r="S45" s="21"/>
      <c r="T45" s="21"/>
      <c r="U45" s="5">
        <f t="shared" si="13"/>
        <v>0.142857142857143</v>
      </c>
      <c r="V45" s="5">
        <f t="shared" si="14"/>
        <v>0.142857142857143</v>
      </c>
      <c r="W45" s="23">
        <f t="shared" si="15"/>
        <v>1</v>
      </c>
      <c r="X45" s="3">
        <f t="shared" si="16"/>
        <v>-9100.00000000001</v>
      </c>
      <c r="Y45" s="5">
        <f t="shared" si="17"/>
        <v>-0.0571428571428572</v>
      </c>
      <c r="Z45" s="5">
        <f>IF(OR(AE45="",多次统计数据!$B$8=""),"",AE45-多次统计数据!$B$8)</f>
        <v>-0.136044970948969</v>
      </c>
      <c r="AA45" s="8">
        <f t="shared" si="18"/>
        <v>18</v>
      </c>
      <c r="AB45" s="5">
        <f>IF(OR(A45="",多次统计数据!$B$8="",多次统计数据!$B$6&lt;=0,多次统计数据!$B$6&gt;=1),"",1-POWER(1+多次统计数据!$B$8,-多次统计数据!$B$6/(1-多次统计数据!$B$6)))</f>
        <v>0.0602504749804965</v>
      </c>
      <c r="AC45" s="6" t="str">
        <f>IF(OR(AB45="",多次统计数据!$B$9=""),"",IF(多次统计数据!$B$9&lt;AB45,"低于上限","达到或超过上限"))</f>
        <v>低于上限</v>
      </c>
      <c r="AD45" s="21"/>
      <c r="AE45" s="5">
        <f t="shared" si="19"/>
        <v>-0.0269217228719266</v>
      </c>
      <c r="AG45" s="21" t="s">
        <v>50</v>
      </c>
      <c r="AH45" s="21" t="s">
        <v>58</v>
      </c>
      <c r="AI45" s="10" t="s">
        <v>59</v>
      </c>
      <c r="AJ45" s="6" t="str">
        <f t="shared" si="20"/>
        <v>匹配</v>
      </c>
      <c r="AK45" s="24">
        <f>IF(A45="","",COUNTIFS(加仓管理!$A$2:$A$1001,A45,加仓管理!$G$2:$G$1001,"&gt;0"))</f>
        <v>1</v>
      </c>
      <c r="AL45" s="24">
        <f>IF(A45="","",SUMIFS(加仓管理!$G$2:$G$1001,加仓管理!$A$2:$A$1001,A45))</f>
        <v>19500</v>
      </c>
      <c r="AM45" s="25">
        <f>IF(AK45=0,"",IFERROR(LOOKUP(2,1/((加仓管理!$A$2:$A$1001=A45)*(加仓管理!$G$2:$G$1001&gt;0)),加仓管理!$D$2:$D$1001),""))</f>
        <v>3.82</v>
      </c>
      <c r="AN45" s="25">
        <f>IF(AK45=0,"",IFERROR(LOOKUP(2,1/((加仓管理!$A$2:$A$1001=A45)*(加仓管理!$G$2:$G$1001&gt;0)),加仓管理!$E$2:$E$1001),""))</f>
        <v>3.5</v>
      </c>
      <c r="AO45" s="25">
        <f>IF(OR(A45="",H45="",H45&lt;=0),"",(E45*H45+SUMIFS(加仓管理!$H$2:$H$1001,加仓管理!$A$2:$A$1001,A45))/AP45)</f>
        <v>3.5</v>
      </c>
      <c r="AP45" s="24">
        <f t="shared" si="21"/>
        <v>45500</v>
      </c>
      <c r="AQ45" s="25">
        <f>IF(A45="","",IF(M45&lt;&gt;"",0,IF(OR(H45="",N45=""),"",MAX((E45*H45+SUMIFS(加仓管理!$H$2:$H$1001,加仓管理!$A$2:$A$1001,A45))-MAX(N45,AN45)*AP45,0))))</f>
        <v>0</v>
      </c>
      <c r="AR45" s="25" t="str">
        <f ca="1"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通过</v>
      </c>
    </row>
    <row r="46" ht="17" spans="1:44">
      <c r="A46" s="21">
        <v>45</v>
      </c>
      <c r="B46" s="10" t="s">
        <v>60</v>
      </c>
      <c r="C46" s="7">
        <v>328917</v>
      </c>
      <c r="D46" s="4">
        <v>0.02</v>
      </c>
      <c r="E46" s="7">
        <v>4.04</v>
      </c>
      <c r="F46" s="6">
        <f>IF(OR(C46="",D46="",E46="",N46="",C46&lt;=0,D46&lt;=0,E46&lt;=N46),"",ROUNDDOWN((C46*D46)/(E46-N46)/100,0)*100)</f>
        <v>14900</v>
      </c>
      <c r="G46" s="6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1">
        <v>14900</v>
      </c>
      <c r="I46" s="22">
        <v>44033</v>
      </c>
      <c r="J46" s="7">
        <v>5</v>
      </c>
      <c r="K46" s="7">
        <v>4.38</v>
      </c>
      <c r="L46" s="6">
        <f t="shared" si="12"/>
        <v>31600</v>
      </c>
      <c r="M46" s="22">
        <v>44060</v>
      </c>
      <c r="N46" s="7">
        <v>3.6</v>
      </c>
      <c r="O46" s="7"/>
      <c r="P46" s="7"/>
      <c r="Q46" s="21"/>
      <c r="R46" s="21"/>
      <c r="S46" s="21"/>
      <c r="T46" s="21"/>
      <c r="U46" s="5">
        <f t="shared" si="13"/>
        <v>0.13652711840023</v>
      </c>
      <c r="V46" s="5">
        <f t="shared" si="14"/>
        <v>0.181700474751834</v>
      </c>
      <c r="W46" s="23">
        <f t="shared" si="15"/>
        <v>0.7513855898654</v>
      </c>
      <c r="X46" s="3">
        <f t="shared" si="16"/>
        <v>-612</v>
      </c>
      <c r="Y46" s="5">
        <f t="shared" si="17"/>
        <v>-0.00440224428139836</v>
      </c>
      <c r="Z46" s="5">
        <f>IF(OR(AE46="",多次统计数据!$B$8=""),"",AE46-多次统计数据!$B$8)</f>
        <v>-0.110983899852414</v>
      </c>
      <c r="AA46" s="8">
        <f t="shared" si="18"/>
        <v>27</v>
      </c>
      <c r="AB46" s="5">
        <f>IF(OR(A46="",多次统计数据!$B$8="",多次统计数据!$B$6&lt;=0,多次统计数据!$B$6&gt;=1),"",1-POWER(1+多次统计数据!$B$8,-多次统计数据!$B$6/(1-多次统计数据!$B$6)))</f>
        <v>0.0602504749804965</v>
      </c>
      <c r="AC46" s="6" t="str">
        <f>IF(OR(AB46="",多次统计数据!$B$9=""),"",IF(多次统计数据!$B$9&lt;AB46,"低于上限","达到或超过上限"))</f>
        <v>低于上限</v>
      </c>
      <c r="AD46" s="21"/>
      <c r="AE46" s="5">
        <f t="shared" si="19"/>
        <v>-0.0018606517753719</v>
      </c>
      <c r="AG46" s="21" t="s">
        <v>50</v>
      </c>
      <c r="AH46" s="21" t="s">
        <v>58</v>
      </c>
      <c r="AI46" s="10" t="s">
        <v>59</v>
      </c>
      <c r="AJ46" s="6" t="str">
        <f t="shared" si="20"/>
        <v>匹配</v>
      </c>
      <c r="AK46" s="24">
        <f>IF(A46="","",COUNTIFS(加仓管理!$A$2:$A$1001,A46,加仓管理!$G$2:$G$1001,"&gt;0"))</f>
        <v>1</v>
      </c>
      <c r="AL46" s="24">
        <f>IF(A46="","",SUMIFS(加仓管理!$G$2:$G$1001,加仓管理!$A$2:$A$1001,A46))</f>
        <v>16700</v>
      </c>
      <c r="AM46" s="25">
        <f>IF(AK46=0,"",IFERROR(LOOKUP(2,1/((加仓管理!$A$2:$A$1001=A46)*(加仓管理!$G$2:$G$1001&gt;0)),加仓管理!$D$2:$D$1001),""))</f>
        <v>4.72</v>
      </c>
      <c r="AN46" s="25">
        <f>IF(AK46=0,"",IFERROR(LOOKUP(2,1/((加仓管理!$A$2:$A$1001=A46)*(加仓管理!$G$2:$G$1001&gt;0)),加仓管理!$E$2:$E$1001),""))</f>
        <v>4.4</v>
      </c>
      <c r="AO46" s="25">
        <f>IF(OR(A46="",H46="",H46&lt;=0),"",(E46*H46+SUMIFS(加仓管理!$H$2:$H$1001,加仓管理!$A$2:$A$1001,A46))/AP46)</f>
        <v>4.39936708860759</v>
      </c>
      <c r="AP46" s="24">
        <f t="shared" si="21"/>
        <v>31600</v>
      </c>
      <c r="AQ46" s="25">
        <f>IF(A46="","",IF(M46&lt;&gt;"",0,IF(OR(H46="",N46=""),"",MAX((E46*H46+SUMIFS(加仓管理!$H$2:$H$1001,加仓管理!$A$2:$A$1001,A46))-MAX(N46,AN46)*AP46,0))))</f>
        <v>0</v>
      </c>
      <c r="AR46" s="25" t="str">
        <f ca="1"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通过</v>
      </c>
    </row>
    <row r="47" ht="17" spans="1:44">
      <c r="A47" s="21">
        <v>46</v>
      </c>
      <c r="B47" s="10" t="s">
        <v>60</v>
      </c>
      <c r="C47" s="7">
        <v>328305</v>
      </c>
      <c r="D47" s="4">
        <v>0.02</v>
      </c>
      <c r="E47" s="7">
        <v>4.94</v>
      </c>
      <c r="F47" s="6">
        <f t="shared" si="11"/>
        <v>14900</v>
      </c>
      <c r="G47" s="6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1">
        <v>14900</v>
      </c>
      <c r="I47" s="22">
        <v>44116</v>
      </c>
      <c r="J47" s="7">
        <v>6</v>
      </c>
      <c r="K47" s="7">
        <v>4.51</v>
      </c>
      <c r="L47" s="6">
        <f t="shared" si="12"/>
        <v>14900</v>
      </c>
      <c r="M47" s="22">
        <v>44125</v>
      </c>
      <c r="N47" s="7">
        <v>4.5</v>
      </c>
      <c r="O47" s="7"/>
      <c r="P47" s="7"/>
      <c r="Q47" s="21"/>
      <c r="R47" s="21"/>
      <c r="S47" s="21"/>
      <c r="T47" s="21"/>
      <c r="U47" s="5">
        <f t="shared" si="13"/>
        <v>0.214574898785425</v>
      </c>
      <c r="V47" s="5">
        <f t="shared" si="14"/>
        <v>0.0890688259109313</v>
      </c>
      <c r="W47" s="23">
        <f t="shared" si="15"/>
        <v>2.40909090909091</v>
      </c>
      <c r="X47" s="3">
        <f t="shared" si="16"/>
        <v>-6407.00000000001</v>
      </c>
      <c r="Y47" s="5">
        <f t="shared" si="17"/>
        <v>-0.0870445344129556</v>
      </c>
      <c r="Z47" s="5">
        <f>IF(OR(AE47="",多次统计数据!$B$8=""),"",AE47-多次统计数据!$B$8)</f>
        <v>-0.128638637729957</v>
      </c>
      <c r="AA47" s="8">
        <f t="shared" si="18"/>
        <v>9</v>
      </c>
      <c r="AB47" s="5">
        <f>IF(OR(A47="",多次统计数据!$B$8="",多次统计数据!$B$6&lt;=0,多次统计数据!$B$6&gt;=1),"",1-POWER(1+多次统计数据!$B$8,-多次统计数据!$B$6/(1-多次统计数据!$B$6)))</f>
        <v>0.0602504749804965</v>
      </c>
      <c r="AC47" s="6" t="str">
        <f>IF(OR(AB47="",多次统计数据!$B$9=""),"",IF(多次统计数据!$B$9&lt;AB47,"低于上限","达到或超过上限"))</f>
        <v>低于上限</v>
      </c>
      <c r="AD47" s="21"/>
      <c r="AE47" s="5">
        <f t="shared" si="19"/>
        <v>-0.0195153896529142</v>
      </c>
      <c r="AG47" s="21" t="s">
        <v>50</v>
      </c>
      <c r="AH47" s="21" t="s">
        <v>58</v>
      </c>
      <c r="AI47" s="10" t="s">
        <v>59</v>
      </c>
      <c r="AJ47" s="6" t="str">
        <f t="shared" si="20"/>
        <v>匹配</v>
      </c>
      <c r="AK47" s="24">
        <f>IF(A47="","",COUNTIFS(加仓管理!$A$2:$A$1001,A47,加仓管理!$G$2:$G$1001,"&gt;0"))</f>
        <v>0</v>
      </c>
      <c r="AL47" s="24">
        <f>IF(A47="","",SUMIFS(加仓管理!$G$2:$G$1001,加仓管理!$A$2:$A$1001,A47))</f>
        <v>0</v>
      </c>
      <c r="AM47" s="25" t="str">
        <f>IF(AK47=0,"",IFERROR(LOOKUP(2,1/((加仓管理!$A$2:$A$1001=A47)*(加仓管理!$G$2:$G$1001&gt;0)),加仓管理!$D$2:$D$1001),""))</f>
        <v/>
      </c>
      <c r="AN47" s="25" t="str">
        <f>IF(AK47=0,"",IFERROR(LOOKUP(2,1/((加仓管理!$A$2:$A$1001=A47)*(加仓管理!$G$2:$G$1001&gt;0)),加仓管理!$E$2:$E$1001),""))</f>
        <v/>
      </c>
      <c r="AO47" s="25">
        <f>IF(OR(A47="",H47="",H47&lt;=0),"",(E47*H47+SUMIFS(加仓管理!$H$2:$H$1001,加仓管理!$A$2:$A$1001,A47))/AP47)</f>
        <v>4.94</v>
      </c>
      <c r="AP47" s="24">
        <f t="shared" si="21"/>
        <v>14900</v>
      </c>
      <c r="AQ47" s="25">
        <f>IF(A47="","",IF(M47&lt;&gt;"",0,IF(OR(H47="",N47=""),"",MAX((E47*H47+SUMIFS(加仓管理!$H$2:$H$1001,加仓管理!$A$2:$A$1001,A47))-MAX(N47,AN47)*AP47,0))))</f>
        <v>0</v>
      </c>
      <c r="AR47" s="25" t="str">
        <f ca="1"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通过</v>
      </c>
    </row>
    <row r="48" ht="17" spans="1:44">
      <c r="A48" s="21">
        <v>47</v>
      </c>
      <c r="B48" s="10" t="s">
        <v>60</v>
      </c>
      <c r="C48" s="7">
        <v>321898</v>
      </c>
      <c r="D48" s="4">
        <v>0.02</v>
      </c>
      <c r="E48" s="7">
        <v>5.27</v>
      </c>
      <c r="F48" s="6">
        <f t="shared" si="11"/>
        <v>23800</v>
      </c>
      <c r="G48" s="6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1">
        <v>23800</v>
      </c>
      <c r="I48" s="22">
        <v>44188</v>
      </c>
      <c r="J48" s="7">
        <v>6</v>
      </c>
      <c r="K48" s="7">
        <v>5.24</v>
      </c>
      <c r="L48" s="6">
        <f t="shared" si="12"/>
        <v>37800</v>
      </c>
      <c r="M48" s="22">
        <v>44194</v>
      </c>
      <c r="N48" s="7">
        <v>5</v>
      </c>
      <c r="O48" s="7"/>
      <c r="P48" s="7"/>
      <c r="Q48" s="21"/>
      <c r="R48" s="21"/>
      <c r="S48" s="21"/>
      <c r="T48" s="21"/>
      <c r="U48" s="5">
        <f t="shared" si="13"/>
        <v>0.0909825577479964</v>
      </c>
      <c r="V48" s="5">
        <f t="shared" si="14"/>
        <v>0.0908478685433363</v>
      </c>
      <c r="W48" s="23">
        <f t="shared" si="15"/>
        <v>1.00148257968866</v>
      </c>
      <c r="X48" s="3">
        <f t="shared" si="16"/>
        <v>-9814</v>
      </c>
      <c r="Y48" s="5">
        <f t="shared" si="17"/>
        <v>-0.0472085662334164</v>
      </c>
      <c r="Z48" s="5">
        <f>IF(OR(AE48="",多次统计数据!$B$8=""),"",AE48-多次统计数据!$B$8)</f>
        <v>-0.139611166610243</v>
      </c>
      <c r="AA48" s="8">
        <f t="shared" si="18"/>
        <v>6</v>
      </c>
      <c r="AB48" s="5">
        <f>IF(OR(A48="",多次统计数据!$B$8="",多次统计数据!$B$6&lt;=0,多次统计数据!$B$6&gt;=1),"",1-POWER(1+多次统计数据!$B$8,-多次统计数据!$B$6/(1-多次统计数据!$B$6)))</f>
        <v>0.0602504749804965</v>
      </c>
      <c r="AC48" s="6" t="str">
        <f>IF(OR(AB48="",多次统计数据!$B$9=""),"",IF(多次统计数据!$B$9&lt;AB48,"低于上限","达到或超过上限"))</f>
        <v>低于上限</v>
      </c>
      <c r="AD48" s="21"/>
      <c r="AE48" s="5">
        <f t="shared" si="19"/>
        <v>-0.0304879185332</v>
      </c>
      <c r="AG48" s="21" t="s">
        <v>45</v>
      </c>
      <c r="AH48" s="21" t="s">
        <v>46</v>
      </c>
      <c r="AI48" s="10" t="s">
        <v>59</v>
      </c>
      <c r="AJ48" s="6" t="str">
        <f t="shared" si="20"/>
        <v>匹配</v>
      </c>
      <c r="AK48" s="24">
        <f>IF(A48="","",COUNTIFS(加仓管理!$A$2:$A$1001,A48,加仓管理!$G$2:$G$1001,"&gt;0"))</f>
        <v>1</v>
      </c>
      <c r="AL48" s="24">
        <f>IF(A48="","",SUMIFS(加仓管理!$G$2:$G$1001,加仓管理!$A$2:$A$1001,A48))</f>
        <v>14000</v>
      </c>
      <c r="AM48" s="25">
        <f>IF(AK48=0,"",IFERROR(LOOKUP(2,1/((加仓管理!$A$2:$A$1001=A48)*(加仓管理!$G$2:$G$1001&gt;0)),加仓管理!$D$2:$D$1001),""))</f>
        <v>5.89</v>
      </c>
      <c r="AN48" s="25">
        <f>IF(AK48=0,"",IFERROR(LOOKUP(2,1/((加仓管理!$A$2:$A$1001=A48)*(加仓管理!$G$2:$G$1001&gt;0)),加仓管理!$E$2:$E$1001),""))</f>
        <v>5.5</v>
      </c>
      <c r="AO48" s="25">
        <f>IF(OR(A48="",H48="",H48&lt;=0),"",(E48*H48+SUMIFS(加仓管理!$H$2:$H$1001,加仓管理!$A$2:$A$1001,A48))/AP48)</f>
        <v>5.49962962962963</v>
      </c>
      <c r="AP48" s="24">
        <f t="shared" si="21"/>
        <v>37800</v>
      </c>
      <c r="AQ48" s="25">
        <f>IF(A48="","",IF(M48&lt;&gt;"",0,IF(OR(H48="",N48=""),"",MAX((E48*H48+SUMIFS(加仓管理!$H$2:$H$1001,加仓管理!$A$2:$A$1001,A48))-MAX(N48,AN48)*AP48,0))))</f>
        <v>0</v>
      </c>
      <c r="AR48" s="25" t="str">
        <f ca="1"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通过</v>
      </c>
    </row>
    <row r="49" ht="17" spans="1:44">
      <c r="A49" s="21">
        <v>48</v>
      </c>
      <c r="B49" s="10" t="s">
        <v>60</v>
      </c>
      <c r="C49" s="7">
        <v>312084</v>
      </c>
      <c r="D49" s="4">
        <v>0.02</v>
      </c>
      <c r="E49" s="7">
        <v>6.11</v>
      </c>
      <c r="F49" s="6">
        <f t="shared" si="11"/>
        <v>20100</v>
      </c>
      <c r="G49" s="6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1">
        <v>20100</v>
      </c>
      <c r="I49" s="22">
        <v>44201</v>
      </c>
      <c r="J49" s="7">
        <v>7</v>
      </c>
      <c r="K49" s="7">
        <v>5.77</v>
      </c>
      <c r="L49" s="6">
        <f t="shared" si="12"/>
        <v>20100</v>
      </c>
      <c r="M49" s="22">
        <v>44211</v>
      </c>
      <c r="N49" s="7">
        <v>5.8</v>
      </c>
      <c r="O49" s="7"/>
      <c r="P49" s="7"/>
      <c r="Q49" s="21"/>
      <c r="R49" s="21"/>
      <c r="S49" s="21"/>
      <c r="T49" s="21"/>
      <c r="U49" s="5">
        <f t="shared" si="13"/>
        <v>0.145662847790507</v>
      </c>
      <c r="V49" s="5">
        <f t="shared" si="14"/>
        <v>0.0507364975450083</v>
      </c>
      <c r="W49" s="23">
        <f t="shared" si="15"/>
        <v>2.87096774193548</v>
      </c>
      <c r="X49" s="3">
        <f t="shared" si="16"/>
        <v>-6834.00000000001</v>
      </c>
      <c r="Y49" s="5">
        <f t="shared" si="17"/>
        <v>-0.0556464811783962</v>
      </c>
      <c r="Z49" s="5">
        <f>IF(OR(AE49="",多次统计数据!$B$8=""),"",AE49-多次统计数据!$B$8)</f>
        <v>-0.131021198628817</v>
      </c>
      <c r="AA49" s="8">
        <f t="shared" si="18"/>
        <v>10</v>
      </c>
      <c r="AB49" s="5">
        <f>IF(OR(A49="",多次统计数据!$B$8="",多次统计数据!$B$6&lt;=0,多次统计数据!$B$6&gt;=1),"",1-POWER(1+多次统计数据!$B$8,-多次统计数据!$B$6/(1-多次统计数据!$B$6)))</f>
        <v>0.0602504749804965</v>
      </c>
      <c r="AC49" s="6" t="str">
        <f>IF(OR(AB49="",多次统计数据!$B$9=""),"",IF(多次统计数据!$B$9&lt;AB49,"低于上限","达到或超过上限"))</f>
        <v>低于上限</v>
      </c>
      <c r="AD49" s="21"/>
      <c r="AE49" s="5">
        <f t="shared" si="19"/>
        <v>-0.0218979505517746</v>
      </c>
      <c r="AG49" s="21" t="s">
        <v>45</v>
      </c>
      <c r="AH49" s="21" t="s">
        <v>46</v>
      </c>
      <c r="AI49" s="10" t="s">
        <v>59</v>
      </c>
      <c r="AJ49" s="6" t="str">
        <f t="shared" si="20"/>
        <v>匹配</v>
      </c>
      <c r="AK49" s="24">
        <f>IF(A49="","",COUNTIFS(加仓管理!$A$2:$A$1001,A49,加仓管理!$G$2:$G$1001,"&gt;0"))</f>
        <v>0</v>
      </c>
      <c r="AL49" s="24">
        <f>IF(A49="","",SUMIFS(加仓管理!$G$2:$G$1001,加仓管理!$A$2:$A$1001,A49))</f>
        <v>0</v>
      </c>
      <c r="AM49" s="25" t="str">
        <f>IF(AK49=0,"",IFERROR(LOOKUP(2,1/((加仓管理!$A$2:$A$1001=A49)*(加仓管理!$G$2:$G$1001&gt;0)),加仓管理!$D$2:$D$1001),""))</f>
        <v/>
      </c>
      <c r="AN49" s="25" t="str">
        <f>IF(AK49=0,"",IFERROR(LOOKUP(2,1/((加仓管理!$A$2:$A$1001=A49)*(加仓管理!$G$2:$G$1001&gt;0)),加仓管理!$E$2:$E$1001),""))</f>
        <v/>
      </c>
      <c r="AO49" s="25">
        <f>IF(OR(A49="",H49="",H49&lt;=0),"",(E49*H49+SUMIFS(加仓管理!$H$2:$H$1001,加仓管理!$A$2:$A$1001,A49))/AP49)</f>
        <v>6.11</v>
      </c>
      <c r="AP49" s="24">
        <f t="shared" si="21"/>
        <v>20100</v>
      </c>
      <c r="AQ49" s="25">
        <f>IF(A49="","",IF(M49&lt;&gt;"",0,IF(OR(H49="",N49=""),"",MAX((E49*H49+SUMIFS(加仓管理!$H$2:$H$1001,加仓管理!$A$2:$A$1001,A49))-MAX(N49,AN49)*AP49,0))))</f>
        <v>0</v>
      </c>
      <c r="AR49" s="25" t="str">
        <f ca="1"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ht="17" spans="1:44">
      <c r="A50" s="21">
        <v>49</v>
      </c>
      <c r="B50" s="10" t="s">
        <v>60</v>
      </c>
      <c r="C50" s="7">
        <v>305250</v>
      </c>
      <c r="D50" s="4">
        <v>0.02</v>
      </c>
      <c r="E50" s="7">
        <v>6.4</v>
      </c>
      <c r="F50" s="6">
        <f t="shared" si="11"/>
        <v>15200</v>
      </c>
      <c r="G50" s="6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1">
        <v>15200</v>
      </c>
      <c r="I50" s="22">
        <v>44214</v>
      </c>
      <c r="J50" s="7">
        <v>7.5</v>
      </c>
      <c r="K50" s="7">
        <v>7.84</v>
      </c>
      <c r="L50" s="6">
        <f t="shared" si="12"/>
        <v>39400</v>
      </c>
      <c r="M50" s="22">
        <v>44224</v>
      </c>
      <c r="N50" s="7">
        <v>6</v>
      </c>
      <c r="O50" s="7"/>
      <c r="P50" s="7"/>
      <c r="Q50" s="21"/>
      <c r="R50" s="21"/>
      <c r="S50" s="21"/>
      <c r="T50" s="21"/>
      <c r="U50" s="5">
        <f t="shared" si="13"/>
        <v>0.0068211708427315</v>
      </c>
      <c r="V50" s="5">
        <f t="shared" si="14"/>
        <v>0.194543063325815</v>
      </c>
      <c r="W50" s="23">
        <f t="shared" si="15"/>
        <v>0.0350625240814041</v>
      </c>
      <c r="X50" s="3">
        <f t="shared" si="16"/>
        <v>15398</v>
      </c>
      <c r="Y50" s="5">
        <f t="shared" si="17"/>
        <v>0.052463730587602</v>
      </c>
      <c r="Z50" s="5">
        <f>IF(OR(AE50="",多次统计数据!$B$8=""),"",AE50-多次统计数据!$B$8)</f>
        <v>-0.0586793496331441</v>
      </c>
      <c r="AA50" s="8">
        <f t="shared" si="18"/>
        <v>10</v>
      </c>
      <c r="AB50" s="5">
        <f>IF(OR(A50="",多次统计数据!$B$8="",多次统计数据!$B$6&lt;=0,多次统计数据!$B$6&gt;=1),"",1-POWER(1+多次统计数据!$B$8,-多次统计数据!$B$6/(1-多次统计数据!$B$6)))</f>
        <v>0.0602504749804965</v>
      </c>
      <c r="AC50" s="6" t="str">
        <f>IF(OR(AB50="",多次统计数据!$B$9=""),"",IF(多次统计数据!$B$9&lt;AB50,"低于上限","达到或超过上限"))</f>
        <v>低于上限</v>
      </c>
      <c r="AD50" s="21"/>
      <c r="AE50" s="5">
        <f t="shared" si="19"/>
        <v>0.0504438984438985</v>
      </c>
      <c r="AG50" s="21" t="s">
        <v>45</v>
      </c>
      <c r="AH50" s="21" t="s">
        <v>46</v>
      </c>
      <c r="AI50" s="10" t="s">
        <v>59</v>
      </c>
      <c r="AJ50" s="6" t="str">
        <f t="shared" si="20"/>
        <v>匹配</v>
      </c>
      <c r="AK50" s="24">
        <f>IF(A50="","",COUNTIFS(加仓管理!$A$2:$A$1001,A50,加仓管理!$G$2:$G$1001,"&gt;0"))</f>
        <v>2</v>
      </c>
      <c r="AL50" s="24">
        <f>IF(A50="","",SUMIFS(加仓管理!$G$2:$G$1001,加仓管理!$A$2:$A$1001,A50))</f>
        <v>24200</v>
      </c>
      <c r="AM50" s="25">
        <f>IF(AK50=0,"",IFERROR(LOOKUP(2,1/((加仓管理!$A$2:$A$1001=A50)*(加仓管理!$G$2:$G$1001&gt;0)),加仓管理!$D$2:$D$1001),""))</f>
        <v>8.61</v>
      </c>
      <c r="AN50" s="25">
        <f>IF(AK50=0,"",IFERROR(LOOKUP(2,1/((加仓管理!$A$2:$A$1001=A50)*(加仓管理!$G$2:$G$1001&gt;0)),加仓管理!$E$2:$E$1001),""))</f>
        <v>8</v>
      </c>
      <c r="AO50" s="25">
        <f>IF(OR(A50="",H50="",H50&lt;=0),"",(E50*H50+SUMIFS(加仓管理!$H$2:$H$1001,加仓管理!$A$2:$A$1001,A50))/AP50)</f>
        <v>7.44918781725888</v>
      </c>
      <c r="AP50" s="24">
        <f t="shared" si="21"/>
        <v>39400</v>
      </c>
      <c r="AQ50" s="25">
        <f>IF(A50="","",IF(M50&lt;&gt;"",0,IF(OR(H50="",N50=""),"",MAX((E50*H50+SUMIFS(加仓管理!$H$2:$H$1001,加仓管理!$A$2:$A$1001,A50))-MAX(N50,AN50)*AP50,0))))</f>
        <v>0</v>
      </c>
      <c r="AR50" s="25" t="str">
        <f ca="1"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通过</v>
      </c>
    </row>
    <row r="51" ht="34" spans="1:44">
      <c r="A51" s="21">
        <v>50</v>
      </c>
      <c r="B51" s="10" t="s">
        <v>60</v>
      </c>
      <c r="C51" s="7">
        <v>320648</v>
      </c>
      <c r="D51" s="4">
        <v>0.02</v>
      </c>
      <c r="E51" s="7">
        <v>7.69</v>
      </c>
      <c r="F51" s="6">
        <f t="shared" si="11"/>
        <v>9200</v>
      </c>
      <c r="G51" s="6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1">
        <v>9200</v>
      </c>
      <c r="I51" s="22">
        <v>44372</v>
      </c>
      <c r="J51" s="7">
        <v>9</v>
      </c>
      <c r="K51" s="7"/>
      <c r="L51" s="6">
        <f t="shared" si="12"/>
        <v>12000</v>
      </c>
      <c r="M51" s="22"/>
      <c r="N51" s="7">
        <v>7</v>
      </c>
      <c r="O51" s="7"/>
      <c r="P51" s="7"/>
      <c r="Q51" s="21"/>
      <c r="R51" s="21"/>
      <c r="S51" s="21"/>
      <c r="T51" s="21"/>
      <c r="U51" s="5">
        <f t="shared" si="13"/>
        <v>0.125609705257014</v>
      </c>
      <c r="V51" s="5">
        <f t="shared" si="14"/>
        <v>0.1245257848001</v>
      </c>
      <c r="W51" s="23">
        <f t="shared" si="15"/>
        <v>1.00870438567124</v>
      </c>
      <c r="X51" s="3" t="str">
        <f t="shared" si="16"/>
        <v/>
      </c>
      <c r="Y51" s="5" t="str">
        <f t="shared" si="17"/>
        <v/>
      </c>
      <c r="Z51" s="5" t="str">
        <f>IF(OR(AE51="",多次统计数据!$B$8=""),"",AE51-多次统计数据!$B$8)</f>
        <v/>
      </c>
      <c r="AA51" s="8" t="str">
        <f t="shared" si="18"/>
        <v/>
      </c>
      <c r="AB51" s="5">
        <f>IF(OR(A51="",多次统计数据!$B$8="",多次统计数据!$B$6&lt;=0,多次统计数据!$B$6&gt;=1),"",1-POWER(1+多次统计数据!$B$8,-多次统计数据!$B$6/(1-多次统计数据!$B$6)))</f>
        <v>0.0602504749804965</v>
      </c>
      <c r="AC51" s="6" t="str">
        <f>IF(OR(AB51="",多次统计数据!$B$9=""),"",IF(多次统计数据!$B$9&lt;AB51,"低于上限","达到或超过上限"))</f>
        <v>低于上限</v>
      </c>
      <c r="AD51" s="21"/>
      <c r="AE51" s="5" t="str">
        <f t="shared" si="19"/>
        <v/>
      </c>
      <c r="AG51" s="21" t="s">
        <v>50</v>
      </c>
      <c r="AH51" s="21" t="s">
        <v>51</v>
      </c>
      <c r="AI51" s="10" t="s">
        <v>59</v>
      </c>
      <c r="AJ51" s="6" t="str">
        <f t="shared" si="20"/>
        <v>匹配</v>
      </c>
      <c r="AK51" s="24">
        <f>IF(A51="","",COUNTIFS(加仓管理!$A$2:$A$1001,A51,加仓管理!$G$2:$G$1001,"&gt;0"))</f>
        <v>1</v>
      </c>
      <c r="AL51" s="24">
        <f>IF(A51="","",SUMIFS(加仓管理!$G$2:$G$1001,加仓管理!$A$2:$A$1001,A51))</f>
        <v>2800</v>
      </c>
      <c r="AM51" s="25">
        <f>IF(AK51=0,"",IFERROR(LOOKUP(2,1/((加仓管理!$A$2:$A$1001=A51)*(加仓管理!$G$2:$G$1001&gt;0)),加仓管理!$D$2:$D$1001),""))</f>
        <v>9</v>
      </c>
      <c r="AN51" s="25">
        <f>IF(AK51=0,"",IFERROR(LOOKUP(2,1/((加仓管理!$A$2:$A$1001=A51)*(加仓管理!$G$2:$G$1001&gt;0)),加仓管理!$E$2:$E$1001),""))</f>
        <v>8</v>
      </c>
      <c r="AO51" s="25">
        <f>IF(OR(A51="",H51="",H51&lt;=0),"",(E51*H51+SUMIFS(加仓管理!$H$2:$H$1001,加仓管理!$A$2:$A$1001,A51))/AP51)</f>
        <v>7.99566666666667</v>
      </c>
      <c r="AP51" s="24">
        <f t="shared" si="21"/>
        <v>12000</v>
      </c>
      <c r="AQ51" s="25">
        <f>IF(A51="","",IF(M51&lt;&gt;"",0,IF(OR(H51="",N51=""),"",MAX((E51*H51+SUMIFS(加仓管理!$H$2:$H$1001,加仓管理!$A$2:$A$1001,A51))-MAX(N51,AN51)*AP51,0))))</f>
        <v>0</v>
      </c>
      <c r="AR51" s="25" t="str">
        <f ca="1"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ht="17" spans="1:44">
      <c r="A52" s="21"/>
      <c r="B52" s="21"/>
      <c r="C52" s="7"/>
      <c r="D52" s="4"/>
      <c r="E52" s="7"/>
      <c r="F52" s="6" t="str">
        <f t="shared" si="11"/>
        <v/>
      </c>
      <c r="G52" s="6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21"/>
      <c r="I52" s="22"/>
      <c r="J52" s="7"/>
      <c r="K52" s="7"/>
      <c r="L52" s="6" t="str">
        <f t="shared" si="12"/>
        <v/>
      </c>
      <c r="M52" s="22"/>
      <c r="N52" s="7"/>
      <c r="O52" s="7"/>
      <c r="P52" s="7"/>
      <c r="Q52" s="21"/>
      <c r="R52" s="21"/>
      <c r="S52" s="21"/>
      <c r="T52" s="21"/>
      <c r="U52" s="5" t="str">
        <f t="shared" si="13"/>
        <v/>
      </c>
      <c r="V52" s="5" t="str">
        <f t="shared" si="14"/>
        <v/>
      </c>
      <c r="W52" s="23" t="str">
        <f t="shared" si="15"/>
        <v/>
      </c>
      <c r="X52" s="3" t="str">
        <f t="shared" si="16"/>
        <v/>
      </c>
      <c r="Y52" s="5" t="str">
        <f t="shared" si="17"/>
        <v/>
      </c>
      <c r="Z52" s="5" t="str">
        <f>IF(OR(AE52="",多次统计数据!$B$8=""),"",AE52-多次统计数据!$B$8)</f>
        <v/>
      </c>
      <c r="AA52" s="8" t="str">
        <f t="shared" si="18"/>
        <v/>
      </c>
      <c r="AB52" s="5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21"/>
      <c r="AE52" s="5" t="str">
        <f t="shared" si="19"/>
        <v/>
      </c>
      <c r="AG52" s="21"/>
      <c r="AH52" s="21"/>
      <c r="AI52" s="21"/>
      <c r="AJ52" s="6" t="str">
        <f t="shared" si="20"/>
        <v/>
      </c>
      <c r="AK52" s="24" t="str">
        <f>IF(A52="","",COUNTIFS(加仓管理!$A$2:$A$1001,A52,加仓管理!$G$2:$G$1001,"&gt;0"))</f>
        <v/>
      </c>
      <c r="AL52" s="24" t="str">
        <f>IF(A52="","",SUMIFS(加仓管理!$G$2:$G$1001,加仓管理!$A$2:$A$1001,A52))</f>
        <v/>
      </c>
      <c r="AM52" s="25" t="str">
        <f>IF(AK52=0,"",IFERROR(LOOKUP(2,1/((加仓管理!$A$2:$A$1001=A52)*(加仓管理!$G$2:$G$1001&gt;0)),加仓管理!$D$2:$D$1001),""))</f>
        <v/>
      </c>
      <c r="AN52" s="25" t="str">
        <f>IF(AK52=0,"",IFERROR(LOOKUP(2,1/((加仓管理!$A$2:$A$1001=A52)*(加仓管理!$G$2:$G$1001&gt;0)),加仓管理!$E$2:$E$1001),""))</f>
        <v/>
      </c>
      <c r="AO52" s="25" t="str">
        <f>IF(OR(A52="",H52="",H52&lt;=0),"",(E52*H52+SUMIFS(加仓管理!$H$2:$H$1001,加仓管理!$A$2:$A$1001,A52))/AP52)</f>
        <v/>
      </c>
      <c r="AP52" s="24" t="str">
        <f t="shared" si="21"/>
        <v/>
      </c>
      <c r="AQ52" s="25" t="str">
        <f>IF(A52="","",IF(M52&lt;&gt;"",0,IF(OR(H52="",N52=""),"",MAX((E52*H52+SUMIFS(加仓管理!$H$2:$H$1001,加仓管理!$A$2:$A$1001,A52))-MAX(N52,AN52)*AP52,0))))</f>
        <v/>
      </c>
      <c r="AR52" s="25" t="str">
        <f ca="1"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ht="17" spans="1:44">
      <c r="A53" s="21"/>
      <c r="B53" s="21"/>
      <c r="C53" s="7"/>
      <c r="D53" s="4"/>
      <c r="E53" s="7"/>
      <c r="F53" s="6" t="str">
        <f t="shared" si="11"/>
        <v/>
      </c>
      <c r="G53" s="6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21"/>
      <c r="I53" s="22"/>
      <c r="J53" s="7"/>
      <c r="K53" s="7"/>
      <c r="L53" s="6" t="str">
        <f t="shared" si="12"/>
        <v/>
      </c>
      <c r="M53" s="22"/>
      <c r="N53" s="7"/>
      <c r="O53" s="7"/>
      <c r="P53" s="7"/>
      <c r="Q53" s="21"/>
      <c r="R53" s="21"/>
      <c r="S53" s="21"/>
      <c r="T53" s="21"/>
      <c r="U53" s="5" t="str">
        <f t="shared" si="13"/>
        <v/>
      </c>
      <c r="V53" s="5" t="str">
        <f t="shared" si="14"/>
        <v/>
      </c>
      <c r="W53" s="23" t="str">
        <f t="shared" si="15"/>
        <v/>
      </c>
      <c r="X53" s="3" t="str">
        <f t="shared" si="16"/>
        <v/>
      </c>
      <c r="Y53" s="5" t="str">
        <f t="shared" si="17"/>
        <v/>
      </c>
      <c r="Z53" s="5" t="str">
        <f>IF(OR(AE53="",多次统计数据!$B$8=""),"",AE53-多次统计数据!$B$8)</f>
        <v/>
      </c>
      <c r="AA53" s="8" t="str">
        <f t="shared" si="18"/>
        <v/>
      </c>
      <c r="AB53" s="5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21"/>
      <c r="AE53" s="5" t="str">
        <f t="shared" si="19"/>
        <v/>
      </c>
      <c r="AG53" s="21"/>
      <c r="AH53" s="21"/>
      <c r="AI53" s="21"/>
      <c r="AJ53" s="6" t="str">
        <f t="shared" si="20"/>
        <v/>
      </c>
      <c r="AK53" s="24" t="str">
        <f>IF(A53="","",COUNTIFS(加仓管理!$A$2:$A$1001,A53,加仓管理!$G$2:$G$1001,"&gt;0"))</f>
        <v/>
      </c>
      <c r="AL53" s="24" t="str">
        <f>IF(A53="","",SUMIFS(加仓管理!$G$2:$G$1001,加仓管理!$A$2:$A$1001,A53))</f>
        <v/>
      </c>
      <c r="AM53" s="25" t="str">
        <f>IF(AK53=0,"",IFERROR(LOOKUP(2,1/((加仓管理!$A$2:$A$1001=A53)*(加仓管理!$G$2:$G$1001&gt;0)),加仓管理!$D$2:$D$1001),""))</f>
        <v/>
      </c>
      <c r="AN53" s="25" t="str">
        <f>IF(AK53=0,"",IFERROR(LOOKUP(2,1/((加仓管理!$A$2:$A$1001=A53)*(加仓管理!$G$2:$G$1001&gt;0)),加仓管理!$E$2:$E$1001),""))</f>
        <v/>
      </c>
      <c r="AO53" s="25" t="str">
        <f>IF(OR(A53="",H53="",H53&lt;=0),"",(E53*H53+SUMIFS(加仓管理!$H$2:$H$1001,加仓管理!$A$2:$A$1001,A53))/AP53)</f>
        <v/>
      </c>
      <c r="AP53" s="24" t="str">
        <f t="shared" si="21"/>
        <v/>
      </c>
      <c r="AQ53" s="25" t="str">
        <f>IF(A53="","",IF(M53&lt;&gt;"",0,IF(OR(H53="",N53=""),"",MAX((E53*H53+SUMIFS(加仓管理!$H$2:$H$1001,加仓管理!$A$2:$A$1001,A53))-MAX(N53,AN53)*AP53,0))))</f>
        <v/>
      </c>
      <c r="AR53" s="25" t="str">
        <f ca="1"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ht="17" spans="1:44">
      <c r="A54" s="21"/>
      <c r="B54" s="21"/>
      <c r="C54" s="7"/>
      <c r="D54" s="4"/>
      <c r="E54" s="7"/>
      <c r="F54" s="6" t="str">
        <f t="shared" si="11"/>
        <v/>
      </c>
      <c r="G54" s="6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21"/>
      <c r="I54" s="22"/>
      <c r="J54" s="7"/>
      <c r="K54" s="7"/>
      <c r="L54" s="6" t="str">
        <f t="shared" si="12"/>
        <v/>
      </c>
      <c r="M54" s="22"/>
      <c r="N54" s="7"/>
      <c r="O54" s="7"/>
      <c r="P54" s="7"/>
      <c r="Q54" s="21"/>
      <c r="R54" s="21"/>
      <c r="S54" s="21"/>
      <c r="T54" s="21"/>
      <c r="U54" s="5" t="str">
        <f t="shared" si="13"/>
        <v/>
      </c>
      <c r="V54" s="5" t="str">
        <f t="shared" si="14"/>
        <v/>
      </c>
      <c r="W54" s="23" t="str">
        <f t="shared" si="15"/>
        <v/>
      </c>
      <c r="X54" s="3" t="str">
        <f t="shared" si="16"/>
        <v/>
      </c>
      <c r="Y54" s="5" t="str">
        <f t="shared" si="17"/>
        <v/>
      </c>
      <c r="Z54" s="5" t="str">
        <f>IF(OR(AE54="",多次统计数据!$B$8=""),"",AE54-多次统计数据!$B$8)</f>
        <v/>
      </c>
      <c r="AA54" s="8" t="str">
        <f t="shared" si="18"/>
        <v/>
      </c>
      <c r="AB54" s="5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21"/>
      <c r="AE54" s="5" t="str">
        <f t="shared" si="19"/>
        <v/>
      </c>
      <c r="AG54" s="21"/>
      <c r="AH54" s="21"/>
      <c r="AI54" s="21"/>
      <c r="AJ54" s="6" t="str">
        <f t="shared" si="20"/>
        <v/>
      </c>
      <c r="AK54" s="24" t="str">
        <f>IF(A54="","",COUNTIFS(加仓管理!$A$2:$A$1001,A54,加仓管理!$G$2:$G$1001,"&gt;0"))</f>
        <v/>
      </c>
      <c r="AL54" s="24" t="str">
        <f>IF(A54="","",SUMIFS(加仓管理!$G$2:$G$1001,加仓管理!$A$2:$A$1001,A54))</f>
        <v/>
      </c>
      <c r="AM54" s="25" t="str">
        <f>IF(AK54=0,"",IFERROR(LOOKUP(2,1/((加仓管理!$A$2:$A$1001=A54)*(加仓管理!$G$2:$G$1001&gt;0)),加仓管理!$D$2:$D$1001),""))</f>
        <v/>
      </c>
      <c r="AN54" s="25" t="str">
        <f>IF(AK54=0,"",IFERROR(LOOKUP(2,1/((加仓管理!$A$2:$A$1001=A54)*(加仓管理!$G$2:$G$1001&gt;0)),加仓管理!$E$2:$E$1001),""))</f>
        <v/>
      </c>
      <c r="AO54" s="25" t="str">
        <f>IF(OR(A54="",H54="",H54&lt;=0),"",(E54*H54+SUMIFS(加仓管理!$H$2:$H$1001,加仓管理!$A$2:$A$1001,A54))/AP54)</f>
        <v/>
      </c>
      <c r="AP54" s="24" t="str">
        <f t="shared" si="21"/>
        <v/>
      </c>
      <c r="AQ54" s="25" t="str">
        <f>IF(A54="","",IF(M54&lt;&gt;"",0,IF(OR(H54="",N54=""),"",MAX((E54*H54+SUMIFS(加仓管理!$H$2:$H$1001,加仓管理!$A$2:$A$1001,A54))-MAX(N54,AN54)*AP54,0))))</f>
        <v/>
      </c>
      <c r="AR54" s="25" t="str">
        <f ca="1"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ht="17" spans="1:44">
      <c r="A55" s="21"/>
      <c r="B55" s="21"/>
      <c r="C55" s="7"/>
      <c r="D55" s="4"/>
      <c r="E55" s="7"/>
      <c r="F55" s="6" t="str">
        <f t="shared" si="11"/>
        <v/>
      </c>
      <c r="G55" s="6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21"/>
      <c r="I55" s="22"/>
      <c r="J55" s="7"/>
      <c r="K55" s="7"/>
      <c r="L55" s="6" t="str">
        <f t="shared" si="12"/>
        <v/>
      </c>
      <c r="M55" s="22"/>
      <c r="N55" s="7"/>
      <c r="O55" s="7"/>
      <c r="P55" s="7"/>
      <c r="Q55" s="21"/>
      <c r="R55" s="21"/>
      <c r="S55" s="21"/>
      <c r="T55" s="21"/>
      <c r="U55" s="5" t="str">
        <f t="shared" si="13"/>
        <v/>
      </c>
      <c r="V55" s="5" t="str">
        <f t="shared" si="14"/>
        <v/>
      </c>
      <c r="W55" s="23" t="str">
        <f t="shared" si="15"/>
        <v/>
      </c>
      <c r="X55" s="3" t="str">
        <f t="shared" si="16"/>
        <v/>
      </c>
      <c r="Y55" s="5" t="str">
        <f t="shared" si="17"/>
        <v/>
      </c>
      <c r="Z55" s="5" t="str">
        <f>IF(OR(AE55="",多次统计数据!$B$8=""),"",AE55-多次统计数据!$B$8)</f>
        <v/>
      </c>
      <c r="AA55" s="8" t="str">
        <f t="shared" si="18"/>
        <v/>
      </c>
      <c r="AB55" s="5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21"/>
      <c r="AE55" s="5" t="str">
        <f t="shared" si="19"/>
        <v/>
      </c>
      <c r="AG55" s="21"/>
      <c r="AH55" s="21"/>
      <c r="AI55" s="21"/>
      <c r="AJ55" s="6" t="str">
        <f t="shared" si="20"/>
        <v/>
      </c>
      <c r="AK55" s="24" t="str">
        <f>IF(A55="","",COUNTIFS(加仓管理!$A$2:$A$1001,A55,加仓管理!$G$2:$G$1001,"&gt;0"))</f>
        <v/>
      </c>
      <c r="AL55" s="24" t="str">
        <f>IF(A55="","",SUMIFS(加仓管理!$G$2:$G$1001,加仓管理!$A$2:$A$1001,A55))</f>
        <v/>
      </c>
      <c r="AM55" s="25" t="str">
        <f>IF(AK55=0,"",IFERROR(LOOKUP(2,1/((加仓管理!$A$2:$A$1001=A55)*(加仓管理!$G$2:$G$1001&gt;0)),加仓管理!$D$2:$D$1001),""))</f>
        <v/>
      </c>
      <c r="AN55" s="25" t="str">
        <f>IF(AK55=0,"",IFERROR(LOOKUP(2,1/((加仓管理!$A$2:$A$1001=A55)*(加仓管理!$G$2:$G$1001&gt;0)),加仓管理!$E$2:$E$1001),""))</f>
        <v/>
      </c>
      <c r="AO55" s="25" t="str">
        <f>IF(OR(A55="",H55="",H55&lt;=0),"",(E55*H55+SUMIFS(加仓管理!$H$2:$H$1001,加仓管理!$A$2:$A$1001,A55))/AP55)</f>
        <v/>
      </c>
      <c r="AP55" s="24" t="str">
        <f t="shared" si="21"/>
        <v/>
      </c>
      <c r="AQ55" s="25" t="str">
        <f>IF(A55="","",IF(M55&lt;&gt;"",0,IF(OR(H55="",N55=""),"",MAX((E55*H55+SUMIFS(加仓管理!$H$2:$H$1001,加仓管理!$A$2:$A$1001,A55))-MAX(N55,AN55)*AP55,0))))</f>
        <v/>
      </c>
      <c r="AR55" s="25" t="str">
        <f ca="1"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ht="17" spans="1:44">
      <c r="A56" s="21"/>
      <c r="B56" s="21"/>
      <c r="C56" s="7"/>
      <c r="D56" s="4"/>
      <c r="E56" s="7"/>
      <c r="F56" s="6" t="str">
        <f t="shared" si="11"/>
        <v/>
      </c>
      <c r="G56" s="6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21"/>
      <c r="I56" s="22"/>
      <c r="J56" s="7"/>
      <c r="K56" s="7"/>
      <c r="L56" s="6" t="str">
        <f t="shared" si="12"/>
        <v/>
      </c>
      <c r="M56" s="22"/>
      <c r="N56" s="7"/>
      <c r="O56" s="7"/>
      <c r="P56" s="7"/>
      <c r="Q56" s="21"/>
      <c r="R56" s="21"/>
      <c r="S56" s="21"/>
      <c r="T56" s="21"/>
      <c r="U56" s="5" t="str">
        <f t="shared" si="13"/>
        <v/>
      </c>
      <c r="V56" s="5" t="str">
        <f t="shared" si="14"/>
        <v/>
      </c>
      <c r="W56" s="23" t="str">
        <f t="shared" si="15"/>
        <v/>
      </c>
      <c r="X56" s="3" t="str">
        <f t="shared" si="16"/>
        <v/>
      </c>
      <c r="Y56" s="5" t="str">
        <f t="shared" si="17"/>
        <v/>
      </c>
      <c r="Z56" s="5" t="str">
        <f>IF(OR(AE56="",多次统计数据!$B$8=""),"",AE56-多次统计数据!$B$8)</f>
        <v/>
      </c>
      <c r="AA56" s="8" t="str">
        <f t="shared" si="18"/>
        <v/>
      </c>
      <c r="AB56" s="5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21"/>
      <c r="AE56" s="5" t="str">
        <f t="shared" si="19"/>
        <v/>
      </c>
      <c r="AG56" s="21"/>
      <c r="AH56" s="21"/>
      <c r="AI56" s="21"/>
      <c r="AJ56" s="6" t="str">
        <f t="shared" si="20"/>
        <v/>
      </c>
      <c r="AK56" s="24" t="str">
        <f>IF(A56="","",COUNTIFS(加仓管理!$A$2:$A$1001,A56,加仓管理!$G$2:$G$1001,"&gt;0"))</f>
        <v/>
      </c>
      <c r="AL56" s="24" t="str">
        <f>IF(A56="","",SUMIFS(加仓管理!$G$2:$G$1001,加仓管理!$A$2:$A$1001,A56))</f>
        <v/>
      </c>
      <c r="AM56" s="25" t="str">
        <f>IF(AK56=0,"",IFERROR(LOOKUP(2,1/((加仓管理!$A$2:$A$1001=A56)*(加仓管理!$G$2:$G$1001&gt;0)),加仓管理!$D$2:$D$1001),""))</f>
        <v/>
      </c>
      <c r="AN56" s="25" t="str">
        <f>IF(AK56=0,"",IFERROR(LOOKUP(2,1/((加仓管理!$A$2:$A$1001=A56)*(加仓管理!$G$2:$G$1001&gt;0)),加仓管理!$E$2:$E$1001),""))</f>
        <v/>
      </c>
      <c r="AO56" s="25" t="str">
        <f>IF(OR(A56="",H56="",H56&lt;=0),"",(E56*H56+SUMIFS(加仓管理!$H$2:$H$1001,加仓管理!$A$2:$A$1001,A56))/AP56)</f>
        <v/>
      </c>
      <c r="AP56" s="24" t="str">
        <f t="shared" si="21"/>
        <v/>
      </c>
      <c r="AQ56" s="25" t="str">
        <f>IF(A56="","",IF(M56&lt;&gt;"",0,IF(OR(H56="",N56=""),"",MAX((E56*H56+SUMIFS(加仓管理!$H$2:$H$1001,加仓管理!$A$2:$A$1001,A56))-MAX(N56,AN56)*AP56,0))))</f>
        <v/>
      </c>
      <c r="AR56" s="25" t="str">
        <f ca="1"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ht="17" spans="1:44">
      <c r="A57" s="21"/>
      <c r="B57" s="21"/>
      <c r="C57" s="7"/>
      <c r="D57" s="4"/>
      <c r="E57" s="7"/>
      <c r="F57" s="6" t="str">
        <f t="shared" si="11"/>
        <v/>
      </c>
      <c r="G57" s="6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21"/>
      <c r="I57" s="22"/>
      <c r="J57" s="7"/>
      <c r="K57" s="7"/>
      <c r="L57" s="6" t="str">
        <f t="shared" si="12"/>
        <v/>
      </c>
      <c r="M57" s="22"/>
      <c r="N57" s="7"/>
      <c r="O57" s="7"/>
      <c r="P57" s="7"/>
      <c r="Q57" s="21"/>
      <c r="R57" s="21"/>
      <c r="S57" s="21"/>
      <c r="T57" s="21"/>
      <c r="U57" s="5" t="str">
        <f t="shared" si="13"/>
        <v/>
      </c>
      <c r="V57" s="5" t="str">
        <f t="shared" si="14"/>
        <v/>
      </c>
      <c r="W57" s="23" t="str">
        <f t="shared" si="15"/>
        <v/>
      </c>
      <c r="X57" s="3" t="str">
        <f t="shared" si="16"/>
        <v/>
      </c>
      <c r="Y57" s="5" t="str">
        <f t="shared" si="17"/>
        <v/>
      </c>
      <c r="Z57" s="5" t="str">
        <f>IF(OR(AE57="",多次统计数据!$B$8=""),"",AE57-多次统计数据!$B$8)</f>
        <v/>
      </c>
      <c r="AA57" s="8" t="str">
        <f t="shared" si="18"/>
        <v/>
      </c>
      <c r="AB57" s="5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21"/>
      <c r="AE57" s="5" t="str">
        <f t="shared" si="19"/>
        <v/>
      </c>
      <c r="AG57" s="21"/>
      <c r="AH57" s="21"/>
      <c r="AI57" s="21"/>
      <c r="AJ57" s="6" t="str">
        <f t="shared" si="20"/>
        <v/>
      </c>
      <c r="AK57" s="24" t="str">
        <f>IF(A57="","",COUNTIFS(加仓管理!$A$2:$A$1001,A57,加仓管理!$G$2:$G$1001,"&gt;0"))</f>
        <v/>
      </c>
      <c r="AL57" s="24" t="str">
        <f>IF(A57="","",SUMIFS(加仓管理!$G$2:$G$1001,加仓管理!$A$2:$A$1001,A57))</f>
        <v/>
      </c>
      <c r="AM57" s="25" t="str">
        <f>IF(AK57=0,"",IFERROR(LOOKUP(2,1/((加仓管理!$A$2:$A$1001=A57)*(加仓管理!$G$2:$G$1001&gt;0)),加仓管理!$D$2:$D$1001),""))</f>
        <v/>
      </c>
      <c r="AN57" s="25" t="str">
        <f>IF(AK57=0,"",IFERROR(LOOKUP(2,1/((加仓管理!$A$2:$A$1001=A57)*(加仓管理!$G$2:$G$1001&gt;0)),加仓管理!$E$2:$E$1001),""))</f>
        <v/>
      </c>
      <c r="AO57" s="25" t="str">
        <f>IF(OR(A57="",H57="",H57&lt;=0),"",(E57*H57+SUMIFS(加仓管理!$H$2:$H$1001,加仓管理!$A$2:$A$1001,A57))/AP57)</f>
        <v/>
      </c>
      <c r="AP57" s="24" t="str">
        <f t="shared" si="21"/>
        <v/>
      </c>
      <c r="AQ57" s="25" t="str">
        <f>IF(A57="","",IF(M57&lt;&gt;"",0,IF(OR(H57="",N57=""),"",MAX((E57*H57+SUMIFS(加仓管理!$H$2:$H$1001,加仓管理!$A$2:$A$1001,A57))-MAX(N57,AN57)*AP57,0))))</f>
        <v/>
      </c>
      <c r="AR57" s="25" t="str">
        <f ca="1"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ht="17" spans="1:44">
      <c r="A58" s="21"/>
      <c r="B58" s="21"/>
      <c r="C58" s="7"/>
      <c r="D58" s="4"/>
      <c r="E58" s="7"/>
      <c r="F58" s="6" t="str">
        <f t="shared" si="11"/>
        <v/>
      </c>
      <c r="G58" s="6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21"/>
      <c r="I58" s="22"/>
      <c r="J58" s="7"/>
      <c r="K58" s="7"/>
      <c r="L58" s="6" t="str">
        <f t="shared" si="12"/>
        <v/>
      </c>
      <c r="M58" s="22"/>
      <c r="N58" s="7"/>
      <c r="O58" s="7"/>
      <c r="P58" s="7"/>
      <c r="Q58" s="21"/>
      <c r="R58" s="21"/>
      <c r="S58" s="21"/>
      <c r="T58" s="21"/>
      <c r="U58" s="5" t="str">
        <f t="shared" si="13"/>
        <v/>
      </c>
      <c r="V58" s="5" t="str">
        <f t="shared" si="14"/>
        <v/>
      </c>
      <c r="W58" s="23" t="str">
        <f t="shared" si="15"/>
        <v/>
      </c>
      <c r="X58" s="3" t="str">
        <f t="shared" si="16"/>
        <v/>
      </c>
      <c r="Y58" s="5" t="str">
        <f t="shared" si="17"/>
        <v/>
      </c>
      <c r="Z58" s="5" t="str">
        <f>IF(OR(AE58="",多次统计数据!$B$8=""),"",AE58-多次统计数据!$B$8)</f>
        <v/>
      </c>
      <c r="AA58" s="8" t="str">
        <f t="shared" si="18"/>
        <v/>
      </c>
      <c r="AB58" s="5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21"/>
      <c r="AE58" s="5" t="str">
        <f t="shared" si="19"/>
        <v/>
      </c>
      <c r="AG58" s="21"/>
      <c r="AH58" s="21"/>
      <c r="AI58" s="21"/>
      <c r="AJ58" s="6" t="str">
        <f t="shared" si="20"/>
        <v/>
      </c>
      <c r="AK58" s="24" t="str">
        <f>IF(A58="","",COUNTIFS(加仓管理!$A$2:$A$1001,A58,加仓管理!$G$2:$G$1001,"&gt;0"))</f>
        <v/>
      </c>
      <c r="AL58" s="24" t="str">
        <f>IF(A58="","",SUMIFS(加仓管理!$G$2:$G$1001,加仓管理!$A$2:$A$1001,A58))</f>
        <v/>
      </c>
      <c r="AM58" s="25" t="str">
        <f>IF(AK58=0,"",IFERROR(LOOKUP(2,1/((加仓管理!$A$2:$A$1001=A58)*(加仓管理!$G$2:$G$1001&gt;0)),加仓管理!$D$2:$D$1001),""))</f>
        <v/>
      </c>
      <c r="AN58" s="25" t="str">
        <f>IF(AK58=0,"",IFERROR(LOOKUP(2,1/((加仓管理!$A$2:$A$1001=A58)*(加仓管理!$G$2:$G$1001&gt;0)),加仓管理!$E$2:$E$1001),""))</f>
        <v/>
      </c>
      <c r="AO58" s="25" t="str">
        <f>IF(OR(A58="",H58="",H58&lt;=0),"",(E58*H58+SUMIFS(加仓管理!$H$2:$H$1001,加仓管理!$A$2:$A$1001,A58))/AP58)</f>
        <v/>
      </c>
      <c r="AP58" s="24" t="str">
        <f t="shared" si="21"/>
        <v/>
      </c>
      <c r="AQ58" s="25" t="str">
        <f>IF(A58="","",IF(M58&lt;&gt;"",0,IF(OR(H58="",N58=""),"",MAX((E58*H58+SUMIFS(加仓管理!$H$2:$H$1001,加仓管理!$A$2:$A$1001,A58))-MAX(N58,AN58)*AP58,0))))</f>
        <v/>
      </c>
      <c r="AR58" s="25" t="str">
        <f ca="1"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ht="17" spans="1:44">
      <c r="A59" s="21"/>
      <c r="B59" s="21"/>
      <c r="C59" s="7"/>
      <c r="D59" s="4"/>
      <c r="E59" s="7"/>
      <c r="F59" s="6" t="str">
        <f t="shared" si="11"/>
        <v/>
      </c>
      <c r="G59" s="6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21"/>
      <c r="I59" s="22"/>
      <c r="J59" s="7"/>
      <c r="K59" s="7"/>
      <c r="L59" s="6" t="str">
        <f t="shared" si="12"/>
        <v/>
      </c>
      <c r="M59" s="22"/>
      <c r="N59" s="7"/>
      <c r="O59" s="7"/>
      <c r="P59" s="7"/>
      <c r="Q59" s="21"/>
      <c r="R59" s="21"/>
      <c r="S59" s="21"/>
      <c r="T59" s="21"/>
      <c r="U59" s="5" t="str">
        <f t="shared" si="13"/>
        <v/>
      </c>
      <c r="V59" s="5" t="str">
        <f t="shared" si="14"/>
        <v/>
      </c>
      <c r="W59" s="23" t="str">
        <f t="shared" si="15"/>
        <v/>
      </c>
      <c r="X59" s="3" t="str">
        <f t="shared" si="16"/>
        <v/>
      </c>
      <c r="Y59" s="5" t="str">
        <f t="shared" si="17"/>
        <v/>
      </c>
      <c r="Z59" s="5" t="str">
        <f>IF(OR(AE59="",多次统计数据!$B$8=""),"",AE59-多次统计数据!$B$8)</f>
        <v/>
      </c>
      <c r="AA59" s="8" t="str">
        <f t="shared" si="18"/>
        <v/>
      </c>
      <c r="AB59" s="5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21"/>
      <c r="AE59" s="5" t="str">
        <f t="shared" si="19"/>
        <v/>
      </c>
      <c r="AG59" s="21"/>
      <c r="AH59" s="21"/>
      <c r="AI59" s="21"/>
      <c r="AJ59" s="6" t="str">
        <f t="shared" si="20"/>
        <v/>
      </c>
      <c r="AK59" s="24" t="str">
        <f>IF(A59="","",COUNTIFS(加仓管理!$A$2:$A$1001,A59,加仓管理!$G$2:$G$1001,"&gt;0"))</f>
        <v/>
      </c>
      <c r="AL59" s="24" t="str">
        <f>IF(A59="","",SUMIFS(加仓管理!$G$2:$G$1001,加仓管理!$A$2:$A$1001,A59))</f>
        <v/>
      </c>
      <c r="AM59" s="25" t="str">
        <f>IF(AK59=0,"",IFERROR(LOOKUP(2,1/((加仓管理!$A$2:$A$1001=A59)*(加仓管理!$G$2:$G$1001&gt;0)),加仓管理!$D$2:$D$1001),""))</f>
        <v/>
      </c>
      <c r="AN59" s="25" t="str">
        <f>IF(AK59=0,"",IFERROR(LOOKUP(2,1/((加仓管理!$A$2:$A$1001=A59)*(加仓管理!$G$2:$G$1001&gt;0)),加仓管理!$E$2:$E$1001),""))</f>
        <v/>
      </c>
      <c r="AO59" s="25" t="str">
        <f>IF(OR(A59="",H59="",H59&lt;=0),"",(E59*H59+SUMIFS(加仓管理!$H$2:$H$1001,加仓管理!$A$2:$A$1001,A59))/AP59)</f>
        <v/>
      </c>
      <c r="AP59" s="24" t="str">
        <f t="shared" si="21"/>
        <v/>
      </c>
      <c r="AQ59" s="25" t="str">
        <f>IF(A59="","",IF(M59&lt;&gt;"",0,IF(OR(H59="",N59=""),"",MAX((E59*H59+SUMIFS(加仓管理!$H$2:$H$1001,加仓管理!$A$2:$A$1001,A59))-MAX(N59,AN59)*AP59,0))))</f>
        <v/>
      </c>
      <c r="AR59" s="25" t="str">
        <f ca="1"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ht="17" spans="1:44">
      <c r="A60" s="21"/>
      <c r="B60" s="21"/>
      <c r="C60" s="7"/>
      <c r="D60" s="4"/>
      <c r="E60" s="7"/>
      <c r="F60" s="6" t="str">
        <f t="shared" si="11"/>
        <v/>
      </c>
      <c r="G60" s="6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21"/>
      <c r="I60" s="22"/>
      <c r="J60" s="7"/>
      <c r="K60" s="7"/>
      <c r="L60" s="6" t="str">
        <f t="shared" si="12"/>
        <v/>
      </c>
      <c r="M60" s="22"/>
      <c r="N60" s="7"/>
      <c r="O60" s="7"/>
      <c r="P60" s="7"/>
      <c r="Q60" s="21"/>
      <c r="R60" s="21"/>
      <c r="S60" s="21"/>
      <c r="T60" s="21"/>
      <c r="U60" s="5" t="str">
        <f t="shared" si="13"/>
        <v/>
      </c>
      <c r="V60" s="5" t="str">
        <f t="shared" si="14"/>
        <v/>
      </c>
      <c r="W60" s="23" t="str">
        <f t="shared" si="15"/>
        <v/>
      </c>
      <c r="X60" s="3" t="str">
        <f t="shared" si="16"/>
        <v/>
      </c>
      <c r="Y60" s="5" t="str">
        <f t="shared" si="17"/>
        <v/>
      </c>
      <c r="Z60" s="5" t="str">
        <f>IF(OR(AE60="",多次统计数据!$B$8=""),"",AE60-多次统计数据!$B$8)</f>
        <v/>
      </c>
      <c r="AA60" s="8" t="str">
        <f t="shared" si="18"/>
        <v/>
      </c>
      <c r="AB60" s="5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21"/>
      <c r="AE60" s="5" t="str">
        <f t="shared" si="19"/>
        <v/>
      </c>
      <c r="AG60" s="21"/>
      <c r="AH60" s="21"/>
      <c r="AI60" s="21"/>
      <c r="AJ60" s="6" t="str">
        <f t="shared" si="20"/>
        <v/>
      </c>
      <c r="AK60" s="24" t="str">
        <f>IF(A60="","",COUNTIFS(加仓管理!$A$2:$A$1001,A60,加仓管理!$G$2:$G$1001,"&gt;0"))</f>
        <v/>
      </c>
      <c r="AL60" s="24" t="str">
        <f>IF(A60="","",SUMIFS(加仓管理!$G$2:$G$1001,加仓管理!$A$2:$A$1001,A60))</f>
        <v/>
      </c>
      <c r="AM60" s="25" t="str">
        <f>IF(AK60=0,"",IFERROR(LOOKUP(2,1/((加仓管理!$A$2:$A$1001=A60)*(加仓管理!$G$2:$G$1001&gt;0)),加仓管理!$D$2:$D$1001),""))</f>
        <v/>
      </c>
      <c r="AN60" s="25" t="str">
        <f>IF(AK60=0,"",IFERROR(LOOKUP(2,1/((加仓管理!$A$2:$A$1001=A60)*(加仓管理!$G$2:$G$1001&gt;0)),加仓管理!$E$2:$E$1001),""))</f>
        <v/>
      </c>
      <c r="AO60" s="25" t="str">
        <f>IF(OR(A60="",H60="",H60&lt;=0),"",(E60*H60+SUMIFS(加仓管理!$H$2:$H$1001,加仓管理!$A$2:$A$1001,A60))/AP60)</f>
        <v/>
      </c>
      <c r="AP60" s="24" t="str">
        <f t="shared" si="21"/>
        <v/>
      </c>
      <c r="AQ60" s="25" t="str">
        <f>IF(A60="","",IF(M60&lt;&gt;"",0,IF(OR(H60="",N60=""),"",MAX((E60*H60+SUMIFS(加仓管理!$H$2:$H$1001,加仓管理!$A$2:$A$1001,A60))-MAX(N60,AN60)*AP60,0))))</f>
        <v/>
      </c>
      <c r="AR60" s="25" t="str">
        <f ca="1"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ht="17" spans="1:44">
      <c r="A61" s="21"/>
      <c r="B61" s="21"/>
      <c r="C61" s="7"/>
      <c r="D61" s="4"/>
      <c r="E61" s="7"/>
      <c r="F61" s="6" t="str">
        <f t="shared" si="11"/>
        <v/>
      </c>
      <c r="G61" s="6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21"/>
      <c r="I61" s="22"/>
      <c r="J61" s="7"/>
      <c r="K61" s="7"/>
      <c r="L61" s="6" t="str">
        <f t="shared" si="12"/>
        <v/>
      </c>
      <c r="M61" s="22"/>
      <c r="N61" s="7"/>
      <c r="O61" s="7"/>
      <c r="P61" s="7"/>
      <c r="Q61" s="21"/>
      <c r="R61" s="21"/>
      <c r="S61" s="21"/>
      <c r="T61" s="21"/>
      <c r="U61" s="5" t="str">
        <f t="shared" si="13"/>
        <v/>
      </c>
      <c r="V61" s="5" t="str">
        <f t="shared" si="14"/>
        <v/>
      </c>
      <c r="W61" s="23" t="str">
        <f t="shared" si="15"/>
        <v/>
      </c>
      <c r="X61" s="3" t="str">
        <f t="shared" si="16"/>
        <v/>
      </c>
      <c r="Y61" s="5" t="str">
        <f t="shared" si="17"/>
        <v/>
      </c>
      <c r="Z61" s="5" t="str">
        <f>IF(OR(AE61="",多次统计数据!$B$8=""),"",AE61-多次统计数据!$B$8)</f>
        <v/>
      </c>
      <c r="AA61" s="8" t="str">
        <f t="shared" si="18"/>
        <v/>
      </c>
      <c r="AB61" s="5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21"/>
      <c r="AE61" s="5" t="str">
        <f t="shared" si="19"/>
        <v/>
      </c>
      <c r="AG61" s="21"/>
      <c r="AH61" s="21"/>
      <c r="AI61" s="21"/>
      <c r="AJ61" s="6" t="str">
        <f t="shared" si="20"/>
        <v/>
      </c>
      <c r="AK61" s="24" t="str">
        <f>IF(A61="","",COUNTIFS(加仓管理!$A$2:$A$1001,A61,加仓管理!$G$2:$G$1001,"&gt;0"))</f>
        <v/>
      </c>
      <c r="AL61" s="24" t="str">
        <f>IF(A61="","",SUMIFS(加仓管理!$G$2:$G$1001,加仓管理!$A$2:$A$1001,A61))</f>
        <v/>
      </c>
      <c r="AM61" s="25" t="str">
        <f>IF(AK61=0,"",IFERROR(LOOKUP(2,1/((加仓管理!$A$2:$A$1001=A61)*(加仓管理!$G$2:$G$1001&gt;0)),加仓管理!$D$2:$D$1001),""))</f>
        <v/>
      </c>
      <c r="AN61" s="25" t="str">
        <f>IF(AK61=0,"",IFERROR(LOOKUP(2,1/((加仓管理!$A$2:$A$1001=A61)*(加仓管理!$G$2:$G$1001&gt;0)),加仓管理!$E$2:$E$1001),""))</f>
        <v/>
      </c>
      <c r="AO61" s="25" t="str">
        <f>IF(OR(A61="",H61="",H61&lt;=0),"",(E61*H61+SUMIFS(加仓管理!$H$2:$H$1001,加仓管理!$A$2:$A$1001,A61))/AP61)</f>
        <v/>
      </c>
      <c r="AP61" s="24" t="str">
        <f t="shared" si="21"/>
        <v/>
      </c>
      <c r="AQ61" s="25" t="str">
        <f>IF(A61="","",IF(M61&lt;&gt;"",0,IF(OR(H61="",N61=""),"",MAX((E61*H61+SUMIFS(加仓管理!$H$2:$H$1001,加仓管理!$A$2:$A$1001,A61))-MAX(N61,AN61)*AP61,0))))</f>
        <v/>
      </c>
      <c r="AR61" s="25" t="str">
        <f ca="1"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ht="17" spans="1:44">
      <c r="A62" s="21"/>
      <c r="B62" s="21"/>
      <c r="C62" s="7"/>
      <c r="D62" s="4"/>
      <c r="E62" s="7"/>
      <c r="F62" s="6" t="str">
        <f t="shared" si="11"/>
        <v/>
      </c>
      <c r="G62" s="6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21"/>
      <c r="I62" s="22"/>
      <c r="J62" s="7"/>
      <c r="K62" s="7"/>
      <c r="L62" s="6" t="str">
        <f t="shared" si="12"/>
        <v/>
      </c>
      <c r="M62" s="22"/>
      <c r="N62" s="7"/>
      <c r="O62" s="7"/>
      <c r="P62" s="7"/>
      <c r="Q62" s="21"/>
      <c r="R62" s="21"/>
      <c r="S62" s="21"/>
      <c r="T62" s="21"/>
      <c r="U62" s="5" t="str">
        <f t="shared" si="13"/>
        <v/>
      </c>
      <c r="V62" s="5" t="str">
        <f t="shared" si="14"/>
        <v/>
      </c>
      <c r="W62" s="23" t="str">
        <f t="shared" si="15"/>
        <v/>
      </c>
      <c r="X62" s="3" t="str">
        <f t="shared" si="16"/>
        <v/>
      </c>
      <c r="Y62" s="5" t="str">
        <f t="shared" si="17"/>
        <v/>
      </c>
      <c r="Z62" s="5" t="str">
        <f>IF(OR(AE62="",多次统计数据!$B$8=""),"",AE62-多次统计数据!$B$8)</f>
        <v/>
      </c>
      <c r="AA62" s="8" t="str">
        <f t="shared" si="18"/>
        <v/>
      </c>
      <c r="AB62" s="5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21"/>
      <c r="AE62" s="5" t="str">
        <f t="shared" si="19"/>
        <v/>
      </c>
      <c r="AG62" s="21"/>
      <c r="AH62" s="21"/>
      <c r="AI62" s="21"/>
      <c r="AJ62" s="6" t="str">
        <f t="shared" si="20"/>
        <v/>
      </c>
      <c r="AK62" s="24" t="str">
        <f>IF(A62="","",COUNTIFS(加仓管理!$A$2:$A$1001,A62,加仓管理!$G$2:$G$1001,"&gt;0"))</f>
        <v/>
      </c>
      <c r="AL62" s="24" t="str">
        <f>IF(A62="","",SUMIFS(加仓管理!$G$2:$G$1001,加仓管理!$A$2:$A$1001,A62))</f>
        <v/>
      </c>
      <c r="AM62" s="25" t="str">
        <f>IF(AK62=0,"",IFERROR(LOOKUP(2,1/((加仓管理!$A$2:$A$1001=A62)*(加仓管理!$G$2:$G$1001&gt;0)),加仓管理!$D$2:$D$1001),""))</f>
        <v/>
      </c>
      <c r="AN62" s="25" t="str">
        <f>IF(AK62=0,"",IFERROR(LOOKUP(2,1/((加仓管理!$A$2:$A$1001=A62)*(加仓管理!$G$2:$G$1001&gt;0)),加仓管理!$E$2:$E$1001),""))</f>
        <v/>
      </c>
      <c r="AO62" s="25" t="str">
        <f>IF(OR(A62="",H62="",H62&lt;=0),"",(E62*H62+SUMIFS(加仓管理!$H$2:$H$1001,加仓管理!$A$2:$A$1001,A62))/AP62)</f>
        <v/>
      </c>
      <c r="AP62" s="24" t="str">
        <f t="shared" si="21"/>
        <v/>
      </c>
      <c r="AQ62" s="25" t="str">
        <f>IF(A62="","",IF(M62&lt;&gt;"",0,IF(OR(H62="",N62=""),"",MAX((E62*H62+SUMIFS(加仓管理!$H$2:$H$1001,加仓管理!$A$2:$A$1001,A62))-MAX(N62,AN62)*AP62,0))))</f>
        <v/>
      </c>
      <c r="AR62" s="25" t="str">
        <f ca="1"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ht="17" spans="1:44">
      <c r="A63" s="21"/>
      <c r="B63" s="21"/>
      <c r="C63" s="7"/>
      <c r="D63" s="4"/>
      <c r="E63" s="7"/>
      <c r="F63" s="6" t="str">
        <f t="shared" si="11"/>
        <v/>
      </c>
      <c r="G63" s="6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21"/>
      <c r="I63" s="22"/>
      <c r="J63" s="7"/>
      <c r="K63" s="7"/>
      <c r="L63" s="6" t="str">
        <f t="shared" si="12"/>
        <v/>
      </c>
      <c r="M63" s="22"/>
      <c r="N63" s="7"/>
      <c r="O63" s="7"/>
      <c r="P63" s="7"/>
      <c r="Q63" s="21"/>
      <c r="R63" s="21"/>
      <c r="S63" s="21"/>
      <c r="T63" s="21"/>
      <c r="U63" s="5" t="str">
        <f t="shared" si="13"/>
        <v/>
      </c>
      <c r="V63" s="5" t="str">
        <f t="shared" si="14"/>
        <v/>
      </c>
      <c r="W63" s="23" t="str">
        <f t="shared" si="15"/>
        <v/>
      </c>
      <c r="X63" s="3" t="str">
        <f t="shared" si="16"/>
        <v/>
      </c>
      <c r="Y63" s="5" t="str">
        <f t="shared" si="17"/>
        <v/>
      </c>
      <c r="Z63" s="5" t="str">
        <f>IF(OR(AE63="",多次统计数据!$B$8=""),"",AE63-多次统计数据!$B$8)</f>
        <v/>
      </c>
      <c r="AA63" s="8" t="str">
        <f t="shared" si="18"/>
        <v/>
      </c>
      <c r="AB63" s="5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21"/>
      <c r="AE63" s="5" t="str">
        <f t="shared" si="19"/>
        <v/>
      </c>
      <c r="AG63" s="21"/>
      <c r="AH63" s="21"/>
      <c r="AI63" s="21"/>
      <c r="AJ63" s="6" t="str">
        <f t="shared" si="20"/>
        <v/>
      </c>
      <c r="AK63" s="24" t="str">
        <f>IF(A63="","",COUNTIFS(加仓管理!$A$2:$A$1001,A63,加仓管理!$G$2:$G$1001,"&gt;0"))</f>
        <v/>
      </c>
      <c r="AL63" s="24" t="str">
        <f>IF(A63="","",SUMIFS(加仓管理!$G$2:$G$1001,加仓管理!$A$2:$A$1001,A63))</f>
        <v/>
      </c>
      <c r="AM63" s="25" t="str">
        <f>IF(AK63=0,"",IFERROR(LOOKUP(2,1/((加仓管理!$A$2:$A$1001=A63)*(加仓管理!$G$2:$G$1001&gt;0)),加仓管理!$D$2:$D$1001),""))</f>
        <v/>
      </c>
      <c r="AN63" s="25" t="str">
        <f>IF(AK63=0,"",IFERROR(LOOKUP(2,1/((加仓管理!$A$2:$A$1001=A63)*(加仓管理!$G$2:$G$1001&gt;0)),加仓管理!$E$2:$E$1001),""))</f>
        <v/>
      </c>
      <c r="AO63" s="25" t="str">
        <f>IF(OR(A63="",H63="",H63&lt;=0),"",(E63*H63+SUMIFS(加仓管理!$H$2:$H$1001,加仓管理!$A$2:$A$1001,A63))/AP63)</f>
        <v/>
      </c>
      <c r="AP63" s="24" t="str">
        <f t="shared" si="21"/>
        <v/>
      </c>
      <c r="AQ63" s="25" t="str">
        <f>IF(A63="","",IF(M63&lt;&gt;"",0,IF(OR(H63="",N63=""),"",MAX((E63*H63+SUMIFS(加仓管理!$H$2:$H$1001,加仓管理!$A$2:$A$1001,A63))-MAX(N63,AN63)*AP63,0))))</f>
        <v/>
      </c>
      <c r="AR63" s="25" t="str">
        <f ca="1"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ht="17" spans="1:44">
      <c r="A64" s="21"/>
      <c r="B64" s="21"/>
      <c r="C64" s="7"/>
      <c r="D64" s="4"/>
      <c r="E64" s="7"/>
      <c r="F64" s="6" t="str">
        <f t="shared" si="11"/>
        <v/>
      </c>
      <c r="G64" s="6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21"/>
      <c r="I64" s="22"/>
      <c r="J64" s="7"/>
      <c r="K64" s="7"/>
      <c r="L64" s="6" t="str">
        <f t="shared" si="12"/>
        <v/>
      </c>
      <c r="M64" s="22"/>
      <c r="N64" s="7"/>
      <c r="O64" s="7"/>
      <c r="P64" s="7"/>
      <c r="Q64" s="21"/>
      <c r="R64" s="21"/>
      <c r="S64" s="21"/>
      <c r="T64" s="21"/>
      <c r="U64" s="5" t="str">
        <f t="shared" si="13"/>
        <v/>
      </c>
      <c r="V64" s="5" t="str">
        <f t="shared" si="14"/>
        <v/>
      </c>
      <c r="W64" s="23" t="str">
        <f t="shared" si="15"/>
        <v/>
      </c>
      <c r="X64" s="3" t="str">
        <f t="shared" si="16"/>
        <v/>
      </c>
      <c r="Y64" s="5" t="str">
        <f t="shared" si="17"/>
        <v/>
      </c>
      <c r="Z64" s="5" t="str">
        <f>IF(OR(AE64="",多次统计数据!$B$8=""),"",AE64-多次统计数据!$B$8)</f>
        <v/>
      </c>
      <c r="AA64" s="8" t="str">
        <f t="shared" si="18"/>
        <v/>
      </c>
      <c r="AB64" s="5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21"/>
      <c r="AE64" s="5" t="str">
        <f t="shared" si="19"/>
        <v/>
      </c>
      <c r="AG64" s="21"/>
      <c r="AH64" s="21"/>
      <c r="AI64" s="21"/>
      <c r="AJ64" s="6" t="str">
        <f t="shared" si="20"/>
        <v/>
      </c>
      <c r="AK64" s="24" t="str">
        <f>IF(A64="","",COUNTIFS(加仓管理!$A$2:$A$1001,A64,加仓管理!$G$2:$G$1001,"&gt;0"))</f>
        <v/>
      </c>
      <c r="AL64" s="24" t="str">
        <f>IF(A64="","",SUMIFS(加仓管理!$G$2:$G$1001,加仓管理!$A$2:$A$1001,A64))</f>
        <v/>
      </c>
      <c r="AM64" s="25" t="str">
        <f>IF(AK64=0,"",IFERROR(LOOKUP(2,1/((加仓管理!$A$2:$A$1001=A64)*(加仓管理!$G$2:$G$1001&gt;0)),加仓管理!$D$2:$D$1001),""))</f>
        <v/>
      </c>
      <c r="AN64" s="25" t="str">
        <f>IF(AK64=0,"",IFERROR(LOOKUP(2,1/((加仓管理!$A$2:$A$1001=A64)*(加仓管理!$G$2:$G$1001&gt;0)),加仓管理!$E$2:$E$1001),""))</f>
        <v/>
      </c>
      <c r="AO64" s="25" t="str">
        <f>IF(OR(A64="",H64="",H64&lt;=0),"",(E64*H64+SUMIFS(加仓管理!$H$2:$H$1001,加仓管理!$A$2:$A$1001,A64))/AP64)</f>
        <v/>
      </c>
      <c r="AP64" s="24" t="str">
        <f t="shared" si="21"/>
        <v/>
      </c>
      <c r="AQ64" s="25" t="str">
        <f>IF(A64="","",IF(M64&lt;&gt;"",0,IF(OR(H64="",N64=""),"",MAX((E64*H64+SUMIFS(加仓管理!$H$2:$H$1001,加仓管理!$A$2:$A$1001,A64))-MAX(N64,AN64)*AP64,0))))</f>
        <v/>
      </c>
      <c r="AR64" s="25" t="str">
        <f ca="1"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ht="17" spans="1:44">
      <c r="A65" s="21"/>
      <c r="B65" s="21"/>
      <c r="C65" s="7"/>
      <c r="D65" s="4"/>
      <c r="E65" s="7"/>
      <c r="F65" s="6" t="str">
        <f t="shared" si="11"/>
        <v/>
      </c>
      <c r="G65" s="6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21"/>
      <c r="I65" s="22"/>
      <c r="J65" s="7"/>
      <c r="K65" s="7"/>
      <c r="L65" s="6" t="str">
        <f t="shared" si="12"/>
        <v/>
      </c>
      <c r="M65" s="22"/>
      <c r="N65" s="7"/>
      <c r="O65" s="7"/>
      <c r="P65" s="7"/>
      <c r="Q65" s="21"/>
      <c r="R65" s="21"/>
      <c r="S65" s="21"/>
      <c r="T65" s="21"/>
      <c r="U65" s="5" t="str">
        <f t="shared" si="13"/>
        <v/>
      </c>
      <c r="V65" s="5" t="str">
        <f t="shared" si="14"/>
        <v/>
      </c>
      <c r="W65" s="23" t="str">
        <f t="shared" si="15"/>
        <v/>
      </c>
      <c r="X65" s="3" t="str">
        <f t="shared" si="16"/>
        <v/>
      </c>
      <c r="Y65" s="5" t="str">
        <f t="shared" si="17"/>
        <v/>
      </c>
      <c r="Z65" s="5" t="str">
        <f>IF(OR(AE65="",多次统计数据!$B$8=""),"",AE65-多次统计数据!$B$8)</f>
        <v/>
      </c>
      <c r="AA65" s="8" t="str">
        <f t="shared" si="18"/>
        <v/>
      </c>
      <c r="AB65" s="5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21"/>
      <c r="AE65" s="5" t="str">
        <f t="shared" si="19"/>
        <v/>
      </c>
      <c r="AG65" s="21"/>
      <c r="AH65" s="21"/>
      <c r="AI65" s="21"/>
      <c r="AJ65" s="6" t="str">
        <f t="shared" si="20"/>
        <v/>
      </c>
      <c r="AK65" s="24" t="str">
        <f>IF(A65="","",COUNTIFS(加仓管理!$A$2:$A$1001,A65,加仓管理!$G$2:$G$1001,"&gt;0"))</f>
        <v/>
      </c>
      <c r="AL65" s="24" t="str">
        <f>IF(A65="","",SUMIFS(加仓管理!$G$2:$G$1001,加仓管理!$A$2:$A$1001,A65))</f>
        <v/>
      </c>
      <c r="AM65" s="25" t="str">
        <f>IF(AK65=0,"",IFERROR(LOOKUP(2,1/((加仓管理!$A$2:$A$1001=A65)*(加仓管理!$G$2:$G$1001&gt;0)),加仓管理!$D$2:$D$1001),""))</f>
        <v/>
      </c>
      <c r="AN65" s="25" t="str">
        <f>IF(AK65=0,"",IFERROR(LOOKUP(2,1/((加仓管理!$A$2:$A$1001=A65)*(加仓管理!$G$2:$G$1001&gt;0)),加仓管理!$E$2:$E$1001),""))</f>
        <v/>
      </c>
      <c r="AO65" s="25" t="str">
        <f>IF(OR(A65="",H65="",H65&lt;=0),"",(E65*H65+SUMIFS(加仓管理!$H$2:$H$1001,加仓管理!$A$2:$A$1001,A65))/AP65)</f>
        <v/>
      </c>
      <c r="AP65" s="24" t="str">
        <f t="shared" si="21"/>
        <v/>
      </c>
      <c r="AQ65" s="25" t="str">
        <f>IF(A65="","",IF(M65&lt;&gt;"",0,IF(OR(H65="",N65=""),"",MAX((E65*H65+SUMIFS(加仓管理!$H$2:$H$1001,加仓管理!$A$2:$A$1001,A65))-MAX(N65,AN65)*AP65,0))))</f>
        <v/>
      </c>
      <c r="AR65" s="25" t="str">
        <f ca="1"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ht="17" spans="1:44">
      <c r="A66" s="21"/>
      <c r="B66" s="21"/>
      <c r="C66" s="7"/>
      <c r="D66" s="4"/>
      <c r="E66" s="7"/>
      <c r="F66" s="6" t="str">
        <f t="shared" ref="F66:F97" si="22">IF(OR(C66="",D66="",E66="",N66="",C66&lt;=0,D66&lt;=0,E66&lt;=N66),"",ROUNDDOWN((C66*D66)/(E66-N66)/100,0)*100)</f>
        <v/>
      </c>
      <c r="G66" s="6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21"/>
      <c r="I66" s="22"/>
      <c r="J66" s="7"/>
      <c r="K66" s="7"/>
      <c r="L66" s="6" t="str">
        <f t="shared" ref="L66:L97" si="23">IF(AP66="","",AP66)</f>
        <v/>
      </c>
      <c r="M66" s="22"/>
      <c r="N66" s="7"/>
      <c r="O66" s="7"/>
      <c r="P66" s="7"/>
      <c r="Q66" s="21"/>
      <c r="R66" s="21"/>
      <c r="S66" s="21"/>
      <c r="T66" s="21"/>
      <c r="U66" s="5" t="str">
        <f t="shared" ref="U66:U97" si="24">IF(OR(AO66="",J66="",AO66&lt;=0),"",(J66-AO66)/AO66)</f>
        <v/>
      </c>
      <c r="V66" s="5" t="str">
        <f t="shared" ref="V66:V97" si="25">IF(OR(AO66="",N66="",AO66&lt;=0),"",(AO66-N66)/AO66)</f>
        <v/>
      </c>
      <c r="W66" s="23" t="str">
        <f t="shared" ref="W66:W97" si="26">IF(OR(U66="",V66="",V66&lt;=0),"",U66/V66)</f>
        <v/>
      </c>
      <c r="X66" s="3" t="str">
        <f t="shared" ref="X66:X97" si="27">IF(OR(K66="",L66="",AO66="",AP66=""),"",(K66-AO66)*L66-IF(O66="",0,O66)-IF(P66="",0,P66))</f>
        <v/>
      </c>
      <c r="Y66" s="5" t="str">
        <f t="shared" ref="Y66:Y97" si="28">IF(OR(X66="",AO66="",L66=""),"",IF(AO66*L66+IF(O66="",0,O66)&lt;=0,"",X66/(AO66*L66+IF(O66="",0,O66))))</f>
        <v/>
      </c>
      <c r="Z66" s="5" t="str">
        <f>IF(OR(AE66="",多次统计数据!$B$8=""),"",AE66-多次统计数据!$B$8)</f>
        <v/>
      </c>
      <c r="AA66" s="8" t="str">
        <f t="shared" ref="AA66:AA97" si="29">IF(OR(I66="",M66="",M66&lt;I66),"",M66-I66)</f>
        <v/>
      </c>
      <c r="AB66" s="5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21"/>
      <c r="AE66" s="5" t="str">
        <f t="shared" ref="AE66:AE97" si="30">IF(OR(X66="",C66="",C66&lt;=0),"",X66/C66)</f>
        <v/>
      </c>
      <c r="AG66" s="21"/>
      <c r="AH66" s="21"/>
      <c r="AI66" s="21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24" t="str">
        <f>IF(A66="","",COUNTIFS(加仓管理!$A$2:$A$1001,A66,加仓管理!$G$2:$G$1001,"&gt;0"))</f>
        <v/>
      </c>
      <c r="AL66" s="24" t="str">
        <f>IF(A66="","",SUMIFS(加仓管理!$G$2:$G$1001,加仓管理!$A$2:$A$1001,A66))</f>
        <v/>
      </c>
      <c r="AM66" s="25" t="str">
        <f>IF(AK66=0,"",IFERROR(LOOKUP(2,1/((加仓管理!$A$2:$A$1001=A66)*(加仓管理!$G$2:$G$1001&gt;0)),加仓管理!$D$2:$D$1001),""))</f>
        <v/>
      </c>
      <c r="AN66" s="25" t="str">
        <f>IF(AK66=0,"",IFERROR(LOOKUP(2,1/((加仓管理!$A$2:$A$1001=A66)*(加仓管理!$G$2:$G$1001&gt;0)),加仓管理!$E$2:$E$1001),""))</f>
        <v/>
      </c>
      <c r="AO66" s="25" t="str">
        <f>IF(OR(A66="",H66="",H66&lt;=0),"",(E66*H66+SUMIFS(加仓管理!$H$2:$H$1001,加仓管理!$A$2:$A$1001,A66))/AP66)</f>
        <v/>
      </c>
      <c r="AP66" s="24" t="str">
        <f t="shared" ref="AP66:AP97" si="32">IF(OR(A66="",H66="",H66&lt;=0),"",H66+AL66)</f>
        <v/>
      </c>
      <c r="AQ66" s="25" t="str">
        <f>IF(A66="","",IF(M66&lt;&gt;"",0,IF(OR(H66="",N66=""),"",MAX((E66*H66+SUMIFS(加仓管理!$H$2:$H$1001,加仓管理!$A$2:$A$1001,A66))-MAX(N66,AN66)*AP66,0))))</f>
        <v/>
      </c>
      <c r="AR66" s="25" t="str">
        <f ca="1"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ht="17" spans="1:44">
      <c r="A67" s="21"/>
      <c r="B67" s="21"/>
      <c r="C67" s="7"/>
      <c r="D67" s="4"/>
      <c r="E67" s="7"/>
      <c r="F67" s="6" t="str">
        <f t="shared" si="22"/>
        <v/>
      </c>
      <c r="G67" s="6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21"/>
      <c r="I67" s="22"/>
      <c r="J67" s="7"/>
      <c r="K67" s="7"/>
      <c r="L67" s="6" t="str">
        <f t="shared" si="23"/>
        <v/>
      </c>
      <c r="M67" s="22"/>
      <c r="N67" s="7"/>
      <c r="O67" s="7"/>
      <c r="P67" s="7"/>
      <c r="Q67" s="21"/>
      <c r="R67" s="21"/>
      <c r="S67" s="21"/>
      <c r="T67" s="21"/>
      <c r="U67" s="5" t="str">
        <f t="shared" si="24"/>
        <v/>
      </c>
      <c r="V67" s="5" t="str">
        <f t="shared" si="25"/>
        <v/>
      </c>
      <c r="W67" s="23" t="str">
        <f t="shared" si="26"/>
        <v/>
      </c>
      <c r="X67" s="3" t="str">
        <f t="shared" si="27"/>
        <v/>
      </c>
      <c r="Y67" s="5" t="str">
        <f t="shared" si="28"/>
        <v/>
      </c>
      <c r="Z67" s="5" t="str">
        <f>IF(OR(AE67="",多次统计数据!$B$8=""),"",AE67-多次统计数据!$B$8)</f>
        <v/>
      </c>
      <c r="AA67" s="8" t="str">
        <f t="shared" si="29"/>
        <v/>
      </c>
      <c r="AB67" s="5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21"/>
      <c r="AE67" s="5" t="str">
        <f t="shared" si="30"/>
        <v/>
      </c>
      <c r="AG67" s="21"/>
      <c r="AH67" s="21"/>
      <c r="AI67" s="21"/>
      <c r="AJ67" s="6" t="str">
        <f t="shared" si="31"/>
        <v/>
      </c>
      <c r="AK67" s="24" t="str">
        <f>IF(A67="","",COUNTIFS(加仓管理!$A$2:$A$1001,A67,加仓管理!$G$2:$G$1001,"&gt;0"))</f>
        <v/>
      </c>
      <c r="AL67" s="24" t="str">
        <f>IF(A67="","",SUMIFS(加仓管理!$G$2:$G$1001,加仓管理!$A$2:$A$1001,A67))</f>
        <v/>
      </c>
      <c r="AM67" s="25" t="str">
        <f>IF(AK67=0,"",IFERROR(LOOKUP(2,1/((加仓管理!$A$2:$A$1001=A67)*(加仓管理!$G$2:$G$1001&gt;0)),加仓管理!$D$2:$D$1001),""))</f>
        <v/>
      </c>
      <c r="AN67" s="25" t="str">
        <f>IF(AK67=0,"",IFERROR(LOOKUP(2,1/((加仓管理!$A$2:$A$1001=A67)*(加仓管理!$G$2:$G$1001&gt;0)),加仓管理!$E$2:$E$1001),""))</f>
        <v/>
      </c>
      <c r="AO67" s="25" t="str">
        <f>IF(OR(A67="",H67="",H67&lt;=0),"",(E67*H67+SUMIFS(加仓管理!$H$2:$H$1001,加仓管理!$A$2:$A$1001,A67))/AP67)</f>
        <v/>
      </c>
      <c r="AP67" s="24" t="str">
        <f t="shared" si="32"/>
        <v/>
      </c>
      <c r="AQ67" s="25" t="str">
        <f>IF(A67="","",IF(M67&lt;&gt;"",0,IF(OR(H67="",N67=""),"",MAX((E67*H67+SUMIFS(加仓管理!$H$2:$H$1001,加仓管理!$A$2:$A$1001,A67))-MAX(N67,AN67)*AP67,0))))</f>
        <v/>
      </c>
      <c r="AR67" s="25" t="str">
        <f ca="1"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ht="17" spans="1:44">
      <c r="A68" s="21"/>
      <c r="B68" s="21"/>
      <c r="C68" s="7"/>
      <c r="D68" s="4"/>
      <c r="E68" s="7"/>
      <c r="F68" s="6" t="str">
        <f t="shared" si="22"/>
        <v/>
      </c>
      <c r="G68" s="6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21"/>
      <c r="I68" s="22"/>
      <c r="J68" s="7"/>
      <c r="K68" s="7"/>
      <c r="L68" s="6" t="str">
        <f t="shared" si="23"/>
        <v/>
      </c>
      <c r="M68" s="22"/>
      <c r="N68" s="7"/>
      <c r="O68" s="7"/>
      <c r="P68" s="7"/>
      <c r="Q68" s="21"/>
      <c r="R68" s="21"/>
      <c r="S68" s="21"/>
      <c r="T68" s="21"/>
      <c r="U68" s="5" t="str">
        <f t="shared" si="24"/>
        <v/>
      </c>
      <c r="V68" s="5" t="str">
        <f t="shared" si="25"/>
        <v/>
      </c>
      <c r="W68" s="23" t="str">
        <f t="shared" si="26"/>
        <v/>
      </c>
      <c r="X68" s="3" t="str">
        <f t="shared" si="27"/>
        <v/>
      </c>
      <c r="Y68" s="5" t="str">
        <f t="shared" si="28"/>
        <v/>
      </c>
      <c r="Z68" s="5" t="str">
        <f>IF(OR(AE68="",多次统计数据!$B$8=""),"",AE68-多次统计数据!$B$8)</f>
        <v/>
      </c>
      <c r="AA68" s="8" t="str">
        <f t="shared" si="29"/>
        <v/>
      </c>
      <c r="AB68" s="5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21"/>
      <c r="AE68" s="5" t="str">
        <f t="shared" si="30"/>
        <v/>
      </c>
      <c r="AG68" s="21"/>
      <c r="AH68" s="21"/>
      <c r="AI68" s="21"/>
      <c r="AJ68" s="6" t="str">
        <f t="shared" si="31"/>
        <v/>
      </c>
      <c r="AK68" s="24" t="str">
        <f>IF(A68="","",COUNTIFS(加仓管理!$A$2:$A$1001,A68,加仓管理!$G$2:$G$1001,"&gt;0"))</f>
        <v/>
      </c>
      <c r="AL68" s="24" t="str">
        <f>IF(A68="","",SUMIFS(加仓管理!$G$2:$G$1001,加仓管理!$A$2:$A$1001,A68))</f>
        <v/>
      </c>
      <c r="AM68" s="25" t="str">
        <f>IF(AK68=0,"",IFERROR(LOOKUP(2,1/((加仓管理!$A$2:$A$1001=A68)*(加仓管理!$G$2:$G$1001&gt;0)),加仓管理!$D$2:$D$1001),""))</f>
        <v/>
      </c>
      <c r="AN68" s="25" t="str">
        <f>IF(AK68=0,"",IFERROR(LOOKUP(2,1/((加仓管理!$A$2:$A$1001=A68)*(加仓管理!$G$2:$G$1001&gt;0)),加仓管理!$E$2:$E$1001),""))</f>
        <v/>
      </c>
      <c r="AO68" s="25" t="str">
        <f>IF(OR(A68="",H68="",H68&lt;=0),"",(E68*H68+SUMIFS(加仓管理!$H$2:$H$1001,加仓管理!$A$2:$A$1001,A68))/AP68)</f>
        <v/>
      </c>
      <c r="AP68" s="24" t="str">
        <f t="shared" si="32"/>
        <v/>
      </c>
      <c r="AQ68" s="25" t="str">
        <f>IF(A68="","",IF(M68&lt;&gt;"",0,IF(OR(H68="",N68=""),"",MAX((E68*H68+SUMIFS(加仓管理!$H$2:$H$1001,加仓管理!$A$2:$A$1001,A68))-MAX(N68,AN68)*AP68,0))))</f>
        <v/>
      </c>
      <c r="AR68" s="25" t="str">
        <f ca="1"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ht="17" spans="1:44">
      <c r="A69" s="21"/>
      <c r="B69" s="21"/>
      <c r="C69" s="7"/>
      <c r="D69" s="4"/>
      <c r="E69" s="7"/>
      <c r="F69" s="6" t="str">
        <f t="shared" si="22"/>
        <v/>
      </c>
      <c r="G69" s="6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21"/>
      <c r="I69" s="22"/>
      <c r="J69" s="7"/>
      <c r="K69" s="7"/>
      <c r="L69" s="6" t="str">
        <f t="shared" si="23"/>
        <v/>
      </c>
      <c r="M69" s="22"/>
      <c r="N69" s="7"/>
      <c r="O69" s="7"/>
      <c r="P69" s="7"/>
      <c r="Q69" s="21"/>
      <c r="R69" s="21"/>
      <c r="S69" s="21"/>
      <c r="T69" s="21"/>
      <c r="U69" s="5" t="str">
        <f t="shared" si="24"/>
        <v/>
      </c>
      <c r="V69" s="5" t="str">
        <f t="shared" si="25"/>
        <v/>
      </c>
      <c r="W69" s="23" t="str">
        <f t="shared" si="26"/>
        <v/>
      </c>
      <c r="X69" s="3" t="str">
        <f t="shared" si="27"/>
        <v/>
      </c>
      <c r="Y69" s="5" t="str">
        <f t="shared" si="28"/>
        <v/>
      </c>
      <c r="Z69" s="5" t="str">
        <f>IF(OR(AE69="",多次统计数据!$B$8=""),"",AE69-多次统计数据!$B$8)</f>
        <v/>
      </c>
      <c r="AA69" s="8" t="str">
        <f t="shared" si="29"/>
        <v/>
      </c>
      <c r="AB69" s="5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21"/>
      <c r="AE69" s="5" t="str">
        <f t="shared" si="30"/>
        <v/>
      </c>
      <c r="AG69" s="21"/>
      <c r="AH69" s="21"/>
      <c r="AI69" s="21"/>
      <c r="AJ69" s="6" t="str">
        <f t="shared" si="31"/>
        <v/>
      </c>
      <c r="AK69" s="24" t="str">
        <f>IF(A69="","",COUNTIFS(加仓管理!$A$2:$A$1001,A69,加仓管理!$G$2:$G$1001,"&gt;0"))</f>
        <v/>
      </c>
      <c r="AL69" s="24" t="str">
        <f>IF(A69="","",SUMIFS(加仓管理!$G$2:$G$1001,加仓管理!$A$2:$A$1001,A69))</f>
        <v/>
      </c>
      <c r="AM69" s="25" t="str">
        <f>IF(AK69=0,"",IFERROR(LOOKUP(2,1/((加仓管理!$A$2:$A$1001=A69)*(加仓管理!$G$2:$G$1001&gt;0)),加仓管理!$D$2:$D$1001),""))</f>
        <v/>
      </c>
      <c r="AN69" s="25" t="str">
        <f>IF(AK69=0,"",IFERROR(LOOKUP(2,1/((加仓管理!$A$2:$A$1001=A69)*(加仓管理!$G$2:$G$1001&gt;0)),加仓管理!$E$2:$E$1001),""))</f>
        <v/>
      </c>
      <c r="AO69" s="25" t="str">
        <f>IF(OR(A69="",H69="",H69&lt;=0),"",(E69*H69+SUMIFS(加仓管理!$H$2:$H$1001,加仓管理!$A$2:$A$1001,A69))/AP69)</f>
        <v/>
      </c>
      <c r="AP69" s="24" t="str">
        <f t="shared" si="32"/>
        <v/>
      </c>
      <c r="AQ69" s="25" t="str">
        <f>IF(A69="","",IF(M69&lt;&gt;"",0,IF(OR(H69="",N69=""),"",MAX((E69*H69+SUMIFS(加仓管理!$H$2:$H$1001,加仓管理!$A$2:$A$1001,A69))-MAX(N69,AN69)*AP69,0))))</f>
        <v/>
      </c>
      <c r="AR69" s="25" t="str">
        <f ca="1"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ht="17" spans="1:44">
      <c r="A70" s="21"/>
      <c r="B70" s="21"/>
      <c r="C70" s="7"/>
      <c r="D70" s="4"/>
      <c r="E70" s="7"/>
      <c r="F70" s="6" t="str">
        <f t="shared" si="22"/>
        <v/>
      </c>
      <c r="G70" s="6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21"/>
      <c r="I70" s="22"/>
      <c r="J70" s="7"/>
      <c r="K70" s="7"/>
      <c r="L70" s="6" t="str">
        <f t="shared" si="23"/>
        <v/>
      </c>
      <c r="M70" s="22"/>
      <c r="N70" s="7"/>
      <c r="O70" s="7"/>
      <c r="P70" s="7"/>
      <c r="Q70" s="21"/>
      <c r="R70" s="21"/>
      <c r="S70" s="21"/>
      <c r="T70" s="21"/>
      <c r="U70" s="5" t="str">
        <f t="shared" si="24"/>
        <v/>
      </c>
      <c r="V70" s="5" t="str">
        <f t="shared" si="25"/>
        <v/>
      </c>
      <c r="W70" s="23" t="str">
        <f t="shared" si="26"/>
        <v/>
      </c>
      <c r="X70" s="3" t="str">
        <f t="shared" si="27"/>
        <v/>
      </c>
      <c r="Y70" s="5" t="str">
        <f t="shared" si="28"/>
        <v/>
      </c>
      <c r="Z70" s="5" t="str">
        <f>IF(OR(AE70="",多次统计数据!$B$8=""),"",AE70-多次统计数据!$B$8)</f>
        <v/>
      </c>
      <c r="AA70" s="8" t="str">
        <f t="shared" si="29"/>
        <v/>
      </c>
      <c r="AB70" s="5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21"/>
      <c r="AE70" s="5" t="str">
        <f t="shared" si="30"/>
        <v/>
      </c>
      <c r="AG70" s="21"/>
      <c r="AH70" s="21"/>
      <c r="AI70" s="21"/>
      <c r="AJ70" s="6" t="str">
        <f t="shared" si="31"/>
        <v/>
      </c>
      <c r="AK70" s="24" t="str">
        <f>IF(A70="","",COUNTIFS(加仓管理!$A$2:$A$1001,A70,加仓管理!$G$2:$G$1001,"&gt;0"))</f>
        <v/>
      </c>
      <c r="AL70" s="24" t="str">
        <f>IF(A70="","",SUMIFS(加仓管理!$G$2:$G$1001,加仓管理!$A$2:$A$1001,A70))</f>
        <v/>
      </c>
      <c r="AM70" s="25" t="str">
        <f>IF(AK70=0,"",IFERROR(LOOKUP(2,1/((加仓管理!$A$2:$A$1001=A70)*(加仓管理!$G$2:$G$1001&gt;0)),加仓管理!$D$2:$D$1001),""))</f>
        <v/>
      </c>
      <c r="AN70" s="25" t="str">
        <f>IF(AK70=0,"",IFERROR(LOOKUP(2,1/((加仓管理!$A$2:$A$1001=A70)*(加仓管理!$G$2:$G$1001&gt;0)),加仓管理!$E$2:$E$1001),""))</f>
        <v/>
      </c>
      <c r="AO70" s="25" t="str">
        <f>IF(OR(A70="",H70="",H70&lt;=0),"",(E70*H70+SUMIFS(加仓管理!$H$2:$H$1001,加仓管理!$A$2:$A$1001,A70))/AP70)</f>
        <v/>
      </c>
      <c r="AP70" s="24" t="str">
        <f t="shared" si="32"/>
        <v/>
      </c>
      <c r="AQ70" s="25" t="str">
        <f>IF(A70="","",IF(M70&lt;&gt;"",0,IF(OR(H70="",N70=""),"",MAX((E70*H70+SUMIFS(加仓管理!$H$2:$H$1001,加仓管理!$A$2:$A$1001,A70))-MAX(N70,AN70)*AP70,0))))</f>
        <v/>
      </c>
      <c r="AR70" s="25" t="str">
        <f ca="1"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ht="17" spans="1:44">
      <c r="A71" s="21"/>
      <c r="B71" s="21"/>
      <c r="C71" s="7"/>
      <c r="D71" s="4"/>
      <c r="E71" s="7"/>
      <c r="F71" s="6" t="str">
        <f t="shared" si="22"/>
        <v/>
      </c>
      <c r="G71" s="6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21"/>
      <c r="I71" s="22"/>
      <c r="J71" s="7"/>
      <c r="K71" s="7"/>
      <c r="L71" s="6" t="str">
        <f t="shared" si="23"/>
        <v/>
      </c>
      <c r="M71" s="22"/>
      <c r="N71" s="7"/>
      <c r="O71" s="7"/>
      <c r="P71" s="7"/>
      <c r="Q71" s="21"/>
      <c r="R71" s="21"/>
      <c r="S71" s="21"/>
      <c r="T71" s="21"/>
      <c r="U71" s="5" t="str">
        <f t="shared" si="24"/>
        <v/>
      </c>
      <c r="V71" s="5" t="str">
        <f t="shared" si="25"/>
        <v/>
      </c>
      <c r="W71" s="23" t="str">
        <f t="shared" si="26"/>
        <v/>
      </c>
      <c r="X71" s="3" t="str">
        <f t="shared" si="27"/>
        <v/>
      </c>
      <c r="Y71" s="5" t="str">
        <f t="shared" si="28"/>
        <v/>
      </c>
      <c r="Z71" s="5" t="str">
        <f>IF(OR(AE71="",多次统计数据!$B$8=""),"",AE71-多次统计数据!$B$8)</f>
        <v/>
      </c>
      <c r="AA71" s="8" t="str">
        <f t="shared" si="29"/>
        <v/>
      </c>
      <c r="AB71" s="5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21"/>
      <c r="AE71" s="5" t="str">
        <f t="shared" si="30"/>
        <v/>
      </c>
      <c r="AG71" s="21"/>
      <c r="AH71" s="21"/>
      <c r="AI71" s="21"/>
      <c r="AJ71" s="6" t="str">
        <f t="shared" si="31"/>
        <v/>
      </c>
      <c r="AK71" s="24" t="str">
        <f>IF(A71="","",COUNTIFS(加仓管理!$A$2:$A$1001,A71,加仓管理!$G$2:$G$1001,"&gt;0"))</f>
        <v/>
      </c>
      <c r="AL71" s="24" t="str">
        <f>IF(A71="","",SUMIFS(加仓管理!$G$2:$G$1001,加仓管理!$A$2:$A$1001,A71))</f>
        <v/>
      </c>
      <c r="AM71" s="25" t="str">
        <f>IF(AK71=0,"",IFERROR(LOOKUP(2,1/((加仓管理!$A$2:$A$1001=A71)*(加仓管理!$G$2:$G$1001&gt;0)),加仓管理!$D$2:$D$1001),""))</f>
        <v/>
      </c>
      <c r="AN71" s="25" t="str">
        <f>IF(AK71=0,"",IFERROR(LOOKUP(2,1/((加仓管理!$A$2:$A$1001=A71)*(加仓管理!$G$2:$G$1001&gt;0)),加仓管理!$E$2:$E$1001),""))</f>
        <v/>
      </c>
      <c r="AO71" s="25" t="str">
        <f>IF(OR(A71="",H71="",H71&lt;=0),"",(E71*H71+SUMIFS(加仓管理!$H$2:$H$1001,加仓管理!$A$2:$A$1001,A71))/AP71)</f>
        <v/>
      </c>
      <c r="AP71" s="24" t="str">
        <f t="shared" si="32"/>
        <v/>
      </c>
      <c r="AQ71" s="25" t="str">
        <f>IF(A71="","",IF(M71&lt;&gt;"",0,IF(OR(H71="",N71=""),"",MAX((E71*H71+SUMIFS(加仓管理!$H$2:$H$1001,加仓管理!$A$2:$A$1001,A71))-MAX(N71,AN71)*AP71,0))))</f>
        <v/>
      </c>
      <c r="AR71" s="25" t="str">
        <f ca="1"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ht="17" spans="1:44">
      <c r="A72" s="21"/>
      <c r="B72" s="21"/>
      <c r="C72" s="7"/>
      <c r="D72" s="4"/>
      <c r="E72" s="7"/>
      <c r="F72" s="6" t="str">
        <f t="shared" si="22"/>
        <v/>
      </c>
      <c r="G72" s="6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21"/>
      <c r="I72" s="22"/>
      <c r="J72" s="7"/>
      <c r="K72" s="7"/>
      <c r="L72" s="6" t="str">
        <f t="shared" si="23"/>
        <v/>
      </c>
      <c r="M72" s="22"/>
      <c r="N72" s="7"/>
      <c r="O72" s="7"/>
      <c r="P72" s="7"/>
      <c r="Q72" s="21"/>
      <c r="R72" s="21"/>
      <c r="S72" s="21"/>
      <c r="T72" s="21"/>
      <c r="U72" s="5" t="str">
        <f t="shared" si="24"/>
        <v/>
      </c>
      <c r="V72" s="5" t="str">
        <f t="shared" si="25"/>
        <v/>
      </c>
      <c r="W72" s="23" t="str">
        <f t="shared" si="26"/>
        <v/>
      </c>
      <c r="X72" s="3" t="str">
        <f t="shared" si="27"/>
        <v/>
      </c>
      <c r="Y72" s="5" t="str">
        <f t="shared" si="28"/>
        <v/>
      </c>
      <c r="Z72" s="5" t="str">
        <f>IF(OR(AE72="",多次统计数据!$B$8=""),"",AE72-多次统计数据!$B$8)</f>
        <v/>
      </c>
      <c r="AA72" s="8" t="str">
        <f t="shared" si="29"/>
        <v/>
      </c>
      <c r="AB72" s="5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21"/>
      <c r="AE72" s="5" t="str">
        <f t="shared" si="30"/>
        <v/>
      </c>
      <c r="AG72" s="21"/>
      <c r="AH72" s="21"/>
      <c r="AI72" s="21"/>
      <c r="AJ72" s="6" t="str">
        <f t="shared" si="31"/>
        <v/>
      </c>
      <c r="AK72" s="24" t="str">
        <f>IF(A72="","",COUNTIFS(加仓管理!$A$2:$A$1001,A72,加仓管理!$G$2:$G$1001,"&gt;0"))</f>
        <v/>
      </c>
      <c r="AL72" s="24" t="str">
        <f>IF(A72="","",SUMIFS(加仓管理!$G$2:$G$1001,加仓管理!$A$2:$A$1001,A72))</f>
        <v/>
      </c>
      <c r="AM72" s="25" t="str">
        <f>IF(AK72=0,"",IFERROR(LOOKUP(2,1/((加仓管理!$A$2:$A$1001=A72)*(加仓管理!$G$2:$G$1001&gt;0)),加仓管理!$D$2:$D$1001),""))</f>
        <v/>
      </c>
      <c r="AN72" s="25" t="str">
        <f>IF(AK72=0,"",IFERROR(LOOKUP(2,1/((加仓管理!$A$2:$A$1001=A72)*(加仓管理!$G$2:$G$1001&gt;0)),加仓管理!$E$2:$E$1001),""))</f>
        <v/>
      </c>
      <c r="AO72" s="25" t="str">
        <f>IF(OR(A72="",H72="",H72&lt;=0),"",(E72*H72+SUMIFS(加仓管理!$H$2:$H$1001,加仓管理!$A$2:$A$1001,A72))/AP72)</f>
        <v/>
      </c>
      <c r="AP72" s="24" t="str">
        <f t="shared" si="32"/>
        <v/>
      </c>
      <c r="AQ72" s="25" t="str">
        <f>IF(A72="","",IF(M72&lt;&gt;"",0,IF(OR(H72="",N72=""),"",MAX((E72*H72+SUMIFS(加仓管理!$H$2:$H$1001,加仓管理!$A$2:$A$1001,A72))-MAX(N72,AN72)*AP72,0))))</f>
        <v/>
      </c>
      <c r="AR72" s="25" t="str">
        <f ca="1"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ht="17" spans="1:44">
      <c r="A73" s="21"/>
      <c r="B73" s="21"/>
      <c r="C73" s="7"/>
      <c r="D73" s="4"/>
      <c r="E73" s="7"/>
      <c r="F73" s="6" t="str">
        <f t="shared" si="22"/>
        <v/>
      </c>
      <c r="G73" s="6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21"/>
      <c r="I73" s="22"/>
      <c r="J73" s="7"/>
      <c r="K73" s="7"/>
      <c r="L73" s="6" t="str">
        <f t="shared" si="23"/>
        <v/>
      </c>
      <c r="M73" s="22"/>
      <c r="N73" s="7"/>
      <c r="O73" s="7"/>
      <c r="P73" s="7"/>
      <c r="Q73" s="21"/>
      <c r="R73" s="21"/>
      <c r="S73" s="21"/>
      <c r="T73" s="21"/>
      <c r="U73" s="5" t="str">
        <f t="shared" si="24"/>
        <v/>
      </c>
      <c r="V73" s="5" t="str">
        <f t="shared" si="25"/>
        <v/>
      </c>
      <c r="W73" s="23" t="str">
        <f t="shared" si="26"/>
        <v/>
      </c>
      <c r="X73" s="3" t="str">
        <f t="shared" si="27"/>
        <v/>
      </c>
      <c r="Y73" s="5" t="str">
        <f t="shared" si="28"/>
        <v/>
      </c>
      <c r="Z73" s="5" t="str">
        <f>IF(OR(AE73="",多次统计数据!$B$8=""),"",AE73-多次统计数据!$B$8)</f>
        <v/>
      </c>
      <c r="AA73" s="8" t="str">
        <f t="shared" si="29"/>
        <v/>
      </c>
      <c r="AB73" s="5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21"/>
      <c r="AE73" s="5" t="str">
        <f t="shared" si="30"/>
        <v/>
      </c>
      <c r="AG73" s="21"/>
      <c r="AH73" s="21"/>
      <c r="AI73" s="21"/>
      <c r="AJ73" s="6" t="str">
        <f t="shared" si="31"/>
        <v/>
      </c>
      <c r="AK73" s="24" t="str">
        <f>IF(A73="","",COUNTIFS(加仓管理!$A$2:$A$1001,A73,加仓管理!$G$2:$G$1001,"&gt;0"))</f>
        <v/>
      </c>
      <c r="AL73" s="24" t="str">
        <f>IF(A73="","",SUMIFS(加仓管理!$G$2:$G$1001,加仓管理!$A$2:$A$1001,A73))</f>
        <v/>
      </c>
      <c r="AM73" s="25" t="str">
        <f>IF(AK73=0,"",IFERROR(LOOKUP(2,1/((加仓管理!$A$2:$A$1001=A73)*(加仓管理!$G$2:$G$1001&gt;0)),加仓管理!$D$2:$D$1001),""))</f>
        <v/>
      </c>
      <c r="AN73" s="25" t="str">
        <f>IF(AK73=0,"",IFERROR(LOOKUP(2,1/((加仓管理!$A$2:$A$1001=A73)*(加仓管理!$G$2:$G$1001&gt;0)),加仓管理!$E$2:$E$1001),""))</f>
        <v/>
      </c>
      <c r="AO73" s="25" t="str">
        <f>IF(OR(A73="",H73="",H73&lt;=0),"",(E73*H73+SUMIFS(加仓管理!$H$2:$H$1001,加仓管理!$A$2:$A$1001,A73))/AP73)</f>
        <v/>
      </c>
      <c r="AP73" s="24" t="str">
        <f t="shared" si="32"/>
        <v/>
      </c>
      <c r="AQ73" s="25" t="str">
        <f>IF(A73="","",IF(M73&lt;&gt;"",0,IF(OR(H73="",N73=""),"",MAX((E73*H73+SUMIFS(加仓管理!$H$2:$H$1001,加仓管理!$A$2:$A$1001,A73))-MAX(N73,AN73)*AP73,0))))</f>
        <v/>
      </c>
      <c r="AR73" s="25" t="str">
        <f ca="1"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ht="17" spans="1:44">
      <c r="A74" s="21"/>
      <c r="B74" s="21"/>
      <c r="C74" s="7"/>
      <c r="D74" s="4"/>
      <c r="E74" s="7"/>
      <c r="F74" s="6" t="str">
        <f t="shared" si="22"/>
        <v/>
      </c>
      <c r="G74" s="6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21"/>
      <c r="I74" s="22"/>
      <c r="J74" s="7"/>
      <c r="K74" s="7"/>
      <c r="L74" s="6" t="str">
        <f t="shared" si="23"/>
        <v/>
      </c>
      <c r="M74" s="22"/>
      <c r="N74" s="7"/>
      <c r="O74" s="7"/>
      <c r="P74" s="7"/>
      <c r="Q74" s="21"/>
      <c r="R74" s="21"/>
      <c r="S74" s="21"/>
      <c r="T74" s="21"/>
      <c r="U74" s="5" t="str">
        <f t="shared" si="24"/>
        <v/>
      </c>
      <c r="V74" s="5" t="str">
        <f t="shared" si="25"/>
        <v/>
      </c>
      <c r="W74" s="23" t="str">
        <f t="shared" si="26"/>
        <v/>
      </c>
      <c r="X74" s="3" t="str">
        <f t="shared" si="27"/>
        <v/>
      </c>
      <c r="Y74" s="5" t="str">
        <f t="shared" si="28"/>
        <v/>
      </c>
      <c r="Z74" s="5" t="str">
        <f>IF(OR(AE74="",多次统计数据!$B$8=""),"",AE74-多次统计数据!$B$8)</f>
        <v/>
      </c>
      <c r="AA74" s="8" t="str">
        <f t="shared" si="29"/>
        <v/>
      </c>
      <c r="AB74" s="5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21"/>
      <c r="AE74" s="5" t="str">
        <f t="shared" si="30"/>
        <v/>
      </c>
      <c r="AG74" s="21"/>
      <c r="AH74" s="21"/>
      <c r="AI74" s="21"/>
      <c r="AJ74" s="6" t="str">
        <f t="shared" si="31"/>
        <v/>
      </c>
      <c r="AK74" s="24" t="str">
        <f>IF(A74="","",COUNTIFS(加仓管理!$A$2:$A$1001,A74,加仓管理!$G$2:$G$1001,"&gt;0"))</f>
        <v/>
      </c>
      <c r="AL74" s="24" t="str">
        <f>IF(A74="","",SUMIFS(加仓管理!$G$2:$G$1001,加仓管理!$A$2:$A$1001,A74))</f>
        <v/>
      </c>
      <c r="AM74" s="25" t="str">
        <f>IF(AK74=0,"",IFERROR(LOOKUP(2,1/((加仓管理!$A$2:$A$1001=A74)*(加仓管理!$G$2:$G$1001&gt;0)),加仓管理!$D$2:$D$1001),""))</f>
        <v/>
      </c>
      <c r="AN74" s="25" t="str">
        <f>IF(AK74=0,"",IFERROR(LOOKUP(2,1/((加仓管理!$A$2:$A$1001=A74)*(加仓管理!$G$2:$G$1001&gt;0)),加仓管理!$E$2:$E$1001),""))</f>
        <v/>
      </c>
      <c r="AO74" s="25" t="str">
        <f>IF(OR(A74="",H74="",H74&lt;=0),"",(E74*H74+SUMIFS(加仓管理!$H$2:$H$1001,加仓管理!$A$2:$A$1001,A74))/AP74)</f>
        <v/>
      </c>
      <c r="AP74" s="24" t="str">
        <f t="shared" si="32"/>
        <v/>
      </c>
      <c r="AQ74" s="25" t="str">
        <f>IF(A74="","",IF(M74&lt;&gt;"",0,IF(OR(H74="",N74=""),"",MAX((E74*H74+SUMIFS(加仓管理!$H$2:$H$1001,加仓管理!$A$2:$A$1001,A74))-MAX(N74,AN74)*AP74,0))))</f>
        <v/>
      </c>
      <c r="AR74" s="25" t="str">
        <f ca="1"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ht="17" spans="1:44">
      <c r="A75" s="21"/>
      <c r="B75" s="10"/>
      <c r="C75" s="7"/>
      <c r="D75" s="4"/>
      <c r="E75" s="7"/>
      <c r="F75" s="6" t="str">
        <f t="shared" si="22"/>
        <v/>
      </c>
      <c r="G75" s="6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21"/>
      <c r="I75" s="22"/>
      <c r="J75" s="7"/>
      <c r="K75" s="7"/>
      <c r="L75" s="6" t="str">
        <f t="shared" si="23"/>
        <v/>
      </c>
      <c r="M75" s="22"/>
      <c r="N75" s="7"/>
      <c r="O75" s="7"/>
      <c r="P75" s="7"/>
      <c r="Q75" s="21"/>
      <c r="R75" s="21"/>
      <c r="S75" s="21"/>
      <c r="T75" s="21"/>
      <c r="U75" s="5" t="str">
        <f t="shared" si="24"/>
        <v/>
      </c>
      <c r="V75" s="5" t="str">
        <f t="shared" si="25"/>
        <v/>
      </c>
      <c r="W75" s="23" t="str">
        <f t="shared" si="26"/>
        <v/>
      </c>
      <c r="X75" s="3" t="str">
        <f t="shared" si="27"/>
        <v/>
      </c>
      <c r="Y75" s="5" t="str">
        <f t="shared" si="28"/>
        <v/>
      </c>
      <c r="Z75" s="5" t="str">
        <f>IF(OR(AE75="",多次统计数据!$B$8=""),"",AE75-多次统计数据!$B$8)</f>
        <v/>
      </c>
      <c r="AA75" s="8" t="str">
        <f t="shared" si="29"/>
        <v/>
      </c>
      <c r="AB75" s="5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21"/>
      <c r="AE75" s="5" t="str">
        <f t="shared" si="30"/>
        <v/>
      </c>
      <c r="AF75" s="40"/>
      <c r="AG75" s="21"/>
      <c r="AH75" s="21"/>
      <c r="AI75" s="21"/>
      <c r="AJ75" s="6" t="str">
        <f t="shared" si="31"/>
        <v/>
      </c>
      <c r="AK75" s="24" t="str">
        <f>IF(A75="","",COUNTIFS(加仓管理!$A$2:$A$1001,A75,加仓管理!$G$2:$G$1001,"&gt;0"))</f>
        <v/>
      </c>
      <c r="AL75" s="24" t="str">
        <f>IF(A75="","",SUMIFS(加仓管理!$G$2:$G$1001,加仓管理!$A$2:$A$1001,A75))</f>
        <v/>
      </c>
      <c r="AM75" s="25" t="str">
        <f>IF(AK75=0,"",IFERROR(LOOKUP(2,1/((加仓管理!$A$2:$A$1001=A75)*(加仓管理!$G$2:$G$1001&gt;0)),加仓管理!$D$2:$D$1001),""))</f>
        <v/>
      </c>
      <c r="AN75" s="25" t="str">
        <f>IF(AK75=0,"",IFERROR(LOOKUP(2,1/((加仓管理!$A$2:$A$1001=A75)*(加仓管理!$G$2:$G$1001&gt;0)),加仓管理!$E$2:$E$1001),""))</f>
        <v/>
      </c>
      <c r="AO75" s="25" t="str">
        <f>IF(OR(A75="",H75="",H75&lt;=0),"",(E75*H75+SUMIFS(加仓管理!$H$2:$H$1001,加仓管理!$A$2:$A$1001,A75))/AP75)</f>
        <v/>
      </c>
      <c r="AP75" s="24" t="str">
        <f t="shared" si="32"/>
        <v/>
      </c>
      <c r="AQ75" s="25" t="str">
        <f>IF(A75="","",IF(M75&lt;&gt;"",0,IF(OR(H75="",N75=""),"",MAX((E75*H75+SUMIFS(加仓管理!$H$2:$H$1001,加仓管理!$A$2:$A$1001,A75))-MAX(N75,AN75)*AP75,0))))</f>
        <v/>
      </c>
      <c r="AR75" s="25" t="str">
        <f ca="1"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ht="17" spans="1:44">
      <c r="A76" s="21"/>
      <c r="B76" s="10"/>
      <c r="C76" s="7"/>
      <c r="D76" s="4"/>
      <c r="E76" s="7"/>
      <c r="F76" s="6" t="str">
        <f t="shared" si="22"/>
        <v/>
      </c>
      <c r="G76" s="6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21"/>
      <c r="I76" s="22"/>
      <c r="J76" s="7"/>
      <c r="K76" s="7"/>
      <c r="L76" s="6" t="str">
        <f t="shared" si="23"/>
        <v/>
      </c>
      <c r="M76" s="22"/>
      <c r="N76" s="7"/>
      <c r="O76" s="7"/>
      <c r="P76" s="7"/>
      <c r="Q76" s="21"/>
      <c r="R76" s="21"/>
      <c r="S76" s="21"/>
      <c r="T76" s="21"/>
      <c r="U76" s="5" t="str">
        <f t="shared" si="24"/>
        <v/>
      </c>
      <c r="V76" s="5" t="str">
        <f t="shared" si="25"/>
        <v/>
      </c>
      <c r="W76" s="23" t="str">
        <f t="shared" si="26"/>
        <v/>
      </c>
      <c r="X76" s="3" t="str">
        <f t="shared" si="27"/>
        <v/>
      </c>
      <c r="Y76" s="5" t="str">
        <f t="shared" si="28"/>
        <v/>
      </c>
      <c r="Z76" s="5" t="str">
        <f>IF(OR(AE76="",多次统计数据!$B$8=""),"",AE76-多次统计数据!$B$8)</f>
        <v/>
      </c>
      <c r="AA76" s="8" t="str">
        <f t="shared" si="29"/>
        <v/>
      </c>
      <c r="AB76" s="5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21"/>
      <c r="AE76" s="5" t="str">
        <f t="shared" si="30"/>
        <v/>
      </c>
      <c r="AF76" s="40"/>
      <c r="AG76" s="21"/>
      <c r="AH76" s="21"/>
      <c r="AI76" s="21"/>
      <c r="AJ76" s="6" t="str">
        <f t="shared" si="31"/>
        <v/>
      </c>
      <c r="AK76" s="24" t="str">
        <f>IF(A76="","",COUNTIFS(加仓管理!$A$2:$A$1001,A76,加仓管理!$G$2:$G$1001,"&gt;0"))</f>
        <v/>
      </c>
      <c r="AL76" s="24" t="str">
        <f>IF(A76="","",SUMIFS(加仓管理!$G$2:$G$1001,加仓管理!$A$2:$A$1001,A76))</f>
        <v/>
      </c>
      <c r="AM76" s="25" t="str">
        <f>IF(AK76=0,"",IFERROR(LOOKUP(2,1/((加仓管理!$A$2:$A$1001=A76)*(加仓管理!$G$2:$G$1001&gt;0)),加仓管理!$D$2:$D$1001),""))</f>
        <v/>
      </c>
      <c r="AN76" s="25" t="str">
        <f>IF(AK76=0,"",IFERROR(LOOKUP(2,1/((加仓管理!$A$2:$A$1001=A76)*(加仓管理!$G$2:$G$1001&gt;0)),加仓管理!$E$2:$E$1001),""))</f>
        <v/>
      </c>
      <c r="AO76" s="25" t="str">
        <f>IF(OR(A76="",H76="",H76&lt;=0),"",(E76*H76+SUMIFS(加仓管理!$H$2:$H$1001,加仓管理!$A$2:$A$1001,A76))/AP76)</f>
        <v/>
      </c>
      <c r="AP76" s="24" t="str">
        <f t="shared" si="32"/>
        <v/>
      </c>
      <c r="AQ76" s="25" t="str">
        <f>IF(A76="","",IF(M76&lt;&gt;"",0,IF(OR(H76="",N76=""),"",MAX((E76*H76+SUMIFS(加仓管理!$H$2:$H$1001,加仓管理!$A$2:$A$1001,A76))-MAX(N76,AN76)*AP76,0))))</f>
        <v/>
      </c>
      <c r="AR76" s="25" t="str">
        <f ca="1"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ht="17" spans="1:44">
      <c r="A77" s="21"/>
      <c r="B77" s="10"/>
      <c r="C77" s="7"/>
      <c r="D77" s="4"/>
      <c r="E77" s="7"/>
      <c r="F77" s="6" t="str">
        <f t="shared" si="22"/>
        <v/>
      </c>
      <c r="G77" s="6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21"/>
      <c r="I77" s="22"/>
      <c r="J77" s="7"/>
      <c r="K77" s="7"/>
      <c r="L77" s="6" t="str">
        <f t="shared" si="23"/>
        <v/>
      </c>
      <c r="M77" s="22"/>
      <c r="N77" s="7"/>
      <c r="O77" s="7"/>
      <c r="P77" s="7"/>
      <c r="Q77" s="21"/>
      <c r="R77" s="21"/>
      <c r="S77" s="21"/>
      <c r="T77" s="21"/>
      <c r="U77" s="5" t="str">
        <f t="shared" si="24"/>
        <v/>
      </c>
      <c r="V77" s="5" t="str">
        <f t="shared" si="25"/>
        <v/>
      </c>
      <c r="W77" s="23" t="str">
        <f t="shared" si="26"/>
        <v/>
      </c>
      <c r="X77" s="3" t="str">
        <f t="shared" si="27"/>
        <v/>
      </c>
      <c r="Y77" s="5" t="str">
        <f t="shared" si="28"/>
        <v/>
      </c>
      <c r="Z77" s="5" t="str">
        <f>IF(OR(AE77="",多次统计数据!$B$8=""),"",AE77-多次统计数据!$B$8)</f>
        <v/>
      </c>
      <c r="AA77" s="8" t="str">
        <f t="shared" si="29"/>
        <v/>
      </c>
      <c r="AB77" s="5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21"/>
      <c r="AE77" s="5" t="str">
        <f t="shared" si="30"/>
        <v/>
      </c>
      <c r="AF77" s="40"/>
      <c r="AG77" s="21"/>
      <c r="AH77" s="21"/>
      <c r="AI77" s="21"/>
      <c r="AJ77" s="6" t="str">
        <f t="shared" si="31"/>
        <v/>
      </c>
      <c r="AK77" s="24" t="str">
        <f>IF(A77="","",COUNTIFS(加仓管理!$A$2:$A$1001,A77,加仓管理!$G$2:$G$1001,"&gt;0"))</f>
        <v/>
      </c>
      <c r="AL77" s="24" t="str">
        <f>IF(A77="","",SUMIFS(加仓管理!$G$2:$G$1001,加仓管理!$A$2:$A$1001,A77))</f>
        <v/>
      </c>
      <c r="AM77" s="25" t="str">
        <f>IF(AK77=0,"",IFERROR(LOOKUP(2,1/((加仓管理!$A$2:$A$1001=A77)*(加仓管理!$G$2:$G$1001&gt;0)),加仓管理!$D$2:$D$1001),""))</f>
        <v/>
      </c>
      <c r="AN77" s="25" t="str">
        <f>IF(AK77=0,"",IFERROR(LOOKUP(2,1/((加仓管理!$A$2:$A$1001=A77)*(加仓管理!$G$2:$G$1001&gt;0)),加仓管理!$E$2:$E$1001),""))</f>
        <v/>
      </c>
      <c r="AO77" s="25" t="str">
        <f>IF(OR(A77="",H77="",H77&lt;=0),"",(E77*H77+SUMIFS(加仓管理!$H$2:$H$1001,加仓管理!$A$2:$A$1001,A77))/AP77)</f>
        <v/>
      </c>
      <c r="AP77" s="24" t="str">
        <f t="shared" si="32"/>
        <v/>
      </c>
      <c r="AQ77" s="25" t="str">
        <f>IF(A77="","",IF(M77&lt;&gt;"",0,IF(OR(H77="",N77=""),"",MAX((E77*H77+SUMIFS(加仓管理!$H$2:$H$1001,加仓管理!$A$2:$A$1001,A77))-MAX(N77,AN77)*AP77,0))))</f>
        <v/>
      </c>
      <c r="AR77" s="25" t="str">
        <f ca="1"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ht="17" spans="1:44">
      <c r="A78" s="21"/>
      <c r="B78" s="21"/>
      <c r="C78" s="7"/>
      <c r="D78" s="4"/>
      <c r="E78" s="7"/>
      <c r="F78" s="6" t="str">
        <f t="shared" si="22"/>
        <v/>
      </c>
      <c r="G78" s="6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21"/>
      <c r="I78" s="22"/>
      <c r="J78" s="7"/>
      <c r="K78" s="7"/>
      <c r="L78" s="6" t="str">
        <f t="shared" si="23"/>
        <v/>
      </c>
      <c r="M78" s="22"/>
      <c r="N78" s="7"/>
      <c r="O78" s="7"/>
      <c r="P78" s="7"/>
      <c r="Q78" s="21"/>
      <c r="R78" s="21"/>
      <c r="S78" s="21"/>
      <c r="T78" s="21"/>
      <c r="U78" s="5" t="str">
        <f t="shared" si="24"/>
        <v/>
      </c>
      <c r="V78" s="5" t="str">
        <f t="shared" si="25"/>
        <v/>
      </c>
      <c r="W78" s="23" t="str">
        <f t="shared" si="26"/>
        <v/>
      </c>
      <c r="X78" s="3" t="str">
        <f t="shared" si="27"/>
        <v/>
      </c>
      <c r="Y78" s="5" t="str">
        <f t="shared" si="28"/>
        <v/>
      </c>
      <c r="Z78" s="5" t="str">
        <f>IF(OR(AE78="",多次统计数据!$B$8=""),"",AE78-多次统计数据!$B$8)</f>
        <v/>
      </c>
      <c r="AA78" s="8" t="str">
        <f t="shared" si="29"/>
        <v/>
      </c>
      <c r="AB78" s="5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21"/>
      <c r="AE78" s="5" t="str">
        <f t="shared" si="30"/>
        <v/>
      </c>
      <c r="AG78" s="21"/>
      <c r="AH78" s="21"/>
      <c r="AI78" s="21"/>
      <c r="AJ78" s="6" t="str">
        <f t="shared" si="31"/>
        <v/>
      </c>
      <c r="AK78" s="24" t="str">
        <f>IF(A78="","",COUNTIFS(加仓管理!$A$2:$A$1001,A78,加仓管理!$G$2:$G$1001,"&gt;0"))</f>
        <v/>
      </c>
      <c r="AL78" s="24" t="str">
        <f>IF(A78="","",SUMIFS(加仓管理!$G$2:$G$1001,加仓管理!$A$2:$A$1001,A78))</f>
        <v/>
      </c>
      <c r="AM78" s="25" t="str">
        <f>IF(AK78=0,"",IFERROR(LOOKUP(2,1/((加仓管理!$A$2:$A$1001=A78)*(加仓管理!$G$2:$G$1001&gt;0)),加仓管理!$D$2:$D$1001),""))</f>
        <v/>
      </c>
      <c r="AN78" s="25" t="str">
        <f>IF(AK78=0,"",IFERROR(LOOKUP(2,1/((加仓管理!$A$2:$A$1001=A78)*(加仓管理!$G$2:$G$1001&gt;0)),加仓管理!$E$2:$E$1001),""))</f>
        <v/>
      </c>
      <c r="AO78" s="25" t="str">
        <f>IF(OR(A78="",H78="",H78&lt;=0),"",(E78*H78+SUMIFS(加仓管理!$H$2:$H$1001,加仓管理!$A$2:$A$1001,A78))/AP78)</f>
        <v/>
      </c>
      <c r="AP78" s="24" t="str">
        <f t="shared" si="32"/>
        <v/>
      </c>
      <c r="AQ78" s="25" t="str">
        <f>IF(A78="","",IF(M78&lt;&gt;"",0,IF(OR(H78="",N78=""),"",MAX((E78*H78+SUMIFS(加仓管理!$H$2:$H$1001,加仓管理!$A$2:$A$1001,A78))-MAX(N78,AN78)*AP78,0))))</f>
        <v/>
      </c>
      <c r="AR78" s="25" t="str">
        <f ca="1"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ht="17" spans="1:44">
      <c r="A79" s="21"/>
      <c r="B79" s="21"/>
      <c r="C79" s="7"/>
      <c r="D79" s="4"/>
      <c r="E79" s="7"/>
      <c r="F79" s="6" t="str">
        <f t="shared" si="22"/>
        <v/>
      </c>
      <c r="G79" s="6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21"/>
      <c r="I79" s="22"/>
      <c r="J79" s="7"/>
      <c r="K79" s="7"/>
      <c r="L79" s="6" t="str">
        <f t="shared" si="23"/>
        <v/>
      </c>
      <c r="M79" s="22"/>
      <c r="N79" s="7"/>
      <c r="O79" s="7"/>
      <c r="P79" s="7"/>
      <c r="Q79" s="21"/>
      <c r="R79" s="21"/>
      <c r="S79" s="21"/>
      <c r="T79" s="21"/>
      <c r="U79" s="5" t="str">
        <f t="shared" si="24"/>
        <v/>
      </c>
      <c r="V79" s="5" t="str">
        <f t="shared" si="25"/>
        <v/>
      </c>
      <c r="W79" s="23" t="str">
        <f t="shared" si="26"/>
        <v/>
      </c>
      <c r="X79" s="3" t="str">
        <f t="shared" si="27"/>
        <v/>
      </c>
      <c r="Y79" s="5" t="str">
        <f t="shared" si="28"/>
        <v/>
      </c>
      <c r="Z79" s="5" t="str">
        <f>IF(OR(AE79="",多次统计数据!$B$8=""),"",AE79-多次统计数据!$B$8)</f>
        <v/>
      </c>
      <c r="AA79" s="8" t="str">
        <f t="shared" si="29"/>
        <v/>
      </c>
      <c r="AB79" s="5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21"/>
      <c r="AE79" s="5" t="str">
        <f t="shared" si="30"/>
        <v/>
      </c>
      <c r="AG79" s="21"/>
      <c r="AH79" s="21"/>
      <c r="AI79" s="21"/>
      <c r="AJ79" s="6" t="str">
        <f t="shared" si="31"/>
        <v/>
      </c>
      <c r="AK79" s="24" t="str">
        <f>IF(A79="","",COUNTIFS(加仓管理!$A$2:$A$1001,A79,加仓管理!$G$2:$G$1001,"&gt;0"))</f>
        <v/>
      </c>
      <c r="AL79" s="24" t="str">
        <f>IF(A79="","",SUMIFS(加仓管理!$G$2:$G$1001,加仓管理!$A$2:$A$1001,A79))</f>
        <v/>
      </c>
      <c r="AM79" s="25" t="str">
        <f>IF(AK79=0,"",IFERROR(LOOKUP(2,1/((加仓管理!$A$2:$A$1001=A79)*(加仓管理!$G$2:$G$1001&gt;0)),加仓管理!$D$2:$D$1001),""))</f>
        <v/>
      </c>
      <c r="AN79" s="25" t="str">
        <f>IF(AK79=0,"",IFERROR(LOOKUP(2,1/((加仓管理!$A$2:$A$1001=A79)*(加仓管理!$G$2:$G$1001&gt;0)),加仓管理!$E$2:$E$1001),""))</f>
        <v/>
      </c>
      <c r="AO79" s="25" t="str">
        <f>IF(OR(A79="",H79="",H79&lt;=0),"",(E79*H79+SUMIFS(加仓管理!$H$2:$H$1001,加仓管理!$A$2:$A$1001,A79))/AP79)</f>
        <v/>
      </c>
      <c r="AP79" s="24" t="str">
        <f t="shared" si="32"/>
        <v/>
      </c>
      <c r="AQ79" s="25" t="str">
        <f>IF(A79="","",IF(M79&lt;&gt;"",0,IF(OR(H79="",N79=""),"",MAX((E79*H79+SUMIFS(加仓管理!$H$2:$H$1001,加仓管理!$A$2:$A$1001,A79))-MAX(N79,AN79)*AP79,0))))</f>
        <v/>
      </c>
      <c r="AR79" s="25" t="str">
        <f ca="1"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ht="17" spans="1:44">
      <c r="A80" s="21"/>
      <c r="B80" s="21"/>
      <c r="C80" s="7"/>
      <c r="D80" s="4"/>
      <c r="E80" s="7"/>
      <c r="F80" s="6" t="str">
        <f t="shared" si="22"/>
        <v/>
      </c>
      <c r="G80" s="6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21"/>
      <c r="I80" s="22"/>
      <c r="J80" s="7"/>
      <c r="K80" s="7"/>
      <c r="L80" s="6" t="str">
        <f t="shared" si="23"/>
        <v/>
      </c>
      <c r="M80" s="22"/>
      <c r="N80" s="7"/>
      <c r="O80" s="7"/>
      <c r="P80" s="7"/>
      <c r="Q80" s="21"/>
      <c r="R80" s="21"/>
      <c r="S80" s="21"/>
      <c r="T80" s="21"/>
      <c r="U80" s="5" t="str">
        <f t="shared" si="24"/>
        <v/>
      </c>
      <c r="V80" s="5" t="str">
        <f t="shared" si="25"/>
        <v/>
      </c>
      <c r="W80" s="23" t="str">
        <f t="shared" si="26"/>
        <v/>
      </c>
      <c r="X80" s="3" t="str">
        <f t="shared" si="27"/>
        <v/>
      </c>
      <c r="Y80" s="5" t="str">
        <f t="shared" si="28"/>
        <v/>
      </c>
      <c r="Z80" s="5" t="str">
        <f>IF(OR(AE80="",多次统计数据!$B$8=""),"",AE80-多次统计数据!$B$8)</f>
        <v/>
      </c>
      <c r="AA80" s="8" t="str">
        <f t="shared" si="29"/>
        <v/>
      </c>
      <c r="AB80" s="5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21"/>
      <c r="AE80" s="5" t="str">
        <f t="shared" si="30"/>
        <v/>
      </c>
      <c r="AG80" s="21"/>
      <c r="AH80" s="21"/>
      <c r="AI80" s="21"/>
      <c r="AJ80" s="6" t="str">
        <f t="shared" si="31"/>
        <v/>
      </c>
      <c r="AK80" s="24" t="str">
        <f>IF(A80="","",COUNTIFS(加仓管理!$A$2:$A$1001,A80,加仓管理!$G$2:$G$1001,"&gt;0"))</f>
        <v/>
      </c>
      <c r="AL80" s="24" t="str">
        <f>IF(A80="","",SUMIFS(加仓管理!$G$2:$G$1001,加仓管理!$A$2:$A$1001,A80))</f>
        <v/>
      </c>
      <c r="AM80" s="25" t="str">
        <f>IF(AK80=0,"",IFERROR(LOOKUP(2,1/((加仓管理!$A$2:$A$1001=A80)*(加仓管理!$G$2:$G$1001&gt;0)),加仓管理!$D$2:$D$1001),""))</f>
        <v/>
      </c>
      <c r="AN80" s="25" t="str">
        <f>IF(AK80=0,"",IFERROR(LOOKUP(2,1/((加仓管理!$A$2:$A$1001=A80)*(加仓管理!$G$2:$G$1001&gt;0)),加仓管理!$E$2:$E$1001),""))</f>
        <v/>
      </c>
      <c r="AO80" s="25" t="str">
        <f>IF(OR(A80="",H80="",H80&lt;=0),"",(E80*H80+SUMIFS(加仓管理!$H$2:$H$1001,加仓管理!$A$2:$A$1001,A80))/AP80)</f>
        <v/>
      </c>
      <c r="AP80" s="24" t="str">
        <f t="shared" si="32"/>
        <v/>
      </c>
      <c r="AQ80" s="25" t="str">
        <f>IF(A80="","",IF(M80&lt;&gt;"",0,IF(OR(H80="",N80=""),"",MAX((E80*H80+SUMIFS(加仓管理!$H$2:$H$1001,加仓管理!$A$2:$A$1001,A80))-MAX(N80,AN80)*AP80,0))))</f>
        <v/>
      </c>
      <c r="AR80" s="25" t="str">
        <f ca="1"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ht="17" spans="1:44">
      <c r="A81" s="21"/>
      <c r="B81" s="21"/>
      <c r="C81" s="7"/>
      <c r="D81" s="4"/>
      <c r="E81" s="7"/>
      <c r="F81" s="6" t="str">
        <f t="shared" si="22"/>
        <v/>
      </c>
      <c r="G81" s="6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21"/>
      <c r="I81" s="22"/>
      <c r="J81" s="7"/>
      <c r="K81" s="7"/>
      <c r="L81" s="6" t="str">
        <f t="shared" si="23"/>
        <v/>
      </c>
      <c r="M81" s="22"/>
      <c r="N81" s="7"/>
      <c r="O81" s="7"/>
      <c r="P81" s="7"/>
      <c r="Q81" s="21"/>
      <c r="R81" s="21"/>
      <c r="S81" s="21"/>
      <c r="T81" s="21"/>
      <c r="U81" s="5" t="str">
        <f t="shared" si="24"/>
        <v/>
      </c>
      <c r="V81" s="5" t="str">
        <f t="shared" si="25"/>
        <v/>
      </c>
      <c r="W81" s="23" t="str">
        <f t="shared" si="26"/>
        <v/>
      </c>
      <c r="X81" s="3" t="str">
        <f t="shared" si="27"/>
        <v/>
      </c>
      <c r="Y81" s="5" t="str">
        <f t="shared" si="28"/>
        <v/>
      </c>
      <c r="Z81" s="5" t="str">
        <f>IF(OR(AE81="",多次统计数据!$B$8=""),"",AE81-多次统计数据!$B$8)</f>
        <v/>
      </c>
      <c r="AA81" s="8" t="str">
        <f t="shared" si="29"/>
        <v/>
      </c>
      <c r="AB81" s="5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21"/>
      <c r="AE81" s="5" t="str">
        <f t="shared" si="30"/>
        <v/>
      </c>
      <c r="AG81" s="21"/>
      <c r="AH81" s="21"/>
      <c r="AI81" s="21"/>
      <c r="AJ81" s="6" t="str">
        <f t="shared" si="31"/>
        <v/>
      </c>
      <c r="AK81" s="24" t="str">
        <f>IF(A81="","",COUNTIFS(加仓管理!$A$2:$A$1001,A81,加仓管理!$G$2:$G$1001,"&gt;0"))</f>
        <v/>
      </c>
      <c r="AL81" s="24" t="str">
        <f>IF(A81="","",SUMIFS(加仓管理!$G$2:$G$1001,加仓管理!$A$2:$A$1001,A81))</f>
        <v/>
      </c>
      <c r="AM81" s="25" t="str">
        <f>IF(AK81=0,"",IFERROR(LOOKUP(2,1/((加仓管理!$A$2:$A$1001=A81)*(加仓管理!$G$2:$G$1001&gt;0)),加仓管理!$D$2:$D$1001),""))</f>
        <v/>
      </c>
      <c r="AN81" s="25" t="str">
        <f>IF(AK81=0,"",IFERROR(LOOKUP(2,1/((加仓管理!$A$2:$A$1001=A81)*(加仓管理!$G$2:$G$1001&gt;0)),加仓管理!$E$2:$E$1001),""))</f>
        <v/>
      </c>
      <c r="AO81" s="25" t="str">
        <f>IF(OR(A81="",H81="",H81&lt;=0),"",(E81*H81+SUMIFS(加仓管理!$H$2:$H$1001,加仓管理!$A$2:$A$1001,A81))/AP81)</f>
        <v/>
      </c>
      <c r="AP81" s="24" t="str">
        <f t="shared" si="32"/>
        <v/>
      </c>
      <c r="AQ81" s="25" t="str">
        <f>IF(A81="","",IF(M81&lt;&gt;"",0,IF(OR(H81="",N81=""),"",MAX((E81*H81+SUMIFS(加仓管理!$H$2:$H$1001,加仓管理!$A$2:$A$1001,A81))-MAX(N81,AN81)*AP81,0))))</f>
        <v/>
      </c>
      <c r="AR81" s="25" t="str">
        <f ca="1"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ht="17" spans="1:44">
      <c r="A82" s="21"/>
      <c r="B82" s="21"/>
      <c r="C82" s="7"/>
      <c r="D82" s="4"/>
      <c r="E82" s="7"/>
      <c r="F82" s="6" t="str">
        <f t="shared" si="22"/>
        <v/>
      </c>
      <c r="G82" s="6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21"/>
      <c r="I82" s="22"/>
      <c r="J82" s="7"/>
      <c r="K82" s="7"/>
      <c r="L82" s="6" t="str">
        <f t="shared" si="23"/>
        <v/>
      </c>
      <c r="M82" s="22"/>
      <c r="N82" s="7"/>
      <c r="O82" s="7"/>
      <c r="P82" s="7"/>
      <c r="Q82" s="21"/>
      <c r="R82" s="21"/>
      <c r="S82" s="21"/>
      <c r="T82" s="21"/>
      <c r="U82" s="5" t="str">
        <f t="shared" si="24"/>
        <v/>
      </c>
      <c r="V82" s="5" t="str">
        <f t="shared" si="25"/>
        <v/>
      </c>
      <c r="W82" s="23" t="str">
        <f t="shared" si="26"/>
        <v/>
      </c>
      <c r="X82" s="3" t="str">
        <f t="shared" si="27"/>
        <v/>
      </c>
      <c r="Y82" s="5" t="str">
        <f t="shared" si="28"/>
        <v/>
      </c>
      <c r="Z82" s="5" t="str">
        <f>IF(OR(AE82="",多次统计数据!$B$8=""),"",AE82-多次统计数据!$B$8)</f>
        <v/>
      </c>
      <c r="AA82" s="8" t="str">
        <f t="shared" si="29"/>
        <v/>
      </c>
      <c r="AB82" s="5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21"/>
      <c r="AE82" s="5" t="str">
        <f t="shared" si="30"/>
        <v/>
      </c>
      <c r="AG82" s="21"/>
      <c r="AH82" s="21"/>
      <c r="AI82" s="21"/>
      <c r="AJ82" s="6" t="str">
        <f t="shared" si="31"/>
        <v/>
      </c>
      <c r="AK82" s="24" t="str">
        <f>IF(A82="","",COUNTIFS(加仓管理!$A$2:$A$1001,A82,加仓管理!$G$2:$G$1001,"&gt;0"))</f>
        <v/>
      </c>
      <c r="AL82" s="24" t="str">
        <f>IF(A82="","",SUMIFS(加仓管理!$G$2:$G$1001,加仓管理!$A$2:$A$1001,A82))</f>
        <v/>
      </c>
      <c r="AM82" s="25" t="str">
        <f>IF(AK82=0,"",IFERROR(LOOKUP(2,1/((加仓管理!$A$2:$A$1001=A82)*(加仓管理!$G$2:$G$1001&gt;0)),加仓管理!$D$2:$D$1001),""))</f>
        <v/>
      </c>
      <c r="AN82" s="25" t="str">
        <f>IF(AK82=0,"",IFERROR(LOOKUP(2,1/((加仓管理!$A$2:$A$1001=A82)*(加仓管理!$G$2:$G$1001&gt;0)),加仓管理!$E$2:$E$1001),""))</f>
        <v/>
      </c>
      <c r="AO82" s="25" t="str">
        <f>IF(OR(A82="",H82="",H82&lt;=0),"",(E82*H82+SUMIFS(加仓管理!$H$2:$H$1001,加仓管理!$A$2:$A$1001,A82))/AP82)</f>
        <v/>
      </c>
      <c r="AP82" s="24" t="str">
        <f t="shared" si="32"/>
        <v/>
      </c>
      <c r="AQ82" s="25" t="str">
        <f>IF(A82="","",IF(M82&lt;&gt;"",0,IF(OR(H82="",N82=""),"",MAX((E82*H82+SUMIFS(加仓管理!$H$2:$H$1001,加仓管理!$A$2:$A$1001,A82))-MAX(N82,AN82)*AP82,0))))</f>
        <v/>
      </c>
      <c r="AR82" s="25" t="str">
        <f ca="1"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ht="17" spans="1:44">
      <c r="A83" s="21"/>
      <c r="B83" s="21"/>
      <c r="C83" s="7"/>
      <c r="D83" s="4"/>
      <c r="E83" s="7"/>
      <c r="F83" s="6" t="str">
        <f t="shared" si="22"/>
        <v/>
      </c>
      <c r="G83" s="6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21"/>
      <c r="I83" s="22"/>
      <c r="J83" s="7"/>
      <c r="K83" s="7"/>
      <c r="L83" s="6" t="str">
        <f t="shared" si="23"/>
        <v/>
      </c>
      <c r="M83" s="22"/>
      <c r="N83" s="7"/>
      <c r="O83" s="7"/>
      <c r="P83" s="7"/>
      <c r="Q83" s="21"/>
      <c r="R83" s="21"/>
      <c r="S83" s="21"/>
      <c r="T83" s="21"/>
      <c r="U83" s="5" t="str">
        <f t="shared" si="24"/>
        <v/>
      </c>
      <c r="V83" s="5" t="str">
        <f t="shared" si="25"/>
        <v/>
      </c>
      <c r="W83" s="23" t="str">
        <f t="shared" si="26"/>
        <v/>
      </c>
      <c r="X83" s="3" t="str">
        <f t="shared" si="27"/>
        <v/>
      </c>
      <c r="Y83" s="5" t="str">
        <f t="shared" si="28"/>
        <v/>
      </c>
      <c r="Z83" s="5" t="str">
        <f>IF(OR(AE83="",多次统计数据!$B$8=""),"",AE83-多次统计数据!$B$8)</f>
        <v/>
      </c>
      <c r="AA83" s="8" t="str">
        <f t="shared" si="29"/>
        <v/>
      </c>
      <c r="AB83" s="5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21"/>
      <c r="AE83" s="5" t="str">
        <f t="shared" si="30"/>
        <v/>
      </c>
      <c r="AG83" s="21"/>
      <c r="AH83" s="21"/>
      <c r="AI83" s="21"/>
      <c r="AJ83" s="6" t="str">
        <f t="shared" si="31"/>
        <v/>
      </c>
      <c r="AK83" s="24" t="str">
        <f>IF(A83="","",COUNTIFS(加仓管理!$A$2:$A$1001,A83,加仓管理!$G$2:$G$1001,"&gt;0"))</f>
        <v/>
      </c>
      <c r="AL83" s="24" t="str">
        <f>IF(A83="","",SUMIFS(加仓管理!$G$2:$G$1001,加仓管理!$A$2:$A$1001,A83))</f>
        <v/>
      </c>
      <c r="AM83" s="25" t="str">
        <f>IF(AK83=0,"",IFERROR(LOOKUP(2,1/((加仓管理!$A$2:$A$1001=A83)*(加仓管理!$G$2:$G$1001&gt;0)),加仓管理!$D$2:$D$1001),""))</f>
        <v/>
      </c>
      <c r="AN83" s="25" t="str">
        <f>IF(AK83=0,"",IFERROR(LOOKUP(2,1/((加仓管理!$A$2:$A$1001=A83)*(加仓管理!$G$2:$G$1001&gt;0)),加仓管理!$E$2:$E$1001),""))</f>
        <v/>
      </c>
      <c r="AO83" s="25" t="str">
        <f>IF(OR(A83="",H83="",H83&lt;=0),"",(E83*H83+SUMIFS(加仓管理!$H$2:$H$1001,加仓管理!$A$2:$A$1001,A83))/AP83)</f>
        <v/>
      </c>
      <c r="AP83" s="24" t="str">
        <f t="shared" si="32"/>
        <v/>
      </c>
      <c r="AQ83" s="25" t="str">
        <f>IF(A83="","",IF(M83&lt;&gt;"",0,IF(OR(H83="",N83=""),"",MAX((E83*H83+SUMIFS(加仓管理!$H$2:$H$1001,加仓管理!$A$2:$A$1001,A83))-MAX(N83,AN83)*AP83,0))))</f>
        <v/>
      </c>
      <c r="AR83" s="25" t="str">
        <f ca="1"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ht="17" spans="1:44">
      <c r="A84" s="21"/>
      <c r="B84" s="21"/>
      <c r="C84" s="7"/>
      <c r="D84" s="4"/>
      <c r="E84" s="7"/>
      <c r="F84" s="6" t="str">
        <f t="shared" si="22"/>
        <v/>
      </c>
      <c r="G84" s="6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21"/>
      <c r="I84" s="22"/>
      <c r="J84" s="7"/>
      <c r="K84" s="7"/>
      <c r="L84" s="6" t="str">
        <f t="shared" si="23"/>
        <v/>
      </c>
      <c r="M84" s="22"/>
      <c r="N84" s="7"/>
      <c r="O84" s="7"/>
      <c r="P84" s="7"/>
      <c r="Q84" s="21"/>
      <c r="R84" s="21"/>
      <c r="S84" s="21"/>
      <c r="T84" s="21"/>
      <c r="U84" s="5" t="str">
        <f t="shared" si="24"/>
        <v/>
      </c>
      <c r="V84" s="5" t="str">
        <f t="shared" si="25"/>
        <v/>
      </c>
      <c r="W84" s="23" t="str">
        <f t="shared" si="26"/>
        <v/>
      </c>
      <c r="X84" s="3" t="str">
        <f t="shared" si="27"/>
        <v/>
      </c>
      <c r="Y84" s="5" t="str">
        <f t="shared" si="28"/>
        <v/>
      </c>
      <c r="Z84" s="5" t="str">
        <f>IF(OR(AE84="",多次统计数据!$B$8=""),"",AE84-多次统计数据!$B$8)</f>
        <v/>
      </c>
      <c r="AA84" s="8" t="str">
        <f t="shared" si="29"/>
        <v/>
      </c>
      <c r="AB84" s="5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21"/>
      <c r="AE84" s="5" t="str">
        <f t="shared" si="30"/>
        <v/>
      </c>
      <c r="AG84" s="21"/>
      <c r="AH84" s="21"/>
      <c r="AI84" s="21"/>
      <c r="AJ84" s="6" t="str">
        <f t="shared" si="31"/>
        <v/>
      </c>
      <c r="AK84" s="24" t="str">
        <f>IF(A84="","",COUNTIFS(加仓管理!$A$2:$A$1001,A84,加仓管理!$G$2:$G$1001,"&gt;0"))</f>
        <v/>
      </c>
      <c r="AL84" s="24" t="str">
        <f>IF(A84="","",SUMIFS(加仓管理!$G$2:$G$1001,加仓管理!$A$2:$A$1001,A84))</f>
        <v/>
      </c>
      <c r="AM84" s="25" t="str">
        <f>IF(AK84=0,"",IFERROR(LOOKUP(2,1/((加仓管理!$A$2:$A$1001=A84)*(加仓管理!$G$2:$G$1001&gt;0)),加仓管理!$D$2:$D$1001),""))</f>
        <v/>
      </c>
      <c r="AN84" s="25" t="str">
        <f>IF(AK84=0,"",IFERROR(LOOKUP(2,1/((加仓管理!$A$2:$A$1001=A84)*(加仓管理!$G$2:$G$1001&gt;0)),加仓管理!$E$2:$E$1001),""))</f>
        <v/>
      </c>
      <c r="AO84" s="25" t="str">
        <f>IF(OR(A84="",H84="",H84&lt;=0),"",(E84*H84+SUMIFS(加仓管理!$H$2:$H$1001,加仓管理!$A$2:$A$1001,A84))/AP84)</f>
        <v/>
      </c>
      <c r="AP84" s="24" t="str">
        <f t="shared" si="32"/>
        <v/>
      </c>
      <c r="AQ84" s="25" t="str">
        <f>IF(A84="","",IF(M84&lt;&gt;"",0,IF(OR(H84="",N84=""),"",MAX((E84*H84+SUMIFS(加仓管理!$H$2:$H$1001,加仓管理!$A$2:$A$1001,A84))-MAX(N84,AN84)*AP84,0))))</f>
        <v/>
      </c>
      <c r="AR84" s="25" t="str">
        <f ca="1"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ht="17" spans="1:44">
      <c r="A85" s="21"/>
      <c r="B85" s="21"/>
      <c r="C85" s="7"/>
      <c r="D85" s="4"/>
      <c r="E85" s="7"/>
      <c r="F85" s="6" t="str">
        <f t="shared" si="22"/>
        <v/>
      </c>
      <c r="G85" s="6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21"/>
      <c r="I85" s="22"/>
      <c r="J85" s="7"/>
      <c r="K85" s="7"/>
      <c r="L85" s="6" t="str">
        <f t="shared" si="23"/>
        <v/>
      </c>
      <c r="M85" s="22"/>
      <c r="N85" s="7"/>
      <c r="O85" s="7"/>
      <c r="P85" s="7"/>
      <c r="Q85" s="21"/>
      <c r="R85" s="21"/>
      <c r="S85" s="21"/>
      <c r="T85" s="21"/>
      <c r="U85" s="5" t="str">
        <f t="shared" si="24"/>
        <v/>
      </c>
      <c r="V85" s="5" t="str">
        <f t="shared" si="25"/>
        <v/>
      </c>
      <c r="W85" s="23" t="str">
        <f t="shared" si="26"/>
        <v/>
      </c>
      <c r="X85" s="3" t="str">
        <f t="shared" si="27"/>
        <v/>
      </c>
      <c r="Y85" s="5" t="str">
        <f t="shared" si="28"/>
        <v/>
      </c>
      <c r="Z85" s="5" t="str">
        <f>IF(OR(AE85="",多次统计数据!$B$8=""),"",AE85-多次统计数据!$B$8)</f>
        <v/>
      </c>
      <c r="AA85" s="8" t="str">
        <f t="shared" si="29"/>
        <v/>
      </c>
      <c r="AB85" s="5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21"/>
      <c r="AE85" s="5" t="str">
        <f t="shared" si="30"/>
        <v/>
      </c>
      <c r="AG85" s="21"/>
      <c r="AH85" s="21"/>
      <c r="AI85" s="21"/>
      <c r="AJ85" s="6" t="str">
        <f t="shared" si="31"/>
        <v/>
      </c>
      <c r="AK85" s="24" t="str">
        <f>IF(A85="","",COUNTIFS(加仓管理!$A$2:$A$1001,A85,加仓管理!$G$2:$G$1001,"&gt;0"))</f>
        <v/>
      </c>
      <c r="AL85" s="24" t="str">
        <f>IF(A85="","",SUMIFS(加仓管理!$G$2:$G$1001,加仓管理!$A$2:$A$1001,A85))</f>
        <v/>
      </c>
      <c r="AM85" s="25" t="str">
        <f>IF(AK85=0,"",IFERROR(LOOKUP(2,1/((加仓管理!$A$2:$A$1001=A85)*(加仓管理!$G$2:$G$1001&gt;0)),加仓管理!$D$2:$D$1001),""))</f>
        <v/>
      </c>
      <c r="AN85" s="25" t="str">
        <f>IF(AK85=0,"",IFERROR(LOOKUP(2,1/((加仓管理!$A$2:$A$1001=A85)*(加仓管理!$G$2:$G$1001&gt;0)),加仓管理!$E$2:$E$1001),""))</f>
        <v/>
      </c>
      <c r="AO85" s="25" t="str">
        <f>IF(OR(A85="",H85="",H85&lt;=0),"",(E85*H85+SUMIFS(加仓管理!$H$2:$H$1001,加仓管理!$A$2:$A$1001,A85))/AP85)</f>
        <v/>
      </c>
      <c r="AP85" s="24" t="str">
        <f t="shared" si="32"/>
        <v/>
      </c>
      <c r="AQ85" s="25" t="str">
        <f>IF(A85="","",IF(M85&lt;&gt;"",0,IF(OR(H85="",N85=""),"",MAX((E85*H85+SUMIFS(加仓管理!$H$2:$H$1001,加仓管理!$A$2:$A$1001,A85))-MAX(N85,AN85)*AP85,0))))</f>
        <v/>
      </c>
      <c r="AR85" s="25" t="str">
        <f ca="1"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ht="17" spans="1:44">
      <c r="A86" s="21"/>
      <c r="B86" s="21"/>
      <c r="C86" s="7"/>
      <c r="D86" s="4"/>
      <c r="E86" s="7"/>
      <c r="F86" s="6" t="str">
        <f t="shared" si="22"/>
        <v/>
      </c>
      <c r="G86" s="6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21"/>
      <c r="I86" s="22"/>
      <c r="J86" s="7"/>
      <c r="K86" s="7"/>
      <c r="L86" s="6" t="str">
        <f t="shared" si="23"/>
        <v/>
      </c>
      <c r="M86" s="22"/>
      <c r="N86" s="7"/>
      <c r="O86" s="7"/>
      <c r="P86" s="7"/>
      <c r="Q86" s="21"/>
      <c r="R86" s="21"/>
      <c r="S86" s="21"/>
      <c r="T86" s="21"/>
      <c r="U86" s="5" t="str">
        <f t="shared" si="24"/>
        <v/>
      </c>
      <c r="V86" s="5" t="str">
        <f t="shared" si="25"/>
        <v/>
      </c>
      <c r="W86" s="23" t="str">
        <f t="shared" si="26"/>
        <v/>
      </c>
      <c r="X86" s="3" t="str">
        <f t="shared" si="27"/>
        <v/>
      </c>
      <c r="Y86" s="5" t="str">
        <f t="shared" si="28"/>
        <v/>
      </c>
      <c r="Z86" s="5" t="str">
        <f>IF(OR(AE86="",多次统计数据!$B$8=""),"",AE86-多次统计数据!$B$8)</f>
        <v/>
      </c>
      <c r="AA86" s="8" t="str">
        <f t="shared" si="29"/>
        <v/>
      </c>
      <c r="AB86" s="5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21"/>
      <c r="AE86" s="5" t="str">
        <f t="shared" si="30"/>
        <v/>
      </c>
      <c r="AG86" s="21"/>
      <c r="AH86" s="21"/>
      <c r="AI86" s="21"/>
      <c r="AJ86" s="6" t="str">
        <f t="shared" si="31"/>
        <v/>
      </c>
      <c r="AK86" s="24" t="str">
        <f>IF(A86="","",COUNTIFS(加仓管理!$A$2:$A$1001,A86,加仓管理!$G$2:$G$1001,"&gt;0"))</f>
        <v/>
      </c>
      <c r="AL86" s="24" t="str">
        <f>IF(A86="","",SUMIFS(加仓管理!$G$2:$G$1001,加仓管理!$A$2:$A$1001,A86))</f>
        <v/>
      </c>
      <c r="AM86" s="25" t="str">
        <f>IF(AK86=0,"",IFERROR(LOOKUP(2,1/((加仓管理!$A$2:$A$1001=A86)*(加仓管理!$G$2:$G$1001&gt;0)),加仓管理!$D$2:$D$1001),""))</f>
        <v/>
      </c>
      <c r="AN86" s="25" t="str">
        <f>IF(AK86=0,"",IFERROR(LOOKUP(2,1/((加仓管理!$A$2:$A$1001=A86)*(加仓管理!$G$2:$G$1001&gt;0)),加仓管理!$E$2:$E$1001),""))</f>
        <v/>
      </c>
      <c r="AO86" s="25" t="str">
        <f>IF(OR(A86="",H86="",H86&lt;=0),"",(E86*H86+SUMIFS(加仓管理!$H$2:$H$1001,加仓管理!$A$2:$A$1001,A86))/AP86)</f>
        <v/>
      </c>
      <c r="AP86" s="24" t="str">
        <f t="shared" si="32"/>
        <v/>
      </c>
      <c r="AQ86" s="25" t="str">
        <f>IF(A86="","",IF(M86&lt;&gt;"",0,IF(OR(H86="",N86=""),"",MAX((E86*H86+SUMIFS(加仓管理!$H$2:$H$1001,加仓管理!$A$2:$A$1001,A86))-MAX(N86,AN86)*AP86,0))))</f>
        <v/>
      </c>
      <c r="AR86" s="25" t="str">
        <f ca="1"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ht="17" spans="1:44">
      <c r="A87" s="21"/>
      <c r="B87" s="21"/>
      <c r="C87" s="7"/>
      <c r="D87" s="4"/>
      <c r="E87" s="7"/>
      <c r="F87" s="6" t="str">
        <f t="shared" si="22"/>
        <v/>
      </c>
      <c r="G87" s="6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21"/>
      <c r="I87" s="22"/>
      <c r="J87" s="7"/>
      <c r="K87" s="7"/>
      <c r="L87" s="6" t="str">
        <f t="shared" si="23"/>
        <v/>
      </c>
      <c r="M87" s="22"/>
      <c r="N87" s="7"/>
      <c r="O87" s="7"/>
      <c r="P87" s="7"/>
      <c r="Q87" s="21"/>
      <c r="R87" s="21"/>
      <c r="S87" s="21"/>
      <c r="T87" s="21"/>
      <c r="U87" s="5" t="str">
        <f t="shared" si="24"/>
        <v/>
      </c>
      <c r="V87" s="5" t="str">
        <f t="shared" si="25"/>
        <v/>
      </c>
      <c r="W87" s="23" t="str">
        <f t="shared" si="26"/>
        <v/>
      </c>
      <c r="X87" s="3" t="str">
        <f t="shared" si="27"/>
        <v/>
      </c>
      <c r="Y87" s="5" t="str">
        <f t="shared" si="28"/>
        <v/>
      </c>
      <c r="Z87" s="5" t="str">
        <f>IF(OR(AE87="",多次统计数据!$B$8=""),"",AE87-多次统计数据!$B$8)</f>
        <v/>
      </c>
      <c r="AA87" s="8" t="str">
        <f t="shared" si="29"/>
        <v/>
      </c>
      <c r="AB87" s="5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21"/>
      <c r="AE87" s="5" t="str">
        <f t="shared" si="30"/>
        <v/>
      </c>
      <c r="AG87" s="21"/>
      <c r="AH87" s="21"/>
      <c r="AI87" s="21"/>
      <c r="AJ87" s="6" t="str">
        <f t="shared" si="31"/>
        <v/>
      </c>
      <c r="AK87" s="24" t="str">
        <f>IF(A87="","",COUNTIFS(加仓管理!$A$2:$A$1001,A87,加仓管理!$G$2:$G$1001,"&gt;0"))</f>
        <v/>
      </c>
      <c r="AL87" s="24" t="str">
        <f>IF(A87="","",SUMIFS(加仓管理!$G$2:$G$1001,加仓管理!$A$2:$A$1001,A87))</f>
        <v/>
      </c>
      <c r="AM87" s="25" t="str">
        <f>IF(AK87=0,"",IFERROR(LOOKUP(2,1/((加仓管理!$A$2:$A$1001=A87)*(加仓管理!$G$2:$G$1001&gt;0)),加仓管理!$D$2:$D$1001),""))</f>
        <v/>
      </c>
      <c r="AN87" s="25" t="str">
        <f>IF(AK87=0,"",IFERROR(LOOKUP(2,1/((加仓管理!$A$2:$A$1001=A87)*(加仓管理!$G$2:$G$1001&gt;0)),加仓管理!$E$2:$E$1001),""))</f>
        <v/>
      </c>
      <c r="AO87" s="25" t="str">
        <f>IF(OR(A87="",H87="",H87&lt;=0),"",(E87*H87+SUMIFS(加仓管理!$H$2:$H$1001,加仓管理!$A$2:$A$1001,A87))/AP87)</f>
        <v/>
      </c>
      <c r="AP87" s="24" t="str">
        <f t="shared" si="32"/>
        <v/>
      </c>
      <c r="AQ87" s="25" t="str">
        <f>IF(A87="","",IF(M87&lt;&gt;"",0,IF(OR(H87="",N87=""),"",MAX((E87*H87+SUMIFS(加仓管理!$H$2:$H$1001,加仓管理!$A$2:$A$1001,A87))-MAX(N87,AN87)*AP87,0))))</f>
        <v/>
      </c>
      <c r="AR87" s="25" t="str">
        <f ca="1"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ht="17" spans="1:44">
      <c r="A88" s="21"/>
      <c r="B88" s="21"/>
      <c r="C88" s="7"/>
      <c r="D88" s="4"/>
      <c r="E88" s="7"/>
      <c r="F88" s="6" t="str">
        <f t="shared" si="22"/>
        <v/>
      </c>
      <c r="G88" s="6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21"/>
      <c r="I88" s="22"/>
      <c r="J88" s="7"/>
      <c r="K88" s="7"/>
      <c r="L88" s="6" t="str">
        <f t="shared" si="23"/>
        <v/>
      </c>
      <c r="M88" s="22"/>
      <c r="N88" s="7"/>
      <c r="O88" s="7"/>
      <c r="P88" s="7"/>
      <c r="Q88" s="21"/>
      <c r="R88" s="21"/>
      <c r="S88" s="21"/>
      <c r="T88" s="21"/>
      <c r="U88" s="5" t="str">
        <f t="shared" si="24"/>
        <v/>
      </c>
      <c r="V88" s="5" t="str">
        <f t="shared" si="25"/>
        <v/>
      </c>
      <c r="W88" s="23" t="str">
        <f t="shared" si="26"/>
        <v/>
      </c>
      <c r="X88" s="3" t="str">
        <f t="shared" si="27"/>
        <v/>
      </c>
      <c r="Y88" s="5" t="str">
        <f t="shared" si="28"/>
        <v/>
      </c>
      <c r="Z88" s="5" t="str">
        <f>IF(OR(AE88="",多次统计数据!$B$8=""),"",AE88-多次统计数据!$B$8)</f>
        <v/>
      </c>
      <c r="AA88" s="8" t="str">
        <f t="shared" si="29"/>
        <v/>
      </c>
      <c r="AB88" s="5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21"/>
      <c r="AE88" s="5" t="str">
        <f t="shared" si="30"/>
        <v/>
      </c>
      <c r="AG88" s="21"/>
      <c r="AH88" s="21"/>
      <c r="AI88" s="21"/>
      <c r="AJ88" s="6" t="str">
        <f t="shared" si="31"/>
        <v/>
      </c>
      <c r="AK88" s="24" t="str">
        <f>IF(A88="","",COUNTIFS(加仓管理!$A$2:$A$1001,A88,加仓管理!$G$2:$G$1001,"&gt;0"))</f>
        <v/>
      </c>
      <c r="AL88" s="24" t="str">
        <f>IF(A88="","",SUMIFS(加仓管理!$G$2:$G$1001,加仓管理!$A$2:$A$1001,A88))</f>
        <v/>
      </c>
      <c r="AM88" s="25" t="str">
        <f>IF(AK88=0,"",IFERROR(LOOKUP(2,1/((加仓管理!$A$2:$A$1001=A88)*(加仓管理!$G$2:$G$1001&gt;0)),加仓管理!$D$2:$D$1001),""))</f>
        <v/>
      </c>
      <c r="AN88" s="25" t="str">
        <f>IF(AK88=0,"",IFERROR(LOOKUP(2,1/((加仓管理!$A$2:$A$1001=A88)*(加仓管理!$G$2:$G$1001&gt;0)),加仓管理!$E$2:$E$1001),""))</f>
        <v/>
      </c>
      <c r="AO88" s="25" t="str">
        <f>IF(OR(A88="",H88="",H88&lt;=0),"",(E88*H88+SUMIFS(加仓管理!$H$2:$H$1001,加仓管理!$A$2:$A$1001,A88))/AP88)</f>
        <v/>
      </c>
      <c r="AP88" s="24" t="str">
        <f t="shared" si="32"/>
        <v/>
      </c>
      <c r="AQ88" s="25" t="str">
        <f>IF(A88="","",IF(M88&lt;&gt;"",0,IF(OR(H88="",N88=""),"",MAX((E88*H88+SUMIFS(加仓管理!$H$2:$H$1001,加仓管理!$A$2:$A$1001,A88))-MAX(N88,AN88)*AP88,0))))</f>
        <v/>
      </c>
      <c r="AR88" s="25" t="str">
        <f ca="1"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ht="17" spans="1:44">
      <c r="A89" s="21"/>
      <c r="B89" s="21"/>
      <c r="C89" s="7"/>
      <c r="D89" s="4"/>
      <c r="E89" s="7"/>
      <c r="F89" s="6" t="str">
        <f t="shared" si="22"/>
        <v/>
      </c>
      <c r="G89" s="6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21"/>
      <c r="I89" s="22"/>
      <c r="J89" s="7"/>
      <c r="K89" s="7"/>
      <c r="L89" s="6" t="str">
        <f t="shared" si="23"/>
        <v/>
      </c>
      <c r="M89" s="22"/>
      <c r="N89" s="7"/>
      <c r="O89" s="7"/>
      <c r="P89" s="7"/>
      <c r="Q89" s="21"/>
      <c r="R89" s="21"/>
      <c r="S89" s="21"/>
      <c r="T89" s="21"/>
      <c r="U89" s="5" t="str">
        <f t="shared" si="24"/>
        <v/>
      </c>
      <c r="V89" s="5" t="str">
        <f t="shared" si="25"/>
        <v/>
      </c>
      <c r="W89" s="23" t="str">
        <f t="shared" si="26"/>
        <v/>
      </c>
      <c r="X89" s="3" t="str">
        <f t="shared" si="27"/>
        <v/>
      </c>
      <c r="Y89" s="5" t="str">
        <f t="shared" si="28"/>
        <v/>
      </c>
      <c r="Z89" s="5" t="str">
        <f>IF(OR(AE89="",多次统计数据!$B$8=""),"",AE89-多次统计数据!$B$8)</f>
        <v/>
      </c>
      <c r="AA89" s="8" t="str">
        <f t="shared" si="29"/>
        <v/>
      </c>
      <c r="AB89" s="5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21"/>
      <c r="AE89" s="5" t="str">
        <f t="shared" si="30"/>
        <v/>
      </c>
      <c r="AG89" s="21"/>
      <c r="AH89" s="21"/>
      <c r="AI89" s="21"/>
      <c r="AJ89" s="6" t="str">
        <f t="shared" si="31"/>
        <v/>
      </c>
      <c r="AK89" s="24" t="str">
        <f>IF(A89="","",COUNTIFS(加仓管理!$A$2:$A$1001,A89,加仓管理!$G$2:$G$1001,"&gt;0"))</f>
        <v/>
      </c>
      <c r="AL89" s="24" t="str">
        <f>IF(A89="","",SUMIFS(加仓管理!$G$2:$G$1001,加仓管理!$A$2:$A$1001,A89))</f>
        <v/>
      </c>
      <c r="AM89" s="25" t="str">
        <f>IF(AK89=0,"",IFERROR(LOOKUP(2,1/((加仓管理!$A$2:$A$1001=A89)*(加仓管理!$G$2:$G$1001&gt;0)),加仓管理!$D$2:$D$1001),""))</f>
        <v/>
      </c>
      <c r="AN89" s="25" t="str">
        <f>IF(AK89=0,"",IFERROR(LOOKUP(2,1/((加仓管理!$A$2:$A$1001=A89)*(加仓管理!$G$2:$G$1001&gt;0)),加仓管理!$E$2:$E$1001),""))</f>
        <v/>
      </c>
      <c r="AO89" s="25" t="str">
        <f>IF(OR(A89="",H89="",H89&lt;=0),"",(E89*H89+SUMIFS(加仓管理!$H$2:$H$1001,加仓管理!$A$2:$A$1001,A89))/AP89)</f>
        <v/>
      </c>
      <c r="AP89" s="24" t="str">
        <f t="shared" si="32"/>
        <v/>
      </c>
      <c r="AQ89" s="25" t="str">
        <f>IF(A89="","",IF(M89&lt;&gt;"",0,IF(OR(H89="",N89=""),"",MAX((E89*H89+SUMIFS(加仓管理!$H$2:$H$1001,加仓管理!$A$2:$A$1001,A89))-MAX(N89,AN89)*AP89,0))))</f>
        <v/>
      </c>
      <c r="AR89" s="25" t="str">
        <f ca="1"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ht="17" spans="1:44">
      <c r="A90" s="21"/>
      <c r="B90" s="21"/>
      <c r="C90" s="7"/>
      <c r="D90" s="4"/>
      <c r="E90" s="7"/>
      <c r="F90" s="6" t="str">
        <f t="shared" si="22"/>
        <v/>
      </c>
      <c r="G90" s="6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21"/>
      <c r="I90" s="22"/>
      <c r="J90" s="7"/>
      <c r="K90" s="7"/>
      <c r="L90" s="6" t="str">
        <f t="shared" si="23"/>
        <v/>
      </c>
      <c r="M90" s="22"/>
      <c r="N90" s="7"/>
      <c r="O90" s="7"/>
      <c r="P90" s="7"/>
      <c r="Q90" s="21"/>
      <c r="R90" s="21"/>
      <c r="S90" s="21"/>
      <c r="T90" s="21"/>
      <c r="U90" s="5" t="str">
        <f t="shared" si="24"/>
        <v/>
      </c>
      <c r="V90" s="5" t="str">
        <f t="shared" si="25"/>
        <v/>
      </c>
      <c r="W90" s="23" t="str">
        <f t="shared" si="26"/>
        <v/>
      </c>
      <c r="X90" s="3" t="str">
        <f t="shared" si="27"/>
        <v/>
      </c>
      <c r="Y90" s="5" t="str">
        <f t="shared" si="28"/>
        <v/>
      </c>
      <c r="Z90" s="5" t="str">
        <f>IF(OR(AE90="",多次统计数据!$B$8=""),"",AE90-多次统计数据!$B$8)</f>
        <v/>
      </c>
      <c r="AA90" s="8" t="str">
        <f t="shared" si="29"/>
        <v/>
      </c>
      <c r="AB90" s="5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21"/>
      <c r="AE90" s="5" t="str">
        <f t="shared" si="30"/>
        <v/>
      </c>
      <c r="AG90" s="21"/>
      <c r="AH90" s="21"/>
      <c r="AI90" s="21"/>
      <c r="AJ90" s="6" t="str">
        <f t="shared" si="31"/>
        <v/>
      </c>
      <c r="AK90" s="24" t="str">
        <f>IF(A90="","",COUNTIFS(加仓管理!$A$2:$A$1001,A90,加仓管理!$G$2:$G$1001,"&gt;0"))</f>
        <v/>
      </c>
      <c r="AL90" s="24" t="str">
        <f>IF(A90="","",SUMIFS(加仓管理!$G$2:$G$1001,加仓管理!$A$2:$A$1001,A90))</f>
        <v/>
      </c>
      <c r="AM90" s="25" t="str">
        <f>IF(AK90=0,"",IFERROR(LOOKUP(2,1/((加仓管理!$A$2:$A$1001=A90)*(加仓管理!$G$2:$G$1001&gt;0)),加仓管理!$D$2:$D$1001),""))</f>
        <v/>
      </c>
      <c r="AN90" s="25" t="str">
        <f>IF(AK90=0,"",IFERROR(LOOKUP(2,1/((加仓管理!$A$2:$A$1001=A90)*(加仓管理!$G$2:$G$1001&gt;0)),加仓管理!$E$2:$E$1001),""))</f>
        <v/>
      </c>
      <c r="AO90" s="25" t="str">
        <f>IF(OR(A90="",H90="",H90&lt;=0),"",(E90*H90+SUMIFS(加仓管理!$H$2:$H$1001,加仓管理!$A$2:$A$1001,A90))/AP90)</f>
        <v/>
      </c>
      <c r="AP90" s="24" t="str">
        <f t="shared" si="32"/>
        <v/>
      </c>
      <c r="AQ90" s="25" t="str">
        <f>IF(A90="","",IF(M90&lt;&gt;"",0,IF(OR(H90="",N90=""),"",MAX((E90*H90+SUMIFS(加仓管理!$H$2:$H$1001,加仓管理!$A$2:$A$1001,A90))-MAX(N90,AN90)*AP90,0))))</f>
        <v/>
      </c>
      <c r="AR90" s="25" t="str">
        <f ca="1"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ht="17" spans="1:44">
      <c r="A91" s="21"/>
      <c r="B91" s="21"/>
      <c r="C91" s="7"/>
      <c r="D91" s="4"/>
      <c r="E91" s="7"/>
      <c r="F91" s="6" t="str">
        <f t="shared" si="22"/>
        <v/>
      </c>
      <c r="G91" s="6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21"/>
      <c r="I91" s="22"/>
      <c r="J91" s="7"/>
      <c r="K91" s="7"/>
      <c r="L91" s="6" t="str">
        <f t="shared" si="23"/>
        <v/>
      </c>
      <c r="M91" s="22"/>
      <c r="N91" s="7"/>
      <c r="O91" s="7"/>
      <c r="P91" s="7"/>
      <c r="Q91" s="21"/>
      <c r="R91" s="21"/>
      <c r="S91" s="21"/>
      <c r="T91" s="21"/>
      <c r="U91" s="5" t="str">
        <f t="shared" si="24"/>
        <v/>
      </c>
      <c r="V91" s="5" t="str">
        <f t="shared" si="25"/>
        <v/>
      </c>
      <c r="W91" s="23" t="str">
        <f t="shared" si="26"/>
        <v/>
      </c>
      <c r="X91" s="3" t="str">
        <f t="shared" si="27"/>
        <v/>
      </c>
      <c r="Y91" s="5" t="str">
        <f t="shared" si="28"/>
        <v/>
      </c>
      <c r="Z91" s="5" t="str">
        <f>IF(OR(AE91="",多次统计数据!$B$8=""),"",AE91-多次统计数据!$B$8)</f>
        <v/>
      </c>
      <c r="AA91" s="8" t="str">
        <f t="shared" si="29"/>
        <v/>
      </c>
      <c r="AB91" s="5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21"/>
      <c r="AE91" s="5" t="str">
        <f t="shared" si="30"/>
        <v/>
      </c>
      <c r="AG91" s="21"/>
      <c r="AH91" s="21"/>
      <c r="AI91" s="21"/>
      <c r="AJ91" s="6" t="str">
        <f t="shared" si="31"/>
        <v/>
      </c>
      <c r="AK91" s="24" t="str">
        <f>IF(A91="","",COUNTIFS(加仓管理!$A$2:$A$1001,A91,加仓管理!$G$2:$G$1001,"&gt;0"))</f>
        <v/>
      </c>
      <c r="AL91" s="24" t="str">
        <f>IF(A91="","",SUMIFS(加仓管理!$G$2:$G$1001,加仓管理!$A$2:$A$1001,A91))</f>
        <v/>
      </c>
      <c r="AM91" s="25" t="str">
        <f>IF(AK91=0,"",IFERROR(LOOKUP(2,1/((加仓管理!$A$2:$A$1001=A91)*(加仓管理!$G$2:$G$1001&gt;0)),加仓管理!$D$2:$D$1001),""))</f>
        <v/>
      </c>
      <c r="AN91" s="25" t="str">
        <f>IF(AK91=0,"",IFERROR(LOOKUP(2,1/((加仓管理!$A$2:$A$1001=A91)*(加仓管理!$G$2:$G$1001&gt;0)),加仓管理!$E$2:$E$1001),""))</f>
        <v/>
      </c>
      <c r="AO91" s="25" t="str">
        <f>IF(OR(A91="",H91="",H91&lt;=0),"",(E91*H91+SUMIFS(加仓管理!$H$2:$H$1001,加仓管理!$A$2:$A$1001,A91))/AP91)</f>
        <v/>
      </c>
      <c r="AP91" s="24" t="str">
        <f t="shared" si="32"/>
        <v/>
      </c>
      <c r="AQ91" s="25" t="str">
        <f>IF(A91="","",IF(M91&lt;&gt;"",0,IF(OR(H91="",N91=""),"",MAX((E91*H91+SUMIFS(加仓管理!$H$2:$H$1001,加仓管理!$A$2:$A$1001,A91))-MAX(N91,AN91)*AP91,0))))</f>
        <v/>
      </c>
      <c r="AR91" s="25" t="str">
        <f ca="1"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ht="17" spans="1:44">
      <c r="A92" s="21"/>
      <c r="B92" s="21"/>
      <c r="C92" s="7"/>
      <c r="D92" s="4"/>
      <c r="E92" s="7"/>
      <c r="F92" s="6" t="str">
        <f t="shared" si="22"/>
        <v/>
      </c>
      <c r="G92" s="6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21"/>
      <c r="I92" s="22"/>
      <c r="J92" s="7"/>
      <c r="K92" s="7"/>
      <c r="L92" s="6" t="str">
        <f t="shared" si="23"/>
        <v/>
      </c>
      <c r="M92" s="22"/>
      <c r="N92" s="7"/>
      <c r="O92" s="7"/>
      <c r="P92" s="7"/>
      <c r="Q92" s="21"/>
      <c r="R92" s="21"/>
      <c r="S92" s="21"/>
      <c r="T92" s="21"/>
      <c r="U92" s="5" t="str">
        <f t="shared" si="24"/>
        <v/>
      </c>
      <c r="V92" s="5" t="str">
        <f t="shared" si="25"/>
        <v/>
      </c>
      <c r="W92" s="23" t="str">
        <f t="shared" si="26"/>
        <v/>
      </c>
      <c r="X92" s="3" t="str">
        <f t="shared" si="27"/>
        <v/>
      </c>
      <c r="Y92" s="5" t="str">
        <f t="shared" si="28"/>
        <v/>
      </c>
      <c r="Z92" s="5" t="str">
        <f>IF(OR(AE92="",多次统计数据!$B$8=""),"",AE92-多次统计数据!$B$8)</f>
        <v/>
      </c>
      <c r="AA92" s="8" t="str">
        <f t="shared" si="29"/>
        <v/>
      </c>
      <c r="AB92" s="5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21"/>
      <c r="AE92" s="5" t="str">
        <f t="shared" si="30"/>
        <v/>
      </c>
      <c r="AG92" s="21"/>
      <c r="AH92" s="21"/>
      <c r="AI92" s="21"/>
      <c r="AJ92" s="6" t="str">
        <f t="shared" si="31"/>
        <v/>
      </c>
      <c r="AK92" s="24" t="str">
        <f>IF(A92="","",COUNTIFS(加仓管理!$A$2:$A$1001,A92,加仓管理!$G$2:$G$1001,"&gt;0"))</f>
        <v/>
      </c>
      <c r="AL92" s="24" t="str">
        <f>IF(A92="","",SUMIFS(加仓管理!$G$2:$G$1001,加仓管理!$A$2:$A$1001,A92))</f>
        <v/>
      </c>
      <c r="AM92" s="25" t="str">
        <f>IF(AK92=0,"",IFERROR(LOOKUP(2,1/((加仓管理!$A$2:$A$1001=A92)*(加仓管理!$G$2:$G$1001&gt;0)),加仓管理!$D$2:$D$1001),""))</f>
        <v/>
      </c>
      <c r="AN92" s="25" t="str">
        <f>IF(AK92=0,"",IFERROR(LOOKUP(2,1/((加仓管理!$A$2:$A$1001=A92)*(加仓管理!$G$2:$G$1001&gt;0)),加仓管理!$E$2:$E$1001),""))</f>
        <v/>
      </c>
      <c r="AO92" s="25" t="str">
        <f>IF(OR(A92="",H92="",H92&lt;=0),"",(E92*H92+SUMIFS(加仓管理!$H$2:$H$1001,加仓管理!$A$2:$A$1001,A92))/AP92)</f>
        <v/>
      </c>
      <c r="AP92" s="24" t="str">
        <f t="shared" si="32"/>
        <v/>
      </c>
      <c r="AQ92" s="25" t="str">
        <f>IF(A92="","",IF(M92&lt;&gt;"",0,IF(OR(H92="",N92=""),"",MAX((E92*H92+SUMIFS(加仓管理!$H$2:$H$1001,加仓管理!$A$2:$A$1001,A92))-MAX(N92,AN92)*AP92,0))))</f>
        <v/>
      </c>
      <c r="AR92" s="25" t="str">
        <f ca="1"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ht="17" spans="1:44">
      <c r="A93" s="21"/>
      <c r="B93" s="21"/>
      <c r="C93" s="7"/>
      <c r="D93" s="4"/>
      <c r="E93" s="7"/>
      <c r="F93" s="6" t="str">
        <f t="shared" si="22"/>
        <v/>
      </c>
      <c r="G93" s="6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21"/>
      <c r="I93" s="22"/>
      <c r="J93" s="7"/>
      <c r="K93" s="7"/>
      <c r="L93" s="6" t="str">
        <f t="shared" si="23"/>
        <v/>
      </c>
      <c r="M93" s="22"/>
      <c r="N93" s="7"/>
      <c r="O93" s="7"/>
      <c r="P93" s="7"/>
      <c r="Q93" s="21"/>
      <c r="R93" s="21"/>
      <c r="S93" s="21"/>
      <c r="T93" s="21"/>
      <c r="U93" s="5" t="str">
        <f t="shared" si="24"/>
        <v/>
      </c>
      <c r="V93" s="5" t="str">
        <f t="shared" si="25"/>
        <v/>
      </c>
      <c r="W93" s="23" t="str">
        <f t="shared" si="26"/>
        <v/>
      </c>
      <c r="X93" s="3" t="str">
        <f t="shared" si="27"/>
        <v/>
      </c>
      <c r="Y93" s="5" t="str">
        <f t="shared" si="28"/>
        <v/>
      </c>
      <c r="Z93" s="5" t="str">
        <f>IF(OR(AE93="",多次统计数据!$B$8=""),"",AE93-多次统计数据!$B$8)</f>
        <v/>
      </c>
      <c r="AA93" s="8" t="str">
        <f t="shared" si="29"/>
        <v/>
      </c>
      <c r="AB93" s="5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21"/>
      <c r="AE93" s="5" t="str">
        <f t="shared" si="30"/>
        <v/>
      </c>
      <c r="AG93" s="21"/>
      <c r="AH93" s="21"/>
      <c r="AI93" s="21"/>
      <c r="AJ93" s="6" t="str">
        <f t="shared" si="31"/>
        <v/>
      </c>
      <c r="AK93" s="24" t="str">
        <f>IF(A93="","",COUNTIFS(加仓管理!$A$2:$A$1001,A93,加仓管理!$G$2:$G$1001,"&gt;0"))</f>
        <v/>
      </c>
      <c r="AL93" s="24" t="str">
        <f>IF(A93="","",SUMIFS(加仓管理!$G$2:$G$1001,加仓管理!$A$2:$A$1001,A93))</f>
        <v/>
      </c>
      <c r="AM93" s="25" t="str">
        <f>IF(AK93=0,"",IFERROR(LOOKUP(2,1/((加仓管理!$A$2:$A$1001=A93)*(加仓管理!$G$2:$G$1001&gt;0)),加仓管理!$D$2:$D$1001),""))</f>
        <v/>
      </c>
      <c r="AN93" s="25" t="str">
        <f>IF(AK93=0,"",IFERROR(LOOKUP(2,1/((加仓管理!$A$2:$A$1001=A93)*(加仓管理!$G$2:$G$1001&gt;0)),加仓管理!$E$2:$E$1001),""))</f>
        <v/>
      </c>
      <c r="AO93" s="25" t="str">
        <f>IF(OR(A93="",H93="",H93&lt;=0),"",(E93*H93+SUMIFS(加仓管理!$H$2:$H$1001,加仓管理!$A$2:$A$1001,A93))/AP93)</f>
        <v/>
      </c>
      <c r="AP93" s="24" t="str">
        <f t="shared" si="32"/>
        <v/>
      </c>
      <c r="AQ93" s="25" t="str">
        <f>IF(A93="","",IF(M93&lt;&gt;"",0,IF(OR(H93="",N93=""),"",MAX((E93*H93+SUMIFS(加仓管理!$H$2:$H$1001,加仓管理!$A$2:$A$1001,A93))-MAX(N93,AN93)*AP93,0))))</f>
        <v/>
      </c>
      <c r="AR93" s="25" t="str">
        <f ca="1"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ht="17" spans="1:44">
      <c r="A94" s="21"/>
      <c r="B94" s="21"/>
      <c r="C94" s="7"/>
      <c r="D94" s="4"/>
      <c r="E94" s="7"/>
      <c r="F94" s="6" t="str">
        <f t="shared" si="22"/>
        <v/>
      </c>
      <c r="G94" s="6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21"/>
      <c r="I94" s="22"/>
      <c r="J94" s="7"/>
      <c r="K94" s="7"/>
      <c r="L94" s="6" t="str">
        <f t="shared" si="23"/>
        <v/>
      </c>
      <c r="M94" s="22"/>
      <c r="N94" s="7"/>
      <c r="O94" s="7"/>
      <c r="P94" s="7"/>
      <c r="Q94" s="21"/>
      <c r="R94" s="21"/>
      <c r="S94" s="21"/>
      <c r="T94" s="21"/>
      <c r="U94" s="5" t="str">
        <f t="shared" si="24"/>
        <v/>
      </c>
      <c r="V94" s="5" t="str">
        <f t="shared" si="25"/>
        <v/>
      </c>
      <c r="W94" s="23" t="str">
        <f t="shared" si="26"/>
        <v/>
      </c>
      <c r="X94" s="3" t="str">
        <f t="shared" si="27"/>
        <v/>
      </c>
      <c r="Y94" s="5" t="str">
        <f t="shared" si="28"/>
        <v/>
      </c>
      <c r="Z94" s="5" t="str">
        <f>IF(OR(AE94="",多次统计数据!$B$8=""),"",AE94-多次统计数据!$B$8)</f>
        <v/>
      </c>
      <c r="AA94" s="8" t="str">
        <f t="shared" si="29"/>
        <v/>
      </c>
      <c r="AB94" s="5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21"/>
      <c r="AE94" s="5" t="str">
        <f t="shared" si="30"/>
        <v/>
      </c>
      <c r="AG94" s="21"/>
      <c r="AH94" s="21"/>
      <c r="AI94" s="21"/>
      <c r="AJ94" s="6" t="str">
        <f t="shared" si="31"/>
        <v/>
      </c>
      <c r="AK94" s="24" t="str">
        <f>IF(A94="","",COUNTIFS(加仓管理!$A$2:$A$1001,A94,加仓管理!$G$2:$G$1001,"&gt;0"))</f>
        <v/>
      </c>
      <c r="AL94" s="24" t="str">
        <f>IF(A94="","",SUMIFS(加仓管理!$G$2:$G$1001,加仓管理!$A$2:$A$1001,A94))</f>
        <v/>
      </c>
      <c r="AM94" s="25" t="str">
        <f>IF(AK94=0,"",IFERROR(LOOKUP(2,1/((加仓管理!$A$2:$A$1001=A94)*(加仓管理!$G$2:$G$1001&gt;0)),加仓管理!$D$2:$D$1001),""))</f>
        <v/>
      </c>
      <c r="AN94" s="25" t="str">
        <f>IF(AK94=0,"",IFERROR(LOOKUP(2,1/((加仓管理!$A$2:$A$1001=A94)*(加仓管理!$G$2:$G$1001&gt;0)),加仓管理!$E$2:$E$1001),""))</f>
        <v/>
      </c>
      <c r="AO94" s="25" t="str">
        <f>IF(OR(A94="",H94="",H94&lt;=0),"",(E94*H94+SUMIFS(加仓管理!$H$2:$H$1001,加仓管理!$A$2:$A$1001,A94))/AP94)</f>
        <v/>
      </c>
      <c r="AP94" s="24" t="str">
        <f t="shared" si="32"/>
        <v/>
      </c>
      <c r="AQ94" s="25" t="str">
        <f>IF(A94="","",IF(M94&lt;&gt;"",0,IF(OR(H94="",N94=""),"",MAX((E94*H94+SUMIFS(加仓管理!$H$2:$H$1001,加仓管理!$A$2:$A$1001,A94))-MAX(N94,AN94)*AP94,0))))</f>
        <v/>
      </c>
      <c r="AR94" s="25" t="str">
        <f ca="1"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ht="17" spans="1:44">
      <c r="A95" s="21"/>
      <c r="B95" s="21"/>
      <c r="C95" s="7"/>
      <c r="D95" s="4"/>
      <c r="E95" s="7"/>
      <c r="F95" s="6" t="str">
        <f t="shared" si="22"/>
        <v/>
      </c>
      <c r="G95" s="6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1"/>
      <c r="I95" s="22"/>
      <c r="J95" s="7"/>
      <c r="K95" s="7"/>
      <c r="L95" s="6" t="str">
        <f t="shared" si="23"/>
        <v/>
      </c>
      <c r="M95" s="22"/>
      <c r="N95" s="7"/>
      <c r="O95" s="7"/>
      <c r="P95" s="7"/>
      <c r="Q95" s="21"/>
      <c r="R95" s="21"/>
      <c r="S95" s="21"/>
      <c r="T95" s="21"/>
      <c r="U95" s="5" t="str">
        <f t="shared" si="24"/>
        <v/>
      </c>
      <c r="V95" s="5" t="str">
        <f t="shared" si="25"/>
        <v/>
      </c>
      <c r="W95" s="23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21"/>
      <c r="AE95" s="5" t="str">
        <f t="shared" si="30"/>
        <v/>
      </c>
      <c r="AG95" s="21"/>
      <c r="AH95" s="21"/>
      <c r="AI95" s="21"/>
      <c r="AJ95" s="6" t="str">
        <f t="shared" si="31"/>
        <v/>
      </c>
      <c r="AK95" s="24" t="str">
        <f>IF(A95="","",COUNTIFS(加仓管理!$A$2:$A$1001,A95,加仓管理!$G$2:$G$1001,"&gt;0"))</f>
        <v/>
      </c>
      <c r="AL95" s="24" t="str">
        <f>IF(A95="","",SUMIFS(加仓管理!$G$2:$G$1001,加仓管理!$A$2:$A$1001,A95))</f>
        <v/>
      </c>
      <c r="AM95" s="25" t="str">
        <f>IF(AK95=0,"",IFERROR(LOOKUP(2,1/((加仓管理!$A$2:$A$1001=A95)*(加仓管理!$G$2:$G$1001&gt;0)),加仓管理!$D$2:$D$1001),""))</f>
        <v/>
      </c>
      <c r="AN95" s="25" t="str">
        <f>IF(AK95=0,"",IFERROR(LOOKUP(2,1/((加仓管理!$A$2:$A$1001=A95)*(加仓管理!$G$2:$G$1001&gt;0)),加仓管理!$E$2:$E$1001),""))</f>
        <v/>
      </c>
      <c r="AO95" s="25" t="str">
        <f>IF(OR(A95="",H95="",H95&lt;=0),"",(E95*H95+SUMIFS(加仓管理!$H$2:$H$1001,加仓管理!$A$2:$A$1001,A95))/AP95)</f>
        <v/>
      </c>
      <c r="AP95" s="24" t="str">
        <f t="shared" si="32"/>
        <v/>
      </c>
      <c r="AQ95" s="25" t="str">
        <f>IF(A95="","",IF(M95&lt;&gt;"",0,IF(OR(H95="",N95=""),"",MAX((E95*H95+SUMIFS(加仓管理!$H$2:$H$1001,加仓管理!$A$2:$A$1001,A95))-MAX(N95,AN95)*AP95,0))))</f>
        <v/>
      </c>
      <c r="AR95" s="25" t="str">
        <f ca="1"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ht="17" spans="1:44">
      <c r="A96" s="21"/>
      <c r="B96" s="21"/>
      <c r="C96" s="7"/>
      <c r="D96" s="4"/>
      <c r="E96" s="7"/>
      <c r="F96" s="6" t="str">
        <f t="shared" si="22"/>
        <v/>
      </c>
      <c r="G96" s="6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1"/>
      <c r="I96" s="22"/>
      <c r="J96" s="7"/>
      <c r="K96" s="7"/>
      <c r="L96" s="6" t="str">
        <f t="shared" si="23"/>
        <v/>
      </c>
      <c r="M96" s="22"/>
      <c r="N96" s="7"/>
      <c r="O96" s="7"/>
      <c r="P96" s="7"/>
      <c r="Q96" s="21"/>
      <c r="R96" s="21"/>
      <c r="S96" s="21"/>
      <c r="T96" s="21"/>
      <c r="U96" s="5" t="str">
        <f t="shared" si="24"/>
        <v/>
      </c>
      <c r="V96" s="5" t="str">
        <f t="shared" si="25"/>
        <v/>
      </c>
      <c r="W96" s="23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1"/>
      <c r="AE96" s="5" t="str">
        <f t="shared" si="30"/>
        <v/>
      </c>
      <c r="AG96" s="21"/>
      <c r="AH96" s="21"/>
      <c r="AI96" s="21"/>
      <c r="AJ96" s="6" t="str">
        <f t="shared" si="31"/>
        <v/>
      </c>
      <c r="AK96" s="24" t="str">
        <f>IF(A96="","",COUNTIFS(加仓管理!$A$2:$A$1001,A96,加仓管理!$G$2:$G$1001,"&gt;0"))</f>
        <v/>
      </c>
      <c r="AL96" s="24" t="str">
        <f>IF(A96="","",SUMIFS(加仓管理!$G$2:$G$1001,加仓管理!$A$2:$A$1001,A96))</f>
        <v/>
      </c>
      <c r="AM96" s="25" t="str">
        <f>IF(AK96=0,"",IFERROR(LOOKUP(2,1/((加仓管理!$A$2:$A$1001=A96)*(加仓管理!$G$2:$G$1001&gt;0)),加仓管理!$D$2:$D$1001),""))</f>
        <v/>
      </c>
      <c r="AN96" s="25" t="str">
        <f>IF(AK96=0,"",IFERROR(LOOKUP(2,1/((加仓管理!$A$2:$A$1001=A96)*(加仓管理!$G$2:$G$1001&gt;0)),加仓管理!$E$2:$E$1001),""))</f>
        <v/>
      </c>
      <c r="AO96" s="25" t="str">
        <f>IF(OR(A96="",H96="",H96&lt;=0),"",(E96*H96+SUMIFS(加仓管理!$H$2:$H$1001,加仓管理!$A$2:$A$1001,A96))/AP96)</f>
        <v/>
      </c>
      <c r="AP96" s="24" t="str">
        <f t="shared" si="32"/>
        <v/>
      </c>
      <c r="AQ96" s="25" t="str">
        <f>IF(A96="","",IF(M96&lt;&gt;"",0,IF(OR(H96="",N96=""),"",MAX((E96*H96+SUMIFS(加仓管理!$H$2:$H$1001,加仓管理!$A$2:$A$1001,A96))-MAX(N96,AN96)*AP96,0))))</f>
        <v/>
      </c>
      <c r="AR96" s="25" t="str">
        <f ca="1"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ht="17" spans="1:44">
      <c r="A97" s="21"/>
      <c r="B97" s="10"/>
      <c r="C97" s="7"/>
      <c r="D97" s="4"/>
      <c r="E97" s="7"/>
      <c r="F97" s="6" t="str">
        <f t="shared" si="22"/>
        <v/>
      </c>
      <c r="G97" s="6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1"/>
      <c r="I97" s="22"/>
      <c r="J97" s="7"/>
      <c r="K97" s="7"/>
      <c r="L97" s="6" t="str">
        <f t="shared" si="23"/>
        <v/>
      </c>
      <c r="M97" s="22"/>
      <c r="N97" s="7"/>
      <c r="O97" s="7"/>
      <c r="P97" s="7"/>
      <c r="Q97" s="21"/>
      <c r="R97" s="21"/>
      <c r="S97" s="21"/>
      <c r="T97" s="21"/>
      <c r="U97" s="5" t="str">
        <f t="shared" si="24"/>
        <v/>
      </c>
      <c r="V97" s="5" t="str">
        <f t="shared" si="25"/>
        <v/>
      </c>
      <c r="W97" s="23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1"/>
      <c r="AE97" s="5" t="str">
        <f t="shared" si="30"/>
        <v/>
      </c>
      <c r="AF97" s="40"/>
      <c r="AG97" s="21"/>
      <c r="AH97" s="21"/>
      <c r="AI97" s="21"/>
      <c r="AJ97" s="6" t="str">
        <f t="shared" si="31"/>
        <v/>
      </c>
      <c r="AK97" s="24" t="str">
        <f>IF(A97="","",COUNTIFS(加仓管理!$A$2:$A$1001,A97,加仓管理!$G$2:$G$1001,"&gt;0"))</f>
        <v/>
      </c>
      <c r="AL97" s="24" t="str">
        <f>IF(A97="","",SUMIFS(加仓管理!$G$2:$G$1001,加仓管理!$A$2:$A$1001,A97))</f>
        <v/>
      </c>
      <c r="AM97" s="25" t="str">
        <f>IF(AK97=0,"",IFERROR(LOOKUP(2,1/((加仓管理!$A$2:$A$1001=A97)*(加仓管理!$G$2:$G$1001&gt;0)),加仓管理!$D$2:$D$1001),""))</f>
        <v/>
      </c>
      <c r="AN97" s="25" t="str">
        <f>IF(AK97=0,"",IFERROR(LOOKUP(2,1/((加仓管理!$A$2:$A$1001=A97)*(加仓管理!$G$2:$G$1001&gt;0)),加仓管理!$E$2:$E$1001),""))</f>
        <v/>
      </c>
      <c r="AO97" s="25" t="str">
        <f>IF(OR(A97="",H97="",H97&lt;=0),"",(E97*H97+SUMIFS(加仓管理!$H$2:$H$1001,加仓管理!$A$2:$A$1001,A97))/AP97)</f>
        <v/>
      </c>
      <c r="AP97" s="24" t="str">
        <f t="shared" si="32"/>
        <v/>
      </c>
      <c r="AQ97" s="25" t="str">
        <f>IF(A97="","",IF(M97&lt;&gt;"",0,IF(OR(H97="",N97=""),"",MAX((E97*H97+SUMIFS(加仓管理!$H$2:$H$1001,加仓管理!$A$2:$A$1001,A97))-MAX(N97,AN97)*AP97,0))))</f>
        <v/>
      </c>
      <c r="AR97" s="25" t="str">
        <f ca="1"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ht="17" spans="1:44">
      <c r="A98" s="21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1"/>
      <c r="I98" s="22"/>
      <c r="J98" s="7"/>
      <c r="K98" s="7"/>
      <c r="L98" s="6" t="str">
        <f t="shared" ref="L98:L129" si="34">IF(AP98="","",AP98)</f>
        <v/>
      </c>
      <c r="M98" s="22"/>
      <c r="N98" s="7"/>
      <c r="O98" s="7"/>
      <c r="P98" s="7"/>
      <c r="Q98" s="21"/>
      <c r="R98" s="21"/>
      <c r="S98" s="21"/>
      <c r="T98" s="21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3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1"/>
      <c r="AE98" s="5" t="str">
        <f t="shared" ref="AE98:AE129" si="41">IF(OR(X98="",C98="",C98&lt;=0),"",X98/C98)</f>
        <v/>
      </c>
      <c r="AF98" s="40"/>
      <c r="AG98" s="21"/>
      <c r="AH98" s="21"/>
      <c r="AI98" s="21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4" t="str">
        <f>IF(A98="","",COUNTIFS(加仓管理!$A$2:$A$1001,A98,加仓管理!$G$2:$G$1001,"&gt;0"))</f>
        <v/>
      </c>
      <c r="AL98" s="24" t="str">
        <f>IF(A98="","",SUMIFS(加仓管理!$G$2:$G$1001,加仓管理!$A$2:$A$1001,A98))</f>
        <v/>
      </c>
      <c r="AM98" s="25" t="str">
        <f>IF(AK98=0,"",IFERROR(LOOKUP(2,1/((加仓管理!$A$2:$A$1001=A98)*(加仓管理!$G$2:$G$1001&gt;0)),加仓管理!$D$2:$D$1001),""))</f>
        <v/>
      </c>
      <c r="AN98" s="25" t="str">
        <f>IF(AK98=0,"",IFERROR(LOOKUP(2,1/((加仓管理!$A$2:$A$1001=A98)*(加仓管理!$G$2:$G$1001&gt;0)),加仓管理!$E$2:$E$1001),""))</f>
        <v/>
      </c>
      <c r="AO98" s="25" t="str">
        <f>IF(OR(A98="",H98="",H98&lt;=0),"",(E98*H98+SUMIFS(加仓管理!$H$2:$H$1001,加仓管理!$A$2:$A$1001,A98))/AP98)</f>
        <v/>
      </c>
      <c r="AP98" s="24" t="str">
        <f t="shared" ref="AP98:AP129" si="43">IF(OR(A98="",H98="",H98&lt;=0),"",H98+AL98)</f>
        <v/>
      </c>
      <c r="AQ98" s="25" t="str">
        <f>IF(A98="","",IF(M98&lt;&gt;"",0,IF(OR(H98="",N98=""),"",MAX((E98*H98+SUMIFS(加仓管理!$H$2:$H$1001,加仓管理!$A$2:$A$1001,A98))-MAX(N98,AN98)*AP98,0))))</f>
        <v/>
      </c>
      <c r="AR98" s="25" t="str">
        <f ca="1"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ht="17" spans="1:44">
      <c r="A99" s="21"/>
      <c r="B99" s="10"/>
      <c r="C99" s="7"/>
      <c r="D99" s="4"/>
      <c r="E99" s="7"/>
      <c r="F99" s="6" t="str">
        <f t="shared" si="33"/>
        <v/>
      </c>
      <c r="G99" s="6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1"/>
      <c r="I99" s="22"/>
      <c r="J99" s="7"/>
      <c r="K99" s="7"/>
      <c r="L99" s="6" t="str">
        <f t="shared" si="34"/>
        <v/>
      </c>
      <c r="M99" s="22"/>
      <c r="N99" s="7"/>
      <c r="O99" s="7"/>
      <c r="P99" s="7"/>
      <c r="Q99" s="21"/>
      <c r="R99" s="21"/>
      <c r="S99" s="21"/>
      <c r="T99" s="21"/>
      <c r="U99" s="5" t="str">
        <f t="shared" si="35"/>
        <v/>
      </c>
      <c r="V99" s="5" t="str">
        <f t="shared" si="36"/>
        <v/>
      </c>
      <c r="W99" s="23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1"/>
      <c r="AE99" s="5" t="str">
        <f t="shared" si="41"/>
        <v/>
      </c>
      <c r="AF99" s="40"/>
      <c r="AG99" s="21"/>
      <c r="AH99" s="21"/>
      <c r="AI99" s="21"/>
      <c r="AJ99" s="6" t="str">
        <f t="shared" si="42"/>
        <v/>
      </c>
      <c r="AK99" s="24" t="str">
        <f>IF(A99="","",COUNTIFS(加仓管理!$A$2:$A$1001,A99,加仓管理!$G$2:$G$1001,"&gt;0"))</f>
        <v/>
      </c>
      <c r="AL99" s="24" t="str">
        <f>IF(A99="","",SUMIFS(加仓管理!$G$2:$G$1001,加仓管理!$A$2:$A$1001,A99))</f>
        <v/>
      </c>
      <c r="AM99" s="25" t="str">
        <f>IF(AK99=0,"",IFERROR(LOOKUP(2,1/((加仓管理!$A$2:$A$1001=A99)*(加仓管理!$G$2:$G$1001&gt;0)),加仓管理!$D$2:$D$1001),""))</f>
        <v/>
      </c>
      <c r="AN99" s="25" t="str">
        <f>IF(AK99=0,"",IFERROR(LOOKUP(2,1/((加仓管理!$A$2:$A$1001=A99)*(加仓管理!$G$2:$G$1001&gt;0)),加仓管理!$E$2:$E$1001),""))</f>
        <v/>
      </c>
      <c r="AO99" s="25" t="str">
        <f>IF(OR(A99="",H99="",H99&lt;=0),"",(E99*H99+SUMIFS(加仓管理!$H$2:$H$1001,加仓管理!$A$2:$A$1001,A99))/AP99)</f>
        <v/>
      </c>
      <c r="AP99" s="24" t="str">
        <f t="shared" si="43"/>
        <v/>
      </c>
      <c r="AQ99" s="25" t="str">
        <f>IF(A99="","",IF(M99&lt;&gt;"",0,IF(OR(H99="",N99=""),"",MAX((E99*H99+SUMIFS(加仓管理!$H$2:$H$1001,加仓管理!$A$2:$A$1001,A99))-MAX(N99,AN99)*AP99,0))))</f>
        <v/>
      </c>
      <c r="AR99" s="25" t="str">
        <f ca="1"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ht="17" spans="1:44">
      <c r="A100" s="21"/>
      <c r="B100" s="10"/>
      <c r="C100" s="7"/>
      <c r="D100" s="4"/>
      <c r="E100" s="7"/>
      <c r="F100" s="6" t="str">
        <f t="shared" si="33"/>
        <v/>
      </c>
      <c r="G100" s="6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1"/>
      <c r="I100" s="22"/>
      <c r="J100" s="7"/>
      <c r="K100" s="7"/>
      <c r="L100" s="6" t="str">
        <f t="shared" si="34"/>
        <v/>
      </c>
      <c r="M100" s="22"/>
      <c r="N100" s="7"/>
      <c r="O100" s="7"/>
      <c r="P100" s="7"/>
      <c r="Q100" s="21"/>
      <c r="R100" s="21"/>
      <c r="S100" s="21"/>
      <c r="T100" s="21"/>
      <c r="U100" s="5" t="str">
        <f t="shared" si="35"/>
        <v/>
      </c>
      <c r="V100" s="5" t="str">
        <f t="shared" si="36"/>
        <v/>
      </c>
      <c r="W100" s="23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1"/>
      <c r="AE100" s="5" t="str">
        <f t="shared" si="41"/>
        <v/>
      </c>
      <c r="AG100" s="21"/>
      <c r="AH100" s="21"/>
      <c r="AI100" s="21"/>
      <c r="AJ100" s="6" t="str">
        <f t="shared" si="42"/>
        <v/>
      </c>
      <c r="AK100" s="24" t="str">
        <f>IF(A100="","",COUNTIFS(加仓管理!$A$2:$A$1001,A100,加仓管理!$G$2:$G$1001,"&gt;0"))</f>
        <v/>
      </c>
      <c r="AL100" s="24" t="str">
        <f>IF(A100="","",SUMIFS(加仓管理!$G$2:$G$1001,加仓管理!$A$2:$A$1001,A100))</f>
        <v/>
      </c>
      <c r="AM100" s="25" t="str">
        <f>IF(AK100=0,"",IFERROR(LOOKUP(2,1/((加仓管理!$A$2:$A$1001=A100)*(加仓管理!$G$2:$G$1001&gt;0)),加仓管理!$D$2:$D$1001),""))</f>
        <v/>
      </c>
      <c r="AN100" s="25" t="str">
        <f>IF(AK100=0,"",IFERROR(LOOKUP(2,1/((加仓管理!$A$2:$A$1001=A100)*(加仓管理!$G$2:$G$1001&gt;0)),加仓管理!$E$2:$E$1001),""))</f>
        <v/>
      </c>
      <c r="AO100" s="25" t="str">
        <f>IF(OR(A100="",H100="",H100&lt;=0),"",(E100*H100+SUMIFS(加仓管理!$H$2:$H$1001,加仓管理!$A$2:$A$1001,A100))/AP100)</f>
        <v/>
      </c>
      <c r="AP100" s="24" t="str">
        <f t="shared" si="43"/>
        <v/>
      </c>
      <c r="AQ100" s="25" t="str">
        <f>IF(A100="","",IF(M100&lt;&gt;"",0,IF(OR(H100="",N100=""),"",MAX((E100*H100+SUMIFS(加仓管理!$H$2:$H$1001,加仓管理!$A$2:$A$1001,A100))-MAX(N100,AN100)*AP100,0))))</f>
        <v/>
      </c>
      <c r="AR100" s="25" t="str">
        <f ca="1"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ht="17" spans="1:44">
      <c r="A101" s="21"/>
      <c r="B101" s="10"/>
      <c r="C101" s="7"/>
      <c r="D101" s="4"/>
      <c r="E101" s="7"/>
      <c r="F101" s="6" t="str">
        <f t="shared" si="33"/>
        <v/>
      </c>
      <c r="G101" s="6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1"/>
      <c r="I101" s="22"/>
      <c r="J101" s="7"/>
      <c r="K101" s="7"/>
      <c r="L101" s="6" t="str">
        <f t="shared" si="34"/>
        <v/>
      </c>
      <c r="M101" s="22"/>
      <c r="N101" s="7"/>
      <c r="O101" s="7"/>
      <c r="P101" s="7"/>
      <c r="Q101" s="21"/>
      <c r="R101" s="21"/>
      <c r="S101" s="21"/>
      <c r="T101" s="21"/>
      <c r="U101" s="5" t="str">
        <f t="shared" si="35"/>
        <v/>
      </c>
      <c r="V101" s="5" t="str">
        <f t="shared" si="36"/>
        <v/>
      </c>
      <c r="W101" s="23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1"/>
      <c r="AE101" s="5" t="str">
        <f t="shared" si="41"/>
        <v/>
      </c>
      <c r="AG101" s="21"/>
      <c r="AH101" s="21"/>
      <c r="AI101" s="21"/>
      <c r="AJ101" s="6" t="str">
        <f t="shared" si="42"/>
        <v/>
      </c>
      <c r="AK101" s="24" t="str">
        <f>IF(A101="","",COUNTIFS(加仓管理!$A$2:$A$1001,A101,加仓管理!$G$2:$G$1001,"&gt;0"))</f>
        <v/>
      </c>
      <c r="AL101" s="24" t="str">
        <f>IF(A101="","",SUMIFS(加仓管理!$G$2:$G$1001,加仓管理!$A$2:$A$1001,A101))</f>
        <v/>
      </c>
      <c r="AM101" s="25" t="str">
        <f>IF(AK101=0,"",IFERROR(LOOKUP(2,1/((加仓管理!$A$2:$A$1001=A101)*(加仓管理!$G$2:$G$1001&gt;0)),加仓管理!$D$2:$D$1001),""))</f>
        <v/>
      </c>
      <c r="AN101" s="25" t="str">
        <f>IF(AK101=0,"",IFERROR(LOOKUP(2,1/((加仓管理!$A$2:$A$1001=A101)*(加仓管理!$G$2:$G$1001&gt;0)),加仓管理!$E$2:$E$1001),""))</f>
        <v/>
      </c>
      <c r="AO101" s="25" t="str">
        <f>IF(OR(A101="",H101="",H101&lt;=0),"",(E101*H101+SUMIFS(加仓管理!$H$2:$H$1001,加仓管理!$A$2:$A$1001,A101))/AP101)</f>
        <v/>
      </c>
      <c r="AP101" s="24" t="str">
        <f t="shared" si="43"/>
        <v/>
      </c>
      <c r="AQ101" s="25" t="str">
        <f>IF(A101="","",IF(M101&lt;&gt;"",0,IF(OR(H101="",N101=""),"",MAX((E101*H101+SUMIFS(加仓管理!$H$2:$H$1001,加仓管理!$A$2:$A$1001,A101))-MAX(N101,AN101)*AP101,0))))</f>
        <v/>
      </c>
      <c r="AR101" s="25" t="str">
        <f ca="1"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ht="17" spans="1:44">
      <c r="A102" s="21"/>
      <c r="B102" s="10"/>
      <c r="C102" s="7"/>
      <c r="D102" s="4"/>
      <c r="E102" s="7"/>
      <c r="F102" s="6" t="str">
        <f t="shared" si="33"/>
        <v/>
      </c>
      <c r="G102" s="6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1"/>
      <c r="I102" s="22"/>
      <c r="J102" s="7"/>
      <c r="K102" s="41"/>
      <c r="L102" s="6" t="str">
        <f t="shared" si="34"/>
        <v/>
      </c>
      <c r="M102" s="22"/>
      <c r="N102" s="7"/>
      <c r="O102" s="7"/>
      <c r="P102" s="7"/>
      <c r="Q102" s="21"/>
      <c r="R102" s="21"/>
      <c r="S102" s="21"/>
      <c r="T102" s="21"/>
      <c r="U102" s="5" t="str">
        <f t="shared" si="35"/>
        <v/>
      </c>
      <c r="V102" s="5" t="str">
        <f t="shared" si="36"/>
        <v/>
      </c>
      <c r="W102" s="23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1"/>
      <c r="AE102" s="5" t="str">
        <f t="shared" si="41"/>
        <v/>
      </c>
      <c r="AG102" s="21"/>
      <c r="AH102" s="21"/>
      <c r="AI102" s="21"/>
      <c r="AJ102" s="6" t="str">
        <f t="shared" si="42"/>
        <v/>
      </c>
      <c r="AK102" s="24" t="str">
        <f>IF(A102="","",COUNTIFS(加仓管理!$A$2:$A$1001,A102,加仓管理!$G$2:$G$1001,"&gt;0"))</f>
        <v/>
      </c>
      <c r="AL102" s="24" t="str">
        <f>IF(A102="","",SUMIFS(加仓管理!$G$2:$G$1001,加仓管理!$A$2:$A$1001,A102))</f>
        <v/>
      </c>
      <c r="AM102" s="25" t="str">
        <f>IF(AK102=0,"",IFERROR(LOOKUP(2,1/((加仓管理!$A$2:$A$1001=A102)*(加仓管理!$G$2:$G$1001&gt;0)),加仓管理!$D$2:$D$1001),""))</f>
        <v/>
      </c>
      <c r="AN102" s="25" t="str">
        <f>IF(AK102=0,"",IFERROR(LOOKUP(2,1/((加仓管理!$A$2:$A$1001=A102)*(加仓管理!$G$2:$G$1001&gt;0)),加仓管理!$E$2:$E$1001),""))</f>
        <v/>
      </c>
      <c r="AO102" s="25" t="str">
        <f>IF(OR(A102="",H102="",H102&lt;=0),"",(E102*H102+SUMIFS(加仓管理!$H$2:$H$1001,加仓管理!$A$2:$A$1001,A102))/AP102)</f>
        <v/>
      </c>
      <c r="AP102" s="24" t="str">
        <f t="shared" si="43"/>
        <v/>
      </c>
      <c r="AQ102" s="25" t="str">
        <f>IF(A102="","",IF(M102&lt;&gt;"",0,IF(OR(H102="",N102=""),"",MAX((E102*H102+SUMIFS(加仓管理!$H$2:$H$1001,加仓管理!$A$2:$A$1001,A102))-MAX(N102,AN102)*AP102,0))))</f>
        <v/>
      </c>
      <c r="AR102" s="25" t="str">
        <f ca="1"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ht="17" spans="1:44">
      <c r="A103" s="21"/>
      <c r="B103" s="10"/>
      <c r="C103" s="7"/>
      <c r="D103" s="4"/>
      <c r="E103" s="7"/>
      <c r="F103" s="6" t="str">
        <f t="shared" si="33"/>
        <v/>
      </c>
      <c r="G103" s="6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1"/>
      <c r="I103" s="22"/>
      <c r="J103" s="7"/>
      <c r="K103" s="7"/>
      <c r="L103" s="6" t="str">
        <f t="shared" si="34"/>
        <v/>
      </c>
      <c r="M103" s="22"/>
      <c r="N103" s="7"/>
      <c r="O103" s="7"/>
      <c r="P103" s="7"/>
      <c r="Q103" s="21"/>
      <c r="R103" s="21"/>
      <c r="S103" s="21"/>
      <c r="T103" s="21"/>
      <c r="U103" s="5" t="str">
        <f t="shared" si="35"/>
        <v/>
      </c>
      <c r="V103" s="5" t="str">
        <f t="shared" si="36"/>
        <v/>
      </c>
      <c r="W103" s="23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1"/>
      <c r="AE103" s="5" t="str">
        <f t="shared" si="41"/>
        <v/>
      </c>
      <c r="AG103" s="21"/>
      <c r="AH103" s="21"/>
      <c r="AI103" s="21"/>
      <c r="AJ103" s="6" t="str">
        <f t="shared" si="42"/>
        <v/>
      </c>
      <c r="AK103" s="24" t="str">
        <f>IF(A103="","",COUNTIFS(加仓管理!$A$2:$A$1001,A103,加仓管理!$G$2:$G$1001,"&gt;0"))</f>
        <v/>
      </c>
      <c r="AL103" s="24" t="str">
        <f>IF(A103="","",SUMIFS(加仓管理!$G$2:$G$1001,加仓管理!$A$2:$A$1001,A103))</f>
        <v/>
      </c>
      <c r="AM103" s="25" t="str">
        <f>IF(AK103=0,"",IFERROR(LOOKUP(2,1/((加仓管理!$A$2:$A$1001=A103)*(加仓管理!$G$2:$G$1001&gt;0)),加仓管理!$D$2:$D$1001),""))</f>
        <v/>
      </c>
      <c r="AN103" s="25" t="str">
        <f>IF(AK103=0,"",IFERROR(LOOKUP(2,1/((加仓管理!$A$2:$A$1001=A103)*(加仓管理!$G$2:$G$1001&gt;0)),加仓管理!$E$2:$E$1001),""))</f>
        <v/>
      </c>
      <c r="AO103" s="25" t="str">
        <f>IF(OR(A103="",H103="",H103&lt;=0),"",(E103*H103+SUMIFS(加仓管理!$H$2:$H$1001,加仓管理!$A$2:$A$1001,A103))/AP103)</f>
        <v/>
      </c>
      <c r="AP103" s="24" t="str">
        <f t="shared" si="43"/>
        <v/>
      </c>
      <c r="AQ103" s="25" t="str">
        <f>IF(A103="","",IF(M103&lt;&gt;"",0,IF(OR(H103="",N103=""),"",MAX((E103*H103+SUMIFS(加仓管理!$H$2:$H$1001,加仓管理!$A$2:$A$1001,A103))-MAX(N103,AN103)*AP103,0))))</f>
        <v/>
      </c>
      <c r="AR103" s="25" t="str">
        <f ca="1"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ht="27" customHeight="1" spans="1:44">
      <c r="A104" s="21"/>
      <c r="B104" s="10"/>
      <c r="C104" s="7"/>
      <c r="D104" s="4"/>
      <c r="E104" s="7"/>
      <c r="F104" s="6" t="str">
        <f t="shared" si="33"/>
        <v/>
      </c>
      <c r="G104" s="6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1"/>
      <c r="I104" s="22"/>
      <c r="J104" s="7"/>
      <c r="K104" s="3"/>
      <c r="L104" s="6" t="str">
        <f t="shared" si="34"/>
        <v/>
      </c>
      <c r="M104" s="42"/>
      <c r="N104" s="7"/>
      <c r="O104" s="7"/>
      <c r="P104" s="3"/>
      <c r="Q104" s="21"/>
      <c r="R104" s="21"/>
      <c r="S104" s="21"/>
      <c r="T104" s="21"/>
      <c r="U104" s="5" t="str">
        <f t="shared" si="35"/>
        <v/>
      </c>
      <c r="V104" s="5" t="str">
        <f t="shared" si="36"/>
        <v/>
      </c>
      <c r="W104" s="23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1"/>
      <c r="AE104" s="5" t="str">
        <f t="shared" si="41"/>
        <v/>
      </c>
      <c r="AF104" s="40"/>
      <c r="AG104" s="21"/>
      <c r="AH104" s="21"/>
      <c r="AI104" s="10"/>
      <c r="AJ104" s="6" t="str">
        <f t="shared" si="42"/>
        <v/>
      </c>
      <c r="AK104" s="24" t="str">
        <f>IF(A104="","",COUNTIFS(加仓管理!$A$2:$A$1001,A104,加仓管理!$G$2:$G$1001,"&gt;0"))</f>
        <v/>
      </c>
      <c r="AL104" s="24" t="str">
        <f>IF(A104="","",SUMIFS(加仓管理!$G$2:$G$1001,加仓管理!$A$2:$A$1001,A104))</f>
        <v/>
      </c>
      <c r="AM104" s="25" t="str">
        <f>IF(AK104=0,"",IFERROR(LOOKUP(2,1/((加仓管理!$A$2:$A$1001=A104)*(加仓管理!$G$2:$G$1001&gt;0)),加仓管理!$D$2:$D$1001),""))</f>
        <v/>
      </c>
      <c r="AN104" s="25" t="str">
        <f>IF(AK104=0,"",IFERROR(LOOKUP(2,1/((加仓管理!$A$2:$A$1001=A104)*(加仓管理!$G$2:$G$1001&gt;0)),加仓管理!$E$2:$E$1001),""))</f>
        <v/>
      </c>
      <c r="AO104" s="25" t="str">
        <f>IF(OR(A104="",H104="",H104&lt;=0),"",(E104*H104+SUMIFS(加仓管理!$H$2:$H$1001,加仓管理!$A$2:$A$1001,A104))/AP104)</f>
        <v/>
      </c>
      <c r="AP104" s="24" t="str">
        <f t="shared" si="43"/>
        <v/>
      </c>
      <c r="AQ104" s="25" t="str">
        <f>IF(A104="","",IF(M104&lt;&gt;"",0,IF(OR(H104="",N104=""),"",MAX((E104*H104+SUMIFS(加仓管理!$H$2:$H$1001,加仓管理!$A$2:$A$1001,A104))-MAX(N104,AN104)*AP104,0))))</f>
        <v/>
      </c>
      <c r="AR104" s="25" t="str">
        <f ca="1"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ht="17" spans="1:44">
      <c r="A105" s="21"/>
      <c r="B105" s="10"/>
      <c r="C105" s="7"/>
      <c r="D105" s="4"/>
      <c r="E105" s="7"/>
      <c r="F105" s="6" t="str">
        <f t="shared" si="33"/>
        <v/>
      </c>
      <c r="G105" s="6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1"/>
      <c r="I105" s="22"/>
      <c r="J105" s="7"/>
      <c r="K105" s="3"/>
      <c r="L105" s="6" t="str">
        <f t="shared" si="34"/>
        <v/>
      </c>
      <c r="M105" s="42"/>
      <c r="N105" s="7"/>
      <c r="O105" s="7"/>
      <c r="P105" s="3"/>
      <c r="Q105" s="21"/>
      <c r="R105" s="21"/>
      <c r="S105" s="21"/>
      <c r="T105" s="21"/>
      <c r="U105" s="5" t="str">
        <f t="shared" si="35"/>
        <v/>
      </c>
      <c r="V105" s="5" t="str">
        <f t="shared" si="36"/>
        <v/>
      </c>
      <c r="W105" s="23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1"/>
      <c r="AE105" s="5" t="str">
        <f t="shared" si="41"/>
        <v/>
      </c>
      <c r="AG105" s="21"/>
      <c r="AH105" s="21"/>
      <c r="AI105" s="10"/>
      <c r="AJ105" s="6" t="str">
        <f t="shared" si="42"/>
        <v/>
      </c>
      <c r="AK105" s="24" t="str">
        <f>IF(A105="","",COUNTIFS(加仓管理!$A$2:$A$1001,A105,加仓管理!$G$2:$G$1001,"&gt;0"))</f>
        <v/>
      </c>
      <c r="AL105" s="24" t="str">
        <f>IF(A105="","",SUMIFS(加仓管理!$G$2:$G$1001,加仓管理!$A$2:$A$1001,A105))</f>
        <v/>
      </c>
      <c r="AM105" s="25" t="str">
        <f>IF(AK105=0,"",IFERROR(LOOKUP(2,1/((加仓管理!$A$2:$A$1001=A105)*(加仓管理!$G$2:$G$1001&gt;0)),加仓管理!$D$2:$D$1001),""))</f>
        <v/>
      </c>
      <c r="AN105" s="25" t="str">
        <f>IF(AK105=0,"",IFERROR(LOOKUP(2,1/((加仓管理!$A$2:$A$1001=A105)*(加仓管理!$G$2:$G$1001&gt;0)),加仓管理!$E$2:$E$1001),""))</f>
        <v/>
      </c>
      <c r="AO105" s="25" t="str">
        <f>IF(OR(A105="",H105="",H105&lt;=0),"",(E105*H105+SUMIFS(加仓管理!$H$2:$H$1001,加仓管理!$A$2:$A$1001,A105))/AP105)</f>
        <v/>
      </c>
      <c r="AP105" s="24" t="str">
        <f t="shared" si="43"/>
        <v/>
      </c>
      <c r="AQ105" s="25" t="str">
        <f>IF(A105="","",IF(M105&lt;&gt;"",0,IF(OR(H105="",N105=""),"",MAX((E105*H105+SUMIFS(加仓管理!$H$2:$H$1001,加仓管理!$A$2:$A$1001,A105))-MAX(N105,AN105)*AP105,0))))</f>
        <v/>
      </c>
      <c r="AR105" s="25" t="str">
        <f ca="1"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ht="27" customHeight="1" spans="1:44">
      <c r="A106" s="21"/>
      <c r="B106" s="10"/>
      <c r="C106" s="7"/>
      <c r="D106" s="4"/>
      <c r="E106" s="7"/>
      <c r="F106" s="6" t="str">
        <f t="shared" si="33"/>
        <v/>
      </c>
      <c r="G106" s="6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1"/>
      <c r="I106" s="22"/>
      <c r="J106" s="7"/>
      <c r="K106" s="3"/>
      <c r="L106" s="6" t="str">
        <f t="shared" si="34"/>
        <v/>
      </c>
      <c r="M106" s="42"/>
      <c r="N106" s="7"/>
      <c r="O106" s="7"/>
      <c r="P106" s="3"/>
      <c r="Q106" s="21"/>
      <c r="R106" s="21"/>
      <c r="S106" s="21"/>
      <c r="T106" s="21"/>
      <c r="U106" s="5" t="str">
        <f t="shared" si="35"/>
        <v/>
      </c>
      <c r="V106" s="5" t="str">
        <f t="shared" si="36"/>
        <v/>
      </c>
      <c r="W106" s="23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1"/>
      <c r="AE106" s="5" t="str">
        <f t="shared" si="41"/>
        <v/>
      </c>
      <c r="AG106" s="21"/>
      <c r="AH106" s="21"/>
      <c r="AI106" s="21"/>
      <c r="AJ106" s="6" t="str">
        <f t="shared" si="42"/>
        <v/>
      </c>
      <c r="AK106" s="24" t="str">
        <f>IF(A106="","",COUNTIFS(加仓管理!$A$2:$A$1001,A106,加仓管理!$G$2:$G$1001,"&gt;0"))</f>
        <v/>
      </c>
      <c r="AL106" s="24" t="str">
        <f>IF(A106="","",SUMIFS(加仓管理!$G$2:$G$1001,加仓管理!$A$2:$A$1001,A106))</f>
        <v/>
      </c>
      <c r="AM106" s="25" t="str">
        <f>IF(AK106=0,"",IFERROR(LOOKUP(2,1/((加仓管理!$A$2:$A$1001=A106)*(加仓管理!$G$2:$G$1001&gt;0)),加仓管理!$D$2:$D$1001),""))</f>
        <v/>
      </c>
      <c r="AN106" s="25" t="str">
        <f>IF(AK106=0,"",IFERROR(LOOKUP(2,1/((加仓管理!$A$2:$A$1001=A106)*(加仓管理!$G$2:$G$1001&gt;0)),加仓管理!$E$2:$E$1001),""))</f>
        <v/>
      </c>
      <c r="AO106" s="25" t="str">
        <f>IF(OR(A106="",H106="",H106&lt;=0),"",(E106*H106+SUMIFS(加仓管理!$H$2:$H$1001,加仓管理!$A$2:$A$1001,A106))/AP106)</f>
        <v/>
      </c>
      <c r="AP106" s="24" t="str">
        <f t="shared" si="43"/>
        <v/>
      </c>
      <c r="AQ106" s="25" t="str">
        <f>IF(A106="","",IF(M106&lt;&gt;"",0,IF(OR(H106="",N106=""),"",MAX((E106*H106+SUMIFS(加仓管理!$H$2:$H$1001,加仓管理!$A$2:$A$1001,A106))-MAX(N106,AN106)*AP106,0))))</f>
        <v/>
      </c>
      <c r="AR106" s="25" t="str">
        <f ca="1"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ht="17" spans="1:44">
      <c r="A107" s="21"/>
      <c r="B107" s="10"/>
      <c r="C107" s="7"/>
      <c r="D107" s="4"/>
      <c r="E107" s="7"/>
      <c r="F107" s="6" t="str">
        <f t="shared" si="33"/>
        <v/>
      </c>
      <c r="G107" s="6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1"/>
      <c r="I107" s="22"/>
      <c r="J107" s="7"/>
      <c r="K107" s="3"/>
      <c r="L107" s="6" t="str">
        <f t="shared" si="34"/>
        <v/>
      </c>
      <c r="M107" s="42"/>
      <c r="N107" s="7"/>
      <c r="O107" s="7"/>
      <c r="P107" s="3"/>
      <c r="Q107" s="21"/>
      <c r="R107" s="21"/>
      <c r="S107" s="21"/>
      <c r="T107" s="21"/>
      <c r="U107" s="5" t="str">
        <f t="shared" si="35"/>
        <v/>
      </c>
      <c r="V107" s="5" t="str">
        <f t="shared" si="36"/>
        <v/>
      </c>
      <c r="W107" s="23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1"/>
      <c r="AE107" s="5" t="str">
        <f t="shared" si="41"/>
        <v/>
      </c>
      <c r="AG107" s="21"/>
      <c r="AH107" s="21"/>
      <c r="AI107" s="21"/>
      <c r="AJ107" s="6" t="str">
        <f t="shared" si="42"/>
        <v/>
      </c>
      <c r="AK107" s="24" t="str">
        <f>IF(A107="","",COUNTIFS(加仓管理!$A$2:$A$1001,A107,加仓管理!$G$2:$G$1001,"&gt;0"))</f>
        <v/>
      </c>
      <c r="AL107" s="24" t="str">
        <f>IF(A107="","",SUMIFS(加仓管理!$G$2:$G$1001,加仓管理!$A$2:$A$1001,A107))</f>
        <v/>
      </c>
      <c r="AM107" s="25" t="str">
        <f>IF(AK107=0,"",IFERROR(LOOKUP(2,1/((加仓管理!$A$2:$A$1001=A107)*(加仓管理!$G$2:$G$1001&gt;0)),加仓管理!$D$2:$D$1001),""))</f>
        <v/>
      </c>
      <c r="AN107" s="25" t="str">
        <f>IF(AK107=0,"",IFERROR(LOOKUP(2,1/((加仓管理!$A$2:$A$1001=A107)*(加仓管理!$G$2:$G$1001&gt;0)),加仓管理!$E$2:$E$1001),""))</f>
        <v/>
      </c>
      <c r="AO107" s="25" t="str">
        <f>IF(OR(A107="",H107="",H107&lt;=0),"",(E107*H107+SUMIFS(加仓管理!$H$2:$H$1001,加仓管理!$A$2:$A$1001,A107))/AP107)</f>
        <v/>
      </c>
      <c r="AP107" s="24" t="str">
        <f t="shared" si="43"/>
        <v/>
      </c>
      <c r="AQ107" s="25" t="str">
        <f>IF(A107="","",IF(M107&lt;&gt;"",0,IF(OR(H107="",N107=""),"",MAX((E107*H107+SUMIFS(加仓管理!$H$2:$H$1001,加仓管理!$A$2:$A$1001,A107))-MAX(N107,AN107)*AP107,0))))</f>
        <v/>
      </c>
      <c r="AR107" s="25" t="str">
        <f ca="1"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ht="17" spans="1:44">
      <c r="A108" s="21"/>
      <c r="B108" s="21"/>
      <c r="C108" s="7"/>
      <c r="D108" s="4"/>
      <c r="E108" s="7"/>
      <c r="F108" s="6" t="str">
        <f t="shared" si="33"/>
        <v/>
      </c>
      <c r="G108" s="6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1"/>
      <c r="I108" s="22"/>
      <c r="J108" s="7"/>
      <c r="K108" s="3"/>
      <c r="L108" s="6" t="str">
        <f t="shared" si="34"/>
        <v/>
      </c>
      <c r="M108" s="42"/>
      <c r="N108" s="7"/>
      <c r="O108" s="7"/>
      <c r="P108" s="3"/>
      <c r="Q108" s="21"/>
      <c r="R108" s="21"/>
      <c r="S108" s="21"/>
      <c r="T108" s="21"/>
      <c r="U108" s="5" t="str">
        <f t="shared" si="35"/>
        <v/>
      </c>
      <c r="V108" s="5" t="str">
        <f t="shared" si="36"/>
        <v/>
      </c>
      <c r="W108" s="23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1"/>
      <c r="AE108" s="5" t="str">
        <f t="shared" si="41"/>
        <v/>
      </c>
      <c r="AG108" s="21"/>
      <c r="AH108" s="21"/>
      <c r="AI108" s="21"/>
      <c r="AJ108" s="6" t="str">
        <f t="shared" si="42"/>
        <v/>
      </c>
      <c r="AK108" s="24" t="str">
        <f>IF(A108="","",COUNTIFS(加仓管理!$A$2:$A$1001,A108,加仓管理!$G$2:$G$1001,"&gt;0"))</f>
        <v/>
      </c>
      <c r="AL108" s="24" t="str">
        <f>IF(A108="","",SUMIFS(加仓管理!$G$2:$G$1001,加仓管理!$A$2:$A$1001,A108))</f>
        <v/>
      </c>
      <c r="AM108" s="25" t="str">
        <f>IF(AK108=0,"",IFERROR(LOOKUP(2,1/((加仓管理!$A$2:$A$1001=A108)*(加仓管理!$G$2:$G$1001&gt;0)),加仓管理!$D$2:$D$1001),""))</f>
        <v/>
      </c>
      <c r="AN108" s="25" t="str">
        <f>IF(AK108=0,"",IFERROR(LOOKUP(2,1/((加仓管理!$A$2:$A$1001=A108)*(加仓管理!$G$2:$G$1001&gt;0)),加仓管理!$E$2:$E$1001),""))</f>
        <v/>
      </c>
      <c r="AO108" s="25" t="str">
        <f>IF(OR(A108="",H108="",H108&lt;=0),"",(E108*H108+SUMIFS(加仓管理!$H$2:$H$1001,加仓管理!$A$2:$A$1001,A108))/AP108)</f>
        <v/>
      </c>
      <c r="AP108" s="24" t="str">
        <f t="shared" si="43"/>
        <v/>
      </c>
      <c r="AQ108" s="25" t="str">
        <f>IF(A108="","",IF(M108&lt;&gt;"",0,IF(OR(H108="",N108=""),"",MAX((E108*H108+SUMIFS(加仓管理!$H$2:$H$1001,加仓管理!$A$2:$A$1001,A108))-MAX(N108,AN108)*AP108,0))))</f>
        <v/>
      </c>
      <c r="AR108" s="25" t="str">
        <f ca="1"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ht="17" spans="1:44">
      <c r="A109" s="21"/>
      <c r="B109" s="21"/>
      <c r="C109" s="7"/>
      <c r="D109" s="4"/>
      <c r="E109" s="7"/>
      <c r="F109" s="6" t="str">
        <f t="shared" si="33"/>
        <v/>
      </c>
      <c r="G109" s="6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1"/>
      <c r="I109" s="22"/>
      <c r="J109" s="7"/>
      <c r="K109" s="3"/>
      <c r="L109" s="6" t="str">
        <f t="shared" si="34"/>
        <v/>
      </c>
      <c r="M109" s="42"/>
      <c r="N109" s="7"/>
      <c r="O109" s="7"/>
      <c r="P109" s="3"/>
      <c r="Q109" s="21"/>
      <c r="R109" s="21"/>
      <c r="S109" s="21"/>
      <c r="T109" s="21"/>
      <c r="U109" s="5" t="str">
        <f t="shared" si="35"/>
        <v/>
      </c>
      <c r="V109" s="5" t="str">
        <f t="shared" si="36"/>
        <v/>
      </c>
      <c r="W109" s="23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1"/>
      <c r="AE109" s="5" t="str">
        <f t="shared" si="41"/>
        <v/>
      </c>
      <c r="AG109" s="21"/>
      <c r="AH109" s="21"/>
      <c r="AI109" s="21"/>
      <c r="AJ109" s="6" t="str">
        <f t="shared" si="42"/>
        <v/>
      </c>
      <c r="AK109" s="24" t="str">
        <f>IF(A109="","",COUNTIFS(加仓管理!$A$2:$A$1001,A109,加仓管理!$G$2:$G$1001,"&gt;0"))</f>
        <v/>
      </c>
      <c r="AL109" s="24" t="str">
        <f>IF(A109="","",SUMIFS(加仓管理!$G$2:$G$1001,加仓管理!$A$2:$A$1001,A109))</f>
        <v/>
      </c>
      <c r="AM109" s="25" t="str">
        <f>IF(AK109=0,"",IFERROR(LOOKUP(2,1/((加仓管理!$A$2:$A$1001=A109)*(加仓管理!$G$2:$G$1001&gt;0)),加仓管理!$D$2:$D$1001),""))</f>
        <v/>
      </c>
      <c r="AN109" s="25" t="str">
        <f>IF(AK109=0,"",IFERROR(LOOKUP(2,1/((加仓管理!$A$2:$A$1001=A109)*(加仓管理!$G$2:$G$1001&gt;0)),加仓管理!$E$2:$E$1001),""))</f>
        <v/>
      </c>
      <c r="AO109" s="25" t="str">
        <f>IF(OR(A109="",H109="",H109&lt;=0),"",(E109*H109+SUMIFS(加仓管理!$H$2:$H$1001,加仓管理!$A$2:$A$1001,A109))/AP109)</f>
        <v/>
      </c>
      <c r="AP109" s="24" t="str">
        <f t="shared" si="43"/>
        <v/>
      </c>
      <c r="AQ109" s="25" t="str">
        <f>IF(A109="","",IF(M109&lt;&gt;"",0,IF(OR(H109="",N109=""),"",MAX((E109*H109+SUMIFS(加仓管理!$H$2:$H$1001,加仓管理!$A$2:$A$1001,A109))-MAX(N109,AN109)*AP109,0))))</f>
        <v/>
      </c>
      <c r="AR109" s="25" t="str">
        <f ca="1"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ht="17" spans="1:44">
      <c r="A110" s="21"/>
      <c r="B110" s="21"/>
      <c r="C110" s="7"/>
      <c r="D110" s="4"/>
      <c r="E110" s="7"/>
      <c r="F110" s="6" t="str">
        <f t="shared" si="33"/>
        <v/>
      </c>
      <c r="G110" s="6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1"/>
      <c r="I110" s="22"/>
      <c r="J110" s="7"/>
      <c r="K110" s="3"/>
      <c r="L110" s="6" t="str">
        <f t="shared" si="34"/>
        <v/>
      </c>
      <c r="M110" s="42"/>
      <c r="N110" s="7"/>
      <c r="O110" s="7"/>
      <c r="P110" s="3"/>
      <c r="Q110" s="21"/>
      <c r="R110" s="21"/>
      <c r="S110" s="21"/>
      <c r="T110" s="21"/>
      <c r="U110" s="5" t="str">
        <f t="shared" si="35"/>
        <v/>
      </c>
      <c r="V110" s="5" t="str">
        <f t="shared" si="36"/>
        <v/>
      </c>
      <c r="W110" s="23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1"/>
      <c r="AE110" s="5" t="str">
        <f t="shared" si="41"/>
        <v/>
      </c>
      <c r="AG110" s="21"/>
      <c r="AH110" s="21"/>
      <c r="AI110" s="21"/>
      <c r="AJ110" s="6" t="str">
        <f t="shared" si="42"/>
        <v/>
      </c>
      <c r="AK110" s="24" t="str">
        <f>IF(A110="","",COUNTIFS(加仓管理!$A$2:$A$1001,A110,加仓管理!$G$2:$G$1001,"&gt;0"))</f>
        <v/>
      </c>
      <c r="AL110" s="24" t="str">
        <f>IF(A110="","",SUMIFS(加仓管理!$G$2:$G$1001,加仓管理!$A$2:$A$1001,A110))</f>
        <v/>
      </c>
      <c r="AM110" s="25" t="str">
        <f>IF(AK110=0,"",IFERROR(LOOKUP(2,1/((加仓管理!$A$2:$A$1001=A110)*(加仓管理!$G$2:$G$1001&gt;0)),加仓管理!$D$2:$D$1001),""))</f>
        <v/>
      </c>
      <c r="AN110" s="25" t="str">
        <f>IF(AK110=0,"",IFERROR(LOOKUP(2,1/((加仓管理!$A$2:$A$1001=A110)*(加仓管理!$G$2:$G$1001&gt;0)),加仓管理!$E$2:$E$1001),""))</f>
        <v/>
      </c>
      <c r="AO110" s="25" t="str">
        <f>IF(OR(A110="",H110="",H110&lt;=0),"",(E110*H110+SUMIFS(加仓管理!$H$2:$H$1001,加仓管理!$A$2:$A$1001,A110))/AP110)</f>
        <v/>
      </c>
      <c r="AP110" s="24" t="str">
        <f t="shared" si="43"/>
        <v/>
      </c>
      <c r="AQ110" s="25" t="str">
        <f>IF(A110="","",IF(M110&lt;&gt;"",0,IF(OR(H110="",N110=""),"",MAX((E110*H110+SUMIFS(加仓管理!$H$2:$H$1001,加仓管理!$A$2:$A$1001,A110))-MAX(N110,AN110)*AP110,0))))</f>
        <v/>
      </c>
      <c r="AR110" s="25" t="str">
        <f ca="1"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ht="17" spans="1:44">
      <c r="A111" s="21"/>
      <c r="B111" s="21"/>
      <c r="C111" s="7"/>
      <c r="D111" s="4"/>
      <c r="E111" s="7"/>
      <c r="F111" s="6" t="str">
        <f t="shared" si="33"/>
        <v/>
      </c>
      <c r="G111" s="6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1"/>
      <c r="I111" s="22"/>
      <c r="J111" s="7"/>
      <c r="K111" s="3"/>
      <c r="L111" s="6" t="str">
        <f t="shared" si="34"/>
        <v/>
      </c>
      <c r="M111" s="42"/>
      <c r="N111" s="7"/>
      <c r="O111" s="7"/>
      <c r="P111" s="3"/>
      <c r="Q111" s="21"/>
      <c r="R111" s="21"/>
      <c r="S111" s="21"/>
      <c r="T111" s="21"/>
      <c r="U111" s="5" t="str">
        <f t="shared" si="35"/>
        <v/>
      </c>
      <c r="V111" s="5" t="str">
        <f t="shared" si="36"/>
        <v/>
      </c>
      <c r="W111" s="23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1"/>
      <c r="AE111" s="5" t="str">
        <f t="shared" si="41"/>
        <v/>
      </c>
      <c r="AG111" s="21"/>
      <c r="AH111" s="21"/>
      <c r="AI111" s="21"/>
      <c r="AJ111" s="6" t="str">
        <f t="shared" si="42"/>
        <v/>
      </c>
      <c r="AK111" s="24" t="str">
        <f>IF(A111="","",COUNTIFS(加仓管理!$A$2:$A$1001,A111,加仓管理!$G$2:$G$1001,"&gt;0"))</f>
        <v/>
      </c>
      <c r="AL111" s="24" t="str">
        <f>IF(A111="","",SUMIFS(加仓管理!$G$2:$G$1001,加仓管理!$A$2:$A$1001,A111))</f>
        <v/>
      </c>
      <c r="AM111" s="25" t="str">
        <f>IF(AK111=0,"",IFERROR(LOOKUP(2,1/((加仓管理!$A$2:$A$1001=A111)*(加仓管理!$G$2:$G$1001&gt;0)),加仓管理!$D$2:$D$1001),""))</f>
        <v/>
      </c>
      <c r="AN111" s="25" t="str">
        <f>IF(AK111=0,"",IFERROR(LOOKUP(2,1/((加仓管理!$A$2:$A$1001=A111)*(加仓管理!$G$2:$G$1001&gt;0)),加仓管理!$E$2:$E$1001),""))</f>
        <v/>
      </c>
      <c r="AO111" s="25" t="str">
        <f>IF(OR(A111="",H111="",H111&lt;=0),"",(E111*H111+SUMIFS(加仓管理!$H$2:$H$1001,加仓管理!$A$2:$A$1001,A111))/AP111)</f>
        <v/>
      </c>
      <c r="AP111" s="24" t="str">
        <f t="shared" si="43"/>
        <v/>
      </c>
      <c r="AQ111" s="25" t="str">
        <f>IF(A111="","",IF(M111&lt;&gt;"",0,IF(OR(H111="",N111=""),"",MAX((E111*H111+SUMIFS(加仓管理!$H$2:$H$1001,加仓管理!$A$2:$A$1001,A111))-MAX(N111,AN111)*AP111,0))))</f>
        <v/>
      </c>
      <c r="AR111" s="25" t="str">
        <f ca="1"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ht="17" spans="1:44">
      <c r="A112" s="21"/>
      <c r="B112" s="21"/>
      <c r="C112" s="7"/>
      <c r="D112" s="4"/>
      <c r="E112" s="7"/>
      <c r="F112" s="6" t="str">
        <f t="shared" si="33"/>
        <v/>
      </c>
      <c r="G112" s="6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1"/>
      <c r="I112" s="22"/>
      <c r="J112" s="7"/>
      <c r="K112" s="3"/>
      <c r="L112" s="6" t="str">
        <f t="shared" si="34"/>
        <v/>
      </c>
      <c r="M112" s="42"/>
      <c r="N112" s="7"/>
      <c r="O112" s="7"/>
      <c r="P112" s="3"/>
      <c r="Q112" s="21"/>
      <c r="R112" s="21"/>
      <c r="S112" s="21"/>
      <c r="T112" s="21"/>
      <c r="U112" s="5" t="str">
        <f t="shared" si="35"/>
        <v/>
      </c>
      <c r="V112" s="5" t="str">
        <f t="shared" si="36"/>
        <v/>
      </c>
      <c r="W112" s="23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1"/>
      <c r="AE112" s="5" t="str">
        <f t="shared" si="41"/>
        <v/>
      </c>
      <c r="AG112" s="21"/>
      <c r="AH112" s="21"/>
      <c r="AI112" s="21"/>
      <c r="AJ112" s="6" t="str">
        <f t="shared" si="42"/>
        <v/>
      </c>
      <c r="AK112" s="24" t="str">
        <f>IF(A112="","",COUNTIFS(加仓管理!$A$2:$A$1001,A112,加仓管理!$G$2:$G$1001,"&gt;0"))</f>
        <v/>
      </c>
      <c r="AL112" s="24" t="str">
        <f>IF(A112="","",SUMIFS(加仓管理!$G$2:$G$1001,加仓管理!$A$2:$A$1001,A112))</f>
        <v/>
      </c>
      <c r="AM112" s="25" t="str">
        <f>IF(AK112=0,"",IFERROR(LOOKUP(2,1/((加仓管理!$A$2:$A$1001=A112)*(加仓管理!$G$2:$G$1001&gt;0)),加仓管理!$D$2:$D$1001),""))</f>
        <v/>
      </c>
      <c r="AN112" s="25" t="str">
        <f>IF(AK112=0,"",IFERROR(LOOKUP(2,1/((加仓管理!$A$2:$A$1001=A112)*(加仓管理!$G$2:$G$1001&gt;0)),加仓管理!$E$2:$E$1001),""))</f>
        <v/>
      </c>
      <c r="AO112" s="25" t="str">
        <f>IF(OR(A112="",H112="",H112&lt;=0),"",(E112*H112+SUMIFS(加仓管理!$H$2:$H$1001,加仓管理!$A$2:$A$1001,A112))/AP112)</f>
        <v/>
      </c>
      <c r="AP112" s="24" t="str">
        <f t="shared" si="43"/>
        <v/>
      </c>
      <c r="AQ112" s="25" t="str">
        <f>IF(A112="","",IF(M112&lt;&gt;"",0,IF(OR(H112="",N112=""),"",MAX((E112*H112+SUMIFS(加仓管理!$H$2:$H$1001,加仓管理!$A$2:$A$1001,A112))-MAX(N112,AN112)*AP112,0))))</f>
        <v/>
      </c>
      <c r="AR112" s="25" t="str">
        <f ca="1"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ht="17" spans="1:44">
      <c r="A113" s="21"/>
      <c r="B113" s="21"/>
      <c r="C113" s="7"/>
      <c r="D113" s="4"/>
      <c r="E113" s="7"/>
      <c r="F113" s="6" t="str">
        <f t="shared" si="33"/>
        <v/>
      </c>
      <c r="G113" s="6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1"/>
      <c r="I113" s="22"/>
      <c r="J113" s="7"/>
      <c r="K113" s="3"/>
      <c r="L113" s="6" t="str">
        <f t="shared" si="34"/>
        <v/>
      </c>
      <c r="M113" s="42"/>
      <c r="N113" s="7"/>
      <c r="O113" s="7"/>
      <c r="P113" s="3"/>
      <c r="Q113" s="21"/>
      <c r="R113" s="21"/>
      <c r="S113" s="21"/>
      <c r="T113" s="21"/>
      <c r="U113" s="5" t="str">
        <f t="shared" si="35"/>
        <v/>
      </c>
      <c r="V113" s="5" t="str">
        <f t="shared" si="36"/>
        <v/>
      </c>
      <c r="W113" s="23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1"/>
      <c r="AE113" s="5" t="str">
        <f t="shared" si="41"/>
        <v/>
      </c>
      <c r="AG113" s="21"/>
      <c r="AH113" s="21"/>
      <c r="AI113" s="21"/>
      <c r="AJ113" s="6" t="str">
        <f t="shared" si="42"/>
        <v/>
      </c>
      <c r="AK113" s="24" t="str">
        <f>IF(A113="","",COUNTIFS(加仓管理!$A$2:$A$1001,A113,加仓管理!$G$2:$G$1001,"&gt;0"))</f>
        <v/>
      </c>
      <c r="AL113" s="24" t="str">
        <f>IF(A113="","",SUMIFS(加仓管理!$G$2:$G$1001,加仓管理!$A$2:$A$1001,A113))</f>
        <v/>
      </c>
      <c r="AM113" s="25" t="str">
        <f>IF(AK113=0,"",IFERROR(LOOKUP(2,1/((加仓管理!$A$2:$A$1001=A113)*(加仓管理!$G$2:$G$1001&gt;0)),加仓管理!$D$2:$D$1001),""))</f>
        <v/>
      </c>
      <c r="AN113" s="25" t="str">
        <f>IF(AK113=0,"",IFERROR(LOOKUP(2,1/((加仓管理!$A$2:$A$1001=A113)*(加仓管理!$G$2:$G$1001&gt;0)),加仓管理!$E$2:$E$1001),""))</f>
        <v/>
      </c>
      <c r="AO113" s="25" t="str">
        <f>IF(OR(A113="",H113="",H113&lt;=0),"",(E113*H113+SUMIFS(加仓管理!$H$2:$H$1001,加仓管理!$A$2:$A$1001,A113))/AP113)</f>
        <v/>
      </c>
      <c r="AP113" s="24" t="str">
        <f t="shared" si="43"/>
        <v/>
      </c>
      <c r="AQ113" s="25" t="str">
        <f>IF(A113="","",IF(M113&lt;&gt;"",0,IF(OR(H113="",N113=""),"",MAX((E113*H113+SUMIFS(加仓管理!$H$2:$H$1001,加仓管理!$A$2:$A$1001,A113))-MAX(N113,AN113)*AP113,0))))</f>
        <v/>
      </c>
      <c r="AR113" s="25" t="str">
        <f ca="1"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ht="17" spans="1:44">
      <c r="A114" s="21"/>
      <c r="B114" s="21"/>
      <c r="C114" s="7"/>
      <c r="D114" s="4"/>
      <c r="E114" s="7"/>
      <c r="F114" s="6" t="str">
        <f t="shared" si="33"/>
        <v/>
      </c>
      <c r="G114" s="6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1"/>
      <c r="I114" s="22"/>
      <c r="J114" s="7"/>
      <c r="K114" s="3"/>
      <c r="L114" s="6" t="str">
        <f t="shared" si="34"/>
        <v/>
      </c>
      <c r="M114" s="42"/>
      <c r="N114" s="7"/>
      <c r="O114" s="7"/>
      <c r="P114" s="3"/>
      <c r="Q114" s="21"/>
      <c r="R114" s="21"/>
      <c r="S114" s="21"/>
      <c r="T114" s="21"/>
      <c r="U114" s="5" t="str">
        <f t="shared" si="35"/>
        <v/>
      </c>
      <c r="V114" s="5" t="str">
        <f t="shared" si="36"/>
        <v/>
      </c>
      <c r="W114" s="23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1"/>
      <c r="AE114" s="5" t="str">
        <f t="shared" si="41"/>
        <v/>
      </c>
      <c r="AG114" s="21"/>
      <c r="AH114" s="21"/>
      <c r="AI114" s="21"/>
      <c r="AJ114" s="6" t="str">
        <f t="shared" si="42"/>
        <v/>
      </c>
      <c r="AK114" s="24" t="str">
        <f>IF(A114="","",COUNTIFS(加仓管理!$A$2:$A$1001,A114,加仓管理!$G$2:$G$1001,"&gt;0"))</f>
        <v/>
      </c>
      <c r="AL114" s="24" t="str">
        <f>IF(A114="","",SUMIFS(加仓管理!$G$2:$G$1001,加仓管理!$A$2:$A$1001,A114))</f>
        <v/>
      </c>
      <c r="AM114" s="25" t="str">
        <f>IF(AK114=0,"",IFERROR(LOOKUP(2,1/((加仓管理!$A$2:$A$1001=A114)*(加仓管理!$G$2:$G$1001&gt;0)),加仓管理!$D$2:$D$1001),""))</f>
        <v/>
      </c>
      <c r="AN114" s="25" t="str">
        <f>IF(AK114=0,"",IFERROR(LOOKUP(2,1/((加仓管理!$A$2:$A$1001=A114)*(加仓管理!$G$2:$G$1001&gt;0)),加仓管理!$E$2:$E$1001),""))</f>
        <v/>
      </c>
      <c r="AO114" s="25" t="str">
        <f>IF(OR(A114="",H114="",H114&lt;=0),"",(E114*H114+SUMIFS(加仓管理!$H$2:$H$1001,加仓管理!$A$2:$A$1001,A114))/AP114)</f>
        <v/>
      </c>
      <c r="AP114" s="24" t="str">
        <f t="shared" si="43"/>
        <v/>
      </c>
      <c r="AQ114" s="25" t="str">
        <f>IF(A114="","",IF(M114&lt;&gt;"",0,IF(OR(H114="",N114=""),"",MAX((E114*H114+SUMIFS(加仓管理!$H$2:$H$1001,加仓管理!$A$2:$A$1001,A114))-MAX(N114,AN114)*AP114,0))))</f>
        <v/>
      </c>
      <c r="AR114" s="25" t="str">
        <f ca="1"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ht="17" spans="1:44">
      <c r="A115" s="21"/>
      <c r="B115" s="21"/>
      <c r="C115" s="7"/>
      <c r="D115" s="4"/>
      <c r="E115" s="7"/>
      <c r="F115" s="6" t="str">
        <f t="shared" si="33"/>
        <v/>
      </c>
      <c r="G115" s="6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1"/>
      <c r="I115" s="22"/>
      <c r="J115" s="7"/>
      <c r="K115" s="3"/>
      <c r="L115" s="6" t="str">
        <f t="shared" si="34"/>
        <v/>
      </c>
      <c r="M115" s="42"/>
      <c r="N115" s="7"/>
      <c r="O115" s="7"/>
      <c r="P115" s="3"/>
      <c r="Q115" s="21"/>
      <c r="R115" s="21"/>
      <c r="S115" s="21"/>
      <c r="T115" s="21"/>
      <c r="U115" s="5" t="str">
        <f t="shared" si="35"/>
        <v/>
      </c>
      <c r="V115" s="5" t="str">
        <f t="shared" si="36"/>
        <v/>
      </c>
      <c r="W115" s="23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1"/>
      <c r="AE115" s="5" t="str">
        <f t="shared" si="41"/>
        <v/>
      </c>
      <c r="AG115" s="21"/>
      <c r="AH115" s="21"/>
      <c r="AI115" s="21"/>
      <c r="AJ115" s="6" t="str">
        <f t="shared" si="42"/>
        <v/>
      </c>
      <c r="AK115" s="24" t="str">
        <f>IF(A115="","",COUNTIFS(加仓管理!$A$2:$A$1001,A115,加仓管理!$G$2:$G$1001,"&gt;0"))</f>
        <v/>
      </c>
      <c r="AL115" s="24" t="str">
        <f>IF(A115="","",SUMIFS(加仓管理!$G$2:$G$1001,加仓管理!$A$2:$A$1001,A115))</f>
        <v/>
      </c>
      <c r="AM115" s="25" t="str">
        <f>IF(AK115=0,"",IFERROR(LOOKUP(2,1/((加仓管理!$A$2:$A$1001=A115)*(加仓管理!$G$2:$G$1001&gt;0)),加仓管理!$D$2:$D$1001),""))</f>
        <v/>
      </c>
      <c r="AN115" s="25" t="str">
        <f>IF(AK115=0,"",IFERROR(LOOKUP(2,1/((加仓管理!$A$2:$A$1001=A115)*(加仓管理!$G$2:$G$1001&gt;0)),加仓管理!$E$2:$E$1001),""))</f>
        <v/>
      </c>
      <c r="AO115" s="25" t="str">
        <f>IF(OR(A115="",H115="",H115&lt;=0),"",(E115*H115+SUMIFS(加仓管理!$H$2:$H$1001,加仓管理!$A$2:$A$1001,A115))/AP115)</f>
        <v/>
      </c>
      <c r="AP115" s="24" t="str">
        <f t="shared" si="43"/>
        <v/>
      </c>
      <c r="AQ115" s="25" t="str">
        <f>IF(A115="","",IF(M115&lt;&gt;"",0,IF(OR(H115="",N115=""),"",MAX((E115*H115+SUMIFS(加仓管理!$H$2:$H$1001,加仓管理!$A$2:$A$1001,A115))-MAX(N115,AN115)*AP115,0))))</f>
        <v/>
      </c>
      <c r="AR115" s="25" t="str">
        <f ca="1"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ht="17" spans="1:44">
      <c r="A116" s="21"/>
      <c r="B116" s="21"/>
      <c r="C116" s="7"/>
      <c r="D116" s="4"/>
      <c r="E116" s="7"/>
      <c r="F116" s="6" t="str">
        <f t="shared" si="33"/>
        <v/>
      </c>
      <c r="G116" s="6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1"/>
      <c r="I116" s="22"/>
      <c r="J116" s="7"/>
      <c r="K116" s="3"/>
      <c r="L116" s="6" t="str">
        <f t="shared" si="34"/>
        <v/>
      </c>
      <c r="M116" s="42"/>
      <c r="N116" s="7"/>
      <c r="O116" s="7"/>
      <c r="P116" s="3"/>
      <c r="Q116" s="21"/>
      <c r="R116" s="21"/>
      <c r="S116" s="21"/>
      <c r="T116" s="21"/>
      <c r="U116" s="5" t="str">
        <f t="shared" si="35"/>
        <v/>
      </c>
      <c r="V116" s="5" t="str">
        <f t="shared" si="36"/>
        <v/>
      </c>
      <c r="W116" s="23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1"/>
      <c r="AE116" s="5" t="str">
        <f t="shared" si="41"/>
        <v/>
      </c>
      <c r="AG116" s="21"/>
      <c r="AH116" s="21"/>
      <c r="AI116" s="21"/>
      <c r="AJ116" s="6" t="str">
        <f t="shared" si="42"/>
        <v/>
      </c>
      <c r="AK116" s="24" t="str">
        <f>IF(A116="","",COUNTIFS(加仓管理!$A$2:$A$1001,A116,加仓管理!$G$2:$G$1001,"&gt;0"))</f>
        <v/>
      </c>
      <c r="AL116" s="24" t="str">
        <f>IF(A116="","",SUMIFS(加仓管理!$G$2:$G$1001,加仓管理!$A$2:$A$1001,A116))</f>
        <v/>
      </c>
      <c r="AM116" s="25" t="str">
        <f>IF(AK116=0,"",IFERROR(LOOKUP(2,1/((加仓管理!$A$2:$A$1001=A116)*(加仓管理!$G$2:$G$1001&gt;0)),加仓管理!$D$2:$D$1001),""))</f>
        <v/>
      </c>
      <c r="AN116" s="25" t="str">
        <f>IF(AK116=0,"",IFERROR(LOOKUP(2,1/((加仓管理!$A$2:$A$1001=A116)*(加仓管理!$G$2:$G$1001&gt;0)),加仓管理!$E$2:$E$1001),""))</f>
        <v/>
      </c>
      <c r="AO116" s="25" t="str">
        <f>IF(OR(A116="",H116="",H116&lt;=0),"",(E116*H116+SUMIFS(加仓管理!$H$2:$H$1001,加仓管理!$A$2:$A$1001,A116))/AP116)</f>
        <v/>
      </c>
      <c r="AP116" s="24" t="str">
        <f t="shared" si="43"/>
        <v/>
      </c>
      <c r="AQ116" s="25" t="str">
        <f>IF(A116="","",IF(M116&lt;&gt;"",0,IF(OR(H116="",N116=""),"",MAX((E116*H116+SUMIFS(加仓管理!$H$2:$H$1001,加仓管理!$A$2:$A$1001,A116))-MAX(N116,AN116)*AP116,0))))</f>
        <v/>
      </c>
      <c r="AR116" s="25" t="str">
        <f ca="1"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ht="17" spans="1:44">
      <c r="A117" s="21"/>
      <c r="B117" s="21"/>
      <c r="C117" s="7"/>
      <c r="D117" s="4"/>
      <c r="E117" s="7"/>
      <c r="F117" s="6" t="str">
        <f t="shared" si="33"/>
        <v/>
      </c>
      <c r="G117" s="6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1"/>
      <c r="I117" s="22"/>
      <c r="J117" s="7"/>
      <c r="K117" s="3"/>
      <c r="L117" s="6" t="str">
        <f t="shared" si="34"/>
        <v/>
      </c>
      <c r="M117" s="42"/>
      <c r="N117" s="7"/>
      <c r="O117" s="7"/>
      <c r="P117" s="3"/>
      <c r="Q117" s="21"/>
      <c r="R117" s="21"/>
      <c r="S117" s="21"/>
      <c r="T117" s="21"/>
      <c r="U117" s="5" t="str">
        <f t="shared" si="35"/>
        <v/>
      </c>
      <c r="V117" s="5" t="str">
        <f t="shared" si="36"/>
        <v/>
      </c>
      <c r="W117" s="23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1"/>
      <c r="AE117" s="5" t="str">
        <f t="shared" si="41"/>
        <v/>
      </c>
      <c r="AG117" s="21"/>
      <c r="AH117" s="21"/>
      <c r="AI117" s="21"/>
      <c r="AJ117" s="6" t="str">
        <f t="shared" si="42"/>
        <v/>
      </c>
      <c r="AK117" s="24" t="str">
        <f>IF(A117="","",COUNTIFS(加仓管理!$A$2:$A$1001,A117,加仓管理!$G$2:$G$1001,"&gt;0"))</f>
        <v/>
      </c>
      <c r="AL117" s="24" t="str">
        <f>IF(A117="","",SUMIFS(加仓管理!$G$2:$G$1001,加仓管理!$A$2:$A$1001,A117))</f>
        <v/>
      </c>
      <c r="AM117" s="25" t="str">
        <f>IF(AK117=0,"",IFERROR(LOOKUP(2,1/((加仓管理!$A$2:$A$1001=A117)*(加仓管理!$G$2:$G$1001&gt;0)),加仓管理!$D$2:$D$1001),""))</f>
        <v/>
      </c>
      <c r="AN117" s="25" t="str">
        <f>IF(AK117=0,"",IFERROR(LOOKUP(2,1/((加仓管理!$A$2:$A$1001=A117)*(加仓管理!$G$2:$G$1001&gt;0)),加仓管理!$E$2:$E$1001),""))</f>
        <v/>
      </c>
      <c r="AO117" s="25" t="str">
        <f>IF(OR(A117="",H117="",H117&lt;=0),"",(E117*H117+SUMIFS(加仓管理!$H$2:$H$1001,加仓管理!$A$2:$A$1001,A117))/AP117)</f>
        <v/>
      </c>
      <c r="AP117" s="24" t="str">
        <f t="shared" si="43"/>
        <v/>
      </c>
      <c r="AQ117" s="25" t="str">
        <f>IF(A117="","",IF(M117&lt;&gt;"",0,IF(OR(H117="",N117=""),"",MAX((E117*H117+SUMIFS(加仓管理!$H$2:$H$1001,加仓管理!$A$2:$A$1001,A117))-MAX(N117,AN117)*AP117,0))))</f>
        <v/>
      </c>
      <c r="AR117" s="25" t="str">
        <f ca="1"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ht="17" spans="1:44">
      <c r="A118" s="21"/>
      <c r="B118" s="21"/>
      <c r="C118" s="7"/>
      <c r="D118" s="4"/>
      <c r="E118" s="7"/>
      <c r="F118" s="6" t="str">
        <f t="shared" si="33"/>
        <v/>
      </c>
      <c r="G118" s="6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1"/>
      <c r="I118" s="22"/>
      <c r="J118" s="7"/>
      <c r="K118" s="3"/>
      <c r="L118" s="6" t="str">
        <f t="shared" si="34"/>
        <v/>
      </c>
      <c r="M118" s="42"/>
      <c r="N118" s="7"/>
      <c r="O118" s="7"/>
      <c r="P118" s="3"/>
      <c r="Q118" s="21"/>
      <c r="R118" s="21"/>
      <c r="S118" s="21"/>
      <c r="T118" s="21"/>
      <c r="U118" s="5" t="str">
        <f t="shared" si="35"/>
        <v/>
      </c>
      <c r="V118" s="5" t="str">
        <f t="shared" si="36"/>
        <v/>
      </c>
      <c r="W118" s="23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1"/>
      <c r="AE118" s="5" t="str">
        <f t="shared" si="41"/>
        <v/>
      </c>
      <c r="AG118" s="21"/>
      <c r="AH118" s="21"/>
      <c r="AI118" s="21"/>
      <c r="AJ118" s="6" t="str">
        <f t="shared" si="42"/>
        <v/>
      </c>
      <c r="AK118" s="24" t="str">
        <f>IF(A118="","",COUNTIFS(加仓管理!$A$2:$A$1001,A118,加仓管理!$G$2:$G$1001,"&gt;0"))</f>
        <v/>
      </c>
      <c r="AL118" s="24" t="str">
        <f>IF(A118="","",SUMIFS(加仓管理!$G$2:$G$1001,加仓管理!$A$2:$A$1001,A118))</f>
        <v/>
      </c>
      <c r="AM118" s="25" t="str">
        <f>IF(AK118=0,"",IFERROR(LOOKUP(2,1/((加仓管理!$A$2:$A$1001=A118)*(加仓管理!$G$2:$G$1001&gt;0)),加仓管理!$D$2:$D$1001),""))</f>
        <v/>
      </c>
      <c r="AN118" s="25" t="str">
        <f>IF(AK118=0,"",IFERROR(LOOKUP(2,1/((加仓管理!$A$2:$A$1001=A118)*(加仓管理!$G$2:$G$1001&gt;0)),加仓管理!$E$2:$E$1001),""))</f>
        <v/>
      </c>
      <c r="AO118" s="25" t="str">
        <f>IF(OR(A118="",H118="",H118&lt;=0),"",(E118*H118+SUMIFS(加仓管理!$H$2:$H$1001,加仓管理!$A$2:$A$1001,A118))/AP118)</f>
        <v/>
      </c>
      <c r="AP118" s="24" t="str">
        <f t="shared" si="43"/>
        <v/>
      </c>
      <c r="AQ118" s="25" t="str">
        <f>IF(A118="","",IF(M118&lt;&gt;"",0,IF(OR(H118="",N118=""),"",MAX((E118*H118+SUMIFS(加仓管理!$H$2:$H$1001,加仓管理!$A$2:$A$1001,A118))-MAX(N118,AN118)*AP118,0))))</f>
        <v/>
      </c>
      <c r="AR118" s="25" t="str">
        <f ca="1"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ht="17" spans="1:44">
      <c r="A119" s="21"/>
      <c r="B119" s="21"/>
      <c r="C119" s="7"/>
      <c r="D119" s="4"/>
      <c r="E119" s="7"/>
      <c r="F119" s="6" t="str">
        <f t="shared" si="33"/>
        <v/>
      </c>
      <c r="G119" s="6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1"/>
      <c r="I119" s="22"/>
      <c r="J119" s="7"/>
      <c r="K119" s="3"/>
      <c r="L119" s="6" t="str">
        <f t="shared" si="34"/>
        <v/>
      </c>
      <c r="M119" s="42"/>
      <c r="N119" s="7"/>
      <c r="O119" s="7"/>
      <c r="P119" s="3"/>
      <c r="Q119" s="21"/>
      <c r="R119" s="21"/>
      <c r="S119" s="21"/>
      <c r="T119" s="21"/>
      <c r="U119" s="5" t="str">
        <f t="shared" si="35"/>
        <v/>
      </c>
      <c r="V119" s="5" t="str">
        <f t="shared" si="36"/>
        <v/>
      </c>
      <c r="W119" s="23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1"/>
      <c r="AE119" s="5" t="str">
        <f t="shared" si="41"/>
        <v/>
      </c>
      <c r="AG119" s="21"/>
      <c r="AH119" s="21"/>
      <c r="AI119" s="21"/>
      <c r="AJ119" s="6" t="str">
        <f t="shared" si="42"/>
        <v/>
      </c>
      <c r="AK119" s="24" t="str">
        <f>IF(A119="","",COUNTIFS(加仓管理!$A$2:$A$1001,A119,加仓管理!$G$2:$G$1001,"&gt;0"))</f>
        <v/>
      </c>
      <c r="AL119" s="24" t="str">
        <f>IF(A119="","",SUMIFS(加仓管理!$G$2:$G$1001,加仓管理!$A$2:$A$1001,A119))</f>
        <v/>
      </c>
      <c r="AM119" s="25" t="str">
        <f>IF(AK119=0,"",IFERROR(LOOKUP(2,1/((加仓管理!$A$2:$A$1001=A119)*(加仓管理!$G$2:$G$1001&gt;0)),加仓管理!$D$2:$D$1001),""))</f>
        <v/>
      </c>
      <c r="AN119" s="25" t="str">
        <f>IF(AK119=0,"",IFERROR(LOOKUP(2,1/((加仓管理!$A$2:$A$1001=A119)*(加仓管理!$G$2:$G$1001&gt;0)),加仓管理!$E$2:$E$1001),""))</f>
        <v/>
      </c>
      <c r="AO119" s="25" t="str">
        <f>IF(OR(A119="",H119="",H119&lt;=0),"",(E119*H119+SUMIFS(加仓管理!$H$2:$H$1001,加仓管理!$A$2:$A$1001,A119))/AP119)</f>
        <v/>
      </c>
      <c r="AP119" s="24" t="str">
        <f t="shared" si="43"/>
        <v/>
      </c>
      <c r="AQ119" s="25" t="str">
        <f>IF(A119="","",IF(M119&lt;&gt;"",0,IF(OR(H119="",N119=""),"",MAX((E119*H119+SUMIFS(加仓管理!$H$2:$H$1001,加仓管理!$A$2:$A$1001,A119))-MAX(N119,AN119)*AP119,0))))</f>
        <v/>
      </c>
      <c r="AR119" s="25" t="str">
        <f ca="1"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ht="17" spans="1:44">
      <c r="A120" s="21"/>
      <c r="B120" s="21"/>
      <c r="C120" s="7"/>
      <c r="D120" s="4"/>
      <c r="E120" s="7"/>
      <c r="F120" s="6" t="str">
        <f t="shared" si="33"/>
        <v/>
      </c>
      <c r="G120" s="6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1"/>
      <c r="I120" s="22"/>
      <c r="J120" s="7"/>
      <c r="K120" s="3"/>
      <c r="L120" s="6" t="str">
        <f t="shared" si="34"/>
        <v/>
      </c>
      <c r="M120" s="42"/>
      <c r="N120" s="7"/>
      <c r="O120" s="7"/>
      <c r="P120" s="3"/>
      <c r="Q120" s="21"/>
      <c r="R120" s="21"/>
      <c r="S120" s="21"/>
      <c r="T120" s="21"/>
      <c r="U120" s="5" t="str">
        <f t="shared" si="35"/>
        <v/>
      </c>
      <c r="V120" s="5" t="str">
        <f t="shared" si="36"/>
        <v/>
      </c>
      <c r="W120" s="23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1"/>
      <c r="AE120" s="5" t="str">
        <f t="shared" si="41"/>
        <v/>
      </c>
      <c r="AG120" s="21"/>
      <c r="AH120" s="21"/>
      <c r="AI120" s="21"/>
      <c r="AJ120" s="6" t="str">
        <f t="shared" si="42"/>
        <v/>
      </c>
      <c r="AK120" s="24" t="str">
        <f>IF(A120="","",COUNTIFS(加仓管理!$A$2:$A$1001,A120,加仓管理!$G$2:$G$1001,"&gt;0"))</f>
        <v/>
      </c>
      <c r="AL120" s="24" t="str">
        <f>IF(A120="","",SUMIFS(加仓管理!$G$2:$G$1001,加仓管理!$A$2:$A$1001,A120))</f>
        <v/>
      </c>
      <c r="AM120" s="25" t="str">
        <f>IF(AK120=0,"",IFERROR(LOOKUP(2,1/((加仓管理!$A$2:$A$1001=A120)*(加仓管理!$G$2:$G$1001&gt;0)),加仓管理!$D$2:$D$1001),""))</f>
        <v/>
      </c>
      <c r="AN120" s="25" t="str">
        <f>IF(AK120=0,"",IFERROR(LOOKUP(2,1/((加仓管理!$A$2:$A$1001=A120)*(加仓管理!$G$2:$G$1001&gt;0)),加仓管理!$E$2:$E$1001),""))</f>
        <v/>
      </c>
      <c r="AO120" s="25" t="str">
        <f>IF(OR(A120="",H120="",H120&lt;=0),"",(E120*H120+SUMIFS(加仓管理!$H$2:$H$1001,加仓管理!$A$2:$A$1001,A120))/AP120)</f>
        <v/>
      </c>
      <c r="AP120" s="24" t="str">
        <f t="shared" si="43"/>
        <v/>
      </c>
      <c r="AQ120" s="25" t="str">
        <f>IF(A120="","",IF(M120&lt;&gt;"",0,IF(OR(H120="",N120=""),"",MAX((E120*H120+SUMIFS(加仓管理!$H$2:$H$1001,加仓管理!$A$2:$A$1001,A120))-MAX(N120,AN120)*AP120,0))))</f>
        <v/>
      </c>
      <c r="AR120" s="25" t="str">
        <f ca="1"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ht="17" spans="1:44">
      <c r="A121" s="21"/>
      <c r="B121" s="21"/>
      <c r="C121" s="7"/>
      <c r="D121" s="4"/>
      <c r="E121" s="7"/>
      <c r="F121" s="6" t="str">
        <f t="shared" si="33"/>
        <v/>
      </c>
      <c r="G121" s="6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1"/>
      <c r="I121" s="22"/>
      <c r="J121" s="7"/>
      <c r="K121" s="3"/>
      <c r="L121" s="6" t="str">
        <f t="shared" si="34"/>
        <v/>
      </c>
      <c r="M121" s="42"/>
      <c r="N121" s="7"/>
      <c r="O121" s="7"/>
      <c r="P121" s="3"/>
      <c r="Q121" s="21"/>
      <c r="R121" s="21"/>
      <c r="S121" s="21"/>
      <c r="T121" s="21"/>
      <c r="U121" s="5" t="str">
        <f t="shared" si="35"/>
        <v/>
      </c>
      <c r="V121" s="5" t="str">
        <f t="shared" si="36"/>
        <v/>
      </c>
      <c r="W121" s="23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1"/>
      <c r="AE121" s="5" t="str">
        <f t="shared" si="41"/>
        <v/>
      </c>
      <c r="AG121" s="21"/>
      <c r="AH121" s="21"/>
      <c r="AI121" s="21"/>
      <c r="AJ121" s="6" t="str">
        <f t="shared" si="42"/>
        <v/>
      </c>
      <c r="AK121" s="24" t="str">
        <f>IF(A121="","",COUNTIFS(加仓管理!$A$2:$A$1001,A121,加仓管理!$G$2:$G$1001,"&gt;0"))</f>
        <v/>
      </c>
      <c r="AL121" s="24" t="str">
        <f>IF(A121="","",SUMIFS(加仓管理!$G$2:$G$1001,加仓管理!$A$2:$A$1001,A121))</f>
        <v/>
      </c>
      <c r="AM121" s="25" t="str">
        <f>IF(AK121=0,"",IFERROR(LOOKUP(2,1/((加仓管理!$A$2:$A$1001=A121)*(加仓管理!$G$2:$G$1001&gt;0)),加仓管理!$D$2:$D$1001),""))</f>
        <v/>
      </c>
      <c r="AN121" s="25" t="str">
        <f>IF(AK121=0,"",IFERROR(LOOKUP(2,1/((加仓管理!$A$2:$A$1001=A121)*(加仓管理!$G$2:$G$1001&gt;0)),加仓管理!$E$2:$E$1001),""))</f>
        <v/>
      </c>
      <c r="AO121" s="25" t="str">
        <f>IF(OR(A121="",H121="",H121&lt;=0),"",(E121*H121+SUMIFS(加仓管理!$H$2:$H$1001,加仓管理!$A$2:$A$1001,A121))/AP121)</f>
        <v/>
      </c>
      <c r="AP121" s="24" t="str">
        <f t="shared" si="43"/>
        <v/>
      </c>
      <c r="AQ121" s="25" t="str">
        <f>IF(A121="","",IF(M121&lt;&gt;"",0,IF(OR(H121="",N121=""),"",MAX((E121*H121+SUMIFS(加仓管理!$H$2:$H$1001,加仓管理!$A$2:$A$1001,A121))-MAX(N121,AN121)*AP121,0))))</f>
        <v/>
      </c>
      <c r="AR121" s="25" t="str">
        <f ca="1"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ht="17" spans="1:44">
      <c r="A122" s="21"/>
      <c r="B122" s="21"/>
      <c r="C122" s="7"/>
      <c r="D122" s="4"/>
      <c r="E122" s="7"/>
      <c r="F122" s="6" t="str">
        <f t="shared" si="33"/>
        <v/>
      </c>
      <c r="G122" s="6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1"/>
      <c r="I122" s="22"/>
      <c r="J122" s="7"/>
      <c r="K122" s="3"/>
      <c r="L122" s="6" t="str">
        <f t="shared" si="34"/>
        <v/>
      </c>
      <c r="M122" s="42"/>
      <c r="N122" s="7"/>
      <c r="O122" s="7"/>
      <c r="P122" s="3"/>
      <c r="Q122" s="21"/>
      <c r="R122" s="21"/>
      <c r="S122" s="21"/>
      <c r="T122" s="21"/>
      <c r="U122" s="5" t="str">
        <f t="shared" si="35"/>
        <v/>
      </c>
      <c r="V122" s="5" t="str">
        <f t="shared" si="36"/>
        <v/>
      </c>
      <c r="W122" s="23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1"/>
      <c r="AE122" s="5" t="str">
        <f t="shared" si="41"/>
        <v/>
      </c>
      <c r="AG122" s="21"/>
      <c r="AH122" s="21"/>
      <c r="AI122" s="21"/>
      <c r="AJ122" s="6" t="str">
        <f t="shared" si="42"/>
        <v/>
      </c>
      <c r="AK122" s="24" t="str">
        <f>IF(A122="","",COUNTIFS(加仓管理!$A$2:$A$1001,A122,加仓管理!$G$2:$G$1001,"&gt;0"))</f>
        <v/>
      </c>
      <c r="AL122" s="24" t="str">
        <f>IF(A122="","",SUMIFS(加仓管理!$G$2:$G$1001,加仓管理!$A$2:$A$1001,A122))</f>
        <v/>
      </c>
      <c r="AM122" s="25" t="str">
        <f>IF(AK122=0,"",IFERROR(LOOKUP(2,1/((加仓管理!$A$2:$A$1001=A122)*(加仓管理!$G$2:$G$1001&gt;0)),加仓管理!$D$2:$D$1001),""))</f>
        <v/>
      </c>
      <c r="AN122" s="25" t="str">
        <f>IF(AK122=0,"",IFERROR(LOOKUP(2,1/((加仓管理!$A$2:$A$1001=A122)*(加仓管理!$G$2:$G$1001&gt;0)),加仓管理!$E$2:$E$1001),""))</f>
        <v/>
      </c>
      <c r="AO122" s="25" t="str">
        <f>IF(OR(A122="",H122="",H122&lt;=0),"",(E122*H122+SUMIFS(加仓管理!$H$2:$H$1001,加仓管理!$A$2:$A$1001,A122))/AP122)</f>
        <v/>
      </c>
      <c r="AP122" s="24" t="str">
        <f t="shared" si="43"/>
        <v/>
      </c>
      <c r="AQ122" s="25" t="str">
        <f>IF(A122="","",IF(M122&lt;&gt;"",0,IF(OR(H122="",N122=""),"",MAX((E122*H122+SUMIFS(加仓管理!$H$2:$H$1001,加仓管理!$A$2:$A$1001,A122))-MAX(N122,AN122)*AP122,0))))</f>
        <v/>
      </c>
      <c r="AR122" s="25" t="str">
        <f ca="1"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ht="17" spans="1:44">
      <c r="A123" s="21"/>
      <c r="B123" s="21"/>
      <c r="C123" s="7"/>
      <c r="D123" s="4"/>
      <c r="E123" s="7"/>
      <c r="F123" s="6" t="str">
        <f t="shared" si="33"/>
        <v/>
      </c>
      <c r="G123" s="6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1"/>
      <c r="I123" s="22"/>
      <c r="J123" s="7"/>
      <c r="K123" s="3"/>
      <c r="L123" s="6" t="str">
        <f t="shared" si="34"/>
        <v/>
      </c>
      <c r="M123" s="42"/>
      <c r="N123" s="7"/>
      <c r="O123" s="7"/>
      <c r="P123" s="3"/>
      <c r="Q123" s="21"/>
      <c r="R123" s="21"/>
      <c r="S123" s="21"/>
      <c r="T123" s="21"/>
      <c r="U123" s="5" t="str">
        <f t="shared" si="35"/>
        <v/>
      </c>
      <c r="V123" s="5" t="str">
        <f t="shared" si="36"/>
        <v/>
      </c>
      <c r="W123" s="23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1"/>
      <c r="AE123" s="5" t="str">
        <f t="shared" si="41"/>
        <v/>
      </c>
      <c r="AG123" s="21"/>
      <c r="AH123" s="21"/>
      <c r="AI123" s="21"/>
      <c r="AJ123" s="6" t="str">
        <f t="shared" si="42"/>
        <v/>
      </c>
      <c r="AK123" s="24" t="str">
        <f>IF(A123="","",COUNTIFS(加仓管理!$A$2:$A$1001,A123,加仓管理!$G$2:$G$1001,"&gt;0"))</f>
        <v/>
      </c>
      <c r="AL123" s="24" t="str">
        <f>IF(A123="","",SUMIFS(加仓管理!$G$2:$G$1001,加仓管理!$A$2:$A$1001,A123))</f>
        <v/>
      </c>
      <c r="AM123" s="25" t="str">
        <f>IF(AK123=0,"",IFERROR(LOOKUP(2,1/((加仓管理!$A$2:$A$1001=A123)*(加仓管理!$G$2:$G$1001&gt;0)),加仓管理!$D$2:$D$1001),""))</f>
        <v/>
      </c>
      <c r="AN123" s="25" t="str">
        <f>IF(AK123=0,"",IFERROR(LOOKUP(2,1/((加仓管理!$A$2:$A$1001=A123)*(加仓管理!$G$2:$G$1001&gt;0)),加仓管理!$E$2:$E$1001),""))</f>
        <v/>
      </c>
      <c r="AO123" s="25" t="str">
        <f>IF(OR(A123="",H123="",H123&lt;=0),"",(E123*H123+SUMIFS(加仓管理!$H$2:$H$1001,加仓管理!$A$2:$A$1001,A123))/AP123)</f>
        <v/>
      </c>
      <c r="AP123" s="24" t="str">
        <f t="shared" si="43"/>
        <v/>
      </c>
      <c r="AQ123" s="25" t="str">
        <f>IF(A123="","",IF(M123&lt;&gt;"",0,IF(OR(H123="",N123=""),"",MAX((E123*H123+SUMIFS(加仓管理!$H$2:$H$1001,加仓管理!$A$2:$A$1001,A123))-MAX(N123,AN123)*AP123,0))))</f>
        <v/>
      </c>
      <c r="AR123" s="25" t="str">
        <f ca="1"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ht="17" spans="1:44">
      <c r="A124" s="21"/>
      <c r="B124" s="21"/>
      <c r="C124" s="7"/>
      <c r="D124" s="4"/>
      <c r="E124" s="7"/>
      <c r="F124" s="6" t="str">
        <f t="shared" si="33"/>
        <v/>
      </c>
      <c r="G124" s="6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1"/>
      <c r="I124" s="22"/>
      <c r="J124" s="7"/>
      <c r="K124" s="3"/>
      <c r="L124" s="6" t="str">
        <f t="shared" si="34"/>
        <v/>
      </c>
      <c r="M124" s="42"/>
      <c r="N124" s="7"/>
      <c r="O124" s="7"/>
      <c r="P124" s="3"/>
      <c r="Q124" s="21"/>
      <c r="R124" s="21"/>
      <c r="S124" s="21"/>
      <c r="T124" s="21"/>
      <c r="U124" s="5" t="str">
        <f t="shared" si="35"/>
        <v/>
      </c>
      <c r="V124" s="5" t="str">
        <f t="shared" si="36"/>
        <v/>
      </c>
      <c r="W124" s="23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1"/>
      <c r="AE124" s="5" t="str">
        <f t="shared" si="41"/>
        <v/>
      </c>
      <c r="AG124" s="21"/>
      <c r="AH124" s="21"/>
      <c r="AI124" s="21"/>
      <c r="AJ124" s="6" t="str">
        <f t="shared" si="42"/>
        <v/>
      </c>
      <c r="AK124" s="24" t="str">
        <f>IF(A124="","",COUNTIFS(加仓管理!$A$2:$A$1001,A124,加仓管理!$G$2:$G$1001,"&gt;0"))</f>
        <v/>
      </c>
      <c r="AL124" s="24" t="str">
        <f>IF(A124="","",SUMIFS(加仓管理!$G$2:$G$1001,加仓管理!$A$2:$A$1001,A124))</f>
        <v/>
      </c>
      <c r="AM124" s="25" t="str">
        <f>IF(AK124=0,"",IFERROR(LOOKUP(2,1/((加仓管理!$A$2:$A$1001=A124)*(加仓管理!$G$2:$G$1001&gt;0)),加仓管理!$D$2:$D$1001),""))</f>
        <v/>
      </c>
      <c r="AN124" s="25" t="str">
        <f>IF(AK124=0,"",IFERROR(LOOKUP(2,1/((加仓管理!$A$2:$A$1001=A124)*(加仓管理!$G$2:$G$1001&gt;0)),加仓管理!$E$2:$E$1001),""))</f>
        <v/>
      </c>
      <c r="AO124" s="25" t="str">
        <f>IF(OR(A124="",H124="",H124&lt;=0),"",(E124*H124+SUMIFS(加仓管理!$H$2:$H$1001,加仓管理!$A$2:$A$1001,A124))/AP124)</f>
        <v/>
      </c>
      <c r="AP124" s="24" t="str">
        <f t="shared" si="43"/>
        <v/>
      </c>
      <c r="AQ124" s="25" t="str">
        <f>IF(A124="","",IF(M124&lt;&gt;"",0,IF(OR(H124="",N124=""),"",MAX((E124*H124+SUMIFS(加仓管理!$H$2:$H$1001,加仓管理!$A$2:$A$1001,A124))-MAX(N124,AN124)*AP124,0))))</f>
        <v/>
      </c>
      <c r="AR124" s="25" t="str">
        <f ca="1"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ht="17" spans="1:44">
      <c r="A125" s="21"/>
      <c r="B125" s="21"/>
      <c r="C125" s="7"/>
      <c r="D125" s="4"/>
      <c r="E125" s="7"/>
      <c r="F125" s="6" t="str">
        <f t="shared" si="33"/>
        <v/>
      </c>
      <c r="G125" s="6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1"/>
      <c r="I125" s="22"/>
      <c r="J125" s="7"/>
      <c r="K125" s="3"/>
      <c r="L125" s="6" t="str">
        <f t="shared" si="34"/>
        <v/>
      </c>
      <c r="M125" s="42"/>
      <c r="N125" s="7"/>
      <c r="O125" s="7"/>
      <c r="P125" s="3"/>
      <c r="Q125" s="21"/>
      <c r="R125" s="21"/>
      <c r="S125" s="21"/>
      <c r="T125" s="21"/>
      <c r="U125" s="5" t="str">
        <f t="shared" si="35"/>
        <v/>
      </c>
      <c r="V125" s="5" t="str">
        <f t="shared" si="36"/>
        <v/>
      </c>
      <c r="W125" s="23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1"/>
      <c r="AE125" s="5" t="str">
        <f t="shared" si="41"/>
        <v/>
      </c>
      <c r="AG125" s="21"/>
      <c r="AH125" s="21"/>
      <c r="AI125" s="21"/>
      <c r="AJ125" s="6" t="str">
        <f t="shared" si="42"/>
        <v/>
      </c>
      <c r="AK125" s="24" t="str">
        <f>IF(A125="","",COUNTIFS(加仓管理!$A$2:$A$1001,A125,加仓管理!$G$2:$G$1001,"&gt;0"))</f>
        <v/>
      </c>
      <c r="AL125" s="24" t="str">
        <f>IF(A125="","",SUMIFS(加仓管理!$G$2:$G$1001,加仓管理!$A$2:$A$1001,A125))</f>
        <v/>
      </c>
      <c r="AM125" s="25" t="str">
        <f>IF(AK125=0,"",IFERROR(LOOKUP(2,1/((加仓管理!$A$2:$A$1001=A125)*(加仓管理!$G$2:$G$1001&gt;0)),加仓管理!$D$2:$D$1001),""))</f>
        <v/>
      </c>
      <c r="AN125" s="25" t="str">
        <f>IF(AK125=0,"",IFERROR(LOOKUP(2,1/((加仓管理!$A$2:$A$1001=A125)*(加仓管理!$G$2:$G$1001&gt;0)),加仓管理!$E$2:$E$1001),""))</f>
        <v/>
      </c>
      <c r="AO125" s="25" t="str">
        <f>IF(OR(A125="",H125="",H125&lt;=0),"",(E125*H125+SUMIFS(加仓管理!$H$2:$H$1001,加仓管理!$A$2:$A$1001,A125))/AP125)</f>
        <v/>
      </c>
      <c r="AP125" s="24" t="str">
        <f t="shared" si="43"/>
        <v/>
      </c>
      <c r="AQ125" s="25" t="str">
        <f>IF(A125="","",IF(M125&lt;&gt;"",0,IF(OR(H125="",N125=""),"",MAX((E125*H125+SUMIFS(加仓管理!$H$2:$H$1001,加仓管理!$A$2:$A$1001,A125))-MAX(N125,AN125)*AP125,0))))</f>
        <v/>
      </c>
      <c r="AR125" s="25" t="str">
        <f ca="1"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ht="17" spans="1:44">
      <c r="A126" s="21"/>
      <c r="B126" s="21"/>
      <c r="C126" s="7"/>
      <c r="D126" s="4"/>
      <c r="E126" s="7"/>
      <c r="F126" s="6" t="str">
        <f t="shared" si="33"/>
        <v/>
      </c>
      <c r="G126" s="6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1"/>
      <c r="I126" s="22"/>
      <c r="J126" s="7"/>
      <c r="K126" s="3"/>
      <c r="L126" s="6" t="str">
        <f t="shared" si="34"/>
        <v/>
      </c>
      <c r="M126" s="42"/>
      <c r="N126" s="7"/>
      <c r="O126" s="7"/>
      <c r="P126" s="3"/>
      <c r="Q126" s="21"/>
      <c r="R126" s="21"/>
      <c r="S126" s="21"/>
      <c r="T126" s="21"/>
      <c r="U126" s="5" t="str">
        <f t="shared" si="35"/>
        <v/>
      </c>
      <c r="V126" s="5" t="str">
        <f t="shared" si="36"/>
        <v/>
      </c>
      <c r="W126" s="23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1"/>
      <c r="AE126" s="5" t="str">
        <f t="shared" si="41"/>
        <v/>
      </c>
      <c r="AG126" s="21"/>
      <c r="AH126" s="21"/>
      <c r="AI126" s="21"/>
      <c r="AJ126" s="6" t="str">
        <f t="shared" si="42"/>
        <v/>
      </c>
      <c r="AK126" s="24" t="str">
        <f>IF(A126="","",COUNTIFS(加仓管理!$A$2:$A$1001,A126,加仓管理!$G$2:$G$1001,"&gt;0"))</f>
        <v/>
      </c>
      <c r="AL126" s="24" t="str">
        <f>IF(A126="","",SUMIFS(加仓管理!$G$2:$G$1001,加仓管理!$A$2:$A$1001,A126))</f>
        <v/>
      </c>
      <c r="AM126" s="25" t="str">
        <f>IF(AK126=0,"",IFERROR(LOOKUP(2,1/((加仓管理!$A$2:$A$1001=A126)*(加仓管理!$G$2:$G$1001&gt;0)),加仓管理!$D$2:$D$1001),""))</f>
        <v/>
      </c>
      <c r="AN126" s="25" t="str">
        <f>IF(AK126=0,"",IFERROR(LOOKUP(2,1/((加仓管理!$A$2:$A$1001=A126)*(加仓管理!$G$2:$G$1001&gt;0)),加仓管理!$E$2:$E$1001),""))</f>
        <v/>
      </c>
      <c r="AO126" s="25" t="str">
        <f>IF(OR(A126="",H126="",H126&lt;=0),"",(E126*H126+SUMIFS(加仓管理!$H$2:$H$1001,加仓管理!$A$2:$A$1001,A126))/AP126)</f>
        <v/>
      </c>
      <c r="AP126" s="24" t="str">
        <f t="shared" si="43"/>
        <v/>
      </c>
      <c r="AQ126" s="25" t="str">
        <f>IF(A126="","",IF(M126&lt;&gt;"",0,IF(OR(H126="",N126=""),"",MAX((E126*H126+SUMIFS(加仓管理!$H$2:$H$1001,加仓管理!$A$2:$A$1001,A126))-MAX(N126,AN126)*AP126,0))))</f>
        <v/>
      </c>
      <c r="AR126" s="25" t="str">
        <f ca="1"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ht="17" spans="1:44">
      <c r="A127" s="21"/>
      <c r="B127" s="21"/>
      <c r="C127" s="7"/>
      <c r="D127" s="4"/>
      <c r="E127" s="7"/>
      <c r="F127" s="6" t="str">
        <f t="shared" si="33"/>
        <v/>
      </c>
      <c r="G127" s="6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1"/>
      <c r="I127" s="22"/>
      <c r="J127" s="7"/>
      <c r="K127" s="3"/>
      <c r="L127" s="6" t="str">
        <f t="shared" si="34"/>
        <v/>
      </c>
      <c r="M127" s="42"/>
      <c r="N127" s="7"/>
      <c r="O127" s="7"/>
      <c r="P127" s="3"/>
      <c r="Q127" s="21"/>
      <c r="R127" s="21"/>
      <c r="S127" s="21"/>
      <c r="T127" s="21"/>
      <c r="U127" s="5" t="str">
        <f t="shared" si="35"/>
        <v/>
      </c>
      <c r="V127" s="5" t="str">
        <f t="shared" si="36"/>
        <v/>
      </c>
      <c r="W127" s="23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1"/>
      <c r="AE127" s="5" t="str">
        <f t="shared" si="41"/>
        <v/>
      </c>
      <c r="AG127" s="21"/>
      <c r="AH127" s="21"/>
      <c r="AI127" s="21"/>
      <c r="AJ127" s="6" t="str">
        <f t="shared" si="42"/>
        <v/>
      </c>
      <c r="AK127" s="24" t="str">
        <f>IF(A127="","",COUNTIFS(加仓管理!$A$2:$A$1001,A127,加仓管理!$G$2:$G$1001,"&gt;0"))</f>
        <v/>
      </c>
      <c r="AL127" s="24" t="str">
        <f>IF(A127="","",SUMIFS(加仓管理!$G$2:$G$1001,加仓管理!$A$2:$A$1001,A127))</f>
        <v/>
      </c>
      <c r="AM127" s="25" t="str">
        <f>IF(AK127=0,"",IFERROR(LOOKUP(2,1/((加仓管理!$A$2:$A$1001=A127)*(加仓管理!$G$2:$G$1001&gt;0)),加仓管理!$D$2:$D$1001),""))</f>
        <v/>
      </c>
      <c r="AN127" s="25" t="str">
        <f>IF(AK127=0,"",IFERROR(LOOKUP(2,1/((加仓管理!$A$2:$A$1001=A127)*(加仓管理!$G$2:$G$1001&gt;0)),加仓管理!$E$2:$E$1001),""))</f>
        <v/>
      </c>
      <c r="AO127" s="25" t="str">
        <f>IF(OR(A127="",H127="",H127&lt;=0),"",(E127*H127+SUMIFS(加仓管理!$H$2:$H$1001,加仓管理!$A$2:$A$1001,A127))/AP127)</f>
        <v/>
      </c>
      <c r="AP127" s="24" t="str">
        <f t="shared" si="43"/>
        <v/>
      </c>
      <c r="AQ127" s="25" t="str">
        <f>IF(A127="","",IF(M127&lt;&gt;"",0,IF(OR(H127="",N127=""),"",MAX((E127*H127+SUMIFS(加仓管理!$H$2:$H$1001,加仓管理!$A$2:$A$1001,A127))-MAX(N127,AN127)*AP127,0))))</f>
        <v/>
      </c>
      <c r="AR127" s="25" t="str">
        <f ca="1"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ht="17" spans="1:44">
      <c r="A128" s="21"/>
      <c r="B128" s="21"/>
      <c r="C128" s="7"/>
      <c r="D128" s="4"/>
      <c r="E128" s="7"/>
      <c r="F128" s="6" t="str">
        <f t="shared" si="33"/>
        <v/>
      </c>
      <c r="G128" s="6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1"/>
      <c r="I128" s="22"/>
      <c r="J128" s="7"/>
      <c r="K128" s="3"/>
      <c r="L128" s="6" t="str">
        <f t="shared" si="34"/>
        <v/>
      </c>
      <c r="M128" s="42"/>
      <c r="N128" s="7"/>
      <c r="O128" s="7"/>
      <c r="P128" s="3"/>
      <c r="Q128" s="21"/>
      <c r="R128" s="21"/>
      <c r="S128" s="21"/>
      <c r="T128" s="21"/>
      <c r="U128" s="5" t="str">
        <f t="shared" si="35"/>
        <v/>
      </c>
      <c r="V128" s="5" t="str">
        <f t="shared" si="36"/>
        <v/>
      </c>
      <c r="W128" s="23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1"/>
      <c r="AE128" s="5" t="str">
        <f t="shared" si="41"/>
        <v/>
      </c>
      <c r="AG128" s="21"/>
      <c r="AH128" s="21"/>
      <c r="AI128" s="21"/>
      <c r="AJ128" s="6" t="str">
        <f t="shared" si="42"/>
        <v/>
      </c>
      <c r="AK128" s="24" t="str">
        <f>IF(A128="","",COUNTIFS(加仓管理!$A$2:$A$1001,A128,加仓管理!$G$2:$G$1001,"&gt;0"))</f>
        <v/>
      </c>
      <c r="AL128" s="24" t="str">
        <f>IF(A128="","",SUMIFS(加仓管理!$G$2:$G$1001,加仓管理!$A$2:$A$1001,A128))</f>
        <v/>
      </c>
      <c r="AM128" s="25" t="str">
        <f>IF(AK128=0,"",IFERROR(LOOKUP(2,1/((加仓管理!$A$2:$A$1001=A128)*(加仓管理!$G$2:$G$1001&gt;0)),加仓管理!$D$2:$D$1001),""))</f>
        <v/>
      </c>
      <c r="AN128" s="25" t="str">
        <f>IF(AK128=0,"",IFERROR(LOOKUP(2,1/((加仓管理!$A$2:$A$1001=A128)*(加仓管理!$G$2:$G$1001&gt;0)),加仓管理!$E$2:$E$1001),""))</f>
        <v/>
      </c>
      <c r="AO128" s="25" t="str">
        <f>IF(OR(A128="",H128="",H128&lt;=0),"",(E128*H128+SUMIFS(加仓管理!$H$2:$H$1001,加仓管理!$A$2:$A$1001,A128))/AP128)</f>
        <v/>
      </c>
      <c r="AP128" s="24" t="str">
        <f t="shared" si="43"/>
        <v/>
      </c>
      <c r="AQ128" s="25" t="str">
        <f>IF(A128="","",IF(M128&lt;&gt;"",0,IF(OR(H128="",N128=""),"",MAX((E128*H128+SUMIFS(加仓管理!$H$2:$H$1001,加仓管理!$A$2:$A$1001,A128))-MAX(N128,AN128)*AP128,0))))</f>
        <v/>
      </c>
      <c r="AR128" s="25" t="str">
        <f ca="1"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ht="17" spans="1:44">
      <c r="A129" s="21"/>
      <c r="B129" s="21"/>
      <c r="C129" s="7"/>
      <c r="D129" s="4"/>
      <c r="E129" s="7"/>
      <c r="F129" s="6" t="str">
        <f t="shared" si="33"/>
        <v/>
      </c>
      <c r="G129" s="6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1"/>
      <c r="I129" s="22"/>
      <c r="J129" s="7"/>
      <c r="K129" s="3"/>
      <c r="L129" s="6" t="str">
        <f t="shared" si="34"/>
        <v/>
      </c>
      <c r="M129" s="42"/>
      <c r="N129" s="7"/>
      <c r="O129" s="7"/>
      <c r="P129" s="3"/>
      <c r="Q129" s="21"/>
      <c r="R129" s="21"/>
      <c r="S129" s="21"/>
      <c r="T129" s="21"/>
      <c r="U129" s="5" t="str">
        <f t="shared" si="35"/>
        <v/>
      </c>
      <c r="V129" s="5" t="str">
        <f t="shared" si="36"/>
        <v/>
      </c>
      <c r="W129" s="23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1"/>
      <c r="AE129" s="5" t="str">
        <f t="shared" si="41"/>
        <v/>
      </c>
      <c r="AG129" s="21"/>
      <c r="AH129" s="21"/>
      <c r="AI129" s="21"/>
      <c r="AJ129" s="6" t="str">
        <f t="shared" si="42"/>
        <v/>
      </c>
      <c r="AK129" s="24" t="str">
        <f>IF(A129="","",COUNTIFS(加仓管理!$A$2:$A$1001,A129,加仓管理!$G$2:$G$1001,"&gt;0"))</f>
        <v/>
      </c>
      <c r="AL129" s="24" t="str">
        <f>IF(A129="","",SUMIFS(加仓管理!$G$2:$G$1001,加仓管理!$A$2:$A$1001,A129))</f>
        <v/>
      </c>
      <c r="AM129" s="25" t="str">
        <f>IF(AK129=0,"",IFERROR(LOOKUP(2,1/((加仓管理!$A$2:$A$1001=A129)*(加仓管理!$G$2:$G$1001&gt;0)),加仓管理!$D$2:$D$1001),""))</f>
        <v/>
      </c>
      <c r="AN129" s="25" t="str">
        <f>IF(AK129=0,"",IFERROR(LOOKUP(2,1/((加仓管理!$A$2:$A$1001=A129)*(加仓管理!$G$2:$G$1001&gt;0)),加仓管理!$E$2:$E$1001),""))</f>
        <v/>
      </c>
      <c r="AO129" s="25" t="str">
        <f>IF(OR(A129="",H129="",H129&lt;=0),"",(E129*H129+SUMIFS(加仓管理!$H$2:$H$1001,加仓管理!$A$2:$A$1001,A129))/AP129)</f>
        <v/>
      </c>
      <c r="AP129" s="24" t="str">
        <f t="shared" si="43"/>
        <v/>
      </c>
      <c r="AQ129" s="25" t="str">
        <f>IF(A129="","",IF(M129&lt;&gt;"",0,IF(OR(H129="",N129=""),"",MAX((E129*H129+SUMIFS(加仓管理!$H$2:$H$1001,加仓管理!$A$2:$A$1001,A129))-MAX(N129,AN129)*AP129,0))))</f>
        <v/>
      </c>
      <c r="AR129" s="25" t="str">
        <f ca="1"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ht="17" spans="1:44">
      <c r="A130" s="21"/>
      <c r="B130" s="21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1"/>
      <c r="I130" s="22"/>
      <c r="J130" s="7"/>
      <c r="K130" s="3"/>
      <c r="L130" s="6" t="str">
        <f t="shared" ref="L130:L161" si="45">IF(AP130="","",AP130)</f>
        <v/>
      </c>
      <c r="M130" s="42"/>
      <c r="N130" s="7"/>
      <c r="O130" s="7"/>
      <c r="P130" s="3"/>
      <c r="Q130" s="21"/>
      <c r="R130" s="21"/>
      <c r="S130" s="21"/>
      <c r="T130" s="21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3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1"/>
      <c r="AE130" s="5" t="str">
        <f t="shared" ref="AE130:AE161" si="52">IF(OR(X130="",C130="",C130&lt;=0),"",X130/C130)</f>
        <v/>
      </c>
      <c r="AG130" s="21"/>
      <c r="AH130" s="21"/>
      <c r="AI130" s="21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4" t="str">
        <f>IF(A130="","",COUNTIFS(加仓管理!$A$2:$A$1001,A130,加仓管理!$G$2:$G$1001,"&gt;0"))</f>
        <v/>
      </c>
      <c r="AL130" s="24" t="str">
        <f>IF(A130="","",SUMIFS(加仓管理!$G$2:$G$1001,加仓管理!$A$2:$A$1001,A130))</f>
        <v/>
      </c>
      <c r="AM130" s="25" t="str">
        <f>IF(AK130=0,"",IFERROR(LOOKUP(2,1/((加仓管理!$A$2:$A$1001=A130)*(加仓管理!$G$2:$G$1001&gt;0)),加仓管理!$D$2:$D$1001),""))</f>
        <v/>
      </c>
      <c r="AN130" s="25" t="str">
        <f>IF(AK130=0,"",IFERROR(LOOKUP(2,1/((加仓管理!$A$2:$A$1001=A130)*(加仓管理!$G$2:$G$1001&gt;0)),加仓管理!$E$2:$E$1001),""))</f>
        <v/>
      </c>
      <c r="AO130" s="25" t="str">
        <f>IF(OR(A130="",H130="",H130&lt;=0),"",(E130*H130+SUMIFS(加仓管理!$H$2:$H$1001,加仓管理!$A$2:$A$1001,A130))/AP130)</f>
        <v/>
      </c>
      <c r="AP130" s="24" t="str">
        <f t="shared" ref="AP130:AP161" si="54">IF(OR(A130="",H130="",H130&lt;=0),"",H130+AL130)</f>
        <v/>
      </c>
      <c r="AQ130" s="25" t="str">
        <f>IF(A130="","",IF(M130&lt;&gt;"",0,IF(OR(H130="",N130=""),"",MAX((E130*H130+SUMIFS(加仓管理!$H$2:$H$1001,加仓管理!$A$2:$A$1001,A130))-MAX(N130,AN130)*AP130,0))))</f>
        <v/>
      </c>
      <c r="AR130" s="25" t="str">
        <f ca="1"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ht="17" spans="1:44">
      <c r="A131" s="21"/>
      <c r="B131" s="21"/>
      <c r="C131" s="7"/>
      <c r="D131" s="4"/>
      <c r="E131" s="7"/>
      <c r="F131" s="6" t="str">
        <f t="shared" si="44"/>
        <v/>
      </c>
      <c r="G131" s="6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1"/>
      <c r="I131" s="22"/>
      <c r="J131" s="7"/>
      <c r="K131" s="3"/>
      <c r="L131" s="6" t="str">
        <f t="shared" si="45"/>
        <v/>
      </c>
      <c r="M131" s="42"/>
      <c r="N131" s="7"/>
      <c r="O131" s="7"/>
      <c r="P131" s="3"/>
      <c r="Q131" s="21"/>
      <c r="R131" s="21"/>
      <c r="S131" s="21"/>
      <c r="T131" s="21"/>
      <c r="U131" s="5" t="str">
        <f t="shared" si="46"/>
        <v/>
      </c>
      <c r="V131" s="5" t="str">
        <f t="shared" si="47"/>
        <v/>
      </c>
      <c r="W131" s="23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1"/>
      <c r="AE131" s="5" t="str">
        <f t="shared" si="52"/>
        <v/>
      </c>
      <c r="AG131" s="21"/>
      <c r="AH131" s="21"/>
      <c r="AI131" s="21"/>
      <c r="AJ131" s="6" t="str">
        <f t="shared" si="53"/>
        <v/>
      </c>
      <c r="AK131" s="24" t="str">
        <f>IF(A131="","",COUNTIFS(加仓管理!$A$2:$A$1001,A131,加仓管理!$G$2:$G$1001,"&gt;0"))</f>
        <v/>
      </c>
      <c r="AL131" s="24" t="str">
        <f>IF(A131="","",SUMIFS(加仓管理!$G$2:$G$1001,加仓管理!$A$2:$A$1001,A131))</f>
        <v/>
      </c>
      <c r="AM131" s="25" t="str">
        <f>IF(AK131=0,"",IFERROR(LOOKUP(2,1/((加仓管理!$A$2:$A$1001=A131)*(加仓管理!$G$2:$G$1001&gt;0)),加仓管理!$D$2:$D$1001),""))</f>
        <v/>
      </c>
      <c r="AN131" s="25" t="str">
        <f>IF(AK131=0,"",IFERROR(LOOKUP(2,1/((加仓管理!$A$2:$A$1001=A131)*(加仓管理!$G$2:$G$1001&gt;0)),加仓管理!$E$2:$E$1001),""))</f>
        <v/>
      </c>
      <c r="AO131" s="25" t="str">
        <f>IF(OR(A131="",H131="",H131&lt;=0),"",(E131*H131+SUMIFS(加仓管理!$H$2:$H$1001,加仓管理!$A$2:$A$1001,A131))/AP131)</f>
        <v/>
      </c>
      <c r="AP131" s="24" t="str">
        <f t="shared" si="54"/>
        <v/>
      </c>
      <c r="AQ131" s="25" t="str">
        <f>IF(A131="","",IF(M131&lt;&gt;"",0,IF(OR(H131="",N131=""),"",MAX((E131*H131+SUMIFS(加仓管理!$H$2:$H$1001,加仓管理!$A$2:$A$1001,A131))-MAX(N131,AN131)*AP131,0))))</f>
        <v/>
      </c>
      <c r="AR131" s="25" t="str">
        <f ca="1"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ht="17" spans="1:44">
      <c r="A132" s="21"/>
      <c r="B132" s="21"/>
      <c r="C132" s="7"/>
      <c r="D132" s="4"/>
      <c r="E132" s="7"/>
      <c r="F132" s="6" t="str">
        <f t="shared" si="44"/>
        <v/>
      </c>
      <c r="G132" s="6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1"/>
      <c r="I132" s="22"/>
      <c r="J132" s="7"/>
      <c r="K132" s="3"/>
      <c r="L132" s="6" t="str">
        <f t="shared" si="45"/>
        <v/>
      </c>
      <c r="M132" s="42"/>
      <c r="N132" s="7"/>
      <c r="O132" s="7"/>
      <c r="P132" s="3"/>
      <c r="Q132" s="21"/>
      <c r="R132" s="21"/>
      <c r="S132" s="21"/>
      <c r="T132" s="21"/>
      <c r="U132" s="5" t="str">
        <f t="shared" si="46"/>
        <v/>
      </c>
      <c r="V132" s="5" t="str">
        <f t="shared" si="47"/>
        <v/>
      </c>
      <c r="W132" s="23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1"/>
      <c r="AE132" s="5" t="str">
        <f t="shared" si="52"/>
        <v/>
      </c>
      <c r="AG132" s="21"/>
      <c r="AH132" s="21"/>
      <c r="AI132" s="21"/>
      <c r="AJ132" s="6" t="str">
        <f t="shared" si="53"/>
        <v/>
      </c>
      <c r="AK132" s="24" t="str">
        <f>IF(A132="","",COUNTIFS(加仓管理!$A$2:$A$1001,A132,加仓管理!$G$2:$G$1001,"&gt;0"))</f>
        <v/>
      </c>
      <c r="AL132" s="24" t="str">
        <f>IF(A132="","",SUMIFS(加仓管理!$G$2:$G$1001,加仓管理!$A$2:$A$1001,A132))</f>
        <v/>
      </c>
      <c r="AM132" s="25" t="str">
        <f>IF(AK132=0,"",IFERROR(LOOKUP(2,1/((加仓管理!$A$2:$A$1001=A132)*(加仓管理!$G$2:$G$1001&gt;0)),加仓管理!$D$2:$D$1001),""))</f>
        <v/>
      </c>
      <c r="AN132" s="25" t="str">
        <f>IF(AK132=0,"",IFERROR(LOOKUP(2,1/((加仓管理!$A$2:$A$1001=A132)*(加仓管理!$G$2:$G$1001&gt;0)),加仓管理!$E$2:$E$1001),""))</f>
        <v/>
      </c>
      <c r="AO132" s="25" t="str">
        <f>IF(OR(A132="",H132="",H132&lt;=0),"",(E132*H132+SUMIFS(加仓管理!$H$2:$H$1001,加仓管理!$A$2:$A$1001,A132))/AP132)</f>
        <v/>
      </c>
      <c r="AP132" s="24" t="str">
        <f t="shared" si="54"/>
        <v/>
      </c>
      <c r="AQ132" s="25" t="str">
        <f>IF(A132="","",IF(M132&lt;&gt;"",0,IF(OR(H132="",N132=""),"",MAX((E132*H132+SUMIFS(加仓管理!$H$2:$H$1001,加仓管理!$A$2:$A$1001,A132))-MAX(N132,AN132)*AP132,0))))</f>
        <v/>
      </c>
      <c r="AR132" s="25" t="str">
        <f ca="1"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ht="17" spans="1:44">
      <c r="A133" s="21"/>
      <c r="B133" s="21"/>
      <c r="C133" s="7"/>
      <c r="D133" s="4"/>
      <c r="E133" s="7"/>
      <c r="F133" s="6" t="str">
        <f t="shared" si="44"/>
        <v/>
      </c>
      <c r="G133" s="6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1"/>
      <c r="I133" s="22"/>
      <c r="J133" s="7"/>
      <c r="K133" s="3"/>
      <c r="L133" s="6" t="str">
        <f t="shared" si="45"/>
        <v/>
      </c>
      <c r="M133" s="42"/>
      <c r="N133" s="7"/>
      <c r="O133" s="7"/>
      <c r="P133" s="3"/>
      <c r="Q133" s="21"/>
      <c r="R133" s="21"/>
      <c r="S133" s="21"/>
      <c r="T133" s="21"/>
      <c r="U133" s="5" t="str">
        <f t="shared" si="46"/>
        <v/>
      </c>
      <c r="V133" s="5" t="str">
        <f t="shared" si="47"/>
        <v/>
      </c>
      <c r="W133" s="23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1"/>
      <c r="AE133" s="5" t="str">
        <f t="shared" si="52"/>
        <v/>
      </c>
      <c r="AG133" s="21"/>
      <c r="AH133" s="21"/>
      <c r="AI133" s="21"/>
      <c r="AJ133" s="6" t="str">
        <f t="shared" si="53"/>
        <v/>
      </c>
      <c r="AK133" s="24" t="str">
        <f>IF(A133="","",COUNTIFS(加仓管理!$A$2:$A$1001,A133,加仓管理!$G$2:$G$1001,"&gt;0"))</f>
        <v/>
      </c>
      <c r="AL133" s="24" t="str">
        <f>IF(A133="","",SUMIFS(加仓管理!$G$2:$G$1001,加仓管理!$A$2:$A$1001,A133))</f>
        <v/>
      </c>
      <c r="AM133" s="25" t="str">
        <f>IF(AK133=0,"",IFERROR(LOOKUP(2,1/((加仓管理!$A$2:$A$1001=A133)*(加仓管理!$G$2:$G$1001&gt;0)),加仓管理!$D$2:$D$1001),""))</f>
        <v/>
      </c>
      <c r="AN133" s="25" t="str">
        <f>IF(AK133=0,"",IFERROR(LOOKUP(2,1/((加仓管理!$A$2:$A$1001=A133)*(加仓管理!$G$2:$G$1001&gt;0)),加仓管理!$E$2:$E$1001),""))</f>
        <v/>
      </c>
      <c r="AO133" s="25" t="str">
        <f>IF(OR(A133="",H133="",H133&lt;=0),"",(E133*H133+SUMIFS(加仓管理!$H$2:$H$1001,加仓管理!$A$2:$A$1001,A133))/AP133)</f>
        <v/>
      </c>
      <c r="AP133" s="24" t="str">
        <f t="shared" si="54"/>
        <v/>
      </c>
      <c r="AQ133" s="25" t="str">
        <f>IF(A133="","",IF(M133&lt;&gt;"",0,IF(OR(H133="",N133=""),"",MAX((E133*H133+SUMIFS(加仓管理!$H$2:$H$1001,加仓管理!$A$2:$A$1001,A133))-MAX(N133,AN133)*AP133,0))))</f>
        <v/>
      </c>
      <c r="AR133" s="25" t="str">
        <f ca="1"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ht="17" spans="1:44">
      <c r="A134" s="21"/>
      <c r="B134" s="21"/>
      <c r="C134" s="7"/>
      <c r="D134" s="4"/>
      <c r="E134" s="7"/>
      <c r="F134" s="6" t="str">
        <f t="shared" si="44"/>
        <v/>
      </c>
      <c r="G134" s="6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1"/>
      <c r="I134" s="22"/>
      <c r="J134" s="7"/>
      <c r="K134" s="3"/>
      <c r="L134" s="6" t="str">
        <f t="shared" si="45"/>
        <v/>
      </c>
      <c r="M134" s="42"/>
      <c r="N134" s="7"/>
      <c r="O134" s="7"/>
      <c r="P134" s="3"/>
      <c r="Q134" s="21"/>
      <c r="R134" s="21"/>
      <c r="S134" s="21"/>
      <c r="T134" s="21"/>
      <c r="U134" s="5" t="str">
        <f t="shared" si="46"/>
        <v/>
      </c>
      <c r="V134" s="5" t="str">
        <f t="shared" si="47"/>
        <v/>
      </c>
      <c r="W134" s="23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1"/>
      <c r="AE134" s="5" t="str">
        <f t="shared" si="52"/>
        <v/>
      </c>
      <c r="AG134" s="21"/>
      <c r="AH134" s="21"/>
      <c r="AI134" s="21"/>
      <c r="AJ134" s="6" t="str">
        <f t="shared" si="53"/>
        <v/>
      </c>
      <c r="AK134" s="24" t="str">
        <f>IF(A134="","",COUNTIFS(加仓管理!$A$2:$A$1001,A134,加仓管理!$G$2:$G$1001,"&gt;0"))</f>
        <v/>
      </c>
      <c r="AL134" s="24" t="str">
        <f>IF(A134="","",SUMIFS(加仓管理!$G$2:$G$1001,加仓管理!$A$2:$A$1001,A134))</f>
        <v/>
      </c>
      <c r="AM134" s="25" t="str">
        <f>IF(AK134=0,"",IFERROR(LOOKUP(2,1/((加仓管理!$A$2:$A$1001=A134)*(加仓管理!$G$2:$G$1001&gt;0)),加仓管理!$D$2:$D$1001),""))</f>
        <v/>
      </c>
      <c r="AN134" s="25" t="str">
        <f>IF(AK134=0,"",IFERROR(LOOKUP(2,1/((加仓管理!$A$2:$A$1001=A134)*(加仓管理!$G$2:$G$1001&gt;0)),加仓管理!$E$2:$E$1001),""))</f>
        <v/>
      </c>
      <c r="AO134" s="25" t="str">
        <f>IF(OR(A134="",H134="",H134&lt;=0),"",(E134*H134+SUMIFS(加仓管理!$H$2:$H$1001,加仓管理!$A$2:$A$1001,A134))/AP134)</f>
        <v/>
      </c>
      <c r="AP134" s="24" t="str">
        <f t="shared" si="54"/>
        <v/>
      </c>
      <c r="AQ134" s="25" t="str">
        <f>IF(A134="","",IF(M134&lt;&gt;"",0,IF(OR(H134="",N134=""),"",MAX((E134*H134+SUMIFS(加仓管理!$H$2:$H$1001,加仓管理!$A$2:$A$1001,A134))-MAX(N134,AN134)*AP134,0))))</f>
        <v/>
      </c>
      <c r="AR134" s="25" t="str">
        <f ca="1"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ht="17" spans="1:44">
      <c r="A135" s="21"/>
      <c r="B135" s="21"/>
      <c r="C135" s="7"/>
      <c r="D135" s="4"/>
      <c r="E135" s="7"/>
      <c r="F135" s="6" t="str">
        <f t="shared" si="44"/>
        <v/>
      </c>
      <c r="G135" s="6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1"/>
      <c r="I135" s="22"/>
      <c r="J135" s="7"/>
      <c r="K135" s="3"/>
      <c r="L135" s="6" t="str">
        <f t="shared" si="45"/>
        <v/>
      </c>
      <c r="M135" s="42"/>
      <c r="N135" s="7"/>
      <c r="O135" s="7"/>
      <c r="P135" s="3"/>
      <c r="Q135" s="21"/>
      <c r="R135" s="21"/>
      <c r="S135" s="21"/>
      <c r="T135" s="21"/>
      <c r="U135" s="5" t="str">
        <f t="shared" si="46"/>
        <v/>
      </c>
      <c r="V135" s="5" t="str">
        <f t="shared" si="47"/>
        <v/>
      </c>
      <c r="W135" s="23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1"/>
      <c r="AE135" s="5" t="str">
        <f t="shared" si="52"/>
        <v/>
      </c>
      <c r="AG135" s="21"/>
      <c r="AH135" s="21"/>
      <c r="AI135" s="21"/>
      <c r="AJ135" s="6" t="str">
        <f t="shared" si="53"/>
        <v/>
      </c>
      <c r="AK135" s="24" t="str">
        <f>IF(A135="","",COUNTIFS(加仓管理!$A$2:$A$1001,A135,加仓管理!$G$2:$G$1001,"&gt;0"))</f>
        <v/>
      </c>
      <c r="AL135" s="24" t="str">
        <f>IF(A135="","",SUMIFS(加仓管理!$G$2:$G$1001,加仓管理!$A$2:$A$1001,A135))</f>
        <v/>
      </c>
      <c r="AM135" s="25" t="str">
        <f>IF(AK135=0,"",IFERROR(LOOKUP(2,1/((加仓管理!$A$2:$A$1001=A135)*(加仓管理!$G$2:$G$1001&gt;0)),加仓管理!$D$2:$D$1001),""))</f>
        <v/>
      </c>
      <c r="AN135" s="25" t="str">
        <f>IF(AK135=0,"",IFERROR(LOOKUP(2,1/((加仓管理!$A$2:$A$1001=A135)*(加仓管理!$G$2:$G$1001&gt;0)),加仓管理!$E$2:$E$1001),""))</f>
        <v/>
      </c>
      <c r="AO135" s="25" t="str">
        <f>IF(OR(A135="",H135="",H135&lt;=0),"",(E135*H135+SUMIFS(加仓管理!$H$2:$H$1001,加仓管理!$A$2:$A$1001,A135))/AP135)</f>
        <v/>
      </c>
      <c r="AP135" s="24" t="str">
        <f t="shared" si="54"/>
        <v/>
      </c>
      <c r="AQ135" s="25" t="str">
        <f>IF(A135="","",IF(M135&lt;&gt;"",0,IF(OR(H135="",N135=""),"",MAX((E135*H135+SUMIFS(加仓管理!$H$2:$H$1001,加仓管理!$A$2:$A$1001,A135))-MAX(N135,AN135)*AP135,0))))</f>
        <v/>
      </c>
      <c r="AR135" s="25" t="str">
        <f ca="1"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ht="17" spans="1:44">
      <c r="A136" s="21"/>
      <c r="B136" s="21"/>
      <c r="C136" s="7"/>
      <c r="D136" s="4"/>
      <c r="E136" s="7"/>
      <c r="F136" s="6" t="str">
        <f t="shared" si="44"/>
        <v/>
      </c>
      <c r="G136" s="6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1"/>
      <c r="I136" s="22"/>
      <c r="J136" s="7"/>
      <c r="K136" s="3"/>
      <c r="L136" s="6" t="str">
        <f t="shared" si="45"/>
        <v/>
      </c>
      <c r="M136" s="42"/>
      <c r="N136" s="7"/>
      <c r="O136" s="7"/>
      <c r="P136" s="3"/>
      <c r="Q136" s="21"/>
      <c r="R136" s="21"/>
      <c r="S136" s="21"/>
      <c r="T136" s="21"/>
      <c r="U136" s="5" t="str">
        <f t="shared" si="46"/>
        <v/>
      </c>
      <c r="V136" s="5" t="str">
        <f t="shared" si="47"/>
        <v/>
      </c>
      <c r="W136" s="23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1"/>
      <c r="AE136" s="5" t="str">
        <f t="shared" si="52"/>
        <v/>
      </c>
      <c r="AG136" s="21"/>
      <c r="AH136" s="21"/>
      <c r="AI136" s="21"/>
      <c r="AJ136" s="6" t="str">
        <f t="shared" si="53"/>
        <v/>
      </c>
      <c r="AK136" s="24" t="str">
        <f>IF(A136="","",COUNTIFS(加仓管理!$A$2:$A$1001,A136,加仓管理!$G$2:$G$1001,"&gt;0"))</f>
        <v/>
      </c>
      <c r="AL136" s="24" t="str">
        <f>IF(A136="","",SUMIFS(加仓管理!$G$2:$G$1001,加仓管理!$A$2:$A$1001,A136))</f>
        <v/>
      </c>
      <c r="AM136" s="25" t="str">
        <f>IF(AK136=0,"",IFERROR(LOOKUP(2,1/((加仓管理!$A$2:$A$1001=A136)*(加仓管理!$G$2:$G$1001&gt;0)),加仓管理!$D$2:$D$1001),""))</f>
        <v/>
      </c>
      <c r="AN136" s="25" t="str">
        <f>IF(AK136=0,"",IFERROR(LOOKUP(2,1/((加仓管理!$A$2:$A$1001=A136)*(加仓管理!$G$2:$G$1001&gt;0)),加仓管理!$E$2:$E$1001),""))</f>
        <v/>
      </c>
      <c r="AO136" s="25" t="str">
        <f>IF(OR(A136="",H136="",H136&lt;=0),"",(E136*H136+SUMIFS(加仓管理!$H$2:$H$1001,加仓管理!$A$2:$A$1001,A136))/AP136)</f>
        <v/>
      </c>
      <c r="AP136" s="24" t="str">
        <f t="shared" si="54"/>
        <v/>
      </c>
      <c r="AQ136" s="25" t="str">
        <f>IF(A136="","",IF(M136&lt;&gt;"",0,IF(OR(H136="",N136=""),"",MAX((E136*H136+SUMIFS(加仓管理!$H$2:$H$1001,加仓管理!$A$2:$A$1001,A136))-MAX(N136,AN136)*AP136,0))))</f>
        <v/>
      </c>
      <c r="AR136" s="25" t="str">
        <f ca="1"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ht="17" spans="1:44">
      <c r="A137" s="21"/>
      <c r="B137" s="21"/>
      <c r="C137" s="7"/>
      <c r="D137" s="4"/>
      <c r="E137" s="7"/>
      <c r="F137" s="6" t="str">
        <f t="shared" si="44"/>
        <v/>
      </c>
      <c r="G137" s="6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1"/>
      <c r="I137" s="22"/>
      <c r="J137" s="7"/>
      <c r="K137" s="3"/>
      <c r="L137" s="6" t="str">
        <f t="shared" si="45"/>
        <v/>
      </c>
      <c r="M137" s="42"/>
      <c r="N137" s="7"/>
      <c r="O137" s="7"/>
      <c r="P137" s="3"/>
      <c r="Q137" s="21"/>
      <c r="R137" s="21"/>
      <c r="S137" s="21"/>
      <c r="T137" s="21"/>
      <c r="U137" s="5" t="str">
        <f t="shared" si="46"/>
        <v/>
      </c>
      <c r="V137" s="5" t="str">
        <f t="shared" si="47"/>
        <v/>
      </c>
      <c r="W137" s="23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1"/>
      <c r="AE137" s="5" t="str">
        <f t="shared" si="52"/>
        <v/>
      </c>
      <c r="AG137" s="21"/>
      <c r="AH137" s="21"/>
      <c r="AI137" s="21"/>
      <c r="AJ137" s="6" t="str">
        <f t="shared" si="53"/>
        <v/>
      </c>
      <c r="AK137" s="24" t="str">
        <f>IF(A137="","",COUNTIFS(加仓管理!$A$2:$A$1001,A137,加仓管理!$G$2:$G$1001,"&gt;0"))</f>
        <v/>
      </c>
      <c r="AL137" s="24" t="str">
        <f>IF(A137="","",SUMIFS(加仓管理!$G$2:$G$1001,加仓管理!$A$2:$A$1001,A137))</f>
        <v/>
      </c>
      <c r="AM137" s="25" t="str">
        <f>IF(AK137=0,"",IFERROR(LOOKUP(2,1/((加仓管理!$A$2:$A$1001=A137)*(加仓管理!$G$2:$G$1001&gt;0)),加仓管理!$D$2:$D$1001),""))</f>
        <v/>
      </c>
      <c r="AN137" s="25" t="str">
        <f>IF(AK137=0,"",IFERROR(LOOKUP(2,1/((加仓管理!$A$2:$A$1001=A137)*(加仓管理!$G$2:$G$1001&gt;0)),加仓管理!$E$2:$E$1001),""))</f>
        <v/>
      </c>
      <c r="AO137" s="25" t="str">
        <f>IF(OR(A137="",H137="",H137&lt;=0),"",(E137*H137+SUMIFS(加仓管理!$H$2:$H$1001,加仓管理!$A$2:$A$1001,A137))/AP137)</f>
        <v/>
      </c>
      <c r="AP137" s="24" t="str">
        <f t="shared" si="54"/>
        <v/>
      </c>
      <c r="AQ137" s="25" t="str">
        <f>IF(A137="","",IF(M137&lt;&gt;"",0,IF(OR(H137="",N137=""),"",MAX((E137*H137+SUMIFS(加仓管理!$H$2:$H$1001,加仓管理!$A$2:$A$1001,A137))-MAX(N137,AN137)*AP137,0))))</f>
        <v/>
      </c>
      <c r="AR137" s="25" t="str">
        <f ca="1"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ht="17" spans="1:44">
      <c r="A138" s="21"/>
      <c r="B138" s="21"/>
      <c r="C138" s="7"/>
      <c r="D138" s="4"/>
      <c r="E138" s="7"/>
      <c r="F138" s="6" t="str">
        <f t="shared" si="44"/>
        <v/>
      </c>
      <c r="G138" s="6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1"/>
      <c r="I138" s="22"/>
      <c r="J138" s="7"/>
      <c r="K138" s="3"/>
      <c r="L138" s="6" t="str">
        <f t="shared" si="45"/>
        <v/>
      </c>
      <c r="M138" s="42"/>
      <c r="N138" s="7"/>
      <c r="O138" s="7"/>
      <c r="P138" s="3"/>
      <c r="Q138" s="21"/>
      <c r="R138" s="21"/>
      <c r="S138" s="21"/>
      <c r="T138" s="21"/>
      <c r="U138" s="5" t="str">
        <f t="shared" si="46"/>
        <v/>
      </c>
      <c r="V138" s="5" t="str">
        <f t="shared" si="47"/>
        <v/>
      </c>
      <c r="W138" s="23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1"/>
      <c r="AE138" s="5" t="str">
        <f t="shared" si="52"/>
        <v/>
      </c>
      <c r="AG138" s="21"/>
      <c r="AH138" s="21"/>
      <c r="AI138" s="21"/>
      <c r="AJ138" s="6" t="str">
        <f t="shared" si="53"/>
        <v/>
      </c>
      <c r="AK138" s="24" t="str">
        <f>IF(A138="","",COUNTIFS(加仓管理!$A$2:$A$1001,A138,加仓管理!$G$2:$G$1001,"&gt;0"))</f>
        <v/>
      </c>
      <c r="AL138" s="24" t="str">
        <f>IF(A138="","",SUMIFS(加仓管理!$G$2:$G$1001,加仓管理!$A$2:$A$1001,A138))</f>
        <v/>
      </c>
      <c r="AM138" s="25" t="str">
        <f>IF(AK138=0,"",IFERROR(LOOKUP(2,1/((加仓管理!$A$2:$A$1001=A138)*(加仓管理!$G$2:$G$1001&gt;0)),加仓管理!$D$2:$D$1001),""))</f>
        <v/>
      </c>
      <c r="AN138" s="25" t="str">
        <f>IF(AK138=0,"",IFERROR(LOOKUP(2,1/((加仓管理!$A$2:$A$1001=A138)*(加仓管理!$G$2:$G$1001&gt;0)),加仓管理!$E$2:$E$1001),""))</f>
        <v/>
      </c>
      <c r="AO138" s="25" t="str">
        <f>IF(OR(A138="",H138="",H138&lt;=0),"",(E138*H138+SUMIFS(加仓管理!$H$2:$H$1001,加仓管理!$A$2:$A$1001,A138))/AP138)</f>
        <v/>
      </c>
      <c r="AP138" s="24" t="str">
        <f t="shared" si="54"/>
        <v/>
      </c>
      <c r="AQ138" s="25" t="str">
        <f>IF(A138="","",IF(M138&lt;&gt;"",0,IF(OR(H138="",N138=""),"",MAX((E138*H138+SUMIFS(加仓管理!$H$2:$H$1001,加仓管理!$A$2:$A$1001,A138))-MAX(N138,AN138)*AP138,0))))</f>
        <v/>
      </c>
      <c r="AR138" s="25" t="str">
        <f ca="1"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ht="17" spans="1:44">
      <c r="A139" s="21"/>
      <c r="B139" s="21"/>
      <c r="C139" s="7"/>
      <c r="D139" s="4"/>
      <c r="E139" s="7"/>
      <c r="F139" s="6" t="str">
        <f t="shared" si="44"/>
        <v/>
      </c>
      <c r="G139" s="6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1"/>
      <c r="I139" s="22"/>
      <c r="J139" s="7"/>
      <c r="K139" s="3"/>
      <c r="L139" s="6" t="str">
        <f t="shared" si="45"/>
        <v/>
      </c>
      <c r="M139" s="42"/>
      <c r="N139" s="7"/>
      <c r="O139" s="7"/>
      <c r="P139" s="3"/>
      <c r="Q139" s="21"/>
      <c r="R139" s="21"/>
      <c r="S139" s="21"/>
      <c r="T139" s="21"/>
      <c r="U139" s="5" t="str">
        <f t="shared" si="46"/>
        <v/>
      </c>
      <c r="V139" s="5" t="str">
        <f t="shared" si="47"/>
        <v/>
      </c>
      <c r="W139" s="23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1"/>
      <c r="AE139" s="5" t="str">
        <f t="shared" si="52"/>
        <v/>
      </c>
      <c r="AG139" s="21"/>
      <c r="AH139" s="21"/>
      <c r="AI139" s="21"/>
      <c r="AJ139" s="6" t="str">
        <f t="shared" si="53"/>
        <v/>
      </c>
      <c r="AK139" s="24" t="str">
        <f>IF(A139="","",COUNTIFS(加仓管理!$A$2:$A$1001,A139,加仓管理!$G$2:$G$1001,"&gt;0"))</f>
        <v/>
      </c>
      <c r="AL139" s="24" t="str">
        <f>IF(A139="","",SUMIFS(加仓管理!$G$2:$G$1001,加仓管理!$A$2:$A$1001,A139))</f>
        <v/>
      </c>
      <c r="AM139" s="25" t="str">
        <f>IF(AK139=0,"",IFERROR(LOOKUP(2,1/((加仓管理!$A$2:$A$1001=A139)*(加仓管理!$G$2:$G$1001&gt;0)),加仓管理!$D$2:$D$1001),""))</f>
        <v/>
      </c>
      <c r="AN139" s="25" t="str">
        <f>IF(AK139=0,"",IFERROR(LOOKUP(2,1/((加仓管理!$A$2:$A$1001=A139)*(加仓管理!$G$2:$G$1001&gt;0)),加仓管理!$E$2:$E$1001),""))</f>
        <v/>
      </c>
      <c r="AO139" s="25" t="str">
        <f>IF(OR(A139="",H139="",H139&lt;=0),"",(E139*H139+SUMIFS(加仓管理!$H$2:$H$1001,加仓管理!$A$2:$A$1001,A139))/AP139)</f>
        <v/>
      </c>
      <c r="AP139" s="24" t="str">
        <f t="shared" si="54"/>
        <v/>
      </c>
      <c r="AQ139" s="25" t="str">
        <f>IF(A139="","",IF(M139&lt;&gt;"",0,IF(OR(H139="",N139=""),"",MAX((E139*H139+SUMIFS(加仓管理!$H$2:$H$1001,加仓管理!$A$2:$A$1001,A139))-MAX(N139,AN139)*AP139,0))))</f>
        <v/>
      </c>
      <c r="AR139" s="25" t="str">
        <f ca="1"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ht="17" spans="1:44">
      <c r="A140" s="21"/>
      <c r="B140" s="21"/>
      <c r="C140" s="7"/>
      <c r="D140" s="4"/>
      <c r="E140" s="7"/>
      <c r="F140" s="6" t="str">
        <f t="shared" si="44"/>
        <v/>
      </c>
      <c r="G140" s="6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1"/>
      <c r="I140" s="22"/>
      <c r="J140" s="7"/>
      <c r="K140" s="3"/>
      <c r="L140" s="6" t="str">
        <f t="shared" si="45"/>
        <v/>
      </c>
      <c r="M140" s="42"/>
      <c r="N140" s="7"/>
      <c r="O140" s="7"/>
      <c r="P140" s="3"/>
      <c r="Q140" s="21"/>
      <c r="R140" s="21"/>
      <c r="S140" s="21"/>
      <c r="T140" s="21"/>
      <c r="U140" s="5" t="str">
        <f t="shared" si="46"/>
        <v/>
      </c>
      <c r="V140" s="5" t="str">
        <f t="shared" si="47"/>
        <v/>
      </c>
      <c r="W140" s="23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1"/>
      <c r="AE140" s="5" t="str">
        <f t="shared" si="52"/>
        <v/>
      </c>
      <c r="AG140" s="21"/>
      <c r="AH140" s="21"/>
      <c r="AI140" s="21"/>
      <c r="AJ140" s="6" t="str">
        <f t="shared" si="53"/>
        <v/>
      </c>
      <c r="AK140" s="24" t="str">
        <f>IF(A140="","",COUNTIFS(加仓管理!$A$2:$A$1001,A140,加仓管理!$G$2:$G$1001,"&gt;0"))</f>
        <v/>
      </c>
      <c r="AL140" s="24" t="str">
        <f>IF(A140="","",SUMIFS(加仓管理!$G$2:$G$1001,加仓管理!$A$2:$A$1001,A140))</f>
        <v/>
      </c>
      <c r="AM140" s="25" t="str">
        <f>IF(AK140=0,"",IFERROR(LOOKUP(2,1/((加仓管理!$A$2:$A$1001=A140)*(加仓管理!$G$2:$G$1001&gt;0)),加仓管理!$D$2:$D$1001),""))</f>
        <v/>
      </c>
      <c r="AN140" s="25" t="str">
        <f>IF(AK140=0,"",IFERROR(LOOKUP(2,1/((加仓管理!$A$2:$A$1001=A140)*(加仓管理!$G$2:$G$1001&gt;0)),加仓管理!$E$2:$E$1001),""))</f>
        <v/>
      </c>
      <c r="AO140" s="25" t="str">
        <f>IF(OR(A140="",H140="",H140&lt;=0),"",(E140*H140+SUMIFS(加仓管理!$H$2:$H$1001,加仓管理!$A$2:$A$1001,A140))/AP140)</f>
        <v/>
      </c>
      <c r="AP140" s="24" t="str">
        <f t="shared" si="54"/>
        <v/>
      </c>
      <c r="AQ140" s="25" t="str">
        <f>IF(A140="","",IF(M140&lt;&gt;"",0,IF(OR(H140="",N140=""),"",MAX((E140*H140+SUMIFS(加仓管理!$H$2:$H$1001,加仓管理!$A$2:$A$1001,A140))-MAX(N140,AN140)*AP140,0))))</f>
        <v/>
      </c>
      <c r="AR140" s="25" t="str">
        <f ca="1"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ht="17" spans="1:44">
      <c r="A141" s="21"/>
      <c r="B141" s="21"/>
      <c r="C141" s="7"/>
      <c r="D141" s="4"/>
      <c r="E141" s="7"/>
      <c r="F141" s="6" t="str">
        <f t="shared" si="44"/>
        <v/>
      </c>
      <c r="G141" s="6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1"/>
      <c r="I141" s="22"/>
      <c r="J141" s="7"/>
      <c r="K141" s="3"/>
      <c r="L141" s="6" t="str">
        <f t="shared" si="45"/>
        <v/>
      </c>
      <c r="M141" s="42"/>
      <c r="N141" s="7"/>
      <c r="O141" s="7"/>
      <c r="P141" s="3"/>
      <c r="Q141" s="21"/>
      <c r="R141" s="21"/>
      <c r="S141" s="21"/>
      <c r="T141" s="21"/>
      <c r="U141" s="5" t="str">
        <f t="shared" si="46"/>
        <v/>
      </c>
      <c r="V141" s="5" t="str">
        <f t="shared" si="47"/>
        <v/>
      </c>
      <c r="W141" s="23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1"/>
      <c r="AE141" s="5" t="str">
        <f t="shared" si="52"/>
        <v/>
      </c>
      <c r="AG141" s="21"/>
      <c r="AH141" s="21"/>
      <c r="AI141" s="21"/>
      <c r="AJ141" s="6" t="str">
        <f t="shared" si="53"/>
        <v/>
      </c>
      <c r="AK141" s="24" t="str">
        <f>IF(A141="","",COUNTIFS(加仓管理!$A$2:$A$1001,A141,加仓管理!$G$2:$G$1001,"&gt;0"))</f>
        <v/>
      </c>
      <c r="AL141" s="24" t="str">
        <f>IF(A141="","",SUMIFS(加仓管理!$G$2:$G$1001,加仓管理!$A$2:$A$1001,A141))</f>
        <v/>
      </c>
      <c r="AM141" s="25" t="str">
        <f>IF(AK141=0,"",IFERROR(LOOKUP(2,1/((加仓管理!$A$2:$A$1001=A141)*(加仓管理!$G$2:$G$1001&gt;0)),加仓管理!$D$2:$D$1001),""))</f>
        <v/>
      </c>
      <c r="AN141" s="25" t="str">
        <f>IF(AK141=0,"",IFERROR(LOOKUP(2,1/((加仓管理!$A$2:$A$1001=A141)*(加仓管理!$G$2:$G$1001&gt;0)),加仓管理!$E$2:$E$1001),""))</f>
        <v/>
      </c>
      <c r="AO141" s="25" t="str">
        <f>IF(OR(A141="",H141="",H141&lt;=0),"",(E141*H141+SUMIFS(加仓管理!$H$2:$H$1001,加仓管理!$A$2:$A$1001,A141))/AP141)</f>
        <v/>
      </c>
      <c r="AP141" s="24" t="str">
        <f t="shared" si="54"/>
        <v/>
      </c>
      <c r="AQ141" s="25" t="str">
        <f>IF(A141="","",IF(M141&lt;&gt;"",0,IF(OR(H141="",N141=""),"",MAX((E141*H141+SUMIFS(加仓管理!$H$2:$H$1001,加仓管理!$A$2:$A$1001,A141))-MAX(N141,AN141)*AP141,0))))</f>
        <v/>
      </c>
      <c r="AR141" s="25" t="str">
        <f ca="1"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ht="17" spans="1:44">
      <c r="A142" s="21"/>
      <c r="B142" s="21"/>
      <c r="C142" s="7"/>
      <c r="D142" s="4"/>
      <c r="E142" s="7"/>
      <c r="F142" s="6" t="str">
        <f t="shared" si="44"/>
        <v/>
      </c>
      <c r="G142" s="6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1"/>
      <c r="I142" s="22"/>
      <c r="J142" s="7"/>
      <c r="K142" s="3"/>
      <c r="L142" s="6" t="str">
        <f t="shared" si="45"/>
        <v/>
      </c>
      <c r="M142" s="42"/>
      <c r="N142" s="7"/>
      <c r="O142" s="7"/>
      <c r="P142" s="3"/>
      <c r="Q142" s="21"/>
      <c r="R142" s="21"/>
      <c r="S142" s="21"/>
      <c r="T142" s="21"/>
      <c r="U142" s="5" t="str">
        <f t="shared" si="46"/>
        <v/>
      </c>
      <c r="V142" s="5" t="str">
        <f t="shared" si="47"/>
        <v/>
      </c>
      <c r="W142" s="23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1"/>
      <c r="AE142" s="5" t="str">
        <f t="shared" si="52"/>
        <v/>
      </c>
      <c r="AG142" s="21"/>
      <c r="AH142" s="21"/>
      <c r="AI142" s="21"/>
      <c r="AJ142" s="6" t="str">
        <f t="shared" si="53"/>
        <v/>
      </c>
      <c r="AK142" s="24" t="str">
        <f>IF(A142="","",COUNTIFS(加仓管理!$A$2:$A$1001,A142,加仓管理!$G$2:$G$1001,"&gt;0"))</f>
        <v/>
      </c>
      <c r="AL142" s="24" t="str">
        <f>IF(A142="","",SUMIFS(加仓管理!$G$2:$G$1001,加仓管理!$A$2:$A$1001,A142))</f>
        <v/>
      </c>
      <c r="AM142" s="25" t="str">
        <f>IF(AK142=0,"",IFERROR(LOOKUP(2,1/((加仓管理!$A$2:$A$1001=A142)*(加仓管理!$G$2:$G$1001&gt;0)),加仓管理!$D$2:$D$1001),""))</f>
        <v/>
      </c>
      <c r="AN142" s="25" t="str">
        <f>IF(AK142=0,"",IFERROR(LOOKUP(2,1/((加仓管理!$A$2:$A$1001=A142)*(加仓管理!$G$2:$G$1001&gt;0)),加仓管理!$E$2:$E$1001),""))</f>
        <v/>
      </c>
      <c r="AO142" s="25" t="str">
        <f>IF(OR(A142="",H142="",H142&lt;=0),"",(E142*H142+SUMIFS(加仓管理!$H$2:$H$1001,加仓管理!$A$2:$A$1001,A142))/AP142)</f>
        <v/>
      </c>
      <c r="AP142" s="24" t="str">
        <f t="shared" si="54"/>
        <v/>
      </c>
      <c r="AQ142" s="25" t="str">
        <f>IF(A142="","",IF(M142&lt;&gt;"",0,IF(OR(H142="",N142=""),"",MAX((E142*H142+SUMIFS(加仓管理!$H$2:$H$1001,加仓管理!$A$2:$A$1001,A142))-MAX(N142,AN142)*AP142,0))))</f>
        <v/>
      </c>
      <c r="AR142" s="25" t="str">
        <f ca="1"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ht="17" spans="1:44">
      <c r="A143" s="21"/>
      <c r="B143" s="21"/>
      <c r="C143" s="7"/>
      <c r="D143" s="4"/>
      <c r="E143" s="7"/>
      <c r="F143" s="6" t="str">
        <f t="shared" si="44"/>
        <v/>
      </c>
      <c r="G143" s="6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1"/>
      <c r="I143" s="22"/>
      <c r="J143" s="7"/>
      <c r="K143" s="3"/>
      <c r="L143" s="6" t="str">
        <f t="shared" si="45"/>
        <v/>
      </c>
      <c r="M143" s="42"/>
      <c r="N143" s="7"/>
      <c r="O143" s="7"/>
      <c r="P143" s="3"/>
      <c r="Q143" s="21"/>
      <c r="R143" s="21"/>
      <c r="S143" s="21"/>
      <c r="T143" s="21"/>
      <c r="U143" s="5" t="str">
        <f t="shared" si="46"/>
        <v/>
      </c>
      <c r="V143" s="5" t="str">
        <f t="shared" si="47"/>
        <v/>
      </c>
      <c r="W143" s="23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1"/>
      <c r="AE143" s="5" t="str">
        <f t="shared" si="52"/>
        <v/>
      </c>
      <c r="AG143" s="21"/>
      <c r="AH143" s="21"/>
      <c r="AI143" s="21"/>
      <c r="AJ143" s="6" t="str">
        <f t="shared" si="53"/>
        <v/>
      </c>
      <c r="AK143" s="24" t="str">
        <f>IF(A143="","",COUNTIFS(加仓管理!$A$2:$A$1001,A143,加仓管理!$G$2:$G$1001,"&gt;0"))</f>
        <v/>
      </c>
      <c r="AL143" s="24" t="str">
        <f>IF(A143="","",SUMIFS(加仓管理!$G$2:$G$1001,加仓管理!$A$2:$A$1001,A143))</f>
        <v/>
      </c>
      <c r="AM143" s="25" t="str">
        <f>IF(AK143=0,"",IFERROR(LOOKUP(2,1/((加仓管理!$A$2:$A$1001=A143)*(加仓管理!$G$2:$G$1001&gt;0)),加仓管理!$D$2:$D$1001),""))</f>
        <v/>
      </c>
      <c r="AN143" s="25" t="str">
        <f>IF(AK143=0,"",IFERROR(LOOKUP(2,1/((加仓管理!$A$2:$A$1001=A143)*(加仓管理!$G$2:$G$1001&gt;0)),加仓管理!$E$2:$E$1001),""))</f>
        <v/>
      </c>
      <c r="AO143" s="25" t="str">
        <f>IF(OR(A143="",H143="",H143&lt;=0),"",(E143*H143+SUMIFS(加仓管理!$H$2:$H$1001,加仓管理!$A$2:$A$1001,A143))/AP143)</f>
        <v/>
      </c>
      <c r="AP143" s="24" t="str">
        <f t="shared" si="54"/>
        <v/>
      </c>
      <c r="AQ143" s="25" t="str">
        <f>IF(A143="","",IF(M143&lt;&gt;"",0,IF(OR(H143="",N143=""),"",MAX((E143*H143+SUMIFS(加仓管理!$H$2:$H$1001,加仓管理!$A$2:$A$1001,A143))-MAX(N143,AN143)*AP143,0))))</f>
        <v/>
      </c>
      <c r="AR143" s="25" t="str">
        <f ca="1"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ht="17" spans="1:44">
      <c r="A144" s="21"/>
      <c r="B144" s="21"/>
      <c r="C144" s="7"/>
      <c r="D144" s="4"/>
      <c r="E144" s="7"/>
      <c r="F144" s="6" t="str">
        <f t="shared" si="44"/>
        <v/>
      </c>
      <c r="G144" s="6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1"/>
      <c r="I144" s="22"/>
      <c r="J144" s="7"/>
      <c r="K144" s="3"/>
      <c r="L144" s="6" t="str">
        <f t="shared" si="45"/>
        <v/>
      </c>
      <c r="M144" s="42"/>
      <c r="N144" s="7"/>
      <c r="O144" s="7"/>
      <c r="P144" s="3"/>
      <c r="Q144" s="21"/>
      <c r="R144" s="21"/>
      <c r="S144" s="21"/>
      <c r="T144" s="21"/>
      <c r="U144" s="5" t="str">
        <f t="shared" si="46"/>
        <v/>
      </c>
      <c r="V144" s="5" t="str">
        <f t="shared" si="47"/>
        <v/>
      </c>
      <c r="W144" s="23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1"/>
      <c r="AE144" s="5" t="str">
        <f t="shared" si="52"/>
        <v/>
      </c>
      <c r="AG144" s="21"/>
      <c r="AH144" s="21"/>
      <c r="AI144" s="21"/>
      <c r="AJ144" s="6" t="str">
        <f t="shared" si="53"/>
        <v/>
      </c>
      <c r="AK144" s="24" t="str">
        <f>IF(A144="","",COUNTIFS(加仓管理!$A$2:$A$1001,A144,加仓管理!$G$2:$G$1001,"&gt;0"))</f>
        <v/>
      </c>
      <c r="AL144" s="24" t="str">
        <f>IF(A144="","",SUMIFS(加仓管理!$G$2:$G$1001,加仓管理!$A$2:$A$1001,A144))</f>
        <v/>
      </c>
      <c r="AM144" s="25" t="str">
        <f>IF(AK144=0,"",IFERROR(LOOKUP(2,1/((加仓管理!$A$2:$A$1001=A144)*(加仓管理!$G$2:$G$1001&gt;0)),加仓管理!$D$2:$D$1001),""))</f>
        <v/>
      </c>
      <c r="AN144" s="25" t="str">
        <f>IF(AK144=0,"",IFERROR(LOOKUP(2,1/((加仓管理!$A$2:$A$1001=A144)*(加仓管理!$G$2:$G$1001&gt;0)),加仓管理!$E$2:$E$1001),""))</f>
        <v/>
      </c>
      <c r="AO144" s="25" t="str">
        <f>IF(OR(A144="",H144="",H144&lt;=0),"",(E144*H144+SUMIFS(加仓管理!$H$2:$H$1001,加仓管理!$A$2:$A$1001,A144))/AP144)</f>
        <v/>
      </c>
      <c r="AP144" s="24" t="str">
        <f t="shared" si="54"/>
        <v/>
      </c>
      <c r="AQ144" s="25" t="str">
        <f>IF(A144="","",IF(M144&lt;&gt;"",0,IF(OR(H144="",N144=""),"",MAX((E144*H144+SUMIFS(加仓管理!$H$2:$H$1001,加仓管理!$A$2:$A$1001,A144))-MAX(N144,AN144)*AP144,0))))</f>
        <v/>
      </c>
      <c r="AR144" s="25" t="str">
        <f ca="1"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ht="17" spans="1:44">
      <c r="A145" s="21"/>
      <c r="B145" s="21"/>
      <c r="C145" s="7"/>
      <c r="D145" s="4"/>
      <c r="E145" s="7"/>
      <c r="F145" s="6" t="str">
        <f t="shared" si="44"/>
        <v/>
      </c>
      <c r="G145" s="6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1"/>
      <c r="I145" s="22"/>
      <c r="J145" s="7"/>
      <c r="K145" s="3"/>
      <c r="L145" s="6" t="str">
        <f t="shared" si="45"/>
        <v/>
      </c>
      <c r="M145" s="42"/>
      <c r="N145" s="7"/>
      <c r="O145" s="7"/>
      <c r="P145" s="3"/>
      <c r="Q145" s="21"/>
      <c r="R145" s="21"/>
      <c r="S145" s="21"/>
      <c r="T145" s="21"/>
      <c r="U145" s="5" t="str">
        <f t="shared" si="46"/>
        <v/>
      </c>
      <c r="V145" s="5" t="str">
        <f t="shared" si="47"/>
        <v/>
      </c>
      <c r="W145" s="23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1"/>
      <c r="AE145" s="5" t="str">
        <f t="shared" si="52"/>
        <v/>
      </c>
      <c r="AG145" s="21"/>
      <c r="AH145" s="21"/>
      <c r="AI145" s="21"/>
      <c r="AJ145" s="6" t="str">
        <f t="shared" si="53"/>
        <v/>
      </c>
      <c r="AK145" s="24" t="str">
        <f>IF(A145="","",COUNTIFS(加仓管理!$A$2:$A$1001,A145,加仓管理!$G$2:$G$1001,"&gt;0"))</f>
        <v/>
      </c>
      <c r="AL145" s="24" t="str">
        <f>IF(A145="","",SUMIFS(加仓管理!$G$2:$G$1001,加仓管理!$A$2:$A$1001,A145))</f>
        <v/>
      </c>
      <c r="AM145" s="25" t="str">
        <f>IF(AK145=0,"",IFERROR(LOOKUP(2,1/((加仓管理!$A$2:$A$1001=A145)*(加仓管理!$G$2:$G$1001&gt;0)),加仓管理!$D$2:$D$1001),""))</f>
        <v/>
      </c>
      <c r="AN145" s="25" t="str">
        <f>IF(AK145=0,"",IFERROR(LOOKUP(2,1/((加仓管理!$A$2:$A$1001=A145)*(加仓管理!$G$2:$G$1001&gt;0)),加仓管理!$E$2:$E$1001),""))</f>
        <v/>
      </c>
      <c r="AO145" s="25" t="str">
        <f>IF(OR(A145="",H145="",H145&lt;=0),"",(E145*H145+SUMIFS(加仓管理!$H$2:$H$1001,加仓管理!$A$2:$A$1001,A145))/AP145)</f>
        <v/>
      </c>
      <c r="AP145" s="24" t="str">
        <f t="shared" si="54"/>
        <v/>
      </c>
      <c r="AQ145" s="25" t="str">
        <f>IF(A145="","",IF(M145&lt;&gt;"",0,IF(OR(H145="",N145=""),"",MAX((E145*H145+SUMIFS(加仓管理!$H$2:$H$1001,加仓管理!$A$2:$A$1001,A145))-MAX(N145,AN145)*AP145,0))))</f>
        <v/>
      </c>
      <c r="AR145" s="25" t="str">
        <f ca="1"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ht="17" spans="1:44">
      <c r="A146" s="21"/>
      <c r="B146" s="21"/>
      <c r="C146" s="7"/>
      <c r="D146" s="4"/>
      <c r="E146" s="7"/>
      <c r="F146" s="6" t="str">
        <f t="shared" si="44"/>
        <v/>
      </c>
      <c r="G146" s="6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1"/>
      <c r="I146" s="22"/>
      <c r="J146" s="7"/>
      <c r="K146" s="3"/>
      <c r="L146" s="6" t="str">
        <f t="shared" si="45"/>
        <v/>
      </c>
      <c r="M146" s="42"/>
      <c r="N146" s="7"/>
      <c r="O146" s="7"/>
      <c r="P146" s="3"/>
      <c r="Q146" s="21"/>
      <c r="R146" s="21"/>
      <c r="S146" s="21"/>
      <c r="T146" s="21"/>
      <c r="U146" s="5" t="str">
        <f t="shared" si="46"/>
        <v/>
      </c>
      <c r="V146" s="5" t="str">
        <f t="shared" si="47"/>
        <v/>
      </c>
      <c r="W146" s="23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1"/>
      <c r="AE146" s="5" t="str">
        <f t="shared" si="52"/>
        <v/>
      </c>
      <c r="AG146" s="21"/>
      <c r="AH146" s="21"/>
      <c r="AI146" s="21"/>
      <c r="AJ146" s="6" t="str">
        <f t="shared" si="53"/>
        <v/>
      </c>
      <c r="AK146" s="24" t="str">
        <f>IF(A146="","",COUNTIFS(加仓管理!$A$2:$A$1001,A146,加仓管理!$G$2:$G$1001,"&gt;0"))</f>
        <v/>
      </c>
      <c r="AL146" s="24" t="str">
        <f>IF(A146="","",SUMIFS(加仓管理!$G$2:$G$1001,加仓管理!$A$2:$A$1001,A146))</f>
        <v/>
      </c>
      <c r="AM146" s="25" t="str">
        <f>IF(AK146=0,"",IFERROR(LOOKUP(2,1/((加仓管理!$A$2:$A$1001=A146)*(加仓管理!$G$2:$G$1001&gt;0)),加仓管理!$D$2:$D$1001),""))</f>
        <v/>
      </c>
      <c r="AN146" s="25" t="str">
        <f>IF(AK146=0,"",IFERROR(LOOKUP(2,1/((加仓管理!$A$2:$A$1001=A146)*(加仓管理!$G$2:$G$1001&gt;0)),加仓管理!$E$2:$E$1001),""))</f>
        <v/>
      </c>
      <c r="AO146" s="25" t="str">
        <f>IF(OR(A146="",H146="",H146&lt;=0),"",(E146*H146+SUMIFS(加仓管理!$H$2:$H$1001,加仓管理!$A$2:$A$1001,A146))/AP146)</f>
        <v/>
      </c>
      <c r="AP146" s="24" t="str">
        <f t="shared" si="54"/>
        <v/>
      </c>
      <c r="AQ146" s="25" t="str">
        <f>IF(A146="","",IF(M146&lt;&gt;"",0,IF(OR(H146="",N146=""),"",MAX((E146*H146+SUMIFS(加仓管理!$H$2:$H$1001,加仓管理!$A$2:$A$1001,A146))-MAX(N146,AN146)*AP146,0))))</f>
        <v/>
      </c>
      <c r="AR146" s="25" t="str">
        <f ca="1"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ht="17" spans="1:44">
      <c r="A147" s="21"/>
      <c r="B147" s="21"/>
      <c r="C147" s="7"/>
      <c r="D147" s="4"/>
      <c r="E147" s="7"/>
      <c r="F147" s="6" t="str">
        <f t="shared" si="44"/>
        <v/>
      </c>
      <c r="G147" s="6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1"/>
      <c r="I147" s="22"/>
      <c r="J147" s="7"/>
      <c r="K147" s="3"/>
      <c r="L147" s="6" t="str">
        <f t="shared" si="45"/>
        <v/>
      </c>
      <c r="M147" s="42"/>
      <c r="N147" s="7"/>
      <c r="O147" s="7"/>
      <c r="P147" s="3"/>
      <c r="Q147" s="21"/>
      <c r="R147" s="21"/>
      <c r="S147" s="21"/>
      <c r="T147" s="21"/>
      <c r="U147" s="5" t="str">
        <f t="shared" si="46"/>
        <v/>
      </c>
      <c r="V147" s="5" t="str">
        <f t="shared" si="47"/>
        <v/>
      </c>
      <c r="W147" s="23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1"/>
      <c r="AE147" s="5" t="str">
        <f t="shared" si="52"/>
        <v/>
      </c>
      <c r="AG147" s="21"/>
      <c r="AH147" s="21"/>
      <c r="AI147" s="21"/>
      <c r="AJ147" s="6" t="str">
        <f t="shared" si="53"/>
        <v/>
      </c>
      <c r="AK147" s="24" t="str">
        <f>IF(A147="","",COUNTIFS(加仓管理!$A$2:$A$1001,A147,加仓管理!$G$2:$G$1001,"&gt;0"))</f>
        <v/>
      </c>
      <c r="AL147" s="24" t="str">
        <f>IF(A147="","",SUMIFS(加仓管理!$G$2:$G$1001,加仓管理!$A$2:$A$1001,A147))</f>
        <v/>
      </c>
      <c r="AM147" s="25" t="str">
        <f>IF(AK147=0,"",IFERROR(LOOKUP(2,1/((加仓管理!$A$2:$A$1001=A147)*(加仓管理!$G$2:$G$1001&gt;0)),加仓管理!$D$2:$D$1001),""))</f>
        <v/>
      </c>
      <c r="AN147" s="25" t="str">
        <f>IF(AK147=0,"",IFERROR(LOOKUP(2,1/((加仓管理!$A$2:$A$1001=A147)*(加仓管理!$G$2:$G$1001&gt;0)),加仓管理!$E$2:$E$1001),""))</f>
        <v/>
      </c>
      <c r="AO147" s="25" t="str">
        <f>IF(OR(A147="",H147="",H147&lt;=0),"",(E147*H147+SUMIFS(加仓管理!$H$2:$H$1001,加仓管理!$A$2:$A$1001,A147))/AP147)</f>
        <v/>
      </c>
      <c r="AP147" s="24" t="str">
        <f t="shared" si="54"/>
        <v/>
      </c>
      <c r="AQ147" s="25" t="str">
        <f>IF(A147="","",IF(M147&lt;&gt;"",0,IF(OR(H147="",N147=""),"",MAX((E147*H147+SUMIFS(加仓管理!$H$2:$H$1001,加仓管理!$A$2:$A$1001,A147))-MAX(N147,AN147)*AP147,0))))</f>
        <v/>
      </c>
      <c r="AR147" s="25" t="str">
        <f ca="1"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ht="17" spans="1:44">
      <c r="A148" s="21"/>
      <c r="B148" s="21"/>
      <c r="C148" s="7"/>
      <c r="D148" s="4"/>
      <c r="E148" s="7"/>
      <c r="F148" s="6" t="str">
        <f t="shared" si="44"/>
        <v/>
      </c>
      <c r="G148" s="6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1"/>
      <c r="I148" s="22"/>
      <c r="J148" s="7"/>
      <c r="K148" s="3"/>
      <c r="L148" s="6" t="str">
        <f t="shared" si="45"/>
        <v/>
      </c>
      <c r="M148" s="42"/>
      <c r="N148" s="7"/>
      <c r="O148" s="7"/>
      <c r="P148" s="3"/>
      <c r="Q148" s="21"/>
      <c r="R148" s="21"/>
      <c r="S148" s="21"/>
      <c r="T148" s="21"/>
      <c r="U148" s="5" t="str">
        <f t="shared" si="46"/>
        <v/>
      </c>
      <c r="V148" s="5" t="str">
        <f t="shared" si="47"/>
        <v/>
      </c>
      <c r="W148" s="23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1"/>
      <c r="AE148" s="5" t="str">
        <f t="shared" si="52"/>
        <v/>
      </c>
      <c r="AG148" s="21"/>
      <c r="AH148" s="21"/>
      <c r="AI148" s="21"/>
      <c r="AJ148" s="6" t="str">
        <f t="shared" si="53"/>
        <v/>
      </c>
      <c r="AK148" s="24" t="str">
        <f>IF(A148="","",COUNTIFS(加仓管理!$A$2:$A$1001,A148,加仓管理!$G$2:$G$1001,"&gt;0"))</f>
        <v/>
      </c>
      <c r="AL148" s="24" t="str">
        <f>IF(A148="","",SUMIFS(加仓管理!$G$2:$G$1001,加仓管理!$A$2:$A$1001,A148))</f>
        <v/>
      </c>
      <c r="AM148" s="25" t="str">
        <f>IF(AK148=0,"",IFERROR(LOOKUP(2,1/((加仓管理!$A$2:$A$1001=A148)*(加仓管理!$G$2:$G$1001&gt;0)),加仓管理!$D$2:$D$1001),""))</f>
        <v/>
      </c>
      <c r="AN148" s="25" t="str">
        <f>IF(AK148=0,"",IFERROR(LOOKUP(2,1/((加仓管理!$A$2:$A$1001=A148)*(加仓管理!$G$2:$G$1001&gt;0)),加仓管理!$E$2:$E$1001),""))</f>
        <v/>
      </c>
      <c r="AO148" s="25" t="str">
        <f>IF(OR(A148="",H148="",H148&lt;=0),"",(E148*H148+SUMIFS(加仓管理!$H$2:$H$1001,加仓管理!$A$2:$A$1001,A148))/AP148)</f>
        <v/>
      </c>
      <c r="AP148" s="24" t="str">
        <f t="shared" si="54"/>
        <v/>
      </c>
      <c r="AQ148" s="25" t="str">
        <f>IF(A148="","",IF(M148&lt;&gt;"",0,IF(OR(H148="",N148=""),"",MAX((E148*H148+SUMIFS(加仓管理!$H$2:$H$1001,加仓管理!$A$2:$A$1001,A148))-MAX(N148,AN148)*AP148,0))))</f>
        <v/>
      </c>
      <c r="AR148" s="25" t="str">
        <f ca="1"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ht="17" spans="1:44">
      <c r="A149" s="21"/>
      <c r="B149" s="21"/>
      <c r="C149" s="7"/>
      <c r="D149" s="4"/>
      <c r="E149" s="7"/>
      <c r="F149" s="6" t="str">
        <f t="shared" si="44"/>
        <v/>
      </c>
      <c r="G149" s="6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1"/>
      <c r="I149" s="22"/>
      <c r="J149" s="7"/>
      <c r="K149" s="3"/>
      <c r="L149" s="6" t="str">
        <f t="shared" si="45"/>
        <v/>
      </c>
      <c r="M149" s="42"/>
      <c r="N149" s="7"/>
      <c r="O149" s="7"/>
      <c r="P149" s="3"/>
      <c r="Q149" s="21"/>
      <c r="R149" s="21"/>
      <c r="S149" s="21"/>
      <c r="T149" s="21"/>
      <c r="U149" s="5" t="str">
        <f t="shared" si="46"/>
        <v/>
      </c>
      <c r="V149" s="5" t="str">
        <f t="shared" si="47"/>
        <v/>
      </c>
      <c r="W149" s="23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1"/>
      <c r="AE149" s="5" t="str">
        <f t="shared" si="52"/>
        <v/>
      </c>
      <c r="AG149" s="21"/>
      <c r="AH149" s="21"/>
      <c r="AI149" s="21"/>
      <c r="AJ149" s="6" t="str">
        <f t="shared" si="53"/>
        <v/>
      </c>
      <c r="AK149" s="24" t="str">
        <f>IF(A149="","",COUNTIFS(加仓管理!$A$2:$A$1001,A149,加仓管理!$G$2:$G$1001,"&gt;0"))</f>
        <v/>
      </c>
      <c r="AL149" s="24" t="str">
        <f>IF(A149="","",SUMIFS(加仓管理!$G$2:$G$1001,加仓管理!$A$2:$A$1001,A149))</f>
        <v/>
      </c>
      <c r="AM149" s="25" t="str">
        <f>IF(AK149=0,"",IFERROR(LOOKUP(2,1/((加仓管理!$A$2:$A$1001=A149)*(加仓管理!$G$2:$G$1001&gt;0)),加仓管理!$D$2:$D$1001),""))</f>
        <v/>
      </c>
      <c r="AN149" s="25" t="str">
        <f>IF(AK149=0,"",IFERROR(LOOKUP(2,1/((加仓管理!$A$2:$A$1001=A149)*(加仓管理!$G$2:$G$1001&gt;0)),加仓管理!$E$2:$E$1001),""))</f>
        <v/>
      </c>
      <c r="AO149" s="25" t="str">
        <f>IF(OR(A149="",H149="",H149&lt;=0),"",(E149*H149+SUMIFS(加仓管理!$H$2:$H$1001,加仓管理!$A$2:$A$1001,A149))/AP149)</f>
        <v/>
      </c>
      <c r="AP149" s="24" t="str">
        <f t="shared" si="54"/>
        <v/>
      </c>
      <c r="AQ149" s="25" t="str">
        <f>IF(A149="","",IF(M149&lt;&gt;"",0,IF(OR(H149="",N149=""),"",MAX((E149*H149+SUMIFS(加仓管理!$H$2:$H$1001,加仓管理!$A$2:$A$1001,A149))-MAX(N149,AN149)*AP149,0))))</f>
        <v/>
      </c>
      <c r="AR149" s="25" t="str">
        <f ca="1"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ht="17" spans="1:44">
      <c r="A150" s="21"/>
      <c r="B150" s="21"/>
      <c r="C150" s="7"/>
      <c r="D150" s="4"/>
      <c r="E150" s="7"/>
      <c r="F150" s="6" t="str">
        <f t="shared" si="44"/>
        <v/>
      </c>
      <c r="G150" s="6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1"/>
      <c r="I150" s="22"/>
      <c r="J150" s="7"/>
      <c r="K150" s="3"/>
      <c r="L150" s="6" t="str">
        <f t="shared" si="45"/>
        <v/>
      </c>
      <c r="M150" s="42"/>
      <c r="N150" s="7"/>
      <c r="O150" s="7"/>
      <c r="P150" s="3"/>
      <c r="Q150" s="21"/>
      <c r="R150" s="21"/>
      <c r="S150" s="21"/>
      <c r="T150" s="21"/>
      <c r="U150" s="5" t="str">
        <f t="shared" si="46"/>
        <v/>
      </c>
      <c r="V150" s="5" t="str">
        <f t="shared" si="47"/>
        <v/>
      </c>
      <c r="W150" s="23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1"/>
      <c r="AE150" s="5" t="str">
        <f t="shared" si="52"/>
        <v/>
      </c>
      <c r="AG150" s="21"/>
      <c r="AH150" s="21"/>
      <c r="AI150" s="21"/>
      <c r="AJ150" s="6" t="str">
        <f t="shared" si="53"/>
        <v/>
      </c>
      <c r="AK150" s="24" t="str">
        <f>IF(A150="","",COUNTIFS(加仓管理!$A$2:$A$1001,A150,加仓管理!$G$2:$G$1001,"&gt;0"))</f>
        <v/>
      </c>
      <c r="AL150" s="24" t="str">
        <f>IF(A150="","",SUMIFS(加仓管理!$G$2:$G$1001,加仓管理!$A$2:$A$1001,A150))</f>
        <v/>
      </c>
      <c r="AM150" s="25" t="str">
        <f>IF(AK150=0,"",IFERROR(LOOKUP(2,1/((加仓管理!$A$2:$A$1001=A150)*(加仓管理!$G$2:$G$1001&gt;0)),加仓管理!$D$2:$D$1001),""))</f>
        <v/>
      </c>
      <c r="AN150" s="25" t="str">
        <f>IF(AK150=0,"",IFERROR(LOOKUP(2,1/((加仓管理!$A$2:$A$1001=A150)*(加仓管理!$G$2:$G$1001&gt;0)),加仓管理!$E$2:$E$1001),""))</f>
        <v/>
      </c>
      <c r="AO150" s="25" t="str">
        <f>IF(OR(A150="",H150="",H150&lt;=0),"",(E150*H150+SUMIFS(加仓管理!$H$2:$H$1001,加仓管理!$A$2:$A$1001,A150))/AP150)</f>
        <v/>
      </c>
      <c r="AP150" s="24" t="str">
        <f t="shared" si="54"/>
        <v/>
      </c>
      <c r="AQ150" s="25" t="str">
        <f>IF(A150="","",IF(M150&lt;&gt;"",0,IF(OR(H150="",N150=""),"",MAX((E150*H150+SUMIFS(加仓管理!$H$2:$H$1001,加仓管理!$A$2:$A$1001,A150))-MAX(N150,AN150)*AP150,0))))</f>
        <v/>
      </c>
      <c r="AR150" s="25" t="str">
        <f ca="1"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ht="17" spans="1:44">
      <c r="A151" s="21"/>
      <c r="B151" s="21"/>
      <c r="C151" s="7"/>
      <c r="D151" s="4"/>
      <c r="E151" s="7"/>
      <c r="F151" s="6" t="str">
        <f t="shared" si="44"/>
        <v/>
      </c>
      <c r="G151" s="6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1"/>
      <c r="I151" s="22"/>
      <c r="J151" s="7"/>
      <c r="K151" s="3"/>
      <c r="L151" s="6" t="str">
        <f t="shared" si="45"/>
        <v/>
      </c>
      <c r="M151" s="42"/>
      <c r="N151" s="7"/>
      <c r="O151" s="7"/>
      <c r="P151" s="3"/>
      <c r="Q151" s="21"/>
      <c r="R151" s="21"/>
      <c r="S151" s="21"/>
      <c r="T151" s="21"/>
      <c r="U151" s="5" t="str">
        <f t="shared" si="46"/>
        <v/>
      </c>
      <c r="V151" s="5" t="str">
        <f t="shared" si="47"/>
        <v/>
      </c>
      <c r="W151" s="23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1"/>
      <c r="AE151" s="5" t="str">
        <f t="shared" si="52"/>
        <v/>
      </c>
      <c r="AG151" s="21"/>
      <c r="AH151" s="21"/>
      <c r="AI151" s="21"/>
      <c r="AJ151" s="6" t="str">
        <f t="shared" si="53"/>
        <v/>
      </c>
      <c r="AK151" s="24" t="str">
        <f>IF(A151="","",COUNTIFS(加仓管理!$A$2:$A$1001,A151,加仓管理!$G$2:$G$1001,"&gt;0"))</f>
        <v/>
      </c>
      <c r="AL151" s="24" t="str">
        <f>IF(A151="","",SUMIFS(加仓管理!$G$2:$G$1001,加仓管理!$A$2:$A$1001,A151))</f>
        <v/>
      </c>
      <c r="AM151" s="25" t="str">
        <f>IF(AK151=0,"",IFERROR(LOOKUP(2,1/((加仓管理!$A$2:$A$1001=A151)*(加仓管理!$G$2:$G$1001&gt;0)),加仓管理!$D$2:$D$1001),""))</f>
        <v/>
      </c>
      <c r="AN151" s="25" t="str">
        <f>IF(AK151=0,"",IFERROR(LOOKUP(2,1/((加仓管理!$A$2:$A$1001=A151)*(加仓管理!$G$2:$G$1001&gt;0)),加仓管理!$E$2:$E$1001),""))</f>
        <v/>
      </c>
      <c r="AO151" s="25" t="str">
        <f>IF(OR(A151="",H151="",H151&lt;=0),"",(E151*H151+SUMIFS(加仓管理!$H$2:$H$1001,加仓管理!$A$2:$A$1001,A151))/AP151)</f>
        <v/>
      </c>
      <c r="AP151" s="24" t="str">
        <f t="shared" si="54"/>
        <v/>
      </c>
      <c r="AQ151" s="25" t="str">
        <f>IF(A151="","",IF(M151&lt;&gt;"",0,IF(OR(H151="",N151=""),"",MAX((E151*H151+SUMIFS(加仓管理!$H$2:$H$1001,加仓管理!$A$2:$A$1001,A151))-MAX(N151,AN151)*AP151,0))))</f>
        <v/>
      </c>
      <c r="AR151" s="25" t="str">
        <f ca="1"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ht="17" spans="1:44">
      <c r="A152" s="21"/>
      <c r="B152" s="21"/>
      <c r="C152" s="7"/>
      <c r="D152" s="4"/>
      <c r="E152" s="7"/>
      <c r="F152" s="6" t="str">
        <f t="shared" si="44"/>
        <v/>
      </c>
      <c r="G152" s="6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1"/>
      <c r="I152" s="22"/>
      <c r="J152" s="7"/>
      <c r="K152" s="3"/>
      <c r="L152" s="6" t="str">
        <f t="shared" si="45"/>
        <v/>
      </c>
      <c r="M152" s="42"/>
      <c r="N152" s="7"/>
      <c r="O152" s="7"/>
      <c r="P152" s="3"/>
      <c r="Q152" s="21"/>
      <c r="R152" s="21"/>
      <c r="S152" s="21"/>
      <c r="T152" s="21"/>
      <c r="U152" s="5" t="str">
        <f t="shared" si="46"/>
        <v/>
      </c>
      <c r="V152" s="5" t="str">
        <f t="shared" si="47"/>
        <v/>
      </c>
      <c r="W152" s="23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1"/>
      <c r="AE152" s="5" t="str">
        <f t="shared" si="52"/>
        <v/>
      </c>
      <c r="AG152" s="21"/>
      <c r="AH152" s="21"/>
      <c r="AI152" s="21"/>
      <c r="AJ152" s="6" t="str">
        <f t="shared" si="53"/>
        <v/>
      </c>
      <c r="AK152" s="24" t="str">
        <f>IF(A152="","",COUNTIFS(加仓管理!$A$2:$A$1001,A152,加仓管理!$G$2:$G$1001,"&gt;0"))</f>
        <v/>
      </c>
      <c r="AL152" s="24" t="str">
        <f>IF(A152="","",SUMIFS(加仓管理!$G$2:$G$1001,加仓管理!$A$2:$A$1001,A152))</f>
        <v/>
      </c>
      <c r="AM152" s="25" t="str">
        <f>IF(AK152=0,"",IFERROR(LOOKUP(2,1/((加仓管理!$A$2:$A$1001=A152)*(加仓管理!$G$2:$G$1001&gt;0)),加仓管理!$D$2:$D$1001),""))</f>
        <v/>
      </c>
      <c r="AN152" s="25" t="str">
        <f>IF(AK152=0,"",IFERROR(LOOKUP(2,1/((加仓管理!$A$2:$A$1001=A152)*(加仓管理!$G$2:$G$1001&gt;0)),加仓管理!$E$2:$E$1001),""))</f>
        <v/>
      </c>
      <c r="AO152" s="25" t="str">
        <f>IF(OR(A152="",H152="",H152&lt;=0),"",(E152*H152+SUMIFS(加仓管理!$H$2:$H$1001,加仓管理!$A$2:$A$1001,A152))/AP152)</f>
        <v/>
      </c>
      <c r="AP152" s="24" t="str">
        <f t="shared" si="54"/>
        <v/>
      </c>
      <c r="AQ152" s="25" t="str">
        <f>IF(A152="","",IF(M152&lt;&gt;"",0,IF(OR(H152="",N152=""),"",MAX((E152*H152+SUMIFS(加仓管理!$H$2:$H$1001,加仓管理!$A$2:$A$1001,A152))-MAX(N152,AN152)*AP152,0))))</f>
        <v/>
      </c>
      <c r="AR152" s="25" t="str">
        <f ca="1"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ht="17" spans="1:44">
      <c r="A153" s="21"/>
      <c r="B153" s="21"/>
      <c r="C153" s="7"/>
      <c r="D153" s="4"/>
      <c r="E153" s="7"/>
      <c r="F153" s="6" t="str">
        <f t="shared" si="44"/>
        <v/>
      </c>
      <c r="G153" s="6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1"/>
      <c r="I153" s="22"/>
      <c r="J153" s="7"/>
      <c r="K153" s="3"/>
      <c r="L153" s="6" t="str">
        <f t="shared" si="45"/>
        <v/>
      </c>
      <c r="M153" s="42"/>
      <c r="N153" s="7"/>
      <c r="O153" s="7"/>
      <c r="P153" s="3"/>
      <c r="Q153" s="21"/>
      <c r="R153" s="21"/>
      <c r="S153" s="21"/>
      <c r="T153" s="21"/>
      <c r="U153" s="5" t="str">
        <f t="shared" si="46"/>
        <v/>
      </c>
      <c r="V153" s="5" t="str">
        <f t="shared" si="47"/>
        <v/>
      </c>
      <c r="W153" s="23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1"/>
      <c r="AE153" s="5" t="str">
        <f t="shared" si="52"/>
        <v/>
      </c>
      <c r="AG153" s="21"/>
      <c r="AH153" s="21"/>
      <c r="AI153" s="21"/>
      <c r="AJ153" s="6" t="str">
        <f t="shared" si="53"/>
        <v/>
      </c>
      <c r="AK153" s="24" t="str">
        <f>IF(A153="","",COUNTIFS(加仓管理!$A$2:$A$1001,A153,加仓管理!$G$2:$G$1001,"&gt;0"))</f>
        <v/>
      </c>
      <c r="AL153" s="24" t="str">
        <f>IF(A153="","",SUMIFS(加仓管理!$G$2:$G$1001,加仓管理!$A$2:$A$1001,A153))</f>
        <v/>
      </c>
      <c r="AM153" s="25" t="str">
        <f>IF(AK153=0,"",IFERROR(LOOKUP(2,1/((加仓管理!$A$2:$A$1001=A153)*(加仓管理!$G$2:$G$1001&gt;0)),加仓管理!$D$2:$D$1001),""))</f>
        <v/>
      </c>
      <c r="AN153" s="25" t="str">
        <f>IF(AK153=0,"",IFERROR(LOOKUP(2,1/((加仓管理!$A$2:$A$1001=A153)*(加仓管理!$G$2:$G$1001&gt;0)),加仓管理!$E$2:$E$1001),""))</f>
        <v/>
      </c>
      <c r="AO153" s="25" t="str">
        <f>IF(OR(A153="",H153="",H153&lt;=0),"",(E153*H153+SUMIFS(加仓管理!$H$2:$H$1001,加仓管理!$A$2:$A$1001,A153))/AP153)</f>
        <v/>
      </c>
      <c r="AP153" s="24" t="str">
        <f t="shared" si="54"/>
        <v/>
      </c>
      <c r="AQ153" s="25" t="str">
        <f>IF(A153="","",IF(M153&lt;&gt;"",0,IF(OR(H153="",N153=""),"",MAX((E153*H153+SUMIFS(加仓管理!$H$2:$H$1001,加仓管理!$A$2:$A$1001,A153))-MAX(N153,AN153)*AP153,0))))</f>
        <v/>
      </c>
      <c r="AR153" s="25" t="str">
        <f ca="1"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ht="17" spans="1:44">
      <c r="A154" s="21"/>
      <c r="B154" s="21"/>
      <c r="C154" s="7"/>
      <c r="D154" s="4"/>
      <c r="E154" s="7"/>
      <c r="F154" s="6" t="str">
        <f t="shared" si="44"/>
        <v/>
      </c>
      <c r="G154" s="6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1"/>
      <c r="I154" s="22"/>
      <c r="J154" s="7"/>
      <c r="K154" s="3"/>
      <c r="L154" s="6" t="str">
        <f t="shared" si="45"/>
        <v/>
      </c>
      <c r="M154" s="42"/>
      <c r="N154" s="7"/>
      <c r="O154" s="7"/>
      <c r="P154" s="3"/>
      <c r="Q154" s="21"/>
      <c r="R154" s="21"/>
      <c r="S154" s="21"/>
      <c r="T154" s="21"/>
      <c r="U154" s="5" t="str">
        <f t="shared" si="46"/>
        <v/>
      </c>
      <c r="V154" s="5" t="str">
        <f t="shared" si="47"/>
        <v/>
      </c>
      <c r="W154" s="23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1"/>
      <c r="AE154" s="5" t="str">
        <f t="shared" si="52"/>
        <v/>
      </c>
      <c r="AG154" s="21"/>
      <c r="AH154" s="21"/>
      <c r="AI154" s="21"/>
      <c r="AJ154" s="6" t="str">
        <f t="shared" si="53"/>
        <v/>
      </c>
      <c r="AK154" s="24" t="str">
        <f>IF(A154="","",COUNTIFS(加仓管理!$A$2:$A$1001,A154,加仓管理!$G$2:$G$1001,"&gt;0"))</f>
        <v/>
      </c>
      <c r="AL154" s="24" t="str">
        <f>IF(A154="","",SUMIFS(加仓管理!$G$2:$G$1001,加仓管理!$A$2:$A$1001,A154))</f>
        <v/>
      </c>
      <c r="AM154" s="25" t="str">
        <f>IF(AK154=0,"",IFERROR(LOOKUP(2,1/((加仓管理!$A$2:$A$1001=A154)*(加仓管理!$G$2:$G$1001&gt;0)),加仓管理!$D$2:$D$1001),""))</f>
        <v/>
      </c>
      <c r="AN154" s="25" t="str">
        <f>IF(AK154=0,"",IFERROR(LOOKUP(2,1/((加仓管理!$A$2:$A$1001=A154)*(加仓管理!$G$2:$G$1001&gt;0)),加仓管理!$E$2:$E$1001),""))</f>
        <v/>
      </c>
      <c r="AO154" s="25" t="str">
        <f>IF(OR(A154="",H154="",H154&lt;=0),"",(E154*H154+SUMIFS(加仓管理!$H$2:$H$1001,加仓管理!$A$2:$A$1001,A154))/AP154)</f>
        <v/>
      </c>
      <c r="AP154" s="24" t="str">
        <f t="shared" si="54"/>
        <v/>
      </c>
      <c r="AQ154" s="25" t="str">
        <f>IF(A154="","",IF(M154&lt;&gt;"",0,IF(OR(H154="",N154=""),"",MAX((E154*H154+SUMIFS(加仓管理!$H$2:$H$1001,加仓管理!$A$2:$A$1001,A154))-MAX(N154,AN154)*AP154,0))))</f>
        <v/>
      </c>
      <c r="AR154" s="25" t="str">
        <f ca="1"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ht="17" spans="1:44">
      <c r="A155" s="21"/>
      <c r="B155" s="21"/>
      <c r="C155" s="7"/>
      <c r="D155" s="4"/>
      <c r="E155" s="7"/>
      <c r="F155" s="6" t="str">
        <f t="shared" si="44"/>
        <v/>
      </c>
      <c r="G155" s="6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1"/>
      <c r="I155" s="22"/>
      <c r="J155" s="7"/>
      <c r="K155" s="3"/>
      <c r="L155" s="6" t="str">
        <f t="shared" si="45"/>
        <v/>
      </c>
      <c r="M155" s="42"/>
      <c r="N155" s="7"/>
      <c r="O155" s="7"/>
      <c r="P155" s="3"/>
      <c r="Q155" s="21"/>
      <c r="R155" s="21"/>
      <c r="S155" s="21"/>
      <c r="T155" s="21"/>
      <c r="U155" s="5" t="str">
        <f t="shared" si="46"/>
        <v/>
      </c>
      <c r="V155" s="5" t="str">
        <f t="shared" si="47"/>
        <v/>
      </c>
      <c r="W155" s="23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1"/>
      <c r="AE155" s="5" t="str">
        <f t="shared" si="52"/>
        <v/>
      </c>
      <c r="AG155" s="21"/>
      <c r="AH155" s="21"/>
      <c r="AI155" s="21"/>
      <c r="AJ155" s="6" t="str">
        <f t="shared" si="53"/>
        <v/>
      </c>
      <c r="AK155" s="24" t="str">
        <f>IF(A155="","",COUNTIFS(加仓管理!$A$2:$A$1001,A155,加仓管理!$G$2:$G$1001,"&gt;0"))</f>
        <v/>
      </c>
      <c r="AL155" s="24" t="str">
        <f>IF(A155="","",SUMIFS(加仓管理!$G$2:$G$1001,加仓管理!$A$2:$A$1001,A155))</f>
        <v/>
      </c>
      <c r="AM155" s="25" t="str">
        <f>IF(AK155=0,"",IFERROR(LOOKUP(2,1/((加仓管理!$A$2:$A$1001=A155)*(加仓管理!$G$2:$G$1001&gt;0)),加仓管理!$D$2:$D$1001),""))</f>
        <v/>
      </c>
      <c r="AN155" s="25" t="str">
        <f>IF(AK155=0,"",IFERROR(LOOKUP(2,1/((加仓管理!$A$2:$A$1001=A155)*(加仓管理!$G$2:$G$1001&gt;0)),加仓管理!$E$2:$E$1001),""))</f>
        <v/>
      </c>
      <c r="AO155" s="25" t="str">
        <f>IF(OR(A155="",H155="",H155&lt;=0),"",(E155*H155+SUMIFS(加仓管理!$H$2:$H$1001,加仓管理!$A$2:$A$1001,A155))/AP155)</f>
        <v/>
      </c>
      <c r="AP155" s="24" t="str">
        <f t="shared" si="54"/>
        <v/>
      </c>
      <c r="AQ155" s="25" t="str">
        <f>IF(A155="","",IF(M155&lt;&gt;"",0,IF(OR(H155="",N155=""),"",MAX((E155*H155+SUMIFS(加仓管理!$H$2:$H$1001,加仓管理!$A$2:$A$1001,A155))-MAX(N155,AN155)*AP155,0))))</f>
        <v/>
      </c>
      <c r="AR155" s="25" t="str">
        <f ca="1"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ht="17" spans="1:44">
      <c r="A156" s="21"/>
      <c r="B156" s="21"/>
      <c r="C156" s="7"/>
      <c r="D156" s="4"/>
      <c r="E156" s="7"/>
      <c r="F156" s="6" t="str">
        <f t="shared" si="44"/>
        <v/>
      </c>
      <c r="G156" s="6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1"/>
      <c r="I156" s="22"/>
      <c r="J156" s="7"/>
      <c r="K156" s="3"/>
      <c r="L156" s="6" t="str">
        <f t="shared" si="45"/>
        <v/>
      </c>
      <c r="M156" s="42"/>
      <c r="N156" s="7"/>
      <c r="O156" s="7"/>
      <c r="P156" s="3"/>
      <c r="Q156" s="21"/>
      <c r="R156" s="21"/>
      <c r="S156" s="21"/>
      <c r="T156" s="21"/>
      <c r="U156" s="5" t="str">
        <f t="shared" si="46"/>
        <v/>
      </c>
      <c r="V156" s="5" t="str">
        <f t="shared" si="47"/>
        <v/>
      </c>
      <c r="W156" s="23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1"/>
      <c r="AE156" s="5" t="str">
        <f t="shared" si="52"/>
        <v/>
      </c>
      <c r="AG156" s="21"/>
      <c r="AH156" s="21"/>
      <c r="AI156" s="21"/>
      <c r="AJ156" s="6" t="str">
        <f t="shared" si="53"/>
        <v/>
      </c>
      <c r="AK156" s="24" t="str">
        <f>IF(A156="","",COUNTIFS(加仓管理!$A$2:$A$1001,A156,加仓管理!$G$2:$G$1001,"&gt;0"))</f>
        <v/>
      </c>
      <c r="AL156" s="24" t="str">
        <f>IF(A156="","",SUMIFS(加仓管理!$G$2:$G$1001,加仓管理!$A$2:$A$1001,A156))</f>
        <v/>
      </c>
      <c r="AM156" s="25" t="str">
        <f>IF(AK156=0,"",IFERROR(LOOKUP(2,1/((加仓管理!$A$2:$A$1001=A156)*(加仓管理!$G$2:$G$1001&gt;0)),加仓管理!$D$2:$D$1001),""))</f>
        <v/>
      </c>
      <c r="AN156" s="25" t="str">
        <f>IF(AK156=0,"",IFERROR(LOOKUP(2,1/((加仓管理!$A$2:$A$1001=A156)*(加仓管理!$G$2:$G$1001&gt;0)),加仓管理!$E$2:$E$1001),""))</f>
        <v/>
      </c>
      <c r="AO156" s="25" t="str">
        <f>IF(OR(A156="",H156="",H156&lt;=0),"",(E156*H156+SUMIFS(加仓管理!$H$2:$H$1001,加仓管理!$A$2:$A$1001,A156))/AP156)</f>
        <v/>
      </c>
      <c r="AP156" s="24" t="str">
        <f t="shared" si="54"/>
        <v/>
      </c>
      <c r="AQ156" s="25" t="str">
        <f>IF(A156="","",IF(M156&lt;&gt;"",0,IF(OR(H156="",N156=""),"",MAX((E156*H156+SUMIFS(加仓管理!$H$2:$H$1001,加仓管理!$A$2:$A$1001,A156))-MAX(N156,AN156)*AP156,0))))</f>
        <v/>
      </c>
      <c r="AR156" s="25" t="str">
        <f ca="1"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ht="17" spans="1:44">
      <c r="A157" s="21"/>
      <c r="B157" s="21"/>
      <c r="C157" s="7"/>
      <c r="D157" s="4"/>
      <c r="E157" s="7"/>
      <c r="F157" s="6" t="str">
        <f t="shared" si="44"/>
        <v/>
      </c>
      <c r="G157" s="6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1"/>
      <c r="I157" s="22"/>
      <c r="J157" s="7"/>
      <c r="K157" s="3"/>
      <c r="L157" s="6" t="str">
        <f t="shared" si="45"/>
        <v/>
      </c>
      <c r="M157" s="42"/>
      <c r="N157" s="7"/>
      <c r="O157" s="7"/>
      <c r="P157" s="3"/>
      <c r="Q157" s="21"/>
      <c r="R157" s="21"/>
      <c r="S157" s="21"/>
      <c r="T157" s="21"/>
      <c r="U157" s="5" t="str">
        <f t="shared" si="46"/>
        <v/>
      </c>
      <c r="V157" s="5" t="str">
        <f t="shared" si="47"/>
        <v/>
      </c>
      <c r="W157" s="23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1"/>
      <c r="AE157" s="5" t="str">
        <f t="shared" si="52"/>
        <v/>
      </c>
      <c r="AG157" s="21"/>
      <c r="AH157" s="21"/>
      <c r="AI157" s="21"/>
      <c r="AJ157" s="6" t="str">
        <f t="shared" si="53"/>
        <v/>
      </c>
      <c r="AK157" s="24" t="str">
        <f>IF(A157="","",COUNTIFS(加仓管理!$A$2:$A$1001,A157,加仓管理!$G$2:$G$1001,"&gt;0"))</f>
        <v/>
      </c>
      <c r="AL157" s="24" t="str">
        <f>IF(A157="","",SUMIFS(加仓管理!$G$2:$G$1001,加仓管理!$A$2:$A$1001,A157))</f>
        <v/>
      </c>
      <c r="AM157" s="25" t="str">
        <f>IF(AK157=0,"",IFERROR(LOOKUP(2,1/((加仓管理!$A$2:$A$1001=A157)*(加仓管理!$G$2:$G$1001&gt;0)),加仓管理!$D$2:$D$1001),""))</f>
        <v/>
      </c>
      <c r="AN157" s="25" t="str">
        <f>IF(AK157=0,"",IFERROR(LOOKUP(2,1/((加仓管理!$A$2:$A$1001=A157)*(加仓管理!$G$2:$G$1001&gt;0)),加仓管理!$E$2:$E$1001),""))</f>
        <v/>
      </c>
      <c r="AO157" s="25" t="str">
        <f>IF(OR(A157="",H157="",H157&lt;=0),"",(E157*H157+SUMIFS(加仓管理!$H$2:$H$1001,加仓管理!$A$2:$A$1001,A157))/AP157)</f>
        <v/>
      </c>
      <c r="AP157" s="24" t="str">
        <f t="shared" si="54"/>
        <v/>
      </c>
      <c r="AQ157" s="25" t="str">
        <f>IF(A157="","",IF(M157&lt;&gt;"",0,IF(OR(H157="",N157=""),"",MAX((E157*H157+SUMIFS(加仓管理!$H$2:$H$1001,加仓管理!$A$2:$A$1001,A157))-MAX(N157,AN157)*AP157,0))))</f>
        <v/>
      </c>
      <c r="AR157" s="25" t="str">
        <f ca="1"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ht="17" spans="1:44">
      <c r="A158" s="21"/>
      <c r="B158" s="21"/>
      <c r="C158" s="7"/>
      <c r="D158" s="4"/>
      <c r="E158" s="7"/>
      <c r="F158" s="6" t="str">
        <f t="shared" si="44"/>
        <v/>
      </c>
      <c r="G158" s="6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1"/>
      <c r="I158" s="22"/>
      <c r="J158" s="7"/>
      <c r="K158" s="3"/>
      <c r="L158" s="6" t="str">
        <f t="shared" si="45"/>
        <v/>
      </c>
      <c r="M158" s="42"/>
      <c r="N158" s="7"/>
      <c r="O158" s="7"/>
      <c r="P158" s="3"/>
      <c r="Q158" s="21"/>
      <c r="R158" s="21"/>
      <c r="S158" s="21"/>
      <c r="T158" s="21"/>
      <c r="U158" s="5" t="str">
        <f t="shared" si="46"/>
        <v/>
      </c>
      <c r="V158" s="5" t="str">
        <f t="shared" si="47"/>
        <v/>
      </c>
      <c r="W158" s="23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1"/>
      <c r="AE158" s="5" t="str">
        <f t="shared" si="52"/>
        <v/>
      </c>
      <c r="AG158" s="21"/>
      <c r="AH158" s="21"/>
      <c r="AI158" s="21"/>
      <c r="AJ158" s="6" t="str">
        <f t="shared" si="53"/>
        <v/>
      </c>
      <c r="AK158" s="24" t="str">
        <f>IF(A158="","",COUNTIFS(加仓管理!$A$2:$A$1001,A158,加仓管理!$G$2:$G$1001,"&gt;0"))</f>
        <v/>
      </c>
      <c r="AL158" s="24" t="str">
        <f>IF(A158="","",SUMIFS(加仓管理!$G$2:$G$1001,加仓管理!$A$2:$A$1001,A158))</f>
        <v/>
      </c>
      <c r="AM158" s="25" t="str">
        <f>IF(AK158=0,"",IFERROR(LOOKUP(2,1/((加仓管理!$A$2:$A$1001=A158)*(加仓管理!$G$2:$G$1001&gt;0)),加仓管理!$D$2:$D$1001),""))</f>
        <v/>
      </c>
      <c r="AN158" s="25" t="str">
        <f>IF(AK158=0,"",IFERROR(LOOKUP(2,1/((加仓管理!$A$2:$A$1001=A158)*(加仓管理!$G$2:$G$1001&gt;0)),加仓管理!$E$2:$E$1001),""))</f>
        <v/>
      </c>
      <c r="AO158" s="25" t="str">
        <f>IF(OR(A158="",H158="",H158&lt;=0),"",(E158*H158+SUMIFS(加仓管理!$H$2:$H$1001,加仓管理!$A$2:$A$1001,A158))/AP158)</f>
        <v/>
      </c>
      <c r="AP158" s="24" t="str">
        <f t="shared" si="54"/>
        <v/>
      </c>
      <c r="AQ158" s="25" t="str">
        <f>IF(A158="","",IF(M158&lt;&gt;"",0,IF(OR(H158="",N158=""),"",MAX((E158*H158+SUMIFS(加仓管理!$H$2:$H$1001,加仓管理!$A$2:$A$1001,A158))-MAX(N158,AN158)*AP158,0))))</f>
        <v/>
      </c>
      <c r="AR158" s="25" t="str">
        <f ca="1"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ht="17" spans="1:44">
      <c r="A159" s="21"/>
      <c r="B159" s="21"/>
      <c r="C159" s="7"/>
      <c r="D159" s="4"/>
      <c r="E159" s="7"/>
      <c r="F159" s="6" t="str">
        <f t="shared" si="44"/>
        <v/>
      </c>
      <c r="G159" s="6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1"/>
      <c r="I159" s="22"/>
      <c r="J159" s="7"/>
      <c r="K159" s="3"/>
      <c r="L159" s="6" t="str">
        <f t="shared" si="45"/>
        <v/>
      </c>
      <c r="M159" s="42"/>
      <c r="N159" s="7"/>
      <c r="O159" s="7"/>
      <c r="P159" s="3"/>
      <c r="Q159" s="21"/>
      <c r="R159" s="21"/>
      <c r="S159" s="21"/>
      <c r="T159" s="21"/>
      <c r="U159" s="5" t="str">
        <f t="shared" si="46"/>
        <v/>
      </c>
      <c r="V159" s="5" t="str">
        <f t="shared" si="47"/>
        <v/>
      </c>
      <c r="W159" s="23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1"/>
      <c r="AE159" s="5" t="str">
        <f t="shared" si="52"/>
        <v/>
      </c>
      <c r="AG159" s="21"/>
      <c r="AH159" s="21"/>
      <c r="AI159" s="21"/>
      <c r="AJ159" s="6" t="str">
        <f t="shared" si="53"/>
        <v/>
      </c>
      <c r="AK159" s="24" t="str">
        <f>IF(A159="","",COUNTIFS(加仓管理!$A$2:$A$1001,A159,加仓管理!$G$2:$G$1001,"&gt;0"))</f>
        <v/>
      </c>
      <c r="AL159" s="24" t="str">
        <f>IF(A159="","",SUMIFS(加仓管理!$G$2:$G$1001,加仓管理!$A$2:$A$1001,A159))</f>
        <v/>
      </c>
      <c r="AM159" s="25" t="str">
        <f>IF(AK159=0,"",IFERROR(LOOKUP(2,1/((加仓管理!$A$2:$A$1001=A159)*(加仓管理!$G$2:$G$1001&gt;0)),加仓管理!$D$2:$D$1001),""))</f>
        <v/>
      </c>
      <c r="AN159" s="25" t="str">
        <f>IF(AK159=0,"",IFERROR(LOOKUP(2,1/((加仓管理!$A$2:$A$1001=A159)*(加仓管理!$G$2:$G$1001&gt;0)),加仓管理!$E$2:$E$1001),""))</f>
        <v/>
      </c>
      <c r="AO159" s="25" t="str">
        <f>IF(OR(A159="",H159="",H159&lt;=0),"",(E159*H159+SUMIFS(加仓管理!$H$2:$H$1001,加仓管理!$A$2:$A$1001,A159))/AP159)</f>
        <v/>
      </c>
      <c r="AP159" s="24" t="str">
        <f t="shared" si="54"/>
        <v/>
      </c>
      <c r="AQ159" s="25" t="str">
        <f>IF(A159="","",IF(M159&lt;&gt;"",0,IF(OR(H159="",N159=""),"",MAX((E159*H159+SUMIFS(加仓管理!$H$2:$H$1001,加仓管理!$A$2:$A$1001,A159))-MAX(N159,AN159)*AP159,0))))</f>
        <v/>
      </c>
      <c r="AR159" s="25" t="str">
        <f ca="1"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ht="17" spans="1:44">
      <c r="A160" s="21"/>
      <c r="B160" s="21"/>
      <c r="C160" s="7"/>
      <c r="D160" s="4"/>
      <c r="E160" s="7"/>
      <c r="F160" s="6" t="str">
        <f t="shared" si="44"/>
        <v/>
      </c>
      <c r="G160" s="6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1"/>
      <c r="I160" s="22"/>
      <c r="J160" s="7"/>
      <c r="K160" s="3"/>
      <c r="L160" s="6" t="str">
        <f t="shared" si="45"/>
        <v/>
      </c>
      <c r="M160" s="42"/>
      <c r="N160" s="7"/>
      <c r="O160" s="7"/>
      <c r="P160" s="3"/>
      <c r="Q160" s="21"/>
      <c r="R160" s="21"/>
      <c r="S160" s="21"/>
      <c r="T160" s="21"/>
      <c r="U160" s="5" t="str">
        <f t="shared" si="46"/>
        <v/>
      </c>
      <c r="V160" s="5" t="str">
        <f t="shared" si="47"/>
        <v/>
      </c>
      <c r="W160" s="23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1"/>
      <c r="AE160" s="5" t="str">
        <f t="shared" si="52"/>
        <v/>
      </c>
      <c r="AG160" s="21"/>
      <c r="AH160" s="21"/>
      <c r="AI160" s="21"/>
      <c r="AJ160" s="6" t="str">
        <f t="shared" si="53"/>
        <v/>
      </c>
      <c r="AK160" s="24" t="str">
        <f>IF(A160="","",COUNTIFS(加仓管理!$A$2:$A$1001,A160,加仓管理!$G$2:$G$1001,"&gt;0"))</f>
        <v/>
      </c>
      <c r="AL160" s="24" t="str">
        <f>IF(A160="","",SUMIFS(加仓管理!$G$2:$G$1001,加仓管理!$A$2:$A$1001,A160))</f>
        <v/>
      </c>
      <c r="AM160" s="25" t="str">
        <f>IF(AK160=0,"",IFERROR(LOOKUP(2,1/((加仓管理!$A$2:$A$1001=A160)*(加仓管理!$G$2:$G$1001&gt;0)),加仓管理!$D$2:$D$1001),""))</f>
        <v/>
      </c>
      <c r="AN160" s="25" t="str">
        <f>IF(AK160=0,"",IFERROR(LOOKUP(2,1/((加仓管理!$A$2:$A$1001=A160)*(加仓管理!$G$2:$G$1001&gt;0)),加仓管理!$E$2:$E$1001),""))</f>
        <v/>
      </c>
      <c r="AO160" s="25" t="str">
        <f>IF(OR(A160="",H160="",H160&lt;=0),"",(E160*H160+SUMIFS(加仓管理!$H$2:$H$1001,加仓管理!$A$2:$A$1001,A160))/AP160)</f>
        <v/>
      </c>
      <c r="AP160" s="24" t="str">
        <f t="shared" si="54"/>
        <v/>
      </c>
      <c r="AQ160" s="25" t="str">
        <f>IF(A160="","",IF(M160&lt;&gt;"",0,IF(OR(H160="",N160=""),"",MAX((E160*H160+SUMIFS(加仓管理!$H$2:$H$1001,加仓管理!$A$2:$A$1001,A160))-MAX(N160,AN160)*AP160,0))))</f>
        <v/>
      </c>
      <c r="AR160" s="25" t="str">
        <f ca="1"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ht="17" spans="1:44">
      <c r="A161" s="21"/>
      <c r="B161" s="21"/>
      <c r="C161" s="7"/>
      <c r="D161" s="4"/>
      <c r="E161" s="7"/>
      <c r="F161" s="6" t="str">
        <f t="shared" si="44"/>
        <v/>
      </c>
      <c r="G161" s="6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1"/>
      <c r="I161" s="22"/>
      <c r="J161" s="7"/>
      <c r="K161" s="3"/>
      <c r="L161" s="6" t="str">
        <f t="shared" si="45"/>
        <v/>
      </c>
      <c r="M161" s="42"/>
      <c r="N161" s="7"/>
      <c r="O161" s="7"/>
      <c r="P161" s="3"/>
      <c r="Q161" s="21"/>
      <c r="R161" s="21"/>
      <c r="S161" s="21"/>
      <c r="T161" s="21"/>
      <c r="U161" s="5" t="str">
        <f t="shared" si="46"/>
        <v/>
      </c>
      <c r="V161" s="5" t="str">
        <f t="shared" si="47"/>
        <v/>
      </c>
      <c r="W161" s="23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1"/>
      <c r="AE161" s="5" t="str">
        <f t="shared" si="52"/>
        <v/>
      </c>
      <c r="AG161" s="21"/>
      <c r="AH161" s="21"/>
      <c r="AI161" s="21"/>
      <c r="AJ161" s="6" t="str">
        <f t="shared" si="53"/>
        <v/>
      </c>
      <c r="AK161" s="24" t="str">
        <f>IF(A161="","",COUNTIFS(加仓管理!$A$2:$A$1001,A161,加仓管理!$G$2:$G$1001,"&gt;0"))</f>
        <v/>
      </c>
      <c r="AL161" s="24" t="str">
        <f>IF(A161="","",SUMIFS(加仓管理!$G$2:$G$1001,加仓管理!$A$2:$A$1001,A161))</f>
        <v/>
      </c>
      <c r="AM161" s="25" t="str">
        <f>IF(AK161=0,"",IFERROR(LOOKUP(2,1/((加仓管理!$A$2:$A$1001=A161)*(加仓管理!$G$2:$G$1001&gt;0)),加仓管理!$D$2:$D$1001),""))</f>
        <v/>
      </c>
      <c r="AN161" s="25" t="str">
        <f>IF(AK161=0,"",IFERROR(LOOKUP(2,1/((加仓管理!$A$2:$A$1001=A161)*(加仓管理!$G$2:$G$1001&gt;0)),加仓管理!$E$2:$E$1001),""))</f>
        <v/>
      </c>
      <c r="AO161" s="25" t="str">
        <f>IF(OR(A161="",H161="",H161&lt;=0),"",(E161*H161+SUMIFS(加仓管理!$H$2:$H$1001,加仓管理!$A$2:$A$1001,A161))/AP161)</f>
        <v/>
      </c>
      <c r="AP161" s="24" t="str">
        <f t="shared" si="54"/>
        <v/>
      </c>
      <c r="AQ161" s="25" t="str">
        <f>IF(A161="","",IF(M161&lt;&gt;"",0,IF(OR(H161="",N161=""),"",MAX((E161*H161+SUMIFS(加仓管理!$H$2:$H$1001,加仓管理!$A$2:$A$1001,A161))-MAX(N161,AN161)*AP161,0))))</f>
        <v/>
      </c>
      <c r="AR161" s="25" t="str">
        <f ca="1"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ht="17" spans="1:44">
      <c r="A162" s="21"/>
      <c r="B162" s="21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1"/>
      <c r="I162" s="22"/>
      <c r="J162" s="7"/>
      <c r="K162" s="3"/>
      <c r="L162" s="6" t="str">
        <f t="shared" ref="L162:L193" si="56">IF(AP162="","",AP162)</f>
        <v/>
      </c>
      <c r="M162" s="42"/>
      <c r="N162" s="7"/>
      <c r="O162" s="7"/>
      <c r="P162" s="3"/>
      <c r="Q162" s="21"/>
      <c r="R162" s="21"/>
      <c r="S162" s="21"/>
      <c r="T162" s="21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3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1"/>
      <c r="AE162" s="5" t="str">
        <f t="shared" ref="AE162:AE193" si="63">IF(OR(X162="",C162="",C162&lt;=0),"",X162/C162)</f>
        <v/>
      </c>
      <c r="AG162" s="21"/>
      <c r="AH162" s="21"/>
      <c r="AI162" s="21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4" t="str">
        <f>IF(A162="","",COUNTIFS(加仓管理!$A$2:$A$1001,A162,加仓管理!$G$2:$G$1001,"&gt;0"))</f>
        <v/>
      </c>
      <c r="AL162" s="24" t="str">
        <f>IF(A162="","",SUMIFS(加仓管理!$G$2:$G$1001,加仓管理!$A$2:$A$1001,A162))</f>
        <v/>
      </c>
      <c r="AM162" s="25" t="str">
        <f>IF(AK162=0,"",IFERROR(LOOKUP(2,1/((加仓管理!$A$2:$A$1001=A162)*(加仓管理!$G$2:$G$1001&gt;0)),加仓管理!$D$2:$D$1001),""))</f>
        <v/>
      </c>
      <c r="AN162" s="25" t="str">
        <f>IF(AK162=0,"",IFERROR(LOOKUP(2,1/((加仓管理!$A$2:$A$1001=A162)*(加仓管理!$G$2:$G$1001&gt;0)),加仓管理!$E$2:$E$1001),""))</f>
        <v/>
      </c>
      <c r="AO162" s="25" t="str">
        <f>IF(OR(A162="",H162="",H162&lt;=0),"",(E162*H162+SUMIFS(加仓管理!$H$2:$H$1001,加仓管理!$A$2:$A$1001,A162))/AP162)</f>
        <v/>
      </c>
      <c r="AP162" s="24" t="str">
        <f t="shared" ref="AP162:AP193" si="65">IF(OR(A162="",H162="",H162&lt;=0),"",H162+AL162)</f>
        <v/>
      </c>
      <c r="AQ162" s="25" t="str">
        <f>IF(A162="","",IF(M162&lt;&gt;"",0,IF(OR(H162="",N162=""),"",MAX((E162*H162+SUMIFS(加仓管理!$H$2:$H$1001,加仓管理!$A$2:$A$1001,A162))-MAX(N162,AN162)*AP162,0))))</f>
        <v/>
      </c>
      <c r="AR162" s="25" t="str">
        <f ca="1"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ht="17" spans="1:44">
      <c r="A163" s="21"/>
      <c r="B163" s="21"/>
      <c r="C163" s="7"/>
      <c r="D163" s="4"/>
      <c r="E163" s="7"/>
      <c r="F163" s="6" t="str">
        <f t="shared" si="55"/>
        <v/>
      </c>
      <c r="G163" s="6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1"/>
      <c r="I163" s="22"/>
      <c r="J163" s="7"/>
      <c r="K163" s="3"/>
      <c r="L163" s="6" t="str">
        <f t="shared" si="56"/>
        <v/>
      </c>
      <c r="M163" s="42"/>
      <c r="N163" s="7"/>
      <c r="O163" s="7"/>
      <c r="P163" s="3"/>
      <c r="Q163" s="21"/>
      <c r="R163" s="21"/>
      <c r="S163" s="21"/>
      <c r="T163" s="21"/>
      <c r="U163" s="5" t="str">
        <f t="shared" si="57"/>
        <v/>
      </c>
      <c r="V163" s="5" t="str">
        <f t="shared" si="58"/>
        <v/>
      </c>
      <c r="W163" s="23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1"/>
      <c r="AE163" s="5" t="str">
        <f t="shared" si="63"/>
        <v/>
      </c>
      <c r="AG163" s="21"/>
      <c r="AH163" s="21"/>
      <c r="AI163" s="21"/>
      <c r="AJ163" s="6" t="str">
        <f t="shared" si="64"/>
        <v/>
      </c>
      <c r="AK163" s="24" t="str">
        <f>IF(A163="","",COUNTIFS(加仓管理!$A$2:$A$1001,A163,加仓管理!$G$2:$G$1001,"&gt;0"))</f>
        <v/>
      </c>
      <c r="AL163" s="24" t="str">
        <f>IF(A163="","",SUMIFS(加仓管理!$G$2:$G$1001,加仓管理!$A$2:$A$1001,A163))</f>
        <v/>
      </c>
      <c r="AM163" s="25" t="str">
        <f>IF(AK163=0,"",IFERROR(LOOKUP(2,1/((加仓管理!$A$2:$A$1001=A163)*(加仓管理!$G$2:$G$1001&gt;0)),加仓管理!$D$2:$D$1001),""))</f>
        <v/>
      </c>
      <c r="AN163" s="25" t="str">
        <f>IF(AK163=0,"",IFERROR(LOOKUP(2,1/((加仓管理!$A$2:$A$1001=A163)*(加仓管理!$G$2:$G$1001&gt;0)),加仓管理!$E$2:$E$1001),""))</f>
        <v/>
      </c>
      <c r="AO163" s="25" t="str">
        <f>IF(OR(A163="",H163="",H163&lt;=0),"",(E163*H163+SUMIFS(加仓管理!$H$2:$H$1001,加仓管理!$A$2:$A$1001,A163))/AP163)</f>
        <v/>
      </c>
      <c r="AP163" s="24" t="str">
        <f t="shared" si="65"/>
        <v/>
      </c>
      <c r="AQ163" s="25" t="str">
        <f>IF(A163="","",IF(M163&lt;&gt;"",0,IF(OR(H163="",N163=""),"",MAX((E163*H163+SUMIFS(加仓管理!$H$2:$H$1001,加仓管理!$A$2:$A$1001,A163))-MAX(N163,AN163)*AP163,0))))</f>
        <v/>
      </c>
      <c r="AR163" s="25" t="str">
        <f ca="1"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ht="17" spans="1:44">
      <c r="A164" s="21"/>
      <c r="B164" s="21"/>
      <c r="C164" s="7"/>
      <c r="D164" s="4"/>
      <c r="E164" s="7"/>
      <c r="F164" s="6" t="str">
        <f t="shared" si="55"/>
        <v/>
      </c>
      <c r="G164" s="6" t="str">
        <f ca="1"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1"/>
      <c r="I164" s="22"/>
      <c r="J164" s="7"/>
      <c r="K164" s="3"/>
      <c r="L164" s="6" t="str">
        <f t="shared" si="56"/>
        <v/>
      </c>
      <c r="M164" s="42"/>
      <c r="N164" s="7"/>
      <c r="O164" s="7"/>
      <c r="P164" s="3"/>
      <c r="Q164" s="21"/>
      <c r="R164" s="21"/>
      <c r="S164" s="21"/>
      <c r="T164" s="21"/>
      <c r="U164" s="5" t="str">
        <f t="shared" si="57"/>
        <v/>
      </c>
      <c r="V164" s="5" t="str">
        <f t="shared" si="58"/>
        <v/>
      </c>
      <c r="W164" s="23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1"/>
      <c r="AE164" s="5" t="str">
        <f t="shared" si="63"/>
        <v/>
      </c>
      <c r="AG164" s="21"/>
      <c r="AH164" s="21"/>
      <c r="AI164" s="21"/>
      <c r="AJ164" s="6" t="str">
        <f t="shared" si="64"/>
        <v/>
      </c>
      <c r="AK164" s="24" t="str">
        <f>IF(A164="","",COUNTIFS(加仓管理!$A$2:$A$1001,A164,加仓管理!$G$2:$G$1001,"&gt;0"))</f>
        <v/>
      </c>
      <c r="AL164" s="24" t="str">
        <f>IF(A164="","",SUMIFS(加仓管理!$G$2:$G$1001,加仓管理!$A$2:$A$1001,A164))</f>
        <v/>
      </c>
      <c r="AM164" s="25" t="str">
        <f>IF(AK164=0,"",IFERROR(LOOKUP(2,1/((加仓管理!$A$2:$A$1001=A164)*(加仓管理!$G$2:$G$1001&gt;0)),加仓管理!$D$2:$D$1001),""))</f>
        <v/>
      </c>
      <c r="AN164" s="25" t="str">
        <f>IF(AK164=0,"",IFERROR(LOOKUP(2,1/((加仓管理!$A$2:$A$1001=A164)*(加仓管理!$G$2:$G$1001&gt;0)),加仓管理!$E$2:$E$1001),""))</f>
        <v/>
      </c>
      <c r="AO164" s="25" t="str">
        <f>IF(OR(A164="",H164="",H164&lt;=0),"",(E164*H164+SUMIFS(加仓管理!$H$2:$H$1001,加仓管理!$A$2:$A$1001,A164))/AP164)</f>
        <v/>
      </c>
      <c r="AP164" s="24" t="str">
        <f t="shared" si="65"/>
        <v/>
      </c>
      <c r="AQ164" s="25" t="str">
        <f>IF(A164="","",IF(M164&lt;&gt;"",0,IF(OR(H164="",N164=""),"",MAX((E164*H164+SUMIFS(加仓管理!$H$2:$H$1001,加仓管理!$A$2:$A$1001,A164))-MAX(N164,AN164)*AP164,0))))</f>
        <v/>
      </c>
      <c r="AR164" s="25" t="str">
        <f ca="1"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ht="17" spans="1:44">
      <c r="A165" s="21"/>
      <c r="B165" s="21"/>
      <c r="C165" s="7"/>
      <c r="D165" s="4"/>
      <c r="E165" s="7"/>
      <c r="F165" s="6" t="str">
        <f t="shared" si="55"/>
        <v/>
      </c>
      <c r="G165" s="6" t="str">
        <f ca="1"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1"/>
      <c r="I165" s="22"/>
      <c r="J165" s="7"/>
      <c r="K165" s="3"/>
      <c r="L165" s="6" t="str">
        <f t="shared" si="56"/>
        <v/>
      </c>
      <c r="M165" s="42"/>
      <c r="N165" s="7"/>
      <c r="O165" s="7"/>
      <c r="P165" s="3"/>
      <c r="Q165" s="21"/>
      <c r="R165" s="21"/>
      <c r="S165" s="21"/>
      <c r="T165" s="21"/>
      <c r="U165" s="5" t="str">
        <f t="shared" si="57"/>
        <v/>
      </c>
      <c r="V165" s="5" t="str">
        <f t="shared" si="58"/>
        <v/>
      </c>
      <c r="W165" s="23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1"/>
      <c r="AE165" s="5" t="str">
        <f t="shared" si="63"/>
        <v/>
      </c>
      <c r="AG165" s="21"/>
      <c r="AH165" s="21"/>
      <c r="AI165" s="21"/>
      <c r="AJ165" s="6" t="str">
        <f t="shared" si="64"/>
        <v/>
      </c>
      <c r="AK165" s="24" t="str">
        <f>IF(A165="","",COUNTIFS(加仓管理!$A$2:$A$1001,A165,加仓管理!$G$2:$G$1001,"&gt;0"))</f>
        <v/>
      </c>
      <c r="AL165" s="24" t="str">
        <f>IF(A165="","",SUMIFS(加仓管理!$G$2:$G$1001,加仓管理!$A$2:$A$1001,A165))</f>
        <v/>
      </c>
      <c r="AM165" s="25" t="str">
        <f>IF(AK165=0,"",IFERROR(LOOKUP(2,1/((加仓管理!$A$2:$A$1001=A165)*(加仓管理!$G$2:$G$1001&gt;0)),加仓管理!$D$2:$D$1001),""))</f>
        <v/>
      </c>
      <c r="AN165" s="25" t="str">
        <f>IF(AK165=0,"",IFERROR(LOOKUP(2,1/((加仓管理!$A$2:$A$1001=A165)*(加仓管理!$G$2:$G$1001&gt;0)),加仓管理!$E$2:$E$1001),""))</f>
        <v/>
      </c>
      <c r="AO165" s="25" t="str">
        <f>IF(OR(A165="",H165="",H165&lt;=0),"",(E165*H165+SUMIFS(加仓管理!$H$2:$H$1001,加仓管理!$A$2:$A$1001,A165))/AP165)</f>
        <v/>
      </c>
      <c r="AP165" s="24" t="str">
        <f t="shared" si="65"/>
        <v/>
      </c>
      <c r="AQ165" s="25" t="str">
        <f>IF(A165="","",IF(M165&lt;&gt;"",0,IF(OR(H165="",N165=""),"",MAX((E165*H165+SUMIFS(加仓管理!$H$2:$H$1001,加仓管理!$A$2:$A$1001,A165))-MAX(N165,AN165)*AP165,0))))</f>
        <v/>
      </c>
      <c r="AR165" s="25" t="str">
        <f ca="1"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ht="17" spans="1:44">
      <c r="A166" s="21"/>
      <c r="B166" s="21"/>
      <c r="C166" s="7"/>
      <c r="D166" s="4"/>
      <c r="E166" s="7"/>
      <c r="F166" s="6" t="str">
        <f t="shared" si="55"/>
        <v/>
      </c>
      <c r="G166" s="6" t="str">
        <f ca="1"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1"/>
      <c r="I166" s="22"/>
      <c r="J166" s="7"/>
      <c r="K166" s="3"/>
      <c r="L166" s="6" t="str">
        <f t="shared" si="56"/>
        <v/>
      </c>
      <c r="M166" s="42"/>
      <c r="N166" s="7"/>
      <c r="O166" s="7"/>
      <c r="P166" s="3"/>
      <c r="Q166" s="21"/>
      <c r="R166" s="21"/>
      <c r="S166" s="21"/>
      <c r="T166" s="21"/>
      <c r="U166" s="5" t="str">
        <f t="shared" si="57"/>
        <v/>
      </c>
      <c r="V166" s="5" t="str">
        <f t="shared" si="58"/>
        <v/>
      </c>
      <c r="W166" s="23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1"/>
      <c r="AE166" s="5" t="str">
        <f t="shared" si="63"/>
        <v/>
      </c>
      <c r="AG166" s="21"/>
      <c r="AH166" s="21"/>
      <c r="AI166" s="21"/>
      <c r="AJ166" s="6" t="str">
        <f t="shared" si="64"/>
        <v/>
      </c>
      <c r="AK166" s="24" t="str">
        <f>IF(A166="","",COUNTIFS(加仓管理!$A$2:$A$1001,A166,加仓管理!$G$2:$G$1001,"&gt;0"))</f>
        <v/>
      </c>
      <c r="AL166" s="24" t="str">
        <f>IF(A166="","",SUMIFS(加仓管理!$G$2:$G$1001,加仓管理!$A$2:$A$1001,A166))</f>
        <v/>
      </c>
      <c r="AM166" s="25" t="str">
        <f>IF(AK166=0,"",IFERROR(LOOKUP(2,1/((加仓管理!$A$2:$A$1001=A166)*(加仓管理!$G$2:$G$1001&gt;0)),加仓管理!$D$2:$D$1001),""))</f>
        <v/>
      </c>
      <c r="AN166" s="25" t="str">
        <f>IF(AK166=0,"",IFERROR(LOOKUP(2,1/((加仓管理!$A$2:$A$1001=A166)*(加仓管理!$G$2:$G$1001&gt;0)),加仓管理!$E$2:$E$1001),""))</f>
        <v/>
      </c>
      <c r="AO166" s="25" t="str">
        <f>IF(OR(A166="",H166="",H166&lt;=0),"",(E166*H166+SUMIFS(加仓管理!$H$2:$H$1001,加仓管理!$A$2:$A$1001,A166))/AP166)</f>
        <v/>
      </c>
      <c r="AP166" s="24" t="str">
        <f t="shared" si="65"/>
        <v/>
      </c>
      <c r="AQ166" s="25" t="str">
        <f>IF(A166="","",IF(M166&lt;&gt;"",0,IF(OR(H166="",N166=""),"",MAX((E166*H166+SUMIFS(加仓管理!$H$2:$H$1001,加仓管理!$A$2:$A$1001,A166))-MAX(N166,AN166)*AP166,0))))</f>
        <v/>
      </c>
      <c r="AR166" s="25" t="str">
        <f ca="1"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ht="17" spans="1:44">
      <c r="A167" s="21"/>
      <c r="B167" s="21"/>
      <c r="C167" s="7"/>
      <c r="D167" s="4"/>
      <c r="E167" s="7"/>
      <c r="F167" s="6" t="str">
        <f t="shared" si="55"/>
        <v/>
      </c>
      <c r="G167" s="6" t="str">
        <f ca="1"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1"/>
      <c r="I167" s="22"/>
      <c r="J167" s="7"/>
      <c r="K167" s="3"/>
      <c r="L167" s="6" t="str">
        <f t="shared" si="56"/>
        <v/>
      </c>
      <c r="M167" s="42"/>
      <c r="N167" s="7"/>
      <c r="O167" s="7"/>
      <c r="P167" s="3"/>
      <c r="Q167" s="21"/>
      <c r="R167" s="21"/>
      <c r="S167" s="21"/>
      <c r="T167" s="21"/>
      <c r="U167" s="5" t="str">
        <f t="shared" si="57"/>
        <v/>
      </c>
      <c r="V167" s="5" t="str">
        <f t="shared" si="58"/>
        <v/>
      </c>
      <c r="W167" s="23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1"/>
      <c r="AE167" s="5" t="str">
        <f t="shared" si="63"/>
        <v/>
      </c>
      <c r="AG167" s="21"/>
      <c r="AH167" s="21"/>
      <c r="AI167" s="21"/>
      <c r="AJ167" s="6" t="str">
        <f t="shared" si="64"/>
        <v/>
      </c>
      <c r="AK167" s="24" t="str">
        <f>IF(A167="","",COUNTIFS(加仓管理!$A$2:$A$1001,A167,加仓管理!$G$2:$G$1001,"&gt;0"))</f>
        <v/>
      </c>
      <c r="AL167" s="24" t="str">
        <f>IF(A167="","",SUMIFS(加仓管理!$G$2:$G$1001,加仓管理!$A$2:$A$1001,A167))</f>
        <v/>
      </c>
      <c r="AM167" s="25" t="str">
        <f>IF(AK167=0,"",IFERROR(LOOKUP(2,1/((加仓管理!$A$2:$A$1001=A167)*(加仓管理!$G$2:$G$1001&gt;0)),加仓管理!$D$2:$D$1001),""))</f>
        <v/>
      </c>
      <c r="AN167" s="25" t="str">
        <f>IF(AK167=0,"",IFERROR(LOOKUP(2,1/((加仓管理!$A$2:$A$1001=A167)*(加仓管理!$G$2:$G$1001&gt;0)),加仓管理!$E$2:$E$1001),""))</f>
        <v/>
      </c>
      <c r="AO167" s="25" t="str">
        <f>IF(OR(A167="",H167="",H167&lt;=0),"",(E167*H167+SUMIFS(加仓管理!$H$2:$H$1001,加仓管理!$A$2:$A$1001,A167))/AP167)</f>
        <v/>
      </c>
      <c r="AP167" s="24" t="str">
        <f t="shared" si="65"/>
        <v/>
      </c>
      <c r="AQ167" s="25" t="str">
        <f>IF(A167="","",IF(M167&lt;&gt;"",0,IF(OR(H167="",N167=""),"",MAX((E167*H167+SUMIFS(加仓管理!$H$2:$H$1001,加仓管理!$A$2:$A$1001,A167))-MAX(N167,AN167)*AP167,0))))</f>
        <v/>
      </c>
      <c r="AR167" s="25" t="str">
        <f ca="1"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ht="17" spans="1:44">
      <c r="A168" s="21"/>
      <c r="B168" s="21"/>
      <c r="C168" s="7"/>
      <c r="D168" s="4"/>
      <c r="E168" s="7"/>
      <c r="F168" s="6" t="str">
        <f t="shared" si="55"/>
        <v/>
      </c>
      <c r="G168" s="6" t="str">
        <f ca="1"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1"/>
      <c r="I168" s="22"/>
      <c r="J168" s="7"/>
      <c r="K168" s="3"/>
      <c r="L168" s="6" t="str">
        <f t="shared" si="56"/>
        <v/>
      </c>
      <c r="M168" s="42"/>
      <c r="N168" s="7"/>
      <c r="O168" s="7"/>
      <c r="P168" s="3"/>
      <c r="Q168" s="21"/>
      <c r="R168" s="21"/>
      <c r="S168" s="21"/>
      <c r="T168" s="21"/>
      <c r="U168" s="5" t="str">
        <f t="shared" si="57"/>
        <v/>
      </c>
      <c r="V168" s="5" t="str">
        <f t="shared" si="58"/>
        <v/>
      </c>
      <c r="W168" s="23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1"/>
      <c r="AE168" s="5" t="str">
        <f t="shared" si="63"/>
        <v/>
      </c>
      <c r="AG168" s="21"/>
      <c r="AH168" s="21"/>
      <c r="AI168" s="21"/>
      <c r="AJ168" s="6" t="str">
        <f t="shared" si="64"/>
        <v/>
      </c>
      <c r="AK168" s="24" t="str">
        <f>IF(A168="","",COUNTIFS(加仓管理!$A$2:$A$1001,A168,加仓管理!$G$2:$G$1001,"&gt;0"))</f>
        <v/>
      </c>
      <c r="AL168" s="24" t="str">
        <f>IF(A168="","",SUMIFS(加仓管理!$G$2:$G$1001,加仓管理!$A$2:$A$1001,A168))</f>
        <v/>
      </c>
      <c r="AM168" s="25" t="str">
        <f>IF(AK168=0,"",IFERROR(LOOKUP(2,1/((加仓管理!$A$2:$A$1001=A168)*(加仓管理!$G$2:$G$1001&gt;0)),加仓管理!$D$2:$D$1001),""))</f>
        <v/>
      </c>
      <c r="AN168" s="25" t="str">
        <f>IF(AK168=0,"",IFERROR(LOOKUP(2,1/((加仓管理!$A$2:$A$1001=A168)*(加仓管理!$G$2:$G$1001&gt;0)),加仓管理!$E$2:$E$1001),""))</f>
        <v/>
      </c>
      <c r="AO168" s="25" t="str">
        <f>IF(OR(A168="",H168="",H168&lt;=0),"",(E168*H168+SUMIFS(加仓管理!$H$2:$H$1001,加仓管理!$A$2:$A$1001,A168))/AP168)</f>
        <v/>
      </c>
      <c r="AP168" s="24" t="str">
        <f t="shared" si="65"/>
        <v/>
      </c>
      <c r="AQ168" s="25" t="str">
        <f>IF(A168="","",IF(M168&lt;&gt;"",0,IF(OR(H168="",N168=""),"",MAX((E168*H168+SUMIFS(加仓管理!$H$2:$H$1001,加仓管理!$A$2:$A$1001,A168))-MAX(N168,AN168)*AP168,0))))</f>
        <v/>
      </c>
      <c r="AR168" s="25" t="str">
        <f ca="1"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ht="17" spans="1:44">
      <c r="A169" s="21"/>
      <c r="B169" s="21"/>
      <c r="C169" s="7"/>
      <c r="D169" s="4"/>
      <c r="E169" s="7"/>
      <c r="F169" s="6" t="str">
        <f t="shared" si="55"/>
        <v/>
      </c>
      <c r="G169" s="6" t="str">
        <f ca="1"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1"/>
      <c r="I169" s="22"/>
      <c r="J169" s="7"/>
      <c r="K169" s="3"/>
      <c r="L169" s="6" t="str">
        <f t="shared" si="56"/>
        <v/>
      </c>
      <c r="M169" s="42"/>
      <c r="N169" s="7"/>
      <c r="O169" s="7"/>
      <c r="P169" s="3"/>
      <c r="Q169" s="21"/>
      <c r="R169" s="21"/>
      <c r="S169" s="21"/>
      <c r="T169" s="21"/>
      <c r="U169" s="5" t="str">
        <f t="shared" si="57"/>
        <v/>
      </c>
      <c r="V169" s="5" t="str">
        <f t="shared" si="58"/>
        <v/>
      </c>
      <c r="W169" s="23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1"/>
      <c r="AE169" s="5" t="str">
        <f t="shared" si="63"/>
        <v/>
      </c>
      <c r="AG169" s="21"/>
      <c r="AH169" s="21"/>
      <c r="AI169" s="21"/>
      <c r="AJ169" s="6" t="str">
        <f t="shared" si="64"/>
        <v/>
      </c>
      <c r="AK169" s="24" t="str">
        <f>IF(A169="","",COUNTIFS(加仓管理!$A$2:$A$1001,A169,加仓管理!$G$2:$G$1001,"&gt;0"))</f>
        <v/>
      </c>
      <c r="AL169" s="24" t="str">
        <f>IF(A169="","",SUMIFS(加仓管理!$G$2:$G$1001,加仓管理!$A$2:$A$1001,A169))</f>
        <v/>
      </c>
      <c r="AM169" s="25" t="str">
        <f>IF(AK169=0,"",IFERROR(LOOKUP(2,1/((加仓管理!$A$2:$A$1001=A169)*(加仓管理!$G$2:$G$1001&gt;0)),加仓管理!$D$2:$D$1001),""))</f>
        <v/>
      </c>
      <c r="AN169" s="25" t="str">
        <f>IF(AK169=0,"",IFERROR(LOOKUP(2,1/((加仓管理!$A$2:$A$1001=A169)*(加仓管理!$G$2:$G$1001&gt;0)),加仓管理!$E$2:$E$1001),""))</f>
        <v/>
      </c>
      <c r="AO169" s="25" t="str">
        <f>IF(OR(A169="",H169="",H169&lt;=0),"",(E169*H169+SUMIFS(加仓管理!$H$2:$H$1001,加仓管理!$A$2:$A$1001,A169))/AP169)</f>
        <v/>
      </c>
      <c r="AP169" s="24" t="str">
        <f t="shared" si="65"/>
        <v/>
      </c>
      <c r="AQ169" s="25" t="str">
        <f>IF(A169="","",IF(M169&lt;&gt;"",0,IF(OR(H169="",N169=""),"",MAX((E169*H169+SUMIFS(加仓管理!$H$2:$H$1001,加仓管理!$A$2:$A$1001,A169))-MAX(N169,AN169)*AP169,0))))</f>
        <v/>
      </c>
      <c r="AR169" s="25" t="str">
        <f ca="1"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ht="17" spans="1:44">
      <c r="A170" s="21"/>
      <c r="B170" s="21"/>
      <c r="C170" s="7"/>
      <c r="D170" s="4"/>
      <c r="E170" s="7"/>
      <c r="F170" s="6" t="str">
        <f t="shared" si="55"/>
        <v/>
      </c>
      <c r="G170" s="6" t="str">
        <f ca="1"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1"/>
      <c r="I170" s="22"/>
      <c r="J170" s="7"/>
      <c r="K170" s="3"/>
      <c r="L170" s="6" t="str">
        <f t="shared" si="56"/>
        <v/>
      </c>
      <c r="M170" s="42"/>
      <c r="N170" s="7"/>
      <c r="O170" s="7"/>
      <c r="P170" s="3"/>
      <c r="Q170" s="21"/>
      <c r="R170" s="21"/>
      <c r="S170" s="21"/>
      <c r="T170" s="21"/>
      <c r="U170" s="5" t="str">
        <f t="shared" si="57"/>
        <v/>
      </c>
      <c r="V170" s="5" t="str">
        <f t="shared" si="58"/>
        <v/>
      </c>
      <c r="W170" s="23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1"/>
      <c r="AE170" s="5" t="str">
        <f t="shared" si="63"/>
        <v/>
      </c>
      <c r="AG170" s="21"/>
      <c r="AH170" s="21"/>
      <c r="AI170" s="21"/>
      <c r="AJ170" s="6" t="str">
        <f t="shared" si="64"/>
        <v/>
      </c>
      <c r="AK170" s="24" t="str">
        <f>IF(A170="","",COUNTIFS(加仓管理!$A$2:$A$1001,A170,加仓管理!$G$2:$G$1001,"&gt;0"))</f>
        <v/>
      </c>
      <c r="AL170" s="24" t="str">
        <f>IF(A170="","",SUMIFS(加仓管理!$G$2:$G$1001,加仓管理!$A$2:$A$1001,A170))</f>
        <v/>
      </c>
      <c r="AM170" s="25" t="str">
        <f>IF(AK170=0,"",IFERROR(LOOKUP(2,1/((加仓管理!$A$2:$A$1001=A170)*(加仓管理!$G$2:$G$1001&gt;0)),加仓管理!$D$2:$D$1001),""))</f>
        <v/>
      </c>
      <c r="AN170" s="25" t="str">
        <f>IF(AK170=0,"",IFERROR(LOOKUP(2,1/((加仓管理!$A$2:$A$1001=A170)*(加仓管理!$G$2:$G$1001&gt;0)),加仓管理!$E$2:$E$1001),""))</f>
        <v/>
      </c>
      <c r="AO170" s="25" t="str">
        <f>IF(OR(A170="",H170="",H170&lt;=0),"",(E170*H170+SUMIFS(加仓管理!$H$2:$H$1001,加仓管理!$A$2:$A$1001,A170))/AP170)</f>
        <v/>
      </c>
      <c r="AP170" s="24" t="str">
        <f t="shared" si="65"/>
        <v/>
      </c>
      <c r="AQ170" s="25" t="str">
        <f>IF(A170="","",IF(M170&lt;&gt;"",0,IF(OR(H170="",N170=""),"",MAX((E170*H170+SUMIFS(加仓管理!$H$2:$H$1001,加仓管理!$A$2:$A$1001,A170))-MAX(N170,AN170)*AP170,0))))</f>
        <v/>
      </c>
      <c r="AR170" s="25" t="str">
        <f ca="1"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ht="17" spans="1:44">
      <c r="A171" s="21"/>
      <c r="B171" s="21"/>
      <c r="C171" s="7"/>
      <c r="D171" s="4"/>
      <c r="E171" s="7"/>
      <c r="F171" s="6" t="str">
        <f t="shared" si="55"/>
        <v/>
      </c>
      <c r="G171" s="6" t="str">
        <f ca="1"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1"/>
      <c r="I171" s="22"/>
      <c r="J171" s="7"/>
      <c r="K171" s="3"/>
      <c r="L171" s="6" t="str">
        <f t="shared" si="56"/>
        <v/>
      </c>
      <c r="M171" s="42"/>
      <c r="N171" s="7"/>
      <c r="O171" s="7"/>
      <c r="P171" s="3"/>
      <c r="Q171" s="21"/>
      <c r="R171" s="21"/>
      <c r="S171" s="21"/>
      <c r="T171" s="21"/>
      <c r="U171" s="5" t="str">
        <f t="shared" si="57"/>
        <v/>
      </c>
      <c r="V171" s="5" t="str">
        <f t="shared" si="58"/>
        <v/>
      </c>
      <c r="W171" s="23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1"/>
      <c r="AE171" s="5" t="str">
        <f t="shared" si="63"/>
        <v/>
      </c>
      <c r="AG171" s="21"/>
      <c r="AH171" s="21"/>
      <c r="AI171" s="21"/>
      <c r="AJ171" s="6" t="str">
        <f t="shared" si="64"/>
        <v/>
      </c>
      <c r="AK171" s="24" t="str">
        <f>IF(A171="","",COUNTIFS(加仓管理!$A$2:$A$1001,A171,加仓管理!$G$2:$G$1001,"&gt;0"))</f>
        <v/>
      </c>
      <c r="AL171" s="24" t="str">
        <f>IF(A171="","",SUMIFS(加仓管理!$G$2:$G$1001,加仓管理!$A$2:$A$1001,A171))</f>
        <v/>
      </c>
      <c r="AM171" s="25" t="str">
        <f>IF(AK171=0,"",IFERROR(LOOKUP(2,1/((加仓管理!$A$2:$A$1001=A171)*(加仓管理!$G$2:$G$1001&gt;0)),加仓管理!$D$2:$D$1001),""))</f>
        <v/>
      </c>
      <c r="AN171" s="25" t="str">
        <f>IF(AK171=0,"",IFERROR(LOOKUP(2,1/((加仓管理!$A$2:$A$1001=A171)*(加仓管理!$G$2:$G$1001&gt;0)),加仓管理!$E$2:$E$1001),""))</f>
        <v/>
      </c>
      <c r="AO171" s="25" t="str">
        <f>IF(OR(A171="",H171="",H171&lt;=0),"",(E171*H171+SUMIFS(加仓管理!$H$2:$H$1001,加仓管理!$A$2:$A$1001,A171))/AP171)</f>
        <v/>
      </c>
      <c r="AP171" s="24" t="str">
        <f t="shared" si="65"/>
        <v/>
      </c>
      <c r="AQ171" s="25" t="str">
        <f>IF(A171="","",IF(M171&lt;&gt;"",0,IF(OR(H171="",N171=""),"",MAX((E171*H171+SUMIFS(加仓管理!$H$2:$H$1001,加仓管理!$A$2:$A$1001,A171))-MAX(N171,AN171)*AP171,0))))</f>
        <v/>
      </c>
      <c r="AR171" s="25" t="str">
        <f ca="1"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ht="17" spans="1:44">
      <c r="A172" s="21"/>
      <c r="B172" s="21"/>
      <c r="C172" s="7"/>
      <c r="D172" s="4"/>
      <c r="E172" s="7"/>
      <c r="F172" s="6" t="str">
        <f t="shared" si="55"/>
        <v/>
      </c>
      <c r="G172" s="6" t="str">
        <f ca="1"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1"/>
      <c r="I172" s="22"/>
      <c r="J172" s="7"/>
      <c r="K172" s="3"/>
      <c r="L172" s="6" t="str">
        <f t="shared" si="56"/>
        <v/>
      </c>
      <c r="M172" s="42"/>
      <c r="N172" s="7"/>
      <c r="O172" s="7"/>
      <c r="P172" s="3"/>
      <c r="Q172" s="21"/>
      <c r="R172" s="21"/>
      <c r="S172" s="21"/>
      <c r="T172" s="21"/>
      <c r="U172" s="5" t="str">
        <f t="shared" si="57"/>
        <v/>
      </c>
      <c r="V172" s="5" t="str">
        <f t="shared" si="58"/>
        <v/>
      </c>
      <c r="W172" s="23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1"/>
      <c r="AE172" s="5" t="str">
        <f t="shared" si="63"/>
        <v/>
      </c>
      <c r="AG172" s="21"/>
      <c r="AH172" s="21"/>
      <c r="AI172" s="21"/>
      <c r="AJ172" s="6" t="str">
        <f t="shared" si="64"/>
        <v/>
      </c>
      <c r="AK172" s="24" t="str">
        <f>IF(A172="","",COUNTIFS(加仓管理!$A$2:$A$1001,A172,加仓管理!$G$2:$G$1001,"&gt;0"))</f>
        <v/>
      </c>
      <c r="AL172" s="24" t="str">
        <f>IF(A172="","",SUMIFS(加仓管理!$G$2:$G$1001,加仓管理!$A$2:$A$1001,A172))</f>
        <v/>
      </c>
      <c r="AM172" s="25" t="str">
        <f>IF(AK172=0,"",IFERROR(LOOKUP(2,1/((加仓管理!$A$2:$A$1001=A172)*(加仓管理!$G$2:$G$1001&gt;0)),加仓管理!$D$2:$D$1001),""))</f>
        <v/>
      </c>
      <c r="AN172" s="25" t="str">
        <f>IF(AK172=0,"",IFERROR(LOOKUP(2,1/((加仓管理!$A$2:$A$1001=A172)*(加仓管理!$G$2:$G$1001&gt;0)),加仓管理!$E$2:$E$1001),""))</f>
        <v/>
      </c>
      <c r="AO172" s="25" t="str">
        <f>IF(OR(A172="",H172="",H172&lt;=0),"",(E172*H172+SUMIFS(加仓管理!$H$2:$H$1001,加仓管理!$A$2:$A$1001,A172))/AP172)</f>
        <v/>
      </c>
      <c r="AP172" s="24" t="str">
        <f t="shared" si="65"/>
        <v/>
      </c>
      <c r="AQ172" s="25" t="str">
        <f>IF(A172="","",IF(M172&lt;&gt;"",0,IF(OR(H172="",N172=""),"",MAX((E172*H172+SUMIFS(加仓管理!$H$2:$H$1001,加仓管理!$A$2:$A$1001,A172))-MAX(N172,AN172)*AP172,0))))</f>
        <v/>
      </c>
      <c r="AR172" s="25" t="str">
        <f ca="1"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ht="17" spans="1:44">
      <c r="A173" s="21"/>
      <c r="B173" s="21"/>
      <c r="C173" s="7"/>
      <c r="D173" s="4"/>
      <c r="E173" s="7"/>
      <c r="F173" s="6" t="str">
        <f t="shared" si="55"/>
        <v/>
      </c>
      <c r="G173" s="6" t="str">
        <f ca="1"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1"/>
      <c r="I173" s="22"/>
      <c r="J173" s="7"/>
      <c r="K173" s="3"/>
      <c r="L173" s="6" t="str">
        <f t="shared" si="56"/>
        <v/>
      </c>
      <c r="M173" s="42"/>
      <c r="N173" s="7"/>
      <c r="O173" s="7"/>
      <c r="P173" s="3"/>
      <c r="Q173" s="21"/>
      <c r="R173" s="21"/>
      <c r="S173" s="21"/>
      <c r="T173" s="21"/>
      <c r="U173" s="5" t="str">
        <f t="shared" si="57"/>
        <v/>
      </c>
      <c r="V173" s="5" t="str">
        <f t="shared" si="58"/>
        <v/>
      </c>
      <c r="W173" s="23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1"/>
      <c r="AE173" s="5" t="str">
        <f t="shared" si="63"/>
        <v/>
      </c>
      <c r="AG173" s="21"/>
      <c r="AH173" s="21"/>
      <c r="AI173" s="21"/>
      <c r="AJ173" s="6" t="str">
        <f t="shared" si="64"/>
        <v/>
      </c>
      <c r="AK173" s="24" t="str">
        <f>IF(A173="","",COUNTIFS(加仓管理!$A$2:$A$1001,A173,加仓管理!$G$2:$G$1001,"&gt;0"))</f>
        <v/>
      </c>
      <c r="AL173" s="24" t="str">
        <f>IF(A173="","",SUMIFS(加仓管理!$G$2:$G$1001,加仓管理!$A$2:$A$1001,A173))</f>
        <v/>
      </c>
      <c r="AM173" s="25" t="str">
        <f>IF(AK173=0,"",IFERROR(LOOKUP(2,1/((加仓管理!$A$2:$A$1001=A173)*(加仓管理!$G$2:$G$1001&gt;0)),加仓管理!$D$2:$D$1001),""))</f>
        <v/>
      </c>
      <c r="AN173" s="25" t="str">
        <f>IF(AK173=0,"",IFERROR(LOOKUP(2,1/((加仓管理!$A$2:$A$1001=A173)*(加仓管理!$G$2:$G$1001&gt;0)),加仓管理!$E$2:$E$1001),""))</f>
        <v/>
      </c>
      <c r="AO173" s="25" t="str">
        <f>IF(OR(A173="",H173="",H173&lt;=0),"",(E173*H173+SUMIFS(加仓管理!$H$2:$H$1001,加仓管理!$A$2:$A$1001,A173))/AP173)</f>
        <v/>
      </c>
      <c r="AP173" s="24" t="str">
        <f t="shared" si="65"/>
        <v/>
      </c>
      <c r="AQ173" s="25" t="str">
        <f>IF(A173="","",IF(M173&lt;&gt;"",0,IF(OR(H173="",N173=""),"",MAX((E173*H173+SUMIFS(加仓管理!$H$2:$H$1001,加仓管理!$A$2:$A$1001,A173))-MAX(N173,AN173)*AP173,0))))</f>
        <v/>
      </c>
      <c r="AR173" s="25" t="str">
        <f ca="1"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ht="17" spans="1:44">
      <c r="A174" s="21"/>
      <c r="B174" s="21"/>
      <c r="C174" s="7"/>
      <c r="D174" s="4"/>
      <c r="E174" s="7"/>
      <c r="F174" s="6" t="str">
        <f t="shared" si="55"/>
        <v/>
      </c>
      <c r="G174" s="6" t="str">
        <f ca="1"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1"/>
      <c r="I174" s="22"/>
      <c r="J174" s="7"/>
      <c r="K174" s="3"/>
      <c r="L174" s="6" t="str">
        <f t="shared" si="56"/>
        <v/>
      </c>
      <c r="M174" s="42"/>
      <c r="N174" s="7"/>
      <c r="O174" s="7"/>
      <c r="P174" s="3"/>
      <c r="Q174" s="21"/>
      <c r="R174" s="21"/>
      <c r="S174" s="21"/>
      <c r="T174" s="21"/>
      <c r="U174" s="5" t="str">
        <f t="shared" si="57"/>
        <v/>
      </c>
      <c r="V174" s="5" t="str">
        <f t="shared" si="58"/>
        <v/>
      </c>
      <c r="W174" s="23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1"/>
      <c r="AE174" s="5" t="str">
        <f t="shared" si="63"/>
        <v/>
      </c>
      <c r="AG174" s="21"/>
      <c r="AH174" s="21"/>
      <c r="AI174" s="21"/>
      <c r="AJ174" s="6" t="str">
        <f t="shared" si="64"/>
        <v/>
      </c>
      <c r="AK174" s="24" t="str">
        <f>IF(A174="","",COUNTIFS(加仓管理!$A$2:$A$1001,A174,加仓管理!$G$2:$G$1001,"&gt;0"))</f>
        <v/>
      </c>
      <c r="AL174" s="24" t="str">
        <f>IF(A174="","",SUMIFS(加仓管理!$G$2:$G$1001,加仓管理!$A$2:$A$1001,A174))</f>
        <v/>
      </c>
      <c r="AM174" s="25" t="str">
        <f>IF(AK174=0,"",IFERROR(LOOKUP(2,1/((加仓管理!$A$2:$A$1001=A174)*(加仓管理!$G$2:$G$1001&gt;0)),加仓管理!$D$2:$D$1001),""))</f>
        <v/>
      </c>
      <c r="AN174" s="25" t="str">
        <f>IF(AK174=0,"",IFERROR(LOOKUP(2,1/((加仓管理!$A$2:$A$1001=A174)*(加仓管理!$G$2:$G$1001&gt;0)),加仓管理!$E$2:$E$1001),""))</f>
        <v/>
      </c>
      <c r="AO174" s="25" t="str">
        <f>IF(OR(A174="",H174="",H174&lt;=0),"",(E174*H174+SUMIFS(加仓管理!$H$2:$H$1001,加仓管理!$A$2:$A$1001,A174))/AP174)</f>
        <v/>
      </c>
      <c r="AP174" s="24" t="str">
        <f t="shared" si="65"/>
        <v/>
      </c>
      <c r="AQ174" s="25" t="str">
        <f>IF(A174="","",IF(M174&lt;&gt;"",0,IF(OR(H174="",N174=""),"",MAX((E174*H174+SUMIFS(加仓管理!$H$2:$H$1001,加仓管理!$A$2:$A$1001,A174))-MAX(N174,AN174)*AP174,0))))</f>
        <v/>
      </c>
      <c r="AR174" s="25" t="str">
        <f ca="1"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ht="17" spans="1:44">
      <c r="A175" s="21"/>
      <c r="B175" s="21"/>
      <c r="C175" s="7"/>
      <c r="D175" s="4"/>
      <c r="E175" s="7"/>
      <c r="F175" s="6" t="str">
        <f t="shared" si="55"/>
        <v/>
      </c>
      <c r="G175" s="6" t="str">
        <f ca="1"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1"/>
      <c r="I175" s="22"/>
      <c r="J175" s="7"/>
      <c r="K175" s="3"/>
      <c r="L175" s="6" t="str">
        <f t="shared" si="56"/>
        <v/>
      </c>
      <c r="M175" s="42"/>
      <c r="N175" s="7"/>
      <c r="O175" s="7"/>
      <c r="P175" s="3"/>
      <c r="Q175" s="21"/>
      <c r="R175" s="21"/>
      <c r="S175" s="21"/>
      <c r="T175" s="21"/>
      <c r="U175" s="5" t="str">
        <f t="shared" si="57"/>
        <v/>
      </c>
      <c r="V175" s="5" t="str">
        <f t="shared" si="58"/>
        <v/>
      </c>
      <c r="W175" s="23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1"/>
      <c r="AE175" s="5" t="str">
        <f t="shared" si="63"/>
        <v/>
      </c>
      <c r="AG175" s="21"/>
      <c r="AH175" s="21"/>
      <c r="AI175" s="21"/>
      <c r="AJ175" s="6" t="str">
        <f t="shared" si="64"/>
        <v/>
      </c>
      <c r="AK175" s="24" t="str">
        <f>IF(A175="","",COUNTIFS(加仓管理!$A$2:$A$1001,A175,加仓管理!$G$2:$G$1001,"&gt;0"))</f>
        <v/>
      </c>
      <c r="AL175" s="24" t="str">
        <f>IF(A175="","",SUMIFS(加仓管理!$G$2:$G$1001,加仓管理!$A$2:$A$1001,A175))</f>
        <v/>
      </c>
      <c r="AM175" s="25" t="str">
        <f>IF(AK175=0,"",IFERROR(LOOKUP(2,1/((加仓管理!$A$2:$A$1001=A175)*(加仓管理!$G$2:$G$1001&gt;0)),加仓管理!$D$2:$D$1001),""))</f>
        <v/>
      </c>
      <c r="AN175" s="25" t="str">
        <f>IF(AK175=0,"",IFERROR(LOOKUP(2,1/((加仓管理!$A$2:$A$1001=A175)*(加仓管理!$G$2:$G$1001&gt;0)),加仓管理!$E$2:$E$1001),""))</f>
        <v/>
      </c>
      <c r="AO175" s="25" t="str">
        <f>IF(OR(A175="",H175="",H175&lt;=0),"",(E175*H175+SUMIFS(加仓管理!$H$2:$H$1001,加仓管理!$A$2:$A$1001,A175))/AP175)</f>
        <v/>
      </c>
      <c r="AP175" s="24" t="str">
        <f t="shared" si="65"/>
        <v/>
      </c>
      <c r="AQ175" s="25" t="str">
        <f>IF(A175="","",IF(M175&lt;&gt;"",0,IF(OR(H175="",N175=""),"",MAX((E175*H175+SUMIFS(加仓管理!$H$2:$H$1001,加仓管理!$A$2:$A$1001,A175))-MAX(N175,AN175)*AP175,0))))</f>
        <v/>
      </c>
      <c r="AR175" s="25" t="str">
        <f ca="1"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ht="17" spans="1:44">
      <c r="A176" s="21"/>
      <c r="B176" s="21"/>
      <c r="C176" s="7"/>
      <c r="D176" s="4"/>
      <c r="E176" s="7"/>
      <c r="F176" s="6" t="str">
        <f t="shared" si="55"/>
        <v/>
      </c>
      <c r="G176" s="6" t="str">
        <f ca="1"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1"/>
      <c r="I176" s="22"/>
      <c r="J176" s="7"/>
      <c r="K176" s="3"/>
      <c r="L176" s="6" t="str">
        <f t="shared" si="56"/>
        <v/>
      </c>
      <c r="M176" s="42"/>
      <c r="N176" s="7"/>
      <c r="O176" s="7"/>
      <c r="P176" s="3"/>
      <c r="Q176" s="21"/>
      <c r="R176" s="21"/>
      <c r="S176" s="21"/>
      <c r="T176" s="21"/>
      <c r="U176" s="5" t="str">
        <f t="shared" si="57"/>
        <v/>
      </c>
      <c r="V176" s="5" t="str">
        <f t="shared" si="58"/>
        <v/>
      </c>
      <c r="W176" s="23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1"/>
      <c r="AE176" s="5" t="str">
        <f t="shared" si="63"/>
        <v/>
      </c>
      <c r="AG176" s="21"/>
      <c r="AH176" s="21"/>
      <c r="AI176" s="21"/>
      <c r="AJ176" s="6" t="str">
        <f t="shared" si="64"/>
        <v/>
      </c>
      <c r="AK176" s="24" t="str">
        <f>IF(A176="","",COUNTIFS(加仓管理!$A$2:$A$1001,A176,加仓管理!$G$2:$G$1001,"&gt;0"))</f>
        <v/>
      </c>
      <c r="AL176" s="24" t="str">
        <f>IF(A176="","",SUMIFS(加仓管理!$G$2:$G$1001,加仓管理!$A$2:$A$1001,A176))</f>
        <v/>
      </c>
      <c r="AM176" s="25" t="str">
        <f>IF(AK176=0,"",IFERROR(LOOKUP(2,1/((加仓管理!$A$2:$A$1001=A176)*(加仓管理!$G$2:$G$1001&gt;0)),加仓管理!$D$2:$D$1001),""))</f>
        <v/>
      </c>
      <c r="AN176" s="25" t="str">
        <f>IF(AK176=0,"",IFERROR(LOOKUP(2,1/((加仓管理!$A$2:$A$1001=A176)*(加仓管理!$G$2:$G$1001&gt;0)),加仓管理!$E$2:$E$1001),""))</f>
        <v/>
      </c>
      <c r="AO176" s="25" t="str">
        <f>IF(OR(A176="",H176="",H176&lt;=0),"",(E176*H176+SUMIFS(加仓管理!$H$2:$H$1001,加仓管理!$A$2:$A$1001,A176))/AP176)</f>
        <v/>
      </c>
      <c r="AP176" s="24" t="str">
        <f t="shared" si="65"/>
        <v/>
      </c>
      <c r="AQ176" s="25" t="str">
        <f>IF(A176="","",IF(M176&lt;&gt;"",0,IF(OR(H176="",N176=""),"",MAX((E176*H176+SUMIFS(加仓管理!$H$2:$H$1001,加仓管理!$A$2:$A$1001,A176))-MAX(N176,AN176)*AP176,0))))</f>
        <v/>
      </c>
      <c r="AR176" s="25" t="str">
        <f ca="1"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ht="17" spans="1:44">
      <c r="A177" s="21"/>
      <c r="B177" s="21"/>
      <c r="C177" s="7"/>
      <c r="D177" s="4"/>
      <c r="E177" s="7"/>
      <c r="F177" s="6" t="str">
        <f t="shared" si="55"/>
        <v/>
      </c>
      <c r="G177" s="6" t="str">
        <f ca="1"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1"/>
      <c r="I177" s="22"/>
      <c r="J177" s="7"/>
      <c r="K177" s="3"/>
      <c r="L177" s="6" t="str">
        <f t="shared" si="56"/>
        <v/>
      </c>
      <c r="M177" s="42"/>
      <c r="N177" s="7"/>
      <c r="O177" s="7"/>
      <c r="P177" s="3"/>
      <c r="Q177" s="21"/>
      <c r="R177" s="21"/>
      <c r="S177" s="21"/>
      <c r="T177" s="21"/>
      <c r="U177" s="5" t="str">
        <f t="shared" si="57"/>
        <v/>
      </c>
      <c r="V177" s="5" t="str">
        <f t="shared" si="58"/>
        <v/>
      </c>
      <c r="W177" s="23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1"/>
      <c r="AE177" s="5" t="str">
        <f t="shared" si="63"/>
        <v/>
      </c>
      <c r="AG177" s="21"/>
      <c r="AH177" s="21"/>
      <c r="AI177" s="21"/>
      <c r="AJ177" s="6" t="str">
        <f t="shared" si="64"/>
        <v/>
      </c>
      <c r="AK177" s="24" t="str">
        <f>IF(A177="","",COUNTIFS(加仓管理!$A$2:$A$1001,A177,加仓管理!$G$2:$G$1001,"&gt;0"))</f>
        <v/>
      </c>
      <c r="AL177" s="24" t="str">
        <f>IF(A177="","",SUMIFS(加仓管理!$G$2:$G$1001,加仓管理!$A$2:$A$1001,A177))</f>
        <v/>
      </c>
      <c r="AM177" s="25" t="str">
        <f>IF(AK177=0,"",IFERROR(LOOKUP(2,1/((加仓管理!$A$2:$A$1001=A177)*(加仓管理!$G$2:$G$1001&gt;0)),加仓管理!$D$2:$D$1001),""))</f>
        <v/>
      </c>
      <c r="AN177" s="25" t="str">
        <f>IF(AK177=0,"",IFERROR(LOOKUP(2,1/((加仓管理!$A$2:$A$1001=A177)*(加仓管理!$G$2:$G$1001&gt;0)),加仓管理!$E$2:$E$1001),""))</f>
        <v/>
      </c>
      <c r="AO177" s="25" t="str">
        <f>IF(OR(A177="",H177="",H177&lt;=0),"",(E177*H177+SUMIFS(加仓管理!$H$2:$H$1001,加仓管理!$A$2:$A$1001,A177))/AP177)</f>
        <v/>
      </c>
      <c r="AP177" s="24" t="str">
        <f t="shared" si="65"/>
        <v/>
      </c>
      <c r="AQ177" s="25" t="str">
        <f>IF(A177="","",IF(M177&lt;&gt;"",0,IF(OR(H177="",N177=""),"",MAX((E177*H177+SUMIFS(加仓管理!$H$2:$H$1001,加仓管理!$A$2:$A$1001,A177))-MAX(N177,AN177)*AP177,0))))</f>
        <v/>
      </c>
      <c r="AR177" s="25" t="str">
        <f ca="1"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ht="17" spans="1:44">
      <c r="A178" s="21"/>
      <c r="B178" s="21"/>
      <c r="C178" s="7"/>
      <c r="D178" s="4"/>
      <c r="E178" s="7"/>
      <c r="F178" s="6" t="str">
        <f t="shared" si="55"/>
        <v/>
      </c>
      <c r="G178" s="6" t="str">
        <f ca="1"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1"/>
      <c r="I178" s="22"/>
      <c r="J178" s="7"/>
      <c r="K178" s="3"/>
      <c r="L178" s="6" t="str">
        <f t="shared" si="56"/>
        <v/>
      </c>
      <c r="M178" s="42"/>
      <c r="N178" s="7"/>
      <c r="O178" s="7"/>
      <c r="P178" s="3"/>
      <c r="Q178" s="21"/>
      <c r="R178" s="21"/>
      <c r="S178" s="21"/>
      <c r="T178" s="21"/>
      <c r="U178" s="5" t="str">
        <f t="shared" si="57"/>
        <v/>
      </c>
      <c r="V178" s="5" t="str">
        <f t="shared" si="58"/>
        <v/>
      </c>
      <c r="W178" s="23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1"/>
      <c r="AE178" s="5" t="str">
        <f t="shared" si="63"/>
        <v/>
      </c>
      <c r="AG178" s="21"/>
      <c r="AH178" s="21"/>
      <c r="AI178" s="21"/>
      <c r="AJ178" s="6" t="str">
        <f t="shared" si="64"/>
        <v/>
      </c>
      <c r="AK178" s="24" t="str">
        <f>IF(A178="","",COUNTIFS(加仓管理!$A$2:$A$1001,A178,加仓管理!$G$2:$G$1001,"&gt;0"))</f>
        <v/>
      </c>
      <c r="AL178" s="24" t="str">
        <f>IF(A178="","",SUMIFS(加仓管理!$G$2:$G$1001,加仓管理!$A$2:$A$1001,A178))</f>
        <v/>
      </c>
      <c r="AM178" s="25" t="str">
        <f>IF(AK178=0,"",IFERROR(LOOKUP(2,1/((加仓管理!$A$2:$A$1001=A178)*(加仓管理!$G$2:$G$1001&gt;0)),加仓管理!$D$2:$D$1001),""))</f>
        <v/>
      </c>
      <c r="AN178" s="25" t="str">
        <f>IF(AK178=0,"",IFERROR(LOOKUP(2,1/((加仓管理!$A$2:$A$1001=A178)*(加仓管理!$G$2:$G$1001&gt;0)),加仓管理!$E$2:$E$1001),""))</f>
        <v/>
      </c>
      <c r="AO178" s="25" t="str">
        <f>IF(OR(A178="",H178="",H178&lt;=0),"",(E178*H178+SUMIFS(加仓管理!$H$2:$H$1001,加仓管理!$A$2:$A$1001,A178))/AP178)</f>
        <v/>
      </c>
      <c r="AP178" s="24" t="str">
        <f t="shared" si="65"/>
        <v/>
      </c>
      <c r="AQ178" s="25" t="str">
        <f>IF(A178="","",IF(M178&lt;&gt;"",0,IF(OR(H178="",N178=""),"",MAX((E178*H178+SUMIFS(加仓管理!$H$2:$H$1001,加仓管理!$A$2:$A$1001,A178))-MAX(N178,AN178)*AP178,0))))</f>
        <v/>
      </c>
      <c r="AR178" s="25" t="str">
        <f ca="1"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ht="17" spans="1:44">
      <c r="A179" s="21"/>
      <c r="B179" s="21"/>
      <c r="C179" s="7"/>
      <c r="D179" s="4"/>
      <c r="E179" s="7"/>
      <c r="F179" s="6" t="str">
        <f t="shared" si="55"/>
        <v/>
      </c>
      <c r="G179" s="6" t="str">
        <f ca="1"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1"/>
      <c r="I179" s="22"/>
      <c r="J179" s="7"/>
      <c r="K179" s="3"/>
      <c r="L179" s="6" t="str">
        <f t="shared" si="56"/>
        <v/>
      </c>
      <c r="M179" s="42"/>
      <c r="N179" s="7"/>
      <c r="O179" s="7"/>
      <c r="P179" s="3"/>
      <c r="Q179" s="21"/>
      <c r="R179" s="21"/>
      <c r="S179" s="21"/>
      <c r="T179" s="21"/>
      <c r="U179" s="5" t="str">
        <f t="shared" si="57"/>
        <v/>
      </c>
      <c r="V179" s="5" t="str">
        <f t="shared" si="58"/>
        <v/>
      </c>
      <c r="W179" s="23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1"/>
      <c r="AE179" s="5" t="str">
        <f t="shared" si="63"/>
        <v/>
      </c>
      <c r="AG179" s="21"/>
      <c r="AH179" s="21"/>
      <c r="AI179" s="21"/>
      <c r="AJ179" s="6" t="str">
        <f t="shared" si="64"/>
        <v/>
      </c>
      <c r="AK179" s="24" t="str">
        <f>IF(A179="","",COUNTIFS(加仓管理!$A$2:$A$1001,A179,加仓管理!$G$2:$G$1001,"&gt;0"))</f>
        <v/>
      </c>
      <c r="AL179" s="24" t="str">
        <f>IF(A179="","",SUMIFS(加仓管理!$G$2:$G$1001,加仓管理!$A$2:$A$1001,A179))</f>
        <v/>
      </c>
      <c r="AM179" s="25" t="str">
        <f>IF(AK179=0,"",IFERROR(LOOKUP(2,1/((加仓管理!$A$2:$A$1001=A179)*(加仓管理!$G$2:$G$1001&gt;0)),加仓管理!$D$2:$D$1001),""))</f>
        <v/>
      </c>
      <c r="AN179" s="25" t="str">
        <f>IF(AK179=0,"",IFERROR(LOOKUP(2,1/((加仓管理!$A$2:$A$1001=A179)*(加仓管理!$G$2:$G$1001&gt;0)),加仓管理!$E$2:$E$1001),""))</f>
        <v/>
      </c>
      <c r="AO179" s="25" t="str">
        <f>IF(OR(A179="",H179="",H179&lt;=0),"",(E179*H179+SUMIFS(加仓管理!$H$2:$H$1001,加仓管理!$A$2:$A$1001,A179))/AP179)</f>
        <v/>
      </c>
      <c r="AP179" s="24" t="str">
        <f t="shared" si="65"/>
        <v/>
      </c>
      <c r="AQ179" s="25" t="str">
        <f>IF(A179="","",IF(M179&lt;&gt;"",0,IF(OR(H179="",N179=""),"",MAX((E179*H179+SUMIFS(加仓管理!$H$2:$H$1001,加仓管理!$A$2:$A$1001,A179))-MAX(N179,AN179)*AP179,0))))</f>
        <v/>
      </c>
      <c r="AR179" s="25" t="str">
        <f ca="1"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ht="17" spans="1:44">
      <c r="A180" s="21"/>
      <c r="B180" s="21"/>
      <c r="C180" s="7"/>
      <c r="D180" s="4"/>
      <c r="E180" s="7"/>
      <c r="F180" s="6" t="str">
        <f t="shared" si="55"/>
        <v/>
      </c>
      <c r="G180" s="6" t="str">
        <f ca="1"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1"/>
      <c r="I180" s="22"/>
      <c r="J180" s="7"/>
      <c r="K180" s="3"/>
      <c r="L180" s="6" t="str">
        <f t="shared" si="56"/>
        <v/>
      </c>
      <c r="M180" s="42"/>
      <c r="N180" s="7"/>
      <c r="O180" s="7"/>
      <c r="P180" s="3"/>
      <c r="Q180" s="21"/>
      <c r="R180" s="21"/>
      <c r="S180" s="21"/>
      <c r="T180" s="21"/>
      <c r="U180" s="5" t="str">
        <f t="shared" si="57"/>
        <v/>
      </c>
      <c r="V180" s="5" t="str">
        <f t="shared" si="58"/>
        <v/>
      </c>
      <c r="W180" s="23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1"/>
      <c r="AE180" s="5" t="str">
        <f t="shared" si="63"/>
        <v/>
      </c>
      <c r="AG180" s="21"/>
      <c r="AH180" s="21"/>
      <c r="AI180" s="21"/>
      <c r="AJ180" s="6" t="str">
        <f t="shared" si="64"/>
        <v/>
      </c>
      <c r="AK180" s="24" t="str">
        <f>IF(A180="","",COUNTIFS(加仓管理!$A$2:$A$1001,A180,加仓管理!$G$2:$G$1001,"&gt;0"))</f>
        <v/>
      </c>
      <c r="AL180" s="24" t="str">
        <f>IF(A180="","",SUMIFS(加仓管理!$G$2:$G$1001,加仓管理!$A$2:$A$1001,A180))</f>
        <v/>
      </c>
      <c r="AM180" s="25" t="str">
        <f>IF(AK180=0,"",IFERROR(LOOKUP(2,1/((加仓管理!$A$2:$A$1001=A180)*(加仓管理!$G$2:$G$1001&gt;0)),加仓管理!$D$2:$D$1001),""))</f>
        <v/>
      </c>
      <c r="AN180" s="25" t="str">
        <f>IF(AK180=0,"",IFERROR(LOOKUP(2,1/((加仓管理!$A$2:$A$1001=A180)*(加仓管理!$G$2:$G$1001&gt;0)),加仓管理!$E$2:$E$1001),""))</f>
        <v/>
      </c>
      <c r="AO180" s="25" t="str">
        <f>IF(OR(A180="",H180="",H180&lt;=0),"",(E180*H180+SUMIFS(加仓管理!$H$2:$H$1001,加仓管理!$A$2:$A$1001,A180))/AP180)</f>
        <v/>
      </c>
      <c r="AP180" s="24" t="str">
        <f t="shared" si="65"/>
        <v/>
      </c>
      <c r="AQ180" s="25" t="str">
        <f>IF(A180="","",IF(M180&lt;&gt;"",0,IF(OR(H180="",N180=""),"",MAX((E180*H180+SUMIFS(加仓管理!$H$2:$H$1001,加仓管理!$A$2:$A$1001,A180))-MAX(N180,AN180)*AP180,0))))</f>
        <v/>
      </c>
      <c r="AR180" s="25" t="str">
        <f ca="1"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ht="17" spans="1:44">
      <c r="A181" s="21"/>
      <c r="B181" s="21"/>
      <c r="C181" s="7"/>
      <c r="D181" s="4"/>
      <c r="E181" s="7"/>
      <c r="F181" s="6" t="str">
        <f t="shared" si="55"/>
        <v/>
      </c>
      <c r="G181" s="6" t="str">
        <f ca="1"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1"/>
      <c r="I181" s="22"/>
      <c r="J181" s="7"/>
      <c r="K181" s="3"/>
      <c r="L181" s="6" t="str">
        <f t="shared" si="56"/>
        <v/>
      </c>
      <c r="M181" s="42"/>
      <c r="N181" s="7"/>
      <c r="O181" s="7"/>
      <c r="P181" s="3"/>
      <c r="Q181" s="21"/>
      <c r="R181" s="21"/>
      <c r="S181" s="21"/>
      <c r="T181" s="21"/>
      <c r="U181" s="5" t="str">
        <f t="shared" si="57"/>
        <v/>
      </c>
      <c r="V181" s="5" t="str">
        <f t="shared" si="58"/>
        <v/>
      </c>
      <c r="W181" s="23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1"/>
      <c r="AE181" s="5" t="str">
        <f t="shared" si="63"/>
        <v/>
      </c>
      <c r="AG181" s="21"/>
      <c r="AH181" s="21"/>
      <c r="AI181" s="21"/>
      <c r="AJ181" s="6" t="str">
        <f t="shared" si="64"/>
        <v/>
      </c>
      <c r="AK181" s="24" t="str">
        <f>IF(A181="","",COUNTIFS(加仓管理!$A$2:$A$1001,A181,加仓管理!$G$2:$G$1001,"&gt;0"))</f>
        <v/>
      </c>
      <c r="AL181" s="24" t="str">
        <f>IF(A181="","",SUMIFS(加仓管理!$G$2:$G$1001,加仓管理!$A$2:$A$1001,A181))</f>
        <v/>
      </c>
      <c r="AM181" s="25" t="str">
        <f>IF(AK181=0,"",IFERROR(LOOKUP(2,1/((加仓管理!$A$2:$A$1001=A181)*(加仓管理!$G$2:$G$1001&gt;0)),加仓管理!$D$2:$D$1001),""))</f>
        <v/>
      </c>
      <c r="AN181" s="25" t="str">
        <f>IF(AK181=0,"",IFERROR(LOOKUP(2,1/((加仓管理!$A$2:$A$1001=A181)*(加仓管理!$G$2:$G$1001&gt;0)),加仓管理!$E$2:$E$1001),""))</f>
        <v/>
      </c>
      <c r="AO181" s="25" t="str">
        <f>IF(OR(A181="",H181="",H181&lt;=0),"",(E181*H181+SUMIFS(加仓管理!$H$2:$H$1001,加仓管理!$A$2:$A$1001,A181))/AP181)</f>
        <v/>
      </c>
      <c r="AP181" s="24" t="str">
        <f t="shared" si="65"/>
        <v/>
      </c>
      <c r="AQ181" s="25" t="str">
        <f>IF(A181="","",IF(M181&lt;&gt;"",0,IF(OR(H181="",N181=""),"",MAX((E181*H181+SUMIFS(加仓管理!$H$2:$H$1001,加仓管理!$A$2:$A$1001,A181))-MAX(N181,AN181)*AP181,0))))</f>
        <v/>
      </c>
      <c r="AR181" s="25" t="str">
        <f ca="1"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ht="17" spans="1:44">
      <c r="A182" s="21"/>
      <c r="B182" s="21"/>
      <c r="C182" s="7"/>
      <c r="D182" s="4"/>
      <c r="E182" s="7"/>
      <c r="F182" s="6" t="str">
        <f t="shared" si="55"/>
        <v/>
      </c>
      <c r="G182" s="6" t="str">
        <f ca="1"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1"/>
      <c r="I182" s="22"/>
      <c r="J182" s="7"/>
      <c r="K182" s="3"/>
      <c r="L182" s="6" t="str">
        <f t="shared" si="56"/>
        <v/>
      </c>
      <c r="M182" s="42"/>
      <c r="N182" s="7"/>
      <c r="O182" s="7"/>
      <c r="P182" s="3"/>
      <c r="Q182" s="21"/>
      <c r="R182" s="21"/>
      <c r="S182" s="21"/>
      <c r="T182" s="21"/>
      <c r="U182" s="5" t="str">
        <f t="shared" si="57"/>
        <v/>
      </c>
      <c r="V182" s="5" t="str">
        <f t="shared" si="58"/>
        <v/>
      </c>
      <c r="W182" s="23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1"/>
      <c r="AE182" s="5" t="str">
        <f t="shared" si="63"/>
        <v/>
      </c>
      <c r="AG182" s="21"/>
      <c r="AH182" s="21"/>
      <c r="AI182" s="21"/>
      <c r="AJ182" s="6" t="str">
        <f t="shared" si="64"/>
        <v/>
      </c>
      <c r="AK182" s="24" t="str">
        <f>IF(A182="","",COUNTIFS(加仓管理!$A$2:$A$1001,A182,加仓管理!$G$2:$G$1001,"&gt;0"))</f>
        <v/>
      </c>
      <c r="AL182" s="24" t="str">
        <f>IF(A182="","",SUMIFS(加仓管理!$G$2:$G$1001,加仓管理!$A$2:$A$1001,A182))</f>
        <v/>
      </c>
      <c r="AM182" s="25" t="str">
        <f>IF(AK182=0,"",IFERROR(LOOKUP(2,1/((加仓管理!$A$2:$A$1001=A182)*(加仓管理!$G$2:$G$1001&gt;0)),加仓管理!$D$2:$D$1001),""))</f>
        <v/>
      </c>
      <c r="AN182" s="25" t="str">
        <f>IF(AK182=0,"",IFERROR(LOOKUP(2,1/((加仓管理!$A$2:$A$1001=A182)*(加仓管理!$G$2:$G$1001&gt;0)),加仓管理!$E$2:$E$1001),""))</f>
        <v/>
      </c>
      <c r="AO182" s="25" t="str">
        <f>IF(OR(A182="",H182="",H182&lt;=0),"",(E182*H182+SUMIFS(加仓管理!$H$2:$H$1001,加仓管理!$A$2:$A$1001,A182))/AP182)</f>
        <v/>
      </c>
      <c r="AP182" s="24" t="str">
        <f t="shared" si="65"/>
        <v/>
      </c>
      <c r="AQ182" s="25" t="str">
        <f>IF(A182="","",IF(M182&lt;&gt;"",0,IF(OR(H182="",N182=""),"",MAX((E182*H182+SUMIFS(加仓管理!$H$2:$H$1001,加仓管理!$A$2:$A$1001,A182))-MAX(N182,AN182)*AP182,0))))</f>
        <v/>
      </c>
      <c r="AR182" s="25" t="str">
        <f ca="1"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ht="17" spans="1:44">
      <c r="A183" s="21"/>
      <c r="B183" s="21"/>
      <c r="C183" s="7"/>
      <c r="D183" s="4"/>
      <c r="E183" s="7"/>
      <c r="F183" s="6" t="str">
        <f t="shared" si="55"/>
        <v/>
      </c>
      <c r="G183" s="6" t="str">
        <f ca="1"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1"/>
      <c r="I183" s="22"/>
      <c r="J183" s="7"/>
      <c r="K183" s="3"/>
      <c r="L183" s="6" t="str">
        <f t="shared" si="56"/>
        <v/>
      </c>
      <c r="M183" s="42"/>
      <c r="N183" s="7"/>
      <c r="O183" s="7"/>
      <c r="P183" s="3"/>
      <c r="Q183" s="21"/>
      <c r="R183" s="21"/>
      <c r="S183" s="21"/>
      <c r="T183" s="21"/>
      <c r="U183" s="5" t="str">
        <f t="shared" si="57"/>
        <v/>
      </c>
      <c r="V183" s="5" t="str">
        <f t="shared" si="58"/>
        <v/>
      </c>
      <c r="W183" s="23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1"/>
      <c r="AE183" s="5" t="str">
        <f t="shared" si="63"/>
        <v/>
      </c>
      <c r="AG183" s="21"/>
      <c r="AH183" s="21"/>
      <c r="AI183" s="21"/>
      <c r="AJ183" s="6" t="str">
        <f t="shared" si="64"/>
        <v/>
      </c>
      <c r="AK183" s="24" t="str">
        <f>IF(A183="","",COUNTIFS(加仓管理!$A$2:$A$1001,A183,加仓管理!$G$2:$G$1001,"&gt;0"))</f>
        <v/>
      </c>
      <c r="AL183" s="24" t="str">
        <f>IF(A183="","",SUMIFS(加仓管理!$G$2:$G$1001,加仓管理!$A$2:$A$1001,A183))</f>
        <v/>
      </c>
      <c r="AM183" s="25" t="str">
        <f>IF(AK183=0,"",IFERROR(LOOKUP(2,1/((加仓管理!$A$2:$A$1001=A183)*(加仓管理!$G$2:$G$1001&gt;0)),加仓管理!$D$2:$D$1001),""))</f>
        <v/>
      </c>
      <c r="AN183" s="25" t="str">
        <f>IF(AK183=0,"",IFERROR(LOOKUP(2,1/((加仓管理!$A$2:$A$1001=A183)*(加仓管理!$G$2:$G$1001&gt;0)),加仓管理!$E$2:$E$1001),""))</f>
        <v/>
      </c>
      <c r="AO183" s="25" t="str">
        <f>IF(OR(A183="",H183="",H183&lt;=0),"",(E183*H183+SUMIFS(加仓管理!$H$2:$H$1001,加仓管理!$A$2:$A$1001,A183))/AP183)</f>
        <v/>
      </c>
      <c r="AP183" s="24" t="str">
        <f t="shared" si="65"/>
        <v/>
      </c>
      <c r="AQ183" s="25" t="str">
        <f>IF(A183="","",IF(M183&lt;&gt;"",0,IF(OR(H183="",N183=""),"",MAX((E183*H183+SUMIFS(加仓管理!$H$2:$H$1001,加仓管理!$A$2:$A$1001,A183))-MAX(N183,AN183)*AP183,0))))</f>
        <v/>
      </c>
      <c r="AR183" s="25" t="str">
        <f ca="1"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ht="17" spans="1:44">
      <c r="A184" s="21"/>
      <c r="B184" s="21"/>
      <c r="C184" s="7"/>
      <c r="D184" s="4"/>
      <c r="E184" s="7"/>
      <c r="F184" s="6" t="str">
        <f t="shared" si="55"/>
        <v/>
      </c>
      <c r="G184" s="6" t="str">
        <f ca="1"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1"/>
      <c r="I184" s="22"/>
      <c r="J184" s="7"/>
      <c r="K184" s="3"/>
      <c r="L184" s="6" t="str">
        <f t="shared" si="56"/>
        <v/>
      </c>
      <c r="M184" s="42"/>
      <c r="N184" s="7"/>
      <c r="O184" s="7"/>
      <c r="P184" s="3"/>
      <c r="Q184" s="21"/>
      <c r="R184" s="21"/>
      <c r="S184" s="21"/>
      <c r="T184" s="21"/>
      <c r="U184" s="5" t="str">
        <f t="shared" si="57"/>
        <v/>
      </c>
      <c r="V184" s="5" t="str">
        <f t="shared" si="58"/>
        <v/>
      </c>
      <c r="W184" s="23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1"/>
      <c r="AE184" s="5" t="str">
        <f t="shared" si="63"/>
        <v/>
      </c>
      <c r="AG184" s="21"/>
      <c r="AH184" s="21"/>
      <c r="AI184" s="21"/>
      <c r="AJ184" s="6" t="str">
        <f t="shared" si="64"/>
        <v/>
      </c>
      <c r="AK184" s="24" t="str">
        <f>IF(A184="","",COUNTIFS(加仓管理!$A$2:$A$1001,A184,加仓管理!$G$2:$G$1001,"&gt;0"))</f>
        <v/>
      </c>
      <c r="AL184" s="24" t="str">
        <f>IF(A184="","",SUMIFS(加仓管理!$G$2:$G$1001,加仓管理!$A$2:$A$1001,A184))</f>
        <v/>
      </c>
      <c r="AM184" s="25" t="str">
        <f>IF(AK184=0,"",IFERROR(LOOKUP(2,1/((加仓管理!$A$2:$A$1001=A184)*(加仓管理!$G$2:$G$1001&gt;0)),加仓管理!$D$2:$D$1001),""))</f>
        <v/>
      </c>
      <c r="AN184" s="25" t="str">
        <f>IF(AK184=0,"",IFERROR(LOOKUP(2,1/((加仓管理!$A$2:$A$1001=A184)*(加仓管理!$G$2:$G$1001&gt;0)),加仓管理!$E$2:$E$1001),""))</f>
        <v/>
      </c>
      <c r="AO184" s="25" t="str">
        <f>IF(OR(A184="",H184="",H184&lt;=0),"",(E184*H184+SUMIFS(加仓管理!$H$2:$H$1001,加仓管理!$A$2:$A$1001,A184))/AP184)</f>
        <v/>
      </c>
      <c r="AP184" s="24" t="str">
        <f t="shared" si="65"/>
        <v/>
      </c>
      <c r="AQ184" s="25" t="str">
        <f>IF(A184="","",IF(M184&lt;&gt;"",0,IF(OR(H184="",N184=""),"",MAX((E184*H184+SUMIFS(加仓管理!$H$2:$H$1001,加仓管理!$A$2:$A$1001,A184))-MAX(N184,AN184)*AP184,0))))</f>
        <v/>
      </c>
      <c r="AR184" s="25" t="str">
        <f ca="1"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ht="17" spans="1:44">
      <c r="A185" s="21"/>
      <c r="B185" s="21"/>
      <c r="C185" s="7"/>
      <c r="D185" s="4"/>
      <c r="E185" s="7"/>
      <c r="F185" s="6" t="str">
        <f t="shared" si="55"/>
        <v/>
      </c>
      <c r="G185" s="6" t="str">
        <f ca="1"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1"/>
      <c r="I185" s="22"/>
      <c r="J185" s="7"/>
      <c r="K185" s="3"/>
      <c r="L185" s="6" t="str">
        <f t="shared" si="56"/>
        <v/>
      </c>
      <c r="M185" s="42"/>
      <c r="N185" s="7"/>
      <c r="O185" s="7"/>
      <c r="P185" s="3"/>
      <c r="Q185" s="21"/>
      <c r="R185" s="21"/>
      <c r="S185" s="21"/>
      <c r="T185" s="21"/>
      <c r="U185" s="5" t="str">
        <f t="shared" si="57"/>
        <v/>
      </c>
      <c r="V185" s="5" t="str">
        <f t="shared" si="58"/>
        <v/>
      </c>
      <c r="W185" s="23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1"/>
      <c r="AE185" s="5" t="str">
        <f t="shared" si="63"/>
        <v/>
      </c>
      <c r="AG185" s="21"/>
      <c r="AH185" s="21"/>
      <c r="AI185" s="21"/>
      <c r="AJ185" s="6" t="str">
        <f t="shared" si="64"/>
        <v/>
      </c>
      <c r="AK185" s="24" t="str">
        <f>IF(A185="","",COUNTIFS(加仓管理!$A$2:$A$1001,A185,加仓管理!$G$2:$G$1001,"&gt;0"))</f>
        <v/>
      </c>
      <c r="AL185" s="24" t="str">
        <f>IF(A185="","",SUMIFS(加仓管理!$G$2:$G$1001,加仓管理!$A$2:$A$1001,A185))</f>
        <v/>
      </c>
      <c r="AM185" s="25" t="str">
        <f>IF(AK185=0,"",IFERROR(LOOKUP(2,1/((加仓管理!$A$2:$A$1001=A185)*(加仓管理!$G$2:$G$1001&gt;0)),加仓管理!$D$2:$D$1001),""))</f>
        <v/>
      </c>
      <c r="AN185" s="25" t="str">
        <f>IF(AK185=0,"",IFERROR(LOOKUP(2,1/((加仓管理!$A$2:$A$1001=A185)*(加仓管理!$G$2:$G$1001&gt;0)),加仓管理!$E$2:$E$1001),""))</f>
        <v/>
      </c>
      <c r="AO185" s="25" t="str">
        <f>IF(OR(A185="",H185="",H185&lt;=0),"",(E185*H185+SUMIFS(加仓管理!$H$2:$H$1001,加仓管理!$A$2:$A$1001,A185))/AP185)</f>
        <v/>
      </c>
      <c r="AP185" s="24" t="str">
        <f t="shared" si="65"/>
        <v/>
      </c>
      <c r="AQ185" s="25" t="str">
        <f>IF(A185="","",IF(M185&lt;&gt;"",0,IF(OR(H185="",N185=""),"",MAX((E185*H185+SUMIFS(加仓管理!$H$2:$H$1001,加仓管理!$A$2:$A$1001,A185))-MAX(N185,AN185)*AP185,0))))</f>
        <v/>
      </c>
      <c r="AR185" s="25" t="str">
        <f ca="1"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ht="17" spans="1:44">
      <c r="A186" s="21"/>
      <c r="B186" s="21"/>
      <c r="C186" s="7"/>
      <c r="D186" s="4"/>
      <c r="E186" s="7"/>
      <c r="F186" s="6" t="str">
        <f t="shared" si="55"/>
        <v/>
      </c>
      <c r="G186" s="6" t="str">
        <f ca="1"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1"/>
      <c r="I186" s="22"/>
      <c r="J186" s="7"/>
      <c r="K186" s="3"/>
      <c r="L186" s="6" t="str">
        <f t="shared" si="56"/>
        <v/>
      </c>
      <c r="M186" s="42"/>
      <c r="N186" s="7"/>
      <c r="O186" s="7"/>
      <c r="P186" s="3"/>
      <c r="Q186" s="21"/>
      <c r="R186" s="21"/>
      <c r="S186" s="21"/>
      <c r="T186" s="21"/>
      <c r="U186" s="5" t="str">
        <f t="shared" si="57"/>
        <v/>
      </c>
      <c r="V186" s="5" t="str">
        <f t="shared" si="58"/>
        <v/>
      </c>
      <c r="W186" s="23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1"/>
      <c r="AE186" s="5" t="str">
        <f t="shared" si="63"/>
        <v/>
      </c>
      <c r="AG186" s="21"/>
      <c r="AH186" s="21"/>
      <c r="AI186" s="21"/>
      <c r="AJ186" s="6" t="str">
        <f t="shared" si="64"/>
        <v/>
      </c>
      <c r="AK186" s="24" t="str">
        <f>IF(A186="","",COUNTIFS(加仓管理!$A$2:$A$1001,A186,加仓管理!$G$2:$G$1001,"&gt;0"))</f>
        <v/>
      </c>
      <c r="AL186" s="24" t="str">
        <f>IF(A186="","",SUMIFS(加仓管理!$G$2:$G$1001,加仓管理!$A$2:$A$1001,A186))</f>
        <v/>
      </c>
      <c r="AM186" s="25" t="str">
        <f>IF(AK186=0,"",IFERROR(LOOKUP(2,1/((加仓管理!$A$2:$A$1001=A186)*(加仓管理!$G$2:$G$1001&gt;0)),加仓管理!$D$2:$D$1001),""))</f>
        <v/>
      </c>
      <c r="AN186" s="25" t="str">
        <f>IF(AK186=0,"",IFERROR(LOOKUP(2,1/((加仓管理!$A$2:$A$1001=A186)*(加仓管理!$G$2:$G$1001&gt;0)),加仓管理!$E$2:$E$1001),""))</f>
        <v/>
      </c>
      <c r="AO186" s="25" t="str">
        <f>IF(OR(A186="",H186="",H186&lt;=0),"",(E186*H186+SUMIFS(加仓管理!$H$2:$H$1001,加仓管理!$A$2:$A$1001,A186))/AP186)</f>
        <v/>
      </c>
      <c r="AP186" s="24" t="str">
        <f t="shared" si="65"/>
        <v/>
      </c>
      <c r="AQ186" s="25" t="str">
        <f>IF(A186="","",IF(M186&lt;&gt;"",0,IF(OR(H186="",N186=""),"",MAX((E186*H186+SUMIFS(加仓管理!$H$2:$H$1001,加仓管理!$A$2:$A$1001,A186))-MAX(N186,AN186)*AP186,0))))</f>
        <v/>
      </c>
      <c r="AR186" s="25" t="str">
        <f ca="1"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ht="17" spans="1:44">
      <c r="A187" s="21"/>
      <c r="B187" s="21"/>
      <c r="C187" s="7"/>
      <c r="D187" s="4"/>
      <c r="E187" s="7"/>
      <c r="F187" s="6" t="str">
        <f t="shared" si="55"/>
        <v/>
      </c>
      <c r="G187" s="6" t="str">
        <f ca="1"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1"/>
      <c r="I187" s="22"/>
      <c r="J187" s="7"/>
      <c r="K187" s="3"/>
      <c r="L187" s="6" t="str">
        <f t="shared" si="56"/>
        <v/>
      </c>
      <c r="M187" s="42"/>
      <c r="N187" s="7"/>
      <c r="O187" s="7"/>
      <c r="P187" s="3"/>
      <c r="Q187" s="21"/>
      <c r="R187" s="21"/>
      <c r="S187" s="21"/>
      <c r="T187" s="21"/>
      <c r="U187" s="5" t="str">
        <f t="shared" si="57"/>
        <v/>
      </c>
      <c r="V187" s="5" t="str">
        <f t="shared" si="58"/>
        <v/>
      </c>
      <c r="W187" s="23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1"/>
      <c r="AE187" s="5" t="str">
        <f t="shared" si="63"/>
        <v/>
      </c>
      <c r="AG187" s="21"/>
      <c r="AH187" s="21"/>
      <c r="AI187" s="21"/>
      <c r="AJ187" s="6" t="str">
        <f t="shared" si="64"/>
        <v/>
      </c>
      <c r="AK187" s="24" t="str">
        <f>IF(A187="","",COUNTIFS(加仓管理!$A$2:$A$1001,A187,加仓管理!$G$2:$G$1001,"&gt;0"))</f>
        <v/>
      </c>
      <c r="AL187" s="24" t="str">
        <f>IF(A187="","",SUMIFS(加仓管理!$G$2:$G$1001,加仓管理!$A$2:$A$1001,A187))</f>
        <v/>
      </c>
      <c r="AM187" s="25" t="str">
        <f>IF(AK187=0,"",IFERROR(LOOKUP(2,1/((加仓管理!$A$2:$A$1001=A187)*(加仓管理!$G$2:$G$1001&gt;0)),加仓管理!$D$2:$D$1001),""))</f>
        <v/>
      </c>
      <c r="AN187" s="25" t="str">
        <f>IF(AK187=0,"",IFERROR(LOOKUP(2,1/((加仓管理!$A$2:$A$1001=A187)*(加仓管理!$G$2:$G$1001&gt;0)),加仓管理!$E$2:$E$1001),""))</f>
        <v/>
      </c>
      <c r="AO187" s="25" t="str">
        <f>IF(OR(A187="",H187="",H187&lt;=0),"",(E187*H187+SUMIFS(加仓管理!$H$2:$H$1001,加仓管理!$A$2:$A$1001,A187))/AP187)</f>
        <v/>
      </c>
      <c r="AP187" s="24" t="str">
        <f t="shared" si="65"/>
        <v/>
      </c>
      <c r="AQ187" s="25" t="str">
        <f>IF(A187="","",IF(M187&lt;&gt;"",0,IF(OR(H187="",N187=""),"",MAX((E187*H187+SUMIFS(加仓管理!$H$2:$H$1001,加仓管理!$A$2:$A$1001,A187))-MAX(N187,AN187)*AP187,0))))</f>
        <v/>
      </c>
      <c r="AR187" s="25" t="str">
        <f ca="1"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ht="17" spans="1:44">
      <c r="A188" s="21"/>
      <c r="B188" s="21"/>
      <c r="C188" s="7"/>
      <c r="D188" s="4"/>
      <c r="E188" s="7"/>
      <c r="F188" s="6" t="str">
        <f t="shared" si="55"/>
        <v/>
      </c>
      <c r="G188" s="6" t="str">
        <f ca="1"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1"/>
      <c r="I188" s="22"/>
      <c r="J188" s="7"/>
      <c r="K188" s="3"/>
      <c r="L188" s="6" t="str">
        <f t="shared" si="56"/>
        <v/>
      </c>
      <c r="M188" s="42"/>
      <c r="N188" s="7"/>
      <c r="O188" s="7"/>
      <c r="P188" s="3"/>
      <c r="Q188" s="21"/>
      <c r="R188" s="21"/>
      <c r="S188" s="21"/>
      <c r="T188" s="21"/>
      <c r="U188" s="5" t="str">
        <f t="shared" si="57"/>
        <v/>
      </c>
      <c r="V188" s="5" t="str">
        <f t="shared" si="58"/>
        <v/>
      </c>
      <c r="W188" s="23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1"/>
      <c r="AE188" s="5" t="str">
        <f t="shared" si="63"/>
        <v/>
      </c>
      <c r="AG188" s="21"/>
      <c r="AH188" s="21"/>
      <c r="AI188" s="21"/>
      <c r="AJ188" s="6" t="str">
        <f t="shared" si="64"/>
        <v/>
      </c>
      <c r="AK188" s="24" t="str">
        <f>IF(A188="","",COUNTIFS(加仓管理!$A$2:$A$1001,A188,加仓管理!$G$2:$G$1001,"&gt;0"))</f>
        <v/>
      </c>
      <c r="AL188" s="24" t="str">
        <f>IF(A188="","",SUMIFS(加仓管理!$G$2:$G$1001,加仓管理!$A$2:$A$1001,A188))</f>
        <v/>
      </c>
      <c r="AM188" s="25" t="str">
        <f>IF(AK188=0,"",IFERROR(LOOKUP(2,1/((加仓管理!$A$2:$A$1001=A188)*(加仓管理!$G$2:$G$1001&gt;0)),加仓管理!$D$2:$D$1001),""))</f>
        <v/>
      </c>
      <c r="AN188" s="25" t="str">
        <f>IF(AK188=0,"",IFERROR(LOOKUP(2,1/((加仓管理!$A$2:$A$1001=A188)*(加仓管理!$G$2:$G$1001&gt;0)),加仓管理!$E$2:$E$1001),""))</f>
        <v/>
      </c>
      <c r="AO188" s="25" t="str">
        <f>IF(OR(A188="",H188="",H188&lt;=0),"",(E188*H188+SUMIFS(加仓管理!$H$2:$H$1001,加仓管理!$A$2:$A$1001,A188))/AP188)</f>
        <v/>
      </c>
      <c r="AP188" s="24" t="str">
        <f t="shared" si="65"/>
        <v/>
      </c>
      <c r="AQ188" s="25" t="str">
        <f>IF(A188="","",IF(M188&lt;&gt;"",0,IF(OR(H188="",N188=""),"",MAX((E188*H188+SUMIFS(加仓管理!$H$2:$H$1001,加仓管理!$A$2:$A$1001,A188))-MAX(N188,AN188)*AP188,0))))</f>
        <v/>
      </c>
      <c r="AR188" s="25" t="str">
        <f ca="1"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ht="17" spans="1:44">
      <c r="A189" s="21"/>
      <c r="B189" s="21"/>
      <c r="C189" s="7"/>
      <c r="D189" s="4"/>
      <c r="E189" s="7"/>
      <c r="F189" s="6" t="str">
        <f t="shared" si="55"/>
        <v/>
      </c>
      <c r="G189" s="6" t="str">
        <f ca="1"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1"/>
      <c r="I189" s="22"/>
      <c r="J189" s="7"/>
      <c r="K189" s="3"/>
      <c r="L189" s="6" t="str">
        <f t="shared" si="56"/>
        <v/>
      </c>
      <c r="M189" s="42"/>
      <c r="N189" s="7"/>
      <c r="O189" s="7"/>
      <c r="P189" s="3"/>
      <c r="Q189" s="21"/>
      <c r="R189" s="21"/>
      <c r="S189" s="21"/>
      <c r="T189" s="21"/>
      <c r="U189" s="5" t="str">
        <f t="shared" si="57"/>
        <v/>
      </c>
      <c r="V189" s="5" t="str">
        <f t="shared" si="58"/>
        <v/>
      </c>
      <c r="W189" s="23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1"/>
      <c r="AE189" s="5" t="str">
        <f t="shared" si="63"/>
        <v/>
      </c>
      <c r="AG189" s="21"/>
      <c r="AH189" s="21"/>
      <c r="AI189" s="21"/>
      <c r="AJ189" s="6" t="str">
        <f t="shared" si="64"/>
        <v/>
      </c>
      <c r="AK189" s="24" t="str">
        <f>IF(A189="","",COUNTIFS(加仓管理!$A$2:$A$1001,A189,加仓管理!$G$2:$G$1001,"&gt;0"))</f>
        <v/>
      </c>
      <c r="AL189" s="24" t="str">
        <f>IF(A189="","",SUMIFS(加仓管理!$G$2:$G$1001,加仓管理!$A$2:$A$1001,A189))</f>
        <v/>
      </c>
      <c r="AM189" s="25" t="str">
        <f>IF(AK189=0,"",IFERROR(LOOKUP(2,1/((加仓管理!$A$2:$A$1001=A189)*(加仓管理!$G$2:$G$1001&gt;0)),加仓管理!$D$2:$D$1001),""))</f>
        <v/>
      </c>
      <c r="AN189" s="25" t="str">
        <f>IF(AK189=0,"",IFERROR(LOOKUP(2,1/((加仓管理!$A$2:$A$1001=A189)*(加仓管理!$G$2:$G$1001&gt;0)),加仓管理!$E$2:$E$1001),""))</f>
        <v/>
      </c>
      <c r="AO189" s="25" t="str">
        <f>IF(OR(A189="",H189="",H189&lt;=0),"",(E189*H189+SUMIFS(加仓管理!$H$2:$H$1001,加仓管理!$A$2:$A$1001,A189))/AP189)</f>
        <v/>
      </c>
      <c r="AP189" s="24" t="str">
        <f t="shared" si="65"/>
        <v/>
      </c>
      <c r="AQ189" s="25" t="str">
        <f>IF(A189="","",IF(M189&lt;&gt;"",0,IF(OR(H189="",N189=""),"",MAX((E189*H189+SUMIFS(加仓管理!$H$2:$H$1001,加仓管理!$A$2:$A$1001,A189))-MAX(N189,AN189)*AP189,0))))</f>
        <v/>
      </c>
      <c r="AR189" s="25" t="str">
        <f ca="1"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ht="17" spans="1:44">
      <c r="A190" s="21"/>
      <c r="B190" s="21"/>
      <c r="C190" s="7"/>
      <c r="D190" s="4"/>
      <c r="E190" s="7"/>
      <c r="F190" s="6" t="str">
        <f t="shared" si="55"/>
        <v/>
      </c>
      <c r="G190" s="6" t="str">
        <f ca="1"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1"/>
      <c r="I190" s="22"/>
      <c r="J190" s="7"/>
      <c r="K190" s="3"/>
      <c r="L190" s="6" t="str">
        <f t="shared" si="56"/>
        <v/>
      </c>
      <c r="M190" s="42"/>
      <c r="N190" s="7"/>
      <c r="O190" s="7"/>
      <c r="P190" s="3"/>
      <c r="Q190" s="21"/>
      <c r="R190" s="21"/>
      <c r="S190" s="21"/>
      <c r="T190" s="21"/>
      <c r="U190" s="5" t="str">
        <f t="shared" si="57"/>
        <v/>
      </c>
      <c r="V190" s="5" t="str">
        <f t="shared" si="58"/>
        <v/>
      </c>
      <c r="W190" s="23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1"/>
      <c r="AE190" s="5" t="str">
        <f t="shared" si="63"/>
        <v/>
      </c>
      <c r="AG190" s="21"/>
      <c r="AH190" s="21"/>
      <c r="AI190" s="21"/>
      <c r="AJ190" s="6" t="str">
        <f t="shared" si="64"/>
        <v/>
      </c>
      <c r="AK190" s="24" t="str">
        <f>IF(A190="","",COUNTIFS(加仓管理!$A$2:$A$1001,A190,加仓管理!$G$2:$G$1001,"&gt;0"))</f>
        <v/>
      </c>
      <c r="AL190" s="24" t="str">
        <f>IF(A190="","",SUMIFS(加仓管理!$G$2:$G$1001,加仓管理!$A$2:$A$1001,A190))</f>
        <v/>
      </c>
      <c r="AM190" s="25" t="str">
        <f>IF(AK190=0,"",IFERROR(LOOKUP(2,1/((加仓管理!$A$2:$A$1001=A190)*(加仓管理!$G$2:$G$1001&gt;0)),加仓管理!$D$2:$D$1001),""))</f>
        <v/>
      </c>
      <c r="AN190" s="25" t="str">
        <f>IF(AK190=0,"",IFERROR(LOOKUP(2,1/((加仓管理!$A$2:$A$1001=A190)*(加仓管理!$G$2:$G$1001&gt;0)),加仓管理!$E$2:$E$1001),""))</f>
        <v/>
      </c>
      <c r="AO190" s="25" t="str">
        <f>IF(OR(A190="",H190="",H190&lt;=0),"",(E190*H190+SUMIFS(加仓管理!$H$2:$H$1001,加仓管理!$A$2:$A$1001,A190))/AP190)</f>
        <v/>
      </c>
      <c r="AP190" s="24" t="str">
        <f t="shared" si="65"/>
        <v/>
      </c>
      <c r="AQ190" s="25" t="str">
        <f>IF(A190="","",IF(M190&lt;&gt;"",0,IF(OR(H190="",N190=""),"",MAX((E190*H190+SUMIFS(加仓管理!$H$2:$H$1001,加仓管理!$A$2:$A$1001,A190))-MAX(N190,AN190)*AP190,0))))</f>
        <v/>
      </c>
      <c r="AR190" s="25" t="str">
        <f ca="1"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ht="17" spans="1:44">
      <c r="A191" s="21"/>
      <c r="B191" s="21"/>
      <c r="C191" s="7"/>
      <c r="D191" s="4"/>
      <c r="E191" s="7"/>
      <c r="F191" s="6" t="str">
        <f t="shared" si="55"/>
        <v/>
      </c>
      <c r="G191" s="6" t="str">
        <f ca="1"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1"/>
      <c r="I191" s="22"/>
      <c r="J191" s="7"/>
      <c r="K191" s="3"/>
      <c r="L191" s="6" t="str">
        <f t="shared" si="56"/>
        <v/>
      </c>
      <c r="M191" s="42"/>
      <c r="N191" s="7"/>
      <c r="O191" s="7"/>
      <c r="P191" s="3"/>
      <c r="Q191" s="21"/>
      <c r="R191" s="21"/>
      <c r="S191" s="21"/>
      <c r="T191" s="21"/>
      <c r="U191" s="5" t="str">
        <f t="shared" si="57"/>
        <v/>
      </c>
      <c r="V191" s="5" t="str">
        <f t="shared" si="58"/>
        <v/>
      </c>
      <c r="W191" s="23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1"/>
      <c r="AE191" s="5" t="str">
        <f t="shared" si="63"/>
        <v/>
      </c>
      <c r="AG191" s="21"/>
      <c r="AH191" s="21"/>
      <c r="AI191" s="21"/>
      <c r="AJ191" s="6" t="str">
        <f t="shared" si="64"/>
        <v/>
      </c>
      <c r="AK191" s="24" t="str">
        <f>IF(A191="","",COUNTIFS(加仓管理!$A$2:$A$1001,A191,加仓管理!$G$2:$G$1001,"&gt;0"))</f>
        <v/>
      </c>
      <c r="AL191" s="24" t="str">
        <f>IF(A191="","",SUMIFS(加仓管理!$G$2:$G$1001,加仓管理!$A$2:$A$1001,A191))</f>
        <v/>
      </c>
      <c r="AM191" s="25" t="str">
        <f>IF(AK191=0,"",IFERROR(LOOKUP(2,1/((加仓管理!$A$2:$A$1001=A191)*(加仓管理!$G$2:$G$1001&gt;0)),加仓管理!$D$2:$D$1001),""))</f>
        <v/>
      </c>
      <c r="AN191" s="25" t="str">
        <f>IF(AK191=0,"",IFERROR(LOOKUP(2,1/((加仓管理!$A$2:$A$1001=A191)*(加仓管理!$G$2:$G$1001&gt;0)),加仓管理!$E$2:$E$1001),""))</f>
        <v/>
      </c>
      <c r="AO191" s="25" t="str">
        <f>IF(OR(A191="",H191="",H191&lt;=0),"",(E191*H191+SUMIFS(加仓管理!$H$2:$H$1001,加仓管理!$A$2:$A$1001,A191))/AP191)</f>
        <v/>
      </c>
      <c r="AP191" s="24" t="str">
        <f t="shared" si="65"/>
        <v/>
      </c>
      <c r="AQ191" s="25" t="str">
        <f>IF(A191="","",IF(M191&lt;&gt;"",0,IF(OR(H191="",N191=""),"",MAX((E191*H191+SUMIFS(加仓管理!$H$2:$H$1001,加仓管理!$A$2:$A$1001,A191))-MAX(N191,AN191)*AP191,0))))</f>
        <v/>
      </c>
      <c r="AR191" s="25" t="str">
        <f ca="1"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ht="17" spans="1:44">
      <c r="A192" s="21"/>
      <c r="B192" s="21"/>
      <c r="C192" s="7"/>
      <c r="D192" s="4"/>
      <c r="E192" s="7"/>
      <c r="F192" s="6" t="str">
        <f t="shared" si="55"/>
        <v/>
      </c>
      <c r="G192" s="6" t="str">
        <f ca="1"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1"/>
      <c r="I192" s="22"/>
      <c r="J192" s="7"/>
      <c r="K192" s="3"/>
      <c r="L192" s="6" t="str">
        <f t="shared" si="56"/>
        <v/>
      </c>
      <c r="M192" s="42"/>
      <c r="N192" s="7"/>
      <c r="O192" s="7"/>
      <c r="P192" s="3"/>
      <c r="Q192" s="21"/>
      <c r="R192" s="21"/>
      <c r="S192" s="21"/>
      <c r="T192" s="21"/>
      <c r="U192" s="5" t="str">
        <f t="shared" si="57"/>
        <v/>
      </c>
      <c r="V192" s="5" t="str">
        <f t="shared" si="58"/>
        <v/>
      </c>
      <c r="W192" s="23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1"/>
      <c r="AE192" s="5" t="str">
        <f t="shared" si="63"/>
        <v/>
      </c>
      <c r="AG192" s="21"/>
      <c r="AH192" s="21"/>
      <c r="AI192" s="21"/>
      <c r="AJ192" s="6" t="str">
        <f t="shared" si="64"/>
        <v/>
      </c>
      <c r="AK192" s="24" t="str">
        <f>IF(A192="","",COUNTIFS(加仓管理!$A$2:$A$1001,A192,加仓管理!$G$2:$G$1001,"&gt;0"))</f>
        <v/>
      </c>
      <c r="AL192" s="24" t="str">
        <f>IF(A192="","",SUMIFS(加仓管理!$G$2:$G$1001,加仓管理!$A$2:$A$1001,A192))</f>
        <v/>
      </c>
      <c r="AM192" s="25" t="str">
        <f>IF(AK192=0,"",IFERROR(LOOKUP(2,1/((加仓管理!$A$2:$A$1001=A192)*(加仓管理!$G$2:$G$1001&gt;0)),加仓管理!$D$2:$D$1001),""))</f>
        <v/>
      </c>
      <c r="AN192" s="25" t="str">
        <f>IF(AK192=0,"",IFERROR(LOOKUP(2,1/((加仓管理!$A$2:$A$1001=A192)*(加仓管理!$G$2:$G$1001&gt;0)),加仓管理!$E$2:$E$1001),""))</f>
        <v/>
      </c>
      <c r="AO192" s="25" t="str">
        <f>IF(OR(A192="",H192="",H192&lt;=0),"",(E192*H192+SUMIFS(加仓管理!$H$2:$H$1001,加仓管理!$A$2:$A$1001,A192))/AP192)</f>
        <v/>
      </c>
      <c r="AP192" s="24" t="str">
        <f t="shared" si="65"/>
        <v/>
      </c>
      <c r="AQ192" s="25" t="str">
        <f>IF(A192="","",IF(M192&lt;&gt;"",0,IF(OR(H192="",N192=""),"",MAX((E192*H192+SUMIFS(加仓管理!$H$2:$H$1001,加仓管理!$A$2:$A$1001,A192))-MAX(N192,AN192)*AP192,0))))</f>
        <v/>
      </c>
      <c r="AR192" s="25" t="str">
        <f ca="1"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ht="17" spans="1:44">
      <c r="A193" s="21"/>
      <c r="B193" s="21"/>
      <c r="C193" s="7"/>
      <c r="D193" s="4"/>
      <c r="E193" s="7"/>
      <c r="F193" s="6" t="str">
        <f t="shared" si="55"/>
        <v/>
      </c>
      <c r="G193" s="6" t="str">
        <f ca="1"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1"/>
      <c r="I193" s="22"/>
      <c r="J193" s="7"/>
      <c r="K193" s="3"/>
      <c r="L193" s="6" t="str">
        <f t="shared" si="56"/>
        <v/>
      </c>
      <c r="M193" s="42"/>
      <c r="N193" s="7"/>
      <c r="O193" s="7"/>
      <c r="P193" s="3"/>
      <c r="Q193" s="21"/>
      <c r="R193" s="21"/>
      <c r="S193" s="21"/>
      <c r="T193" s="21"/>
      <c r="U193" s="5" t="str">
        <f t="shared" si="57"/>
        <v/>
      </c>
      <c r="V193" s="5" t="str">
        <f t="shared" si="58"/>
        <v/>
      </c>
      <c r="W193" s="23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1"/>
      <c r="AE193" s="5" t="str">
        <f t="shared" si="63"/>
        <v/>
      </c>
      <c r="AG193" s="21"/>
      <c r="AH193" s="21"/>
      <c r="AI193" s="21"/>
      <c r="AJ193" s="6" t="str">
        <f t="shared" si="64"/>
        <v/>
      </c>
      <c r="AK193" s="24" t="str">
        <f>IF(A193="","",COUNTIFS(加仓管理!$A$2:$A$1001,A193,加仓管理!$G$2:$G$1001,"&gt;0"))</f>
        <v/>
      </c>
      <c r="AL193" s="24" t="str">
        <f>IF(A193="","",SUMIFS(加仓管理!$G$2:$G$1001,加仓管理!$A$2:$A$1001,A193))</f>
        <v/>
      </c>
      <c r="AM193" s="25" t="str">
        <f>IF(AK193=0,"",IFERROR(LOOKUP(2,1/((加仓管理!$A$2:$A$1001=A193)*(加仓管理!$G$2:$G$1001&gt;0)),加仓管理!$D$2:$D$1001),""))</f>
        <v/>
      </c>
      <c r="AN193" s="25" t="str">
        <f>IF(AK193=0,"",IFERROR(LOOKUP(2,1/((加仓管理!$A$2:$A$1001=A193)*(加仓管理!$G$2:$G$1001&gt;0)),加仓管理!$E$2:$E$1001),""))</f>
        <v/>
      </c>
      <c r="AO193" s="25" t="str">
        <f>IF(OR(A193="",H193="",H193&lt;=0),"",(E193*H193+SUMIFS(加仓管理!$H$2:$H$1001,加仓管理!$A$2:$A$1001,A193))/AP193)</f>
        <v/>
      </c>
      <c r="AP193" s="24" t="str">
        <f t="shared" si="65"/>
        <v/>
      </c>
      <c r="AQ193" s="25" t="str">
        <f>IF(A193="","",IF(M193&lt;&gt;"",0,IF(OR(H193="",N193=""),"",MAX((E193*H193+SUMIFS(加仓管理!$H$2:$H$1001,加仓管理!$A$2:$A$1001,A193))-MAX(N193,AN193)*AP193,0))))</f>
        <v/>
      </c>
      <c r="AR193" s="25" t="str">
        <f ca="1"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ht="17" spans="1:44">
      <c r="A194" s="21"/>
      <c r="B194" s="21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 ca="1"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1"/>
      <c r="I194" s="22"/>
      <c r="J194" s="7"/>
      <c r="K194" s="3"/>
      <c r="L194" s="6" t="str">
        <f t="shared" ref="L194:L201" si="67">IF(AP194="","",AP194)</f>
        <v/>
      </c>
      <c r="M194" s="42"/>
      <c r="N194" s="7"/>
      <c r="O194" s="7"/>
      <c r="P194" s="3"/>
      <c r="Q194" s="21"/>
      <c r="R194" s="21"/>
      <c r="S194" s="21"/>
      <c r="T194" s="21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3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1"/>
      <c r="AE194" s="5" t="str">
        <f t="shared" ref="AE194:AE201" si="74">IF(OR(X194="",C194="",C194&lt;=0),"",X194/C194)</f>
        <v/>
      </c>
      <c r="AG194" s="21"/>
      <c r="AH194" s="21"/>
      <c r="AI194" s="21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4" t="str">
        <f>IF(A194="","",COUNTIFS(加仓管理!$A$2:$A$1001,A194,加仓管理!$G$2:$G$1001,"&gt;0"))</f>
        <v/>
      </c>
      <c r="AL194" s="24" t="str">
        <f>IF(A194="","",SUMIFS(加仓管理!$G$2:$G$1001,加仓管理!$A$2:$A$1001,A194))</f>
        <v/>
      </c>
      <c r="AM194" s="25" t="str">
        <f>IF(AK194=0,"",IFERROR(LOOKUP(2,1/((加仓管理!$A$2:$A$1001=A194)*(加仓管理!$G$2:$G$1001&gt;0)),加仓管理!$D$2:$D$1001),""))</f>
        <v/>
      </c>
      <c r="AN194" s="25" t="str">
        <f>IF(AK194=0,"",IFERROR(LOOKUP(2,1/((加仓管理!$A$2:$A$1001=A194)*(加仓管理!$G$2:$G$1001&gt;0)),加仓管理!$E$2:$E$1001),""))</f>
        <v/>
      </c>
      <c r="AO194" s="25" t="str">
        <f>IF(OR(A194="",H194="",H194&lt;=0),"",(E194*H194+SUMIFS(加仓管理!$H$2:$H$1001,加仓管理!$A$2:$A$1001,A194))/AP194)</f>
        <v/>
      </c>
      <c r="AP194" s="24" t="str">
        <f t="shared" ref="AP194:AP201" si="76">IF(OR(A194="",H194="",H194&lt;=0),"",H194+AL194)</f>
        <v/>
      </c>
      <c r="AQ194" s="25" t="str">
        <f>IF(A194="","",IF(M194&lt;&gt;"",0,IF(OR(H194="",N194=""),"",MAX((E194*H194+SUMIFS(加仓管理!$H$2:$H$1001,加仓管理!$A$2:$A$1001,A194))-MAX(N194,AN194)*AP194,0))))</f>
        <v/>
      </c>
      <c r="AR194" s="25" t="str">
        <f ca="1"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ht="17" spans="1:44">
      <c r="A195" s="21"/>
      <c r="B195" s="21"/>
      <c r="C195" s="7"/>
      <c r="D195" s="4"/>
      <c r="E195" s="7"/>
      <c r="F195" s="6" t="str">
        <f t="shared" si="66"/>
        <v/>
      </c>
      <c r="G195" s="6" t="str">
        <f ca="1"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1"/>
      <c r="I195" s="22"/>
      <c r="J195" s="7"/>
      <c r="K195" s="3"/>
      <c r="L195" s="6" t="str">
        <f t="shared" si="67"/>
        <v/>
      </c>
      <c r="M195" s="42"/>
      <c r="N195" s="7"/>
      <c r="O195" s="7"/>
      <c r="P195" s="3"/>
      <c r="Q195" s="21"/>
      <c r="R195" s="21"/>
      <c r="S195" s="21"/>
      <c r="T195" s="21"/>
      <c r="U195" s="5" t="str">
        <f t="shared" si="68"/>
        <v/>
      </c>
      <c r="V195" s="5" t="str">
        <f t="shared" si="69"/>
        <v/>
      </c>
      <c r="W195" s="23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1"/>
      <c r="AE195" s="5" t="str">
        <f t="shared" si="74"/>
        <v/>
      </c>
      <c r="AG195" s="21"/>
      <c r="AH195" s="21"/>
      <c r="AI195" s="21"/>
      <c r="AJ195" s="6" t="str">
        <f t="shared" si="75"/>
        <v/>
      </c>
      <c r="AK195" s="24" t="str">
        <f>IF(A195="","",COUNTIFS(加仓管理!$A$2:$A$1001,A195,加仓管理!$G$2:$G$1001,"&gt;0"))</f>
        <v/>
      </c>
      <c r="AL195" s="24" t="str">
        <f>IF(A195="","",SUMIFS(加仓管理!$G$2:$G$1001,加仓管理!$A$2:$A$1001,A195))</f>
        <v/>
      </c>
      <c r="AM195" s="25" t="str">
        <f>IF(AK195=0,"",IFERROR(LOOKUP(2,1/((加仓管理!$A$2:$A$1001=A195)*(加仓管理!$G$2:$G$1001&gt;0)),加仓管理!$D$2:$D$1001),""))</f>
        <v/>
      </c>
      <c r="AN195" s="25" t="str">
        <f>IF(AK195=0,"",IFERROR(LOOKUP(2,1/((加仓管理!$A$2:$A$1001=A195)*(加仓管理!$G$2:$G$1001&gt;0)),加仓管理!$E$2:$E$1001),""))</f>
        <v/>
      </c>
      <c r="AO195" s="25" t="str">
        <f>IF(OR(A195="",H195="",H195&lt;=0),"",(E195*H195+SUMIFS(加仓管理!$H$2:$H$1001,加仓管理!$A$2:$A$1001,A195))/AP195)</f>
        <v/>
      </c>
      <c r="AP195" s="24" t="str">
        <f t="shared" si="76"/>
        <v/>
      </c>
      <c r="AQ195" s="25" t="str">
        <f>IF(A195="","",IF(M195&lt;&gt;"",0,IF(OR(H195="",N195=""),"",MAX((E195*H195+SUMIFS(加仓管理!$H$2:$H$1001,加仓管理!$A$2:$A$1001,A195))-MAX(N195,AN195)*AP195,0))))</f>
        <v/>
      </c>
      <c r="AR195" s="25" t="str">
        <f ca="1"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ht="17" spans="1:44">
      <c r="A196" s="21"/>
      <c r="B196" s="21"/>
      <c r="C196" s="7"/>
      <c r="D196" s="4"/>
      <c r="E196" s="7"/>
      <c r="F196" s="6" t="str">
        <f t="shared" si="66"/>
        <v/>
      </c>
      <c r="G196" s="6" t="str">
        <f ca="1"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1"/>
      <c r="I196" s="22"/>
      <c r="J196" s="7"/>
      <c r="K196" s="3"/>
      <c r="L196" s="6" t="str">
        <f t="shared" si="67"/>
        <v/>
      </c>
      <c r="M196" s="42"/>
      <c r="N196" s="7"/>
      <c r="O196" s="7"/>
      <c r="P196" s="3"/>
      <c r="Q196" s="21"/>
      <c r="R196" s="21"/>
      <c r="S196" s="21"/>
      <c r="T196" s="21"/>
      <c r="U196" s="5" t="str">
        <f t="shared" si="68"/>
        <v/>
      </c>
      <c r="V196" s="5" t="str">
        <f t="shared" si="69"/>
        <v/>
      </c>
      <c r="W196" s="23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1"/>
      <c r="AE196" s="5" t="str">
        <f t="shared" si="74"/>
        <v/>
      </c>
      <c r="AG196" s="21"/>
      <c r="AH196" s="21"/>
      <c r="AI196" s="21"/>
      <c r="AJ196" s="6" t="str">
        <f t="shared" si="75"/>
        <v/>
      </c>
      <c r="AK196" s="24" t="str">
        <f>IF(A196="","",COUNTIFS(加仓管理!$A$2:$A$1001,A196,加仓管理!$G$2:$G$1001,"&gt;0"))</f>
        <v/>
      </c>
      <c r="AL196" s="24" t="str">
        <f>IF(A196="","",SUMIFS(加仓管理!$G$2:$G$1001,加仓管理!$A$2:$A$1001,A196))</f>
        <v/>
      </c>
      <c r="AM196" s="25" t="str">
        <f>IF(AK196=0,"",IFERROR(LOOKUP(2,1/((加仓管理!$A$2:$A$1001=A196)*(加仓管理!$G$2:$G$1001&gt;0)),加仓管理!$D$2:$D$1001),""))</f>
        <v/>
      </c>
      <c r="AN196" s="25" t="str">
        <f>IF(AK196=0,"",IFERROR(LOOKUP(2,1/((加仓管理!$A$2:$A$1001=A196)*(加仓管理!$G$2:$G$1001&gt;0)),加仓管理!$E$2:$E$1001),""))</f>
        <v/>
      </c>
      <c r="AO196" s="25" t="str">
        <f>IF(OR(A196="",H196="",H196&lt;=0),"",(E196*H196+SUMIFS(加仓管理!$H$2:$H$1001,加仓管理!$A$2:$A$1001,A196))/AP196)</f>
        <v/>
      </c>
      <c r="AP196" s="24" t="str">
        <f t="shared" si="76"/>
        <v/>
      </c>
      <c r="AQ196" s="25" t="str">
        <f>IF(A196="","",IF(M196&lt;&gt;"",0,IF(OR(H196="",N196=""),"",MAX((E196*H196+SUMIFS(加仓管理!$H$2:$H$1001,加仓管理!$A$2:$A$1001,A196))-MAX(N196,AN196)*AP196,0))))</f>
        <v/>
      </c>
      <c r="AR196" s="25" t="str">
        <f ca="1"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ht="17" spans="1:44">
      <c r="A197" s="21"/>
      <c r="B197" s="21"/>
      <c r="C197" s="7"/>
      <c r="D197" s="4"/>
      <c r="E197" s="7"/>
      <c r="F197" s="6" t="str">
        <f t="shared" si="66"/>
        <v/>
      </c>
      <c r="G197" s="6" t="str">
        <f ca="1"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1"/>
      <c r="I197" s="22"/>
      <c r="J197" s="7"/>
      <c r="K197" s="3"/>
      <c r="L197" s="6" t="str">
        <f t="shared" si="67"/>
        <v/>
      </c>
      <c r="M197" s="42"/>
      <c r="N197" s="7"/>
      <c r="O197" s="7"/>
      <c r="P197" s="3"/>
      <c r="Q197" s="21"/>
      <c r="R197" s="21"/>
      <c r="S197" s="21"/>
      <c r="T197" s="21"/>
      <c r="U197" s="5" t="str">
        <f t="shared" si="68"/>
        <v/>
      </c>
      <c r="V197" s="5" t="str">
        <f t="shared" si="69"/>
        <v/>
      </c>
      <c r="W197" s="23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1"/>
      <c r="AE197" s="5" t="str">
        <f t="shared" si="74"/>
        <v/>
      </c>
      <c r="AG197" s="21"/>
      <c r="AH197" s="21"/>
      <c r="AI197" s="21"/>
      <c r="AJ197" s="6" t="str">
        <f t="shared" si="75"/>
        <v/>
      </c>
      <c r="AK197" s="24" t="str">
        <f>IF(A197="","",COUNTIFS(加仓管理!$A$2:$A$1001,A197,加仓管理!$G$2:$G$1001,"&gt;0"))</f>
        <v/>
      </c>
      <c r="AL197" s="24" t="str">
        <f>IF(A197="","",SUMIFS(加仓管理!$G$2:$G$1001,加仓管理!$A$2:$A$1001,A197))</f>
        <v/>
      </c>
      <c r="AM197" s="25" t="str">
        <f>IF(AK197=0,"",IFERROR(LOOKUP(2,1/((加仓管理!$A$2:$A$1001=A197)*(加仓管理!$G$2:$G$1001&gt;0)),加仓管理!$D$2:$D$1001),""))</f>
        <v/>
      </c>
      <c r="AN197" s="25" t="str">
        <f>IF(AK197=0,"",IFERROR(LOOKUP(2,1/((加仓管理!$A$2:$A$1001=A197)*(加仓管理!$G$2:$G$1001&gt;0)),加仓管理!$E$2:$E$1001),""))</f>
        <v/>
      </c>
      <c r="AO197" s="25" t="str">
        <f>IF(OR(A197="",H197="",H197&lt;=0),"",(E197*H197+SUMIFS(加仓管理!$H$2:$H$1001,加仓管理!$A$2:$A$1001,A197))/AP197)</f>
        <v/>
      </c>
      <c r="AP197" s="24" t="str">
        <f t="shared" si="76"/>
        <v/>
      </c>
      <c r="AQ197" s="25" t="str">
        <f>IF(A197="","",IF(M197&lt;&gt;"",0,IF(OR(H197="",N197=""),"",MAX((E197*H197+SUMIFS(加仓管理!$H$2:$H$1001,加仓管理!$A$2:$A$1001,A197))-MAX(N197,AN197)*AP197,0))))</f>
        <v/>
      </c>
      <c r="AR197" s="25" t="str">
        <f ca="1"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ht="17" spans="1:44">
      <c r="A198" s="21"/>
      <c r="B198" s="21"/>
      <c r="C198" s="7"/>
      <c r="D198" s="4"/>
      <c r="E198" s="7"/>
      <c r="F198" s="6" t="str">
        <f t="shared" si="66"/>
        <v/>
      </c>
      <c r="G198" s="6" t="str">
        <f ca="1"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1"/>
      <c r="I198" s="22"/>
      <c r="J198" s="7"/>
      <c r="K198" s="3"/>
      <c r="L198" s="6" t="str">
        <f t="shared" si="67"/>
        <v/>
      </c>
      <c r="M198" s="42"/>
      <c r="N198" s="7"/>
      <c r="O198" s="7"/>
      <c r="P198" s="3"/>
      <c r="Q198" s="21"/>
      <c r="R198" s="21"/>
      <c r="S198" s="21"/>
      <c r="T198" s="21"/>
      <c r="U198" s="5" t="str">
        <f t="shared" si="68"/>
        <v/>
      </c>
      <c r="V198" s="5" t="str">
        <f t="shared" si="69"/>
        <v/>
      </c>
      <c r="W198" s="23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1"/>
      <c r="AE198" s="5" t="str">
        <f t="shared" si="74"/>
        <v/>
      </c>
      <c r="AG198" s="21"/>
      <c r="AH198" s="21"/>
      <c r="AI198" s="21"/>
      <c r="AJ198" s="6" t="str">
        <f t="shared" si="75"/>
        <v/>
      </c>
      <c r="AK198" s="24" t="str">
        <f>IF(A198="","",COUNTIFS(加仓管理!$A$2:$A$1001,A198,加仓管理!$G$2:$G$1001,"&gt;0"))</f>
        <v/>
      </c>
      <c r="AL198" s="24" t="str">
        <f>IF(A198="","",SUMIFS(加仓管理!$G$2:$G$1001,加仓管理!$A$2:$A$1001,A198))</f>
        <v/>
      </c>
      <c r="AM198" s="25" t="str">
        <f>IF(AK198=0,"",IFERROR(LOOKUP(2,1/((加仓管理!$A$2:$A$1001=A198)*(加仓管理!$G$2:$G$1001&gt;0)),加仓管理!$D$2:$D$1001),""))</f>
        <v/>
      </c>
      <c r="AN198" s="25" t="str">
        <f>IF(AK198=0,"",IFERROR(LOOKUP(2,1/((加仓管理!$A$2:$A$1001=A198)*(加仓管理!$G$2:$G$1001&gt;0)),加仓管理!$E$2:$E$1001),""))</f>
        <v/>
      </c>
      <c r="AO198" s="25" t="str">
        <f>IF(OR(A198="",H198="",H198&lt;=0),"",(E198*H198+SUMIFS(加仓管理!$H$2:$H$1001,加仓管理!$A$2:$A$1001,A198))/AP198)</f>
        <v/>
      </c>
      <c r="AP198" s="24" t="str">
        <f t="shared" si="76"/>
        <v/>
      </c>
      <c r="AQ198" s="25" t="str">
        <f>IF(A198="","",IF(M198&lt;&gt;"",0,IF(OR(H198="",N198=""),"",MAX((E198*H198+SUMIFS(加仓管理!$H$2:$H$1001,加仓管理!$A$2:$A$1001,A198))-MAX(N198,AN198)*AP198,0))))</f>
        <v/>
      </c>
      <c r="AR198" s="25" t="str">
        <f ca="1"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ht="17" spans="1:44">
      <c r="A199" s="21"/>
      <c r="B199" s="21"/>
      <c r="C199" s="7"/>
      <c r="D199" s="4"/>
      <c r="E199" s="7"/>
      <c r="F199" s="6" t="str">
        <f t="shared" si="66"/>
        <v/>
      </c>
      <c r="G199" s="6" t="str">
        <f ca="1"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1"/>
      <c r="I199" s="22"/>
      <c r="J199" s="7"/>
      <c r="K199" s="3"/>
      <c r="L199" s="6" t="str">
        <f t="shared" si="67"/>
        <v/>
      </c>
      <c r="M199" s="42"/>
      <c r="N199" s="7"/>
      <c r="O199" s="7"/>
      <c r="P199" s="3"/>
      <c r="Q199" s="21"/>
      <c r="R199" s="21"/>
      <c r="S199" s="21"/>
      <c r="T199" s="21"/>
      <c r="U199" s="5" t="str">
        <f t="shared" si="68"/>
        <v/>
      </c>
      <c r="V199" s="5" t="str">
        <f t="shared" si="69"/>
        <v/>
      </c>
      <c r="W199" s="23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1"/>
      <c r="AE199" s="5" t="str">
        <f t="shared" si="74"/>
        <v/>
      </c>
      <c r="AG199" s="21"/>
      <c r="AH199" s="21"/>
      <c r="AI199" s="21"/>
      <c r="AJ199" s="6" t="str">
        <f t="shared" si="75"/>
        <v/>
      </c>
      <c r="AK199" s="24" t="str">
        <f>IF(A199="","",COUNTIFS(加仓管理!$A$2:$A$1001,A199,加仓管理!$G$2:$G$1001,"&gt;0"))</f>
        <v/>
      </c>
      <c r="AL199" s="24" t="str">
        <f>IF(A199="","",SUMIFS(加仓管理!$G$2:$G$1001,加仓管理!$A$2:$A$1001,A199))</f>
        <v/>
      </c>
      <c r="AM199" s="25" t="str">
        <f>IF(AK199=0,"",IFERROR(LOOKUP(2,1/((加仓管理!$A$2:$A$1001=A199)*(加仓管理!$G$2:$G$1001&gt;0)),加仓管理!$D$2:$D$1001),""))</f>
        <v/>
      </c>
      <c r="AN199" s="25" t="str">
        <f>IF(AK199=0,"",IFERROR(LOOKUP(2,1/((加仓管理!$A$2:$A$1001=A199)*(加仓管理!$G$2:$G$1001&gt;0)),加仓管理!$E$2:$E$1001),""))</f>
        <v/>
      </c>
      <c r="AO199" s="25" t="str">
        <f>IF(OR(A199="",H199="",H199&lt;=0),"",(E199*H199+SUMIFS(加仓管理!$H$2:$H$1001,加仓管理!$A$2:$A$1001,A199))/AP199)</f>
        <v/>
      </c>
      <c r="AP199" s="24" t="str">
        <f t="shared" si="76"/>
        <v/>
      </c>
      <c r="AQ199" s="25" t="str">
        <f>IF(A199="","",IF(M199&lt;&gt;"",0,IF(OR(H199="",N199=""),"",MAX((E199*H199+SUMIFS(加仓管理!$H$2:$H$1001,加仓管理!$A$2:$A$1001,A199))-MAX(N199,AN199)*AP199,0))))</f>
        <v/>
      </c>
      <c r="AR199" s="25" t="str">
        <f ca="1"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ht="17" spans="1:44">
      <c r="A200" s="21"/>
      <c r="B200" s="21"/>
      <c r="C200" s="7"/>
      <c r="D200" s="4"/>
      <c r="E200" s="7"/>
      <c r="F200" s="6" t="str">
        <f t="shared" si="66"/>
        <v/>
      </c>
      <c r="G200" s="6" t="str">
        <f ca="1"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1"/>
      <c r="I200" s="22"/>
      <c r="J200" s="7"/>
      <c r="K200" s="3"/>
      <c r="L200" s="6" t="str">
        <f t="shared" si="67"/>
        <v/>
      </c>
      <c r="M200" s="42"/>
      <c r="N200" s="7"/>
      <c r="O200" s="7"/>
      <c r="P200" s="3"/>
      <c r="Q200" s="21"/>
      <c r="R200" s="21"/>
      <c r="S200" s="21"/>
      <c r="T200" s="21"/>
      <c r="U200" s="5" t="str">
        <f t="shared" si="68"/>
        <v/>
      </c>
      <c r="V200" s="5" t="str">
        <f t="shared" si="69"/>
        <v/>
      </c>
      <c r="W200" s="23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1"/>
      <c r="AE200" s="5" t="str">
        <f t="shared" si="74"/>
        <v/>
      </c>
      <c r="AG200" s="21"/>
      <c r="AH200" s="21"/>
      <c r="AI200" s="21"/>
      <c r="AJ200" s="6" t="str">
        <f t="shared" si="75"/>
        <v/>
      </c>
      <c r="AK200" s="24" t="str">
        <f>IF(A200="","",COUNTIFS(加仓管理!$A$2:$A$1001,A200,加仓管理!$G$2:$G$1001,"&gt;0"))</f>
        <v/>
      </c>
      <c r="AL200" s="24" t="str">
        <f>IF(A200="","",SUMIFS(加仓管理!$G$2:$G$1001,加仓管理!$A$2:$A$1001,A200))</f>
        <v/>
      </c>
      <c r="AM200" s="25" t="str">
        <f>IF(AK200=0,"",IFERROR(LOOKUP(2,1/((加仓管理!$A$2:$A$1001=A200)*(加仓管理!$G$2:$G$1001&gt;0)),加仓管理!$D$2:$D$1001),""))</f>
        <v/>
      </c>
      <c r="AN200" s="25" t="str">
        <f>IF(AK200=0,"",IFERROR(LOOKUP(2,1/((加仓管理!$A$2:$A$1001=A200)*(加仓管理!$G$2:$G$1001&gt;0)),加仓管理!$E$2:$E$1001),""))</f>
        <v/>
      </c>
      <c r="AO200" s="25" t="str">
        <f>IF(OR(A200="",H200="",H200&lt;=0),"",(E200*H200+SUMIFS(加仓管理!$H$2:$H$1001,加仓管理!$A$2:$A$1001,A200))/AP200)</f>
        <v/>
      </c>
      <c r="AP200" s="24" t="str">
        <f t="shared" si="76"/>
        <v/>
      </c>
      <c r="AQ200" s="25" t="str">
        <f>IF(A200="","",IF(M200&lt;&gt;"",0,IF(OR(H200="",N200=""),"",MAX((E200*H200+SUMIFS(加仓管理!$H$2:$H$1001,加仓管理!$A$2:$A$1001,A200))-MAX(N200,AN200)*AP200,0))))</f>
        <v/>
      </c>
      <c r="AR200" s="25" t="str">
        <f ca="1"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ht="17" spans="1:44">
      <c r="A201" s="21"/>
      <c r="B201" s="21"/>
      <c r="C201" s="7"/>
      <c r="D201" s="4"/>
      <c r="E201" s="7"/>
      <c r="F201" s="6" t="str">
        <f t="shared" si="66"/>
        <v/>
      </c>
      <c r="G201" s="6" t="str">
        <f ca="1"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1"/>
      <c r="I201" s="22"/>
      <c r="J201" s="7"/>
      <c r="K201" s="3"/>
      <c r="L201" s="6" t="str">
        <f t="shared" si="67"/>
        <v/>
      </c>
      <c r="M201" s="42"/>
      <c r="N201" s="7"/>
      <c r="O201" s="7"/>
      <c r="P201" s="3"/>
      <c r="Q201" s="21"/>
      <c r="R201" s="21"/>
      <c r="S201" s="21"/>
      <c r="T201" s="21"/>
      <c r="U201" s="5" t="str">
        <f t="shared" si="68"/>
        <v/>
      </c>
      <c r="V201" s="5" t="str">
        <f t="shared" si="69"/>
        <v/>
      </c>
      <c r="W201" s="23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1"/>
      <c r="AE201" s="5" t="str">
        <f t="shared" si="74"/>
        <v/>
      </c>
      <c r="AG201" s="21"/>
      <c r="AH201" s="21"/>
      <c r="AI201" s="21"/>
      <c r="AJ201" s="6" t="str">
        <f t="shared" si="75"/>
        <v/>
      </c>
      <c r="AK201" s="24" t="str">
        <f>IF(A201="","",COUNTIFS(加仓管理!$A$2:$A$1001,A201,加仓管理!$G$2:$G$1001,"&gt;0"))</f>
        <v/>
      </c>
      <c r="AL201" s="24" t="str">
        <f>IF(A201="","",SUMIFS(加仓管理!$G$2:$G$1001,加仓管理!$A$2:$A$1001,A201))</f>
        <v/>
      </c>
      <c r="AM201" s="25" t="str">
        <f>IF(AK201=0,"",IFERROR(LOOKUP(2,1/((加仓管理!$A$2:$A$1001=A201)*(加仓管理!$G$2:$G$1001&gt;0)),加仓管理!$D$2:$D$1001),""))</f>
        <v/>
      </c>
      <c r="AN201" s="25" t="str">
        <f>IF(AK201=0,"",IFERROR(LOOKUP(2,1/((加仓管理!$A$2:$A$1001=A201)*(加仓管理!$G$2:$G$1001&gt;0)),加仓管理!$E$2:$E$1001),""))</f>
        <v/>
      </c>
      <c r="AO201" s="25" t="str">
        <f>IF(OR(A201="",H201="",H201&lt;=0),"",(E201*H201+SUMIFS(加仓管理!$H$2:$H$1001,加仓管理!$A$2:$A$1001,A201))/AP201)</f>
        <v/>
      </c>
      <c r="AP201" s="24" t="str">
        <f t="shared" si="76"/>
        <v/>
      </c>
      <c r="AQ201" s="25" t="str">
        <f>IF(A201="","",IF(M201&lt;&gt;"",0,IF(OR(H201="",N201=""),"",MAX((E201*H201+SUMIFS(加仓管理!$H$2:$H$1001,加仓管理!$A$2:$A$1001,A201))-MAX(N201,AN201)*AP201,0))))</f>
        <v/>
      </c>
      <c r="AR201" s="25" t="str">
        <f ca="1"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conditionalFormatting sqref="G2:G201">
    <cfRule type="expression" dxfId="0" priority="11">
      <formula>$G2="禁止开仓"</formula>
    </cfRule>
    <cfRule type="expression" dxfId="1" priority="12">
      <formula>$G2="允许开仓"</formula>
    </cfRule>
    <cfRule type="expression" dxfId="0" priority="13">
      <formula>LEFT($G2,4)="禁止开仓"</formula>
    </cfRule>
    <cfRule type="expression" dxfId="2" priority="14">
      <formula>$G2="允许开仓（接近锁仓）"</formula>
    </cfRule>
    <cfRule type="expression" dxfId="1" priority="15">
      <formula>$G2="允许开仓"</formula>
    </cfRule>
  </conditionalFormatting>
  <conditionalFormatting sqref="W2:W201">
    <cfRule type="cellIs" dxfId="2" priority="4" operator="lessThan">
      <formula>2</formula>
    </cfRule>
  </conditionalFormatting>
  <conditionalFormatting sqref="X2:X201">
    <cfRule type="cellIs" dxfId="1" priority="2" operator="greaterThan">
      <formula>0</formula>
    </cfRule>
    <cfRule type="cellIs" dxfId="0" priority="3" operator="lessThan">
      <formula>0</formula>
    </cfRule>
  </conditionalFormatting>
  <conditionalFormatting sqref="Y2:Y201">
    <cfRule type="cellIs" dxfId="1" priority="7" operator="greaterThan">
      <formula>0</formula>
    </cfRule>
    <cfRule type="cellIs" dxfId="0" priority="8" operator="lessThan">
      <formula>0</formula>
    </cfRule>
  </conditionalFormatting>
  <conditionalFormatting sqref="AC2:AC201">
    <cfRule type="expression" dxfId="0" priority="5">
      <formula>$AC2="达到或超过上限"</formula>
    </cfRule>
    <cfRule type="expression" dxfId="1" priority="6">
      <formula>$AC2="低于上限"</formula>
    </cfRule>
  </conditionalFormatting>
  <conditionalFormatting sqref="AE2:AE201">
    <cfRule type="cellIs" dxfId="1" priority="9" operator="greaterThan">
      <formula>0</formula>
    </cfRule>
    <cfRule type="cellIs" dxfId="0" priority="10" operator="lessThan">
      <formula>0</formula>
    </cfRule>
  </conditionalFormatting>
  <conditionalFormatting sqref="AJ2:AJ201">
    <cfRule type="expression" dxfId="2" priority="16">
      <formula>$AJ2="周期与交易预期不匹配，请重新确认"</formula>
    </cfRule>
    <cfRule type="expression" dxfId="1" priority="17">
      <formula>$AJ2="匹配"</formula>
    </cfRule>
  </conditionalFormatting>
  <conditionalFormatting sqref="AR2:AR201">
    <cfRule type="expression" dxfId="0" priority="18">
      <formula>LEFT($AR2,2)="违规"</formula>
    </cfRule>
    <cfRule type="expression" dxfId="1" priority="19">
      <formula>$AR2="通过"</formula>
    </cfRule>
  </conditionalFormatting>
  <dataValidations count="10">
    <dataValidation type="decimal" operator="greaterThan" sqref="C2 C41 C4:C40 C42:C201 E2:E201 N2:N201 J2:K201">
      <formula1>0</formula1>
    </dataValidation>
    <dataValidation type="list" showErrorMessage="1" errorTitle="预期持有周期无效" error="请从预设的交易日范围中选择" sqref="AH27 AH28 AH29 AH30 AH31 AH32 AH38 AH41 AH45 AH46 AH47 AH48 AH49 AH50 AH2:AH26 AH33:AH37 AH39:AH40 AH42:AH44 AH51:AH201">
      <formula1>"1～3个交易日,4～10个交易日,11～20个交易日,21～60个交易日,60个交易日以上"</formula1>
    </dataValidation>
    <dataValidation type="list" showErrorMessage="1" errorTitle="交易预期无效" error="请从短期博反弹、突破冲新高、趋势波段中选择" sqref="AG32 AG44 AG47 AG2:AG31 AG33:AG43 AG45:AG46 AG48:AG201">
      <formula1>"短期博反弹,突破冲新高,趋势波段"</formula1>
    </dataValidation>
    <dataValidation type="decimal" operator="between" sqref="D42 D2:D41 D43:D201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operator="between" sqref="I2:I201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>
      <formula1>OR(L2="",L2=AP2)</formula1>
    </dataValidation>
    <dataValidation type="custom" sqref="M2:M201">
      <formula1>OR(M2="",AND(ISNUMBER(M2),M2&gt;=I2))</formula1>
    </dataValidation>
    <dataValidation type="list" sqref="AD2:AD201">
      <formula1>"1-差,2-较差,3-一般,4-良好,5-优秀"</formula1>
    </dataValidation>
    <dataValidation type="decimal" operator="greaterThanOrEqual" sqref="O2:P201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  <pageSetUpPr fitToPage="1"/>
  </sheetPr>
  <dimension ref="A1:R1001"/>
  <sheetViews>
    <sheetView showGridLines="0" tabSelected="1" workbookViewId="0">
      <pane ySplit="1" topLeftCell="A14" activePane="bottomLeft" state="frozen"/>
      <selection/>
      <selection pane="bottomLeft" activeCell="G44" sqref="G44"/>
    </sheetView>
  </sheetViews>
  <sheetFormatPr defaultColWidth="8.625" defaultRowHeight="16.8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ht="33.75" customHeight="1" spans="1:18">
      <c r="A1" s="12" t="s">
        <v>0</v>
      </c>
      <c r="B1" s="12" t="s">
        <v>61</v>
      </c>
      <c r="C1" s="12" t="s">
        <v>62</v>
      </c>
      <c r="D1" s="12" t="s">
        <v>63</v>
      </c>
      <c r="E1" s="12" t="s">
        <v>64</v>
      </c>
      <c r="F1" s="12" t="s">
        <v>65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  <c r="O1" s="12" t="s">
        <v>74</v>
      </c>
      <c r="P1" s="12" t="s">
        <v>75</v>
      </c>
      <c r="Q1" s="12" t="s">
        <v>76</v>
      </c>
      <c r="R1" s="12" t="s">
        <v>77</v>
      </c>
    </row>
    <row r="2" ht="17" spans="1:18">
      <c r="A2" s="13">
        <v>2</v>
      </c>
      <c r="B2" s="14">
        <v>1</v>
      </c>
      <c r="C2" s="15">
        <v>43928</v>
      </c>
      <c r="D2" s="16">
        <v>27.95</v>
      </c>
      <c r="E2" s="16">
        <v>25</v>
      </c>
      <c r="F2" s="16">
        <v>1</v>
      </c>
      <c r="G2" s="14">
        <v>700</v>
      </c>
      <c r="H2" s="17">
        <f t="shared" ref="H2:H65" si="0">IF(OR(A2="",D2="",G2=""),"",D2*G2)</f>
        <v>19565</v>
      </c>
      <c r="I2" s="18">
        <f>IF(OR(A2="",B2=""),"",IFERROR(LOOKUP(2,1/(单次交易!$A$2:$A$201=A2),单次交易!$H$2:$H$201),0)+SUMIFS($G$2:$G$1001,$A$2:$A$1001,A2,$B$2:$B$1001,"&lt;"&amp;B2))</f>
        <v>1200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27660</v>
      </c>
      <c r="K2" s="17">
        <f t="shared" ref="K2:K65" si="1">IF(OR(E2="",I2="",J2=""),"",MAX(E2*I2-J2,0))</f>
        <v>2340</v>
      </c>
      <c r="L2" s="18">
        <f t="shared" ref="L2:L65" si="2">IF(OR(D2="",E2="",F2="",D2&lt;=E2),"",FLOOR((F2+K2)/(D2-E2),100))</f>
        <v>700</v>
      </c>
      <c r="M2" s="18">
        <f t="shared" ref="M2:M65" si="3">IF(OR(A2="",B2="",L2=""),"",IF(B2=1,L2,IFERROR(SUMIFS($G$2:$G$1001,$A$2:$A$1001,A2,$B$2:$B$1001,B2-1),0)))</f>
        <v>700</v>
      </c>
      <c r="N2" s="18">
        <f t="shared" ref="N2:N65" si="4">IF(OR(L2="",M2=""),"",MIN(L2,M2))</f>
        <v>700</v>
      </c>
      <c r="O2" s="18">
        <f t="shared" ref="O2:O65" si="5">IF(OR(I2="",G2=""),"",I2+G2)</f>
        <v>1900</v>
      </c>
      <c r="P2" s="17">
        <f t="shared" ref="P2:P65" si="6">IF(OR(O2="",O2=0),"",(J2+H2)/O2)</f>
        <v>24.8552631578947</v>
      </c>
      <c r="Q2" s="17">
        <f t="shared" ref="Q2:Q65" si="7">IF(OR(O2="",E2=""),"",MAX(J2+H2-E2*O2,0))</f>
        <v>0</v>
      </c>
      <c r="R2" s="19" t="str">
        <f ca="1"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通过</v>
      </c>
    </row>
    <row r="3" ht="17" spans="1:18">
      <c r="A3" s="13">
        <v>2</v>
      </c>
      <c r="B3" s="14">
        <v>2</v>
      </c>
      <c r="C3" s="15">
        <v>43959</v>
      </c>
      <c r="D3" s="16">
        <v>31.05</v>
      </c>
      <c r="E3" s="16">
        <v>29</v>
      </c>
      <c r="F3" s="16">
        <v>1</v>
      </c>
      <c r="G3" s="14">
        <v>700</v>
      </c>
      <c r="H3" s="17">
        <f t="shared" si="0"/>
        <v>21735</v>
      </c>
      <c r="I3" s="18">
        <f>IF(OR(A3="",B3=""),"",IFERROR(LOOKUP(2,1/(单次交易!$A$2:$A$201=A3),单次交易!$H$2:$H$201),0)+SUMIFS($G$2:$G$1001,$A$2:$A$1001,A3,$B$2:$B$1001,"&lt;"&amp;B3))</f>
        <v>1900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47225</v>
      </c>
      <c r="K3" s="17">
        <f t="shared" si="1"/>
        <v>7875</v>
      </c>
      <c r="L3" s="18">
        <f t="shared" si="2"/>
        <v>3800</v>
      </c>
      <c r="M3" s="18">
        <f t="shared" si="3"/>
        <v>700</v>
      </c>
      <c r="N3" s="18">
        <f t="shared" si="4"/>
        <v>700</v>
      </c>
      <c r="O3" s="18">
        <f t="shared" si="5"/>
        <v>2600</v>
      </c>
      <c r="P3" s="17">
        <f t="shared" si="6"/>
        <v>26.5230769230769</v>
      </c>
      <c r="Q3" s="17">
        <f t="shared" si="7"/>
        <v>0</v>
      </c>
      <c r="R3" s="19" t="str">
        <f ca="1" t="shared" si="8"/>
        <v>通过</v>
      </c>
    </row>
    <row r="4" ht="17" spans="1:18">
      <c r="A4" s="13">
        <v>4</v>
      </c>
      <c r="B4" s="14">
        <v>1</v>
      </c>
      <c r="C4" s="15">
        <v>44006</v>
      </c>
      <c r="D4" s="16">
        <v>30.86</v>
      </c>
      <c r="E4" s="16">
        <v>28</v>
      </c>
      <c r="F4" s="16">
        <v>1</v>
      </c>
      <c r="G4" s="14"/>
      <c r="H4" s="17" t="str">
        <f t="shared" si="0"/>
        <v/>
      </c>
      <c r="I4" s="18">
        <f>IF(OR(A4="",B4=""),"",IFERROR(LOOKUP(2,1/(单次交易!$A$2:$A$201=A4),单次交易!$H$2:$H$201),0)+SUMIFS($G$2:$G$1001,$A$2:$A$1001,A4,$B$2:$B$1001,"&lt;"&amp;B4))</f>
        <v>500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13840</v>
      </c>
      <c r="K4" s="17">
        <f t="shared" si="1"/>
        <v>160</v>
      </c>
      <c r="L4" s="18">
        <f t="shared" si="2"/>
        <v>0</v>
      </c>
      <c r="M4" s="18">
        <f t="shared" si="3"/>
        <v>0</v>
      </c>
      <c r="N4" s="18">
        <f t="shared" si="4"/>
        <v>0</v>
      </c>
      <c r="O4" s="18" t="str">
        <f t="shared" si="5"/>
        <v/>
      </c>
      <c r="P4" s="17" t="str">
        <f t="shared" si="6"/>
        <v/>
      </c>
      <c r="Q4" s="17" t="str">
        <f t="shared" si="7"/>
        <v/>
      </c>
      <c r="R4" s="19" t="str">
        <f ca="1" t="shared" si="8"/>
        <v>计划可执行：建议股数见N列</v>
      </c>
    </row>
    <row r="5" ht="17" spans="1:18">
      <c r="A5" s="13">
        <v>8</v>
      </c>
      <c r="B5" s="14">
        <v>1</v>
      </c>
      <c r="C5" s="15">
        <v>44406</v>
      </c>
      <c r="D5" s="16">
        <v>15.41</v>
      </c>
      <c r="E5" s="16">
        <v>14.5</v>
      </c>
      <c r="F5" s="16">
        <v>1</v>
      </c>
      <c r="G5" s="14">
        <v>800</v>
      </c>
      <c r="H5" s="17">
        <f t="shared" si="0"/>
        <v>12328</v>
      </c>
      <c r="I5" s="18">
        <f>IF(OR(A5="",B5=""),"",IFERROR(LOOKUP(2,1/(单次交易!$A$2:$A$201=A5),单次交易!$H$2:$H$201),0)+SUMIFS($G$2:$G$1001,$A$2:$A$1001,A5,$B$2:$B$1001,"&lt;"&amp;B5))</f>
        <v>1300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18122</v>
      </c>
      <c r="K5" s="17">
        <f t="shared" si="1"/>
        <v>728</v>
      </c>
      <c r="L5" s="18">
        <f t="shared" si="2"/>
        <v>800</v>
      </c>
      <c r="M5" s="18">
        <f t="shared" si="3"/>
        <v>800</v>
      </c>
      <c r="N5" s="18">
        <f t="shared" si="4"/>
        <v>800</v>
      </c>
      <c r="O5" s="18">
        <f t="shared" si="5"/>
        <v>2100</v>
      </c>
      <c r="P5" s="17">
        <f t="shared" si="6"/>
        <v>14.5</v>
      </c>
      <c r="Q5" s="17">
        <f t="shared" si="7"/>
        <v>0</v>
      </c>
      <c r="R5" s="19" t="str">
        <f ca="1" t="shared" si="8"/>
        <v>通过</v>
      </c>
    </row>
    <row r="6" ht="17" spans="1:18">
      <c r="A6" s="13">
        <v>11</v>
      </c>
      <c r="B6" s="14">
        <v>1</v>
      </c>
      <c r="C6" s="15">
        <v>44580</v>
      </c>
      <c r="D6" s="16">
        <v>13.37</v>
      </c>
      <c r="E6" s="16">
        <v>12.5</v>
      </c>
      <c r="F6" s="16">
        <v>1</v>
      </c>
      <c r="G6" s="14">
        <v>300</v>
      </c>
      <c r="H6" s="17">
        <f t="shared" si="0"/>
        <v>4011</v>
      </c>
      <c r="I6" s="18">
        <f>IF(OR(A6="",B6=""),"",IFERROR(LOOKUP(2,1/(单次交易!$A$2:$A$201=A6),单次交易!$H$2:$H$201),0)+SUMIFS($G$2:$G$1001,$A$2:$A$1001,A6,$B$2:$B$1001,"&lt;"&amp;B6))</f>
        <v>2100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25956</v>
      </c>
      <c r="K6" s="17">
        <f t="shared" si="1"/>
        <v>294</v>
      </c>
      <c r="L6" s="18">
        <f t="shared" si="2"/>
        <v>300</v>
      </c>
      <c r="M6" s="18">
        <f t="shared" si="3"/>
        <v>300</v>
      </c>
      <c r="N6" s="18">
        <f t="shared" si="4"/>
        <v>300</v>
      </c>
      <c r="O6" s="18">
        <f t="shared" si="5"/>
        <v>2400</v>
      </c>
      <c r="P6" s="17">
        <f t="shared" si="6"/>
        <v>12.48625</v>
      </c>
      <c r="Q6" s="17">
        <f t="shared" si="7"/>
        <v>0</v>
      </c>
      <c r="R6" s="19" t="str">
        <f ca="1" t="shared" si="8"/>
        <v>通过</v>
      </c>
    </row>
    <row r="7" ht="17" spans="1:18">
      <c r="A7" s="13">
        <v>12</v>
      </c>
      <c r="B7" s="14">
        <v>1</v>
      </c>
      <c r="C7" s="15">
        <v>44602</v>
      </c>
      <c r="D7" s="16">
        <v>14.09</v>
      </c>
      <c r="E7" s="16">
        <v>13</v>
      </c>
      <c r="F7" s="16">
        <v>1</v>
      </c>
      <c r="G7" s="14">
        <v>2000</v>
      </c>
      <c r="H7" s="17">
        <f t="shared" si="0"/>
        <v>28180</v>
      </c>
      <c r="I7" s="18">
        <f>IF(OR(A7="",B7=""),"",IFERROR(LOOKUP(2,1/(单次交易!$A$2:$A$201=A7),单次交易!$H$2:$H$201),0)+SUMIFS($G$2:$G$1001,$A$2:$A$1001,A7,$B$2:$B$1001,"&lt;"&amp;B7))</f>
        <v>3600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41364</v>
      </c>
      <c r="K7" s="17">
        <f t="shared" si="1"/>
        <v>5436</v>
      </c>
      <c r="L7" s="18">
        <f t="shared" si="2"/>
        <v>4900</v>
      </c>
      <c r="M7" s="18">
        <f t="shared" si="3"/>
        <v>4900</v>
      </c>
      <c r="N7" s="18">
        <f t="shared" si="4"/>
        <v>4900</v>
      </c>
      <c r="O7" s="18">
        <f t="shared" si="5"/>
        <v>5600</v>
      </c>
      <c r="P7" s="17">
        <f t="shared" si="6"/>
        <v>12.4185714285714</v>
      </c>
      <c r="Q7" s="17">
        <f t="shared" si="7"/>
        <v>0</v>
      </c>
      <c r="R7" s="19" t="str">
        <f ca="1" t="shared" si="8"/>
        <v>通过</v>
      </c>
    </row>
    <row r="8" ht="17" spans="1:18">
      <c r="A8" s="13">
        <v>17</v>
      </c>
      <c r="B8" s="14">
        <v>1</v>
      </c>
      <c r="C8" s="15">
        <v>44964</v>
      </c>
      <c r="D8" s="16">
        <v>13.8</v>
      </c>
      <c r="E8" s="16">
        <v>13</v>
      </c>
      <c r="F8" s="16">
        <v>1</v>
      </c>
      <c r="G8" s="14">
        <v>2200</v>
      </c>
      <c r="H8" s="17">
        <f t="shared" si="0"/>
        <v>30360</v>
      </c>
      <c r="I8" s="18">
        <f>IF(OR(A8="",B8=""),"",IFERROR(LOOKUP(2,1/(单次交易!$A$2:$A$201=A8),单次交易!$H$2:$H$201),0)+SUMIFS($G$2:$G$1001,$A$2:$A$1001,A8,$B$2:$B$1001,"&lt;"&amp;B8))</f>
        <v>2900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35873</v>
      </c>
      <c r="K8" s="17">
        <f t="shared" si="1"/>
        <v>1827</v>
      </c>
      <c r="L8" s="18">
        <f t="shared" si="2"/>
        <v>2200</v>
      </c>
      <c r="M8" s="18">
        <f t="shared" si="3"/>
        <v>2200</v>
      </c>
      <c r="N8" s="18">
        <f t="shared" si="4"/>
        <v>2200</v>
      </c>
      <c r="O8" s="18">
        <f t="shared" si="5"/>
        <v>5100</v>
      </c>
      <c r="P8" s="17">
        <f t="shared" si="6"/>
        <v>12.986862745098</v>
      </c>
      <c r="Q8" s="17">
        <f t="shared" si="7"/>
        <v>0</v>
      </c>
      <c r="R8" s="19" t="str">
        <f ca="1" t="shared" si="8"/>
        <v>通过</v>
      </c>
    </row>
    <row r="9" ht="17" spans="1:18">
      <c r="A9" s="13">
        <v>18</v>
      </c>
      <c r="B9" s="14">
        <v>1</v>
      </c>
      <c r="C9" s="15">
        <v>44984</v>
      </c>
      <c r="D9" s="16">
        <v>17.65</v>
      </c>
      <c r="E9" s="16">
        <v>16.5</v>
      </c>
      <c r="F9" s="16">
        <v>1</v>
      </c>
      <c r="G9" s="14">
        <v>1900</v>
      </c>
      <c r="H9" s="17">
        <f t="shared" si="0"/>
        <v>33535</v>
      </c>
      <c r="I9" s="18">
        <f>IF(OR(A9="",B9=""),"",IFERROR(LOOKUP(2,1/(单次交易!$A$2:$A$201=A9),单次交易!$H$2:$H$201),0)+SUMIFS($G$2:$G$1001,$A$2:$A$1001,A9,$B$2:$B$1001,"&lt;"&amp;B9))</f>
        <v>2000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30800</v>
      </c>
      <c r="K9" s="17">
        <f t="shared" si="1"/>
        <v>2200</v>
      </c>
      <c r="L9" s="18">
        <f t="shared" si="2"/>
        <v>1900</v>
      </c>
      <c r="M9" s="18">
        <f t="shared" si="3"/>
        <v>1900</v>
      </c>
      <c r="N9" s="18">
        <f t="shared" si="4"/>
        <v>1900</v>
      </c>
      <c r="O9" s="18">
        <f t="shared" si="5"/>
        <v>3900</v>
      </c>
      <c r="P9" s="17">
        <f t="shared" si="6"/>
        <v>16.4961538461538</v>
      </c>
      <c r="Q9" s="17">
        <f t="shared" si="7"/>
        <v>0</v>
      </c>
      <c r="R9" s="19" t="str">
        <f ca="1" t="shared" si="8"/>
        <v>通过</v>
      </c>
    </row>
    <row r="10" ht="17" spans="1:18">
      <c r="A10" s="13">
        <v>20</v>
      </c>
      <c r="B10" s="14">
        <v>1</v>
      </c>
      <c r="C10" s="15">
        <v>45007</v>
      </c>
      <c r="D10" s="16">
        <v>27.95</v>
      </c>
      <c r="E10" s="16">
        <v>26.15</v>
      </c>
      <c r="F10" s="16">
        <v>1</v>
      </c>
      <c r="G10" s="14">
        <v>500</v>
      </c>
      <c r="H10" s="17">
        <f t="shared" si="0"/>
        <v>13975</v>
      </c>
      <c r="I10" s="18">
        <f>IF(OR(A10="",B10=""),"",IFERROR(LOOKUP(2,1/(单次交易!$A$2:$A$201=A10),单次交易!$H$2:$H$201),0)+SUMIFS($G$2:$G$1001,$A$2:$A$1001,A10,$B$2:$B$1001,"&lt;"&amp;B10))</f>
        <v>1000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25150</v>
      </c>
      <c r="K10" s="17">
        <f t="shared" si="1"/>
        <v>1000</v>
      </c>
      <c r="L10" s="18">
        <f t="shared" si="2"/>
        <v>500</v>
      </c>
      <c r="M10" s="18">
        <f t="shared" si="3"/>
        <v>500</v>
      </c>
      <c r="N10" s="18">
        <f t="shared" si="4"/>
        <v>500</v>
      </c>
      <c r="O10" s="18">
        <f t="shared" si="5"/>
        <v>1500</v>
      </c>
      <c r="P10" s="17">
        <f t="shared" si="6"/>
        <v>26.0833333333333</v>
      </c>
      <c r="Q10" s="17">
        <f t="shared" si="7"/>
        <v>0</v>
      </c>
      <c r="R10" s="19" t="str">
        <f ca="1" t="shared" si="8"/>
        <v>通过</v>
      </c>
    </row>
    <row r="11" ht="17" spans="1:18">
      <c r="A11" s="13">
        <v>20</v>
      </c>
      <c r="B11" s="14">
        <v>2</v>
      </c>
      <c r="C11" s="15">
        <v>45012</v>
      </c>
      <c r="D11" s="16">
        <v>32.13</v>
      </c>
      <c r="E11" s="16">
        <v>29</v>
      </c>
      <c r="F11" s="16">
        <v>1</v>
      </c>
      <c r="G11" s="14">
        <v>500</v>
      </c>
      <c r="H11" s="17">
        <f t="shared" si="0"/>
        <v>16065</v>
      </c>
      <c r="I11" s="18">
        <f>IF(OR(A11="",B11=""),"",IFERROR(LOOKUP(2,1/(单次交易!$A$2:$A$201=A11),单次交易!$H$2:$H$201),0)+SUMIFS($G$2:$G$1001,$A$2:$A$1001,A11,$B$2:$B$1001,"&lt;"&amp;B11))</f>
        <v>1500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39125</v>
      </c>
      <c r="K11" s="17">
        <f t="shared" si="1"/>
        <v>4375</v>
      </c>
      <c r="L11" s="18">
        <f t="shared" si="2"/>
        <v>1300</v>
      </c>
      <c r="M11" s="18">
        <f t="shared" si="3"/>
        <v>500</v>
      </c>
      <c r="N11" s="18">
        <f t="shared" si="4"/>
        <v>500</v>
      </c>
      <c r="O11" s="18">
        <f t="shared" si="5"/>
        <v>2000</v>
      </c>
      <c r="P11" s="17">
        <f t="shared" si="6"/>
        <v>27.595</v>
      </c>
      <c r="Q11" s="17">
        <f t="shared" si="7"/>
        <v>0</v>
      </c>
      <c r="R11" s="19" t="str">
        <f ca="1" t="shared" si="8"/>
        <v>通过</v>
      </c>
    </row>
    <row r="12" ht="17" spans="1:18">
      <c r="A12" s="13">
        <v>20</v>
      </c>
      <c r="B12" s="14">
        <v>3</v>
      </c>
      <c r="C12" s="15">
        <v>45014</v>
      </c>
      <c r="D12" s="16">
        <v>36.86</v>
      </c>
      <c r="E12" s="16">
        <v>34.5</v>
      </c>
      <c r="F12" s="16">
        <v>1</v>
      </c>
      <c r="G12" s="14">
        <v>500</v>
      </c>
      <c r="H12" s="17">
        <f t="shared" si="0"/>
        <v>18430</v>
      </c>
      <c r="I12" s="18">
        <f>IF(OR(A12="",B12=""),"",IFERROR(LOOKUP(2,1/(单次交易!$A$2:$A$201=A12),单次交易!$H$2:$H$201),0)+SUMIFS($G$2:$G$1001,$A$2:$A$1001,A12,$B$2:$B$1001,"&lt;"&amp;B12))</f>
        <v>2000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55190</v>
      </c>
      <c r="K12" s="17">
        <f t="shared" si="1"/>
        <v>13810</v>
      </c>
      <c r="L12" s="18">
        <f t="shared" si="2"/>
        <v>5800</v>
      </c>
      <c r="M12" s="18">
        <f t="shared" si="3"/>
        <v>500</v>
      </c>
      <c r="N12" s="18">
        <f t="shared" si="4"/>
        <v>500</v>
      </c>
      <c r="O12" s="18">
        <f t="shared" si="5"/>
        <v>2500</v>
      </c>
      <c r="P12" s="17">
        <f t="shared" si="6"/>
        <v>29.448</v>
      </c>
      <c r="Q12" s="17">
        <f t="shared" si="7"/>
        <v>0</v>
      </c>
      <c r="R12" s="19" t="str">
        <f ca="1" t="shared" si="8"/>
        <v>通过</v>
      </c>
    </row>
    <row r="13" ht="17" spans="1:18">
      <c r="A13" s="13">
        <v>20</v>
      </c>
      <c r="B13" s="14">
        <v>4</v>
      </c>
      <c r="C13" s="15">
        <v>45020</v>
      </c>
      <c r="D13" s="16">
        <v>44.7</v>
      </c>
      <c r="E13" s="16">
        <v>40</v>
      </c>
      <c r="F13" s="16">
        <v>1</v>
      </c>
      <c r="G13" s="14">
        <v>500</v>
      </c>
      <c r="H13" s="17">
        <f t="shared" si="0"/>
        <v>22350</v>
      </c>
      <c r="I13" s="18">
        <f>IF(OR(A13="",B13=""),"",IFERROR(LOOKUP(2,1/(单次交易!$A$2:$A$201=A13),单次交易!$H$2:$H$201),0)+SUMIFS($G$2:$G$1001,$A$2:$A$1001,A13,$B$2:$B$1001,"&lt;"&amp;B13))</f>
        <v>2500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73620</v>
      </c>
      <c r="K13" s="17">
        <f t="shared" si="1"/>
        <v>26380</v>
      </c>
      <c r="L13" s="18">
        <f t="shared" si="2"/>
        <v>5600</v>
      </c>
      <c r="M13" s="18">
        <f t="shared" si="3"/>
        <v>500</v>
      </c>
      <c r="N13" s="18">
        <f t="shared" si="4"/>
        <v>500</v>
      </c>
      <c r="O13" s="18">
        <f t="shared" si="5"/>
        <v>3000</v>
      </c>
      <c r="P13" s="17">
        <f t="shared" si="6"/>
        <v>31.99</v>
      </c>
      <c r="Q13" s="17">
        <f t="shared" si="7"/>
        <v>0</v>
      </c>
      <c r="R13" s="19" t="str">
        <f ca="1" t="shared" si="8"/>
        <v>通过</v>
      </c>
    </row>
    <row r="14" ht="17" spans="1:18">
      <c r="A14" s="13">
        <v>20</v>
      </c>
      <c r="B14" s="14">
        <v>5</v>
      </c>
      <c r="C14" s="15">
        <v>45036</v>
      </c>
      <c r="D14" s="16">
        <v>56.96</v>
      </c>
      <c r="E14" s="16">
        <v>50</v>
      </c>
      <c r="F14" s="16">
        <v>1</v>
      </c>
      <c r="G14" s="14">
        <v>200</v>
      </c>
      <c r="H14" s="17">
        <f t="shared" si="0"/>
        <v>11392</v>
      </c>
      <c r="I14" s="18">
        <f>IF(OR(A14="",B14=""),"",IFERROR(LOOKUP(2,1/(单次交易!$A$2:$A$201=A14),单次交易!$H$2:$H$201),0)+SUMIFS($G$2:$G$1001,$A$2:$A$1001,A14,$B$2:$B$1001,"&lt;"&amp;B14))</f>
        <v>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95970</v>
      </c>
      <c r="K14" s="17">
        <f t="shared" si="1"/>
        <v>54030</v>
      </c>
      <c r="L14" s="18">
        <f t="shared" si="2"/>
        <v>7700</v>
      </c>
      <c r="M14" s="18">
        <f t="shared" si="3"/>
        <v>500</v>
      </c>
      <c r="N14" s="18">
        <f t="shared" si="4"/>
        <v>500</v>
      </c>
      <c r="O14" s="18">
        <f t="shared" si="5"/>
        <v>3200</v>
      </c>
      <c r="P14" s="17">
        <f t="shared" si="6"/>
        <v>33.550625</v>
      </c>
      <c r="Q14" s="17">
        <f t="shared" si="7"/>
        <v>0</v>
      </c>
      <c r="R14" s="19" t="str">
        <f ca="1" t="shared" si="8"/>
        <v>通过</v>
      </c>
    </row>
    <row r="15" ht="17" spans="1:18">
      <c r="A15" s="13">
        <v>23</v>
      </c>
      <c r="B15" s="14">
        <v>1</v>
      </c>
      <c r="C15" s="15">
        <v>45573</v>
      </c>
      <c r="D15" s="16">
        <v>36.94</v>
      </c>
      <c r="E15" s="16">
        <v>35</v>
      </c>
      <c r="F15" s="16">
        <v>1</v>
      </c>
      <c r="G15" s="14">
        <v>700</v>
      </c>
      <c r="H15" s="17">
        <f t="shared" si="0"/>
        <v>25858</v>
      </c>
      <c r="I15" s="18">
        <f>IF(OR(A15="",B15=""),"",IFERROR(LOOKUP(2,1/(单次交易!$A$2:$A$201=A15),单次交易!$H$2:$H$201),0)+SUMIFS($G$2:$G$1001,$A$2:$A$1001,A15,$B$2:$B$1001,"&lt;"&amp;B15))</f>
        <v>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33450</v>
      </c>
      <c r="K15" s="17">
        <f t="shared" si="1"/>
        <v>1550</v>
      </c>
      <c r="L15" s="18">
        <f t="shared" si="2"/>
        <v>700</v>
      </c>
      <c r="M15" s="18">
        <f t="shared" si="3"/>
        <v>700</v>
      </c>
      <c r="N15" s="18">
        <f t="shared" si="4"/>
        <v>700</v>
      </c>
      <c r="O15" s="18">
        <f t="shared" si="5"/>
        <v>1700</v>
      </c>
      <c r="P15" s="17">
        <f t="shared" si="6"/>
        <v>34.8870588235294</v>
      </c>
      <c r="Q15" s="17">
        <f t="shared" si="7"/>
        <v>0</v>
      </c>
      <c r="R15" s="19" t="str">
        <f ca="1" t="shared" si="8"/>
        <v>通过</v>
      </c>
    </row>
    <row r="16" ht="17" spans="1:18">
      <c r="A16" s="13">
        <v>25</v>
      </c>
      <c r="B16" s="14">
        <v>1</v>
      </c>
      <c r="C16" s="15">
        <v>45600</v>
      </c>
      <c r="D16" s="16">
        <v>44.38</v>
      </c>
      <c r="E16" s="16">
        <v>42</v>
      </c>
      <c r="F16" s="16">
        <v>1</v>
      </c>
      <c r="G16" s="14">
        <v>500</v>
      </c>
      <c r="H16" s="17">
        <f t="shared" si="0"/>
        <v>22190</v>
      </c>
      <c r="I16" s="18">
        <f>IF(OR(A16="",B16=""),"",IFERROR(LOOKUP(2,1/(单次交易!$A$2:$A$201=A16),单次交易!$H$2:$H$201),0)+SUMIFS($G$2:$G$1001,$A$2:$A$1001,A16,$B$2:$B$1001,"&lt;"&amp;B16))</f>
        <v>800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32232</v>
      </c>
      <c r="K16" s="17">
        <f t="shared" si="1"/>
        <v>1368</v>
      </c>
      <c r="L16" s="18">
        <f t="shared" si="2"/>
        <v>500</v>
      </c>
      <c r="M16" s="18">
        <f t="shared" si="3"/>
        <v>500</v>
      </c>
      <c r="N16" s="18">
        <f t="shared" si="4"/>
        <v>500</v>
      </c>
      <c r="O16" s="18">
        <f t="shared" si="5"/>
        <v>1300</v>
      </c>
      <c r="P16" s="17">
        <f t="shared" si="6"/>
        <v>41.8630769230769</v>
      </c>
      <c r="Q16" s="17">
        <f t="shared" si="7"/>
        <v>0</v>
      </c>
      <c r="R16" s="19" t="str">
        <f ca="1" t="shared" si="8"/>
        <v>违规：同一交易的加仓序号重复</v>
      </c>
    </row>
    <row r="17" ht="17" spans="1:18">
      <c r="A17" s="13">
        <v>25</v>
      </c>
      <c r="B17" s="14">
        <v>1</v>
      </c>
      <c r="C17" s="15">
        <v>45604</v>
      </c>
      <c r="D17" s="16">
        <v>51.43</v>
      </c>
      <c r="E17" s="16">
        <v>46</v>
      </c>
      <c r="F17" s="16">
        <v>1</v>
      </c>
      <c r="G17" s="14">
        <v>800</v>
      </c>
      <c r="H17" s="17">
        <f t="shared" si="0"/>
        <v>41144</v>
      </c>
      <c r="I17" s="18">
        <f>IF(OR(A17="",B17=""),"",IFERROR(LOOKUP(2,1/(单次交易!$A$2:$A$201=A17),单次交易!$H$2:$H$201),0)+SUMIFS($G$2:$G$1001,$A$2:$A$1001,A17,$B$2:$B$1001,"&lt;"&amp;B17))</f>
        <v>800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32232</v>
      </c>
      <c r="K17" s="17">
        <f t="shared" si="1"/>
        <v>4568</v>
      </c>
      <c r="L17" s="18">
        <f t="shared" si="2"/>
        <v>800</v>
      </c>
      <c r="M17" s="18">
        <f t="shared" si="3"/>
        <v>800</v>
      </c>
      <c r="N17" s="18">
        <f t="shared" si="4"/>
        <v>800</v>
      </c>
      <c r="O17" s="18">
        <f t="shared" si="5"/>
        <v>1600</v>
      </c>
      <c r="P17" s="17">
        <f t="shared" si="6"/>
        <v>45.86</v>
      </c>
      <c r="Q17" s="17">
        <f t="shared" si="7"/>
        <v>0</v>
      </c>
      <c r="R17" s="19" t="str">
        <f ca="1" t="shared" si="8"/>
        <v>违规：同一交易的加仓序号重复</v>
      </c>
    </row>
    <row r="18" ht="17" spans="1:18">
      <c r="A18" s="13">
        <v>26</v>
      </c>
      <c r="B18" s="14">
        <v>1</v>
      </c>
      <c r="C18" s="15">
        <v>45869</v>
      </c>
      <c r="D18" s="16">
        <v>53.87</v>
      </c>
      <c r="E18" s="16">
        <v>48</v>
      </c>
      <c r="F18" s="16">
        <v>1</v>
      </c>
      <c r="G18" s="14">
        <v>700</v>
      </c>
      <c r="H18" s="17">
        <f t="shared" si="0"/>
        <v>37709</v>
      </c>
      <c r="I18" s="18">
        <f>IF(OR(A18="",B18=""),"",IFERROR(LOOKUP(2,1/(单次交易!$A$2:$A$201=A18),单次交易!$H$2:$H$201),0)+SUMIFS($G$2:$G$1001,$A$2:$A$1001,A18,$B$2:$B$1001,"&lt;"&amp;B18))</f>
        <v>1000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43800</v>
      </c>
      <c r="K18" s="17">
        <f t="shared" si="1"/>
        <v>4200</v>
      </c>
      <c r="L18" s="18">
        <f t="shared" si="2"/>
        <v>700</v>
      </c>
      <c r="M18" s="18">
        <f t="shared" si="3"/>
        <v>700</v>
      </c>
      <c r="N18" s="18">
        <f t="shared" si="4"/>
        <v>700</v>
      </c>
      <c r="O18" s="18">
        <f t="shared" si="5"/>
        <v>1700</v>
      </c>
      <c r="P18" s="17">
        <f t="shared" si="6"/>
        <v>47.9464705882353</v>
      </c>
      <c r="Q18" s="17">
        <f t="shared" si="7"/>
        <v>0</v>
      </c>
      <c r="R18" s="19" t="str">
        <f ca="1" t="shared" si="8"/>
        <v>通过</v>
      </c>
    </row>
    <row r="19" ht="17" spans="1:18">
      <c r="A19" s="13">
        <v>26</v>
      </c>
      <c r="B19" s="14">
        <v>2</v>
      </c>
      <c r="C19" s="15">
        <v>45888</v>
      </c>
      <c r="D19" s="16">
        <v>64.42</v>
      </c>
      <c r="E19" s="16">
        <v>55</v>
      </c>
      <c r="F19" s="16">
        <v>1</v>
      </c>
      <c r="G19" s="14">
        <v>700</v>
      </c>
      <c r="H19" s="17">
        <f t="shared" si="0"/>
        <v>45094</v>
      </c>
      <c r="I19" s="18">
        <f>IF(OR(A19="",B19=""),"",IFERROR(LOOKUP(2,1/(单次交易!$A$2:$A$201=A19),单次交易!$H$2:$H$201),0)+SUMIFS($G$2:$G$1001,$A$2:$A$1001,A19,$B$2:$B$1001,"&lt;"&amp;B19))</f>
        <v>1700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81509</v>
      </c>
      <c r="K19" s="17">
        <f t="shared" si="1"/>
        <v>11991</v>
      </c>
      <c r="L19" s="18">
        <f t="shared" si="2"/>
        <v>1200</v>
      </c>
      <c r="M19" s="18">
        <f t="shared" si="3"/>
        <v>700</v>
      </c>
      <c r="N19" s="18">
        <f t="shared" si="4"/>
        <v>700</v>
      </c>
      <c r="O19" s="18">
        <f t="shared" si="5"/>
        <v>2400</v>
      </c>
      <c r="P19" s="17">
        <f t="shared" si="6"/>
        <v>52.75125</v>
      </c>
      <c r="Q19" s="17">
        <f t="shared" si="7"/>
        <v>0</v>
      </c>
      <c r="R19" s="19" t="str">
        <f ca="1" t="shared" si="8"/>
        <v>通过</v>
      </c>
    </row>
    <row r="20" ht="17" spans="1:18">
      <c r="A20" s="13">
        <v>26</v>
      </c>
      <c r="B20" s="14">
        <v>3</v>
      </c>
      <c r="C20" s="15">
        <v>45897</v>
      </c>
      <c r="D20" s="16">
        <v>94.67</v>
      </c>
      <c r="E20" s="16">
        <v>80</v>
      </c>
      <c r="F20" s="16">
        <v>1</v>
      </c>
      <c r="G20" s="14">
        <v>700</v>
      </c>
      <c r="H20" s="17">
        <f t="shared" si="0"/>
        <v>66269</v>
      </c>
      <c r="I20" s="18">
        <f>IF(OR(A20="",B20=""),"",IFERROR(LOOKUP(2,1/(单次交易!$A$2:$A$201=A20),单次交易!$H$2:$H$201),0)+SUMIFS($G$2:$G$1001,$A$2:$A$1001,A20,$B$2:$B$1001,"&lt;"&amp;B20))</f>
        <v>2400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126603</v>
      </c>
      <c r="K20" s="17">
        <f t="shared" si="1"/>
        <v>65397</v>
      </c>
      <c r="L20" s="18">
        <f t="shared" si="2"/>
        <v>4400</v>
      </c>
      <c r="M20" s="18">
        <f t="shared" si="3"/>
        <v>700</v>
      </c>
      <c r="N20" s="18">
        <f t="shared" si="4"/>
        <v>700</v>
      </c>
      <c r="O20" s="18">
        <f t="shared" si="5"/>
        <v>3100</v>
      </c>
      <c r="P20" s="17">
        <f t="shared" si="6"/>
        <v>62.2167741935484</v>
      </c>
      <c r="Q20" s="17">
        <f t="shared" si="7"/>
        <v>0</v>
      </c>
      <c r="R20" s="19" t="str">
        <f ca="1" t="shared" si="8"/>
        <v>通过</v>
      </c>
    </row>
    <row r="21" ht="17" spans="1:18">
      <c r="A21" s="13">
        <v>27</v>
      </c>
      <c r="B21" s="14">
        <v>1</v>
      </c>
      <c r="C21" s="15">
        <v>45916</v>
      </c>
      <c r="D21" s="16">
        <v>119.49</v>
      </c>
      <c r="E21" s="16">
        <v>108</v>
      </c>
      <c r="F21" s="16">
        <v>1</v>
      </c>
      <c r="G21" s="14">
        <v>400</v>
      </c>
      <c r="H21" s="17">
        <f t="shared" si="0"/>
        <v>47796</v>
      </c>
      <c r="I21" s="18">
        <f>IF(OR(A21="",B21=""),"",IFERROR(LOOKUP(2,1/(单次交易!$A$2:$A$201=A21),单次交易!$H$2:$H$201),0)+SUMIFS($G$2:$G$1001,$A$2:$A$1001,A21,$B$2:$B$1001,"&lt;"&amp;B21))</f>
        <v>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70756</v>
      </c>
      <c r="K21" s="17">
        <f t="shared" si="1"/>
        <v>4844</v>
      </c>
      <c r="L21" s="18">
        <f t="shared" si="2"/>
        <v>400</v>
      </c>
      <c r="M21" s="18">
        <f t="shared" si="3"/>
        <v>400</v>
      </c>
      <c r="N21" s="18">
        <f t="shared" si="4"/>
        <v>400</v>
      </c>
      <c r="O21" s="18">
        <f t="shared" si="5"/>
        <v>1100</v>
      </c>
      <c r="P21" s="17">
        <f t="shared" si="6"/>
        <v>107.774545454545</v>
      </c>
      <c r="Q21" s="17">
        <f t="shared" si="7"/>
        <v>0</v>
      </c>
      <c r="R21" s="19" t="str">
        <f ca="1" t="shared" si="8"/>
        <v>通过</v>
      </c>
    </row>
    <row r="22" ht="17" spans="1:18">
      <c r="A22" s="13">
        <v>29</v>
      </c>
      <c r="B22" s="14">
        <v>1</v>
      </c>
      <c r="C22" s="15">
        <v>46132</v>
      </c>
      <c r="D22" s="16">
        <v>151.93</v>
      </c>
      <c r="E22" s="16">
        <v>145</v>
      </c>
      <c r="F22" s="16">
        <v>1</v>
      </c>
      <c r="G22" s="14">
        <v>300</v>
      </c>
      <c r="H22" s="17">
        <f t="shared" si="0"/>
        <v>45579</v>
      </c>
      <c r="I22" s="18">
        <f>IF(OR(A22="",B22=""),"",IFERROR(LOOKUP(2,1/(单次交易!$A$2:$A$201=A22),单次交易!$H$2:$H$201),0)+SUMIFS($G$2:$G$1001,$A$2:$A$1001,A22,$B$2:$B$1001,"&lt;"&amp;B22))</f>
        <v>600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79038</v>
      </c>
      <c r="K22" s="17">
        <f t="shared" si="1"/>
        <v>7962</v>
      </c>
      <c r="L22" s="18">
        <f t="shared" si="2"/>
        <v>1100</v>
      </c>
      <c r="M22" s="18">
        <f t="shared" si="3"/>
        <v>1100</v>
      </c>
      <c r="N22" s="18">
        <f t="shared" si="4"/>
        <v>1100</v>
      </c>
      <c r="O22" s="18">
        <f t="shared" si="5"/>
        <v>900</v>
      </c>
      <c r="P22" s="17">
        <f t="shared" si="6"/>
        <v>138.463333333333</v>
      </c>
      <c r="Q22" s="17">
        <f t="shared" si="7"/>
        <v>0</v>
      </c>
      <c r="R22" s="19" t="str">
        <f ca="1" t="shared" si="8"/>
        <v>通过</v>
      </c>
    </row>
    <row r="23" ht="17" spans="1:18">
      <c r="A23" s="13">
        <v>29</v>
      </c>
      <c r="B23" s="14">
        <v>2</v>
      </c>
      <c r="C23" s="15">
        <v>46134</v>
      </c>
      <c r="D23" s="16">
        <v>171.81</v>
      </c>
      <c r="E23" s="16">
        <v>150</v>
      </c>
      <c r="F23" s="16">
        <v>1</v>
      </c>
      <c r="G23" s="14">
        <v>300</v>
      </c>
      <c r="H23" s="17">
        <f t="shared" si="0"/>
        <v>51543</v>
      </c>
      <c r="I23" s="18">
        <f>IF(OR(A23="",B23=""),"",IFERROR(LOOKUP(2,1/(单次交易!$A$2:$A$201=A23),单次交易!$H$2:$H$201),0)+SUMIFS($G$2:$G$1001,$A$2:$A$1001,A23,$B$2:$B$1001,"&lt;"&amp;B23))</f>
        <v>900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124617</v>
      </c>
      <c r="K23" s="17">
        <f t="shared" si="1"/>
        <v>10383</v>
      </c>
      <c r="L23" s="18">
        <f t="shared" si="2"/>
        <v>400</v>
      </c>
      <c r="M23" s="18">
        <f t="shared" si="3"/>
        <v>300</v>
      </c>
      <c r="N23" s="18">
        <f t="shared" si="4"/>
        <v>300</v>
      </c>
      <c r="O23" s="18">
        <f t="shared" si="5"/>
        <v>1200</v>
      </c>
      <c r="P23" s="17">
        <f t="shared" si="6"/>
        <v>146.8</v>
      </c>
      <c r="Q23" s="17">
        <f t="shared" si="7"/>
        <v>0</v>
      </c>
      <c r="R23" s="19" t="str">
        <f ca="1" t="shared" si="8"/>
        <v>通过</v>
      </c>
    </row>
    <row r="24" ht="17" spans="1:18">
      <c r="A24" s="13">
        <v>29</v>
      </c>
      <c r="B24" s="14">
        <v>3</v>
      </c>
      <c r="C24" s="15">
        <v>46150</v>
      </c>
      <c r="D24" s="16">
        <v>194.13</v>
      </c>
      <c r="E24" s="16">
        <v>170</v>
      </c>
      <c r="F24" s="16">
        <v>1</v>
      </c>
      <c r="G24" s="14">
        <v>300</v>
      </c>
      <c r="H24" s="17">
        <f t="shared" si="0"/>
        <v>58239</v>
      </c>
      <c r="I24" s="18">
        <f>IF(OR(A24="",B24=""),"",IFERROR(LOOKUP(2,1/(单次交易!$A$2:$A$201=A24),单次交易!$H$2:$H$201),0)+SUMIFS($G$2:$G$1001,$A$2:$A$1001,A24,$B$2:$B$1001,"&lt;"&amp;B24))</f>
        <v>1200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176160</v>
      </c>
      <c r="K24" s="17">
        <f t="shared" si="1"/>
        <v>27840</v>
      </c>
      <c r="L24" s="18">
        <f t="shared" si="2"/>
        <v>1100</v>
      </c>
      <c r="M24" s="18">
        <f t="shared" si="3"/>
        <v>300</v>
      </c>
      <c r="N24" s="18">
        <f t="shared" si="4"/>
        <v>300</v>
      </c>
      <c r="O24" s="18">
        <f t="shared" si="5"/>
        <v>1500</v>
      </c>
      <c r="P24" s="17">
        <f t="shared" si="6"/>
        <v>156.266</v>
      </c>
      <c r="Q24" s="17">
        <f t="shared" si="7"/>
        <v>0</v>
      </c>
      <c r="R24" s="19" t="str">
        <f ca="1" t="shared" si="8"/>
        <v>通过</v>
      </c>
    </row>
    <row r="25" ht="17" spans="1:18">
      <c r="A25" s="13">
        <v>30</v>
      </c>
      <c r="B25" s="14">
        <v>1</v>
      </c>
      <c r="C25" s="15">
        <v>46197</v>
      </c>
      <c r="D25" s="16">
        <v>262</v>
      </c>
      <c r="E25" s="16">
        <v>240</v>
      </c>
      <c r="F25" s="16">
        <v>1</v>
      </c>
      <c r="G25" s="14">
        <v>300</v>
      </c>
      <c r="H25" s="17">
        <f t="shared" si="0"/>
        <v>78600</v>
      </c>
      <c r="I25" s="18">
        <f>IF(OR(A25="",B25=""),"",IFERROR(LOOKUP(2,1/(单次交易!$A$2:$A$201=A25),单次交易!$H$2:$H$201),0)+SUMIFS($G$2:$G$1001,$A$2:$A$1001,A25,$B$2:$B$1001,"&lt;"&amp;B25))</f>
        <v>300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64335</v>
      </c>
      <c r="K25" s="17">
        <f t="shared" si="1"/>
        <v>7665</v>
      </c>
      <c r="L25" s="18">
        <f t="shared" si="2"/>
        <v>300</v>
      </c>
      <c r="M25" s="18">
        <f t="shared" si="3"/>
        <v>300</v>
      </c>
      <c r="N25" s="18">
        <f t="shared" si="4"/>
        <v>300</v>
      </c>
      <c r="O25" s="18">
        <f t="shared" si="5"/>
        <v>600</v>
      </c>
      <c r="P25" s="17">
        <f t="shared" si="6"/>
        <v>238.225</v>
      </c>
      <c r="Q25" s="17">
        <f t="shared" si="7"/>
        <v>0</v>
      </c>
      <c r="R25" s="19" t="str">
        <f ca="1" t="shared" si="8"/>
        <v>通过</v>
      </c>
    </row>
    <row r="26" ht="17" spans="1:18">
      <c r="A26" s="13">
        <v>32</v>
      </c>
      <c r="B26" s="14">
        <v>1</v>
      </c>
      <c r="C26" s="15">
        <v>41540</v>
      </c>
      <c r="D26" s="16">
        <v>4.44</v>
      </c>
      <c r="E26" s="16">
        <v>4</v>
      </c>
      <c r="F26" s="16">
        <v>1</v>
      </c>
      <c r="G26" s="14">
        <v>12700</v>
      </c>
      <c r="H26" s="17">
        <f t="shared" si="0"/>
        <v>56388</v>
      </c>
      <c r="I26" s="18">
        <f>IF(OR(A26="",B26=""),"",IFERROR(LOOKUP(2,1/(单次交易!$A$2:$A$201=A26),单次交易!$H$2:$H$201),0)+SUMIFS($G$2:$G$1001,$A$2:$A$1001,A26,$B$2:$B$1001,"&lt;"&amp;B26))</f>
        <v>22400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84000</v>
      </c>
      <c r="K26" s="17">
        <f t="shared" si="1"/>
        <v>5600</v>
      </c>
      <c r="L26" s="18">
        <f t="shared" si="2"/>
        <v>12700</v>
      </c>
      <c r="M26" s="18">
        <f t="shared" si="3"/>
        <v>12700</v>
      </c>
      <c r="N26" s="18">
        <f t="shared" si="4"/>
        <v>12700</v>
      </c>
      <c r="O26" s="18">
        <f t="shared" si="5"/>
        <v>35100</v>
      </c>
      <c r="P26" s="17">
        <f t="shared" si="6"/>
        <v>3.99965811965812</v>
      </c>
      <c r="Q26" s="17">
        <f t="shared" si="7"/>
        <v>0</v>
      </c>
      <c r="R26" s="19" t="str">
        <f ca="1" t="shared" si="8"/>
        <v>通过</v>
      </c>
    </row>
    <row r="27" ht="17" spans="1:18">
      <c r="A27" s="13">
        <v>32</v>
      </c>
      <c r="B27" s="14">
        <v>2</v>
      </c>
      <c r="C27" s="15">
        <v>41547</v>
      </c>
      <c r="D27" s="16">
        <v>4.99</v>
      </c>
      <c r="E27" s="16">
        <v>4.5</v>
      </c>
      <c r="F27" s="16">
        <v>1</v>
      </c>
      <c r="G27" s="14">
        <v>12700</v>
      </c>
      <c r="H27" s="17">
        <f t="shared" si="0"/>
        <v>63373</v>
      </c>
      <c r="I27" s="18">
        <f>IF(OR(A27="",B27=""),"",IFERROR(LOOKUP(2,1/(单次交易!$A$2:$A$201=A27),单次交易!$H$2:$H$201),0)+SUMIFS($G$2:$G$1001,$A$2:$A$1001,A27,$B$2:$B$1001,"&lt;"&amp;B27))</f>
        <v>35100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140388</v>
      </c>
      <c r="K27" s="17">
        <f t="shared" si="1"/>
        <v>17562</v>
      </c>
      <c r="L27" s="18">
        <f t="shared" si="2"/>
        <v>35800</v>
      </c>
      <c r="M27" s="18">
        <f t="shared" si="3"/>
        <v>12700</v>
      </c>
      <c r="N27" s="18">
        <f t="shared" si="4"/>
        <v>12700</v>
      </c>
      <c r="O27" s="18">
        <f t="shared" si="5"/>
        <v>47800</v>
      </c>
      <c r="P27" s="17">
        <f t="shared" si="6"/>
        <v>4.26278242677824</v>
      </c>
      <c r="Q27" s="17">
        <f t="shared" si="7"/>
        <v>0</v>
      </c>
      <c r="R27" s="19" t="str">
        <f ca="1" t="shared" si="8"/>
        <v>通过</v>
      </c>
    </row>
    <row r="28" ht="17" spans="1:18">
      <c r="A28" s="13">
        <v>34</v>
      </c>
      <c r="B28" s="14">
        <v>1</v>
      </c>
      <c r="C28" s="15">
        <v>41983</v>
      </c>
      <c r="D28" s="16">
        <v>5.58</v>
      </c>
      <c r="E28" s="16">
        <v>5</v>
      </c>
      <c r="F28" s="16">
        <v>1</v>
      </c>
      <c r="G28" s="14">
        <v>5500</v>
      </c>
      <c r="H28" s="17">
        <f t="shared" si="0"/>
        <v>30690</v>
      </c>
      <c r="I28" s="18">
        <f>IF(OR(A28="",B28=""),"",IFERROR(LOOKUP(2,1/(单次交易!$A$2:$A$201=A28),单次交易!$H$2:$H$201),0)+SUMIFS($G$2:$G$1001,$A$2:$A$1001,A28,$B$2:$B$1001,"&lt;"&amp;B28))</f>
        <v>27000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131760</v>
      </c>
      <c r="K28" s="17">
        <f t="shared" si="1"/>
        <v>3240</v>
      </c>
      <c r="L28" s="18">
        <f t="shared" si="2"/>
        <v>5500</v>
      </c>
      <c r="M28" s="18">
        <f t="shared" si="3"/>
        <v>5500</v>
      </c>
      <c r="N28" s="18">
        <f t="shared" si="4"/>
        <v>5500</v>
      </c>
      <c r="O28" s="18">
        <f t="shared" si="5"/>
        <v>32500</v>
      </c>
      <c r="P28" s="17">
        <f t="shared" si="6"/>
        <v>4.99846153846154</v>
      </c>
      <c r="Q28" s="17">
        <f t="shared" si="7"/>
        <v>0</v>
      </c>
      <c r="R28" s="19" t="str">
        <f ca="1" t="shared" si="8"/>
        <v>通过</v>
      </c>
    </row>
    <row r="29" ht="17" spans="1:18">
      <c r="A29" s="13">
        <v>34</v>
      </c>
      <c r="B29" s="14">
        <v>2</v>
      </c>
      <c r="C29" s="15">
        <v>41995</v>
      </c>
      <c r="D29" s="16">
        <v>6.14</v>
      </c>
      <c r="E29" s="16">
        <v>5.6</v>
      </c>
      <c r="F29" s="16">
        <v>1</v>
      </c>
      <c r="G29" s="14">
        <v>5500</v>
      </c>
      <c r="H29" s="17">
        <f t="shared" si="0"/>
        <v>33770</v>
      </c>
      <c r="I29" s="18">
        <f>IF(OR(A29="",B29=""),"",IFERROR(LOOKUP(2,1/(单次交易!$A$2:$A$201=A29),单次交易!$H$2:$H$201),0)+SUMIFS($G$2:$G$1001,$A$2:$A$1001,A29,$B$2:$B$1001,"&lt;"&amp;B29))</f>
        <v>32500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162450</v>
      </c>
      <c r="K29" s="17">
        <f t="shared" si="1"/>
        <v>19550</v>
      </c>
      <c r="L29" s="18">
        <f t="shared" si="2"/>
        <v>36200</v>
      </c>
      <c r="M29" s="18">
        <f t="shared" si="3"/>
        <v>5500</v>
      </c>
      <c r="N29" s="18">
        <f t="shared" si="4"/>
        <v>5500</v>
      </c>
      <c r="O29" s="18">
        <f t="shared" si="5"/>
        <v>38000</v>
      </c>
      <c r="P29" s="17">
        <f t="shared" si="6"/>
        <v>5.16368421052632</v>
      </c>
      <c r="Q29" s="17">
        <f t="shared" si="7"/>
        <v>0</v>
      </c>
      <c r="R29" s="19" t="str">
        <f ca="1" t="shared" si="8"/>
        <v>通过</v>
      </c>
    </row>
    <row r="30" ht="17" spans="1:18">
      <c r="A30" s="13">
        <v>34</v>
      </c>
      <c r="B30" s="14">
        <v>3</v>
      </c>
      <c r="C30" s="15">
        <v>42010</v>
      </c>
      <c r="D30" s="16">
        <v>6.61</v>
      </c>
      <c r="E30" s="16">
        <v>6.2</v>
      </c>
      <c r="F30" s="16">
        <v>1</v>
      </c>
      <c r="G30" s="14">
        <v>5500</v>
      </c>
      <c r="H30" s="17">
        <f t="shared" si="0"/>
        <v>36355</v>
      </c>
      <c r="I30" s="18">
        <f>IF(OR(A30="",B30=""),"",IFERROR(LOOKUP(2,1/(单次交易!$A$2:$A$201=A30),单次交易!$H$2:$H$201),0)+SUMIFS($G$2:$G$1001,$A$2:$A$1001,A30,$B$2:$B$1001,"&lt;"&amp;B30))</f>
        <v>38000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196220</v>
      </c>
      <c r="K30" s="17">
        <f t="shared" si="1"/>
        <v>39380</v>
      </c>
      <c r="L30" s="18">
        <f t="shared" si="2"/>
        <v>96000</v>
      </c>
      <c r="M30" s="18">
        <f t="shared" si="3"/>
        <v>5500</v>
      </c>
      <c r="N30" s="18">
        <f t="shared" si="4"/>
        <v>5500</v>
      </c>
      <c r="O30" s="18">
        <f t="shared" si="5"/>
        <v>43500</v>
      </c>
      <c r="P30" s="17">
        <f t="shared" si="6"/>
        <v>5.34655172413793</v>
      </c>
      <c r="Q30" s="17">
        <f t="shared" si="7"/>
        <v>0</v>
      </c>
      <c r="R30" s="19" t="str">
        <f ca="1" t="shared" si="8"/>
        <v>通过</v>
      </c>
    </row>
    <row r="31" ht="17" spans="1:18">
      <c r="A31" s="13">
        <v>35</v>
      </c>
      <c r="B31" s="14">
        <v>1</v>
      </c>
      <c r="C31" s="15">
        <v>42095</v>
      </c>
      <c r="D31" s="16">
        <v>8.22</v>
      </c>
      <c r="E31" s="16">
        <v>7.6</v>
      </c>
      <c r="F31" s="16">
        <v>1</v>
      </c>
      <c r="G31" s="14">
        <v>14400</v>
      </c>
      <c r="H31" s="17">
        <f t="shared" si="0"/>
        <v>118368</v>
      </c>
      <c r="I31" s="18">
        <f>IF(OR(A31="",B31=""),"",IFERROR(LOOKUP(2,1/(单次交易!$A$2:$A$201=A31),单次交易!$H$2:$H$201),0)+SUMIFS($G$2:$G$1001,$A$2:$A$1001,A31,$B$2:$B$1001,"&lt;"&amp;B31))</f>
        <v>14400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100512</v>
      </c>
      <c r="K31" s="17">
        <f t="shared" si="1"/>
        <v>8928</v>
      </c>
      <c r="L31" s="18">
        <f t="shared" si="2"/>
        <v>14400</v>
      </c>
      <c r="M31" s="18">
        <f t="shared" si="3"/>
        <v>14400</v>
      </c>
      <c r="N31" s="18">
        <f t="shared" si="4"/>
        <v>14400</v>
      </c>
      <c r="O31" s="18">
        <f t="shared" si="5"/>
        <v>28800</v>
      </c>
      <c r="P31" s="17">
        <f t="shared" si="6"/>
        <v>7.6</v>
      </c>
      <c r="Q31" s="17">
        <f t="shared" si="7"/>
        <v>0</v>
      </c>
      <c r="R31" s="19" t="str">
        <f ca="1" t="shared" si="8"/>
        <v>通过</v>
      </c>
    </row>
    <row r="32" ht="17" spans="1:18">
      <c r="A32" s="13">
        <v>35</v>
      </c>
      <c r="B32" s="14">
        <v>2</v>
      </c>
      <c r="C32" s="15">
        <v>42111</v>
      </c>
      <c r="D32" s="16">
        <v>9.18</v>
      </c>
      <c r="E32" s="16">
        <v>8.5</v>
      </c>
      <c r="F32" s="16">
        <v>1</v>
      </c>
      <c r="G32" s="14">
        <v>14400</v>
      </c>
      <c r="H32" s="17">
        <f t="shared" si="0"/>
        <v>132192</v>
      </c>
      <c r="I32" s="18">
        <f>IF(OR(A32="",B32=""),"",IFERROR(LOOKUP(2,1/(单次交易!$A$2:$A$201=A32),单次交易!$H$2:$H$201),0)+SUMIFS($G$2:$G$1001,$A$2:$A$1001,A32,$B$2:$B$1001,"&lt;"&amp;B32))</f>
        <v>28800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218880</v>
      </c>
      <c r="K32" s="17">
        <f t="shared" si="1"/>
        <v>25920</v>
      </c>
      <c r="L32" s="18">
        <f t="shared" si="2"/>
        <v>38100</v>
      </c>
      <c r="M32" s="18">
        <f t="shared" si="3"/>
        <v>14400</v>
      </c>
      <c r="N32" s="18">
        <f t="shared" si="4"/>
        <v>14400</v>
      </c>
      <c r="O32" s="18">
        <f t="shared" si="5"/>
        <v>43200</v>
      </c>
      <c r="P32" s="17">
        <f t="shared" si="6"/>
        <v>8.12666666666667</v>
      </c>
      <c r="Q32" s="17">
        <f t="shared" si="7"/>
        <v>0</v>
      </c>
      <c r="R32" s="19" t="str">
        <f ca="1" t="shared" si="8"/>
        <v>通过</v>
      </c>
    </row>
    <row r="33" ht="17" spans="1:18">
      <c r="A33" s="13">
        <v>40</v>
      </c>
      <c r="B33" s="14">
        <v>1</v>
      </c>
      <c r="C33" s="15">
        <v>42845</v>
      </c>
      <c r="D33" s="16">
        <v>6.18</v>
      </c>
      <c r="E33" s="16">
        <v>5.8</v>
      </c>
      <c r="F33" s="16">
        <v>1</v>
      </c>
      <c r="G33" s="14">
        <v>15000</v>
      </c>
      <c r="H33" s="17">
        <f t="shared" si="0"/>
        <v>92700</v>
      </c>
      <c r="I33" s="18">
        <f>IF(OR(A33="",B33=""),"",IFERROR(LOOKUP(2,1/(单次交易!$A$2:$A$201=A33),单次交易!$H$2:$H$201),0)+SUMIFS($G$2:$G$1001,$A$2:$A$1001,A33,$B$2:$B$1001,"&lt;"&amp;B33))</f>
        <v>16300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86064</v>
      </c>
      <c r="K33" s="17">
        <f t="shared" si="1"/>
        <v>8476</v>
      </c>
      <c r="L33" s="18">
        <f t="shared" si="2"/>
        <v>22300</v>
      </c>
      <c r="M33" s="18">
        <f t="shared" si="3"/>
        <v>22300</v>
      </c>
      <c r="N33" s="18">
        <f t="shared" si="4"/>
        <v>22300</v>
      </c>
      <c r="O33" s="18">
        <f t="shared" si="5"/>
        <v>31300</v>
      </c>
      <c r="P33" s="17">
        <f t="shared" si="6"/>
        <v>5.71130990415335</v>
      </c>
      <c r="Q33" s="17">
        <f t="shared" si="7"/>
        <v>0</v>
      </c>
      <c r="R33" s="19" t="str">
        <f ca="1" t="shared" si="8"/>
        <v>通过</v>
      </c>
    </row>
    <row r="34" ht="17" spans="1:18">
      <c r="A34" s="13">
        <v>42</v>
      </c>
      <c r="B34" s="14">
        <v>1</v>
      </c>
      <c r="C34" s="15">
        <v>43521</v>
      </c>
      <c r="D34" s="16">
        <v>3.71</v>
      </c>
      <c r="E34" s="16">
        <v>3.45</v>
      </c>
      <c r="F34" s="16">
        <v>1</v>
      </c>
      <c r="G34" s="14">
        <v>17400</v>
      </c>
      <c r="H34" s="17">
        <f t="shared" si="0"/>
        <v>64554</v>
      </c>
      <c r="I34" s="18">
        <f>IF(OR(A34="",B34=""),"",IFERROR(LOOKUP(2,1/(单次交易!$A$2:$A$201=A34),单次交易!$H$2:$H$201),0)+SUMIFS($G$2:$G$1001,$A$2:$A$1001,A34,$B$2:$B$1001,"&lt;"&amp;B34))</f>
        <v>25200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82404</v>
      </c>
      <c r="K34" s="17">
        <f t="shared" si="1"/>
        <v>4536</v>
      </c>
      <c r="L34" s="18">
        <f t="shared" si="2"/>
        <v>17400</v>
      </c>
      <c r="M34" s="18">
        <f t="shared" si="3"/>
        <v>17400</v>
      </c>
      <c r="N34" s="18">
        <f t="shared" si="4"/>
        <v>17400</v>
      </c>
      <c r="O34" s="18">
        <f t="shared" si="5"/>
        <v>42600</v>
      </c>
      <c r="P34" s="17">
        <f t="shared" si="6"/>
        <v>3.44971830985915</v>
      </c>
      <c r="Q34" s="17">
        <f t="shared" si="7"/>
        <v>0</v>
      </c>
      <c r="R34" s="19" t="str">
        <f ca="1" t="shared" si="8"/>
        <v>通过</v>
      </c>
    </row>
    <row r="35" ht="17" spans="1:18">
      <c r="A35" s="13">
        <v>44</v>
      </c>
      <c r="B35" s="14">
        <v>1</v>
      </c>
      <c r="C35" s="15">
        <v>43903</v>
      </c>
      <c r="D35" s="16">
        <v>3.82</v>
      </c>
      <c r="E35" s="16">
        <v>3.5</v>
      </c>
      <c r="F35" s="16">
        <v>1</v>
      </c>
      <c r="G35" s="14">
        <v>19500</v>
      </c>
      <c r="H35" s="17">
        <f t="shared" si="0"/>
        <v>74490</v>
      </c>
      <c r="I35" s="18">
        <f>IF(OR(A35="",B35=""),"",IFERROR(LOOKUP(2,1/(单次交易!$A$2:$A$201=A35),单次交易!$H$2:$H$201),0)+SUMIFS($G$2:$G$1001,$A$2:$A$1001,A35,$B$2:$B$1001,"&lt;"&amp;B35))</f>
        <v>26000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84760</v>
      </c>
      <c r="K35" s="17">
        <f t="shared" si="1"/>
        <v>6240</v>
      </c>
      <c r="L35" s="18">
        <f t="shared" si="2"/>
        <v>19500</v>
      </c>
      <c r="M35" s="18">
        <f t="shared" si="3"/>
        <v>19500</v>
      </c>
      <c r="N35" s="18">
        <f t="shared" si="4"/>
        <v>19500</v>
      </c>
      <c r="O35" s="18">
        <f t="shared" si="5"/>
        <v>45500</v>
      </c>
      <c r="P35" s="17">
        <f t="shared" si="6"/>
        <v>3.5</v>
      </c>
      <c r="Q35" s="17">
        <f t="shared" si="7"/>
        <v>0</v>
      </c>
      <c r="R35" s="19" t="str">
        <f ca="1" t="shared" si="8"/>
        <v>通过</v>
      </c>
    </row>
    <row r="36" ht="17" spans="1:18">
      <c r="A36" s="13">
        <v>45</v>
      </c>
      <c r="B36" s="14">
        <v>1</v>
      </c>
      <c r="C36" s="15">
        <v>44043</v>
      </c>
      <c r="D36" s="16">
        <v>4.72</v>
      </c>
      <c r="E36" s="16">
        <v>4.4</v>
      </c>
      <c r="F36" s="16">
        <v>1</v>
      </c>
      <c r="G36" s="14">
        <v>16700</v>
      </c>
      <c r="H36" s="17">
        <f t="shared" si="0"/>
        <v>78824</v>
      </c>
      <c r="I36" s="18">
        <f>IF(OR(A36="",B36=""),"",IFERROR(LOOKUP(2,1/(单次交易!$A$2:$A$201=A36),单次交易!$H$2:$H$201),0)+SUMIFS($G$2:$G$1001,$A$2:$A$1001,A36,$B$2:$B$1001,"&lt;"&amp;B36))</f>
        <v>14900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60196</v>
      </c>
      <c r="K36" s="17">
        <f t="shared" si="1"/>
        <v>5364</v>
      </c>
      <c r="L36" s="18">
        <f t="shared" si="2"/>
        <v>16700</v>
      </c>
      <c r="M36" s="18">
        <f t="shared" si="3"/>
        <v>16700</v>
      </c>
      <c r="N36" s="18">
        <f t="shared" si="4"/>
        <v>16700</v>
      </c>
      <c r="O36" s="18">
        <f t="shared" si="5"/>
        <v>31600</v>
      </c>
      <c r="P36" s="17">
        <f t="shared" si="6"/>
        <v>4.39936708860759</v>
      </c>
      <c r="Q36" s="17">
        <f t="shared" si="7"/>
        <v>0</v>
      </c>
      <c r="R36" s="19" t="str">
        <f ca="1" t="shared" si="8"/>
        <v>通过</v>
      </c>
    </row>
    <row r="37" ht="17" spans="1:18">
      <c r="A37" s="13">
        <v>47</v>
      </c>
      <c r="B37" s="14">
        <v>1</v>
      </c>
      <c r="C37" s="15">
        <v>44190</v>
      </c>
      <c r="D37" s="16">
        <v>5.89</v>
      </c>
      <c r="E37" s="16">
        <v>5.5</v>
      </c>
      <c r="F37" s="16">
        <v>1</v>
      </c>
      <c r="G37" s="14">
        <v>14000</v>
      </c>
      <c r="H37" s="17">
        <f t="shared" si="0"/>
        <v>82460</v>
      </c>
      <c r="I37" s="18">
        <f>IF(OR(A37="",B37=""),"",IFERROR(LOOKUP(2,1/(单次交易!$A$2:$A$201=A37),单次交易!$H$2:$H$201),0)+SUMIFS($G$2:$G$1001,$A$2:$A$1001,A37,$B$2:$B$1001,"&lt;"&amp;B37))</f>
        <v>23800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125426</v>
      </c>
      <c r="K37" s="17">
        <f t="shared" si="1"/>
        <v>5474.00000000001</v>
      </c>
      <c r="L37" s="18">
        <f t="shared" si="2"/>
        <v>14000</v>
      </c>
      <c r="M37" s="18">
        <f t="shared" si="3"/>
        <v>14000</v>
      </c>
      <c r="N37" s="18">
        <f t="shared" si="4"/>
        <v>14000</v>
      </c>
      <c r="O37" s="18">
        <f t="shared" si="5"/>
        <v>37800</v>
      </c>
      <c r="P37" s="17">
        <f t="shared" si="6"/>
        <v>5.49962962962963</v>
      </c>
      <c r="Q37" s="17">
        <f t="shared" si="7"/>
        <v>0</v>
      </c>
      <c r="R37" s="19" t="str">
        <f ca="1" t="shared" si="8"/>
        <v>通过</v>
      </c>
    </row>
    <row r="38" ht="17" spans="1:18">
      <c r="A38" s="13">
        <v>49</v>
      </c>
      <c r="B38" s="14">
        <v>1</v>
      </c>
      <c r="C38" s="15">
        <v>44218</v>
      </c>
      <c r="D38" s="16">
        <v>7.69</v>
      </c>
      <c r="E38" s="16">
        <v>7</v>
      </c>
      <c r="F38" s="16">
        <v>1</v>
      </c>
      <c r="G38" s="14">
        <v>13200</v>
      </c>
      <c r="H38" s="17">
        <f t="shared" si="0"/>
        <v>101508</v>
      </c>
      <c r="I38" s="18">
        <f>IF(OR(A38="",B38=""),"",IFERROR(LOOKUP(2,1/(单次交易!$A$2:$A$201=A38),单次交易!$H$2:$H$201),0)+SUMIFS($G$2:$G$1001,$A$2:$A$1001,A38,$B$2:$B$1001,"&lt;"&amp;B38))</f>
        <v>15200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97280</v>
      </c>
      <c r="K38" s="17">
        <f t="shared" si="1"/>
        <v>9120</v>
      </c>
      <c r="L38" s="18">
        <f t="shared" si="2"/>
        <v>13200</v>
      </c>
      <c r="M38" s="18">
        <f t="shared" si="3"/>
        <v>13200</v>
      </c>
      <c r="N38" s="18">
        <f t="shared" si="4"/>
        <v>13200</v>
      </c>
      <c r="O38" s="18">
        <f t="shared" si="5"/>
        <v>28400</v>
      </c>
      <c r="P38" s="17">
        <f t="shared" si="6"/>
        <v>6.99957746478873</v>
      </c>
      <c r="Q38" s="17">
        <f t="shared" si="7"/>
        <v>0</v>
      </c>
      <c r="R38" s="19" t="str">
        <f ca="1" t="shared" si="8"/>
        <v>通过</v>
      </c>
    </row>
    <row r="39" ht="17" spans="1:18">
      <c r="A39" s="13">
        <v>49</v>
      </c>
      <c r="B39" s="14">
        <v>2</v>
      </c>
      <c r="C39" s="15">
        <v>44223</v>
      </c>
      <c r="D39" s="16">
        <v>8.61</v>
      </c>
      <c r="E39" s="16">
        <v>8</v>
      </c>
      <c r="F39" s="16">
        <v>1</v>
      </c>
      <c r="G39" s="14">
        <v>11000</v>
      </c>
      <c r="H39" s="17">
        <f t="shared" si="0"/>
        <v>94710</v>
      </c>
      <c r="I39" s="18">
        <f>IF(OR(A39="",B39=""),"",IFERROR(LOOKUP(2,1/(单次交易!$A$2:$A$201=A39),单次交易!$H$2:$H$201),0)+SUMIFS($G$2:$G$1001,$A$2:$A$1001,A39,$B$2:$B$1001,"&lt;"&amp;B39))</f>
        <v>28400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198788</v>
      </c>
      <c r="K39" s="17">
        <f t="shared" si="1"/>
        <v>28412</v>
      </c>
      <c r="L39" s="18">
        <f t="shared" si="2"/>
        <v>46500</v>
      </c>
      <c r="M39" s="18">
        <f t="shared" si="3"/>
        <v>13200</v>
      </c>
      <c r="N39" s="18">
        <f t="shared" si="4"/>
        <v>13200</v>
      </c>
      <c r="O39" s="18">
        <f t="shared" si="5"/>
        <v>39400</v>
      </c>
      <c r="P39" s="17">
        <f t="shared" si="6"/>
        <v>7.44918781725888</v>
      </c>
      <c r="Q39" s="17">
        <f t="shared" si="7"/>
        <v>0</v>
      </c>
      <c r="R39" s="19" t="str">
        <f ca="1" t="shared" si="8"/>
        <v>通过</v>
      </c>
    </row>
    <row r="40" ht="17" spans="1:18">
      <c r="A40" s="13">
        <v>50</v>
      </c>
      <c r="B40" s="14">
        <v>1</v>
      </c>
      <c r="C40" s="15">
        <v>44390</v>
      </c>
      <c r="D40" s="16">
        <v>9</v>
      </c>
      <c r="E40" s="16">
        <v>8</v>
      </c>
      <c r="F40" s="16">
        <v>1</v>
      </c>
      <c r="G40" s="14">
        <v>2800</v>
      </c>
      <c r="H40" s="17">
        <f t="shared" si="0"/>
        <v>25200</v>
      </c>
      <c r="I40" s="18">
        <f>IF(OR(A40="",B40=""),"",IFERROR(LOOKUP(2,1/(单次交易!$A$2:$A$201=A40),单次交易!$H$2:$H$201),0)+SUMIFS($G$2:$G$1001,$A$2:$A$1001,A40,$B$2:$B$1001,"&lt;"&amp;B40))</f>
        <v>9200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70748</v>
      </c>
      <c r="K40" s="17">
        <f t="shared" si="1"/>
        <v>2852</v>
      </c>
      <c r="L40" s="18">
        <f t="shared" si="2"/>
        <v>2800</v>
      </c>
      <c r="M40" s="18">
        <f t="shared" si="3"/>
        <v>2800</v>
      </c>
      <c r="N40" s="18">
        <f t="shared" si="4"/>
        <v>2800</v>
      </c>
      <c r="O40" s="18">
        <f t="shared" si="5"/>
        <v>12000</v>
      </c>
      <c r="P40" s="17">
        <f t="shared" si="6"/>
        <v>7.99566666666667</v>
      </c>
      <c r="Q40" s="17">
        <f t="shared" si="7"/>
        <v>0</v>
      </c>
      <c r="R40" s="19" t="str">
        <f ca="1" t="shared" si="8"/>
        <v>通过</v>
      </c>
    </row>
    <row r="41" ht="17" spans="1:18">
      <c r="A41" s="13"/>
      <c r="B41" s="14"/>
      <c r="C41" s="15"/>
      <c r="D41" s="16"/>
      <c r="E41" s="16"/>
      <c r="F41" s="16"/>
      <c r="G41" s="14"/>
      <c r="H41" s="17" t="str">
        <f t="shared" si="0"/>
        <v/>
      </c>
      <c r="I41" s="18" t="str">
        <f>IF(OR(A41="",B41=""),"",IFERROR(LOOKUP(2,1/(单次交易!$A$2:$A$201=A41),单次交易!$H$2:$H$201),0)+SUMIFS($G$2:$G$1001,$A$2:$A$1001,A41,$B$2:$B$1001,"&lt;"&amp;B41))</f>
        <v/>
      </c>
      <c r="J41" s="17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17" t="str">
        <f t="shared" si="1"/>
        <v/>
      </c>
      <c r="L41" s="18" t="str">
        <f t="shared" si="2"/>
        <v/>
      </c>
      <c r="M41" s="18" t="str">
        <f t="shared" si="3"/>
        <v/>
      </c>
      <c r="N41" s="18" t="str">
        <f t="shared" si="4"/>
        <v/>
      </c>
      <c r="O41" s="18" t="str">
        <f t="shared" si="5"/>
        <v/>
      </c>
      <c r="P41" s="17" t="str">
        <f t="shared" si="6"/>
        <v/>
      </c>
      <c r="Q41" s="17" t="str">
        <f t="shared" si="7"/>
        <v/>
      </c>
      <c r="R41" s="19" t="str">
        <f ca="1" t="shared" si="8"/>
        <v/>
      </c>
    </row>
    <row r="42" ht="17" spans="1:18">
      <c r="A42" s="13"/>
      <c r="B42" s="14"/>
      <c r="C42" s="15"/>
      <c r="D42" s="16"/>
      <c r="E42" s="16"/>
      <c r="F42" s="16"/>
      <c r="G42" s="14"/>
      <c r="H42" s="17" t="str">
        <f t="shared" si="0"/>
        <v/>
      </c>
      <c r="I42" s="18" t="str">
        <f>IF(OR(A42="",B42=""),"",IFERROR(LOOKUP(2,1/(单次交易!$A$2:$A$201=A42),单次交易!$H$2:$H$201),0)+SUMIFS($G$2:$G$1001,$A$2:$A$1001,A42,$B$2:$B$1001,"&lt;"&amp;B42))</f>
        <v/>
      </c>
      <c r="J42" s="17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17" t="str">
        <f t="shared" si="1"/>
        <v/>
      </c>
      <c r="L42" s="18" t="str">
        <f t="shared" si="2"/>
        <v/>
      </c>
      <c r="M42" s="18" t="str">
        <f t="shared" si="3"/>
        <v/>
      </c>
      <c r="N42" s="18" t="str">
        <f t="shared" si="4"/>
        <v/>
      </c>
      <c r="O42" s="18" t="str">
        <f t="shared" si="5"/>
        <v/>
      </c>
      <c r="P42" s="17" t="str">
        <f t="shared" si="6"/>
        <v/>
      </c>
      <c r="Q42" s="17" t="str">
        <f t="shared" si="7"/>
        <v/>
      </c>
      <c r="R42" s="19" t="str">
        <f ca="1" t="shared" si="8"/>
        <v/>
      </c>
    </row>
    <row r="43" ht="17" spans="1:18">
      <c r="A43" s="13"/>
      <c r="B43" s="14"/>
      <c r="C43" s="15"/>
      <c r="D43" s="16"/>
      <c r="E43" s="16"/>
      <c r="F43" s="16"/>
      <c r="G43" s="14"/>
      <c r="H43" s="17" t="str">
        <f t="shared" si="0"/>
        <v/>
      </c>
      <c r="I43" s="18" t="str">
        <f>IF(OR(A43="",B43=""),"",IFERROR(LOOKUP(2,1/(单次交易!$A$2:$A$201=A43),单次交易!$H$2:$H$201),0)+SUMIFS($G$2:$G$1001,$A$2:$A$1001,A43,$B$2:$B$1001,"&lt;"&amp;B43))</f>
        <v/>
      </c>
      <c r="J43" s="17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17" t="str">
        <f t="shared" si="1"/>
        <v/>
      </c>
      <c r="L43" s="18" t="str">
        <f t="shared" si="2"/>
        <v/>
      </c>
      <c r="M43" s="18" t="str">
        <f t="shared" si="3"/>
        <v/>
      </c>
      <c r="N43" s="18" t="str">
        <f t="shared" si="4"/>
        <v/>
      </c>
      <c r="O43" s="18" t="str">
        <f t="shared" si="5"/>
        <v/>
      </c>
      <c r="P43" s="17" t="str">
        <f t="shared" si="6"/>
        <v/>
      </c>
      <c r="Q43" s="17" t="str">
        <f t="shared" si="7"/>
        <v/>
      </c>
      <c r="R43" s="19" t="str">
        <f ca="1" t="shared" si="8"/>
        <v/>
      </c>
    </row>
    <row r="44" ht="17" spans="1:18">
      <c r="A44" s="13"/>
      <c r="B44" s="14"/>
      <c r="C44" s="15"/>
      <c r="D44" s="16"/>
      <c r="E44" s="16"/>
      <c r="F44" s="16"/>
      <c r="G44" s="14"/>
      <c r="H44" s="17" t="str">
        <f t="shared" si="0"/>
        <v/>
      </c>
      <c r="I44" s="18" t="str">
        <f>IF(OR(A44="",B44=""),"",IFERROR(LOOKUP(2,1/(单次交易!$A$2:$A$201=A44),单次交易!$H$2:$H$201),0)+SUMIFS($G$2:$G$1001,$A$2:$A$1001,A44,$B$2:$B$1001,"&lt;"&amp;B44))</f>
        <v/>
      </c>
      <c r="J44" s="17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17" t="str">
        <f t="shared" si="1"/>
        <v/>
      </c>
      <c r="L44" s="18" t="str">
        <f t="shared" si="2"/>
        <v/>
      </c>
      <c r="M44" s="18" t="str">
        <f t="shared" si="3"/>
        <v/>
      </c>
      <c r="N44" s="18" t="str">
        <f t="shared" si="4"/>
        <v/>
      </c>
      <c r="O44" s="18" t="str">
        <f t="shared" si="5"/>
        <v/>
      </c>
      <c r="P44" s="17" t="str">
        <f t="shared" si="6"/>
        <v/>
      </c>
      <c r="Q44" s="17" t="str">
        <f t="shared" si="7"/>
        <v/>
      </c>
      <c r="R44" s="19" t="str">
        <f ca="1" t="shared" si="8"/>
        <v/>
      </c>
    </row>
    <row r="45" ht="17" spans="1:18">
      <c r="A45" s="13"/>
      <c r="B45" s="14"/>
      <c r="C45" s="15"/>
      <c r="D45" s="16"/>
      <c r="E45" s="16"/>
      <c r="F45" s="16"/>
      <c r="G45" s="14"/>
      <c r="H45" s="17" t="str">
        <f t="shared" si="0"/>
        <v/>
      </c>
      <c r="I45" s="18" t="str">
        <f>IF(OR(A45="",B45=""),"",IFERROR(LOOKUP(2,1/(单次交易!$A$2:$A$201=A45),单次交易!$H$2:$H$201),0)+SUMIFS($G$2:$G$1001,$A$2:$A$1001,A45,$B$2:$B$1001,"&lt;"&amp;B45))</f>
        <v/>
      </c>
      <c r="J45" s="17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17" t="str">
        <f t="shared" si="1"/>
        <v/>
      </c>
      <c r="L45" s="18" t="str">
        <f t="shared" si="2"/>
        <v/>
      </c>
      <c r="M45" s="18" t="str">
        <f t="shared" si="3"/>
        <v/>
      </c>
      <c r="N45" s="18" t="str">
        <f t="shared" si="4"/>
        <v/>
      </c>
      <c r="O45" s="18" t="str">
        <f t="shared" si="5"/>
        <v/>
      </c>
      <c r="P45" s="17" t="str">
        <f t="shared" si="6"/>
        <v/>
      </c>
      <c r="Q45" s="17" t="str">
        <f t="shared" si="7"/>
        <v/>
      </c>
      <c r="R45" s="19" t="str">
        <f ca="1" t="shared" si="8"/>
        <v/>
      </c>
    </row>
    <row r="46" ht="17" spans="1:18">
      <c r="A46" s="13"/>
      <c r="B46" s="14"/>
      <c r="C46" s="15"/>
      <c r="D46" s="16"/>
      <c r="E46" s="16"/>
      <c r="F46" s="16"/>
      <c r="G46" s="14"/>
      <c r="H46" s="17" t="str">
        <f t="shared" si="0"/>
        <v/>
      </c>
      <c r="I46" s="18" t="str">
        <f>IF(OR(A46="",B46=""),"",IFERROR(LOOKUP(2,1/(单次交易!$A$2:$A$201=A46),单次交易!$H$2:$H$201),0)+SUMIFS($G$2:$G$1001,$A$2:$A$1001,A46,$B$2:$B$1001,"&lt;"&amp;B46))</f>
        <v/>
      </c>
      <c r="J46" s="17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17" t="str">
        <f t="shared" si="1"/>
        <v/>
      </c>
      <c r="L46" s="18" t="str">
        <f t="shared" si="2"/>
        <v/>
      </c>
      <c r="M46" s="18" t="str">
        <f t="shared" si="3"/>
        <v/>
      </c>
      <c r="N46" s="18" t="str">
        <f t="shared" si="4"/>
        <v/>
      </c>
      <c r="O46" s="18" t="str">
        <f t="shared" si="5"/>
        <v/>
      </c>
      <c r="P46" s="17" t="str">
        <f t="shared" si="6"/>
        <v/>
      </c>
      <c r="Q46" s="17" t="str">
        <f t="shared" si="7"/>
        <v/>
      </c>
      <c r="R46" s="19" t="str">
        <f ca="1" t="shared" si="8"/>
        <v/>
      </c>
    </row>
    <row r="47" ht="17" spans="1:18">
      <c r="A47" s="13"/>
      <c r="B47" s="14"/>
      <c r="C47" s="15"/>
      <c r="D47" s="16"/>
      <c r="E47" s="16"/>
      <c r="F47" s="16"/>
      <c r="G47" s="14"/>
      <c r="H47" s="17" t="str">
        <f t="shared" si="0"/>
        <v/>
      </c>
      <c r="I47" s="18" t="str">
        <f>IF(OR(A47="",B47=""),"",IFERROR(LOOKUP(2,1/(单次交易!$A$2:$A$201=A47),单次交易!$H$2:$H$201),0)+SUMIFS($G$2:$G$1001,$A$2:$A$1001,A47,$B$2:$B$1001,"&lt;"&amp;B47))</f>
        <v/>
      </c>
      <c r="J47" s="17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17" t="str">
        <f t="shared" si="1"/>
        <v/>
      </c>
      <c r="L47" s="18" t="str">
        <f t="shared" si="2"/>
        <v/>
      </c>
      <c r="M47" s="18" t="str">
        <f t="shared" si="3"/>
        <v/>
      </c>
      <c r="N47" s="18" t="str">
        <f t="shared" si="4"/>
        <v/>
      </c>
      <c r="O47" s="18" t="str">
        <f t="shared" si="5"/>
        <v/>
      </c>
      <c r="P47" s="17" t="str">
        <f t="shared" si="6"/>
        <v/>
      </c>
      <c r="Q47" s="17" t="str">
        <f t="shared" si="7"/>
        <v/>
      </c>
      <c r="R47" s="19" t="str">
        <f ca="1" t="shared" si="8"/>
        <v/>
      </c>
    </row>
    <row r="48" ht="17" spans="1:18">
      <c r="A48" s="13"/>
      <c r="B48" s="14"/>
      <c r="C48" s="15"/>
      <c r="D48" s="16"/>
      <c r="E48" s="16"/>
      <c r="F48" s="16"/>
      <c r="G48" s="14"/>
      <c r="H48" s="17" t="str">
        <f t="shared" si="0"/>
        <v/>
      </c>
      <c r="I48" s="18" t="str">
        <f>IF(OR(A48="",B48=""),"",IFERROR(LOOKUP(2,1/(单次交易!$A$2:$A$201=A48),单次交易!$H$2:$H$201),0)+SUMIFS($G$2:$G$1001,$A$2:$A$1001,A48,$B$2:$B$1001,"&lt;"&amp;B48))</f>
        <v/>
      </c>
      <c r="J48" s="17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17" t="str">
        <f t="shared" si="1"/>
        <v/>
      </c>
      <c r="L48" s="18" t="str">
        <f t="shared" si="2"/>
        <v/>
      </c>
      <c r="M48" s="18" t="str">
        <f t="shared" si="3"/>
        <v/>
      </c>
      <c r="N48" s="18" t="str">
        <f t="shared" si="4"/>
        <v/>
      </c>
      <c r="O48" s="18" t="str">
        <f t="shared" si="5"/>
        <v/>
      </c>
      <c r="P48" s="17" t="str">
        <f t="shared" si="6"/>
        <v/>
      </c>
      <c r="Q48" s="17" t="str">
        <f t="shared" si="7"/>
        <v/>
      </c>
      <c r="R48" s="19" t="str">
        <f ca="1" t="shared" si="8"/>
        <v/>
      </c>
    </row>
    <row r="49" ht="17" spans="1:18">
      <c r="A49" s="13"/>
      <c r="B49" s="14"/>
      <c r="C49" s="15"/>
      <c r="D49" s="16"/>
      <c r="E49" s="16"/>
      <c r="F49" s="16"/>
      <c r="G49" s="14"/>
      <c r="H49" s="17" t="str">
        <f t="shared" si="0"/>
        <v/>
      </c>
      <c r="I49" s="18" t="str">
        <f>IF(OR(A49="",B49=""),"",IFERROR(LOOKUP(2,1/(单次交易!$A$2:$A$201=A49),单次交易!$H$2:$H$201),0)+SUMIFS($G$2:$G$1001,$A$2:$A$1001,A49,$B$2:$B$1001,"&lt;"&amp;B49))</f>
        <v/>
      </c>
      <c r="J49" s="17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17" t="str">
        <f t="shared" si="1"/>
        <v/>
      </c>
      <c r="L49" s="18" t="str">
        <f t="shared" si="2"/>
        <v/>
      </c>
      <c r="M49" s="18" t="str">
        <f t="shared" si="3"/>
        <v/>
      </c>
      <c r="N49" s="18" t="str">
        <f t="shared" si="4"/>
        <v/>
      </c>
      <c r="O49" s="18" t="str">
        <f t="shared" si="5"/>
        <v/>
      </c>
      <c r="P49" s="17" t="str">
        <f t="shared" si="6"/>
        <v/>
      </c>
      <c r="Q49" s="17" t="str">
        <f t="shared" si="7"/>
        <v/>
      </c>
      <c r="R49" s="19" t="str">
        <f ca="1" t="shared" si="8"/>
        <v/>
      </c>
    </row>
    <row r="50" ht="17" spans="1:18">
      <c r="A50" s="13"/>
      <c r="B50" s="14"/>
      <c r="C50" s="15"/>
      <c r="D50" s="16"/>
      <c r="E50" s="16"/>
      <c r="F50" s="16"/>
      <c r="G50" s="14"/>
      <c r="H50" s="17" t="str">
        <f t="shared" si="0"/>
        <v/>
      </c>
      <c r="I50" s="18" t="str">
        <f>IF(OR(A50="",B50=""),"",IFERROR(LOOKUP(2,1/(单次交易!$A$2:$A$201=A50),单次交易!$H$2:$H$201),0)+SUMIFS($G$2:$G$1001,$A$2:$A$1001,A50,$B$2:$B$1001,"&lt;"&amp;B50))</f>
        <v/>
      </c>
      <c r="J50" s="17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17" t="str">
        <f t="shared" si="1"/>
        <v/>
      </c>
      <c r="L50" s="18" t="str">
        <f t="shared" si="2"/>
        <v/>
      </c>
      <c r="M50" s="18" t="str">
        <f t="shared" si="3"/>
        <v/>
      </c>
      <c r="N50" s="18" t="str">
        <f t="shared" si="4"/>
        <v/>
      </c>
      <c r="O50" s="18" t="str">
        <f t="shared" si="5"/>
        <v/>
      </c>
      <c r="P50" s="17" t="str">
        <f t="shared" si="6"/>
        <v/>
      </c>
      <c r="Q50" s="17" t="str">
        <f t="shared" si="7"/>
        <v/>
      </c>
      <c r="R50" s="19" t="str">
        <f ca="1" t="shared" si="8"/>
        <v/>
      </c>
    </row>
    <row r="51" ht="17" spans="1:18">
      <c r="A51" s="13"/>
      <c r="B51" s="14"/>
      <c r="C51" s="15"/>
      <c r="D51" s="16"/>
      <c r="E51" s="16"/>
      <c r="F51" s="16"/>
      <c r="G51" s="14"/>
      <c r="H51" s="17" t="str">
        <f t="shared" si="0"/>
        <v/>
      </c>
      <c r="I51" s="18" t="str">
        <f>IF(OR(A51="",B51=""),"",IFERROR(LOOKUP(2,1/(单次交易!$A$2:$A$201=A51),单次交易!$H$2:$H$201),0)+SUMIFS($G$2:$G$1001,$A$2:$A$1001,A51,$B$2:$B$1001,"&lt;"&amp;B51))</f>
        <v/>
      </c>
      <c r="J51" s="17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17" t="str">
        <f t="shared" si="1"/>
        <v/>
      </c>
      <c r="L51" s="18" t="str">
        <f t="shared" si="2"/>
        <v/>
      </c>
      <c r="M51" s="18" t="str">
        <f t="shared" si="3"/>
        <v/>
      </c>
      <c r="N51" s="18" t="str">
        <f t="shared" si="4"/>
        <v/>
      </c>
      <c r="O51" s="18" t="str">
        <f t="shared" si="5"/>
        <v/>
      </c>
      <c r="P51" s="17" t="str">
        <f t="shared" si="6"/>
        <v/>
      </c>
      <c r="Q51" s="17" t="str">
        <f t="shared" si="7"/>
        <v/>
      </c>
      <c r="R51" s="19" t="str">
        <f ca="1" t="shared" si="8"/>
        <v/>
      </c>
    </row>
    <row r="52" ht="17" spans="1:18">
      <c r="A52" s="13"/>
      <c r="B52" s="14"/>
      <c r="C52" s="15"/>
      <c r="D52" s="16"/>
      <c r="E52" s="16"/>
      <c r="F52" s="16"/>
      <c r="G52" s="14"/>
      <c r="H52" s="17" t="str">
        <f t="shared" si="0"/>
        <v/>
      </c>
      <c r="I52" s="18" t="str">
        <f>IF(OR(A52="",B52=""),"",IFERROR(LOOKUP(2,1/(单次交易!$A$2:$A$201=A52),单次交易!$H$2:$H$201),0)+SUMIFS($G$2:$G$1001,$A$2:$A$1001,A52,$B$2:$B$1001,"&lt;"&amp;B52))</f>
        <v/>
      </c>
      <c r="J52" s="17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17" t="str">
        <f t="shared" si="1"/>
        <v/>
      </c>
      <c r="L52" s="18" t="str">
        <f t="shared" si="2"/>
        <v/>
      </c>
      <c r="M52" s="18" t="str">
        <f t="shared" si="3"/>
        <v/>
      </c>
      <c r="N52" s="18" t="str">
        <f t="shared" si="4"/>
        <v/>
      </c>
      <c r="O52" s="18" t="str">
        <f t="shared" si="5"/>
        <v/>
      </c>
      <c r="P52" s="17" t="str">
        <f t="shared" si="6"/>
        <v/>
      </c>
      <c r="Q52" s="17" t="str">
        <f t="shared" si="7"/>
        <v/>
      </c>
      <c r="R52" s="19" t="str">
        <f ca="1" t="shared" si="8"/>
        <v/>
      </c>
    </row>
    <row r="53" ht="17" spans="1:18">
      <c r="A53" s="13"/>
      <c r="B53" s="14"/>
      <c r="C53" s="15"/>
      <c r="D53" s="16"/>
      <c r="E53" s="16"/>
      <c r="F53" s="16"/>
      <c r="G53" s="14"/>
      <c r="H53" s="17" t="str">
        <f t="shared" si="0"/>
        <v/>
      </c>
      <c r="I53" s="18" t="str">
        <f>IF(OR(A53="",B53=""),"",IFERROR(LOOKUP(2,1/(单次交易!$A$2:$A$201=A53),单次交易!$H$2:$H$201),0)+SUMIFS($G$2:$G$1001,$A$2:$A$1001,A53,$B$2:$B$1001,"&lt;"&amp;B53))</f>
        <v/>
      </c>
      <c r="J53" s="17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17" t="str">
        <f t="shared" si="1"/>
        <v/>
      </c>
      <c r="L53" s="18" t="str">
        <f t="shared" si="2"/>
        <v/>
      </c>
      <c r="M53" s="18" t="str">
        <f t="shared" si="3"/>
        <v/>
      </c>
      <c r="N53" s="18" t="str">
        <f t="shared" si="4"/>
        <v/>
      </c>
      <c r="O53" s="18" t="str">
        <f t="shared" si="5"/>
        <v/>
      </c>
      <c r="P53" s="17" t="str">
        <f t="shared" si="6"/>
        <v/>
      </c>
      <c r="Q53" s="17" t="str">
        <f t="shared" si="7"/>
        <v/>
      </c>
      <c r="R53" s="19" t="str">
        <f ca="1" t="shared" si="8"/>
        <v/>
      </c>
    </row>
    <row r="54" ht="17" spans="1:18">
      <c r="A54" s="13"/>
      <c r="B54" s="14"/>
      <c r="C54" s="15"/>
      <c r="D54" s="16"/>
      <c r="E54" s="16"/>
      <c r="F54" s="16"/>
      <c r="G54" s="14"/>
      <c r="H54" s="17" t="str">
        <f t="shared" si="0"/>
        <v/>
      </c>
      <c r="I54" s="18" t="str">
        <f>IF(OR(A54="",B54=""),"",IFERROR(LOOKUP(2,1/(单次交易!$A$2:$A$201=A54),单次交易!$H$2:$H$201),0)+SUMIFS($G$2:$G$1001,$A$2:$A$1001,A54,$B$2:$B$1001,"&lt;"&amp;B54))</f>
        <v/>
      </c>
      <c r="J54" s="17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17" t="str">
        <f t="shared" si="1"/>
        <v/>
      </c>
      <c r="L54" s="18" t="str">
        <f t="shared" si="2"/>
        <v/>
      </c>
      <c r="M54" s="18" t="str">
        <f t="shared" si="3"/>
        <v/>
      </c>
      <c r="N54" s="18" t="str">
        <f t="shared" si="4"/>
        <v/>
      </c>
      <c r="O54" s="18" t="str">
        <f t="shared" si="5"/>
        <v/>
      </c>
      <c r="P54" s="17" t="str">
        <f t="shared" si="6"/>
        <v/>
      </c>
      <c r="Q54" s="17" t="str">
        <f t="shared" si="7"/>
        <v/>
      </c>
      <c r="R54" s="19" t="str">
        <f ca="1" t="shared" si="8"/>
        <v/>
      </c>
    </row>
    <row r="55" ht="17" spans="1:18">
      <c r="A55" s="13"/>
      <c r="B55" s="14"/>
      <c r="C55" s="15"/>
      <c r="D55" s="16"/>
      <c r="E55" s="16"/>
      <c r="F55" s="16"/>
      <c r="G55" s="14"/>
      <c r="H55" s="17" t="str">
        <f t="shared" si="0"/>
        <v/>
      </c>
      <c r="I55" s="18" t="str">
        <f>IF(OR(A55="",B55=""),"",IFERROR(LOOKUP(2,1/(单次交易!$A$2:$A$201=A55),单次交易!$H$2:$H$201),0)+SUMIFS($G$2:$G$1001,$A$2:$A$1001,A55,$B$2:$B$1001,"&lt;"&amp;B55))</f>
        <v/>
      </c>
      <c r="J55" s="17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17" t="str">
        <f t="shared" si="1"/>
        <v/>
      </c>
      <c r="L55" s="18" t="str">
        <f t="shared" si="2"/>
        <v/>
      </c>
      <c r="M55" s="18" t="str">
        <f t="shared" si="3"/>
        <v/>
      </c>
      <c r="N55" s="18" t="str">
        <f t="shared" si="4"/>
        <v/>
      </c>
      <c r="O55" s="18" t="str">
        <f t="shared" si="5"/>
        <v/>
      </c>
      <c r="P55" s="17" t="str">
        <f t="shared" si="6"/>
        <v/>
      </c>
      <c r="Q55" s="17" t="str">
        <f t="shared" si="7"/>
        <v/>
      </c>
      <c r="R55" s="19" t="str">
        <f ca="1" t="shared" si="8"/>
        <v/>
      </c>
    </row>
    <row r="56" ht="17" spans="1:18">
      <c r="A56" s="13"/>
      <c r="B56" s="14"/>
      <c r="C56" s="15"/>
      <c r="D56" s="16"/>
      <c r="E56" s="16"/>
      <c r="F56" s="16"/>
      <c r="G56" s="14"/>
      <c r="H56" s="17" t="str">
        <f t="shared" si="0"/>
        <v/>
      </c>
      <c r="I56" s="18" t="str">
        <f>IF(OR(A56="",B56=""),"",IFERROR(LOOKUP(2,1/(单次交易!$A$2:$A$201=A56),单次交易!$H$2:$H$201),0)+SUMIFS($G$2:$G$1001,$A$2:$A$1001,A56,$B$2:$B$1001,"&lt;"&amp;B56))</f>
        <v/>
      </c>
      <c r="J56" s="17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17" t="str">
        <f t="shared" si="1"/>
        <v/>
      </c>
      <c r="L56" s="18" t="str">
        <f t="shared" si="2"/>
        <v/>
      </c>
      <c r="M56" s="18" t="str">
        <f t="shared" si="3"/>
        <v/>
      </c>
      <c r="N56" s="18" t="str">
        <f t="shared" si="4"/>
        <v/>
      </c>
      <c r="O56" s="18" t="str">
        <f t="shared" si="5"/>
        <v/>
      </c>
      <c r="P56" s="17" t="str">
        <f t="shared" si="6"/>
        <v/>
      </c>
      <c r="Q56" s="17" t="str">
        <f t="shared" si="7"/>
        <v/>
      </c>
      <c r="R56" s="19" t="str">
        <f ca="1" t="shared" si="8"/>
        <v/>
      </c>
    </row>
    <row r="57" ht="17" spans="1:18">
      <c r="A57" s="13"/>
      <c r="B57" s="14"/>
      <c r="C57" s="15"/>
      <c r="D57" s="16"/>
      <c r="E57" s="16"/>
      <c r="F57" s="16"/>
      <c r="G57" s="14"/>
      <c r="H57" s="17" t="str">
        <f t="shared" si="0"/>
        <v/>
      </c>
      <c r="I57" s="18" t="str">
        <f>IF(OR(A57="",B57=""),"",IFERROR(LOOKUP(2,1/(单次交易!$A$2:$A$201=A57),单次交易!$H$2:$H$201),0)+SUMIFS($G$2:$G$1001,$A$2:$A$1001,A57,$B$2:$B$1001,"&lt;"&amp;B57))</f>
        <v/>
      </c>
      <c r="J57" s="17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17" t="str">
        <f t="shared" si="1"/>
        <v/>
      </c>
      <c r="L57" s="18" t="str">
        <f t="shared" si="2"/>
        <v/>
      </c>
      <c r="M57" s="18" t="str">
        <f t="shared" si="3"/>
        <v/>
      </c>
      <c r="N57" s="18" t="str">
        <f t="shared" si="4"/>
        <v/>
      </c>
      <c r="O57" s="18" t="str">
        <f t="shared" si="5"/>
        <v/>
      </c>
      <c r="P57" s="17" t="str">
        <f t="shared" si="6"/>
        <v/>
      </c>
      <c r="Q57" s="17" t="str">
        <f t="shared" si="7"/>
        <v/>
      </c>
      <c r="R57" s="19" t="str">
        <f ca="1" t="shared" si="8"/>
        <v/>
      </c>
    </row>
    <row r="58" ht="17" spans="1:18">
      <c r="A58" s="13"/>
      <c r="B58" s="14"/>
      <c r="C58" s="15"/>
      <c r="D58" s="16"/>
      <c r="E58" s="16"/>
      <c r="F58" s="16"/>
      <c r="G58" s="14"/>
      <c r="H58" s="17" t="str">
        <f t="shared" si="0"/>
        <v/>
      </c>
      <c r="I58" s="18" t="str">
        <f>IF(OR(A58="",B58=""),"",IFERROR(LOOKUP(2,1/(单次交易!$A$2:$A$201=A58),单次交易!$H$2:$H$201),0)+SUMIFS($G$2:$G$1001,$A$2:$A$1001,A58,$B$2:$B$1001,"&lt;"&amp;B58))</f>
        <v/>
      </c>
      <c r="J58" s="17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17" t="str">
        <f t="shared" si="1"/>
        <v/>
      </c>
      <c r="L58" s="18" t="str">
        <f t="shared" si="2"/>
        <v/>
      </c>
      <c r="M58" s="18" t="str">
        <f t="shared" si="3"/>
        <v/>
      </c>
      <c r="N58" s="18" t="str">
        <f t="shared" si="4"/>
        <v/>
      </c>
      <c r="O58" s="18" t="str">
        <f t="shared" si="5"/>
        <v/>
      </c>
      <c r="P58" s="17" t="str">
        <f t="shared" si="6"/>
        <v/>
      </c>
      <c r="Q58" s="17" t="str">
        <f t="shared" si="7"/>
        <v/>
      </c>
      <c r="R58" s="19" t="str">
        <f ca="1" t="shared" si="8"/>
        <v/>
      </c>
    </row>
    <row r="59" ht="17" spans="1:18">
      <c r="A59" s="13"/>
      <c r="B59" s="14"/>
      <c r="C59" s="15"/>
      <c r="D59" s="16"/>
      <c r="E59" s="16"/>
      <c r="F59" s="16"/>
      <c r="G59" s="14"/>
      <c r="H59" s="17" t="str">
        <f t="shared" si="0"/>
        <v/>
      </c>
      <c r="I59" s="18" t="str">
        <f>IF(OR(A59="",B59=""),"",IFERROR(LOOKUP(2,1/(单次交易!$A$2:$A$201=A59),单次交易!$H$2:$H$201),0)+SUMIFS($G$2:$G$1001,$A$2:$A$1001,A59,$B$2:$B$1001,"&lt;"&amp;B59))</f>
        <v/>
      </c>
      <c r="J59" s="17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17" t="str">
        <f t="shared" si="1"/>
        <v/>
      </c>
      <c r="L59" s="18" t="str">
        <f t="shared" si="2"/>
        <v/>
      </c>
      <c r="M59" s="18" t="str">
        <f t="shared" si="3"/>
        <v/>
      </c>
      <c r="N59" s="18" t="str">
        <f t="shared" si="4"/>
        <v/>
      </c>
      <c r="O59" s="18" t="str">
        <f t="shared" si="5"/>
        <v/>
      </c>
      <c r="P59" s="17" t="str">
        <f t="shared" si="6"/>
        <v/>
      </c>
      <c r="Q59" s="17" t="str">
        <f t="shared" si="7"/>
        <v/>
      </c>
      <c r="R59" s="19" t="str">
        <f ca="1" t="shared" si="8"/>
        <v/>
      </c>
    </row>
    <row r="60" ht="17" spans="1:18">
      <c r="A60" s="13"/>
      <c r="B60" s="14"/>
      <c r="C60" s="15"/>
      <c r="D60" s="16"/>
      <c r="E60" s="16"/>
      <c r="F60" s="16"/>
      <c r="G60" s="14"/>
      <c r="H60" s="17" t="str">
        <f t="shared" si="0"/>
        <v/>
      </c>
      <c r="I60" s="18" t="str">
        <f>IF(OR(A60="",B60=""),"",IFERROR(LOOKUP(2,1/(单次交易!$A$2:$A$201=A60),单次交易!$H$2:$H$201),0)+SUMIFS($G$2:$G$1001,$A$2:$A$1001,A60,$B$2:$B$1001,"&lt;"&amp;B60))</f>
        <v/>
      </c>
      <c r="J60" s="17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17" t="str">
        <f t="shared" si="1"/>
        <v/>
      </c>
      <c r="L60" s="18" t="str">
        <f t="shared" si="2"/>
        <v/>
      </c>
      <c r="M60" s="18" t="str">
        <f t="shared" si="3"/>
        <v/>
      </c>
      <c r="N60" s="18" t="str">
        <f t="shared" si="4"/>
        <v/>
      </c>
      <c r="O60" s="18" t="str">
        <f t="shared" si="5"/>
        <v/>
      </c>
      <c r="P60" s="17" t="str">
        <f t="shared" si="6"/>
        <v/>
      </c>
      <c r="Q60" s="17" t="str">
        <f t="shared" si="7"/>
        <v/>
      </c>
      <c r="R60" s="19" t="str">
        <f ca="1" t="shared" si="8"/>
        <v/>
      </c>
    </row>
    <row r="61" ht="17" spans="1:18">
      <c r="A61" s="13"/>
      <c r="B61" s="14"/>
      <c r="C61" s="15"/>
      <c r="D61" s="16"/>
      <c r="E61" s="16"/>
      <c r="F61" s="16"/>
      <c r="G61" s="14"/>
      <c r="H61" s="17" t="str">
        <f t="shared" si="0"/>
        <v/>
      </c>
      <c r="I61" s="18" t="str">
        <f>IF(OR(A61="",B61=""),"",IFERROR(LOOKUP(2,1/(单次交易!$A$2:$A$201=A61),单次交易!$H$2:$H$201),0)+SUMIFS($G$2:$G$1001,$A$2:$A$1001,A61,$B$2:$B$1001,"&lt;"&amp;B61))</f>
        <v/>
      </c>
      <c r="J61" s="17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17" t="str">
        <f t="shared" si="1"/>
        <v/>
      </c>
      <c r="L61" s="18" t="str">
        <f t="shared" si="2"/>
        <v/>
      </c>
      <c r="M61" s="18" t="str">
        <f t="shared" si="3"/>
        <v/>
      </c>
      <c r="N61" s="18" t="str">
        <f t="shared" si="4"/>
        <v/>
      </c>
      <c r="O61" s="18" t="str">
        <f t="shared" si="5"/>
        <v/>
      </c>
      <c r="P61" s="17" t="str">
        <f t="shared" si="6"/>
        <v/>
      </c>
      <c r="Q61" s="17" t="str">
        <f t="shared" si="7"/>
        <v/>
      </c>
      <c r="R61" s="19" t="str">
        <f ca="1" t="shared" si="8"/>
        <v/>
      </c>
    </row>
    <row r="62" ht="17" spans="1:18">
      <c r="A62" s="13"/>
      <c r="B62" s="14"/>
      <c r="C62" s="15"/>
      <c r="D62" s="16"/>
      <c r="E62" s="16"/>
      <c r="F62" s="16"/>
      <c r="G62" s="14"/>
      <c r="H62" s="17" t="str">
        <f t="shared" si="0"/>
        <v/>
      </c>
      <c r="I62" s="18" t="str">
        <f>IF(OR(A62="",B62=""),"",IFERROR(LOOKUP(2,1/(单次交易!$A$2:$A$201=A62),单次交易!$H$2:$H$201),0)+SUMIFS($G$2:$G$1001,$A$2:$A$1001,A62,$B$2:$B$1001,"&lt;"&amp;B62))</f>
        <v/>
      </c>
      <c r="J62" s="17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17" t="str">
        <f t="shared" si="1"/>
        <v/>
      </c>
      <c r="L62" s="18" t="str">
        <f t="shared" si="2"/>
        <v/>
      </c>
      <c r="M62" s="18" t="str">
        <f t="shared" si="3"/>
        <v/>
      </c>
      <c r="N62" s="18" t="str">
        <f t="shared" si="4"/>
        <v/>
      </c>
      <c r="O62" s="18" t="str">
        <f t="shared" si="5"/>
        <v/>
      </c>
      <c r="P62" s="17" t="str">
        <f t="shared" si="6"/>
        <v/>
      </c>
      <c r="Q62" s="17" t="str">
        <f t="shared" si="7"/>
        <v/>
      </c>
      <c r="R62" s="19" t="str">
        <f ca="1" t="shared" si="8"/>
        <v/>
      </c>
    </row>
    <row r="63" ht="17" spans="1:18">
      <c r="A63" s="13"/>
      <c r="B63" s="14"/>
      <c r="C63" s="15"/>
      <c r="D63" s="16"/>
      <c r="E63" s="16"/>
      <c r="F63" s="16"/>
      <c r="G63" s="14"/>
      <c r="H63" s="17" t="str">
        <f t="shared" si="0"/>
        <v/>
      </c>
      <c r="I63" s="18" t="str">
        <f>IF(OR(A63="",B63=""),"",IFERROR(LOOKUP(2,1/(单次交易!$A$2:$A$201=A63),单次交易!$H$2:$H$201),0)+SUMIFS($G$2:$G$1001,$A$2:$A$1001,A63,$B$2:$B$1001,"&lt;"&amp;B63))</f>
        <v/>
      </c>
      <c r="J63" s="17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17" t="str">
        <f t="shared" si="1"/>
        <v/>
      </c>
      <c r="L63" s="18" t="str">
        <f t="shared" si="2"/>
        <v/>
      </c>
      <c r="M63" s="18" t="str">
        <f t="shared" si="3"/>
        <v/>
      </c>
      <c r="N63" s="18" t="str">
        <f t="shared" si="4"/>
        <v/>
      </c>
      <c r="O63" s="18" t="str">
        <f t="shared" si="5"/>
        <v/>
      </c>
      <c r="P63" s="17" t="str">
        <f t="shared" si="6"/>
        <v/>
      </c>
      <c r="Q63" s="17" t="str">
        <f t="shared" si="7"/>
        <v/>
      </c>
      <c r="R63" s="19" t="str">
        <f ca="1" t="shared" si="8"/>
        <v/>
      </c>
    </row>
    <row r="64" ht="17" spans="1:18">
      <c r="A64" s="13"/>
      <c r="B64" s="14"/>
      <c r="C64" s="15"/>
      <c r="D64" s="16"/>
      <c r="E64" s="16"/>
      <c r="F64" s="16"/>
      <c r="G64" s="14"/>
      <c r="H64" s="17" t="str">
        <f t="shared" si="0"/>
        <v/>
      </c>
      <c r="I64" s="18" t="str">
        <f>IF(OR(A64="",B64=""),"",IFERROR(LOOKUP(2,1/(单次交易!$A$2:$A$201=A64),单次交易!$H$2:$H$201),0)+SUMIFS($G$2:$G$1001,$A$2:$A$1001,A64,$B$2:$B$1001,"&lt;"&amp;B64))</f>
        <v/>
      </c>
      <c r="J64" s="17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17" t="str">
        <f t="shared" si="1"/>
        <v/>
      </c>
      <c r="L64" s="18" t="str">
        <f t="shared" si="2"/>
        <v/>
      </c>
      <c r="M64" s="18" t="str">
        <f t="shared" si="3"/>
        <v/>
      </c>
      <c r="N64" s="18" t="str">
        <f t="shared" si="4"/>
        <v/>
      </c>
      <c r="O64" s="18" t="str">
        <f t="shared" si="5"/>
        <v/>
      </c>
      <c r="P64" s="17" t="str">
        <f t="shared" si="6"/>
        <v/>
      </c>
      <c r="Q64" s="17" t="str">
        <f t="shared" si="7"/>
        <v/>
      </c>
      <c r="R64" s="19" t="str">
        <f ca="1" t="shared" si="8"/>
        <v/>
      </c>
    </row>
    <row r="65" ht="17" spans="1:18">
      <c r="A65" s="13"/>
      <c r="B65" s="14"/>
      <c r="C65" s="15"/>
      <c r="D65" s="16"/>
      <c r="E65" s="16"/>
      <c r="F65" s="16"/>
      <c r="G65" s="14"/>
      <c r="H65" s="17" t="str">
        <f t="shared" si="0"/>
        <v/>
      </c>
      <c r="I65" s="18" t="str">
        <f>IF(OR(A65="",B65=""),"",IFERROR(LOOKUP(2,1/(单次交易!$A$2:$A$201=A65),单次交易!$H$2:$H$201),0)+SUMIFS($G$2:$G$1001,$A$2:$A$1001,A65,$B$2:$B$1001,"&lt;"&amp;B65))</f>
        <v/>
      </c>
      <c r="J65" s="17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17" t="str">
        <f t="shared" si="1"/>
        <v/>
      </c>
      <c r="L65" s="18" t="str">
        <f t="shared" si="2"/>
        <v/>
      </c>
      <c r="M65" s="18" t="str">
        <f t="shared" si="3"/>
        <v/>
      </c>
      <c r="N65" s="18" t="str">
        <f t="shared" si="4"/>
        <v/>
      </c>
      <c r="O65" s="18" t="str">
        <f t="shared" si="5"/>
        <v/>
      </c>
      <c r="P65" s="17" t="str">
        <f t="shared" si="6"/>
        <v/>
      </c>
      <c r="Q65" s="17" t="str">
        <f t="shared" si="7"/>
        <v/>
      </c>
      <c r="R65" s="19" t="str">
        <f ca="1" t="shared" si="8"/>
        <v/>
      </c>
    </row>
    <row r="66" ht="17" spans="1:18">
      <c r="A66" s="13"/>
      <c r="B66" s="14"/>
      <c r="C66" s="15"/>
      <c r="D66" s="16"/>
      <c r="E66" s="16"/>
      <c r="F66" s="16"/>
      <c r="G66" s="14"/>
      <c r="H66" s="17" t="str">
        <f t="shared" ref="H66:H129" si="9">IF(OR(A66="",D66="",G66=""),"",D66*G66)</f>
        <v/>
      </c>
      <c r="I66" s="18" t="str">
        <f>IF(OR(A66="",B66=""),"",IFERROR(LOOKUP(2,1/(单次交易!$A$2:$A$201=A66),单次交易!$H$2:$H$201),0)+SUMIFS($G$2:$G$1001,$A$2:$A$1001,A66,$B$2:$B$1001,"&lt;"&amp;B66))</f>
        <v/>
      </c>
      <c r="J66" s="17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17" t="str">
        <f t="shared" ref="K66:K129" si="10">IF(OR(E66="",I66="",J66=""),"",MAX(E66*I66-J66,0))</f>
        <v/>
      </c>
      <c r="L66" s="18" t="str">
        <f t="shared" ref="L66:L129" si="11">IF(OR(D66="",E66="",F66="",D66&lt;=E66),"",FLOOR((F66+K66)/(D66-E66),100))</f>
        <v/>
      </c>
      <c r="M66" s="18" t="str">
        <f t="shared" ref="M66:M129" si="12">IF(OR(A66="",B66="",L66=""),"",IF(B66=1,L66,IFERROR(SUMIFS($G$2:$G$1001,$A$2:$A$1001,A66,$B$2:$B$1001,B66-1),0)))</f>
        <v/>
      </c>
      <c r="N66" s="18" t="str">
        <f t="shared" ref="N66:N129" si="13">IF(OR(L66="",M66=""),"",MIN(L66,M66))</f>
        <v/>
      </c>
      <c r="O66" s="18" t="str">
        <f t="shared" ref="O66:O129" si="14">IF(OR(I66="",G66=""),"",I66+G66)</f>
        <v/>
      </c>
      <c r="P66" s="17" t="str">
        <f t="shared" ref="P66:P129" si="15">IF(OR(O66="",O66=0),"",(J66+H66)/O66)</f>
        <v/>
      </c>
      <c r="Q66" s="17" t="str">
        <f t="shared" ref="Q66:Q129" si="16">IF(OR(O66="",E66=""),"",MAX(J66+H66-E66*O66,0))</f>
        <v/>
      </c>
      <c r="R66" s="19" t="str">
        <f ca="1"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ht="17" spans="1:18">
      <c r="A67" s="13"/>
      <c r="B67" s="14"/>
      <c r="C67" s="15"/>
      <c r="D67" s="16"/>
      <c r="E67" s="16"/>
      <c r="F67" s="16"/>
      <c r="G67" s="14"/>
      <c r="H67" s="17" t="str">
        <f t="shared" si="9"/>
        <v/>
      </c>
      <c r="I67" s="18" t="str">
        <f>IF(OR(A67="",B67=""),"",IFERROR(LOOKUP(2,1/(单次交易!$A$2:$A$201=A67),单次交易!$H$2:$H$201),0)+SUMIFS($G$2:$G$1001,$A$2:$A$1001,A67,$B$2:$B$1001,"&lt;"&amp;B67))</f>
        <v/>
      </c>
      <c r="J67" s="17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17" t="str">
        <f t="shared" si="10"/>
        <v/>
      </c>
      <c r="L67" s="18" t="str">
        <f t="shared" si="11"/>
        <v/>
      </c>
      <c r="M67" s="18" t="str">
        <f t="shared" si="12"/>
        <v/>
      </c>
      <c r="N67" s="18" t="str">
        <f t="shared" si="13"/>
        <v/>
      </c>
      <c r="O67" s="18" t="str">
        <f t="shared" si="14"/>
        <v/>
      </c>
      <c r="P67" s="17" t="str">
        <f t="shared" si="15"/>
        <v/>
      </c>
      <c r="Q67" s="17" t="str">
        <f t="shared" si="16"/>
        <v/>
      </c>
      <c r="R67" s="19" t="str">
        <f ca="1" t="shared" si="17"/>
        <v/>
      </c>
    </row>
    <row r="68" ht="17" spans="1:18">
      <c r="A68" s="13"/>
      <c r="B68" s="14"/>
      <c r="C68" s="15"/>
      <c r="D68" s="16"/>
      <c r="E68" s="16"/>
      <c r="F68" s="16"/>
      <c r="G68" s="14"/>
      <c r="H68" s="17" t="str">
        <f t="shared" si="9"/>
        <v/>
      </c>
      <c r="I68" s="18" t="str">
        <f>IF(OR(A68="",B68=""),"",IFERROR(LOOKUP(2,1/(单次交易!$A$2:$A$201=A68),单次交易!$H$2:$H$201),0)+SUMIFS($G$2:$G$1001,$A$2:$A$1001,A68,$B$2:$B$1001,"&lt;"&amp;B68))</f>
        <v/>
      </c>
      <c r="J68" s="17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17" t="str">
        <f t="shared" si="10"/>
        <v/>
      </c>
      <c r="L68" s="18" t="str">
        <f t="shared" si="11"/>
        <v/>
      </c>
      <c r="M68" s="18" t="str">
        <f t="shared" si="12"/>
        <v/>
      </c>
      <c r="N68" s="18" t="str">
        <f t="shared" si="13"/>
        <v/>
      </c>
      <c r="O68" s="18" t="str">
        <f t="shared" si="14"/>
        <v/>
      </c>
      <c r="P68" s="17" t="str">
        <f t="shared" si="15"/>
        <v/>
      </c>
      <c r="Q68" s="17" t="str">
        <f t="shared" si="16"/>
        <v/>
      </c>
      <c r="R68" s="19" t="str">
        <f ca="1" t="shared" si="17"/>
        <v/>
      </c>
    </row>
    <row r="69" ht="17" spans="1:18">
      <c r="A69" s="13"/>
      <c r="B69" s="14"/>
      <c r="C69" s="15"/>
      <c r="D69" s="16"/>
      <c r="E69" s="16"/>
      <c r="F69" s="16"/>
      <c r="G69" s="14"/>
      <c r="H69" s="17" t="str">
        <f t="shared" si="9"/>
        <v/>
      </c>
      <c r="I69" s="18" t="str">
        <f>IF(OR(A69="",B69=""),"",IFERROR(LOOKUP(2,1/(单次交易!$A$2:$A$201=A69),单次交易!$H$2:$H$201),0)+SUMIFS($G$2:$G$1001,$A$2:$A$1001,A69,$B$2:$B$1001,"&lt;"&amp;B69))</f>
        <v/>
      </c>
      <c r="J69" s="17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17" t="str">
        <f t="shared" si="10"/>
        <v/>
      </c>
      <c r="L69" s="18" t="str">
        <f t="shared" si="11"/>
        <v/>
      </c>
      <c r="M69" s="18" t="str">
        <f t="shared" si="12"/>
        <v/>
      </c>
      <c r="N69" s="18" t="str">
        <f t="shared" si="13"/>
        <v/>
      </c>
      <c r="O69" s="18" t="str">
        <f t="shared" si="14"/>
        <v/>
      </c>
      <c r="P69" s="17" t="str">
        <f t="shared" si="15"/>
        <v/>
      </c>
      <c r="Q69" s="17" t="str">
        <f t="shared" si="16"/>
        <v/>
      </c>
      <c r="R69" s="19" t="str">
        <f ca="1" t="shared" si="17"/>
        <v/>
      </c>
    </row>
    <row r="70" ht="17" spans="1:18">
      <c r="A70" s="13"/>
      <c r="B70" s="14"/>
      <c r="C70" s="15"/>
      <c r="D70" s="16"/>
      <c r="E70" s="16"/>
      <c r="F70" s="16"/>
      <c r="G70" s="14"/>
      <c r="H70" s="17" t="str">
        <f t="shared" si="9"/>
        <v/>
      </c>
      <c r="I70" s="18" t="str">
        <f>IF(OR(A70="",B70=""),"",IFERROR(LOOKUP(2,1/(单次交易!$A$2:$A$201=A70),单次交易!$H$2:$H$201),0)+SUMIFS($G$2:$G$1001,$A$2:$A$1001,A70,$B$2:$B$1001,"&lt;"&amp;B70))</f>
        <v/>
      </c>
      <c r="J70" s="17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17" t="str">
        <f t="shared" si="10"/>
        <v/>
      </c>
      <c r="L70" s="18" t="str">
        <f t="shared" si="11"/>
        <v/>
      </c>
      <c r="M70" s="18" t="str">
        <f t="shared" si="12"/>
        <v/>
      </c>
      <c r="N70" s="18" t="str">
        <f t="shared" si="13"/>
        <v/>
      </c>
      <c r="O70" s="18" t="str">
        <f t="shared" si="14"/>
        <v/>
      </c>
      <c r="P70" s="17" t="str">
        <f t="shared" si="15"/>
        <v/>
      </c>
      <c r="Q70" s="17" t="str">
        <f t="shared" si="16"/>
        <v/>
      </c>
      <c r="R70" s="19" t="str">
        <f ca="1" t="shared" si="17"/>
        <v/>
      </c>
    </row>
    <row r="71" ht="17" spans="1:18">
      <c r="A71" s="13"/>
      <c r="B71" s="14"/>
      <c r="C71" s="15"/>
      <c r="D71" s="16"/>
      <c r="E71" s="16"/>
      <c r="F71" s="16"/>
      <c r="G71" s="14"/>
      <c r="H71" s="17" t="str">
        <f t="shared" si="9"/>
        <v/>
      </c>
      <c r="I71" s="18" t="str">
        <f>IF(OR(A71="",B71=""),"",IFERROR(LOOKUP(2,1/(单次交易!$A$2:$A$201=A71),单次交易!$H$2:$H$201),0)+SUMIFS($G$2:$G$1001,$A$2:$A$1001,A71,$B$2:$B$1001,"&lt;"&amp;B71))</f>
        <v/>
      </c>
      <c r="J71" s="17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17" t="str">
        <f t="shared" si="10"/>
        <v/>
      </c>
      <c r="L71" s="18" t="str">
        <f t="shared" si="11"/>
        <v/>
      </c>
      <c r="M71" s="18" t="str">
        <f t="shared" si="12"/>
        <v/>
      </c>
      <c r="N71" s="18" t="str">
        <f t="shared" si="13"/>
        <v/>
      </c>
      <c r="O71" s="18" t="str">
        <f t="shared" si="14"/>
        <v/>
      </c>
      <c r="P71" s="17" t="str">
        <f t="shared" si="15"/>
        <v/>
      </c>
      <c r="Q71" s="17" t="str">
        <f t="shared" si="16"/>
        <v/>
      </c>
      <c r="R71" s="19" t="str">
        <f ca="1" t="shared" si="17"/>
        <v/>
      </c>
    </row>
    <row r="72" ht="17" spans="1:18">
      <c r="A72" s="13"/>
      <c r="B72" s="14"/>
      <c r="C72" s="15"/>
      <c r="D72" s="16"/>
      <c r="E72" s="16"/>
      <c r="F72" s="16"/>
      <c r="G72" s="14"/>
      <c r="H72" s="17" t="str">
        <f t="shared" si="9"/>
        <v/>
      </c>
      <c r="I72" s="18" t="str">
        <f>IF(OR(A72="",B72=""),"",IFERROR(LOOKUP(2,1/(单次交易!$A$2:$A$201=A72),单次交易!$H$2:$H$201),0)+SUMIFS($G$2:$G$1001,$A$2:$A$1001,A72,$B$2:$B$1001,"&lt;"&amp;B72))</f>
        <v/>
      </c>
      <c r="J72" s="17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17" t="str">
        <f t="shared" si="10"/>
        <v/>
      </c>
      <c r="L72" s="18" t="str">
        <f t="shared" si="11"/>
        <v/>
      </c>
      <c r="M72" s="18" t="str">
        <f t="shared" si="12"/>
        <v/>
      </c>
      <c r="N72" s="18" t="str">
        <f t="shared" si="13"/>
        <v/>
      </c>
      <c r="O72" s="18" t="str">
        <f t="shared" si="14"/>
        <v/>
      </c>
      <c r="P72" s="17" t="str">
        <f t="shared" si="15"/>
        <v/>
      </c>
      <c r="Q72" s="17" t="str">
        <f t="shared" si="16"/>
        <v/>
      </c>
      <c r="R72" s="19" t="str">
        <f ca="1" t="shared" si="17"/>
        <v/>
      </c>
    </row>
    <row r="73" ht="17" spans="1:18">
      <c r="A73" s="13"/>
      <c r="B73" s="14"/>
      <c r="C73" s="15"/>
      <c r="D73" s="16"/>
      <c r="E73" s="16"/>
      <c r="F73" s="16"/>
      <c r="G73" s="14"/>
      <c r="H73" s="17" t="str">
        <f t="shared" si="9"/>
        <v/>
      </c>
      <c r="I73" s="18" t="str">
        <f>IF(OR(A73="",B73=""),"",IFERROR(LOOKUP(2,1/(单次交易!$A$2:$A$201=A73),单次交易!$H$2:$H$201),0)+SUMIFS($G$2:$G$1001,$A$2:$A$1001,A73,$B$2:$B$1001,"&lt;"&amp;B73))</f>
        <v/>
      </c>
      <c r="J73" s="17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17" t="str">
        <f t="shared" si="10"/>
        <v/>
      </c>
      <c r="L73" s="18" t="str">
        <f t="shared" si="11"/>
        <v/>
      </c>
      <c r="M73" s="18" t="str">
        <f t="shared" si="12"/>
        <v/>
      </c>
      <c r="N73" s="18" t="str">
        <f t="shared" si="13"/>
        <v/>
      </c>
      <c r="O73" s="18" t="str">
        <f t="shared" si="14"/>
        <v/>
      </c>
      <c r="P73" s="17" t="str">
        <f t="shared" si="15"/>
        <v/>
      </c>
      <c r="Q73" s="17" t="str">
        <f t="shared" si="16"/>
        <v/>
      </c>
      <c r="R73" s="19" t="str">
        <f ca="1" t="shared" si="17"/>
        <v/>
      </c>
    </row>
    <row r="74" ht="17" spans="1:18">
      <c r="A74" s="13"/>
      <c r="B74" s="14"/>
      <c r="C74" s="15"/>
      <c r="D74" s="16"/>
      <c r="E74" s="16"/>
      <c r="F74" s="16"/>
      <c r="G74" s="14"/>
      <c r="H74" s="17" t="str">
        <f t="shared" si="9"/>
        <v/>
      </c>
      <c r="I74" s="18" t="str">
        <f>IF(OR(A74="",B74=""),"",IFERROR(LOOKUP(2,1/(单次交易!$A$2:$A$201=A74),单次交易!$H$2:$H$201),0)+SUMIFS($G$2:$G$1001,$A$2:$A$1001,A74,$B$2:$B$1001,"&lt;"&amp;B74))</f>
        <v/>
      </c>
      <c r="J74" s="17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17" t="str">
        <f t="shared" si="10"/>
        <v/>
      </c>
      <c r="L74" s="18" t="str">
        <f t="shared" si="11"/>
        <v/>
      </c>
      <c r="M74" s="18" t="str">
        <f t="shared" si="12"/>
        <v/>
      </c>
      <c r="N74" s="18" t="str">
        <f t="shared" si="13"/>
        <v/>
      </c>
      <c r="O74" s="18" t="str">
        <f t="shared" si="14"/>
        <v/>
      </c>
      <c r="P74" s="17" t="str">
        <f t="shared" si="15"/>
        <v/>
      </c>
      <c r="Q74" s="17" t="str">
        <f t="shared" si="16"/>
        <v/>
      </c>
      <c r="R74" s="19" t="str">
        <f ca="1" t="shared" si="17"/>
        <v/>
      </c>
    </row>
    <row r="75" ht="17" spans="1:18">
      <c r="A75" s="13"/>
      <c r="B75" s="14"/>
      <c r="C75" s="15"/>
      <c r="D75" s="16"/>
      <c r="E75" s="16"/>
      <c r="F75" s="16"/>
      <c r="G75" s="14"/>
      <c r="H75" s="17" t="str">
        <f t="shared" si="9"/>
        <v/>
      </c>
      <c r="I75" s="18" t="str">
        <f>IF(OR(A75="",B75=""),"",IFERROR(LOOKUP(2,1/(单次交易!$A$2:$A$201=A75),单次交易!$H$2:$H$201),0)+SUMIFS($G$2:$G$1001,$A$2:$A$1001,A75,$B$2:$B$1001,"&lt;"&amp;B75))</f>
        <v/>
      </c>
      <c r="J75" s="17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17" t="str">
        <f t="shared" si="10"/>
        <v/>
      </c>
      <c r="L75" s="18" t="str">
        <f t="shared" si="11"/>
        <v/>
      </c>
      <c r="M75" s="18" t="str">
        <f t="shared" si="12"/>
        <v/>
      </c>
      <c r="N75" s="18" t="str">
        <f t="shared" si="13"/>
        <v/>
      </c>
      <c r="O75" s="18" t="str">
        <f t="shared" si="14"/>
        <v/>
      </c>
      <c r="P75" s="17" t="str">
        <f t="shared" si="15"/>
        <v/>
      </c>
      <c r="Q75" s="17" t="str">
        <f t="shared" si="16"/>
        <v/>
      </c>
      <c r="R75" s="19" t="str">
        <f ca="1" t="shared" si="17"/>
        <v/>
      </c>
    </row>
    <row r="76" ht="17" spans="1:18">
      <c r="A76" s="13"/>
      <c r="B76" s="14"/>
      <c r="C76" s="15"/>
      <c r="D76" s="16"/>
      <c r="E76" s="16"/>
      <c r="F76" s="16"/>
      <c r="G76" s="14"/>
      <c r="H76" s="17" t="str">
        <f t="shared" si="9"/>
        <v/>
      </c>
      <c r="I76" s="18" t="str">
        <f>IF(OR(A76="",B76=""),"",IFERROR(LOOKUP(2,1/(单次交易!$A$2:$A$201=A76),单次交易!$H$2:$H$201),0)+SUMIFS($G$2:$G$1001,$A$2:$A$1001,A76,$B$2:$B$1001,"&lt;"&amp;B76))</f>
        <v/>
      </c>
      <c r="J76" s="17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17" t="str">
        <f t="shared" si="10"/>
        <v/>
      </c>
      <c r="L76" s="18" t="str">
        <f t="shared" si="11"/>
        <v/>
      </c>
      <c r="M76" s="18" t="str">
        <f t="shared" si="12"/>
        <v/>
      </c>
      <c r="N76" s="18" t="str">
        <f t="shared" si="13"/>
        <v/>
      </c>
      <c r="O76" s="18" t="str">
        <f t="shared" si="14"/>
        <v/>
      </c>
      <c r="P76" s="17" t="str">
        <f t="shared" si="15"/>
        <v/>
      </c>
      <c r="Q76" s="17" t="str">
        <f t="shared" si="16"/>
        <v/>
      </c>
      <c r="R76" s="19" t="str">
        <f ca="1" t="shared" si="17"/>
        <v/>
      </c>
    </row>
    <row r="77" ht="17" spans="1:18">
      <c r="A77" s="13"/>
      <c r="B77" s="14"/>
      <c r="C77" s="15"/>
      <c r="D77" s="16"/>
      <c r="E77" s="16"/>
      <c r="F77" s="16"/>
      <c r="G77" s="14"/>
      <c r="H77" s="17" t="str">
        <f t="shared" si="9"/>
        <v/>
      </c>
      <c r="I77" s="18" t="str">
        <f>IF(OR(A77="",B77=""),"",IFERROR(LOOKUP(2,1/(单次交易!$A$2:$A$201=A77),单次交易!$H$2:$H$201),0)+SUMIFS($G$2:$G$1001,$A$2:$A$1001,A77,$B$2:$B$1001,"&lt;"&amp;B77))</f>
        <v/>
      </c>
      <c r="J77" s="17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17" t="str">
        <f t="shared" si="10"/>
        <v/>
      </c>
      <c r="L77" s="18" t="str">
        <f t="shared" si="11"/>
        <v/>
      </c>
      <c r="M77" s="18" t="str">
        <f t="shared" si="12"/>
        <v/>
      </c>
      <c r="N77" s="18" t="str">
        <f t="shared" si="13"/>
        <v/>
      </c>
      <c r="O77" s="18" t="str">
        <f t="shared" si="14"/>
        <v/>
      </c>
      <c r="P77" s="17" t="str">
        <f t="shared" si="15"/>
        <v/>
      </c>
      <c r="Q77" s="17" t="str">
        <f t="shared" si="16"/>
        <v/>
      </c>
      <c r="R77" s="19" t="str">
        <f ca="1" t="shared" si="17"/>
        <v/>
      </c>
    </row>
    <row r="78" ht="17" spans="1:18">
      <c r="A78" s="13"/>
      <c r="B78" s="14"/>
      <c r="C78" s="15"/>
      <c r="D78" s="16"/>
      <c r="E78" s="16"/>
      <c r="F78" s="16"/>
      <c r="G78" s="14"/>
      <c r="H78" s="17" t="str">
        <f t="shared" si="9"/>
        <v/>
      </c>
      <c r="I78" s="18" t="str">
        <f>IF(OR(A78="",B78=""),"",IFERROR(LOOKUP(2,1/(单次交易!$A$2:$A$201=A78),单次交易!$H$2:$H$201),0)+SUMIFS($G$2:$G$1001,$A$2:$A$1001,A78,$B$2:$B$1001,"&lt;"&amp;B78))</f>
        <v/>
      </c>
      <c r="J78" s="17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17" t="str">
        <f t="shared" si="10"/>
        <v/>
      </c>
      <c r="L78" s="18" t="str">
        <f t="shared" si="11"/>
        <v/>
      </c>
      <c r="M78" s="18" t="str">
        <f t="shared" si="12"/>
        <v/>
      </c>
      <c r="N78" s="18" t="str">
        <f t="shared" si="13"/>
        <v/>
      </c>
      <c r="O78" s="18" t="str">
        <f t="shared" si="14"/>
        <v/>
      </c>
      <c r="P78" s="17" t="str">
        <f t="shared" si="15"/>
        <v/>
      </c>
      <c r="Q78" s="17" t="str">
        <f t="shared" si="16"/>
        <v/>
      </c>
      <c r="R78" s="19" t="str">
        <f ca="1" t="shared" si="17"/>
        <v/>
      </c>
    </row>
    <row r="79" ht="17" spans="1:18">
      <c r="A79" s="13"/>
      <c r="B79" s="14"/>
      <c r="C79" s="15"/>
      <c r="D79" s="16"/>
      <c r="E79" s="16"/>
      <c r="F79" s="16"/>
      <c r="G79" s="14"/>
      <c r="H79" s="17" t="str">
        <f t="shared" si="9"/>
        <v/>
      </c>
      <c r="I79" s="18" t="str">
        <f>IF(OR(A79="",B79=""),"",IFERROR(LOOKUP(2,1/(单次交易!$A$2:$A$201=A79),单次交易!$H$2:$H$201),0)+SUMIFS($G$2:$G$1001,$A$2:$A$1001,A79,$B$2:$B$1001,"&lt;"&amp;B79))</f>
        <v/>
      </c>
      <c r="J79" s="17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17" t="str">
        <f t="shared" si="10"/>
        <v/>
      </c>
      <c r="L79" s="18" t="str">
        <f t="shared" si="11"/>
        <v/>
      </c>
      <c r="M79" s="18" t="str">
        <f t="shared" si="12"/>
        <v/>
      </c>
      <c r="N79" s="18" t="str">
        <f t="shared" si="13"/>
        <v/>
      </c>
      <c r="O79" s="18" t="str">
        <f t="shared" si="14"/>
        <v/>
      </c>
      <c r="P79" s="17" t="str">
        <f t="shared" si="15"/>
        <v/>
      </c>
      <c r="Q79" s="17" t="str">
        <f t="shared" si="16"/>
        <v/>
      </c>
      <c r="R79" s="19" t="str">
        <f ca="1" t="shared" si="17"/>
        <v/>
      </c>
    </row>
    <row r="80" ht="17" spans="1:18">
      <c r="A80" s="13"/>
      <c r="B80" s="14"/>
      <c r="C80" s="15"/>
      <c r="D80" s="16"/>
      <c r="E80" s="16"/>
      <c r="F80" s="16"/>
      <c r="G80" s="14"/>
      <c r="H80" s="17" t="str">
        <f t="shared" si="9"/>
        <v/>
      </c>
      <c r="I80" s="18" t="str">
        <f>IF(OR(A80="",B80=""),"",IFERROR(LOOKUP(2,1/(单次交易!$A$2:$A$201=A80),单次交易!$H$2:$H$201),0)+SUMIFS($G$2:$G$1001,$A$2:$A$1001,A80,$B$2:$B$1001,"&lt;"&amp;B80))</f>
        <v/>
      </c>
      <c r="J80" s="17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17" t="str">
        <f t="shared" si="10"/>
        <v/>
      </c>
      <c r="L80" s="18" t="str">
        <f t="shared" si="11"/>
        <v/>
      </c>
      <c r="M80" s="18" t="str">
        <f t="shared" si="12"/>
        <v/>
      </c>
      <c r="N80" s="18" t="str">
        <f t="shared" si="13"/>
        <v/>
      </c>
      <c r="O80" s="18" t="str">
        <f t="shared" si="14"/>
        <v/>
      </c>
      <c r="P80" s="17" t="str">
        <f t="shared" si="15"/>
        <v/>
      </c>
      <c r="Q80" s="17" t="str">
        <f t="shared" si="16"/>
        <v/>
      </c>
      <c r="R80" s="19" t="str">
        <f ca="1" t="shared" si="17"/>
        <v/>
      </c>
    </row>
    <row r="81" ht="17" spans="1:18">
      <c r="A81" s="13"/>
      <c r="B81" s="14"/>
      <c r="C81" s="15"/>
      <c r="D81" s="16"/>
      <c r="E81" s="16"/>
      <c r="F81" s="16"/>
      <c r="G81" s="14"/>
      <c r="H81" s="17" t="str">
        <f t="shared" si="9"/>
        <v/>
      </c>
      <c r="I81" s="18" t="str">
        <f>IF(OR(A81="",B81=""),"",IFERROR(LOOKUP(2,1/(单次交易!$A$2:$A$201=A81),单次交易!$H$2:$H$201),0)+SUMIFS($G$2:$G$1001,$A$2:$A$1001,A81,$B$2:$B$1001,"&lt;"&amp;B81))</f>
        <v/>
      </c>
      <c r="J81" s="17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17" t="str">
        <f t="shared" si="10"/>
        <v/>
      </c>
      <c r="L81" s="18" t="str">
        <f t="shared" si="11"/>
        <v/>
      </c>
      <c r="M81" s="18" t="str">
        <f t="shared" si="12"/>
        <v/>
      </c>
      <c r="N81" s="18" t="str">
        <f t="shared" si="13"/>
        <v/>
      </c>
      <c r="O81" s="18" t="str">
        <f t="shared" si="14"/>
        <v/>
      </c>
      <c r="P81" s="17" t="str">
        <f t="shared" si="15"/>
        <v/>
      </c>
      <c r="Q81" s="17" t="str">
        <f t="shared" si="16"/>
        <v/>
      </c>
      <c r="R81" s="19" t="str">
        <f ca="1" t="shared" si="17"/>
        <v/>
      </c>
    </row>
    <row r="82" ht="17" spans="1:18">
      <c r="A82" s="13"/>
      <c r="B82" s="14"/>
      <c r="C82" s="15"/>
      <c r="D82" s="16"/>
      <c r="E82" s="16"/>
      <c r="F82" s="16"/>
      <c r="G82" s="14"/>
      <c r="H82" s="17" t="str">
        <f t="shared" si="9"/>
        <v/>
      </c>
      <c r="I82" s="18" t="str">
        <f>IF(OR(A82="",B82=""),"",IFERROR(LOOKUP(2,1/(单次交易!$A$2:$A$201=A82),单次交易!$H$2:$H$201),0)+SUMIFS($G$2:$G$1001,$A$2:$A$1001,A82,$B$2:$B$1001,"&lt;"&amp;B82))</f>
        <v/>
      </c>
      <c r="J82" s="17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17" t="str">
        <f t="shared" si="10"/>
        <v/>
      </c>
      <c r="L82" s="18" t="str">
        <f t="shared" si="11"/>
        <v/>
      </c>
      <c r="M82" s="18" t="str">
        <f t="shared" si="12"/>
        <v/>
      </c>
      <c r="N82" s="18" t="str">
        <f t="shared" si="13"/>
        <v/>
      </c>
      <c r="O82" s="18" t="str">
        <f t="shared" si="14"/>
        <v/>
      </c>
      <c r="P82" s="17" t="str">
        <f t="shared" si="15"/>
        <v/>
      </c>
      <c r="Q82" s="17" t="str">
        <f t="shared" si="16"/>
        <v/>
      </c>
      <c r="R82" s="19" t="str">
        <f ca="1" t="shared" si="17"/>
        <v/>
      </c>
    </row>
    <row r="83" ht="17" spans="1:18">
      <c r="A83" s="13"/>
      <c r="B83" s="14"/>
      <c r="C83" s="15"/>
      <c r="D83" s="16"/>
      <c r="E83" s="16"/>
      <c r="F83" s="16"/>
      <c r="G83" s="14"/>
      <c r="H83" s="17" t="str">
        <f t="shared" si="9"/>
        <v/>
      </c>
      <c r="I83" s="18" t="str">
        <f>IF(OR(A83="",B83=""),"",IFERROR(LOOKUP(2,1/(单次交易!$A$2:$A$201=A83),单次交易!$H$2:$H$201),0)+SUMIFS($G$2:$G$1001,$A$2:$A$1001,A83,$B$2:$B$1001,"&lt;"&amp;B83))</f>
        <v/>
      </c>
      <c r="J83" s="17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17" t="str">
        <f t="shared" si="10"/>
        <v/>
      </c>
      <c r="L83" s="18" t="str">
        <f t="shared" si="11"/>
        <v/>
      </c>
      <c r="M83" s="18" t="str">
        <f t="shared" si="12"/>
        <v/>
      </c>
      <c r="N83" s="18" t="str">
        <f t="shared" si="13"/>
        <v/>
      </c>
      <c r="O83" s="18" t="str">
        <f t="shared" si="14"/>
        <v/>
      </c>
      <c r="P83" s="17" t="str">
        <f t="shared" si="15"/>
        <v/>
      </c>
      <c r="Q83" s="17" t="str">
        <f t="shared" si="16"/>
        <v/>
      </c>
      <c r="R83" s="19" t="str">
        <f ca="1" t="shared" si="17"/>
        <v/>
      </c>
    </row>
    <row r="84" ht="17" spans="1:18">
      <c r="A84" s="13"/>
      <c r="B84" s="14"/>
      <c r="C84" s="15"/>
      <c r="D84" s="16"/>
      <c r="E84" s="16"/>
      <c r="F84" s="16"/>
      <c r="G84" s="14"/>
      <c r="H84" s="17" t="str">
        <f t="shared" si="9"/>
        <v/>
      </c>
      <c r="I84" s="18" t="str">
        <f>IF(OR(A84="",B84=""),"",IFERROR(LOOKUP(2,1/(单次交易!$A$2:$A$201=A84),单次交易!$H$2:$H$201),0)+SUMIFS($G$2:$G$1001,$A$2:$A$1001,A84,$B$2:$B$1001,"&lt;"&amp;B84))</f>
        <v/>
      </c>
      <c r="J84" s="17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17" t="str">
        <f t="shared" si="10"/>
        <v/>
      </c>
      <c r="L84" s="18" t="str">
        <f t="shared" si="11"/>
        <v/>
      </c>
      <c r="M84" s="18" t="str">
        <f t="shared" si="12"/>
        <v/>
      </c>
      <c r="N84" s="18" t="str">
        <f t="shared" si="13"/>
        <v/>
      </c>
      <c r="O84" s="18" t="str">
        <f t="shared" si="14"/>
        <v/>
      </c>
      <c r="P84" s="17" t="str">
        <f t="shared" si="15"/>
        <v/>
      </c>
      <c r="Q84" s="17" t="str">
        <f t="shared" si="16"/>
        <v/>
      </c>
      <c r="R84" s="19" t="str">
        <f ca="1" t="shared" si="17"/>
        <v/>
      </c>
    </row>
    <row r="85" ht="17" spans="1:18">
      <c r="A85" s="13"/>
      <c r="B85" s="14"/>
      <c r="C85" s="15"/>
      <c r="D85" s="16"/>
      <c r="E85" s="16"/>
      <c r="F85" s="16"/>
      <c r="G85" s="14"/>
      <c r="H85" s="17" t="str">
        <f t="shared" si="9"/>
        <v/>
      </c>
      <c r="I85" s="18" t="str">
        <f>IF(OR(A85="",B85=""),"",IFERROR(LOOKUP(2,1/(单次交易!$A$2:$A$201=A85),单次交易!$H$2:$H$201),0)+SUMIFS($G$2:$G$1001,$A$2:$A$1001,A85,$B$2:$B$1001,"&lt;"&amp;B85))</f>
        <v/>
      </c>
      <c r="J85" s="17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17" t="str">
        <f t="shared" si="10"/>
        <v/>
      </c>
      <c r="L85" s="18" t="str">
        <f t="shared" si="11"/>
        <v/>
      </c>
      <c r="M85" s="18" t="str">
        <f t="shared" si="12"/>
        <v/>
      </c>
      <c r="N85" s="18" t="str">
        <f t="shared" si="13"/>
        <v/>
      </c>
      <c r="O85" s="18" t="str">
        <f t="shared" si="14"/>
        <v/>
      </c>
      <c r="P85" s="17" t="str">
        <f t="shared" si="15"/>
        <v/>
      </c>
      <c r="Q85" s="17" t="str">
        <f t="shared" si="16"/>
        <v/>
      </c>
      <c r="R85" s="19" t="str">
        <f ca="1" t="shared" si="17"/>
        <v/>
      </c>
    </row>
    <row r="86" ht="17" spans="1:18">
      <c r="A86" s="13"/>
      <c r="B86" s="14"/>
      <c r="C86" s="15"/>
      <c r="D86" s="16"/>
      <c r="E86" s="16"/>
      <c r="F86" s="16"/>
      <c r="G86" s="14"/>
      <c r="H86" s="17" t="str">
        <f t="shared" si="9"/>
        <v/>
      </c>
      <c r="I86" s="18" t="str">
        <f>IF(OR(A86="",B86=""),"",IFERROR(LOOKUP(2,1/(单次交易!$A$2:$A$201=A86),单次交易!$H$2:$H$201),0)+SUMIFS($G$2:$G$1001,$A$2:$A$1001,A86,$B$2:$B$1001,"&lt;"&amp;B86))</f>
        <v/>
      </c>
      <c r="J86" s="17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17" t="str">
        <f t="shared" si="10"/>
        <v/>
      </c>
      <c r="L86" s="18" t="str">
        <f t="shared" si="11"/>
        <v/>
      </c>
      <c r="M86" s="18" t="str">
        <f t="shared" si="12"/>
        <v/>
      </c>
      <c r="N86" s="18" t="str">
        <f t="shared" si="13"/>
        <v/>
      </c>
      <c r="O86" s="18" t="str">
        <f t="shared" si="14"/>
        <v/>
      </c>
      <c r="P86" s="17" t="str">
        <f t="shared" si="15"/>
        <v/>
      </c>
      <c r="Q86" s="17" t="str">
        <f t="shared" si="16"/>
        <v/>
      </c>
      <c r="R86" s="19" t="str">
        <f ca="1" t="shared" si="17"/>
        <v/>
      </c>
    </row>
    <row r="87" ht="17" spans="1:18">
      <c r="A87" s="13"/>
      <c r="B87" s="14"/>
      <c r="C87" s="15"/>
      <c r="D87" s="16"/>
      <c r="E87" s="16"/>
      <c r="F87" s="16"/>
      <c r="G87" s="14"/>
      <c r="H87" s="17" t="str">
        <f t="shared" si="9"/>
        <v/>
      </c>
      <c r="I87" s="18" t="str">
        <f>IF(OR(A87="",B87=""),"",IFERROR(LOOKUP(2,1/(单次交易!$A$2:$A$201=A87),单次交易!$H$2:$H$201),0)+SUMIFS($G$2:$G$1001,$A$2:$A$1001,A87,$B$2:$B$1001,"&lt;"&amp;B87))</f>
        <v/>
      </c>
      <c r="J87" s="17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17" t="str">
        <f t="shared" si="10"/>
        <v/>
      </c>
      <c r="L87" s="18" t="str">
        <f t="shared" si="11"/>
        <v/>
      </c>
      <c r="M87" s="18" t="str">
        <f t="shared" si="12"/>
        <v/>
      </c>
      <c r="N87" s="18" t="str">
        <f t="shared" si="13"/>
        <v/>
      </c>
      <c r="O87" s="18" t="str">
        <f t="shared" si="14"/>
        <v/>
      </c>
      <c r="P87" s="17" t="str">
        <f t="shared" si="15"/>
        <v/>
      </c>
      <c r="Q87" s="17" t="str">
        <f t="shared" si="16"/>
        <v/>
      </c>
      <c r="R87" s="19" t="str">
        <f ca="1" t="shared" si="17"/>
        <v/>
      </c>
    </row>
    <row r="88" ht="17" spans="1:18">
      <c r="A88" s="13"/>
      <c r="B88" s="14"/>
      <c r="C88" s="15"/>
      <c r="D88" s="16"/>
      <c r="E88" s="16"/>
      <c r="F88" s="16"/>
      <c r="G88" s="14"/>
      <c r="H88" s="17" t="str">
        <f t="shared" si="9"/>
        <v/>
      </c>
      <c r="I88" s="18" t="str">
        <f>IF(OR(A88="",B88=""),"",IFERROR(LOOKUP(2,1/(单次交易!$A$2:$A$201=A88),单次交易!$H$2:$H$201),0)+SUMIFS($G$2:$G$1001,$A$2:$A$1001,A88,$B$2:$B$1001,"&lt;"&amp;B88))</f>
        <v/>
      </c>
      <c r="J88" s="17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17" t="str">
        <f t="shared" si="10"/>
        <v/>
      </c>
      <c r="L88" s="18" t="str">
        <f t="shared" si="11"/>
        <v/>
      </c>
      <c r="M88" s="18" t="str">
        <f t="shared" si="12"/>
        <v/>
      </c>
      <c r="N88" s="18" t="str">
        <f t="shared" si="13"/>
        <v/>
      </c>
      <c r="O88" s="18" t="str">
        <f t="shared" si="14"/>
        <v/>
      </c>
      <c r="P88" s="17" t="str">
        <f t="shared" si="15"/>
        <v/>
      </c>
      <c r="Q88" s="17" t="str">
        <f t="shared" si="16"/>
        <v/>
      </c>
      <c r="R88" s="19" t="str">
        <f ca="1" t="shared" si="17"/>
        <v/>
      </c>
    </row>
    <row r="89" ht="17" spans="1:18">
      <c r="A89" s="13"/>
      <c r="B89" s="14"/>
      <c r="C89" s="15"/>
      <c r="D89" s="16"/>
      <c r="E89" s="16"/>
      <c r="F89" s="16"/>
      <c r="G89" s="14"/>
      <c r="H89" s="17" t="str">
        <f t="shared" si="9"/>
        <v/>
      </c>
      <c r="I89" s="18" t="str">
        <f>IF(OR(A89="",B89=""),"",IFERROR(LOOKUP(2,1/(单次交易!$A$2:$A$201=A89),单次交易!$H$2:$H$201),0)+SUMIFS($G$2:$G$1001,$A$2:$A$1001,A89,$B$2:$B$1001,"&lt;"&amp;B89))</f>
        <v/>
      </c>
      <c r="J89" s="17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17" t="str">
        <f t="shared" si="10"/>
        <v/>
      </c>
      <c r="L89" s="18" t="str">
        <f t="shared" si="11"/>
        <v/>
      </c>
      <c r="M89" s="18" t="str">
        <f t="shared" si="12"/>
        <v/>
      </c>
      <c r="N89" s="18" t="str">
        <f t="shared" si="13"/>
        <v/>
      </c>
      <c r="O89" s="18" t="str">
        <f t="shared" si="14"/>
        <v/>
      </c>
      <c r="P89" s="17" t="str">
        <f t="shared" si="15"/>
        <v/>
      </c>
      <c r="Q89" s="17" t="str">
        <f t="shared" si="16"/>
        <v/>
      </c>
      <c r="R89" s="19" t="str">
        <f ca="1" t="shared" si="17"/>
        <v/>
      </c>
    </row>
    <row r="90" ht="17" spans="1:18">
      <c r="A90" s="13"/>
      <c r="B90" s="14"/>
      <c r="C90" s="15"/>
      <c r="D90" s="16"/>
      <c r="E90" s="16"/>
      <c r="F90" s="16"/>
      <c r="G90" s="14"/>
      <c r="H90" s="17" t="str">
        <f t="shared" si="9"/>
        <v/>
      </c>
      <c r="I90" s="18" t="str">
        <f>IF(OR(A90="",B90=""),"",IFERROR(LOOKUP(2,1/(单次交易!$A$2:$A$201=A90),单次交易!$H$2:$H$201),0)+SUMIFS($G$2:$G$1001,$A$2:$A$1001,A90,$B$2:$B$1001,"&lt;"&amp;B90))</f>
        <v/>
      </c>
      <c r="J90" s="17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17" t="str">
        <f t="shared" si="10"/>
        <v/>
      </c>
      <c r="L90" s="18" t="str">
        <f t="shared" si="11"/>
        <v/>
      </c>
      <c r="M90" s="18" t="str">
        <f t="shared" si="12"/>
        <v/>
      </c>
      <c r="N90" s="18" t="str">
        <f t="shared" si="13"/>
        <v/>
      </c>
      <c r="O90" s="18" t="str">
        <f t="shared" si="14"/>
        <v/>
      </c>
      <c r="P90" s="17" t="str">
        <f t="shared" si="15"/>
        <v/>
      </c>
      <c r="Q90" s="17" t="str">
        <f t="shared" si="16"/>
        <v/>
      </c>
      <c r="R90" s="19" t="str">
        <f ca="1" t="shared" si="17"/>
        <v/>
      </c>
    </row>
    <row r="91" ht="17" spans="1:18">
      <c r="A91" s="13"/>
      <c r="B91" s="14"/>
      <c r="C91" s="15"/>
      <c r="D91" s="16"/>
      <c r="E91" s="16"/>
      <c r="F91" s="16"/>
      <c r="G91" s="14"/>
      <c r="H91" s="17" t="str">
        <f t="shared" si="9"/>
        <v/>
      </c>
      <c r="I91" s="18" t="str">
        <f>IF(OR(A91="",B91=""),"",IFERROR(LOOKUP(2,1/(单次交易!$A$2:$A$201=A91),单次交易!$H$2:$H$201),0)+SUMIFS($G$2:$G$1001,$A$2:$A$1001,A91,$B$2:$B$1001,"&lt;"&amp;B91))</f>
        <v/>
      </c>
      <c r="J91" s="17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17" t="str">
        <f t="shared" si="10"/>
        <v/>
      </c>
      <c r="L91" s="18" t="str">
        <f t="shared" si="11"/>
        <v/>
      </c>
      <c r="M91" s="18" t="str">
        <f t="shared" si="12"/>
        <v/>
      </c>
      <c r="N91" s="18" t="str">
        <f t="shared" si="13"/>
        <v/>
      </c>
      <c r="O91" s="18" t="str">
        <f t="shared" si="14"/>
        <v/>
      </c>
      <c r="P91" s="17" t="str">
        <f t="shared" si="15"/>
        <v/>
      </c>
      <c r="Q91" s="17" t="str">
        <f t="shared" si="16"/>
        <v/>
      </c>
      <c r="R91" s="19" t="str">
        <f ca="1" t="shared" si="17"/>
        <v/>
      </c>
    </row>
    <row r="92" ht="17" spans="1:18">
      <c r="A92" s="13"/>
      <c r="B92" s="14"/>
      <c r="C92" s="15"/>
      <c r="D92" s="16"/>
      <c r="E92" s="16"/>
      <c r="F92" s="16"/>
      <c r="G92" s="14"/>
      <c r="H92" s="17" t="str">
        <f t="shared" si="9"/>
        <v/>
      </c>
      <c r="I92" s="18" t="str">
        <f>IF(OR(A92="",B92=""),"",IFERROR(LOOKUP(2,1/(单次交易!$A$2:$A$201=A92),单次交易!$H$2:$H$201),0)+SUMIFS($G$2:$G$1001,$A$2:$A$1001,A92,$B$2:$B$1001,"&lt;"&amp;B92))</f>
        <v/>
      </c>
      <c r="J92" s="17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17" t="str">
        <f t="shared" si="10"/>
        <v/>
      </c>
      <c r="L92" s="18" t="str">
        <f t="shared" si="11"/>
        <v/>
      </c>
      <c r="M92" s="18" t="str">
        <f t="shared" si="12"/>
        <v/>
      </c>
      <c r="N92" s="18" t="str">
        <f t="shared" si="13"/>
        <v/>
      </c>
      <c r="O92" s="18" t="str">
        <f t="shared" si="14"/>
        <v/>
      </c>
      <c r="P92" s="17" t="str">
        <f t="shared" si="15"/>
        <v/>
      </c>
      <c r="Q92" s="17" t="str">
        <f t="shared" si="16"/>
        <v/>
      </c>
      <c r="R92" s="19" t="str">
        <f ca="1" t="shared" si="17"/>
        <v/>
      </c>
    </row>
    <row r="93" ht="17" spans="1:18">
      <c r="A93" s="13"/>
      <c r="B93" s="14"/>
      <c r="C93" s="15"/>
      <c r="D93" s="16"/>
      <c r="E93" s="16"/>
      <c r="F93" s="16"/>
      <c r="G93" s="14"/>
      <c r="H93" s="17" t="str">
        <f t="shared" si="9"/>
        <v/>
      </c>
      <c r="I93" s="18" t="str">
        <f>IF(OR(A93="",B93=""),"",IFERROR(LOOKUP(2,1/(单次交易!$A$2:$A$201=A93),单次交易!$H$2:$H$201),0)+SUMIFS($G$2:$G$1001,$A$2:$A$1001,A93,$B$2:$B$1001,"&lt;"&amp;B93))</f>
        <v/>
      </c>
      <c r="J93" s="17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17" t="str">
        <f t="shared" si="10"/>
        <v/>
      </c>
      <c r="L93" s="18" t="str">
        <f t="shared" si="11"/>
        <v/>
      </c>
      <c r="M93" s="18" t="str">
        <f t="shared" si="12"/>
        <v/>
      </c>
      <c r="N93" s="18" t="str">
        <f t="shared" si="13"/>
        <v/>
      </c>
      <c r="O93" s="18" t="str">
        <f t="shared" si="14"/>
        <v/>
      </c>
      <c r="P93" s="17" t="str">
        <f t="shared" si="15"/>
        <v/>
      </c>
      <c r="Q93" s="17" t="str">
        <f t="shared" si="16"/>
        <v/>
      </c>
      <c r="R93" s="19" t="str">
        <f ca="1" t="shared" si="17"/>
        <v/>
      </c>
    </row>
    <row r="94" ht="17" spans="1:18">
      <c r="A94" s="13"/>
      <c r="B94" s="14"/>
      <c r="C94" s="15"/>
      <c r="D94" s="16"/>
      <c r="E94" s="16"/>
      <c r="F94" s="16"/>
      <c r="G94" s="14"/>
      <c r="H94" s="17" t="str">
        <f t="shared" si="9"/>
        <v/>
      </c>
      <c r="I94" s="18" t="str">
        <f>IF(OR(A94="",B94=""),"",IFERROR(LOOKUP(2,1/(单次交易!$A$2:$A$201=A94),单次交易!$H$2:$H$201),0)+SUMIFS($G$2:$G$1001,$A$2:$A$1001,A94,$B$2:$B$1001,"&lt;"&amp;B94))</f>
        <v/>
      </c>
      <c r="J94" s="17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17" t="str">
        <f t="shared" si="10"/>
        <v/>
      </c>
      <c r="L94" s="18" t="str">
        <f t="shared" si="11"/>
        <v/>
      </c>
      <c r="M94" s="18" t="str">
        <f t="shared" si="12"/>
        <v/>
      </c>
      <c r="N94" s="18" t="str">
        <f t="shared" si="13"/>
        <v/>
      </c>
      <c r="O94" s="18" t="str">
        <f t="shared" si="14"/>
        <v/>
      </c>
      <c r="P94" s="17" t="str">
        <f t="shared" si="15"/>
        <v/>
      </c>
      <c r="Q94" s="17" t="str">
        <f t="shared" si="16"/>
        <v/>
      </c>
      <c r="R94" s="19" t="str">
        <f ca="1" t="shared" si="17"/>
        <v/>
      </c>
    </row>
    <row r="95" ht="17" spans="1:18">
      <c r="A95" s="13"/>
      <c r="B95" s="14"/>
      <c r="C95" s="15"/>
      <c r="D95" s="16"/>
      <c r="E95" s="16"/>
      <c r="F95" s="16"/>
      <c r="G95" s="14"/>
      <c r="H95" s="17" t="str">
        <f t="shared" si="9"/>
        <v/>
      </c>
      <c r="I95" s="18" t="str">
        <f>IF(OR(A95="",B95=""),"",IFERROR(LOOKUP(2,1/(单次交易!$A$2:$A$201=A95),单次交易!$H$2:$H$201),0)+SUMIFS($G$2:$G$1001,$A$2:$A$1001,A95,$B$2:$B$1001,"&lt;"&amp;B95))</f>
        <v/>
      </c>
      <c r="J95" s="17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17" t="str">
        <f t="shared" si="10"/>
        <v/>
      </c>
      <c r="L95" s="18" t="str">
        <f t="shared" si="11"/>
        <v/>
      </c>
      <c r="M95" s="18" t="str">
        <f t="shared" si="12"/>
        <v/>
      </c>
      <c r="N95" s="18" t="str">
        <f t="shared" si="13"/>
        <v/>
      </c>
      <c r="O95" s="18" t="str">
        <f t="shared" si="14"/>
        <v/>
      </c>
      <c r="P95" s="17" t="str">
        <f t="shared" si="15"/>
        <v/>
      </c>
      <c r="Q95" s="17" t="str">
        <f t="shared" si="16"/>
        <v/>
      </c>
      <c r="R95" s="19" t="str">
        <f ca="1" t="shared" si="17"/>
        <v/>
      </c>
    </row>
    <row r="96" ht="17" spans="1:18">
      <c r="A96" s="13"/>
      <c r="B96" s="14"/>
      <c r="C96" s="15"/>
      <c r="D96" s="16"/>
      <c r="E96" s="16"/>
      <c r="F96" s="16"/>
      <c r="G96" s="14"/>
      <c r="H96" s="17" t="str">
        <f t="shared" si="9"/>
        <v/>
      </c>
      <c r="I96" s="18" t="str">
        <f>IF(OR(A96="",B96=""),"",IFERROR(LOOKUP(2,1/(单次交易!$A$2:$A$201=A96),单次交易!$H$2:$H$201),0)+SUMIFS($G$2:$G$1001,$A$2:$A$1001,A96,$B$2:$B$1001,"&lt;"&amp;B96))</f>
        <v/>
      </c>
      <c r="J96" s="17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17" t="str">
        <f t="shared" si="10"/>
        <v/>
      </c>
      <c r="L96" s="18" t="str">
        <f t="shared" si="11"/>
        <v/>
      </c>
      <c r="M96" s="18" t="str">
        <f t="shared" si="12"/>
        <v/>
      </c>
      <c r="N96" s="18" t="str">
        <f t="shared" si="13"/>
        <v/>
      </c>
      <c r="O96" s="18" t="str">
        <f t="shared" si="14"/>
        <v/>
      </c>
      <c r="P96" s="17" t="str">
        <f t="shared" si="15"/>
        <v/>
      </c>
      <c r="Q96" s="17" t="str">
        <f t="shared" si="16"/>
        <v/>
      </c>
      <c r="R96" s="19" t="str">
        <f ca="1" t="shared" si="17"/>
        <v/>
      </c>
    </row>
    <row r="97" ht="17" spans="1:18">
      <c r="A97" s="13"/>
      <c r="B97" s="14"/>
      <c r="C97" s="15"/>
      <c r="D97" s="16"/>
      <c r="E97" s="16"/>
      <c r="F97" s="16"/>
      <c r="G97" s="14"/>
      <c r="H97" s="17" t="str">
        <f t="shared" si="9"/>
        <v/>
      </c>
      <c r="I97" s="18" t="str">
        <f>IF(OR(A97="",B97=""),"",IFERROR(LOOKUP(2,1/(单次交易!$A$2:$A$201=A97),单次交易!$H$2:$H$201),0)+SUMIFS($G$2:$G$1001,$A$2:$A$1001,A97,$B$2:$B$1001,"&lt;"&amp;B97))</f>
        <v/>
      </c>
      <c r="J97" s="17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17" t="str">
        <f t="shared" si="10"/>
        <v/>
      </c>
      <c r="L97" s="18" t="str">
        <f t="shared" si="11"/>
        <v/>
      </c>
      <c r="M97" s="18" t="str">
        <f t="shared" si="12"/>
        <v/>
      </c>
      <c r="N97" s="18" t="str">
        <f t="shared" si="13"/>
        <v/>
      </c>
      <c r="O97" s="18" t="str">
        <f t="shared" si="14"/>
        <v/>
      </c>
      <c r="P97" s="17" t="str">
        <f t="shared" si="15"/>
        <v/>
      </c>
      <c r="Q97" s="17" t="str">
        <f t="shared" si="16"/>
        <v/>
      </c>
      <c r="R97" s="19" t="str">
        <f ca="1" t="shared" si="17"/>
        <v/>
      </c>
    </row>
    <row r="98" ht="17" spans="1:18">
      <c r="A98" s="13"/>
      <c r="B98" s="14"/>
      <c r="C98" s="15"/>
      <c r="D98" s="16"/>
      <c r="E98" s="16"/>
      <c r="F98" s="16"/>
      <c r="G98" s="14"/>
      <c r="H98" s="17" t="str">
        <f t="shared" si="9"/>
        <v/>
      </c>
      <c r="I98" s="18" t="str">
        <f>IF(OR(A98="",B98=""),"",IFERROR(LOOKUP(2,1/(单次交易!$A$2:$A$201=A98),单次交易!$H$2:$H$201),0)+SUMIFS($G$2:$G$1001,$A$2:$A$1001,A98,$B$2:$B$1001,"&lt;"&amp;B98))</f>
        <v/>
      </c>
      <c r="J98" s="17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17" t="str">
        <f t="shared" si="10"/>
        <v/>
      </c>
      <c r="L98" s="18" t="str">
        <f t="shared" si="11"/>
        <v/>
      </c>
      <c r="M98" s="18" t="str">
        <f t="shared" si="12"/>
        <v/>
      </c>
      <c r="N98" s="18" t="str">
        <f t="shared" si="13"/>
        <v/>
      </c>
      <c r="O98" s="18" t="str">
        <f t="shared" si="14"/>
        <v/>
      </c>
      <c r="P98" s="17" t="str">
        <f t="shared" si="15"/>
        <v/>
      </c>
      <c r="Q98" s="17" t="str">
        <f t="shared" si="16"/>
        <v/>
      </c>
      <c r="R98" s="19" t="str">
        <f ca="1" t="shared" si="17"/>
        <v/>
      </c>
    </row>
    <row r="99" ht="17" spans="1:18">
      <c r="A99" s="13"/>
      <c r="B99" s="14"/>
      <c r="C99" s="15"/>
      <c r="D99" s="16"/>
      <c r="E99" s="16"/>
      <c r="F99" s="16"/>
      <c r="G99" s="14"/>
      <c r="H99" s="17" t="str">
        <f t="shared" si="9"/>
        <v/>
      </c>
      <c r="I99" s="18" t="str">
        <f>IF(OR(A99="",B99=""),"",IFERROR(LOOKUP(2,1/(单次交易!$A$2:$A$201=A99),单次交易!$H$2:$H$201),0)+SUMIFS($G$2:$G$1001,$A$2:$A$1001,A99,$B$2:$B$1001,"&lt;"&amp;B99))</f>
        <v/>
      </c>
      <c r="J99" s="17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17" t="str">
        <f t="shared" si="10"/>
        <v/>
      </c>
      <c r="L99" s="18" t="str">
        <f t="shared" si="11"/>
        <v/>
      </c>
      <c r="M99" s="18" t="str">
        <f t="shared" si="12"/>
        <v/>
      </c>
      <c r="N99" s="18" t="str">
        <f t="shared" si="13"/>
        <v/>
      </c>
      <c r="O99" s="18" t="str">
        <f t="shared" si="14"/>
        <v/>
      </c>
      <c r="P99" s="17" t="str">
        <f t="shared" si="15"/>
        <v/>
      </c>
      <c r="Q99" s="17" t="str">
        <f t="shared" si="16"/>
        <v/>
      </c>
      <c r="R99" s="19" t="str">
        <f ca="1" t="shared" si="17"/>
        <v/>
      </c>
    </row>
    <row r="100" ht="17" spans="1:18">
      <c r="A100" s="13"/>
      <c r="B100" s="14"/>
      <c r="C100" s="15"/>
      <c r="D100" s="16"/>
      <c r="E100" s="16"/>
      <c r="F100" s="16"/>
      <c r="G100" s="14"/>
      <c r="H100" s="17" t="str">
        <f t="shared" si="9"/>
        <v/>
      </c>
      <c r="I100" s="18" t="str">
        <f>IF(OR(A100="",B100=""),"",IFERROR(LOOKUP(2,1/(单次交易!$A$2:$A$201=A100),单次交易!$H$2:$H$201),0)+SUMIFS($G$2:$G$1001,$A$2:$A$1001,A100,$B$2:$B$1001,"&lt;"&amp;B100))</f>
        <v/>
      </c>
      <c r="J100" s="17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17" t="str">
        <f t="shared" si="10"/>
        <v/>
      </c>
      <c r="L100" s="18" t="str">
        <f t="shared" si="11"/>
        <v/>
      </c>
      <c r="M100" s="18" t="str">
        <f t="shared" si="12"/>
        <v/>
      </c>
      <c r="N100" s="18" t="str">
        <f t="shared" si="13"/>
        <v/>
      </c>
      <c r="O100" s="18" t="str">
        <f t="shared" si="14"/>
        <v/>
      </c>
      <c r="P100" s="17" t="str">
        <f t="shared" si="15"/>
        <v/>
      </c>
      <c r="Q100" s="17" t="str">
        <f t="shared" si="16"/>
        <v/>
      </c>
      <c r="R100" s="19" t="str">
        <f ca="1" t="shared" si="17"/>
        <v/>
      </c>
    </row>
    <row r="101" ht="17" spans="1:18">
      <c r="A101" s="13"/>
      <c r="B101" s="14"/>
      <c r="C101" s="15"/>
      <c r="D101" s="16"/>
      <c r="E101" s="16"/>
      <c r="F101" s="16"/>
      <c r="G101" s="14"/>
      <c r="H101" s="17" t="str">
        <f t="shared" si="9"/>
        <v/>
      </c>
      <c r="I101" s="18" t="str">
        <f>IF(OR(A101="",B101=""),"",IFERROR(LOOKUP(2,1/(单次交易!$A$2:$A$201=A101),单次交易!$H$2:$H$201),0)+SUMIFS($G$2:$G$1001,$A$2:$A$1001,A101,$B$2:$B$1001,"&lt;"&amp;B101))</f>
        <v/>
      </c>
      <c r="J101" s="17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17" t="str">
        <f t="shared" si="10"/>
        <v/>
      </c>
      <c r="L101" s="18" t="str">
        <f t="shared" si="11"/>
        <v/>
      </c>
      <c r="M101" s="18" t="str">
        <f t="shared" si="12"/>
        <v/>
      </c>
      <c r="N101" s="18" t="str">
        <f t="shared" si="13"/>
        <v/>
      </c>
      <c r="O101" s="18" t="str">
        <f t="shared" si="14"/>
        <v/>
      </c>
      <c r="P101" s="17" t="str">
        <f t="shared" si="15"/>
        <v/>
      </c>
      <c r="Q101" s="17" t="str">
        <f t="shared" si="16"/>
        <v/>
      </c>
      <c r="R101" s="19" t="str">
        <f ca="1" t="shared" si="17"/>
        <v/>
      </c>
    </row>
    <row r="102" ht="17" spans="1:18">
      <c r="A102" s="13"/>
      <c r="B102" s="14"/>
      <c r="C102" s="15"/>
      <c r="D102" s="16"/>
      <c r="E102" s="16"/>
      <c r="F102" s="16"/>
      <c r="G102" s="14"/>
      <c r="H102" s="17" t="str">
        <f t="shared" si="9"/>
        <v/>
      </c>
      <c r="I102" s="18" t="str">
        <f>IF(OR(A102="",B102=""),"",IFERROR(LOOKUP(2,1/(单次交易!$A$2:$A$201=A102),单次交易!$H$2:$H$201),0)+SUMIFS($G$2:$G$1001,$A$2:$A$1001,A102,$B$2:$B$1001,"&lt;"&amp;B102))</f>
        <v/>
      </c>
      <c r="J102" s="17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17" t="str">
        <f t="shared" si="10"/>
        <v/>
      </c>
      <c r="L102" s="18" t="str">
        <f t="shared" si="11"/>
        <v/>
      </c>
      <c r="M102" s="18" t="str">
        <f t="shared" si="12"/>
        <v/>
      </c>
      <c r="N102" s="18" t="str">
        <f t="shared" si="13"/>
        <v/>
      </c>
      <c r="O102" s="18" t="str">
        <f t="shared" si="14"/>
        <v/>
      </c>
      <c r="P102" s="17" t="str">
        <f t="shared" si="15"/>
        <v/>
      </c>
      <c r="Q102" s="17" t="str">
        <f t="shared" si="16"/>
        <v/>
      </c>
      <c r="R102" s="19" t="str">
        <f ca="1" t="shared" si="17"/>
        <v/>
      </c>
    </row>
    <row r="103" ht="17" spans="1:18">
      <c r="A103" s="13"/>
      <c r="B103" s="14"/>
      <c r="C103" s="15"/>
      <c r="D103" s="16"/>
      <c r="E103" s="16"/>
      <c r="F103" s="16"/>
      <c r="G103" s="14"/>
      <c r="H103" s="17" t="str">
        <f t="shared" si="9"/>
        <v/>
      </c>
      <c r="I103" s="18" t="str">
        <f>IF(OR(A103="",B103=""),"",IFERROR(LOOKUP(2,1/(单次交易!$A$2:$A$201=A103),单次交易!$H$2:$H$201),0)+SUMIFS($G$2:$G$1001,$A$2:$A$1001,A103,$B$2:$B$1001,"&lt;"&amp;B103))</f>
        <v/>
      </c>
      <c r="J103" s="17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17" t="str">
        <f t="shared" si="10"/>
        <v/>
      </c>
      <c r="L103" s="18" t="str">
        <f t="shared" si="11"/>
        <v/>
      </c>
      <c r="M103" s="18" t="str">
        <f t="shared" si="12"/>
        <v/>
      </c>
      <c r="N103" s="18" t="str">
        <f t="shared" si="13"/>
        <v/>
      </c>
      <c r="O103" s="18" t="str">
        <f t="shared" si="14"/>
        <v/>
      </c>
      <c r="P103" s="17" t="str">
        <f t="shared" si="15"/>
        <v/>
      </c>
      <c r="Q103" s="17" t="str">
        <f t="shared" si="16"/>
        <v/>
      </c>
      <c r="R103" s="19" t="str">
        <f ca="1" t="shared" si="17"/>
        <v/>
      </c>
    </row>
    <row r="104" ht="17" spans="1:18">
      <c r="A104" s="13"/>
      <c r="B104" s="14"/>
      <c r="C104" s="15"/>
      <c r="D104" s="16"/>
      <c r="E104" s="16"/>
      <c r="F104" s="16"/>
      <c r="G104" s="14"/>
      <c r="H104" s="17" t="str">
        <f t="shared" si="9"/>
        <v/>
      </c>
      <c r="I104" s="18" t="str">
        <f>IF(OR(A104="",B104=""),"",IFERROR(LOOKUP(2,1/(单次交易!$A$2:$A$201=A104),单次交易!$H$2:$H$201),0)+SUMIFS($G$2:$G$1001,$A$2:$A$1001,A104,$B$2:$B$1001,"&lt;"&amp;B104))</f>
        <v/>
      </c>
      <c r="J104" s="17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17" t="str">
        <f t="shared" si="10"/>
        <v/>
      </c>
      <c r="L104" s="18" t="str">
        <f t="shared" si="11"/>
        <v/>
      </c>
      <c r="M104" s="18" t="str">
        <f t="shared" si="12"/>
        <v/>
      </c>
      <c r="N104" s="18" t="str">
        <f t="shared" si="13"/>
        <v/>
      </c>
      <c r="O104" s="18" t="str">
        <f t="shared" si="14"/>
        <v/>
      </c>
      <c r="P104" s="17" t="str">
        <f t="shared" si="15"/>
        <v/>
      </c>
      <c r="Q104" s="17" t="str">
        <f t="shared" si="16"/>
        <v/>
      </c>
      <c r="R104" s="19" t="str">
        <f ca="1" t="shared" si="17"/>
        <v/>
      </c>
    </row>
    <row r="105" ht="17" spans="1:18">
      <c r="A105" s="13"/>
      <c r="B105" s="14"/>
      <c r="C105" s="15"/>
      <c r="D105" s="16"/>
      <c r="E105" s="16"/>
      <c r="F105" s="16"/>
      <c r="G105" s="14"/>
      <c r="H105" s="17" t="str">
        <f t="shared" si="9"/>
        <v/>
      </c>
      <c r="I105" s="18" t="str">
        <f>IF(OR(A105="",B105=""),"",IFERROR(LOOKUP(2,1/(单次交易!$A$2:$A$201=A105),单次交易!$H$2:$H$201),0)+SUMIFS($G$2:$G$1001,$A$2:$A$1001,A105,$B$2:$B$1001,"&lt;"&amp;B105))</f>
        <v/>
      </c>
      <c r="J105" s="17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17" t="str">
        <f t="shared" si="10"/>
        <v/>
      </c>
      <c r="L105" s="18" t="str">
        <f t="shared" si="11"/>
        <v/>
      </c>
      <c r="M105" s="18" t="str">
        <f t="shared" si="12"/>
        <v/>
      </c>
      <c r="N105" s="18" t="str">
        <f t="shared" si="13"/>
        <v/>
      </c>
      <c r="O105" s="18" t="str">
        <f t="shared" si="14"/>
        <v/>
      </c>
      <c r="P105" s="17" t="str">
        <f t="shared" si="15"/>
        <v/>
      </c>
      <c r="Q105" s="17" t="str">
        <f t="shared" si="16"/>
        <v/>
      </c>
      <c r="R105" s="19" t="str">
        <f ca="1" t="shared" si="17"/>
        <v/>
      </c>
    </row>
    <row r="106" ht="17" spans="1:18">
      <c r="A106" s="13"/>
      <c r="B106" s="14"/>
      <c r="C106" s="15"/>
      <c r="D106" s="16"/>
      <c r="E106" s="16"/>
      <c r="F106" s="16"/>
      <c r="G106" s="14"/>
      <c r="H106" s="17" t="str">
        <f t="shared" si="9"/>
        <v/>
      </c>
      <c r="I106" s="18" t="str">
        <f>IF(OR(A106="",B106=""),"",IFERROR(LOOKUP(2,1/(单次交易!$A$2:$A$201=A106),单次交易!$H$2:$H$201),0)+SUMIFS($G$2:$G$1001,$A$2:$A$1001,A106,$B$2:$B$1001,"&lt;"&amp;B106))</f>
        <v/>
      </c>
      <c r="J106" s="17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17" t="str">
        <f t="shared" si="10"/>
        <v/>
      </c>
      <c r="L106" s="18" t="str">
        <f t="shared" si="11"/>
        <v/>
      </c>
      <c r="M106" s="18" t="str">
        <f t="shared" si="12"/>
        <v/>
      </c>
      <c r="N106" s="18" t="str">
        <f t="shared" si="13"/>
        <v/>
      </c>
      <c r="O106" s="18" t="str">
        <f t="shared" si="14"/>
        <v/>
      </c>
      <c r="P106" s="17" t="str">
        <f t="shared" si="15"/>
        <v/>
      </c>
      <c r="Q106" s="17" t="str">
        <f t="shared" si="16"/>
        <v/>
      </c>
      <c r="R106" s="19" t="str">
        <f ca="1" t="shared" si="17"/>
        <v/>
      </c>
    </row>
    <row r="107" ht="17" spans="1:18">
      <c r="A107" s="13"/>
      <c r="B107" s="14"/>
      <c r="C107" s="15"/>
      <c r="D107" s="16"/>
      <c r="E107" s="16"/>
      <c r="F107" s="16"/>
      <c r="G107" s="14"/>
      <c r="H107" s="17" t="str">
        <f t="shared" si="9"/>
        <v/>
      </c>
      <c r="I107" s="18" t="str">
        <f>IF(OR(A107="",B107=""),"",IFERROR(LOOKUP(2,1/(单次交易!$A$2:$A$201=A107),单次交易!$H$2:$H$201),0)+SUMIFS($G$2:$G$1001,$A$2:$A$1001,A107,$B$2:$B$1001,"&lt;"&amp;B107))</f>
        <v/>
      </c>
      <c r="J107" s="17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17" t="str">
        <f t="shared" si="10"/>
        <v/>
      </c>
      <c r="L107" s="18" t="str">
        <f t="shared" si="11"/>
        <v/>
      </c>
      <c r="M107" s="18" t="str">
        <f t="shared" si="12"/>
        <v/>
      </c>
      <c r="N107" s="18" t="str">
        <f t="shared" si="13"/>
        <v/>
      </c>
      <c r="O107" s="18" t="str">
        <f t="shared" si="14"/>
        <v/>
      </c>
      <c r="P107" s="17" t="str">
        <f t="shared" si="15"/>
        <v/>
      </c>
      <c r="Q107" s="17" t="str">
        <f t="shared" si="16"/>
        <v/>
      </c>
      <c r="R107" s="19" t="str">
        <f ca="1" t="shared" si="17"/>
        <v/>
      </c>
    </row>
    <row r="108" ht="17" spans="1:18">
      <c r="A108" s="13"/>
      <c r="B108" s="14"/>
      <c r="C108" s="15"/>
      <c r="D108" s="16"/>
      <c r="E108" s="16"/>
      <c r="F108" s="16"/>
      <c r="G108" s="14"/>
      <c r="H108" s="17" t="str">
        <f t="shared" si="9"/>
        <v/>
      </c>
      <c r="I108" s="18" t="str">
        <f>IF(OR(A108="",B108=""),"",IFERROR(LOOKUP(2,1/(单次交易!$A$2:$A$201=A108),单次交易!$H$2:$H$201),0)+SUMIFS($G$2:$G$1001,$A$2:$A$1001,A108,$B$2:$B$1001,"&lt;"&amp;B108))</f>
        <v/>
      </c>
      <c r="J108" s="17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17" t="str">
        <f t="shared" si="10"/>
        <v/>
      </c>
      <c r="L108" s="18" t="str">
        <f t="shared" si="11"/>
        <v/>
      </c>
      <c r="M108" s="18" t="str">
        <f t="shared" si="12"/>
        <v/>
      </c>
      <c r="N108" s="18" t="str">
        <f t="shared" si="13"/>
        <v/>
      </c>
      <c r="O108" s="18" t="str">
        <f t="shared" si="14"/>
        <v/>
      </c>
      <c r="P108" s="17" t="str">
        <f t="shared" si="15"/>
        <v/>
      </c>
      <c r="Q108" s="17" t="str">
        <f t="shared" si="16"/>
        <v/>
      </c>
      <c r="R108" s="19" t="str">
        <f ca="1" t="shared" si="17"/>
        <v/>
      </c>
    </row>
    <row r="109" ht="17" spans="1:18">
      <c r="A109" s="13"/>
      <c r="B109" s="14"/>
      <c r="C109" s="15"/>
      <c r="D109" s="16"/>
      <c r="E109" s="16"/>
      <c r="F109" s="16"/>
      <c r="G109" s="14"/>
      <c r="H109" s="17" t="str">
        <f t="shared" si="9"/>
        <v/>
      </c>
      <c r="I109" s="18" t="str">
        <f>IF(OR(A109="",B109=""),"",IFERROR(LOOKUP(2,1/(单次交易!$A$2:$A$201=A109),单次交易!$H$2:$H$201),0)+SUMIFS($G$2:$G$1001,$A$2:$A$1001,A109,$B$2:$B$1001,"&lt;"&amp;B109))</f>
        <v/>
      </c>
      <c r="J109" s="17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17" t="str">
        <f t="shared" si="10"/>
        <v/>
      </c>
      <c r="L109" s="18" t="str">
        <f t="shared" si="11"/>
        <v/>
      </c>
      <c r="M109" s="18" t="str">
        <f t="shared" si="12"/>
        <v/>
      </c>
      <c r="N109" s="18" t="str">
        <f t="shared" si="13"/>
        <v/>
      </c>
      <c r="O109" s="18" t="str">
        <f t="shared" si="14"/>
        <v/>
      </c>
      <c r="P109" s="17" t="str">
        <f t="shared" si="15"/>
        <v/>
      </c>
      <c r="Q109" s="17" t="str">
        <f t="shared" si="16"/>
        <v/>
      </c>
      <c r="R109" s="19" t="str">
        <f ca="1" t="shared" si="17"/>
        <v/>
      </c>
    </row>
    <row r="110" ht="17" spans="1:18">
      <c r="A110" s="13"/>
      <c r="B110" s="14"/>
      <c r="C110" s="15"/>
      <c r="D110" s="16"/>
      <c r="E110" s="16"/>
      <c r="F110" s="16"/>
      <c r="G110" s="14"/>
      <c r="H110" s="17" t="str">
        <f t="shared" si="9"/>
        <v/>
      </c>
      <c r="I110" s="18" t="str">
        <f>IF(OR(A110="",B110=""),"",IFERROR(LOOKUP(2,1/(单次交易!$A$2:$A$201=A110),单次交易!$H$2:$H$201),0)+SUMIFS($G$2:$G$1001,$A$2:$A$1001,A110,$B$2:$B$1001,"&lt;"&amp;B110))</f>
        <v/>
      </c>
      <c r="J110" s="17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17" t="str">
        <f t="shared" si="10"/>
        <v/>
      </c>
      <c r="L110" s="18" t="str">
        <f t="shared" si="11"/>
        <v/>
      </c>
      <c r="M110" s="18" t="str">
        <f t="shared" si="12"/>
        <v/>
      </c>
      <c r="N110" s="18" t="str">
        <f t="shared" si="13"/>
        <v/>
      </c>
      <c r="O110" s="18" t="str">
        <f t="shared" si="14"/>
        <v/>
      </c>
      <c r="P110" s="17" t="str">
        <f t="shared" si="15"/>
        <v/>
      </c>
      <c r="Q110" s="17" t="str">
        <f t="shared" si="16"/>
        <v/>
      </c>
      <c r="R110" s="19" t="str">
        <f ca="1" t="shared" si="17"/>
        <v/>
      </c>
    </row>
    <row r="111" ht="17" spans="1:18">
      <c r="A111" s="13"/>
      <c r="B111" s="14"/>
      <c r="C111" s="15"/>
      <c r="D111" s="16"/>
      <c r="E111" s="16"/>
      <c r="F111" s="16"/>
      <c r="G111" s="14"/>
      <c r="H111" s="17" t="str">
        <f t="shared" si="9"/>
        <v/>
      </c>
      <c r="I111" s="18" t="str">
        <f>IF(OR(A111="",B111=""),"",IFERROR(LOOKUP(2,1/(单次交易!$A$2:$A$201=A111),单次交易!$H$2:$H$201),0)+SUMIFS($G$2:$G$1001,$A$2:$A$1001,A111,$B$2:$B$1001,"&lt;"&amp;B111))</f>
        <v/>
      </c>
      <c r="J111" s="17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17" t="str">
        <f t="shared" si="10"/>
        <v/>
      </c>
      <c r="L111" s="18" t="str">
        <f t="shared" si="11"/>
        <v/>
      </c>
      <c r="M111" s="18" t="str">
        <f t="shared" si="12"/>
        <v/>
      </c>
      <c r="N111" s="18" t="str">
        <f t="shared" si="13"/>
        <v/>
      </c>
      <c r="O111" s="18" t="str">
        <f t="shared" si="14"/>
        <v/>
      </c>
      <c r="P111" s="17" t="str">
        <f t="shared" si="15"/>
        <v/>
      </c>
      <c r="Q111" s="17" t="str">
        <f t="shared" si="16"/>
        <v/>
      </c>
      <c r="R111" s="19" t="str">
        <f ca="1" t="shared" si="17"/>
        <v/>
      </c>
    </row>
    <row r="112" ht="17" spans="1:18">
      <c r="A112" s="13"/>
      <c r="B112" s="14"/>
      <c r="C112" s="15"/>
      <c r="D112" s="16"/>
      <c r="E112" s="16"/>
      <c r="F112" s="16"/>
      <c r="G112" s="14"/>
      <c r="H112" s="17" t="str">
        <f t="shared" si="9"/>
        <v/>
      </c>
      <c r="I112" s="18" t="str">
        <f>IF(OR(A112="",B112=""),"",IFERROR(LOOKUP(2,1/(单次交易!$A$2:$A$201=A112),单次交易!$H$2:$H$201),0)+SUMIFS($G$2:$G$1001,$A$2:$A$1001,A112,$B$2:$B$1001,"&lt;"&amp;B112))</f>
        <v/>
      </c>
      <c r="J112" s="17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17" t="str">
        <f t="shared" si="10"/>
        <v/>
      </c>
      <c r="L112" s="18" t="str">
        <f t="shared" si="11"/>
        <v/>
      </c>
      <c r="M112" s="18" t="str">
        <f t="shared" si="12"/>
        <v/>
      </c>
      <c r="N112" s="18" t="str">
        <f t="shared" si="13"/>
        <v/>
      </c>
      <c r="O112" s="18" t="str">
        <f t="shared" si="14"/>
        <v/>
      </c>
      <c r="P112" s="17" t="str">
        <f t="shared" si="15"/>
        <v/>
      </c>
      <c r="Q112" s="17" t="str">
        <f t="shared" si="16"/>
        <v/>
      </c>
      <c r="R112" s="19" t="str">
        <f ca="1" t="shared" si="17"/>
        <v/>
      </c>
    </row>
    <row r="113" ht="17" spans="1:18">
      <c r="A113" s="13"/>
      <c r="B113" s="14"/>
      <c r="C113" s="15"/>
      <c r="D113" s="16"/>
      <c r="E113" s="16"/>
      <c r="F113" s="16"/>
      <c r="G113" s="14"/>
      <c r="H113" s="17" t="str">
        <f t="shared" si="9"/>
        <v/>
      </c>
      <c r="I113" s="18" t="str">
        <f>IF(OR(A113="",B113=""),"",IFERROR(LOOKUP(2,1/(单次交易!$A$2:$A$201=A113),单次交易!$H$2:$H$201),0)+SUMIFS($G$2:$G$1001,$A$2:$A$1001,A113,$B$2:$B$1001,"&lt;"&amp;B113))</f>
        <v/>
      </c>
      <c r="J113" s="17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17" t="str">
        <f t="shared" si="10"/>
        <v/>
      </c>
      <c r="L113" s="18" t="str">
        <f t="shared" si="11"/>
        <v/>
      </c>
      <c r="M113" s="18" t="str">
        <f t="shared" si="12"/>
        <v/>
      </c>
      <c r="N113" s="18" t="str">
        <f t="shared" si="13"/>
        <v/>
      </c>
      <c r="O113" s="18" t="str">
        <f t="shared" si="14"/>
        <v/>
      </c>
      <c r="P113" s="17" t="str">
        <f t="shared" si="15"/>
        <v/>
      </c>
      <c r="Q113" s="17" t="str">
        <f t="shared" si="16"/>
        <v/>
      </c>
      <c r="R113" s="19" t="str">
        <f ca="1" t="shared" si="17"/>
        <v/>
      </c>
    </row>
    <row r="114" ht="17" spans="1:18">
      <c r="A114" s="13"/>
      <c r="B114" s="14"/>
      <c r="C114" s="15"/>
      <c r="D114" s="16"/>
      <c r="E114" s="16"/>
      <c r="F114" s="16"/>
      <c r="G114" s="14"/>
      <c r="H114" s="17" t="str">
        <f t="shared" si="9"/>
        <v/>
      </c>
      <c r="I114" s="18" t="str">
        <f>IF(OR(A114="",B114=""),"",IFERROR(LOOKUP(2,1/(单次交易!$A$2:$A$201=A114),单次交易!$H$2:$H$201),0)+SUMIFS($G$2:$G$1001,$A$2:$A$1001,A114,$B$2:$B$1001,"&lt;"&amp;B114))</f>
        <v/>
      </c>
      <c r="J114" s="17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17" t="str">
        <f t="shared" si="10"/>
        <v/>
      </c>
      <c r="L114" s="18" t="str">
        <f t="shared" si="11"/>
        <v/>
      </c>
      <c r="M114" s="18" t="str">
        <f t="shared" si="12"/>
        <v/>
      </c>
      <c r="N114" s="18" t="str">
        <f t="shared" si="13"/>
        <v/>
      </c>
      <c r="O114" s="18" t="str">
        <f t="shared" si="14"/>
        <v/>
      </c>
      <c r="P114" s="17" t="str">
        <f t="shared" si="15"/>
        <v/>
      </c>
      <c r="Q114" s="17" t="str">
        <f t="shared" si="16"/>
        <v/>
      </c>
      <c r="R114" s="19" t="str">
        <f ca="1" t="shared" si="17"/>
        <v/>
      </c>
    </row>
    <row r="115" ht="17" spans="1:18">
      <c r="A115" s="13"/>
      <c r="B115" s="14"/>
      <c r="C115" s="15"/>
      <c r="D115" s="16"/>
      <c r="E115" s="16"/>
      <c r="F115" s="16"/>
      <c r="G115" s="14"/>
      <c r="H115" s="17" t="str">
        <f t="shared" si="9"/>
        <v/>
      </c>
      <c r="I115" s="18" t="str">
        <f>IF(OR(A115="",B115=""),"",IFERROR(LOOKUP(2,1/(单次交易!$A$2:$A$201=A115),单次交易!$H$2:$H$201),0)+SUMIFS($G$2:$G$1001,$A$2:$A$1001,A115,$B$2:$B$1001,"&lt;"&amp;B115))</f>
        <v/>
      </c>
      <c r="J115" s="17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17" t="str">
        <f t="shared" si="10"/>
        <v/>
      </c>
      <c r="L115" s="18" t="str">
        <f t="shared" si="11"/>
        <v/>
      </c>
      <c r="M115" s="18" t="str">
        <f t="shared" si="12"/>
        <v/>
      </c>
      <c r="N115" s="18" t="str">
        <f t="shared" si="13"/>
        <v/>
      </c>
      <c r="O115" s="18" t="str">
        <f t="shared" si="14"/>
        <v/>
      </c>
      <c r="P115" s="17" t="str">
        <f t="shared" si="15"/>
        <v/>
      </c>
      <c r="Q115" s="17" t="str">
        <f t="shared" si="16"/>
        <v/>
      </c>
      <c r="R115" s="19" t="str">
        <f ca="1" t="shared" si="17"/>
        <v/>
      </c>
    </row>
    <row r="116" ht="17" spans="1:18">
      <c r="A116" s="13"/>
      <c r="B116" s="14"/>
      <c r="C116" s="15"/>
      <c r="D116" s="16"/>
      <c r="E116" s="16"/>
      <c r="F116" s="16"/>
      <c r="G116" s="14"/>
      <c r="H116" s="17" t="str">
        <f t="shared" si="9"/>
        <v/>
      </c>
      <c r="I116" s="18" t="str">
        <f>IF(OR(A116="",B116=""),"",IFERROR(LOOKUP(2,1/(单次交易!$A$2:$A$201=A116),单次交易!$H$2:$H$201),0)+SUMIFS($G$2:$G$1001,$A$2:$A$1001,A116,$B$2:$B$1001,"&lt;"&amp;B116))</f>
        <v/>
      </c>
      <c r="J116" s="17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17" t="str">
        <f t="shared" si="10"/>
        <v/>
      </c>
      <c r="L116" s="18" t="str">
        <f t="shared" si="11"/>
        <v/>
      </c>
      <c r="M116" s="18" t="str">
        <f t="shared" si="12"/>
        <v/>
      </c>
      <c r="N116" s="18" t="str">
        <f t="shared" si="13"/>
        <v/>
      </c>
      <c r="O116" s="18" t="str">
        <f t="shared" si="14"/>
        <v/>
      </c>
      <c r="P116" s="17" t="str">
        <f t="shared" si="15"/>
        <v/>
      </c>
      <c r="Q116" s="17" t="str">
        <f t="shared" si="16"/>
        <v/>
      </c>
      <c r="R116" s="19" t="str">
        <f ca="1" t="shared" si="17"/>
        <v/>
      </c>
    </row>
    <row r="117" ht="17" spans="1:18">
      <c r="A117" s="13"/>
      <c r="B117" s="14"/>
      <c r="C117" s="15"/>
      <c r="D117" s="16"/>
      <c r="E117" s="16"/>
      <c r="F117" s="16"/>
      <c r="G117" s="14"/>
      <c r="H117" s="17" t="str">
        <f t="shared" si="9"/>
        <v/>
      </c>
      <c r="I117" s="18" t="str">
        <f>IF(OR(A117="",B117=""),"",IFERROR(LOOKUP(2,1/(单次交易!$A$2:$A$201=A117),单次交易!$H$2:$H$201),0)+SUMIFS($G$2:$G$1001,$A$2:$A$1001,A117,$B$2:$B$1001,"&lt;"&amp;B117))</f>
        <v/>
      </c>
      <c r="J117" s="17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17" t="str">
        <f t="shared" si="10"/>
        <v/>
      </c>
      <c r="L117" s="18" t="str">
        <f t="shared" si="11"/>
        <v/>
      </c>
      <c r="M117" s="18" t="str">
        <f t="shared" si="12"/>
        <v/>
      </c>
      <c r="N117" s="18" t="str">
        <f t="shared" si="13"/>
        <v/>
      </c>
      <c r="O117" s="18" t="str">
        <f t="shared" si="14"/>
        <v/>
      </c>
      <c r="P117" s="17" t="str">
        <f t="shared" si="15"/>
        <v/>
      </c>
      <c r="Q117" s="17" t="str">
        <f t="shared" si="16"/>
        <v/>
      </c>
      <c r="R117" s="19" t="str">
        <f ca="1" t="shared" si="17"/>
        <v/>
      </c>
    </row>
    <row r="118" ht="17" spans="1:18">
      <c r="A118" s="13"/>
      <c r="B118" s="14"/>
      <c r="C118" s="15"/>
      <c r="D118" s="16"/>
      <c r="E118" s="16"/>
      <c r="F118" s="16"/>
      <c r="G118" s="14"/>
      <c r="H118" s="17" t="str">
        <f t="shared" si="9"/>
        <v/>
      </c>
      <c r="I118" s="18" t="str">
        <f>IF(OR(A118="",B118=""),"",IFERROR(LOOKUP(2,1/(单次交易!$A$2:$A$201=A118),单次交易!$H$2:$H$201),0)+SUMIFS($G$2:$G$1001,$A$2:$A$1001,A118,$B$2:$B$1001,"&lt;"&amp;B118))</f>
        <v/>
      </c>
      <c r="J118" s="17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17" t="str">
        <f t="shared" si="10"/>
        <v/>
      </c>
      <c r="L118" s="18" t="str">
        <f t="shared" si="11"/>
        <v/>
      </c>
      <c r="M118" s="18" t="str">
        <f t="shared" si="12"/>
        <v/>
      </c>
      <c r="N118" s="18" t="str">
        <f t="shared" si="13"/>
        <v/>
      </c>
      <c r="O118" s="18" t="str">
        <f t="shared" si="14"/>
        <v/>
      </c>
      <c r="P118" s="17" t="str">
        <f t="shared" si="15"/>
        <v/>
      </c>
      <c r="Q118" s="17" t="str">
        <f t="shared" si="16"/>
        <v/>
      </c>
      <c r="R118" s="19" t="str">
        <f ca="1" t="shared" si="17"/>
        <v/>
      </c>
    </row>
    <row r="119" ht="17" spans="1:18">
      <c r="A119" s="13"/>
      <c r="B119" s="14"/>
      <c r="C119" s="15"/>
      <c r="D119" s="16"/>
      <c r="E119" s="16"/>
      <c r="F119" s="16"/>
      <c r="G119" s="14"/>
      <c r="H119" s="17" t="str">
        <f t="shared" si="9"/>
        <v/>
      </c>
      <c r="I119" s="18" t="str">
        <f>IF(OR(A119="",B119=""),"",IFERROR(LOOKUP(2,1/(单次交易!$A$2:$A$201=A119),单次交易!$H$2:$H$201),0)+SUMIFS($G$2:$G$1001,$A$2:$A$1001,A119,$B$2:$B$1001,"&lt;"&amp;B119))</f>
        <v/>
      </c>
      <c r="J119" s="17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17" t="str">
        <f t="shared" si="10"/>
        <v/>
      </c>
      <c r="L119" s="18" t="str">
        <f t="shared" si="11"/>
        <v/>
      </c>
      <c r="M119" s="18" t="str">
        <f t="shared" si="12"/>
        <v/>
      </c>
      <c r="N119" s="18" t="str">
        <f t="shared" si="13"/>
        <v/>
      </c>
      <c r="O119" s="18" t="str">
        <f t="shared" si="14"/>
        <v/>
      </c>
      <c r="P119" s="17" t="str">
        <f t="shared" si="15"/>
        <v/>
      </c>
      <c r="Q119" s="17" t="str">
        <f t="shared" si="16"/>
        <v/>
      </c>
      <c r="R119" s="19" t="str">
        <f ca="1" t="shared" si="17"/>
        <v/>
      </c>
    </row>
    <row r="120" ht="17" spans="1:18">
      <c r="A120" s="13"/>
      <c r="B120" s="14"/>
      <c r="C120" s="15"/>
      <c r="D120" s="16"/>
      <c r="E120" s="16"/>
      <c r="F120" s="16"/>
      <c r="G120" s="14"/>
      <c r="H120" s="17" t="str">
        <f t="shared" si="9"/>
        <v/>
      </c>
      <c r="I120" s="18" t="str">
        <f>IF(OR(A120="",B120=""),"",IFERROR(LOOKUP(2,1/(单次交易!$A$2:$A$201=A120),单次交易!$H$2:$H$201),0)+SUMIFS($G$2:$G$1001,$A$2:$A$1001,A120,$B$2:$B$1001,"&lt;"&amp;B120))</f>
        <v/>
      </c>
      <c r="J120" s="17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17" t="str">
        <f t="shared" si="10"/>
        <v/>
      </c>
      <c r="L120" s="18" t="str">
        <f t="shared" si="11"/>
        <v/>
      </c>
      <c r="M120" s="18" t="str">
        <f t="shared" si="12"/>
        <v/>
      </c>
      <c r="N120" s="18" t="str">
        <f t="shared" si="13"/>
        <v/>
      </c>
      <c r="O120" s="18" t="str">
        <f t="shared" si="14"/>
        <v/>
      </c>
      <c r="P120" s="17" t="str">
        <f t="shared" si="15"/>
        <v/>
      </c>
      <c r="Q120" s="17" t="str">
        <f t="shared" si="16"/>
        <v/>
      </c>
      <c r="R120" s="19" t="str">
        <f ca="1" t="shared" si="17"/>
        <v/>
      </c>
    </row>
    <row r="121" ht="17" spans="1:18">
      <c r="A121" s="13"/>
      <c r="B121" s="14"/>
      <c r="C121" s="15"/>
      <c r="D121" s="16"/>
      <c r="E121" s="16"/>
      <c r="F121" s="16"/>
      <c r="G121" s="14"/>
      <c r="H121" s="17" t="str">
        <f t="shared" si="9"/>
        <v/>
      </c>
      <c r="I121" s="18" t="str">
        <f>IF(OR(A121="",B121=""),"",IFERROR(LOOKUP(2,1/(单次交易!$A$2:$A$201=A121),单次交易!$H$2:$H$201),0)+SUMIFS($G$2:$G$1001,$A$2:$A$1001,A121,$B$2:$B$1001,"&lt;"&amp;B121))</f>
        <v/>
      </c>
      <c r="J121" s="17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17" t="str">
        <f t="shared" si="10"/>
        <v/>
      </c>
      <c r="L121" s="18" t="str">
        <f t="shared" si="11"/>
        <v/>
      </c>
      <c r="M121" s="18" t="str">
        <f t="shared" si="12"/>
        <v/>
      </c>
      <c r="N121" s="18" t="str">
        <f t="shared" si="13"/>
        <v/>
      </c>
      <c r="O121" s="18" t="str">
        <f t="shared" si="14"/>
        <v/>
      </c>
      <c r="P121" s="17" t="str">
        <f t="shared" si="15"/>
        <v/>
      </c>
      <c r="Q121" s="17" t="str">
        <f t="shared" si="16"/>
        <v/>
      </c>
      <c r="R121" s="19" t="str">
        <f ca="1" t="shared" si="17"/>
        <v/>
      </c>
    </row>
    <row r="122" ht="17" spans="1:18">
      <c r="A122" s="13"/>
      <c r="B122" s="14"/>
      <c r="C122" s="15"/>
      <c r="D122" s="16"/>
      <c r="E122" s="16"/>
      <c r="F122" s="16"/>
      <c r="G122" s="14"/>
      <c r="H122" s="17" t="str">
        <f t="shared" si="9"/>
        <v/>
      </c>
      <c r="I122" s="18" t="str">
        <f>IF(OR(A122="",B122=""),"",IFERROR(LOOKUP(2,1/(单次交易!$A$2:$A$201=A122),单次交易!$H$2:$H$201),0)+SUMIFS($G$2:$G$1001,$A$2:$A$1001,A122,$B$2:$B$1001,"&lt;"&amp;B122))</f>
        <v/>
      </c>
      <c r="J122" s="17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17" t="str">
        <f t="shared" si="10"/>
        <v/>
      </c>
      <c r="L122" s="18" t="str">
        <f t="shared" si="11"/>
        <v/>
      </c>
      <c r="M122" s="18" t="str">
        <f t="shared" si="12"/>
        <v/>
      </c>
      <c r="N122" s="18" t="str">
        <f t="shared" si="13"/>
        <v/>
      </c>
      <c r="O122" s="18" t="str">
        <f t="shared" si="14"/>
        <v/>
      </c>
      <c r="P122" s="17" t="str">
        <f t="shared" si="15"/>
        <v/>
      </c>
      <c r="Q122" s="17" t="str">
        <f t="shared" si="16"/>
        <v/>
      </c>
      <c r="R122" s="19" t="str">
        <f ca="1" t="shared" si="17"/>
        <v/>
      </c>
    </row>
    <row r="123" ht="17" spans="1:18">
      <c r="A123" s="13"/>
      <c r="B123" s="14"/>
      <c r="C123" s="15"/>
      <c r="D123" s="16"/>
      <c r="E123" s="16"/>
      <c r="F123" s="16"/>
      <c r="G123" s="14"/>
      <c r="H123" s="17" t="str">
        <f t="shared" si="9"/>
        <v/>
      </c>
      <c r="I123" s="18" t="str">
        <f>IF(OR(A123="",B123=""),"",IFERROR(LOOKUP(2,1/(单次交易!$A$2:$A$201=A123),单次交易!$H$2:$H$201),0)+SUMIFS($G$2:$G$1001,$A$2:$A$1001,A123,$B$2:$B$1001,"&lt;"&amp;B123))</f>
        <v/>
      </c>
      <c r="J123" s="17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17" t="str">
        <f t="shared" si="10"/>
        <v/>
      </c>
      <c r="L123" s="18" t="str">
        <f t="shared" si="11"/>
        <v/>
      </c>
      <c r="M123" s="18" t="str">
        <f t="shared" si="12"/>
        <v/>
      </c>
      <c r="N123" s="18" t="str">
        <f t="shared" si="13"/>
        <v/>
      </c>
      <c r="O123" s="18" t="str">
        <f t="shared" si="14"/>
        <v/>
      </c>
      <c r="P123" s="17" t="str">
        <f t="shared" si="15"/>
        <v/>
      </c>
      <c r="Q123" s="17" t="str">
        <f t="shared" si="16"/>
        <v/>
      </c>
      <c r="R123" s="19" t="str">
        <f ca="1" t="shared" si="17"/>
        <v/>
      </c>
    </row>
    <row r="124" ht="17" spans="1:18">
      <c r="A124" s="13"/>
      <c r="B124" s="14"/>
      <c r="C124" s="15"/>
      <c r="D124" s="16"/>
      <c r="E124" s="16"/>
      <c r="F124" s="16"/>
      <c r="G124" s="14"/>
      <c r="H124" s="17" t="str">
        <f t="shared" si="9"/>
        <v/>
      </c>
      <c r="I124" s="18" t="str">
        <f>IF(OR(A124="",B124=""),"",IFERROR(LOOKUP(2,1/(单次交易!$A$2:$A$201=A124),单次交易!$H$2:$H$201),0)+SUMIFS($G$2:$G$1001,$A$2:$A$1001,A124,$B$2:$B$1001,"&lt;"&amp;B124))</f>
        <v/>
      </c>
      <c r="J124" s="17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17" t="str">
        <f t="shared" si="10"/>
        <v/>
      </c>
      <c r="L124" s="18" t="str">
        <f t="shared" si="11"/>
        <v/>
      </c>
      <c r="M124" s="18" t="str">
        <f t="shared" si="12"/>
        <v/>
      </c>
      <c r="N124" s="18" t="str">
        <f t="shared" si="13"/>
        <v/>
      </c>
      <c r="O124" s="18" t="str">
        <f t="shared" si="14"/>
        <v/>
      </c>
      <c r="P124" s="17" t="str">
        <f t="shared" si="15"/>
        <v/>
      </c>
      <c r="Q124" s="17" t="str">
        <f t="shared" si="16"/>
        <v/>
      </c>
      <c r="R124" s="19" t="str">
        <f ca="1" t="shared" si="17"/>
        <v/>
      </c>
    </row>
    <row r="125" ht="17" spans="1:18">
      <c r="A125" s="13"/>
      <c r="B125" s="14"/>
      <c r="C125" s="15"/>
      <c r="D125" s="16"/>
      <c r="E125" s="16"/>
      <c r="F125" s="16"/>
      <c r="G125" s="14"/>
      <c r="H125" s="17" t="str">
        <f t="shared" si="9"/>
        <v/>
      </c>
      <c r="I125" s="18" t="str">
        <f>IF(OR(A125="",B125=""),"",IFERROR(LOOKUP(2,1/(单次交易!$A$2:$A$201=A125),单次交易!$H$2:$H$201),0)+SUMIFS($G$2:$G$1001,$A$2:$A$1001,A125,$B$2:$B$1001,"&lt;"&amp;B125))</f>
        <v/>
      </c>
      <c r="J125" s="17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17" t="str">
        <f t="shared" si="10"/>
        <v/>
      </c>
      <c r="L125" s="18" t="str">
        <f t="shared" si="11"/>
        <v/>
      </c>
      <c r="M125" s="18" t="str">
        <f t="shared" si="12"/>
        <v/>
      </c>
      <c r="N125" s="18" t="str">
        <f t="shared" si="13"/>
        <v/>
      </c>
      <c r="O125" s="18" t="str">
        <f t="shared" si="14"/>
        <v/>
      </c>
      <c r="P125" s="17" t="str">
        <f t="shared" si="15"/>
        <v/>
      </c>
      <c r="Q125" s="17" t="str">
        <f t="shared" si="16"/>
        <v/>
      </c>
      <c r="R125" s="19" t="str">
        <f ca="1" t="shared" si="17"/>
        <v/>
      </c>
    </row>
    <row r="126" ht="17" spans="1:18">
      <c r="A126" s="13"/>
      <c r="B126" s="14"/>
      <c r="C126" s="15"/>
      <c r="D126" s="16"/>
      <c r="E126" s="16"/>
      <c r="F126" s="16"/>
      <c r="G126" s="14"/>
      <c r="H126" s="17" t="str">
        <f t="shared" si="9"/>
        <v/>
      </c>
      <c r="I126" s="18" t="str">
        <f>IF(OR(A126="",B126=""),"",IFERROR(LOOKUP(2,1/(单次交易!$A$2:$A$201=A126),单次交易!$H$2:$H$201),0)+SUMIFS($G$2:$G$1001,$A$2:$A$1001,A126,$B$2:$B$1001,"&lt;"&amp;B126))</f>
        <v/>
      </c>
      <c r="J126" s="17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17" t="str">
        <f t="shared" si="10"/>
        <v/>
      </c>
      <c r="L126" s="18" t="str">
        <f t="shared" si="11"/>
        <v/>
      </c>
      <c r="M126" s="18" t="str">
        <f t="shared" si="12"/>
        <v/>
      </c>
      <c r="N126" s="18" t="str">
        <f t="shared" si="13"/>
        <v/>
      </c>
      <c r="O126" s="18" t="str">
        <f t="shared" si="14"/>
        <v/>
      </c>
      <c r="P126" s="17" t="str">
        <f t="shared" si="15"/>
        <v/>
      </c>
      <c r="Q126" s="17" t="str">
        <f t="shared" si="16"/>
        <v/>
      </c>
      <c r="R126" s="19" t="str">
        <f ca="1" t="shared" si="17"/>
        <v/>
      </c>
    </row>
    <row r="127" ht="17" spans="1:18">
      <c r="A127" s="13"/>
      <c r="B127" s="14"/>
      <c r="C127" s="15"/>
      <c r="D127" s="16"/>
      <c r="E127" s="16"/>
      <c r="F127" s="16"/>
      <c r="G127" s="14"/>
      <c r="H127" s="17" t="str">
        <f t="shared" si="9"/>
        <v/>
      </c>
      <c r="I127" s="18" t="str">
        <f>IF(OR(A127="",B127=""),"",IFERROR(LOOKUP(2,1/(单次交易!$A$2:$A$201=A127),单次交易!$H$2:$H$201),0)+SUMIFS($G$2:$G$1001,$A$2:$A$1001,A127,$B$2:$B$1001,"&lt;"&amp;B127))</f>
        <v/>
      </c>
      <c r="J127" s="17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17" t="str">
        <f t="shared" si="10"/>
        <v/>
      </c>
      <c r="L127" s="18" t="str">
        <f t="shared" si="11"/>
        <v/>
      </c>
      <c r="M127" s="18" t="str">
        <f t="shared" si="12"/>
        <v/>
      </c>
      <c r="N127" s="18" t="str">
        <f t="shared" si="13"/>
        <v/>
      </c>
      <c r="O127" s="18" t="str">
        <f t="shared" si="14"/>
        <v/>
      </c>
      <c r="P127" s="17" t="str">
        <f t="shared" si="15"/>
        <v/>
      </c>
      <c r="Q127" s="17" t="str">
        <f t="shared" si="16"/>
        <v/>
      </c>
      <c r="R127" s="19" t="str">
        <f ca="1" t="shared" si="17"/>
        <v/>
      </c>
    </row>
    <row r="128" ht="17" spans="1:18">
      <c r="A128" s="13"/>
      <c r="B128" s="14"/>
      <c r="C128" s="15"/>
      <c r="D128" s="16"/>
      <c r="E128" s="16"/>
      <c r="F128" s="16"/>
      <c r="G128" s="14"/>
      <c r="H128" s="17" t="str">
        <f t="shared" si="9"/>
        <v/>
      </c>
      <c r="I128" s="18" t="str">
        <f>IF(OR(A128="",B128=""),"",IFERROR(LOOKUP(2,1/(单次交易!$A$2:$A$201=A128),单次交易!$H$2:$H$201),0)+SUMIFS($G$2:$G$1001,$A$2:$A$1001,A128,$B$2:$B$1001,"&lt;"&amp;B128))</f>
        <v/>
      </c>
      <c r="J128" s="17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17" t="str">
        <f t="shared" si="10"/>
        <v/>
      </c>
      <c r="L128" s="18" t="str">
        <f t="shared" si="11"/>
        <v/>
      </c>
      <c r="M128" s="18" t="str">
        <f t="shared" si="12"/>
        <v/>
      </c>
      <c r="N128" s="18" t="str">
        <f t="shared" si="13"/>
        <v/>
      </c>
      <c r="O128" s="18" t="str">
        <f t="shared" si="14"/>
        <v/>
      </c>
      <c r="P128" s="17" t="str">
        <f t="shared" si="15"/>
        <v/>
      </c>
      <c r="Q128" s="17" t="str">
        <f t="shared" si="16"/>
        <v/>
      </c>
      <c r="R128" s="19" t="str">
        <f ca="1" t="shared" si="17"/>
        <v/>
      </c>
    </row>
    <row r="129" ht="17" spans="1:18">
      <c r="A129" s="13"/>
      <c r="B129" s="14"/>
      <c r="C129" s="15"/>
      <c r="D129" s="16"/>
      <c r="E129" s="16"/>
      <c r="F129" s="16"/>
      <c r="G129" s="14"/>
      <c r="H129" s="17" t="str">
        <f t="shared" si="9"/>
        <v/>
      </c>
      <c r="I129" s="18" t="str">
        <f>IF(OR(A129="",B129=""),"",IFERROR(LOOKUP(2,1/(单次交易!$A$2:$A$201=A129),单次交易!$H$2:$H$201),0)+SUMIFS($G$2:$G$1001,$A$2:$A$1001,A129,$B$2:$B$1001,"&lt;"&amp;B129))</f>
        <v/>
      </c>
      <c r="J129" s="17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17" t="str">
        <f t="shared" si="10"/>
        <v/>
      </c>
      <c r="L129" s="18" t="str">
        <f t="shared" si="11"/>
        <v/>
      </c>
      <c r="M129" s="18" t="str">
        <f t="shared" si="12"/>
        <v/>
      </c>
      <c r="N129" s="18" t="str">
        <f t="shared" si="13"/>
        <v/>
      </c>
      <c r="O129" s="18" t="str">
        <f t="shared" si="14"/>
        <v/>
      </c>
      <c r="P129" s="17" t="str">
        <f t="shared" si="15"/>
        <v/>
      </c>
      <c r="Q129" s="17" t="str">
        <f t="shared" si="16"/>
        <v/>
      </c>
      <c r="R129" s="19" t="str">
        <f ca="1" t="shared" si="17"/>
        <v/>
      </c>
    </row>
    <row r="130" ht="17" spans="1:18">
      <c r="A130" s="13"/>
      <c r="B130" s="14"/>
      <c r="C130" s="15"/>
      <c r="D130" s="16"/>
      <c r="E130" s="16"/>
      <c r="F130" s="16"/>
      <c r="G130" s="14"/>
      <c r="H130" s="17" t="str">
        <f t="shared" ref="H130:H193" si="18">IF(OR(A130="",D130="",G130=""),"",D130*G130)</f>
        <v/>
      </c>
      <c r="I130" s="18" t="str">
        <f>IF(OR(A130="",B130=""),"",IFERROR(LOOKUP(2,1/(单次交易!$A$2:$A$201=A130),单次交易!$H$2:$H$201),0)+SUMIFS($G$2:$G$1001,$A$2:$A$1001,A130,$B$2:$B$1001,"&lt;"&amp;B130))</f>
        <v/>
      </c>
      <c r="J130" s="17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17" t="str">
        <f t="shared" ref="K130:K193" si="19">IF(OR(E130="",I130="",J130=""),"",MAX(E130*I130-J130,0))</f>
        <v/>
      </c>
      <c r="L130" s="18" t="str">
        <f t="shared" ref="L130:L193" si="20">IF(OR(D130="",E130="",F130="",D130&lt;=E130),"",FLOOR((F130+K130)/(D130-E130),100))</f>
        <v/>
      </c>
      <c r="M130" s="18" t="str">
        <f t="shared" ref="M130:M193" si="21">IF(OR(A130="",B130="",L130=""),"",IF(B130=1,L130,IFERROR(SUMIFS($G$2:$G$1001,$A$2:$A$1001,A130,$B$2:$B$1001,B130-1),0)))</f>
        <v/>
      </c>
      <c r="N130" s="18" t="str">
        <f t="shared" ref="N130:N193" si="22">IF(OR(L130="",M130=""),"",MIN(L130,M130))</f>
        <v/>
      </c>
      <c r="O130" s="18" t="str">
        <f t="shared" ref="O130:O193" si="23">IF(OR(I130="",G130=""),"",I130+G130)</f>
        <v/>
      </c>
      <c r="P130" s="17" t="str">
        <f t="shared" ref="P130:P193" si="24">IF(OR(O130="",O130=0),"",(J130+H130)/O130)</f>
        <v/>
      </c>
      <c r="Q130" s="17" t="str">
        <f t="shared" ref="Q130:Q193" si="25">IF(OR(O130="",E130=""),"",MAX(J130+H130-E130*O130,0))</f>
        <v/>
      </c>
      <c r="R130" s="19" t="str">
        <f ca="1"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ht="17" spans="1:18">
      <c r="A131" s="13"/>
      <c r="B131" s="14"/>
      <c r="C131" s="15"/>
      <c r="D131" s="16"/>
      <c r="E131" s="16"/>
      <c r="F131" s="16"/>
      <c r="G131" s="14"/>
      <c r="H131" s="17" t="str">
        <f t="shared" si="18"/>
        <v/>
      </c>
      <c r="I131" s="18" t="str">
        <f>IF(OR(A131="",B131=""),"",IFERROR(LOOKUP(2,1/(单次交易!$A$2:$A$201=A131),单次交易!$H$2:$H$201),0)+SUMIFS($G$2:$G$1001,$A$2:$A$1001,A131,$B$2:$B$1001,"&lt;"&amp;B131))</f>
        <v/>
      </c>
      <c r="J131" s="17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17" t="str">
        <f t="shared" si="19"/>
        <v/>
      </c>
      <c r="L131" s="18" t="str">
        <f t="shared" si="20"/>
        <v/>
      </c>
      <c r="M131" s="18" t="str">
        <f t="shared" si="21"/>
        <v/>
      </c>
      <c r="N131" s="18" t="str">
        <f t="shared" si="22"/>
        <v/>
      </c>
      <c r="O131" s="18" t="str">
        <f t="shared" si="23"/>
        <v/>
      </c>
      <c r="P131" s="17" t="str">
        <f t="shared" si="24"/>
        <v/>
      </c>
      <c r="Q131" s="17" t="str">
        <f t="shared" si="25"/>
        <v/>
      </c>
      <c r="R131" s="19" t="str">
        <f ca="1" t="shared" si="26"/>
        <v/>
      </c>
    </row>
    <row r="132" ht="17" spans="1:18">
      <c r="A132" s="13"/>
      <c r="B132" s="14"/>
      <c r="C132" s="15"/>
      <c r="D132" s="16"/>
      <c r="E132" s="16"/>
      <c r="F132" s="16"/>
      <c r="G132" s="14"/>
      <c r="H132" s="17" t="str">
        <f t="shared" si="18"/>
        <v/>
      </c>
      <c r="I132" s="18" t="str">
        <f>IF(OR(A132="",B132=""),"",IFERROR(LOOKUP(2,1/(单次交易!$A$2:$A$201=A132),单次交易!$H$2:$H$201),0)+SUMIFS($G$2:$G$1001,$A$2:$A$1001,A132,$B$2:$B$1001,"&lt;"&amp;B132))</f>
        <v/>
      </c>
      <c r="J132" s="17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17" t="str">
        <f t="shared" si="19"/>
        <v/>
      </c>
      <c r="L132" s="18" t="str">
        <f t="shared" si="20"/>
        <v/>
      </c>
      <c r="M132" s="18" t="str">
        <f t="shared" si="21"/>
        <v/>
      </c>
      <c r="N132" s="18" t="str">
        <f t="shared" si="22"/>
        <v/>
      </c>
      <c r="O132" s="18" t="str">
        <f t="shared" si="23"/>
        <v/>
      </c>
      <c r="P132" s="17" t="str">
        <f t="shared" si="24"/>
        <v/>
      </c>
      <c r="Q132" s="17" t="str">
        <f t="shared" si="25"/>
        <v/>
      </c>
      <c r="R132" s="19" t="str">
        <f ca="1" t="shared" si="26"/>
        <v/>
      </c>
    </row>
    <row r="133" ht="17" spans="1:18">
      <c r="A133" s="13"/>
      <c r="B133" s="14"/>
      <c r="C133" s="15"/>
      <c r="D133" s="16"/>
      <c r="E133" s="16"/>
      <c r="F133" s="16"/>
      <c r="G133" s="14"/>
      <c r="H133" s="17" t="str">
        <f t="shared" si="18"/>
        <v/>
      </c>
      <c r="I133" s="18" t="str">
        <f>IF(OR(A133="",B133=""),"",IFERROR(LOOKUP(2,1/(单次交易!$A$2:$A$201=A133),单次交易!$H$2:$H$201),0)+SUMIFS($G$2:$G$1001,$A$2:$A$1001,A133,$B$2:$B$1001,"&lt;"&amp;B133))</f>
        <v/>
      </c>
      <c r="J133" s="17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17" t="str">
        <f t="shared" si="19"/>
        <v/>
      </c>
      <c r="L133" s="18" t="str">
        <f t="shared" si="20"/>
        <v/>
      </c>
      <c r="M133" s="18" t="str">
        <f t="shared" si="21"/>
        <v/>
      </c>
      <c r="N133" s="18" t="str">
        <f t="shared" si="22"/>
        <v/>
      </c>
      <c r="O133" s="18" t="str">
        <f t="shared" si="23"/>
        <v/>
      </c>
      <c r="P133" s="17" t="str">
        <f t="shared" si="24"/>
        <v/>
      </c>
      <c r="Q133" s="17" t="str">
        <f t="shared" si="25"/>
        <v/>
      </c>
      <c r="R133" s="19" t="str">
        <f ca="1" t="shared" si="26"/>
        <v/>
      </c>
    </row>
    <row r="134" ht="17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ca="1" t="shared" si="26"/>
        <v/>
      </c>
    </row>
    <row r="135" ht="17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ca="1" t="shared" si="26"/>
        <v/>
      </c>
    </row>
    <row r="136" ht="17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ca="1" t="shared" si="26"/>
        <v/>
      </c>
    </row>
    <row r="137" ht="1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ca="1" t="shared" si="26"/>
        <v/>
      </c>
    </row>
    <row r="138" ht="17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ca="1" t="shared" si="26"/>
        <v/>
      </c>
    </row>
    <row r="139" ht="17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ca="1" t="shared" si="26"/>
        <v/>
      </c>
    </row>
    <row r="140" ht="17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ca="1" t="shared" si="26"/>
        <v/>
      </c>
    </row>
    <row r="141" ht="17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ca="1" t="shared" si="26"/>
        <v/>
      </c>
    </row>
    <row r="142" ht="17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ca="1" t="shared" si="26"/>
        <v/>
      </c>
    </row>
    <row r="143" ht="17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ca="1" t="shared" si="26"/>
        <v/>
      </c>
    </row>
    <row r="144" ht="17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ca="1" t="shared" si="26"/>
        <v/>
      </c>
    </row>
    <row r="145" ht="17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ca="1" t="shared" si="26"/>
        <v/>
      </c>
    </row>
    <row r="146" ht="17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ca="1" t="shared" si="26"/>
        <v/>
      </c>
    </row>
    <row r="147" ht="1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ca="1" t="shared" si="26"/>
        <v/>
      </c>
    </row>
    <row r="148" ht="17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ca="1" t="shared" si="26"/>
        <v/>
      </c>
    </row>
    <row r="149" ht="17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ca="1" t="shared" si="26"/>
        <v/>
      </c>
    </row>
    <row r="150" ht="17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ca="1" t="shared" si="26"/>
        <v/>
      </c>
    </row>
    <row r="151" ht="17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ca="1" t="shared" si="26"/>
        <v/>
      </c>
    </row>
    <row r="152" ht="17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ca="1" t="shared" si="26"/>
        <v/>
      </c>
    </row>
    <row r="153" ht="17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ca="1" t="shared" si="26"/>
        <v/>
      </c>
    </row>
    <row r="154" ht="17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ca="1" t="shared" si="26"/>
        <v/>
      </c>
    </row>
    <row r="155" ht="17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ca="1" t="shared" si="26"/>
        <v/>
      </c>
    </row>
    <row r="156" ht="17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ca="1" t="shared" si="26"/>
        <v/>
      </c>
    </row>
    <row r="157" ht="1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ca="1" t="shared" si="26"/>
        <v/>
      </c>
    </row>
    <row r="158" ht="17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ca="1" t="shared" si="26"/>
        <v/>
      </c>
    </row>
    <row r="159" ht="17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ca="1" t="shared" si="26"/>
        <v/>
      </c>
    </row>
    <row r="160" ht="17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ca="1" t="shared" si="26"/>
        <v/>
      </c>
    </row>
    <row r="161" ht="17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ca="1" t="shared" si="26"/>
        <v/>
      </c>
    </row>
    <row r="162" ht="17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ca="1" t="shared" si="26"/>
        <v/>
      </c>
    </row>
    <row r="163" ht="17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ca="1" t="shared" si="26"/>
        <v/>
      </c>
    </row>
    <row r="164" ht="17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ca="1" t="shared" si="26"/>
        <v/>
      </c>
    </row>
    <row r="165" ht="17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ca="1" t="shared" si="26"/>
        <v/>
      </c>
    </row>
    <row r="166" ht="17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ca="1" t="shared" si="26"/>
        <v/>
      </c>
    </row>
    <row r="167" ht="1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ca="1" t="shared" si="26"/>
        <v/>
      </c>
    </row>
    <row r="168" ht="17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ca="1" t="shared" si="26"/>
        <v/>
      </c>
    </row>
    <row r="169" ht="17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ca="1" t="shared" si="26"/>
        <v/>
      </c>
    </row>
    <row r="170" ht="17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ca="1" t="shared" si="26"/>
        <v/>
      </c>
    </row>
    <row r="171" ht="17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ca="1" t="shared" si="26"/>
        <v/>
      </c>
    </row>
    <row r="172" ht="17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ca="1" t="shared" si="26"/>
        <v/>
      </c>
    </row>
    <row r="173" ht="17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ca="1" t="shared" si="26"/>
        <v/>
      </c>
    </row>
    <row r="174" ht="17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ca="1" t="shared" si="26"/>
        <v/>
      </c>
    </row>
    <row r="175" ht="17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ca="1" t="shared" si="26"/>
        <v/>
      </c>
    </row>
    <row r="176" ht="17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ca="1" t="shared" si="26"/>
        <v/>
      </c>
    </row>
    <row r="177" ht="1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ca="1" t="shared" si="26"/>
        <v/>
      </c>
    </row>
    <row r="178" ht="17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ca="1" t="shared" si="26"/>
        <v/>
      </c>
    </row>
    <row r="179" ht="17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ca="1" t="shared" si="26"/>
        <v/>
      </c>
    </row>
    <row r="180" ht="17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ca="1" t="shared" si="26"/>
        <v/>
      </c>
    </row>
    <row r="181" ht="17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ca="1" t="shared" si="26"/>
        <v/>
      </c>
    </row>
    <row r="182" ht="17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ca="1" t="shared" si="26"/>
        <v/>
      </c>
    </row>
    <row r="183" ht="17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ca="1" t="shared" si="26"/>
        <v/>
      </c>
    </row>
    <row r="184" ht="17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ca="1" t="shared" si="26"/>
        <v/>
      </c>
    </row>
    <row r="185" ht="17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ca="1" t="shared" si="26"/>
        <v/>
      </c>
    </row>
    <row r="186" ht="17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ca="1" t="shared" si="26"/>
        <v/>
      </c>
    </row>
    <row r="187" ht="1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ca="1" t="shared" si="26"/>
        <v/>
      </c>
    </row>
    <row r="188" ht="17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ca="1" t="shared" si="26"/>
        <v/>
      </c>
    </row>
    <row r="189" ht="17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ca="1" t="shared" si="26"/>
        <v/>
      </c>
    </row>
    <row r="190" ht="17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ca="1" t="shared" si="26"/>
        <v/>
      </c>
    </row>
    <row r="191" ht="17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ca="1" t="shared" si="26"/>
        <v/>
      </c>
    </row>
    <row r="192" ht="17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ca="1" t="shared" si="26"/>
        <v/>
      </c>
    </row>
    <row r="193" ht="17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ca="1" t="shared" si="26"/>
        <v/>
      </c>
    </row>
    <row r="194" ht="17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ca="1"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ht="17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ca="1" t="shared" si="35"/>
        <v/>
      </c>
    </row>
    <row r="196" ht="17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ca="1" t="shared" si="35"/>
        <v/>
      </c>
    </row>
    <row r="197" ht="1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ca="1" t="shared" si="35"/>
        <v/>
      </c>
    </row>
    <row r="198" ht="17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ca="1" t="shared" si="35"/>
        <v/>
      </c>
    </row>
    <row r="199" ht="17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ca="1" t="shared" si="35"/>
        <v/>
      </c>
    </row>
    <row r="200" ht="17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ca="1" t="shared" si="35"/>
        <v/>
      </c>
    </row>
    <row r="201" ht="17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ca="1" t="shared" si="35"/>
        <v/>
      </c>
    </row>
    <row r="202" ht="17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ca="1" t="shared" si="35"/>
        <v/>
      </c>
    </row>
    <row r="203" ht="17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ca="1" t="shared" si="35"/>
        <v/>
      </c>
    </row>
    <row r="204" ht="17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ca="1" t="shared" si="35"/>
        <v/>
      </c>
    </row>
    <row r="205" ht="17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ca="1" t="shared" si="35"/>
        <v/>
      </c>
    </row>
    <row r="206" ht="17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ca="1" t="shared" si="35"/>
        <v/>
      </c>
    </row>
    <row r="207" ht="1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ca="1" t="shared" si="35"/>
        <v/>
      </c>
    </row>
    <row r="208" ht="17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ca="1" t="shared" si="35"/>
        <v/>
      </c>
    </row>
    <row r="209" ht="17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ca="1" t="shared" si="35"/>
        <v/>
      </c>
    </row>
    <row r="210" ht="17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ca="1" t="shared" si="35"/>
        <v/>
      </c>
    </row>
    <row r="211" ht="17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ca="1" t="shared" si="35"/>
        <v/>
      </c>
    </row>
    <row r="212" ht="17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ca="1" t="shared" si="35"/>
        <v/>
      </c>
    </row>
    <row r="213" ht="17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ca="1" t="shared" si="35"/>
        <v/>
      </c>
    </row>
    <row r="214" ht="17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ca="1" t="shared" si="35"/>
        <v/>
      </c>
    </row>
    <row r="215" ht="17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ca="1" t="shared" si="35"/>
        <v/>
      </c>
    </row>
    <row r="216" ht="17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ca="1" t="shared" si="35"/>
        <v/>
      </c>
    </row>
    <row r="217" ht="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ca="1" t="shared" si="35"/>
        <v/>
      </c>
    </row>
    <row r="218" ht="17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ca="1" t="shared" si="35"/>
        <v/>
      </c>
    </row>
    <row r="219" ht="17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ca="1" t="shared" si="35"/>
        <v/>
      </c>
    </row>
    <row r="220" ht="17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ca="1" t="shared" si="35"/>
        <v/>
      </c>
    </row>
    <row r="221" ht="17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ca="1" t="shared" si="35"/>
        <v/>
      </c>
    </row>
    <row r="222" ht="17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ca="1" t="shared" si="35"/>
        <v/>
      </c>
    </row>
    <row r="223" ht="17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ca="1" t="shared" si="35"/>
        <v/>
      </c>
    </row>
    <row r="224" ht="17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ca="1" t="shared" si="35"/>
        <v/>
      </c>
    </row>
    <row r="225" ht="17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ca="1" t="shared" si="35"/>
        <v/>
      </c>
    </row>
    <row r="226" ht="17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ca="1" t="shared" si="35"/>
        <v/>
      </c>
    </row>
    <row r="227" ht="1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ca="1" t="shared" si="35"/>
        <v/>
      </c>
    </row>
    <row r="228" ht="17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ca="1" t="shared" si="35"/>
        <v/>
      </c>
    </row>
    <row r="229" ht="17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ca="1" t="shared" si="35"/>
        <v/>
      </c>
    </row>
    <row r="230" ht="17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ca="1" t="shared" si="35"/>
        <v/>
      </c>
    </row>
    <row r="231" ht="17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ca="1" t="shared" si="35"/>
        <v/>
      </c>
    </row>
    <row r="232" ht="17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ca="1" t="shared" si="35"/>
        <v/>
      </c>
    </row>
    <row r="233" ht="17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ca="1" t="shared" si="35"/>
        <v/>
      </c>
    </row>
    <row r="234" ht="17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ca="1" t="shared" si="35"/>
        <v/>
      </c>
    </row>
    <row r="235" ht="17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ca="1" t="shared" si="35"/>
        <v/>
      </c>
    </row>
    <row r="236" ht="17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ca="1" t="shared" si="35"/>
        <v/>
      </c>
    </row>
    <row r="237" ht="1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ca="1" t="shared" si="35"/>
        <v/>
      </c>
    </row>
    <row r="238" ht="17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ca="1" t="shared" si="35"/>
        <v/>
      </c>
    </row>
    <row r="239" ht="17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ca="1" t="shared" si="35"/>
        <v/>
      </c>
    </row>
    <row r="240" ht="17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ca="1" t="shared" si="35"/>
        <v/>
      </c>
    </row>
    <row r="241" ht="17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ca="1" t="shared" si="35"/>
        <v/>
      </c>
    </row>
    <row r="242" ht="17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ca="1" t="shared" si="35"/>
        <v/>
      </c>
    </row>
    <row r="243" ht="17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ca="1" t="shared" si="35"/>
        <v/>
      </c>
    </row>
    <row r="244" ht="17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ca="1" t="shared" si="35"/>
        <v/>
      </c>
    </row>
    <row r="245" ht="17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ca="1" t="shared" si="35"/>
        <v/>
      </c>
    </row>
    <row r="246" ht="17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ca="1" t="shared" si="35"/>
        <v/>
      </c>
    </row>
    <row r="247" ht="1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ca="1" t="shared" si="35"/>
        <v/>
      </c>
    </row>
    <row r="248" ht="17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ca="1" t="shared" si="35"/>
        <v/>
      </c>
    </row>
    <row r="249" ht="17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ca="1" t="shared" si="35"/>
        <v/>
      </c>
    </row>
    <row r="250" ht="17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ca="1" t="shared" si="35"/>
        <v/>
      </c>
    </row>
    <row r="251" ht="17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ca="1" t="shared" si="35"/>
        <v/>
      </c>
    </row>
    <row r="252" ht="17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ca="1" t="shared" si="35"/>
        <v/>
      </c>
    </row>
    <row r="253" ht="17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ca="1" t="shared" si="35"/>
        <v/>
      </c>
    </row>
    <row r="254" ht="17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ca="1" t="shared" si="35"/>
        <v/>
      </c>
    </row>
    <row r="255" ht="17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ca="1" t="shared" si="35"/>
        <v/>
      </c>
    </row>
    <row r="256" ht="17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ca="1" t="shared" si="35"/>
        <v/>
      </c>
    </row>
    <row r="257" ht="1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ca="1" t="shared" si="35"/>
        <v/>
      </c>
    </row>
    <row r="258" ht="17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ca="1"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ht="17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ca="1" t="shared" si="44"/>
        <v/>
      </c>
    </row>
    <row r="260" ht="17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ca="1" t="shared" si="44"/>
        <v/>
      </c>
    </row>
    <row r="261" ht="17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ca="1" t="shared" si="44"/>
        <v/>
      </c>
    </row>
    <row r="262" ht="17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ca="1" t="shared" si="44"/>
        <v/>
      </c>
    </row>
    <row r="263" ht="17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ca="1" t="shared" si="44"/>
        <v/>
      </c>
    </row>
    <row r="264" ht="17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ca="1" t="shared" si="44"/>
        <v/>
      </c>
    </row>
    <row r="265" ht="17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ca="1" t="shared" si="44"/>
        <v/>
      </c>
    </row>
    <row r="266" ht="17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ca="1" t="shared" si="44"/>
        <v/>
      </c>
    </row>
    <row r="267" ht="1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ca="1" t="shared" si="44"/>
        <v/>
      </c>
    </row>
    <row r="268" ht="17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ca="1" t="shared" si="44"/>
        <v/>
      </c>
    </row>
    <row r="269" ht="17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ca="1" t="shared" si="44"/>
        <v/>
      </c>
    </row>
    <row r="270" ht="17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ca="1" t="shared" si="44"/>
        <v/>
      </c>
    </row>
    <row r="271" ht="17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ca="1" t="shared" si="44"/>
        <v/>
      </c>
    </row>
    <row r="272" ht="17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ca="1" t="shared" si="44"/>
        <v/>
      </c>
    </row>
    <row r="273" ht="17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ca="1" t="shared" si="44"/>
        <v/>
      </c>
    </row>
    <row r="274" ht="17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ca="1" t="shared" si="44"/>
        <v/>
      </c>
    </row>
    <row r="275" ht="17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ca="1" t="shared" si="44"/>
        <v/>
      </c>
    </row>
    <row r="276" ht="17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ca="1" t="shared" si="44"/>
        <v/>
      </c>
    </row>
    <row r="277" ht="1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ca="1" t="shared" si="44"/>
        <v/>
      </c>
    </row>
    <row r="278" ht="17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ca="1" t="shared" si="44"/>
        <v/>
      </c>
    </row>
    <row r="279" ht="17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ca="1" t="shared" si="44"/>
        <v/>
      </c>
    </row>
    <row r="280" ht="17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ca="1" t="shared" si="44"/>
        <v/>
      </c>
    </row>
    <row r="281" ht="17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ca="1" t="shared" si="44"/>
        <v/>
      </c>
    </row>
    <row r="282" ht="17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ca="1" t="shared" si="44"/>
        <v/>
      </c>
    </row>
    <row r="283" ht="17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ca="1" t="shared" si="44"/>
        <v/>
      </c>
    </row>
    <row r="284" ht="17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ca="1" t="shared" si="44"/>
        <v/>
      </c>
    </row>
    <row r="285" ht="17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ca="1" t="shared" si="44"/>
        <v/>
      </c>
    </row>
    <row r="286" ht="17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ca="1" t="shared" si="44"/>
        <v/>
      </c>
    </row>
    <row r="287" ht="1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ca="1" t="shared" si="44"/>
        <v/>
      </c>
    </row>
    <row r="288" ht="17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ca="1" t="shared" si="44"/>
        <v/>
      </c>
    </row>
    <row r="289" ht="17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ca="1" t="shared" si="44"/>
        <v/>
      </c>
    </row>
    <row r="290" ht="17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ca="1" t="shared" si="44"/>
        <v/>
      </c>
    </row>
    <row r="291" ht="17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ca="1" t="shared" si="44"/>
        <v/>
      </c>
    </row>
    <row r="292" ht="17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ca="1" t="shared" si="44"/>
        <v/>
      </c>
    </row>
    <row r="293" ht="17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ca="1" t="shared" si="44"/>
        <v/>
      </c>
    </row>
    <row r="294" ht="17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ca="1" t="shared" si="44"/>
        <v/>
      </c>
    </row>
    <row r="295" ht="17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ca="1" t="shared" si="44"/>
        <v/>
      </c>
    </row>
    <row r="296" ht="17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ca="1" t="shared" si="44"/>
        <v/>
      </c>
    </row>
    <row r="297" ht="1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ca="1" t="shared" si="44"/>
        <v/>
      </c>
    </row>
    <row r="298" ht="17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ca="1" t="shared" si="44"/>
        <v/>
      </c>
    </row>
    <row r="299" ht="17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ca="1" t="shared" si="44"/>
        <v/>
      </c>
    </row>
    <row r="300" ht="17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ca="1" t="shared" si="44"/>
        <v/>
      </c>
    </row>
    <row r="301" ht="17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ca="1" t="shared" si="44"/>
        <v/>
      </c>
    </row>
    <row r="302" ht="17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ca="1" t="shared" si="44"/>
        <v/>
      </c>
    </row>
    <row r="303" ht="17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ca="1" t="shared" si="44"/>
        <v/>
      </c>
    </row>
    <row r="304" ht="17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ca="1" t="shared" si="44"/>
        <v/>
      </c>
    </row>
    <row r="305" ht="17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ca="1" t="shared" si="44"/>
        <v/>
      </c>
    </row>
    <row r="306" ht="17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ca="1" t="shared" si="44"/>
        <v/>
      </c>
    </row>
    <row r="307" ht="1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ca="1" t="shared" si="44"/>
        <v/>
      </c>
    </row>
    <row r="308" ht="17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ca="1" t="shared" si="44"/>
        <v/>
      </c>
    </row>
    <row r="309" ht="17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ca="1" t="shared" si="44"/>
        <v/>
      </c>
    </row>
    <row r="310" ht="17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ca="1" t="shared" si="44"/>
        <v/>
      </c>
    </row>
    <row r="311" ht="17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ca="1" t="shared" si="44"/>
        <v/>
      </c>
    </row>
    <row r="312" ht="17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ca="1" t="shared" si="44"/>
        <v/>
      </c>
    </row>
    <row r="313" ht="17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ca="1" t="shared" si="44"/>
        <v/>
      </c>
    </row>
    <row r="314" ht="17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ca="1" t="shared" si="44"/>
        <v/>
      </c>
    </row>
    <row r="315" ht="17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ca="1" t="shared" si="44"/>
        <v/>
      </c>
    </row>
    <row r="316" ht="17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ca="1" t="shared" si="44"/>
        <v/>
      </c>
    </row>
    <row r="317" ht="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ca="1" t="shared" si="44"/>
        <v/>
      </c>
    </row>
    <row r="318" ht="17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ca="1" t="shared" si="44"/>
        <v/>
      </c>
    </row>
    <row r="319" ht="17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ca="1" t="shared" si="44"/>
        <v/>
      </c>
    </row>
    <row r="320" ht="17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ca="1" t="shared" si="44"/>
        <v/>
      </c>
    </row>
    <row r="321" ht="17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ca="1" t="shared" si="44"/>
        <v/>
      </c>
    </row>
    <row r="322" ht="17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ca="1"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ht="17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ca="1" t="shared" si="53"/>
        <v/>
      </c>
    </row>
    <row r="324" ht="17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ca="1" t="shared" si="53"/>
        <v/>
      </c>
    </row>
    <row r="325" ht="17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ca="1" t="shared" si="53"/>
        <v/>
      </c>
    </row>
    <row r="326" ht="17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ca="1" t="shared" si="53"/>
        <v/>
      </c>
    </row>
    <row r="327" ht="1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ca="1" t="shared" si="53"/>
        <v/>
      </c>
    </row>
    <row r="328" ht="17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ca="1" t="shared" si="53"/>
        <v/>
      </c>
    </row>
    <row r="329" ht="17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ca="1" t="shared" si="53"/>
        <v/>
      </c>
    </row>
    <row r="330" ht="17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ca="1" t="shared" si="53"/>
        <v/>
      </c>
    </row>
    <row r="331" ht="17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ca="1" t="shared" si="53"/>
        <v/>
      </c>
    </row>
    <row r="332" ht="17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ca="1" t="shared" si="53"/>
        <v/>
      </c>
    </row>
    <row r="333" ht="17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ca="1" t="shared" si="53"/>
        <v/>
      </c>
    </row>
    <row r="334" ht="17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ca="1" t="shared" si="53"/>
        <v/>
      </c>
    </row>
    <row r="335" ht="17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ca="1" t="shared" si="53"/>
        <v/>
      </c>
    </row>
    <row r="336" ht="17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ca="1" t="shared" si="53"/>
        <v/>
      </c>
    </row>
    <row r="337" ht="1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ca="1" t="shared" si="53"/>
        <v/>
      </c>
    </row>
    <row r="338" ht="17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ca="1" t="shared" si="53"/>
        <v/>
      </c>
    </row>
    <row r="339" ht="17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ca="1" t="shared" si="53"/>
        <v/>
      </c>
    </row>
    <row r="340" ht="17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ca="1" t="shared" si="53"/>
        <v/>
      </c>
    </row>
    <row r="341" ht="17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ca="1" t="shared" si="53"/>
        <v/>
      </c>
    </row>
    <row r="342" ht="17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ca="1" t="shared" si="53"/>
        <v/>
      </c>
    </row>
    <row r="343" ht="17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ca="1" t="shared" si="53"/>
        <v/>
      </c>
    </row>
    <row r="344" ht="17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ca="1" t="shared" si="53"/>
        <v/>
      </c>
    </row>
    <row r="345" ht="17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ca="1" t="shared" si="53"/>
        <v/>
      </c>
    </row>
    <row r="346" ht="17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ca="1" t="shared" si="53"/>
        <v/>
      </c>
    </row>
    <row r="347" ht="1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ca="1" t="shared" si="53"/>
        <v/>
      </c>
    </row>
    <row r="348" ht="17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ca="1" t="shared" si="53"/>
        <v/>
      </c>
    </row>
    <row r="349" ht="17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ca="1" t="shared" si="53"/>
        <v/>
      </c>
    </row>
    <row r="350" ht="17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ca="1" t="shared" si="53"/>
        <v/>
      </c>
    </row>
    <row r="351" ht="17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ca="1" t="shared" si="53"/>
        <v/>
      </c>
    </row>
    <row r="352" ht="17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ca="1" t="shared" si="53"/>
        <v/>
      </c>
    </row>
    <row r="353" ht="17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ca="1" t="shared" si="53"/>
        <v/>
      </c>
    </row>
    <row r="354" ht="17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ca="1" t="shared" si="53"/>
        <v/>
      </c>
    </row>
    <row r="355" ht="17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ca="1" t="shared" si="53"/>
        <v/>
      </c>
    </row>
    <row r="356" ht="17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ca="1" t="shared" si="53"/>
        <v/>
      </c>
    </row>
    <row r="357" ht="1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ca="1" t="shared" si="53"/>
        <v/>
      </c>
    </row>
    <row r="358" ht="17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ca="1" t="shared" si="53"/>
        <v/>
      </c>
    </row>
    <row r="359" ht="17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ca="1" t="shared" si="53"/>
        <v/>
      </c>
    </row>
    <row r="360" ht="17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ca="1" t="shared" si="53"/>
        <v/>
      </c>
    </row>
    <row r="361" ht="17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ca="1" t="shared" si="53"/>
        <v/>
      </c>
    </row>
    <row r="362" ht="17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ca="1" t="shared" si="53"/>
        <v/>
      </c>
    </row>
    <row r="363" ht="17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ca="1" t="shared" si="53"/>
        <v/>
      </c>
    </row>
    <row r="364" ht="17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ca="1" t="shared" si="53"/>
        <v/>
      </c>
    </row>
    <row r="365" ht="17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ca="1" t="shared" si="53"/>
        <v/>
      </c>
    </row>
    <row r="366" ht="17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ca="1" t="shared" si="53"/>
        <v/>
      </c>
    </row>
    <row r="367" ht="1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ca="1" t="shared" si="53"/>
        <v/>
      </c>
    </row>
    <row r="368" ht="17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ca="1" t="shared" si="53"/>
        <v/>
      </c>
    </row>
    <row r="369" ht="17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ca="1" t="shared" si="53"/>
        <v/>
      </c>
    </row>
    <row r="370" ht="17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ca="1" t="shared" si="53"/>
        <v/>
      </c>
    </row>
    <row r="371" ht="17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ca="1" t="shared" si="53"/>
        <v/>
      </c>
    </row>
    <row r="372" ht="17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ca="1" t="shared" si="53"/>
        <v/>
      </c>
    </row>
    <row r="373" ht="17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ca="1" t="shared" si="53"/>
        <v/>
      </c>
    </row>
    <row r="374" ht="17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ca="1" t="shared" si="53"/>
        <v/>
      </c>
    </row>
    <row r="375" ht="17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ca="1" t="shared" si="53"/>
        <v/>
      </c>
    </row>
    <row r="376" ht="17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ca="1" t="shared" si="53"/>
        <v/>
      </c>
    </row>
    <row r="377" ht="1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ca="1" t="shared" si="53"/>
        <v/>
      </c>
    </row>
    <row r="378" ht="17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ca="1" t="shared" si="53"/>
        <v/>
      </c>
    </row>
    <row r="379" ht="17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ca="1" t="shared" si="53"/>
        <v/>
      </c>
    </row>
    <row r="380" ht="17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ca="1" t="shared" si="53"/>
        <v/>
      </c>
    </row>
    <row r="381" ht="17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ca="1" t="shared" si="53"/>
        <v/>
      </c>
    </row>
    <row r="382" ht="17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ca="1" t="shared" si="53"/>
        <v/>
      </c>
    </row>
    <row r="383" ht="17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ca="1" t="shared" si="53"/>
        <v/>
      </c>
    </row>
    <row r="384" ht="17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ca="1" t="shared" si="53"/>
        <v/>
      </c>
    </row>
    <row r="385" ht="17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ca="1" t="shared" si="53"/>
        <v/>
      </c>
    </row>
    <row r="386" ht="17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ca="1"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ht="1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ca="1" t="shared" si="62"/>
        <v/>
      </c>
    </row>
    <row r="388" ht="17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ca="1" t="shared" si="62"/>
        <v/>
      </c>
    </row>
    <row r="389" ht="17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ca="1" t="shared" si="62"/>
        <v/>
      </c>
    </row>
    <row r="390" ht="17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ca="1" t="shared" si="62"/>
        <v/>
      </c>
    </row>
    <row r="391" ht="17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ca="1" t="shared" si="62"/>
        <v/>
      </c>
    </row>
    <row r="392" ht="17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ca="1" t="shared" si="62"/>
        <v/>
      </c>
    </row>
    <row r="393" ht="17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ca="1" t="shared" si="62"/>
        <v/>
      </c>
    </row>
    <row r="394" ht="17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ca="1" t="shared" si="62"/>
        <v/>
      </c>
    </row>
    <row r="395" ht="17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ca="1" t="shared" si="62"/>
        <v/>
      </c>
    </row>
    <row r="396" ht="17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ca="1" t="shared" si="62"/>
        <v/>
      </c>
    </row>
    <row r="397" ht="1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ca="1" t="shared" si="62"/>
        <v/>
      </c>
    </row>
    <row r="398" ht="17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ca="1" t="shared" si="62"/>
        <v/>
      </c>
    </row>
    <row r="399" ht="17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ca="1" t="shared" si="62"/>
        <v/>
      </c>
    </row>
    <row r="400" ht="17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ca="1" t="shared" si="62"/>
        <v/>
      </c>
    </row>
    <row r="401" ht="17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ca="1" t="shared" si="62"/>
        <v/>
      </c>
    </row>
    <row r="402" ht="17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ca="1" t="shared" si="62"/>
        <v/>
      </c>
    </row>
    <row r="403" ht="17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ca="1" t="shared" si="62"/>
        <v/>
      </c>
    </row>
    <row r="404" ht="17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ca="1" t="shared" si="62"/>
        <v/>
      </c>
    </row>
    <row r="405" ht="17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ca="1" t="shared" si="62"/>
        <v/>
      </c>
    </row>
    <row r="406" ht="17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ca="1" t="shared" si="62"/>
        <v/>
      </c>
    </row>
    <row r="407" ht="1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ca="1" t="shared" si="62"/>
        <v/>
      </c>
    </row>
    <row r="408" ht="17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ca="1" t="shared" si="62"/>
        <v/>
      </c>
    </row>
    <row r="409" ht="17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ca="1" t="shared" si="62"/>
        <v/>
      </c>
    </row>
    <row r="410" ht="17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ca="1" t="shared" si="62"/>
        <v/>
      </c>
    </row>
    <row r="411" ht="17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ca="1" t="shared" si="62"/>
        <v/>
      </c>
    </row>
    <row r="412" ht="17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ca="1" t="shared" si="62"/>
        <v/>
      </c>
    </row>
    <row r="413" ht="17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ca="1" t="shared" si="62"/>
        <v/>
      </c>
    </row>
    <row r="414" ht="17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ca="1" t="shared" si="62"/>
        <v/>
      </c>
    </row>
    <row r="415" ht="17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ca="1" t="shared" si="62"/>
        <v/>
      </c>
    </row>
    <row r="416" ht="17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ca="1" t="shared" si="62"/>
        <v/>
      </c>
    </row>
    <row r="417" ht="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ca="1" t="shared" si="62"/>
        <v/>
      </c>
    </row>
    <row r="418" ht="17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ca="1" t="shared" si="62"/>
        <v/>
      </c>
    </row>
    <row r="419" ht="17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ca="1" t="shared" si="62"/>
        <v/>
      </c>
    </row>
    <row r="420" ht="17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ca="1" t="shared" si="62"/>
        <v/>
      </c>
    </row>
    <row r="421" ht="17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ca="1" t="shared" si="62"/>
        <v/>
      </c>
    </row>
    <row r="422" ht="17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ca="1" t="shared" si="62"/>
        <v/>
      </c>
    </row>
    <row r="423" ht="17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ca="1" t="shared" si="62"/>
        <v/>
      </c>
    </row>
    <row r="424" ht="17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ca="1" t="shared" si="62"/>
        <v/>
      </c>
    </row>
    <row r="425" ht="17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ca="1" t="shared" si="62"/>
        <v/>
      </c>
    </row>
    <row r="426" ht="17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ca="1" t="shared" si="62"/>
        <v/>
      </c>
    </row>
    <row r="427" ht="1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ca="1" t="shared" si="62"/>
        <v/>
      </c>
    </row>
    <row r="428" ht="17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ca="1" t="shared" si="62"/>
        <v/>
      </c>
    </row>
    <row r="429" ht="17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ca="1" t="shared" si="62"/>
        <v/>
      </c>
    </row>
    <row r="430" ht="17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ca="1" t="shared" si="62"/>
        <v/>
      </c>
    </row>
    <row r="431" ht="17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ca="1" t="shared" si="62"/>
        <v/>
      </c>
    </row>
    <row r="432" ht="17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ca="1" t="shared" si="62"/>
        <v/>
      </c>
    </row>
    <row r="433" ht="17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ca="1" t="shared" si="62"/>
        <v/>
      </c>
    </row>
    <row r="434" ht="17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ca="1" t="shared" si="62"/>
        <v/>
      </c>
    </row>
    <row r="435" ht="17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ca="1" t="shared" si="62"/>
        <v/>
      </c>
    </row>
    <row r="436" ht="17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ca="1" t="shared" si="62"/>
        <v/>
      </c>
    </row>
    <row r="437" ht="1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ca="1" t="shared" si="62"/>
        <v/>
      </c>
    </row>
    <row r="438" ht="17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ca="1" t="shared" si="62"/>
        <v/>
      </c>
    </row>
    <row r="439" ht="17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ca="1" t="shared" si="62"/>
        <v/>
      </c>
    </row>
    <row r="440" ht="17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ca="1" t="shared" si="62"/>
        <v/>
      </c>
    </row>
    <row r="441" ht="17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ca="1" t="shared" si="62"/>
        <v/>
      </c>
    </row>
    <row r="442" ht="17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ca="1" t="shared" si="62"/>
        <v/>
      </c>
    </row>
    <row r="443" ht="17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ca="1" t="shared" si="62"/>
        <v/>
      </c>
    </row>
    <row r="444" ht="17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ca="1" t="shared" si="62"/>
        <v/>
      </c>
    </row>
    <row r="445" ht="17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ca="1" t="shared" si="62"/>
        <v/>
      </c>
    </row>
    <row r="446" ht="17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ca="1" t="shared" si="62"/>
        <v/>
      </c>
    </row>
    <row r="447" ht="1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ca="1" t="shared" si="62"/>
        <v/>
      </c>
    </row>
    <row r="448" ht="17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ca="1" t="shared" si="62"/>
        <v/>
      </c>
    </row>
    <row r="449" ht="17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ca="1" t="shared" si="62"/>
        <v/>
      </c>
    </row>
    <row r="450" ht="17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ca="1"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ht="17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ca="1" t="shared" si="71"/>
        <v/>
      </c>
    </row>
    <row r="452" ht="17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ca="1" t="shared" si="71"/>
        <v/>
      </c>
    </row>
    <row r="453" ht="17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ca="1" t="shared" si="71"/>
        <v/>
      </c>
    </row>
    <row r="454" ht="17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ca="1" t="shared" si="71"/>
        <v/>
      </c>
    </row>
    <row r="455" ht="17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ca="1" t="shared" si="71"/>
        <v/>
      </c>
    </row>
    <row r="456" ht="17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ca="1" t="shared" si="71"/>
        <v/>
      </c>
    </row>
    <row r="457" ht="1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ca="1" t="shared" si="71"/>
        <v/>
      </c>
    </row>
    <row r="458" ht="17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ca="1" t="shared" si="71"/>
        <v/>
      </c>
    </row>
    <row r="459" ht="17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ca="1" t="shared" si="71"/>
        <v/>
      </c>
    </row>
    <row r="460" ht="17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ca="1" t="shared" si="71"/>
        <v/>
      </c>
    </row>
    <row r="461" ht="17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ca="1" t="shared" si="71"/>
        <v/>
      </c>
    </row>
    <row r="462" ht="17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ca="1" t="shared" si="71"/>
        <v/>
      </c>
    </row>
    <row r="463" ht="17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ca="1" t="shared" si="71"/>
        <v/>
      </c>
    </row>
    <row r="464" ht="17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ca="1" t="shared" si="71"/>
        <v/>
      </c>
    </row>
    <row r="465" ht="17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ca="1" t="shared" si="71"/>
        <v/>
      </c>
    </row>
    <row r="466" ht="17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ca="1" t="shared" si="71"/>
        <v/>
      </c>
    </row>
    <row r="467" ht="1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ca="1" t="shared" si="71"/>
        <v/>
      </c>
    </row>
    <row r="468" ht="17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ca="1" t="shared" si="71"/>
        <v/>
      </c>
    </row>
    <row r="469" ht="17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ca="1" t="shared" si="71"/>
        <v/>
      </c>
    </row>
    <row r="470" ht="17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ca="1" t="shared" si="71"/>
        <v/>
      </c>
    </row>
    <row r="471" ht="17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ca="1" t="shared" si="71"/>
        <v/>
      </c>
    </row>
    <row r="472" ht="17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ca="1" t="shared" si="71"/>
        <v/>
      </c>
    </row>
    <row r="473" ht="17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ca="1" t="shared" si="71"/>
        <v/>
      </c>
    </row>
    <row r="474" ht="17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ca="1" t="shared" si="71"/>
        <v/>
      </c>
    </row>
    <row r="475" ht="17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ca="1" t="shared" si="71"/>
        <v/>
      </c>
    </row>
    <row r="476" ht="17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ca="1" t="shared" si="71"/>
        <v/>
      </c>
    </row>
    <row r="477" ht="1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ca="1" t="shared" si="71"/>
        <v/>
      </c>
    </row>
    <row r="478" ht="17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ca="1" t="shared" si="71"/>
        <v/>
      </c>
    </row>
    <row r="479" ht="17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ca="1" t="shared" si="71"/>
        <v/>
      </c>
    </row>
    <row r="480" ht="17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ca="1" t="shared" si="71"/>
        <v/>
      </c>
    </row>
    <row r="481" ht="17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ca="1" t="shared" si="71"/>
        <v/>
      </c>
    </row>
    <row r="482" ht="17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ca="1" t="shared" si="71"/>
        <v/>
      </c>
    </row>
    <row r="483" ht="17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ca="1" t="shared" si="71"/>
        <v/>
      </c>
    </row>
    <row r="484" ht="17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ca="1" t="shared" si="71"/>
        <v/>
      </c>
    </row>
    <row r="485" ht="17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ca="1" t="shared" si="71"/>
        <v/>
      </c>
    </row>
    <row r="486" ht="17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ca="1" t="shared" si="71"/>
        <v/>
      </c>
    </row>
    <row r="487" ht="1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ca="1" t="shared" si="71"/>
        <v/>
      </c>
    </row>
    <row r="488" ht="17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ca="1" t="shared" si="71"/>
        <v/>
      </c>
    </row>
    <row r="489" ht="17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ca="1" t="shared" si="71"/>
        <v/>
      </c>
    </row>
    <row r="490" ht="17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ca="1" t="shared" si="71"/>
        <v/>
      </c>
    </row>
    <row r="491" ht="17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ca="1" t="shared" si="71"/>
        <v/>
      </c>
    </row>
    <row r="492" ht="17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ca="1" t="shared" si="71"/>
        <v/>
      </c>
    </row>
    <row r="493" ht="17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ca="1" t="shared" si="71"/>
        <v/>
      </c>
    </row>
    <row r="494" ht="17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ca="1" t="shared" si="71"/>
        <v/>
      </c>
    </row>
    <row r="495" ht="17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ca="1" t="shared" si="71"/>
        <v/>
      </c>
    </row>
    <row r="496" ht="17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ca="1" t="shared" si="71"/>
        <v/>
      </c>
    </row>
    <row r="497" ht="1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ca="1" t="shared" si="71"/>
        <v/>
      </c>
    </row>
    <row r="498" ht="17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ca="1" t="shared" si="71"/>
        <v/>
      </c>
    </row>
    <row r="499" ht="17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ca="1" t="shared" si="71"/>
        <v/>
      </c>
    </row>
    <row r="500" ht="17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ca="1" t="shared" si="71"/>
        <v/>
      </c>
    </row>
    <row r="501" ht="17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ca="1" t="shared" si="71"/>
        <v/>
      </c>
    </row>
    <row r="502" ht="17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ca="1" t="shared" si="71"/>
        <v/>
      </c>
    </row>
    <row r="503" ht="17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ca="1" t="shared" si="71"/>
        <v/>
      </c>
    </row>
    <row r="504" ht="17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ca="1" t="shared" si="71"/>
        <v/>
      </c>
    </row>
    <row r="505" ht="17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ca="1" t="shared" si="71"/>
        <v/>
      </c>
    </row>
    <row r="506" ht="17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ca="1" t="shared" si="71"/>
        <v/>
      </c>
    </row>
    <row r="507" ht="1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ca="1" t="shared" si="71"/>
        <v/>
      </c>
    </row>
    <row r="508" ht="17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ca="1" t="shared" si="71"/>
        <v/>
      </c>
    </row>
    <row r="509" ht="17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ca="1" t="shared" si="71"/>
        <v/>
      </c>
    </row>
    <row r="510" ht="17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ca="1" t="shared" si="71"/>
        <v/>
      </c>
    </row>
    <row r="511" ht="17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ca="1" t="shared" si="71"/>
        <v/>
      </c>
    </row>
    <row r="512" ht="17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ca="1" t="shared" si="71"/>
        <v/>
      </c>
    </row>
    <row r="513" ht="17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ca="1" t="shared" si="71"/>
        <v/>
      </c>
    </row>
    <row r="514" ht="17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ca="1"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ht="17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ca="1" t="shared" si="80"/>
        <v/>
      </c>
    </row>
    <row r="516" ht="17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ca="1" t="shared" si="80"/>
        <v/>
      </c>
    </row>
    <row r="517" ht="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ca="1" t="shared" si="80"/>
        <v/>
      </c>
    </row>
    <row r="518" ht="17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ca="1" t="shared" si="80"/>
        <v/>
      </c>
    </row>
    <row r="519" ht="17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ca="1" t="shared" si="80"/>
        <v/>
      </c>
    </row>
    <row r="520" ht="17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ca="1" t="shared" si="80"/>
        <v/>
      </c>
    </row>
    <row r="521" ht="17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ca="1" t="shared" si="80"/>
        <v/>
      </c>
    </row>
    <row r="522" ht="17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ca="1" t="shared" si="80"/>
        <v/>
      </c>
    </row>
    <row r="523" ht="17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ca="1" t="shared" si="80"/>
        <v/>
      </c>
    </row>
    <row r="524" ht="17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ca="1" t="shared" si="80"/>
        <v/>
      </c>
    </row>
    <row r="525" ht="17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ca="1" t="shared" si="80"/>
        <v/>
      </c>
    </row>
    <row r="526" ht="17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ca="1" t="shared" si="80"/>
        <v/>
      </c>
    </row>
    <row r="527" ht="1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ca="1" t="shared" si="80"/>
        <v/>
      </c>
    </row>
    <row r="528" ht="17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ca="1" t="shared" si="80"/>
        <v/>
      </c>
    </row>
    <row r="529" ht="17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ca="1" t="shared" si="80"/>
        <v/>
      </c>
    </row>
    <row r="530" ht="17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ca="1" t="shared" si="80"/>
        <v/>
      </c>
    </row>
    <row r="531" ht="17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ca="1" t="shared" si="80"/>
        <v/>
      </c>
    </row>
    <row r="532" ht="17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ca="1" t="shared" si="80"/>
        <v/>
      </c>
    </row>
    <row r="533" ht="17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ca="1" t="shared" si="80"/>
        <v/>
      </c>
    </row>
    <row r="534" ht="17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ca="1" t="shared" si="80"/>
        <v/>
      </c>
    </row>
    <row r="535" ht="17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ca="1" t="shared" si="80"/>
        <v/>
      </c>
    </row>
    <row r="536" ht="17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ca="1" t="shared" si="80"/>
        <v/>
      </c>
    </row>
    <row r="537" ht="1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ca="1" t="shared" si="80"/>
        <v/>
      </c>
    </row>
    <row r="538" ht="17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ca="1" t="shared" si="80"/>
        <v/>
      </c>
    </row>
    <row r="539" ht="17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ca="1" t="shared" si="80"/>
        <v/>
      </c>
    </row>
    <row r="540" ht="17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ca="1" t="shared" si="80"/>
        <v/>
      </c>
    </row>
    <row r="541" ht="17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ca="1" t="shared" si="80"/>
        <v/>
      </c>
    </row>
    <row r="542" ht="17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ca="1" t="shared" si="80"/>
        <v/>
      </c>
    </row>
    <row r="543" ht="17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ca="1" t="shared" si="80"/>
        <v/>
      </c>
    </row>
    <row r="544" ht="17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ca="1" t="shared" si="80"/>
        <v/>
      </c>
    </row>
    <row r="545" ht="17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ca="1" t="shared" si="80"/>
        <v/>
      </c>
    </row>
    <row r="546" ht="17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ca="1" t="shared" si="80"/>
        <v/>
      </c>
    </row>
    <row r="547" ht="1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ca="1" t="shared" si="80"/>
        <v/>
      </c>
    </row>
    <row r="548" ht="17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ca="1" t="shared" si="80"/>
        <v/>
      </c>
    </row>
    <row r="549" ht="17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ca="1" t="shared" si="80"/>
        <v/>
      </c>
    </row>
    <row r="550" ht="17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ca="1" t="shared" si="80"/>
        <v/>
      </c>
    </row>
    <row r="551" ht="17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ca="1" t="shared" si="80"/>
        <v/>
      </c>
    </row>
    <row r="552" ht="17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ca="1" t="shared" si="80"/>
        <v/>
      </c>
    </row>
    <row r="553" ht="17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ca="1" t="shared" si="80"/>
        <v/>
      </c>
    </row>
    <row r="554" ht="17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ca="1" t="shared" si="80"/>
        <v/>
      </c>
    </row>
    <row r="555" ht="17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ca="1" t="shared" si="80"/>
        <v/>
      </c>
    </row>
    <row r="556" ht="17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ca="1" t="shared" si="80"/>
        <v/>
      </c>
    </row>
    <row r="557" ht="1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ca="1" t="shared" si="80"/>
        <v/>
      </c>
    </row>
    <row r="558" ht="17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ca="1" t="shared" si="80"/>
        <v/>
      </c>
    </row>
    <row r="559" ht="17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ca="1" t="shared" si="80"/>
        <v/>
      </c>
    </row>
    <row r="560" ht="17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ca="1" t="shared" si="80"/>
        <v/>
      </c>
    </row>
    <row r="561" ht="17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ca="1" t="shared" si="80"/>
        <v/>
      </c>
    </row>
    <row r="562" ht="17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ca="1" t="shared" si="80"/>
        <v/>
      </c>
    </row>
    <row r="563" ht="17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ca="1" t="shared" si="80"/>
        <v/>
      </c>
    </row>
    <row r="564" ht="17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ca="1" t="shared" si="80"/>
        <v/>
      </c>
    </row>
    <row r="565" ht="17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ca="1" t="shared" si="80"/>
        <v/>
      </c>
    </row>
    <row r="566" ht="17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ca="1" t="shared" si="80"/>
        <v/>
      </c>
    </row>
    <row r="567" ht="1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ca="1" t="shared" si="80"/>
        <v/>
      </c>
    </row>
    <row r="568" ht="17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ca="1" t="shared" si="80"/>
        <v/>
      </c>
    </row>
    <row r="569" ht="17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ca="1" t="shared" si="80"/>
        <v/>
      </c>
    </row>
    <row r="570" ht="17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ca="1" t="shared" si="80"/>
        <v/>
      </c>
    </row>
    <row r="571" ht="17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ca="1" t="shared" si="80"/>
        <v/>
      </c>
    </row>
    <row r="572" ht="17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ca="1" t="shared" si="80"/>
        <v/>
      </c>
    </row>
    <row r="573" ht="17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ca="1" t="shared" si="80"/>
        <v/>
      </c>
    </row>
    <row r="574" ht="17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ca="1" t="shared" si="80"/>
        <v/>
      </c>
    </row>
    <row r="575" ht="17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ca="1" t="shared" si="80"/>
        <v/>
      </c>
    </row>
    <row r="576" ht="17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ca="1" t="shared" si="80"/>
        <v/>
      </c>
    </row>
    <row r="577" ht="1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ca="1" t="shared" si="80"/>
        <v/>
      </c>
    </row>
    <row r="578" ht="17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ca="1"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ht="17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ca="1" t="shared" si="89"/>
        <v/>
      </c>
    </row>
    <row r="580" ht="17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ca="1" t="shared" si="89"/>
        <v/>
      </c>
    </row>
    <row r="581" ht="17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ca="1" t="shared" si="89"/>
        <v/>
      </c>
    </row>
    <row r="582" ht="17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ca="1" t="shared" si="89"/>
        <v/>
      </c>
    </row>
    <row r="583" ht="17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ca="1" t="shared" si="89"/>
        <v/>
      </c>
    </row>
    <row r="584" ht="17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ca="1" t="shared" si="89"/>
        <v/>
      </c>
    </row>
    <row r="585" ht="17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ca="1" t="shared" si="89"/>
        <v/>
      </c>
    </row>
    <row r="586" ht="17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ca="1" t="shared" si="89"/>
        <v/>
      </c>
    </row>
    <row r="587" ht="1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ca="1" t="shared" si="89"/>
        <v/>
      </c>
    </row>
    <row r="588" ht="17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ca="1" t="shared" si="89"/>
        <v/>
      </c>
    </row>
    <row r="589" ht="17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ca="1" t="shared" si="89"/>
        <v/>
      </c>
    </row>
    <row r="590" ht="17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ca="1" t="shared" si="89"/>
        <v/>
      </c>
    </row>
    <row r="591" ht="17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ca="1" t="shared" si="89"/>
        <v/>
      </c>
    </row>
    <row r="592" ht="17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ca="1" t="shared" si="89"/>
        <v/>
      </c>
    </row>
    <row r="593" ht="17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ca="1" t="shared" si="89"/>
        <v/>
      </c>
    </row>
    <row r="594" ht="17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ca="1" t="shared" si="89"/>
        <v/>
      </c>
    </row>
    <row r="595" ht="17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ca="1" t="shared" si="89"/>
        <v/>
      </c>
    </row>
    <row r="596" ht="17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ca="1" t="shared" si="89"/>
        <v/>
      </c>
    </row>
    <row r="597" ht="1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ca="1" t="shared" si="89"/>
        <v/>
      </c>
    </row>
    <row r="598" ht="17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ca="1" t="shared" si="89"/>
        <v/>
      </c>
    </row>
    <row r="599" ht="17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ca="1" t="shared" si="89"/>
        <v/>
      </c>
    </row>
    <row r="600" ht="17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ca="1" t="shared" si="89"/>
        <v/>
      </c>
    </row>
    <row r="601" ht="17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ca="1" t="shared" si="89"/>
        <v/>
      </c>
    </row>
    <row r="602" ht="17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ca="1" t="shared" si="89"/>
        <v/>
      </c>
    </row>
    <row r="603" ht="17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ca="1" t="shared" si="89"/>
        <v/>
      </c>
    </row>
    <row r="604" ht="17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ca="1" t="shared" si="89"/>
        <v/>
      </c>
    </row>
    <row r="605" ht="17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ca="1" t="shared" si="89"/>
        <v/>
      </c>
    </row>
    <row r="606" ht="17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ca="1" t="shared" si="89"/>
        <v/>
      </c>
    </row>
    <row r="607" ht="1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ca="1" t="shared" si="89"/>
        <v/>
      </c>
    </row>
    <row r="608" ht="17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ca="1" t="shared" si="89"/>
        <v/>
      </c>
    </row>
    <row r="609" ht="17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ca="1" t="shared" si="89"/>
        <v/>
      </c>
    </row>
    <row r="610" ht="17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ca="1" t="shared" si="89"/>
        <v/>
      </c>
    </row>
    <row r="611" ht="17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ca="1" t="shared" si="89"/>
        <v/>
      </c>
    </row>
    <row r="612" ht="17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ca="1" t="shared" si="89"/>
        <v/>
      </c>
    </row>
    <row r="613" ht="17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ca="1" t="shared" si="89"/>
        <v/>
      </c>
    </row>
    <row r="614" ht="17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ca="1" t="shared" si="89"/>
        <v/>
      </c>
    </row>
    <row r="615" ht="17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ca="1" t="shared" si="89"/>
        <v/>
      </c>
    </row>
    <row r="616" ht="17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ca="1" t="shared" si="89"/>
        <v/>
      </c>
    </row>
    <row r="617" ht="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ca="1" t="shared" si="89"/>
        <v/>
      </c>
    </row>
    <row r="618" ht="17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ca="1" t="shared" si="89"/>
        <v/>
      </c>
    </row>
    <row r="619" ht="17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ca="1" t="shared" si="89"/>
        <v/>
      </c>
    </row>
    <row r="620" ht="17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ca="1" t="shared" si="89"/>
        <v/>
      </c>
    </row>
    <row r="621" ht="17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ca="1" t="shared" si="89"/>
        <v/>
      </c>
    </row>
    <row r="622" ht="17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ca="1" t="shared" si="89"/>
        <v/>
      </c>
    </row>
    <row r="623" ht="17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ca="1" t="shared" si="89"/>
        <v/>
      </c>
    </row>
    <row r="624" ht="17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ca="1" t="shared" si="89"/>
        <v/>
      </c>
    </row>
    <row r="625" ht="17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ca="1" t="shared" si="89"/>
        <v/>
      </c>
    </row>
    <row r="626" ht="17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ca="1" t="shared" si="89"/>
        <v/>
      </c>
    </row>
    <row r="627" ht="1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ca="1" t="shared" si="89"/>
        <v/>
      </c>
    </row>
    <row r="628" ht="17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ca="1" t="shared" si="89"/>
        <v/>
      </c>
    </row>
    <row r="629" ht="17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ca="1" t="shared" si="89"/>
        <v/>
      </c>
    </row>
    <row r="630" ht="17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ca="1" t="shared" si="89"/>
        <v/>
      </c>
    </row>
    <row r="631" ht="17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ca="1" t="shared" si="89"/>
        <v/>
      </c>
    </row>
    <row r="632" ht="17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ca="1" t="shared" si="89"/>
        <v/>
      </c>
    </row>
    <row r="633" ht="17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ca="1" t="shared" si="89"/>
        <v/>
      </c>
    </row>
    <row r="634" ht="17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ca="1" t="shared" si="89"/>
        <v/>
      </c>
    </row>
    <row r="635" ht="17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ca="1" t="shared" si="89"/>
        <v/>
      </c>
    </row>
    <row r="636" ht="17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ca="1" t="shared" si="89"/>
        <v/>
      </c>
    </row>
    <row r="637" ht="1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ca="1" t="shared" si="89"/>
        <v/>
      </c>
    </row>
    <row r="638" ht="17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ca="1" t="shared" si="89"/>
        <v/>
      </c>
    </row>
    <row r="639" ht="17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ca="1" t="shared" si="89"/>
        <v/>
      </c>
    </row>
    <row r="640" ht="17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ca="1" t="shared" si="89"/>
        <v/>
      </c>
    </row>
    <row r="641" ht="17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ca="1" t="shared" si="89"/>
        <v/>
      </c>
    </row>
    <row r="642" ht="17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ca="1"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ht="17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ca="1" t="shared" si="98"/>
        <v/>
      </c>
    </row>
    <row r="644" ht="17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ca="1" t="shared" si="98"/>
        <v/>
      </c>
    </row>
    <row r="645" ht="17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ca="1" t="shared" si="98"/>
        <v/>
      </c>
    </row>
    <row r="646" ht="17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ca="1" t="shared" si="98"/>
        <v/>
      </c>
    </row>
    <row r="647" ht="1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ca="1" t="shared" si="98"/>
        <v/>
      </c>
    </row>
    <row r="648" ht="17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ca="1" t="shared" si="98"/>
        <v/>
      </c>
    </row>
    <row r="649" ht="17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ca="1" t="shared" si="98"/>
        <v/>
      </c>
    </row>
    <row r="650" ht="17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ca="1" t="shared" si="98"/>
        <v/>
      </c>
    </row>
    <row r="651" ht="17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ca="1" t="shared" si="98"/>
        <v/>
      </c>
    </row>
    <row r="652" ht="17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ca="1" t="shared" si="98"/>
        <v/>
      </c>
    </row>
    <row r="653" ht="17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ca="1" t="shared" si="98"/>
        <v/>
      </c>
    </row>
    <row r="654" ht="17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ca="1" t="shared" si="98"/>
        <v/>
      </c>
    </row>
    <row r="655" ht="17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ca="1" t="shared" si="98"/>
        <v/>
      </c>
    </row>
    <row r="656" ht="17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ca="1" t="shared" si="98"/>
        <v/>
      </c>
    </row>
    <row r="657" ht="1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ca="1" t="shared" si="98"/>
        <v/>
      </c>
    </row>
    <row r="658" ht="17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ca="1" t="shared" si="98"/>
        <v/>
      </c>
    </row>
    <row r="659" ht="17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ca="1" t="shared" si="98"/>
        <v/>
      </c>
    </row>
    <row r="660" ht="17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ca="1" t="shared" si="98"/>
        <v/>
      </c>
    </row>
    <row r="661" ht="17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ca="1" t="shared" si="98"/>
        <v/>
      </c>
    </row>
    <row r="662" ht="17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ca="1" t="shared" si="98"/>
        <v/>
      </c>
    </row>
    <row r="663" ht="17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ca="1" t="shared" si="98"/>
        <v/>
      </c>
    </row>
    <row r="664" ht="17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ca="1" t="shared" si="98"/>
        <v/>
      </c>
    </row>
    <row r="665" ht="17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ca="1" t="shared" si="98"/>
        <v/>
      </c>
    </row>
    <row r="666" ht="17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ca="1" t="shared" si="98"/>
        <v/>
      </c>
    </row>
    <row r="667" ht="1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ca="1" t="shared" si="98"/>
        <v/>
      </c>
    </row>
    <row r="668" ht="17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ca="1" t="shared" si="98"/>
        <v/>
      </c>
    </row>
    <row r="669" ht="17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ca="1" t="shared" si="98"/>
        <v/>
      </c>
    </row>
    <row r="670" ht="17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ca="1" t="shared" si="98"/>
        <v/>
      </c>
    </row>
    <row r="671" ht="17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ca="1" t="shared" si="98"/>
        <v/>
      </c>
    </row>
    <row r="672" ht="17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ca="1" t="shared" si="98"/>
        <v/>
      </c>
    </row>
    <row r="673" ht="17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ca="1" t="shared" si="98"/>
        <v/>
      </c>
    </row>
    <row r="674" ht="17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ca="1" t="shared" si="98"/>
        <v/>
      </c>
    </row>
    <row r="675" ht="17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ca="1" t="shared" si="98"/>
        <v/>
      </c>
    </row>
    <row r="676" ht="17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ca="1" t="shared" si="98"/>
        <v/>
      </c>
    </row>
    <row r="677" ht="1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ca="1" t="shared" si="98"/>
        <v/>
      </c>
    </row>
    <row r="678" ht="17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ca="1" t="shared" si="98"/>
        <v/>
      </c>
    </row>
    <row r="679" ht="17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ca="1" t="shared" si="98"/>
        <v/>
      </c>
    </row>
    <row r="680" ht="17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ca="1" t="shared" si="98"/>
        <v/>
      </c>
    </row>
    <row r="681" ht="17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ca="1" t="shared" si="98"/>
        <v/>
      </c>
    </row>
    <row r="682" ht="17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ca="1" t="shared" si="98"/>
        <v/>
      </c>
    </row>
    <row r="683" ht="17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ca="1" t="shared" si="98"/>
        <v/>
      </c>
    </row>
    <row r="684" ht="17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ca="1" t="shared" si="98"/>
        <v/>
      </c>
    </row>
    <row r="685" ht="17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ca="1" t="shared" si="98"/>
        <v/>
      </c>
    </row>
    <row r="686" ht="17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ca="1" t="shared" si="98"/>
        <v/>
      </c>
    </row>
    <row r="687" ht="1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ca="1" t="shared" si="98"/>
        <v/>
      </c>
    </row>
    <row r="688" ht="17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ca="1" t="shared" si="98"/>
        <v/>
      </c>
    </row>
    <row r="689" ht="17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ca="1" t="shared" si="98"/>
        <v/>
      </c>
    </row>
    <row r="690" ht="17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ca="1" t="shared" si="98"/>
        <v/>
      </c>
    </row>
    <row r="691" ht="17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ca="1" t="shared" si="98"/>
        <v/>
      </c>
    </row>
    <row r="692" ht="17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ca="1" t="shared" si="98"/>
        <v/>
      </c>
    </row>
    <row r="693" ht="17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ca="1" t="shared" si="98"/>
        <v/>
      </c>
    </row>
    <row r="694" ht="17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ca="1" t="shared" si="98"/>
        <v/>
      </c>
    </row>
    <row r="695" ht="17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ca="1" t="shared" si="98"/>
        <v/>
      </c>
    </row>
    <row r="696" ht="17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ca="1" t="shared" si="98"/>
        <v/>
      </c>
    </row>
    <row r="697" ht="1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ca="1" t="shared" si="98"/>
        <v/>
      </c>
    </row>
    <row r="698" ht="17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ca="1" t="shared" si="98"/>
        <v/>
      </c>
    </row>
    <row r="699" ht="17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ca="1" t="shared" si="98"/>
        <v/>
      </c>
    </row>
    <row r="700" ht="17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ca="1" t="shared" si="98"/>
        <v/>
      </c>
    </row>
    <row r="701" ht="17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ca="1" t="shared" si="98"/>
        <v/>
      </c>
    </row>
    <row r="702" ht="17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ca="1" t="shared" si="98"/>
        <v/>
      </c>
    </row>
    <row r="703" ht="17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ca="1" t="shared" si="98"/>
        <v/>
      </c>
    </row>
    <row r="704" ht="17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ca="1" t="shared" si="98"/>
        <v/>
      </c>
    </row>
    <row r="705" ht="17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ca="1" t="shared" si="98"/>
        <v/>
      </c>
    </row>
    <row r="706" ht="17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ca="1"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ht="1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ca="1" t="shared" si="107"/>
        <v/>
      </c>
    </row>
    <row r="708" ht="17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ca="1" t="shared" si="107"/>
        <v/>
      </c>
    </row>
    <row r="709" ht="17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ca="1" t="shared" si="107"/>
        <v/>
      </c>
    </row>
    <row r="710" ht="17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ca="1" t="shared" si="107"/>
        <v/>
      </c>
    </row>
    <row r="711" ht="17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ca="1" t="shared" si="107"/>
        <v/>
      </c>
    </row>
    <row r="712" ht="17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ca="1" t="shared" si="107"/>
        <v/>
      </c>
    </row>
    <row r="713" ht="17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ca="1" t="shared" si="107"/>
        <v/>
      </c>
    </row>
    <row r="714" ht="17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ca="1" t="shared" si="107"/>
        <v/>
      </c>
    </row>
    <row r="715" ht="17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ca="1" t="shared" si="107"/>
        <v/>
      </c>
    </row>
    <row r="716" ht="17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ca="1" t="shared" si="107"/>
        <v/>
      </c>
    </row>
    <row r="717" ht="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ca="1" t="shared" si="107"/>
        <v/>
      </c>
    </row>
    <row r="718" ht="17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ca="1" t="shared" si="107"/>
        <v/>
      </c>
    </row>
    <row r="719" ht="17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ca="1" t="shared" si="107"/>
        <v/>
      </c>
    </row>
    <row r="720" ht="17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ca="1" t="shared" si="107"/>
        <v/>
      </c>
    </row>
    <row r="721" ht="17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ca="1" t="shared" si="107"/>
        <v/>
      </c>
    </row>
    <row r="722" ht="17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ca="1" t="shared" si="107"/>
        <v/>
      </c>
    </row>
    <row r="723" ht="17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ca="1" t="shared" si="107"/>
        <v/>
      </c>
    </row>
    <row r="724" ht="17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ca="1" t="shared" si="107"/>
        <v/>
      </c>
    </row>
    <row r="725" ht="17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ca="1" t="shared" si="107"/>
        <v/>
      </c>
    </row>
    <row r="726" ht="17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ca="1" t="shared" si="107"/>
        <v/>
      </c>
    </row>
    <row r="727" ht="1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ca="1" t="shared" si="107"/>
        <v/>
      </c>
    </row>
    <row r="728" ht="17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ca="1" t="shared" si="107"/>
        <v/>
      </c>
    </row>
    <row r="729" ht="17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ca="1" t="shared" si="107"/>
        <v/>
      </c>
    </row>
    <row r="730" ht="17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ca="1" t="shared" si="107"/>
        <v/>
      </c>
    </row>
    <row r="731" ht="17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ca="1" t="shared" si="107"/>
        <v/>
      </c>
    </row>
    <row r="732" ht="17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ca="1" t="shared" si="107"/>
        <v/>
      </c>
    </row>
    <row r="733" ht="17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ca="1" t="shared" si="107"/>
        <v/>
      </c>
    </row>
    <row r="734" ht="17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ca="1" t="shared" si="107"/>
        <v/>
      </c>
    </row>
    <row r="735" ht="17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ca="1" t="shared" si="107"/>
        <v/>
      </c>
    </row>
    <row r="736" ht="17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ca="1" t="shared" si="107"/>
        <v/>
      </c>
    </row>
    <row r="737" ht="1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ca="1" t="shared" si="107"/>
        <v/>
      </c>
    </row>
    <row r="738" ht="17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ca="1" t="shared" si="107"/>
        <v/>
      </c>
    </row>
    <row r="739" ht="17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ca="1" t="shared" si="107"/>
        <v/>
      </c>
    </row>
    <row r="740" ht="17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ca="1" t="shared" si="107"/>
        <v/>
      </c>
    </row>
    <row r="741" ht="17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ca="1" t="shared" si="107"/>
        <v/>
      </c>
    </row>
    <row r="742" ht="17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ca="1" t="shared" si="107"/>
        <v/>
      </c>
    </row>
    <row r="743" ht="17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ca="1" t="shared" si="107"/>
        <v/>
      </c>
    </row>
    <row r="744" ht="17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ca="1" t="shared" si="107"/>
        <v/>
      </c>
    </row>
    <row r="745" ht="17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ca="1" t="shared" si="107"/>
        <v/>
      </c>
    </row>
    <row r="746" ht="17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ca="1" t="shared" si="107"/>
        <v/>
      </c>
    </row>
    <row r="747" ht="1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ca="1" t="shared" si="107"/>
        <v/>
      </c>
    </row>
    <row r="748" ht="17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ca="1" t="shared" si="107"/>
        <v/>
      </c>
    </row>
    <row r="749" ht="17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ca="1" t="shared" si="107"/>
        <v/>
      </c>
    </row>
    <row r="750" ht="17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ca="1" t="shared" si="107"/>
        <v/>
      </c>
    </row>
    <row r="751" ht="17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ca="1" t="shared" si="107"/>
        <v/>
      </c>
    </row>
    <row r="752" ht="17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ca="1" t="shared" si="107"/>
        <v/>
      </c>
    </row>
    <row r="753" ht="17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ca="1" t="shared" si="107"/>
        <v/>
      </c>
    </row>
    <row r="754" ht="17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ca="1" t="shared" si="107"/>
        <v/>
      </c>
    </row>
    <row r="755" ht="17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ca="1" t="shared" si="107"/>
        <v/>
      </c>
    </row>
    <row r="756" ht="17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ca="1" t="shared" si="107"/>
        <v/>
      </c>
    </row>
    <row r="757" ht="1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ca="1" t="shared" si="107"/>
        <v/>
      </c>
    </row>
    <row r="758" ht="17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ca="1" t="shared" si="107"/>
        <v/>
      </c>
    </row>
    <row r="759" ht="17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ca="1" t="shared" si="107"/>
        <v/>
      </c>
    </row>
    <row r="760" ht="17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ca="1" t="shared" si="107"/>
        <v/>
      </c>
    </row>
    <row r="761" ht="17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ca="1" t="shared" si="107"/>
        <v/>
      </c>
    </row>
    <row r="762" ht="17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ca="1" t="shared" si="107"/>
        <v/>
      </c>
    </row>
    <row r="763" ht="17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ca="1" t="shared" si="107"/>
        <v/>
      </c>
    </row>
    <row r="764" ht="17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ca="1" t="shared" si="107"/>
        <v/>
      </c>
    </row>
    <row r="765" ht="17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ca="1" t="shared" si="107"/>
        <v/>
      </c>
    </row>
    <row r="766" ht="17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ca="1" t="shared" si="107"/>
        <v/>
      </c>
    </row>
    <row r="767" ht="1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ca="1" t="shared" si="107"/>
        <v/>
      </c>
    </row>
    <row r="768" ht="17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ca="1" t="shared" si="107"/>
        <v/>
      </c>
    </row>
    <row r="769" ht="17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ca="1" t="shared" si="107"/>
        <v/>
      </c>
    </row>
    <row r="770" ht="17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ca="1"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ht="17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ca="1" t="shared" si="116"/>
        <v/>
      </c>
    </row>
    <row r="772" ht="17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ca="1" t="shared" si="116"/>
        <v/>
      </c>
    </row>
    <row r="773" ht="17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ca="1" t="shared" si="116"/>
        <v/>
      </c>
    </row>
    <row r="774" ht="17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ca="1" t="shared" si="116"/>
        <v/>
      </c>
    </row>
    <row r="775" ht="17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ca="1" t="shared" si="116"/>
        <v/>
      </c>
    </row>
    <row r="776" ht="17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ca="1" t="shared" si="116"/>
        <v/>
      </c>
    </row>
    <row r="777" ht="1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ca="1" t="shared" si="116"/>
        <v/>
      </c>
    </row>
    <row r="778" ht="17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ca="1" t="shared" si="116"/>
        <v/>
      </c>
    </row>
    <row r="779" ht="17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ca="1" t="shared" si="116"/>
        <v/>
      </c>
    </row>
    <row r="780" ht="17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ca="1" t="shared" si="116"/>
        <v/>
      </c>
    </row>
    <row r="781" ht="17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ca="1" t="shared" si="116"/>
        <v/>
      </c>
    </row>
    <row r="782" ht="17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ca="1" t="shared" si="116"/>
        <v/>
      </c>
    </row>
    <row r="783" ht="17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ca="1" t="shared" si="116"/>
        <v/>
      </c>
    </row>
    <row r="784" ht="17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ca="1" t="shared" si="116"/>
        <v/>
      </c>
    </row>
    <row r="785" ht="17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ca="1" t="shared" si="116"/>
        <v/>
      </c>
    </row>
    <row r="786" ht="17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ca="1" t="shared" si="116"/>
        <v/>
      </c>
    </row>
    <row r="787" ht="1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ca="1" t="shared" si="116"/>
        <v/>
      </c>
    </row>
    <row r="788" ht="17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ca="1" t="shared" si="116"/>
        <v/>
      </c>
    </row>
    <row r="789" ht="17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ca="1" t="shared" si="116"/>
        <v/>
      </c>
    </row>
    <row r="790" ht="17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ca="1" t="shared" si="116"/>
        <v/>
      </c>
    </row>
    <row r="791" ht="17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ca="1" t="shared" si="116"/>
        <v/>
      </c>
    </row>
    <row r="792" ht="17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ca="1" t="shared" si="116"/>
        <v/>
      </c>
    </row>
    <row r="793" ht="17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ca="1" t="shared" si="116"/>
        <v/>
      </c>
    </row>
    <row r="794" ht="17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ca="1" t="shared" si="116"/>
        <v/>
      </c>
    </row>
    <row r="795" ht="17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ca="1" t="shared" si="116"/>
        <v/>
      </c>
    </row>
    <row r="796" ht="17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ca="1" t="shared" si="116"/>
        <v/>
      </c>
    </row>
    <row r="797" ht="1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ca="1" t="shared" si="116"/>
        <v/>
      </c>
    </row>
    <row r="798" ht="17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ca="1" t="shared" si="116"/>
        <v/>
      </c>
    </row>
    <row r="799" ht="17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ca="1" t="shared" si="116"/>
        <v/>
      </c>
    </row>
    <row r="800" ht="17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ca="1" t="shared" si="116"/>
        <v/>
      </c>
    </row>
    <row r="801" ht="17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ca="1" t="shared" si="116"/>
        <v/>
      </c>
    </row>
    <row r="802" ht="17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ca="1" t="shared" si="116"/>
        <v/>
      </c>
    </row>
    <row r="803" ht="17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ca="1" t="shared" si="116"/>
        <v/>
      </c>
    </row>
    <row r="804" ht="17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ca="1" t="shared" si="116"/>
        <v/>
      </c>
    </row>
    <row r="805" ht="17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ca="1" t="shared" si="116"/>
        <v/>
      </c>
    </row>
    <row r="806" ht="17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ca="1" t="shared" si="116"/>
        <v/>
      </c>
    </row>
    <row r="807" ht="1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ca="1" t="shared" si="116"/>
        <v/>
      </c>
    </row>
    <row r="808" ht="17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ca="1" t="shared" si="116"/>
        <v/>
      </c>
    </row>
    <row r="809" ht="17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ca="1" t="shared" si="116"/>
        <v/>
      </c>
    </row>
    <row r="810" ht="17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ca="1" t="shared" si="116"/>
        <v/>
      </c>
    </row>
    <row r="811" ht="17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ca="1" t="shared" si="116"/>
        <v/>
      </c>
    </row>
    <row r="812" ht="17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ca="1" t="shared" si="116"/>
        <v/>
      </c>
    </row>
    <row r="813" ht="17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ca="1" t="shared" si="116"/>
        <v/>
      </c>
    </row>
    <row r="814" ht="17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ca="1" t="shared" si="116"/>
        <v/>
      </c>
    </row>
    <row r="815" ht="17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ca="1" t="shared" si="116"/>
        <v/>
      </c>
    </row>
    <row r="816" ht="17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ca="1" t="shared" si="116"/>
        <v/>
      </c>
    </row>
    <row r="817" ht="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ca="1" t="shared" si="116"/>
        <v/>
      </c>
    </row>
    <row r="818" ht="17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ca="1" t="shared" si="116"/>
        <v/>
      </c>
    </row>
    <row r="819" ht="17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ca="1" t="shared" si="116"/>
        <v/>
      </c>
    </row>
    <row r="820" ht="17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ca="1" t="shared" si="116"/>
        <v/>
      </c>
    </row>
    <row r="821" ht="17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ca="1" t="shared" si="116"/>
        <v/>
      </c>
    </row>
    <row r="822" ht="17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ca="1" t="shared" si="116"/>
        <v/>
      </c>
    </row>
    <row r="823" ht="17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ca="1" t="shared" si="116"/>
        <v/>
      </c>
    </row>
    <row r="824" ht="17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ca="1" t="shared" si="116"/>
        <v/>
      </c>
    </row>
    <row r="825" ht="17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ca="1" t="shared" si="116"/>
        <v/>
      </c>
    </row>
    <row r="826" ht="17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ca="1" t="shared" si="116"/>
        <v/>
      </c>
    </row>
    <row r="827" ht="1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ca="1" t="shared" si="116"/>
        <v/>
      </c>
    </row>
    <row r="828" ht="17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ca="1" t="shared" si="116"/>
        <v/>
      </c>
    </row>
    <row r="829" ht="17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ca="1" t="shared" si="116"/>
        <v/>
      </c>
    </row>
    <row r="830" ht="17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ca="1" t="shared" si="116"/>
        <v/>
      </c>
    </row>
    <row r="831" ht="17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ca="1" t="shared" si="116"/>
        <v/>
      </c>
    </row>
    <row r="832" ht="17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ca="1" t="shared" si="116"/>
        <v/>
      </c>
    </row>
    <row r="833" ht="17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ca="1" t="shared" si="116"/>
        <v/>
      </c>
    </row>
    <row r="834" ht="17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ca="1"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ht="17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ca="1" t="shared" si="125"/>
        <v/>
      </c>
    </row>
    <row r="836" ht="17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ca="1" t="shared" si="125"/>
        <v/>
      </c>
    </row>
    <row r="837" ht="1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ca="1" t="shared" si="125"/>
        <v/>
      </c>
    </row>
    <row r="838" ht="17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ca="1" t="shared" si="125"/>
        <v/>
      </c>
    </row>
    <row r="839" ht="17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ca="1" t="shared" si="125"/>
        <v/>
      </c>
    </row>
    <row r="840" ht="17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ca="1" t="shared" si="125"/>
        <v/>
      </c>
    </row>
    <row r="841" ht="17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ca="1" t="shared" si="125"/>
        <v/>
      </c>
    </row>
    <row r="842" ht="17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ca="1" t="shared" si="125"/>
        <v/>
      </c>
    </row>
    <row r="843" ht="17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ca="1" t="shared" si="125"/>
        <v/>
      </c>
    </row>
    <row r="844" ht="17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ca="1" t="shared" si="125"/>
        <v/>
      </c>
    </row>
    <row r="845" ht="17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ca="1" t="shared" si="125"/>
        <v/>
      </c>
    </row>
    <row r="846" ht="17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ca="1" t="shared" si="125"/>
        <v/>
      </c>
    </row>
    <row r="847" ht="1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ca="1" t="shared" si="125"/>
        <v/>
      </c>
    </row>
    <row r="848" ht="17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ca="1" t="shared" si="125"/>
        <v/>
      </c>
    </row>
    <row r="849" ht="17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ca="1" t="shared" si="125"/>
        <v/>
      </c>
    </row>
    <row r="850" ht="17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ca="1" t="shared" si="125"/>
        <v/>
      </c>
    </row>
    <row r="851" ht="17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ca="1" t="shared" si="125"/>
        <v/>
      </c>
    </row>
    <row r="852" ht="17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ca="1" t="shared" si="125"/>
        <v/>
      </c>
    </row>
    <row r="853" ht="17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ca="1" t="shared" si="125"/>
        <v/>
      </c>
    </row>
    <row r="854" ht="17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ca="1" t="shared" si="125"/>
        <v/>
      </c>
    </row>
    <row r="855" ht="17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ca="1" t="shared" si="125"/>
        <v/>
      </c>
    </row>
    <row r="856" ht="17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ca="1" t="shared" si="125"/>
        <v/>
      </c>
    </row>
    <row r="857" ht="1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ca="1" t="shared" si="125"/>
        <v/>
      </c>
    </row>
    <row r="858" ht="17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ca="1" t="shared" si="125"/>
        <v/>
      </c>
    </row>
    <row r="859" ht="17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ca="1" t="shared" si="125"/>
        <v/>
      </c>
    </row>
    <row r="860" ht="17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ca="1" t="shared" si="125"/>
        <v/>
      </c>
    </row>
    <row r="861" ht="17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ca="1" t="shared" si="125"/>
        <v/>
      </c>
    </row>
    <row r="862" ht="17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ca="1" t="shared" si="125"/>
        <v/>
      </c>
    </row>
    <row r="863" ht="17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ca="1" t="shared" si="125"/>
        <v/>
      </c>
    </row>
    <row r="864" ht="17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ca="1" t="shared" si="125"/>
        <v/>
      </c>
    </row>
    <row r="865" ht="17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ca="1" t="shared" si="125"/>
        <v/>
      </c>
    </row>
    <row r="866" ht="17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ca="1" t="shared" si="125"/>
        <v/>
      </c>
    </row>
    <row r="867" ht="1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ca="1" t="shared" si="125"/>
        <v/>
      </c>
    </row>
    <row r="868" ht="17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ca="1" t="shared" si="125"/>
        <v/>
      </c>
    </row>
    <row r="869" ht="17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ca="1" t="shared" si="125"/>
        <v/>
      </c>
    </row>
    <row r="870" ht="17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ca="1" t="shared" si="125"/>
        <v/>
      </c>
    </row>
    <row r="871" ht="17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ca="1" t="shared" si="125"/>
        <v/>
      </c>
    </row>
    <row r="872" ht="17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ca="1" t="shared" si="125"/>
        <v/>
      </c>
    </row>
    <row r="873" ht="17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ca="1" t="shared" si="125"/>
        <v/>
      </c>
    </row>
    <row r="874" ht="17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ca="1" t="shared" si="125"/>
        <v/>
      </c>
    </row>
    <row r="875" ht="17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ca="1" t="shared" si="125"/>
        <v/>
      </c>
    </row>
    <row r="876" ht="17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ca="1" t="shared" si="125"/>
        <v/>
      </c>
    </row>
    <row r="877" ht="1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ca="1" t="shared" si="125"/>
        <v/>
      </c>
    </row>
    <row r="878" ht="17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ca="1" t="shared" si="125"/>
        <v/>
      </c>
    </row>
    <row r="879" ht="17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ca="1" t="shared" si="125"/>
        <v/>
      </c>
    </row>
    <row r="880" ht="17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ca="1" t="shared" si="125"/>
        <v/>
      </c>
    </row>
    <row r="881" ht="17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ca="1" t="shared" si="125"/>
        <v/>
      </c>
    </row>
    <row r="882" ht="17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ca="1" t="shared" si="125"/>
        <v/>
      </c>
    </row>
    <row r="883" ht="17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ca="1" t="shared" si="125"/>
        <v/>
      </c>
    </row>
    <row r="884" ht="17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ca="1" t="shared" si="125"/>
        <v/>
      </c>
    </row>
    <row r="885" ht="17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ca="1" t="shared" si="125"/>
        <v/>
      </c>
    </row>
    <row r="886" ht="17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ca="1" t="shared" si="125"/>
        <v/>
      </c>
    </row>
    <row r="887" ht="1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ca="1" t="shared" si="125"/>
        <v/>
      </c>
    </row>
    <row r="888" ht="17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ca="1" t="shared" si="125"/>
        <v/>
      </c>
    </row>
    <row r="889" ht="17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ca="1" t="shared" si="125"/>
        <v/>
      </c>
    </row>
    <row r="890" ht="17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ca="1" t="shared" si="125"/>
        <v/>
      </c>
    </row>
    <row r="891" ht="17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ca="1" t="shared" si="125"/>
        <v/>
      </c>
    </row>
    <row r="892" ht="17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ca="1" t="shared" si="125"/>
        <v/>
      </c>
    </row>
    <row r="893" ht="17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ca="1" t="shared" si="125"/>
        <v/>
      </c>
    </row>
    <row r="894" ht="17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ca="1" t="shared" si="125"/>
        <v/>
      </c>
    </row>
    <row r="895" ht="17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ca="1" t="shared" si="125"/>
        <v/>
      </c>
    </row>
    <row r="896" ht="17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ca="1" t="shared" si="125"/>
        <v/>
      </c>
    </row>
    <row r="897" ht="1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ca="1" t="shared" si="125"/>
        <v/>
      </c>
    </row>
    <row r="898" ht="17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ca="1"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ht="17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ca="1" t="shared" si="134"/>
        <v/>
      </c>
    </row>
    <row r="900" ht="17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ca="1" t="shared" si="134"/>
        <v/>
      </c>
    </row>
    <row r="901" ht="17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ca="1" t="shared" si="134"/>
        <v/>
      </c>
    </row>
    <row r="902" ht="17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ca="1" t="shared" si="134"/>
        <v/>
      </c>
    </row>
    <row r="903" ht="17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ca="1" t="shared" si="134"/>
        <v/>
      </c>
    </row>
    <row r="904" ht="17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ca="1" t="shared" si="134"/>
        <v/>
      </c>
    </row>
    <row r="905" ht="17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ca="1" t="shared" si="134"/>
        <v/>
      </c>
    </row>
    <row r="906" ht="17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ca="1" t="shared" si="134"/>
        <v/>
      </c>
    </row>
    <row r="907" ht="1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ca="1" t="shared" si="134"/>
        <v/>
      </c>
    </row>
    <row r="908" ht="17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ca="1" t="shared" si="134"/>
        <v/>
      </c>
    </row>
    <row r="909" ht="17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ca="1" t="shared" si="134"/>
        <v/>
      </c>
    </row>
    <row r="910" ht="17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ca="1" t="shared" si="134"/>
        <v/>
      </c>
    </row>
    <row r="911" ht="17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ca="1" t="shared" si="134"/>
        <v/>
      </c>
    </row>
    <row r="912" ht="17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ca="1" t="shared" si="134"/>
        <v/>
      </c>
    </row>
    <row r="913" ht="17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ca="1" t="shared" si="134"/>
        <v/>
      </c>
    </row>
    <row r="914" ht="17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ca="1" t="shared" si="134"/>
        <v/>
      </c>
    </row>
    <row r="915" ht="17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ca="1" t="shared" si="134"/>
        <v/>
      </c>
    </row>
    <row r="916" ht="17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ca="1" t="shared" si="134"/>
        <v/>
      </c>
    </row>
    <row r="917" ht="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ca="1" t="shared" si="134"/>
        <v/>
      </c>
    </row>
    <row r="918" ht="17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ca="1" t="shared" si="134"/>
        <v/>
      </c>
    </row>
    <row r="919" ht="17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ca="1" t="shared" si="134"/>
        <v/>
      </c>
    </row>
    <row r="920" ht="17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ca="1" t="shared" si="134"/>
        <v/>
      </c>
    </row>
    <row r="921" ht="17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ca="1" t="shared" si="134"/>
        <v/>
      </c>
    </row>
    <row r="922" ht="17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ca="1" t="shared" si="134"/>
        <v/>
      </c>
    </row>
    <row r="923" ht="17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ca="1" t="shared" si="134"/>
        <v/>
      </c>
    </row>
    <row r="924" ht="17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ca="1" t="shared" si="134"/>
        <v/>
      </c>
    </row>
    <row r="925" ht="17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ca="1" t="shared" si="134"/>
        <v/>
      </c>
    </row>
    <row r="926" ht="17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ca="1" t="shared" si="134"/>
        <v/>
      </c>
    </row>
    <row r="927" ht="1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ca="1" t="shared" si="134"/>
        <v/>
      </c>
    </row>
    <row r="928" ht="17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ca="1" t="shared" si="134"/>
        <v/>
      </c>
    </row>
    <row r="929" ht="17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ca="1" t="shared" si="134"/>
        <v/>
      </c>
    </row>
    <row r="930" ht="17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ca="1" t="shared" si="134"/>
        <v/>
      </c>
    </row>
    <row r="931" ht="17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ca="1" t="shared" si="134"/>
        <v/>
      </c>
    </row>
    <row r="932" ht="17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ca="1" t="shared" si="134"/>
        <v/>
      </c>
    </row>
    <row r="933" ht="17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ca="1" t="shared" si="134"/>
        <v/>
      </c>
    </row>
    <row r="934" ht="17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ca="1" t="shared" si="134"/>
        <v/>
      </c>
    </row>
    <row r="935" ht="17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ca="1" t="shared" si="134"/>
        <v/>
      </c>
    </row>
    <row r="936" ht="17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ca="1" t="shared" si="134"/>
        <v/>
      </c>
    </row>
    <row r="937" ht="1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ca="1" t="shared" si="134"/>
        <v/>
      </c>
    </row>
    <row r="938" ht="17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ca="1" t="shared" si="134"/>
        <v/>
      </c>
    </row>
    <row r="939" ht="17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ca="1" t="shared" si="134"/>
        <v/>
      </c>
    </row>
    <row r="940" ht="17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ca="1" t="shared" si="134"/>
        <v/>
      </c>
    </row>
    <row r="941" ht="17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ca="1" t="shared" si="134"/>
        <v/>
      </c>
    </row>
    <row r="942" ht="17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ca="1" t="shared" si="134"/>
        <v/>
      </c>
    </row>
    <row r="943" ht="17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ca="1" t="shared" si="134"/>
        <v/>
      </c>
    </row>
    <row r="944" ht="17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ca="1" t="shared" si="134"/>
        <v/>
      </c>
    </row>
    <row r="945" ht="17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ca="1" t="shared" si="134"/>
        <v/>
      </c>
    </row>
    <row r="946" ht="17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ca="1" t="shared" si="134"/>
        <v/>
      </c>
    </row>
    <row r="947" ht="1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ca="1" t="shared" si="134"/>
        <v/>
      </c>
    </row>
    <row r="948" ht="17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ca="1" t="shared" si="134"/>
        <v/>
      </c>
    </row>
    <row r="949" ht="17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ca="1" t="shared" si="134"/>
        <v/>
      </c>
    </row>
    <row r="950" ht="17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ca="1" t="shared" si="134"/>
        <v/>
      </c>
    </row>
    <row r="951" ht="17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ca="1" t="shared" si="134"/>
        <v/>
      </c>
    </row>
    <row r="952" ht="17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ca="1" t="shared" si="134"/>
        <v/>
      </c>
    </row>
    <row r="953" ht="17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ca="1" t="shared" si="134"/>
        <v/>
      </c>
    </row>
    <row r="954" ht="17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ca="1" t="shared" si="134"/>
        <v/>
      </c>
    </row>
    <row r="955" ht="17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ca="1" t="shared" si="134"/>
        <v/>
      </c>
    </row>
    <row r="956" ht="17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ca="1" t="shared" si="134"/>
        <v/>
      </c>
    </row>
    <row r="957" ht="1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ca="1" t="shared" si="134"/>
        <v/>
      </c>
    </row>
    <row r="958" ht="17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ca="1" t="shared" si="134"/>
        <v/>
      </c>
    </row>
    <row r="959" ht="17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ca="1" t="shared" si="134"/>
        <v/>
      </c>
    </row>
    <row r="960" ht="17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ca="1" t="shared" si="134"/>
        <v/>
      </c>
    </row>
    <row r="961" ht="17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ca="1" t="shared" si="134"/>
        <v/>
      </c>
    </row>
    <row r="962" ht="17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ca="1"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ht="17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ca="1" t="shared" si="143"/>
        <v/>
      </c>
    </row>
    <row r="964" ht="17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ca="1" t="shared" si="143"/>
        <v/>
      </c>
    </row>
    <row r="965" ht="17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ca="1" t="shared" si="143"/>
        <v/>
      </c>
    </row>
    <row r="966" ht="17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ca="1" t="shared" si="143"/>
        <v/>
      </c>
    </row>
    <row r="967" ht="1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ca="1" t="shared" si="143"/>
        <v/>
      </c>
    </row>
    <row r="968" ht="17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ca="1" t="shared" si="143"/>
        <v/>
      </c>
    </row>
    <row r="969" ht="17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ca="1" t="shared" si="143"/>
        <v/>
      </c>
    </row>
    <row r="970" ht="17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ca="1" t="shared" si="143"/>
        <v/>
      </c>
    </row>
    <row r="971" ht="17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ca="1" t="shared" si="143"/>
        <v/>
      </c>
    </row>
    <row r="972" ht="17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ca="1" t="shared" si="143"/>
        <v/>
      </c>
    </row>
    <row r="973" ht="17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ca="1" t="shared" si="143"/>
        <v/>
      </c>
    </row>
    <row r="974" ht="17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ca="1" t="shared" si="143"/>
        <v/>
      </c>
    </row>
    <row r="975" ht="17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ca="1" t="shared" si="143"/>
        <v/>
      </c>
    </row>
    <row r="976" ht="17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ca="1" t="shared" si="143"/>
        <v/>
      </c>
    </row>
    <row r="977" ht="1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ca="1" t="shared" si="143"/>
        <v/>
      </c>
    </row>
    <row r="978" ht="17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ca="1" t="shared" si="143"/>
        <v/>
      </c>
    </row>
    <row r="979" ht="17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ca="1" t="shared" si="143"/>
        <v/>
      </c>
    </row>
    <row r="980" ht="17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ca="1" t="shared" si="143"/>
        <v/>
      </c>
    </row>
    <row r="981" ht="17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ca="1" t="shared" si="143"/>
        <v/>
      </c>
    </row>
    <row r="982" ht="17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ca="1" t="shared" si="143"/>
        <v/>
      </c>
    </row>
    <row r="983" ht="17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ca="1" t="shared" si="143"/>
        <v/>
      </c>
    </row>
    <row r="984" ht="17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ca="1" t="shared" si="143"/>
        <v/>
      </c>
    </row>
    <row r="985" ht="17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ca="1" t="shared" si="143"/>
        <v/>
      </c>
    </row>
    <row r="986" ht="17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ca="1" t="shared" si="143"/>
        <v/>
      </c>
    </row>
    <row r="987" ht="1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ca="1" t="shared" si="143"/>
        <v/>
      </c>
    </row>
    <row r="988" ht="17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ca="1" t="shared" si="143"/>
        <v/>
      </c>
    </row>
    <row r="989" ht="17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ca="1" t="shared" si="143"/>
        <v/>
      </c>
    </row>
    <row r="990" ht="17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ca="1" t="shared" si="143"/>
        <v/>
      </c>
    </row>
    <row r="991" ht="17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ca="1" t="shared" si="143"/>
        <v/>
      </c>
    </row>
    <row r="992" ht="17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ca="1" t="shared" si="143"/>
        <v/>
      </c>
    </row>
    <row r="993" ht="17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ca="1" t="shared" si="143"/>
        <v/>
      </c>
    </row>
    <row r="994" ht="17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ca="1" t="shared" si="143"/>
        <v/>
      </c>
    </row>
    <row r="995" ht="17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ca="1" t="shared" si="143"/>
        <v/>
      </c>
    </row>
    <row r="996" ht="17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ca="1" t="shared" si="143"/>
        <v/>
      </c>
    </row>
    <row r="997" ht="1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ca="1" t="shared" si="143"/>
        <v/>
      </c>
    </row>
    <row r="998" ht="17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ca="1" t="shared" si="143"/>
        <v/>
      </c>
    </row>
    <row r="999" ht="17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ca="1" t="shared" si="143"/>
        <v/>
      </c>
    </row>
    <row r="1000" ht="17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ca="1" t="shared" si="143"/>
        <v/>
      </c>
    </row>
    <row r="1001" ht="17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ca="1" t="shared" si="143"/>
        <v/>
      </c>
    </row>
  </sheetData>
  <conditionalFormatting sqref="R2:R1001">
    <cfRule type="expression" dxfId="0" priority="2">
      <formula>ISNUMBER(SEARCH("违规",$R2))</formula>
    </cfRule>
    <cfRule type="expression" dxfId="1" priority="3">
      <formula>ISNUMBER(SEARCH("通过",$R2))</formula>
    </cfRule>
    <cfRule type="expression" dxfId="2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>
      <formula1>_TradeIds</formula1>
    </dataValidation>
    <dataValidation type="whole" operator="between" showErrorMessage="1" errorTitle="加仓序号无效" error="每笔交易最多加仓5次，请填写1到5" sqref="B2:B1001">
      <formula1>1</formula1>
      <formula2>5</formula2>
    </dataValidation>
    <dataValidation type="date" operator="between" sqref="C2:C1001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>
      <formula1>OR(G2="",AND(ISNUMBER(G2),G2&gt;0,G2=INT(G2),MOD(G2,100)=0))</formula1>
    </dataValidation>
    <dataValidation type="decimal" operator="greaterThan" showErrorMessage="1" errorTitle="金额无效" error="请输入大于0的数值" sqref="D2:F1001">
      <formula1>0</formula1>
    </dataValidation>
  </dataValidations>
  <pageMargins left="0.75" right="0.75" top="1" bottom="1" header="0.511811023622047" footer="0.511811023622047"/>
  <pageSetup paperSize="1" fitToHeight="0" orientation="landscape" horizontalDpi="300" verticalDpi="300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78</v>
      </c>
      <c r="B1" s="1" t="s">
        <v>79</v>
      </c>
      <c r="C1" s="1" t="s">
        <v>80</v>
      </c>
    </row>
    <row r="2" ht="17" spans="1:3">
      <c r="A2" s="2" t="s">
        <v>81</v>
      </c>
      <c r="B2" s="6">
        <f>COUNT(单次交易!M2:M201)</f>
        <v>49</v>
      </c>
      <c r="C2" s="2" t="s">
        <v>82</v>
      </c>
    </row>
    <row r="3" ht="17" spans="1:3">
      <c r="A3" s="2" t="s">
        <v>83</v>
      </c>
      <c r="B3" s="6">
        <f>COUNTIF(单次交易!X2:X201,"&gt;0")</f>
        <v>18</v>
      </c>
      <c r="C3" s="2" t="s">
        <v>84</v>
      </c>
    </row>
    <row r="4" ht="17" spans="1:3">
      <c r="A4" s="2" t="s">
        <v>85</v>
      </c>
      <c r="B4" s="6">
        <f>COUNTIF(单次交易!X2:X201,"&lt;0")</f>
        <v>30</v>
      </c>
      <c r="C4" s="2" t="s">
        <v>86</v>
      </c>
    </row>
    <row r="5" ht="17" spans="1:3">
      <c r="A5" s="2" t="s">
        <v>87</v>
      </c>
      <c r="B5" s="6">
        <f>COUNTIFS(单次交易!M2:M201,"&lt;&gt;",单次交易!X2:X201,"=0")</f>
        <v>1</v>
      </c>
      <c r="C5" s="2" t="s">
        <v>88</v>
      </c>
    </row>
    <row r="6" ht="17" spans="1:3">
      <c r="A6" s="2" t="s">
        <v>89</v>
      </c>
      <c r="B6" s="5">
        <f>IFERROR(B3/(B3+B4),"")</f>
        <v>0.375</v>
      </c>
      <c r="C6" s="2" t="s">
        <v>90</v>
      </c>
    </row>
    <row r="7" ht="17" spans="1:3">
      <c r="A7" s="2" t="s">
        <v>91</v>
      </c>
      <c r="B7" s="5">
        <f>IFERROR(B4/(B3+B4),"")</f>
        <v>0.625</v>
      </c>
      <c r="C7" s="2" t="s">
        <v>92</v>
      </c>
    </row>
    <row r="8" ht="17" spans="1:3">
      <c r="A8" s="2" t="s">
        <v>93</v>
      </c>
      <c r="B8" s="5">
        <f>IFERROR(AVERAGEIF(单次交易!X2:X201,"&gt;0",单次交易!AE2:AE201),"")</f>
        <v>0.109123248077043</v>
      </c>
      <c r="C8" s="2" t="s">
        <v>94</v>
      </c>
    </row>
    <row r="9" ht="17" spans="1:3">
      <c r="A9" s="2" t="s">
        <v>95</v>
      </c>
      <c r="B9" s="5">
        <f>IFERROR(-AVERAGEIF(单次交易!X2:X201,"&lt;0",单次交易!AE2:AE201),"")</f>
        <v>0.0181382660359301</v>
      </c>
      <c r="C9" s="2" t="s">
        <v>96</v>
      </c>
    </row>
    <row r="10" ht="17" spans="1:3">
      <c r="A10" s="2" t="s">
        <v>97</v>
      </c>
      <c r="B10" s="6">
        <f>SUMIF(单次交易!X2:X201,"&gt;0",单次交易!AA2:AA201)</f>
        <v>834</v>
      </c>
      <c r="C10" s="2" t="s">
        <v>98</v>
      </c>
    </row>
    <row r="11" ht="17" spans="1:3">
      <c r="A11" s="2" t="s">
        <v>99</v>
      </c>
      <c r="B11" s="6">
        <f>SUMIF(单次交易!X2:X201,"&lt;0",单次交易!AA2:AA201)</f>
        <v>703</v>
      </c>
      <c r="C11" s="2" t="s">
        <v>98</v>
      </c>
    </row>
    <row r="12" ht="17" spans="1:3">
      <c r="A12" s="2" t="s">
        <v>100</v>
      </c>
      <c r="B12" s="3">
        <f>IFERROR(SUMPRODUCT(单次交易!AO2:AO201,单次交易!AP2:AP201)/COUNT(单次交易!AP2:AP201),"")</f>
        <v>94595.88</v>
      </c>
      <c r="C12" s="2" t="s">
        <v>101</v>
      </c>
    </row>
    <row r="13" ht="17" spans="1:3">
      <c r="A13" s="2" t="s">
        <v>102</v>
      </c>
      <c r="B13" s="5">
        <f>IF(OR(B6="",B7="",B8="",B9=""),"",B6*B8-B7*B9)</f>
        <v>0.0295848017564346</v>
      </c>
      <c r="C13" s="2" t="s">
        <v>103</v>
      </c>
    </row>
    <row r="14" ht="17" spans="1:3">
      <c r="A14" s="2" t="s">
        <v>104</v>
      </c>
      <c r="B14" s="5">
        <f>IF(COUNT(单次交易!AE2:AE201)=0,"",EXP(SUMPRODUCT(IFERROR(LN(1+单次交易!AE2:AE201),0)))-1)</f>
        <v>2.20647692214316</v>
      </c>
      <c r="C14" s="2" t="s">
        <v>105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C28" sqref="C2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78</v>
      </c>
      <c r="B1" s="1" t="s">
        <v>106</v>
      </c>
      <c r="C1" s="1" t="s">
        <v>107</v>
      </c>
    </row>
    <row r="2" ht="17" spans="1:3">
      <c r="A2" s="2" t="s">
        <v>108</v>
      </c>
      <c r="B2" s="7">
        <v>100000</v>
      </c>
      <c r="C2" s="2" t="s">
        <v>109</v>
      </c>
    </row>
    <row r="3" ht="17" spans="1:3">
      <c r="A3" s="2" t="s">
        <v>110</v>
      </c>
      <c r="B3" s="3">
        <f>IF(B2="","",B2+SUM(单次交易!X2:X201))</f>
        <v>320648</v>
      </c>
      <c r="C3" s="2" t="s">
        <v>111</v>
      </c>
    </row>
    <row r="4" ht="17" spans="1:3">
      <c r="A4" s="2" t="s">
        <v>112</v>
      </c>
      <c r="B4" s="4">
        <v>0.02</v>
      </c>
      <c r="C4" s="2" t="s">
        <v>113</v>
      </c>
    </row>
    <row r="5" ht="17" spans="1:3">
      <c r="A5" s="2" t="s">
        <v>114</v>
      </c>
      <c r="B5" s="3">
        <f>IF(B3="","",B3*B4)</f>
        <v>6412.96</v>
      </c>
      <c r="C5" s="2" t="s">
        <v>115</v>
      </c>
    </row>
    <row r="6" ht="17" spans="1:3">
      <c r="A6" s="2" t="s">
        <v>116</v>
      </c>
      <c r="B6" s="4">
        <v>0.06</v>
      </c>
      <c r="C6" s="2" t="s">
        <v>117</v>
      </c>
    </row>
    <row r="7" ht="17" spans="1:3">
      <c r="A7" s="2" t="s">
        <v>118</v>
      </c>
      <c r="B7" s="3">
        <f>IF(B3="","",B3*B6)</f>
        <v>19238.88</v>
      </c>
      <c r="C7" s="2" t="s">
        <v>119</v>
      </c>
    </row>
    <row r="8" ht="17" spans="1:3">
      <c r="A8" s="2" t="s">
        <v>120</v>
      </c>
      <c r="B8" s="3">
        <f ca="1">SUMIFS(单次交易!X2:X201,单次交易!X2:X201,"&lt;0",单次交易!M2:M201,"&gt;="&amp;EOMONTH(TODAY(),-1)+1,单次交易!M2:M201,"&lt;="&amp;EOMONTH(TODAY(),0))</f>
        <v>0</v>
      </c>
      <c r="C8" s="2" t="s">
        <v>121</v>
      </c>
    </row>
    <row r="9" ht="17" spans="1:3">
      <c r="A9" s="2" t="s">
        <v>122</v>
      </c>
      <c r="B9" s="3">
        <f>IFERROR(SUM(单次交易!AQ2:AQ201),0)</f>
        <v>0</v>
      </c>
      <c r="C9" s="2" t="s">
        <v>123</v>
      </c>
    </row>
    <row r="10" ht="17" spans="1:3">
      <c r="A10" s="2" t="s">
        <v>124</v>
      </c>
      <c r="B10" s="3">
        <f>IF(OR(B7="",B9=""),"",B7-B9)</f>
        <v>19238.88</v>
      </c>
      <c r="C10" s="2" t="s">
        <v>125</v>
      </c>
    </row>
    <row r="11" ht="17" spans="1:3">
      <c r="A11" s="2" t="s">
        <v>126</v>
      </c>
      <c r="B11" s="5">
        <f>IF(OR(B2="",B3="",B2&lt;=0),"",B3/B2-1)</f>
        <v>2.20648</v>
      </c>
      <c r="C11" s="2" t="s">
        <v>127</v>
      </c>
    </row>
    <row r="12" spans="1:3">
      <c r="A12" s="2"/>
      <c r="B12" s="2"/>
      <c r="C12" s="2"/>
    </row>
    <row r="13" ht="17" spans="1:3">
      <c r="A13" s="2" t="s">
        <v>128</v>
      </c>
      <c r="B13" s="4">
        <v>0.06</v>
      </c>
      <c r="C13" s="2" t="s">
        <v>129</v>
      </c>
    </row>
    <row r="14" ht="17" spans="1:3">
      <c r="A14" s="2" t="s">
        <v>130</v>
      </c>
      <c r="B14" s="8">
        <f>IFERROR(LOOKUP(2,1/((单次交易!$M$2:$M$201&lt;&gt;"")*(单次交易!$X$2:$X$201&gt;0)),ROW(单次交易!$X$2:$X$201)-1),0)</f>
        <v>49</v>
      </c>
      <c r="C14" s="2" t="s">
        <v>131</v>
      </c>
    </row>
    <row r="15" ht="17" spans="1:3">
      <c r="A15" s="2" t="s">
        <v>132</v>
      </c>
      <c r="B15" s="8">
        <f>IFERROR(LOOKUP(2,1/(单次交易!$M$2:$M$201&lt;&gt;""),ROW(单次交易!$M$2:$M$201)-1),0)</f>
        <v>49</v>
      </c>
      <c r="C15" s="2" t="s">
        <v>133</v>
      </c>
    </row>
    <row r="16" ht="17" spans="1:3">
      <c r="A16" s="2" t="s">
        <v>134</v>
      </c>
      <c r="B16" s="9">
        <v>48</v>
      </c>
      <c r="C16" s="2" t="s">
        <v>135</v>
      </c>
    </row>
    <row r="17" ht="27" customHeight="1" spans="1:3">
      <c r="A17" s="2" t="s">
        <v>136</v>
      </c>
      <c r="B17" s="10" t="s">
        <v>137</v>
      </c>
      <c r="C17" s="11" t="s">
        <v>138</v>
      </c>
    </row>
    <row r="18" ht="17" spans="1:3">
      <c r="A18" s="2" t="s">
        <v>139</v>
      </c>
      <c r="B18" s="8">
        <f>MAX(B14,IF(AND(ISNUMBER(B16),B16&gt;=1,B16&lt;=B15,B17&lt;&gt;""),B16,0))</f>
        <v>49</v>
      </c>
      <c r="C18" s="2" t="s">
        <v>140</v>
      </c>
    </row>
    <row r="19" ht="17" spans="1:3">
      <c r="A19" s="2" t="s">
        <v>141</v>
      </c>
      <c r="B19" s="3">
        <f ca="1">IF(B2="","",IF(B18=0,B2,B2+SUM(单次交易!$X$2:INDEX(单次交易!$X:$X,B18+1))))</f>
        <v>320648</v>
      </c>
      <c r="C19" s="2" t="s">
        <v>142</v>
      </c>
    </row>
    <row r="20" ht="17" spans="1:3">
      <c r="A20" s="2" t="s">
        <v>143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144</v>
      </c>
    </row>
    <row r="21" ht="17" spans="1:3">
      <c r="A21" s="2" t="s">
        <v>145</v>
      </c>
      <c r="B21" s="5">
        <f ca="1">IF(OR(B19="",B19&lt;=0),"",B20/B19)</f>
        <v>0</v>
      </c>
      <c r="C21" s="2" t="s">
        <v>146</v>
      </c>
    </row>
    <row r="22" ht="17" spans="1:3">
      <c r="A22" s="2" t="s">
        <v>147</v>
      </c>
      <c r="B22" s="5">
        <f ca="1">IF(OR(B13="",B13&lt;=0,B21=""),"",B21/B13)</f>
        <v>0</v>
      </c>
      <c r="C22" s="2" t="s">
        <v>148</v>
      </c>
    </row>
    <row r="23" ht="17" spans="1:3">
      <c r="A23" s="2" t="s">
        <v>149</v>
      </c>
      <c r="B23" s="6" t="str">
        <f ca="1"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150</v>
      </c>
    </row>
  </sheetData>
  <conditionalFormatting sqref="B8">
    <cfRule type="cellIs" dxfId="0" priority="2" operator="lessThan">
      <formula>0</formula>
    </cfRule>
  </conditionalFormatting>
  <conditionalFormatting sqref="B10">
    <cfRule type="cellIs" dxfId="0" priority="3" operator="lessThan">
      <formula>0</formula>
    </cfRule>
  </conditionalFormatting>
  <conditionalFormatting sqref="B23">
    <cfRule type="expression" dxfId="0" priority="4">
      <formula>$B$23="已锁仓"</formula>
    </cfRule>
    <cfRule type="expression" dxfId="2" priority="5">
      <formula>OR($B$23="接近锁仓",$B$23="解锁信息不完整")</formula>
    </cfRule>
    <cfRule type="expression" dxfId="1" priority="6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1" t="s">
        <v>78</v>
      </c>
      <c r="B1" s="1" t="s">
        <v>106</v>
      </c>
      <c r="C1" s="1" t="s">
        <v>80</v>
      </c>
    </row>
    <row r="2" ht="17" spans="1:3">
      <c r="A2" s="2" t="s">
        <v>151</v>
      </c>
      <c r="B2" s="3">
        <f>账户数据!B3</f>
        <v>320648</v>
      </c>
      <c r="C2" s="2" t="s">
        <v>152</v>
      </c>
    </row>
    <row r="3" ht="17" spans="1:3">
      <c r="A3" s="2" t="s">
        <v>153</v>
      </c>
      <c r="B3" s="4">
        <v>0.1</v>
      </c>
      <c r="C3" s="2" t="s">
        <v>154</v>
      </c>
    </row>
    <row r="4" ht="17" spans="1:3">
      <c r="A4" s="2" t="s">
        <v>155</v>
      </c>
      <c r="B4" s="3">
        <f>IF(OR(B2="",B3=""),"",B2*B3)</f>
        <v>32064.8</v>
      </c>
      <c r="C4" s="2" t="s">
        <v>156</v>
      </c>
    </row>
    <row r="5" ht="17" spans="1:3">
      <c r="A5" s="2" t="s">
        <v>100</v>
      </c>
      <c r="B5" s="3">
        <f>多次统计数据!B12</f>
        <v>94595.88</v>
      </c>
      <c r="C5" s="2" t="s">
        <v>157</v>
      </c>
    </row>
    <row r="6" ht="17" spans="1:3">
      <c r="A6" s="2" t="s">
        <v>158</v>
      </c>
      <c r="B6" s="5">
        <f>多次统计数据!B13</f>
        <v>0.0295848017564346</v>
      </c>
      <c r="C6" s="2" t="s">
        <v>159</v>
      </c>
    </row>
    <row r="7" ht="17" spans="1:3">
      <c r="A7" s="2" t="s">
        <v>160</v>
      </c>
      <c r="B7" s="6">
        <f>IF(OR(B3="",B6="",B3&lt;=0,B6&lt;=0),"暂不可计算",ROUNDUP(LN(1+B3)/LN(1+B6),0))</f>
        <v>4</v>
      </c>
      <c r="C7" s="2" t="s">
        <v>161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单次交易</vt:lpstr>
      <vt:lpstr>加仓管理</vt:lpstr>
      <vt:lpstr>多次统计数据</vt:lpstr>
      <vt:lpstr>账户数据</vt:lpstr>
      <vt:lpstr>目标收益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吕晶晶</cp:lastModifiedBy>
  <dcterms:created xsi:type="dcterms:W3CDTF">2026-09-12T07:57:25Z</dcterms:created>
  <dcterms:modified xsi:type="dcterms:W3CDTF">2026-09-13T21:46:19Z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