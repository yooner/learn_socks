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/>
  </bookViews>
  <sheets>
    <sheet name="单次交易" sheetId="1" r:id="rId1"/>
    <sheet name="买入理由" sheetId="2" r:id="rId2"/>
    <sheet name="多次统计数据" sheetId="3" r:id="rId3"/>
    <sheet name="账户数据" sheetId="4" r:id="rId4"/>
    <sheet name="目标收益" sheetId="5" r:id="rId5"/>
    <sheet name="技术指标" sheetId="6" r:id="rId6"/>
  </sheets>
  <definedNames>
    <definedName name="技术指标列表">技术指标!$A$2:$A$201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C1" authorId="0">
      <text>
        <r>
          <rPr>
            <sz val="10"/>
            <rFont val="宋体"/>
            <charset val="134"/>
          </rPr>
          <t>开仓时从“账户数据”的当前总金额复制，并粘贴为数值；不要保留公式。</t>
        </r>
      </text>
    </comment>
    <comment ref="D1" authorId="0">
      <text>
        <r>
          <rPr>
            <sz val="10"/>
            <rFont val="宋体"/>
            <charset val="134"/>
          </rPr>
          <t>开仓时从“账户数据”的单次交易允许亏损比例复制，并粘贴为数值。</t>
        </r>
      </text>
    </comment>
    <comment ref="F1" authorId="0">
      <text>
        <r>
          <rPr>
            <sz val="10"/>
            <rFont val="宋体"/>
            <charset val="134"/>
          </rPr>
          <t>按账户快照、本次风险比例和止损距离计算；仅作仓位建议。</t>
        </r>
      </text>
    </comment>
    <comment ref="G1" authorId="0">
      <text>
        <r>
          <rPr>
            <sz val="10"/>
            <rFont val="宋体"/>
            <charset val="134"/>
          </rPr>
          <t>比较全部未平仓理论亏损（含本行拟开仓风险）与当月允许最大亏损金额。</t>
        </r>
      </text>
    </comment>
    <comment ref="H1" authorId="0">
      <text>
        <r>
          <rPr>
            <sz val="10"/>
            <rFont val="宋体"/>
            <charset val="134"/>
          </rPr>
          <t>手动填写实际成交股数；后续盈亏、收益率和统计均引用此列。</t>
        </r>
      </text>
    </comment>
    <comment ref="L1" authorId="0">
      <text>
        <r>
          <rPr>
            <sz val="10"/>
            <rFont val="宋体"/>
            <charset val="134"/>
          </rPr>
          <t>默认等于实际买入股数；本系统按一次卖出处理。</t>
        </r>
      </text>
    </comment>
    <comment ref="AE1" authorId="0">
      <text>
        <r>
          <rPr>
            <sz val="10"/>
            <rFont val="宋体"/>
            <charset val="134"/>
          </rPr>
          <t>实际盈亏金额÷买入时账户金额快照；用于账户口径统计与逐笔复利。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<sst xmlns="http://schemas.openxmlformats.org/spreadsheetml/2006/main" count="409" uniqueCount="295">
  <si>
    <t>交易编号</t>
  </si>
  <si>
    <t>股票代码</t>
  </si>
  <si>
    <t>买入时账户金额</t>
  </si>
  <si>
    <t>本次允许亏损比例</t>
  </si>
  <si>
    <t>买入价</t>
  </si>
  <si>
    <t>买入建议股数</t>
  </si>
  <si>
    <t>开仓风险告警</t>
  </si>
  <si>
    <t>实际买入股数</t>
  </si>
  <si>
    <t>买入日期</t>
  </si>
  <si>
    <t>期望卖出价</t>
  </si>
  <si>
    <t>实际卖出价</t>
  </si>
  <si>
    <t>卖出股数</t>
  </si>
  <si>
    <t>卖出日期</t>
  </si>
  <si>
    <t>止损价</t>
  </si>
  <si>
    <t>买入费用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</si>
  <si>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</si>
  <si>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</si>
  <si>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</si>
  <si>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</si>
  <si>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</si>
  <si>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</si>
  <si>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</si>
  <si>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</si>
  <si>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</si>
  <si>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</si>
  <si>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</si>
  <si>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</si>
  <si>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</si>
  <si>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</si>
  <si>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</si>
  <si>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</si>
  <si>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</si>
  <si>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长电科技</t>
  </si>
  <si>
    <t>之前的支撑位</t>
  </si>
  <si>
    <t>之前的压力位</t>
  </si>
  <si>
    <t>下方支撑位</t>
  </si>
  <si>
    <t>前高</t>
  </si>
  <si>
    <t>下发支撑位</t>
  </si>
  <si>
    <t>从收益率的角度推断</t>
  </si>
  <si>
    <t>北方稀土</t>
  </si>
  <si>
    <t>前方高点，整数位，凑一下啊盈亏比</t>
  </si>
  <si>
    <t>赛轮轮胎</t>
  </si>
  <si>
    <t>前方支撑位</t>
  </si>
  <si>
    <t>前方高点</t>
  </si>
  <si>
    <t>前方支撑区域</t>
  </si>
  <si>
    <t>新高</t>
  </si>
  <si>
    <t>通富微电</t>
  </si>
  <si>
    <t>比亚迪</t>
  </si>
  <si>
    <t>特别注意，放大了风险</t>
  </si>
  <si>
    <t>沪电股份</t>
  </si>
  <si>
    <t>不遵守纪律</t>
  </si>
  <si>
    <t>深南电路</t>
  </si>
  <si>
    <t>不准守纪律，想上涨</t>
  </si>
  <si>
    <t>盈利比不好，强行买入了</t>
  </si>
  <si>
    <t>不要强跑等确认上升</t>
  </si>
  <si>
    <t>双汇发展</t>
  </si>
  <si>
    <t>航发动力</t>
  </si>
  <si>
    <t>别贪，这是低点反弹</t>
  </si>
  <si>
    <t>东方电气</t>
  </si>
  <si>
    <t>东方电缆</t>
  </si>
  <si>
    <t>5-优秀</t>
  </si>
  <si>
    <t>完全按照预期来操作</t>
  </si>
  <si>
    <t>神马电力</t>
  </si>
  <si>
    <t>3-一般</t>
  </si>
  <si>
    <t>现象不是那么完美</t>
  </si>
  <si>
    <t>景旺电子</t>
  </si>
  <si>
    <t>1-差</t>
  </si>
  <si>
    <t>1.期待超级上涨，判断正确的情况，后续动力不足没有发现，没有及时止盈</t>
  </si>
  <si>
    <t>爱旭股份</t>
  </si>
  <si>
    <t>完全考虑了后续发展</t>
  </si>
  <si>
    <t>4-良好</t>
  </si>
  <si>
    <t>考虑了后续发展，</t>
  </si>
  <si>
    <t>判断非常好，但是后面的走势判断一般，后面应该仔细思考的每天都要分析</t>
  </si>
  <si>
    <t>鹏鼎控股</t>
  </si>
  <si>
    <t>到达止损位没有抛，止损位置已经放的很低了</t>
  </si>
  <si>
    <t>没有估计到顶，还在期待突破</t>
  </si>
  <si>
    <t>预估了局势</t>
  </si>
  <si>
    <t>完美走人</t>
  </si>
  <si>
    <t>又低谷了压力位</t>
  </si>
  <si>
    <t>华润江中</t>
  </si>
  <si>
    <t>第二天很关键，应该要预测的，有交易量就是继续上涨，没有就是派发</t>
  </si>
  <si>
    <t>2-较差</t>
  </si>
  <si>
    <t>又贪了，没有估计好，总是以为它会大涨，</t>
  </si>
  <si>
    <t>太贪婪</t>
  </si>
  <si>
    <t>完美预测</t>
  </si>
  <si>
    <t>所属板块</t>
  </si>
  <si>
    <t>阶段</t>
  </si>
  <si>
    <t>记录日期</t>
  </si>
  <si>
    <t>技术指标1</t>
  </si>
  <si>
    <t>技术指标2</t>
  </si>
  <si>
    <t>技术指标3</t>
  </si>
  <si>
    <t>综述</t>
  </si>
  <si>
    <t>列2</t>
  </si>
  <si>
    <t>1.超越跳空支撑2.下方海域支撑，3突破之前的压力位，4.交易量放大</t>
  </si>
  <si>
    <t>1.跳空支撑的交易很大支撑强，一只没跌破，2，之前的高电形成支撑，3十字星显示空方出现颓势，没有跌破支撑位</t>
  </si>
  <si>
    <t>1.十字星显示空方力量不强，组成看涨吞没，2，占到均线上方，3.MACD即将变红</t>
  </si>
  <si>
    <r>
      <rPr>
        <sz val="11"/>
        <color theme="1"/>
        <rFont val="宋体"/>
        <charset val="134"/>
        <scheme val="minor"/>
      </rPr>
      <t>1</t>
    </r>
    <r>
      <rPr>
        <sz val="11"/>
        <color theme="1"/>
        <rFont val="宋体"/>
        <charset val="134"/>
        <scheme val="minor"/>
      </rPr>
      <t>.前面十字星多空平衡，接看涨吞没状态 2.站上均线，3MACD在变大</t>
    </r>
  </si>
  <si>
    <t>1.刺透形态，触碰前方支撑不破，2高交易量，3均线有效支撑</t>
  </si>
  <si>
    <t>但是处于高点</t>
  </si>
  <si>
    <t>1.突破箱体 2.回踩支撑不破 3.跳空支撑4.均线支撑</t>
  </si>
  <si>
    <t>1.差一点的启明星 2突破前期压力位，3之前下跌量不大，最近放量上涨，说明空方卖的意愿不大</t>
  </si>
  <si>
    <t>1.低点反弹，放量上涨，2突破前期支撑区域 3.MACD转正，4，均线开始支撑</t>
  </si>
  <si>
    <t>1.之前吸收一波，现在是第二波了，说明底部供应充足，量大但是价格没怎么跌，2，前方有刺透以及锤子线</t>
  </si>
  <si>
    <t>1.连续突破两个压力区，突破压力区没有太大的压力2.之前有筑底过程，现在需求方强势</t>
  </si>
  <si>
    <t>1.突破箱体，3个长阳线，2.顶部供己不多3.之前几波大的交易量没导致下跌，</t>
  </si>
  <si>
    <t>1.突然放量，锤子线，2.上升交易量大，下跌交易量小，供己较少</t>
  </si>
  <si>
    <t>1.交易平稳，已经没有多少卖方之前出现过大量交易，需求方逐渐占据上风 2. 前方出现启明星，3支撑比较给力靠近都反弹</t>
  </si>
  <si>
    <t>1.交易量在稳步放大，2.锤子线没有出现大交易量，下方没有太多抛盘了，</t>
  </si>
  <si>
    <t>1.之前下跌，交易量逐渐变小，下方没有卖出，供应减少，2交易放量且增长3.站上均线</t>
  </si>
  <si>
    <t>1.交易量放大，同样的交易量，涨幅变大，供应减少，2.出现跳空突破前压力位</t>
  </si>
  <si>
    <t>1.交易量放大，下方支撑位买入量比较大，可能开始吸筹2.之前有刺透与跳空，那个是第一波</t>
  </si>
  <si>
    <t>1.需求增强，供应减弱，下方的供应被吸收完毕2.两个吞没形态</t>
  </si>
  <si>
    <t>1.交易量放大，之前有看涨 2.支撑比较强力2。看涨吞没3.但是没有之前强。上方还是有不少套牢盘</t>
  </si>
  <si>
    <t>1.下跌的交易量逐步减少，前方锤子与十字星那边可以看出来，供应几乎没有了，2放量上涨站上均线3.可能刚开始吸筹</t>
  </si>
  <si>
    <t>1.下跌中都是小实体，说明都被吸收了，开始放量2.出现启明星</t>
  </si>
  <si>
    <t>1.没什么交易量，突然拉升，2，没有破前低，之前感觉想吸筹3，上升空间不是很大，小试一下</t>
  </si>
  <si>
    <t>1.之前十字星大交易没有下跌，努力没有用，说明下方需求旺盛，后面也验证了支撑点2.放量突破80，之前的跳空窗口也被突破了</t>
  </si>
  <si>
    <t>1.交易量与振幅相对之前都扩大了，下跌也比较无力，一直收窄，供应不足，2.80压力位被突破已经站上了</t>
  </si>
  <si>
    <t>1.试一下长线交易，支撑位从80到了85，稳步抬升2.适合长期不适合短期，主力再一点点的吸筹</t>
  </si>
  <si>
    <t>1.突破了70压力位，成交量扩大，顶部供应不足，成交量减少，涨幅变大，缩量上涨</t>
  </si>
  <si>
    <t>1.下跌交易量越来越少，说明供应开始减少，上涨交易量开始增加，量增加，2.本身也是低点，突破了12压力位</t>
  </si>
  <si>
    <t>1.开始吸筹拉高，但是不停的再震荡 波段明显，没有破前低，卖出的但是之前的高位的买入的</t>
  </si>
  <si>
    <t>1.超级大量，第二天低处被吸收，2，低点放量都被吸收了，前方供应不足了，一直在吸收</t>
  </si>
  <si>
    <t>1。供应减少2刺头形态，3前低没破</t>
  </si>
  <si>
    <t>1.成交量大涨。需求旺盛，下跌都是小实体2.突破前期压力点位，新高</t>
  </si>
  <si>
    <t>1.努力没有回报，锤子线，交易量大但是没有下跌，2.小启明星</t>
  </si>
  <si>
    <t>1.前一天大涨，之前同样的交易量小实体说明供应被吸收了，2，当天交易量大但是没有大下跌3，但是收在了尾端，可能不好</t>
  </si>
  <si>
    <t>1.最大量交易量但是没有收跌，13.5有强支撑</t>
  </si>
  <si>
    <t>1.开始上升柱，交易量同步扩大，下跌都是小实体，底部有跳空支撑</t>
  </si>
  <si>
    <t>1.反弹的力度开始变大，买盘小</t>
  </si>
  <si>
    <t>准备走长线交易，做波段，高抛低吸2.下跌没有成功</t>
  </si>
  <si>
    <t>1.上方有压力，不需要大赚2.没破前低，吸收放量</t>
  </si>
  <si>
    <t>1.没有破上升的的位置，低点量很大但是没下跌，2.上方压力大，3位置舒服</t>
  </si>
  <si>
    <t>1.交易放量，下方吸收的差不多了，启明星2.交易量逐步放大了</t>
  </si>
  <si>
    <t>1.交易量逐渐缩小，2.50是比较明显的支撑位置，会有人买入</t>
  </si>
  <si>
    <t>1.跌幅在缩小，2出现10字星，3.50支撑明显</t>
  </si>
  <si>
    <t>1.底部交易量放大，被吸收了，2。十字形</t>
  </si>
  <si>
    <t>1.下跌无力没有跌破大阳线，前期触碰 100</t>
  </si>
  <si>
    <t>同上，130是强支撑</t>
  </si>
  <si>
    <t>1.大交易量之后回调，下跌都是小实体2.回调不破前低</t>
  </si>
  <si>
    <t>1.j红色柱体开始增多，下跌都是小实体 2.两个看涨吞没状态</t>
  </si>
  <si>
    <t>1.前方跳空，红柱站优势，2交易量不是很大，没有显著突破</t>
  </si>
  <si>
    <t>1.交易量扩大，下跌中的交易量都被吸收了，开始反弹 2，没有明显的反弹信号，绿柱更站优势</t>
  </si>
  <si>
    <t>1.上涨趋势，下跌都是小实体被吸收了，开始继续上涨，但是柱体不是太强</t>
  </si>
  <si>
    <t>1.大红柱，交易量上升，2.看涨吞没 + 跳空没有被击穿，在支撑下方购买 3.交易量不大，可能没经</t>
  </si>
  <si>
    <t>1.上涨趋势中，回调买入，没有破之前的支撑，下跌交易量变小，但是柱体不是很小，回谈没什么力气</t>
  </si>
  <si>
    <t>1.需求方强势，供应不足，红柱不破买入，就是红柱柱体太小了，交易量不大</t>
  </si>
  <si>
    <t>1.出现大红柱，等等回调没有破后买入，交易量不大，没有明显反转型号</t>
  </si>
  <si>
    <t>1.刺透加十字星，放量但是没有下跌</t>
  </si>
  <si>
    <t>1.需求占优势，然后下跌没有破大红柱，下跌都是小实体，但是前方有上影线+ 成交量，有压力</t>
  </si>
  <si>
    <t>1.跳空，放量，之前有恐慌抛盘，下跌没到低点，需求方站优势</t>
  </si>
  <si>
    <t>1.目前处于右端2，锤子筑底，红柱没有被突破2.但是交易量没那么大，总体再变大</t>
  </si>
  <si>
    <t>1.右侧交易，没有跌破红柱，但是交易量减少了2.下方支撑比较强硬</t>
  </si>
  <si>
    <t>1.右侧交易，没有跌破红柱，交易量开放大，可能已经完成吸筹，</t>
  </si>
  <si>
    <t>1.右侧交易，回撤没破前面的红柱，总体交易量降低，上冲没什么力气，遇到危险信号就跑</t>
  </si>
  <si>
    <t>1.右侧交易  需求站优势，小柱体没破前面的红柱2.交易量不大，之前两个看涨大吞没</t>
  </si>
  <si>
    <t>与上一次完全一样的剧情</t>
  </si>
  <si>
    <t>又是一样的剧情，不知道是商贩</t>
  </si>
  <si>
    <t>上升右侧，交易放量，没有跌破前低 2上方有影线，是一个看涨吞没</t>
  </si>
  <si>
    <t>上升平台交易，显著高于之前的红柱</t>
  </si>
  <si>
    <t>1.整体价格已经抬高，很小的交易量就可以造成大跌，这是有意而为知，价格再上升，成交量也在上升，红的交易量要超过绿的交易量，现在的买入属于埋伏买入偏中期</t>
  </si>
  <si>
    <t>相比之前的改动点：1</t>
  </si>
  <si>
    <t>止损放宽</t>
  </si>
  <si>
    <t>1.供应住都是涨停住不太好，感觉就是吸引人注意，没有缓慢增长，2整体交易量已经放大，出现两波没有低于前低，支撑有效，钱交易量相对小脚，交易量比较大所以已经走过自然反弹，不是那么完美，相对安全，防止震仓</t>
  </si>
  <si>
    <t>1.不是都是涨停，20附近买盘强势大交易量吸收了下跌，近期的供应线都被突破了，大量卖盘之后，后面还能上涨，，后面跌不动，说明供应不足，供应被吸收完毕了，前面是又震仓的，后面跨越小学出现了</t>
  </si>
  <si>
    <t>1.需求开始增多，不存在派发，一直下跌 ，供应处被吸收了后还有需求，继续买入，当前确实足够便宜3快的阻力比较强，如果突破3快继续持有，到达3快左右仔细研究每天的走势，，2.8左右也有一些压力，但是应该已经吸收了，可以到达3快线抛，回调再买，要注意观察</t>
  </si>
  <si>
    <t>同一波局势，没有下跌，说明下方有供应，持续在吸收，准备继续冲击3，但是交易量下来了，整体还是不低</t>
  </si>
  <si>
    <t>1.上方供应已经被吸收，没有太大的压力 2.可能揩油浮动供应，需要震荡吸收掉，有没有可能振荡区，在2.5～3还是在3～3.5，下方应该判断没有筹码了，需要价钱在3.5左右吸筹，位可以抛一波，还是说现在CM在派发呢，在派发不会跌这么快，大概率是突破一下然后到3.5区间继续吸筹，到3.5抛每回来测试3的支撑支撑住了继续买入，什么情况是支撑柱了，下方没有卖盘，交易量小</t>
  </si>
  <si>
    <t>1。当前需求占优势，没遇到大的阻击，突破了30的压力位，上方没有太多供应，供应集中在40左右，震仓没有太多效果，没有卖盘，必须提高收购价格</t>
  </si>
  <si>
    <t>突破40继续持有，没有突破先撤退，突破不了回回到30这边震荡，到时候可以接近30看有没有支撑，有的话30买入</t>
  </si>
  <si>
    <t>1.又是拉人来突破，吸引人肯定还是要上冲，要突破40，40压力很大，失败就抛成功就把40作为支撑</t>
  </si>
  <si>
    <t>能不能突破40，很关键，主力再想办法，主力吸筹成本大概35，35左右就会吸收，也许会放量突破一下震仓，现在应该不震仓了要拉人突破了</t>
  </si>
  <si>
    <t>1.下跌没有没有太多量，这个交易是博反弹，下跌无效，交易量变小，开始平衡，下一步继续吸筹，在21～25之间震荡或者突破28迎接30，出现交易量更不上没有放量，说明还是震荡，不适合交易，如果放量逐步增加可以考虑买入</t>
  </si>
  <si>
    <t>触碰28支撑不破就走，然后转入25～28之间震荡，</t>
  </si>
  <si>
    <t>已经跌不懂了，供应不住，小交易量就可以大提升比之前更高的低点，继续突破28，没突破就回来继续震荡，25有强支撑，CM不太可能在25一下吸筹，除非画大价钱打下去，没有突破28，突破过程中，交易量下来也走，看突破的强度</t>
  </si>
  <si>
    <t>1.供应不足跌不动了，买家吸引人来吸收，然后自己超低，到达30就好好分析，看量大是不是足够支撑突破随时准备跑路，也不要贪多，上方供应大，但是30突破可能就去35了，把30作为支撑位置</t>
  </si>
  <si>
    <t>突破失败，开始2次突破4.8左右位置，下方支撑3.8，上方供应更大，但是被清掉一些，需求方会进行尝试，稳住4，至少把支撑稳定到4，低处没有筹码了，目前没有，不知道能不能蒸出来，现在是第二次尝试，供应曾东就走，超过4。8天天分析，临近4.5就要注意</t>
  </si>
  <si>
    <t>摇人来突破了一直突破不了，突破4.8也就是5，5快压力大，突破就把5快作为支撑。4.5~5之间震荡，靠近5抛掉</t>
  </si>
  <si>
    <t>更大的量进来了，之前的供应都被吸收了，现在需求站上风，上方没有太多的阻力，遇到阻力就抛掉，因为下方集聚了了很多获利盘，但也有5快接手的，cm的目标达到突破了5块，它要拉升，或者达到目标准备派发，如果目标是5块派发，</t>
  </si>
  <si>
    <t>同山，但是第二天如果没跟上就跑，低开还是喊人来突破</t>
  </si>
  <si>
    <t>震仓，绝对的震仓，千万不要抛掉，这个主力擅长震仓，且资金量大，会反复搞心态</t>
  </si>
  <si>
    <t>1.下方有支撑4💨支撑厉害，几次都收回了，然后有大阳线，砸不下去了，上方压力大，估计又要摇人，或者慢慢吸，或者砸掉，，吸就是比4💨低，看后续供应多不多，尤其4.8～5如果多就到5就走，如果少持有</t>
  </si>
  <si>
    <t>1.底部放量吸收了，昨天的是震仓，，连续两次试探了支撑，5.5左右支撑强力，6.5左右压力大，前面压力也大，可能要长期震仓，或者吸筹，上方交易量太大了，除非有更大的交易量过来，现在的交易量还是大，位这波不贪大，买一个反弹。不长期持有，因为上方供应天亮，除非看到特别多的需求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</si>
  <si>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</si>
  <si>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</si>
  <si>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</si>
  <si>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</si>
  <si>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</si>
  <si>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</si>
  <si>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</si>
  <si>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</si>
  <si>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</si>
  <si>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</si>
  <si>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</si>
  <si>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</si>
  <si>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</si>
  <si>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</si>
  <si>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</si>
  <si>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</si>
  <si>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</si>
  <si>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</si>
  <si>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</si>
  <si>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</si>
  <si>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</si>
  <si>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</si>
  <si>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</si>
  <si>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买入价×实际买入股数的平均值，包含未卖出交易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</si>
  <si>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</si>
  <si>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</si>
  <si>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</si>
  <si>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</si>
  <si>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</si>
  <si>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</si>
  <si>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</si>
  <si>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</si>
  <si>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</si>
  <si>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</si>
  <si>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</si>
  <si>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</si>
  <si>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</si>
  <si>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</si>
  <si>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</si>
  <si>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</si>
  <si>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</si>
  <si>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</si>
  <si>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</si>
  <si>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</si>
  <si>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</si>
  <si>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未填写卖出日期的实际持仓×买入价与止损价之差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</si>
  <si>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</si>
  <si>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</si>
  <si>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</si>
  <si>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</si>
  <si>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</si>
  <si>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</si>
  <si>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</si>
  <si>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</si>
  <si>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</si>
  <si>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</si>
  <si>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</si>
  <si>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</si>
  <si>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</si>
  <si>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</si>
  <si>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</si>
  <si>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</si>
  <si>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</si>
  <si>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</si>
  <si>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</si>
  <si>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</si>
  <si>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</si>
  <si>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</si>
  <si>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</si>
  <si>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</si>
  <si>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</si>
  <si>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</si>
  <si>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</si>
  <si>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</si>
  <si>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</si>
  <si>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成交量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</si>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</sst>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\-\¥#,##0.00"/>
    <numFmt numFmtId="177" formatCode="yyyy\-mm\-dd"/>
  </numFmts>
  <fonts count="23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0" fillId="3" borderId="1" xfId="0" applyFont="1" applyFill="1" applyBorder="1" applyAlignment="1">
      <alignment vertical="top" wrapText="1"/>
    </xf>
    <xf numFmtId="0" fontId="0" fillId="0" borderId="0" xfId="0" applyFont="1"/>
    <xf numFmtId="0" fontId="2" fillId="3" borderId="1" xfId="0" applyFont="1" applyFill="1" applyBorder="1" applyAlignment="1">
      <alignment vertical="top" wrapText="1"/>
    </xf>
    <xf numFmtId="0" fontId="2" fillId="0" borderId="0" xfId="0" applyFont="1"/>
    <xf numFmtId="2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deRecords" displayName="TradeRecords" ref="A1:AF201">
  <autoFilter xmlns:etc="http://www.wps.cn/officeDocument/2017/etCustomData" ref="A1:AF201" etc:filterBottomFollowUsedRange="0"/>
  <tableColumns count="32">
    <tableColumn id="1" name="交易编号"/>
    <tableColumn id="2" name="股票代码"/>
    <tableColumn id="3" name="买入时账户金额"/>
    <tableColumn id="4" name="本次允许亏损比例"/>
    <tableColumn id="5" name="买入价"/>
    <tableColumn id="6" name="买入建议股数">
      <calculatedColumnFormula>IF(OR(C2="",D2="",E2="",N2="",C2&lt;=0,D2&lt;=0,E2&lt;=N2),"",ROUNDDOWN((C2*D2)/(E2-N2)/100,0)*100)</calculatedColumnFormula>
    </tableColumn>
    <tableColumn id="7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name="实际买入股数"/>
    <tableColumn id="9" name="买入日期"/>
    <tableColumn id="10" name="期望卖出价"/>
    <tableColumn id="11" name="实际卖出价"/>
    <tableColumn id="12" name="卖出股数">
      <calculatedColumnFormula>IF(K2="","",H2)</calculatedColumnFormula>
    </tableColumn>
    <tableColumn id="13" name="卖出日期"/>
    <tableColumn id="14" name="止损价"/>
    <tableColumn id="15" name="买入费用"/>
    <tableColumn id="16" name="卖出费用"/>
    <tableColumn id="17" name="买入价的由来"/>
    <tableColumn id="18" name="止损价的由来"/>
    <tableColumn id="19" name="期望卖出价的由来"/>
    <tableColumn id="20" name="实际卖出价的由来"/>
    <tableColumn id="21" name="期望盈利比例">
      <calculatedColumnFormula>IF(OR(E2="",J2="",E2&lt;=0),"",(J2-E2)/E2)</calculatedColumnFormula>
    </tableColumn>
    <tableColumn id="22" name="期望止损比例">
      <calculatedColumnFormula>IF(OR(E2="",N2="",E2&lt;=0),"",(E2-N2)/E2)</calculatedColumnFormula>
    </tableColumn>
    <tableColumn id="23" name="盈亏比">
      <calculatedColumnFormula>IF(OR(U2="",V2="",V2&lt;=0),"",U2/V2)</calculatedColumnFormula>
    </tableColumn>
    <tableColumn id="24" name="实际盈亏金额">
      <calculatedColumnFormula>IF(OR(K2="",L2="",E2="",H2=""),"",K2*L2-E2*H2-IF(O2="",0,O2)-IF(P2="",0,P2))</calculatedColumnFormula>
    </tableColumn>
    <tableColumn id="25" name="单笔仓位收益率">
      <calculatedColumnFormula>IF(OR(X2="",E2="",H2=""),"",IF(E2*H2+IF(O2="",0,O2)&lt;=0,"",X2/(E2*H2+IF(O2="",0,O2))))</calculatedColumnFormula>
    </tableColumn>
    <tableColumn id="26" name="账户收益率与平均盈利率差值">
      <calculatedColumnFormula>IF(OR(AE2="",多次统计数据!$B$8=""),"",AE2-多次统计数据!$B$8)</calculatedColumnFormula>
    </tableColumn>
    <tableColumn id="27" name="持有天数">
      <calculatedColumnFormula>IF(OR(I2="",M2="",M2&lt;I2),"",M2-I2)</calculatedColumnFormula>
    </tableColumn>
    <tableColumn id="28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name="复利风险判断">
      <calculatedColumnFormula>IF(OR(AB2="",多次统计数据!$B$9=""),"",IF(多次统计数据!$B$9&lt;AB2,"低于上限","达到或超过上限"))</calculatedColumnFormula>
    </tableColumn>
    <tableColumn id="30" name="交易打分评价"/>
    <tableColumn id="31" name="实际账户收益率">
      <calculatedColumnFormula>IF(OR(X2="",C2="",C2&lt;=0),"",X2/C2)</calculatedColumnFormula>
    </tableColumn>
    <tableColumn id="32" name="列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radeReasonLog" displayName="TradeReasonLog" ref="A1:K501">
  <autoFilter xmlns:etc="http://www.wps.cn/officeDocument/2017/etCustomData" ref="A1:K501" etc:filterBottomFollowUsedRange="0"/>
  <tableColumns count="11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  <tableColumn id="10" name="列1"/>
    <tableColumn id="11" name="列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echnicalIndicatorCatalog" displayName="TechnicalIndicatorCatalog" ref="A1:C201">
  <autoFilter xmlns:etc="http://www.wps.cn/officeDocument/2017/etCustomData" ref="A1:C201" etc:filterBottomFollowUsedRange="0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01"/>
  <sheetViews>
    <sheetView tabSelected="1" zoomScale="115" zoomScaleNormal="115" topLeftCell="A68" workbookViewId="0">
      <pane xSplit="2" topLeftCell="C1" activePane="topRight" state="frozen"/>
      <selection/>
      <selection pane="topRight" activeCell="AE92" sqref="AE92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</cols>
  <sheetData>
    <row r="1" ht="42" customHeight="1" spans="1: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</row>
    <row r="2" ht="17" spans="1:32">
      <c r="A2" s="2">
        <v>1</v>
      </c>
      <c r="B2" s="2" t="s">
        <v>32</v>
      </c>
      <c r="C2" s="9">
        <v>100000</v>
      </c>
      <c r="D2" s="6">
        <v>0.02</v>
      </c>
      <c r="E2" s="9">
        <v>24</v>
      </c>
      <c r="F2" s="8">
        <f t="shared" ref="F2:F65" si="0">IF(OR(C2="",D2="",E2="",N2="",C2&lt;=0,D2&lt;=0,E2&lt;=N2),"",ROUNDDOWN((C2*D2)/(E2-N2)/100,0)*100)</f>
        <v>4000</v>
      </c>
      <c r="G2" s="8" t="str">
        <f>IF(OR(A2="",F2="",E2="",N2="",E2&lt;=N2,账户数据!$B$7=""),"",IF(账户数据!$B$9+IF(H2="",F2*(E2-N2),0)&gt;=账户数据!$B$7,"禁止开仓","允许开仓"))</f>
        <v>允许开仓</v>
      </c>
      <c r="H2" s="2">
        <v>4000</v>
      </c>
      <c r="I2" s="10">
        <v>44701</v>
      </c>
      <c r="J2" s="9">
        <v>25</v>
      </c>
      <c r="K2" s="9">
        <v>22.97</v>
      </c>
      <c r="L2" s="8">
        <f t="shared" ref="L2:L65" si="1">IF(K2="","",H2)</f>
        <v>4000</v>
      </c>
      <c r="M2" s="10">
        <v>44705</v>
      </c>
      <c r="N2" s="9">
        <v>23.5</v>
      </c>
      <c r="O2" s="9"/>
      <c r="P2" s="9"/>
      <c r="Q2" s="2"/>
      <c r="R2" s="2" t="s">
        <v>33</v>
      </c>
      <c r="S2" s="2" t="s">
        <v>34</v>
      </c>
      <c r="T2" s="2"/>
      <c r="U2" s="7">
        <f t="shared" ref="U2:U65" si="2">IF(OR(E2="",J2="",E2&lt;=0),"",(J2-E2)/E2)</f>
        <v>0.0416666666666667</v>
      </c>
      <c r="V2" s="7">
        <f t="shared" ref="V2:V65" si="3">IF(OR(E2="",N2="",E2&lt;=0),"",(E2-N2)/E2)</f>
        <v>0.0208333333333333</v>
      </c>
      <c r="W2" s="15">
        <f t="shared" ref="W2:W65" si="4">IF(OR(U2="",V2="",V2&lt;=0),"",U2/V2)</f>
        <v>2</v>
      </c>
      <c r="X2" s="5">
        <f t="shared" ref="X2:X65" si="5">IF(OR(K2="",L2="",E2="",H2=""),"",K2*L2-E2*H2-IF(O2="",0,O2)-IF(P2="",0,P2))</f>
        <v>-4120</v>
      </c>
      <c r="Y2" s="7">
        <f t="shared" ref="Y2:Y65" si="6">IF(OR(X2="",E2="",H2=""),"",IF(E2*H2+IF(O2="",0,O2)&lt;=0,"",X2/(E2*H2+IF(O2="",0,O2))))</f>
        <v>-0.0429166666666667</v>
      </c>
      <c r="Z2" s="7">
        <f>IF(OR(AE2="",多次统计数据!$B$8=""),"",AE2-多次统计数据!$B$8)</f>
        <v>-0.0985455440282548</v>
      </c>
      <c r="AA2" s="16">
        <f t="shared" ref="AA2:AA65" si="7">IF(OR(I2="",M2="",M2&lt;I2),"",M2-I2)</f>
        <v>4</v>
      </c>
      <c r="AB2" s="7">
        <f>IF(OR(A2="",多次统计数据!$B$8="",多次统计数据!$B$6&lt;=0,多次统计数据!$B$6&gt;=1),"",1-POWER(1+多次统计数据!$B$8,-多次统计数据!$B$6/(1-多次统计数据!$B$6)))</f>
        <v>0.0455859002225864</v>
      </c>
      <c r="AC2" s="8" t="str">
        <f>IF(OR(AB2="",多次统计数据!$B$9=""),"",IF(多次统计数据!$B$9&lt;AB2,"低于上限","达到或超过上限"))</f>
        <v>低于上限</v>
      </c>
      <c r="AD2" s="2"/>
      <c r="AE2" s="7">
        <f t="shared" ref="AE2:AE65" si="8">IF(OR(X2="",C2="",C2&lt;=0),"",X2/C2)</f>
        <v>-0.0412</v>
      </c>
    </row>
    <row r="3" ht="17" spans="1:32">
      <c r="A3" s="2">
        <v>2</v>
      </c>
      <c r="B3" s="2" t="s">
        <v>32</v>
      </c>
      <c r="C3" s="5">
        <f>IF(C2="","",C2+SUM(单次交易!Y2:Y201))</f>
        <v>100002.926686518</v>
      </c>
      <c r="D3" s="6">
        <v>0.02</v>
      </c>
      <c r="E3" s="9">
        <v>33.13</v>
      </c>
      <c r="F3" s="8">
        <f t="shared" si="0"/>
        <v>3100</v>
      </c>
      <c r="G3" s="8" t="str">
        <f>IF(OR(A3="",F3="",E3="",N3="",E3&lt;=N3,账户数据!$B$7=""),"",IF(账户数据!$B$9+IF(H3="",F3*(E3-N3),0)&gt;=账户数据!$B$7,"禁止开仓","允许开仓"))</f>
        <v>允许开仓</v>
      </c>
      <c r="H3" s="2">
        <v>3100</v>
      </c>
      <c r="I3" s="10">
        <v>45135</v>
      </c>
      <c r="J3" s="9">
        <v>36</v>
      </c>
      <c r="K3" s="9">
        <v>32.1</v>
      </c>
      <c r="L3" s="8">
        <f t="shared" si="1"/>
        <v>3100</v>
      </c>
      <c r="M3" s="10">
        <v>45147</v>
      </c>
      <c r="N3" s="9">
        <v>32.5</v>
      </c>
      <c r="O3" s="9"/>
      <c r="P3" s="9"/>
      <c r="Q3" s="2"/>
      <c r="R3" s="2"/>
      <c r="S3" s="2"/>
      <c r="T3" s="2"/>
      <c r="U3" s="7">
        <f t="shared" si="2"/>
        <v>0.0866284334440084</v>
      </c>
      <c r="V3" s="7">
        <f t="shared" si="3"/>
        <v>0.0190159975852702</v>
      </c>
      <c r="W3" s="15">
        <f t="shared" si="4"/>
        <v>4.55555555555553</v>
      </c>
      <c r="X3" s="5">
        <f t="shared" si="5"/>
        <v>-3193.00000000001</v>
      </c>
      <c r="Y3" s="7">
        <f t="shared" si="6"/>
        <v>-0.0310896468457593</v>
      </c>
      <c r="Z3" s="7">
        <f>IF(OR(AE3="",多次统计数据!$B$8=""),"",AE3-多次统计数据!$B$8)</f>
        <v>-0.0892746095645987</v>
      </c>
      <c r="AA3" s="16">
        <f t="shared" si="7"/>
        <v>12</v>
      </c>
      <c r="AB3" s="7">
        <f>IF(OR(A3="",多次统计数据!$B$8="",多次统计数据!$B$6&lt;=0,多次统计数据!$B$6&gt;=1),"",1-POWER(1+多次统计数据!$B$8,-多次统计数据!$B$6/(1-多次统计数据!$B$6)))</f>
        <v>0.0455859002225864</v>
      </c>
      <c r="AC3" s="8" t="str">
        <f>IF(OR(AB3="",多次统计数据!$B$9=""),"",IF(多次统计数据!$B$9&lt;AB3,"低于上限","达到或超过上限"))</f>
        <v>低于上限</v>
      </c>
      <c r="AD3" s="2"/>
      <c r="AE3" s="7">
        <f t="shared" si="8"/>
        <v>-0.0319290655363439</v>
      </c>
    </row>
    <row r="4" ht="17" spans="1:32">
      <c r="A4" s="2">
        <v>3</v>
      </c>
      <c r="B4" s="2" t="s">
        <v>32</v>
      </c>
      <c r="C4" s="9">
        <v>92687</v>
      </c>
      <c r="D4" s="6">
        <v>0.02</v>
      </c>
      <c r="E4" s="9">
        <v>28.16</v>
      </c>
      <c r="F4" s="8">
        <f t="shared" si="0"/>
        <v>2800</v>
      </c>
      <c r="G4" s="8" t="str">
        <f>IF(OR(A4="",F4="",E4="",N4="",E4&lt;=N4,账户数据!$B$7=""),"",IF(账户数据!$B$9+IF(H4="",F4*(E4-N4),0)&gt;=账户数据!$B$7,"禁止开仓","允许开仓"))</f>
        <v>允许开仓</v>
      </c>
      <c r="H4" s="2">
        <v>2800</v>
      </c>
      <c r="I4" s="10">
        <v>45226</v>
      </c>
      <c r="J4" s="9">
        <v>30</v>
      </c>
      <c r="K4" s="9">
        <v>30.2</v>
      </c>
      <c r="L4" s="8">
        <f t="shared" si="1"/>
        <v>2800</v>
      </c>
      <c r="M4" s="10">
        <v>45231</v>
      </c>
      <c r="N4" s="9">
        <v>27.5</v>
      </c>
      <c r="O4" s="9"/>
      <c r="P4" s="9"/>
      <c r="Q4" s="2"/>
      <c r="R4" s="2" t="s">
        <v>35</v>
      </c>
      <c r="S4" s="2" t="s">
        <v>36</v>
      </c>
      <c r="T4" s="2"/>
      <c r="U4" s="7">
        <f t="shared" si="2"/>
        <v>0.0653409090909091</v>
      </c>
      <c r="V4" s="7">
        <f t="shared" si="3"/>
        <v>0.0234375</v>
      </c>
      <c r="W4" s="15">
        <f t="shared" si="4"/>
        <v>2.78787878787879</v>
      </c>
      <c r="X4" s="5">
        <f t="shared" si="5"/>
        <v>5712</v>
      </c>
      <c r="Y4" s="7">
        <f t="shared" si="6"/>
        <v>0.0724431818181818</v>
      </c>
      <c r="Z4" s="7">
        <f>IF(OR(AE4="",多次统计数据!$B$8=""),"",AE4-多次统计数据!$B$8)</f>
        <v>0.0042812213217943</v>
      </c>
      <c r="AA4" s="16">
        <f t="shared" si="7"/>
        <v>5</v>
      </c>
      <c r="AB4" s="7">
        <f>IF(OR(A4="",多次统计数据!$B$8="",多次统计数据!$B$6&lt;=0,多次统计数据!$B$6&gt;=1),"",1-POWER(1+多次统计数据!$B$8,-多次统计数据!$B$6/(1-多次统计数据!$B$6)))</f>
        <v>0.0455859002225864</v>
      </c>
      <c r="AC4" s="8" t="str">
        <f>IF(OR(AB4="",多次统计数据!$B$9=""),"",IF(多次统计数据!$B$9&lt;AB4,"低于上限","达到或超过上限"))</f>
        <v>低于上限</v>
      </c>
      <c r="AD4" s="2"/>
      <c r="AE4" s="7">
        <f t="shared" si="8"/>
        <v>0.0616267653500491</v>
      </c>
    </row>
    <row r="5" ht="17" spans="1:32">
      <c r="A5" s="2">
        <v>4</v>
      </c>
      <c r="B5" s="2" t="s">
        <v>32</v>
      </c>
      <c r="C5" s="9">
        <v>98399</v>
      </c>
      <c r="D5" s="6">
        <v>0.02</v>
      </c>
      <c r="E5" s="9">
        <v>25.78</v>
      </c>
      <c r="F5" s="8">
        <f t="shared" si="0"/>
        <v>2500</v>
      </c>
      <c r="G5" s="8" t="str">
        <f>IF(OR(A5="",F5="",E5="",N5="",E5&lt;=N5,账户数据!$B$7=""),"",IF(账户数据!$B$9+IF(H5="",F5*(E5-N5),0)&gt;=账户数据!$B$7,"禁止开仓","允许开仓"))</f>
        <v>允许开仓</v>
      </c>
      <c r="H5" s="2">
        <v>2500</v>
      </c>
      <c r="I5" s="10">
        <v>45306</v>
      </c>
      <c r="J5" s="9">
        <v>30</v>
      </c>
      <c r="K5" s="9">
        <v>24.68</v>
      </c>
      <c r="L5" s="8">
        <f t="shared" si="1"/>
        <v>2500</v>
      </c>
      <c r="M5" s="10">
        <v>45308</v>
      </c>
      <c r="N5" s="9">
        <v>25</v>
      </c>
      <c r="O5" s="9"/>
      <c r="P5" s="9"/>
      <c r="Q5" s="2"/>
      <c r="R5" s="2" t="s">
        <v>35</v>
      </c>
      <c r="S5" s="11" t="s">
        <v>36</v>
      </c>
      <c r="T5" s="2"/>
      <c r="U5" s="7">
        <f t="shared" si="2"/>
        <v>0.163692785104732</v>
      </c>
      <c r="V5" s="7">
        <f t="shared" si="3"/>
        <v>0.0302560124127231</v>
      </c>
      <c r="W5" s="15">
        <f t="shared" si="4"/>
        <v>5.4102564102564</v>
      </c>
      <c r="X5" s="5">
        <f t="shared" si="5"/>
        <v>-2750</v>
      </c>
      <c r="Y5" s="7">
        <f t="shared" si="6"/>
        <v>-0.0426687354538402</v>
      </c>
      <c r="Z5" s="7">
        <f>IF(OR(AE5="",多次统计数据!$B$8=""),"",AE5-多次统计数据!$B$8)</f>
        <v>-0.0852929825184833</v>
      </c>
      <c r="AA5" s="16">
        <f t="shared" si="7"/>
        <v>2</v>
      </c>
      <c r="AB5" s="7">
        <f>IF(OR(A5="",多次统计数据!$B$8="",多次统计数据!$B$6&lt;=0,多次统计数据!$B$6&gt;=1),"",1-POWER(1+多次统计数据!$B$8,-多次统计数据!$B$6/(1-多次统计数据!$B$6)))</f>
        <v>0.0455859002225864</v>
      </c>
      <c r="AC5" s="8" t="str">
        <f>IF(OR(AB5="",多次统计数据!$B$9=""),"",IF(多次统计数据!$B$9&lt;AB5,"低于上限","达到或超过上限"))</f>
        <v>低于上限</v>
      </c>
      <c r="AD5" s="2"/>
      <c r="AE5" s="7">
        <f t="shared" si="8"/>
        <v>-0.0279474384902286</v>
      </c>
    </row>
    <row r="6" ht="17" spans="1:32">
      <c r="A6" s="2">
        <v>5</v>
      </c>
      <c r="B6" s="2" t="s">
        <v>32</v>
      </c>
      <c r="C6" s="9">
        <v>95649</v>
      </c>
      <c r="D6" s="6">
        <v>0.02</v>
      </c>
      <c r="E6" s="9">
        <v>35</v>
      </c>
      <c r="F6" s="8">
        <f t="shared" si="0"/>
        <v>900</v>
      </c>
      <c r="G6" s="8" t="str">
        <f>IF(OR(A6="",F6="",E6="",N6="",E6&lt;=N6,账户数据!$B$7=""),"",IF(账户数据!$B$9+IF(H6="",F6*(E6-N6),0)&gt;=账户数据!$B$7,"禁止开仓","允许开仓"))</f>
        <v>允许开仓</v>
      </c>
      <c r="H6" s="2">
        <v>900</v>
      </c>
      <c r="I6" s="10">
        <v>45491</v>
      </c>
      <c r="J6" s="9">
        <v>40</v>
      </c>
      <c r="K6" s="9">
        <v>31.84</v>
      </c>
      <c r="L6" s="8">
        <f t="shared" si="1"/>
        <v>900</v>
      </c>
      <c r="M6" s="10">
        <v>45498</v>
      </c>
      <c r="N6" s="9">
        <v>33</v>
      </c>
      <c r="O6" s="9"/>
      <c r="P6" s="9"/>
      <c r="Q6" s="2"/>
      <c r="R6" s="11" t="s">
        <v>37</v>
      </c>
      <c r="S6" s="11" t="s">
        <v>38</v>
      </c>
      <c r="T6" s="2"/>
      <c r="U6" s="7">
        <f t="shared" si="2"/>
        <v>0.142857142857143</v>
      </c>
      <c r="V6" s="7">
        <f t="shared" si="3"/>
        <v>0.0571428571428571</v>
      </c>
      <c r="W6" s="15">
        <f t="shared" si="4"/>
        <v>2.5</v>
      </c>
      <c r="X6" s="5">
        <f t="shared" si="5"/>
        <v>-2844</v>
      </c>
      <c r="Y6" s="7">
        <f t="shared" si="6"/>
        <v>-0.0902857142857143</v>
      </c>
      <c r="Z6" s="7">
        <f>IF(OR(AE6="",多次统计数据!$B$8=""),"",AE6-多次统计数据!$B$8)</f>
        <v>-0.0870792579196703</v>
      </c>
      <c r="AA6" s="16">
        <f t="shared" si="7"/>
        <v>7</v>
      </c>
      <c r="AB6" s="7">
        <f>IF(OR(A6="",多次统计数据!$B$8="",多次统计数据!$B$6&lt;=0,多次统计数据!$B$6&gt;=1),"",1-POWER(1+多次统计数据!$B$8,-多次统计数据!$B$6/(1-多次统计数据!$B$6)))</f>
        <v>0.0455859002225864</v>
      </c>
      <c r="AC6" s="8" t="str">
        <f>IF(OR(AB6="",多次统计数据!$B$9=""),"",IF(多次统计数据!$B$9&lt;AB6,"低于上限","达到或超过上限"))</f>
        <v>低于上限</v>
      </c>
      <c r="AD6" s="2"/>
      <c r="AE6" s="7">
        <f t="shared" si="8"/>
        <v>-0.0297337138914155</v>
      </c>
    </row>
    <row r="7" ht="17" spans="1:32">
      <c r="A7" s="2">
        <v>6</v>
      </c>
      <c r="B7" s="2" t="s">
        <v>32</v>
      </c>
      <c r="C7" s="9">
        <v>92805</v>
      </c>
      <c r="D7" s="6">
        <v>0.02</v>
      </c>
      <c r="E7" s="9">
        <v>30.78</v>
      </c>
      <c r="F7" s="8">
        <f t="shared" si="0"/>
        <v>6600</v>
      </c>
      <c r="G7" s="8" t="str">
        <f>IF(OR(A7="",F7="",E7="",N7="",E7&lt;=N7,账户数据!$B$7=""),"",IF(账户数据!$B$9+IF(H7="",F7*(E7-N7),0)&gt;=账户数据!$B$7,"禁止开仓","允许开仓"))</f>
        <v>允许开仓</v>
      </c>
      <c r="H7" s="2">
        <v>6600</v>
      </c>
      <c r="I7" s="10">
        <v>45537</v>
      </c>
      <c r="J7" s="9">
        <v>34</v>
      </c>
      <c r="K7" s="9">
        <v>30.23</v>
      </c>
      <c r="L7" s="8">
        <f t="shared" si="1"/>
        <v>6600</v>
      </c>
      <c r="M7" s="10">
        <v>45559</v>
      </c>
      <c r="N7" s="9">
        <v>30.5</v>
      </c>
      <c r="O7" s="9"/>
      <c r="P7" s="9"/>
      <c r="Q7" s="2"/>
      <c r="R7" s="2"/>
      <c r="S7" s="2"/>
      <c r="T7" s="2"/>
      <c r="U7" s="7">
        <f t="shared" si="2"/>
        <v>0.10461338531514</v>
      </c>
      <c r="V7" s="7">
        <f t="shared" si="3"/>
        <v>0.00909681611436001</v>
      </c>
      <c r="W7" s="15">
        <f t="shared" si="4"/>
        <v>11.4999999999999</v>
      </c>
      <c r="X7" s="5">
        <f t="shared" si="5"/>
        <v>-3630</v>
      </c>
      <c r="Y7" s="7">
        <f t="shared" si="6"/>
        <v>-0.0178687459389214</v>
      </c>
      <c r="Z7" s="7">
        <f>IF(OR(AE7="",多次统计数据!$B$8=""),"",AE7-多次统计数据!$B$8)</f>
        <v>-0.0964598158886071</v>
      </c>
      <c r="AA7" s="16">
        <f t="shared" si="7"/>
        <v>22</v>
      </c>
      <c r="AB7" s="7">
        <f>IF(OR(A7="",多次统计数据!$B$8="",多次统计数据!$B$6&lt;=0,多次统计数据!$B$6&gt;=1),"",1-POWER(1+多次统计数据!$B$8,-多次统计数据!$B$6/(1-多次统计数据!$B$6)))</f>
        <v>0.0455859002225864</v>
      </c>
      <c r="AC7" s="8" t="str">
        <f>IF(OR(AB7="",多次统计数据!$B$9=""),"",IF(多次统计数据!$B$9&lt;AB7,"低于上限","达到或超过上限"))</f>
        <v>低于上限</v>
      </c>
      <c r="AD7" s="2"/>
      <c r="AE7" s="7">
        <f t="shared" si="8"/>
        <v>-0.0391142718603524</v>
      </c>
    </row>
    <row r="8" ht="17" spans="1:32">
      <c r="A8" s="2"/>
      <c r="B8" s="2"/>
      <c r="C8" s="9"/>
      <c r="D8" s="6"/>
      <c r="E8" s="9"/>
      <c r="F8" s="8" t="str">
        <f t="shared" si="0"/>
        <v/>
      </c>
      <c r="G8" s="8" t="str">
        <f>IF(OR(A8="",F8="",E8="",N8="",E8&lt;=N8,账户数据!$B$7=""),"",IF(账户数据!$B$9+IF(H8="",F8*(E8-N8),0)&gt;=账户数据!$B$7,"禁止开仓","允许开仓"))</f>
        <v/>
      </c>
      <c r="H8" s="2"/>
      <c r="I8" s="10"/>
      <c r="J8" s="9"/>
      <c r="K8" s="9"/>
      <c r="L8" s="8" t="str">
        <f t="shared" si="1"/>
        <v/>
      </c>
      <c r="M8" s="10"/>
      <c r="N8" s="9"/>
      <c r="O8" s="9"/>
      <c r="P8" s="9"/>
      <c r="Q8" s="2"/>
      <c r="R8" s="2"/>
      <c r="S8" s="2"/>
      <c r="T8" s="2"/>
      <c r="U8" s="7" t="str">
        <f t="shared" si="2"/>
        <v/>
      </c>
      <c r="V8" s="7" t="str">
        <f t="shared" si="3"/>
        <v/>
      </c>
      <c r="W8" s="15" t="str">
        <f t="shared" si="4"/>
        <v/>
      </c>
      <c r="X8" s="5" t="str">
        <f t="shared" si="5"/>
        <v/>
      </c>
      <c r="Y8" s="7" t="str">
        <f t="shared" si="6"/>
        <v/>
      </c>
      <c r="Z8" s="7" t="str">
        <f>IF(OR(AE8="",多次统计数据!$B$8=""),"",AE8-多次统计数据!$B$8)</f>
        <v/>
      </c>
      <c r="AA8" s="16" t="str">
        <f t="shared" si="7"/>
        <v/>
      </c>
      <c r="AB8" s="7" t="str">
        <f>IF(OR(A8="",多次统计数据!$B$8="",多次统计数据!$B$6&lt;=0,多次统计数据!$B$6&gt;=1),"",1-POWER(1+多次统计数据!$B$8,-多次统计数据!$B$6/(1-多次统计数据!$B$6)))</f>
        <v/>
      </c>
      <c r="AC8" s="8" t="str">
        <f>IF(OR(AB8="",多次统计数据!$B$9=""),"",IF(多次统计数据!$B$9&lt;AB8,"低于上限","达到或超过上限"))</f>
        <v/>
      </c>
      <c r="AD8" s="2"/>
      <c r="AE8" s="7" t="str">
        <f t="shared" si="8"/>
        <v/>
      </c>
    </row>
    <row r="9" ht="17" spans="1:32">
      <c r="A9" s="2"/>
      <c r="B9" s="2"/>
      <c r="C9" s="9"/>
      <c r="D9" s="6"/>
      <c r="E9" s="9"/>
      <c r="F9" s="8" t="str">
        <f t="shared" si="0"/>
        <v/>
      </c>
      <c r="G9" s="8" t="str">
        <f>IF(OR(A9="",F9="",E9="",N9="",E9&lt;=N9,账户数据!$B$7=""),"",IF(账户数据!$B$9+IF(H9="",F9*(E9-N9),0)&gt;=账户数据!$B$7,"禁止开仓","允许开仓"))</f>
        <v/>
      </c>
      <c r="H9" s="2"/>
      <c r="I9" s="10"/>
      <c r="J9" s="9"/>
      <c r="K9" s="9"/>
      <c r="L9" s="8" t="str">
        <f t="shared" si="1"/>
        <v/>
      </c>
      <c r="M9" s="10"/>
      <c r="N9" s="9"/>
      <c r="O9" s="9"/>
      <c r="P9" s="9"/>
      <c r="Q9" s="2"/>
      <c r="R9" s="2"/>
      <c r="S9" s="2"/>
      <c r="T9" s="2"/>
      <c r="U9" s="7" t="str">
        <f t="shared" si="2"/>
        <v/>
      </c>
      <c r="V9" s="7" t="str">
        <f t="shared" si="3"/>
        <v/>
      </c>
      <c r="W9" s="15" t="str">
        <f t="shared" si="4"/>
        <v/>
      </c>
      <c r="X9" s="5" t="str">
        <f t="shared" si="5"/>
        <v/>
      </c>
      <c r="Y9" s="7" t="str">
        <f t="shared" si="6"/>
        <v/>
      </c>
      <c r="Z9" s="7" t="str">
        <f>IF(OR(AE9="",多次统计数据!$B$8=""),"",AE9-多次统计数据!$B$8)</f>
        <v/>
      </c>
      <c r="AA9" s="16" t="str">
        <f t="shared" si="7"/>
        <v/>
      </c>
      <c r="AB9" s="7" t="str">
        <f>IF(OR(A9="",多次统计数据!$B$8="",多次统计数据!$B$6&lt;=0,多次统计数据!$B$6&gt;=1),"",1-POWER(1+多次统计数据!$B$8,-多次统计数据!$B$6/(1-多次统计数据!$B$6)))</f>
        <v/>
      </c>
      <c r="AC9" s="8" t="str">
        <f>IF(OR(AB9="",多次统计数据!$B$9=""),"",IF(多次统计数据!$B$9&lt;AB9,"低于上限","达到或超过上限"))</f>
        <v/>
      </c>
      <c r="AD9" s="2"/>
      <c r="AE9" s="7" t="str">
        <f t="shared" si="8"/>
        <v/>
      </c>
    </row>
    <row r="10" ht="34" spans="1:32">
      <c r="A10" s="2">
        <v>9</v>
      </c>
      <c r="B10" s="11" t="s">
        <v>39</v>
      </c>
      <c r="C10" s="9">
        <v>89175</v>
      </c>
      <c r="D10" s="6">
        <v>0.02</v>
      </c>
      <c r="E10" s="9">
        <v>16.87</v>
      </c>
      <c r="F10" s="8">
        <f t="shared" si="0"/>
        <v>4200</v>
      </c>
      <c r="G10" s="8" t="str">
        <f>IF(OR(A10="",F10="",E10="",N10="",E10&lt;=N10,账户数据!$B$7=""),"",IF(账户数据!$B$9+IF(H10="",F10*(E10-N10),0)&gt;=账户数据!$B$7,"禁止开仓","允许开仓"))</f>
        <v>允许开仓</v>
      </c>
      <c r="H10" s="2">
        <v>4200</v>
      </c>
      <c r="I10" s="10">
        <v>45559</v>
      </c>
      <c r="J10" s="9">
        <v>18</v>
      </c>
      <c r="K10" s="9">
        <v>19.73</v>
      </c>
      <c r="L10" s="8">
        <f t="shared" si="1"/>
        <v>4200</v>
      </c>
      <c r="M10" s="10">
        <v>45576</v>
      </c>
      <c r="N10" s="9">
        <v>16.45</v>
      </c>
      <c r="O10" s="9"/>
      <c r="P10" s="9"/>
      <c r="Q10" s="2"/>
      <c r="R10" s="2" t="s">
        <v>35</v>
      </c>
      <c r="S10" s="11" t="s">
        <v>40</v>
      </c>
      <c r="T10" s="2"/>
      <c r="U10" s="7">
        <f t="shared" si="2"/>
        <v>0.0669828097213989</v>
      </c>
      <c r="V10" s="7">
        <f t="shared" si="3"/>
        <v>0.0248962655601661</v>
      </c>
      <c r="W10" s="15">
        <f t="shared" si="4"/>
        <v>2.69047619047618</v>
      </c>
      <c r="X10" s="5">
        <f t="shared" si="5"/>
        <v>12012</v>
      </c>
      <c r="Y10" s="7">
        <f t="shared" si="6"/>
        <v>0.169531713100178</v>
      </c>
      <c r="Z10" s="7">
        <f>IF(OR(AE10="",多次统计数据!$B$8=""),"",AE10-多次统计数据!$B$8)</f>
        <v>0.0773558857446636</v>
      </c>
      <c r="AA10" s="16">
        <f t="shared" si="7"/>
        <v>17</v>
      </c>
      <c r="AB10" s="7">
        <f>IF(OR(A10="",多次统计数据!$B$8="",多次统计数据!$B$6&lt;=0,多次统计数据!$B$6&gt;=1),"",1-POWER(1+多次统计数据!$B$8,-多次统计数据!$B$6/(1-多次统计数据!$B$6)))</f>
        <v>0.0455859002225864</v>
      </c>
      <c r="AC10" s="8" t="str">
        <f>IF(OR(AB10="",多次统计数据!$B$9=""),"",IF(多次统计数据!$B$9&lt;AB10,"低于上限","达到或超过上限"))</f>
        <v>低于上限</v>
      </c>
      <c r="AD10" s="2"/>
      <c r="AE10" s="7">
        <f t="shared" si="8"/>
        <v>0.134701429772918</v>
      </c>
    </row>
    <row r="11" ht="17" spans="1:32">
      <c r="A11" s="2">
        <v>10</v>
      </c>
      <c r="B11" s="11" t="s">
        <v>39</v>
      </c>
      <c r="C11" s="9">
        <v>101187</v>
      </c>
      <c r="D11" s="6">
        <v>0.02</v>
      </c>
      <c r="E11" s="9">
        <v>24.41</v>
      </c>
      <c r="F11" s="8">
        <f t="shared" si="0"/>
        <v>1800</v>
      </c>
      <c r="G11" s="8" t="str">
        <f>IF(OR(A11="",F11="",E11="",N11="",E11&lt;=N11,账户数据!$B$7=""),"",IF(账户数据!$B$9+IF(H11="",F11*(E11-N11),0)&gt;=账户数据!$B$7,"禁止开仓","允许开仓"))</f>
        <v>允许开仓</v>
      </c>
      <c r="H11" s="2">
        <v>1800</v>
      </c>
      <c r="I11" s="10">
        <v>45783</v>
      </c>
      <c r="J11" s="9">
        <v>26.8</v>
      </c>
      <c r="K11" s="9">
        <v>23.19</v>
      </c>
      <c r="L11" s="8">
        <f t="shared" si="1"/>
        <v>1800</v>
      </c>
      <c r="M11" s="10">
        <v>45799</v>
      </c>
      <c r="N11" s="9">
        <v>23.3</v>
      </c>
      <c r="O11" s="9"/>
      <c r="P11" s="9"/>
      <c r="Q11" s="2"/>
      <c r="R11" s="2"/>
      <c r="S11" s="2"/>
      <c r="T11" s="2"/>
      <c r="U11" s="7">
        <f t="shared" si="2"/>
        <v>0.0979106923392053</v>
      </c>
      <c r="V11" s="7">
        <f t="shared" si="3"/>
        <v>0.0454731667349447</v>
      </c>
      <c r="W11" s="15">
        <f t="shared" si="4"/>
        <v>2.15315315315315</v>
      </c>
      <c r="X11" s="5">
        <f t="shared" si="5"/>
        <v>-2196</v>
      </c>
      <c r="Y11" s="7">
        <f t="shared" si="6"/>
        <v>-0.0499795165915608</v>
      </c>
      <c r="Z11" s="7">
        <f>IF(OR(AE11="",多次统计数据!$B$8=""),"",AE11-多次统计数据!$B$8)</f>
        <v>-0.0790479366280947</v>
      </c>
      <c r="AA11" s="16">
        <f t="shared" si="7"/>
        <v>16</v>
      </c>
      <c r="AB11" s="7">
        <f>IF(OR(A11="",多次统计数据!$B$8="",多次统计数据!$B$6&lt;=0,多次统计数据!$B$6&gt;=1),"",1-POWER(1+多次统计数据!$B$8,-多次统计数据!$B$6/(1-多次统计数据!$B$6)))</f>
        <v>0.0455859002225864</v>
      </c>
      <c r="AC11" s="8" t="str">
        <f>IF(OR(AB11="",多次统计数据!$B$9=""),"",IF(多次统计数据!$B$9&lt;AB11,"低于上限","达到或超过上限"))</f>
        <v>低于上限</v>
      </c>
      <c r="AD11" s="2"/>
      <c r="AE11" s="7">
        <f t="shared" si="8"/>
        <v>-0.0217023925998399</v>
      </c>
    </row>
    <row r="12" ht="17" spans="1:32">
      <c r="A12" s="2">
        <v>11</v>
      </c>
      <c r="B12" s="11" t="s">
        <v>41</v>
      </c>
      <c r="C12" s="9">
        <v>98991</v>
      </c>
      <c r="D12" s="6">
        <v>0.02</v>
      </c>
      <c r="E12" s="9">
        <v>8.22</v>
      </c>
      <c r="F12" s="8">
        <f t="shared" si="0"/>
        <v>3100</v>
      </c>
      <c r="G12" s="8" t="str">
        <f>IF(OR(A12="",F12="",E12="",N12="",E12&lt;=N12,账户数据!$B$7=""),"",IF(账户数据!$B$9+IF(H12="",F12*(E12-N12),0)&gt;=账户数据!$B$7,"禁止开仓","允许开仓"))</f>
        <v>允许开仓</v>
      </c>
      <c r="H12" s="2">
        <v>3100</v>
      </c>
      <c r="I12" s="10">
        <v>44867</v>
      </c>
      <c r="J12" s="9">
        <v>9.5</v>
      </c>
      <c r="K12" s="9">
        <v>8.44</v>
      </c>
      <c r="L12" s="8">
        <f t="shared" si="1"/>
        <v>3100</v>
      </c>
      <c r="M12" s="10">
        <v>44923</v>
      </c>
      <c r="N12" s="9">
        <v>7.6</v>
      </c>
      <c r="O12" s="9"/>
      <c r="P12" s="9"/>
      <c r="Q12" s="2"/>
      <c r="R12" s="11" t="s">
        <v>42</v>
      </c>
      <c r="S12" s="11" t="s">
        <v>43</v>
      </c>
      <c r="T12" s="2"/>
      <c r="U12" s="7">
        <f t="shared" si="2"/>
        <v>0.155717761557178</v>
      </c>
      <c r="V12" s="7">
        <f t="shared" si="3"/>
        <v>0.075425790754258</v>
      </c>
      <c r="W12" s="15">
        <f t="shared" si="4"/>
        <v>2.06451612903225</v>
      </c>
      <c r="X12" s="5">
        <f t="shared" si="5"/>
        <v>681.999999999996</v>
      </c>
      <c r="Y12" s="7">
        <f t="shared" si="6"/>
        <v>0.0267639902676398</v>
      </c>
      <c r="Z12" s="7">
        <f>IF(OR(AE12="",多次统计数据!$B$8=""),"",AE12-多次统计数据!$B$8)</f>
        <v>-0.0504560288198015</v>
      </c>
      <c r="AA12" s="16">
        <f t="shared" si="7"/>
        <v>56</v>
      </c>
      <c r="AB12" s="7">
        <f>IF(OR(A12="",多次统计数据!$B$8="",多次统计数据!$B$6&lt;=0,多次统计数据!$B$6&gt;=1),"",1-POWER(1+多次统计数据!$B$8,-多次统计数据!$B$6/(1-多次统计数据!$B$6)))</f>
        <v>0.0455859002225864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 t="shared" si="8"/>
        <v>0.00688951520845326</v>
      </c>
    </row>
    <row r="13" ht="17" spans="1:32">
      <c r="A13" s="2">
        <v>12</v>
      </c>
      <c r="B13" s="11" t="s">
        <v>41</v>
      </c>
      <c r="C13" s="9">
        <v>99673</v>
      </c>
      <c r="D13" s="6">
        <v>0.02</v>
      </c>
      <c r="E13" s="9">
        <v>10.38</v>
      </c>
      <c r="F13" s="8">
        <f t="shared" si="0"/>
        <v>2200</v>
      </c>
      <c r="G13" s="8" t="str">
        <f>IF(OR(A13="",F13="",E13="",N13="",E13&lt;=N13,账户数据!$B$7=""),"",IF(账户数据!$B$9+IF(H13="",F13*(E13-N13),0)&gt;=账户数据!$B$7,"禁止开仓","允许开仓"))</f>
        <v>允许开仓</v>
      </c>
      <c r="H13" s="2">
        <v>2200</v>
      </c>
      <c r="I13" s="10">
        <v>44979</v>
      </c>
      <c r="J13" s="9">
        <v>12.17</v>
      </c>
      <c r="K13" s="9">
        <v>9.55</v>
      </c>
      <c r="L13" s="8">
        <f t="shared" si="1"/>
        <v>2200</v>
      </c>
      <c r="M13" s="10">
        <v>44995</v>
      </c>
      <c r="N13" s="9">
        <v>9.5</v>
      </c>
      <c r="O13" s="9"/>
      <c r="P13" s="9"/>
      <c r="Q13" s="2"/>
      <c r="R13" s="11" t="s">
        <v>44</v>
      </c>
      <c r="S13" s="11" t="s">
        <v>43</v>
      </c>
      <c r="T13" s="2"/>
      <c r="U13" s="7">
        <f t="shared" si="2"/>
        <v>0.172447013487476</v>
      </c>
      <c r="V13" s="7">
        <f t="shared" si="3"/>
        <v>0.0847784200385357</v>
      </c>
      <c r="W13" s="15">
        <f t="shared" si="4"/>
        <v>2.03409090909091</v>
      </c>
      <c r="X13" s="5">
        <f t="shared" si="5"/>
        <v>-1826</v>
      </c>
      <c r="Y13" s="7">
        <f t="shared" si="6"/>
        <v>-0.0799614643545279</v>
      </c>
      <c r="Z13" s="7">
        <f>IF(OR(AE13="",多次统计数据!$B$8=""),"",AE13-多次统计数据!$B$8)</f>
        <v>-0.0756654501211786</v>
      </c>
      <c r="AA13" s="16">
        <f t="shared" si="7"/>
        <v>16</v>
      </c>
      <c r="AB13" s="7">
        <f>IF(OR(A13="",多次统计数据!$B$8="",多次统计数据!$B$6&lt;=0,多次统计数据!$B$6&gt;=1),"",1-POWER(1+多次统计数据!$B$8,-多次统计数据!$B$6/(1-多次统计数据!$B$6)))</f>
        <v>0.0455859002225864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 t="shared" si="8"/>
        <v>-0.0183199060929239</v>
      </c>
    </row>
    <row r="14" ht="17" spans="1:32">
      <c r="A14" s="2">
        <v>13</v>
      </c>
      <c r="B14" s="11" t="s">
        <v>41</v>
      </c>
      <c r="C14" s="9">
        <v>97847</v>
      </c>
      <c r="D14" s="6">
        <v>0.02</v>
      </c>
      <c r="E14" s="9">
        <v>10.49</v>
      </c>
      <c r="F14" s="8">
        <f t="shared" si="0"/>
        <v>3900</v>
      </c>
      <c r="G14" s="8" t="str">
        <f>IF(OR(A14="",F14="",E14="",N14="",E14&lt;=N14,账户数据!$B$7=""),"",IF(账户数据!$B$9+IF(H14="",F14*(E14-N14),0)&gt;=账户数据!$B$7,"禁止开仓","允许开仓"))</f>
        <v>允许开仓</v>
      </c>
      <c r="H14" s="2">
        <v>3900</v>
      </c>
      <c r="I14" s="10">
        <v>45106</v>
      </c>
      <c r="J14" s="9">
        <v>12</v>
      </c>
      <c r="K14" s="9">
        <v>10.73</v>
      </c>
      <c r="L14" s="8">
        <f t="shared" si="1"/>
        <v>3900</v>
      </c>
      <c r="M14" s="10">
        <v>45119</v>
      </c>
      <c r="N14" s="9">
        <v>10</v>
      </c>
      <c r="O14" s="9"/>
      <c r="P14" s="9"/>
      <c r="Q14" s="2"/>
      <c r="R14" s="11" t="s">
        <v>44</v>
      </c>
      <c r="S14" s="2" t="s">
        <v>45</v>
      </c>
      <c r="T14" s="2"/>
      <c r="U14" s="7">
        <f t="shared" si="2"/>
        <v>0.143946615824595</v>
      </c>
      <c r="V14" s="7">
        <f t="shared" si="3"/>
        <v>0.0467111534795043</v>
      </c>
      <c r="W14" s="15">
        <f t="shared" si="4"/>
        <v>3.08163265306122</v>
      </c>
      <c r="X14" s="5">
        <f t="shared" si="5"/>
        <v>936</v>
      </c>
      <c r="Y14" s="7">
        <f t="shared" si="6"/>
        <v>0.0228789323164919</v>
      </c>
      <c r="Z14" s="7">
        <f>IF(OR(AE14="",多次统计数据!$B$8=""),"",AE14-多次统计数据!$B$8)</f>
        <v>-0.0477795890168594</v>
      </c>
      <c r="AA14" s="16">
        <f t="shared" si="7"/>
        <v>13</v>
      </c>
      <c r="AB14" s="7">
        <f>IF(OR(A14="",多次统计数据!$B$8="",多次统计数据!$B$6&lt;=0,多次统计数据!$B$6&gt;=1),"",1-POWER(1+多次统计数据!$B$8,-多次统计数据!$B$6/(1-多次统计数据!$B$6)))</f>
        <v>0.0455859002225864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 t="shared" si="8"/>
        <v>0.00956595501139534</v>
      </c>
    </row>
    <row r="15" ht="17" spans="1:32">
      <c r="A15" s="2">
        <v>14</v>
      </c>
      <c r="B15" s="11" t="s">
        <v>41</v>
      </c>
      <c r="C15" s="9">
        <v>98783</v>
      </c>
      <c r="D15" s="6">
        <v>0.02</v>
      </c>
      <c r="E15" s="9">
        <v>10.44</v>
      </c>
      <c r="F15" s="8">
        <f t="shared" si="0"/>
        <v>7500</v>
      </c>
      <c r="G15" s="8" t="str">
        <f>IF(OR(A15="",F15="",E15="",N15="",E15&lt;=N15,账户数据!$B$7=""),"",IF(账户数据!$B$9+IF(H15="",F15*(E15-N15),0)&gt;=账户数据!$B$7,"禁止开仓","允许开仓"))</f>
        <v>允许开仓</v>
      </c>
      <c r="H15" s="2">
        <v>7500</v>
      </c>
      <c r="I15" s="10">
        <v>45320</v>
      </c>
      <c r="J15" s="9">
        <v>11</v>
      </c>
      <c r="K15" s="9">
        <v>11.3</v>
      </c>
      <c r="L15" s="8">
        <f t="shared" si="1"/>
        <v>7500</v>
      </c>
      <c r="M15" s="10">
        <v>45323</v>
      </c>
      <c r="N15" s="9">
        <v>10.18</v>
      </c>
      <c r="O15" s="9"/>
      <c r="P15" s="9"/>
      <c r="Q15" s="2"/>
      <c r="R15" s="2"/>
      <c r="S15" s="2"/>
      <c r="T15" s="2"/>
      <c r="U15" s="7">
        <f t="shared" si="2"/>
        <v>0.0536398467432951</v>
      </c>
      <c r="V15" s="7">
        <f t="shared" si="3"/>
        <v>0.024904214559387</v>
      </c>
      <c r="W15" s="15">
        <f t="shared" si="4"/>
        <v>2.15384615384616</v>
      </c>
      <c r="X15" s="5">
        <f t="shared" si="5"/>
        <v>6450</v>
      </c>
      <c r="Y15" s="7">
        <f t="shared" si="6"/>
        <v>0.0823754789272031</v>
      </c>
      <c r="Z15" s="7">
        <f>IF(OR(AE15="",多次统计数据!$B$8=""),"",AE15-多次统计数据!$B$8)</f>
        <v>0.00794909168841711</v>
      </c>
      <c r="AA15" s="16">
        <f t="shared" si="7"/>
        <v>3</v>
      </c>
      <c r="AB15" s="7">
        <f>IF(OR(A15="",多次统计数据!$B$8="",多次统计数据!$B$6&lt;=0,多次统计数据!$B$6&gt;=1),"",1-POWER(1+多次统计数据!$B$8,-多次统计数据!$B$6/(1-多次统计数据!$B$6)))</f>
        <v>0.0455859002225864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 t="shared" si="8"/>
        <v>0.0652946357166719</v>
      </c>
    </row>
    <row r="16" ht="17" spans="1:32">
      <c r="A16" s="2">
        <v>15</v>
      </c>
      <c r="B16" s="11" t="s">
        <v>41</v>
      </c>
      <c r="C16" s="9">
        <v>105233</v>
      </c>
      <c r="D16" s="6">
        <v>0.02</v>
      </c>
      <c r="E16" s="9">
        <v>14.37</v>
      </c>
      <c r="F16" s="8">
        <f t="shared" si="0"/>
        <v>5600</v>
      </c>
      <c r="G16" s="8" t="str">
        <f>IF(OR(A16="",F16="",E16="",N16="",E16&lt;=N16,账户数据!$B$7=""),"",IF(账户数据!$B$9+IF(H16="",F16*(E16-N16),0)&gt;=账户数据!$B$7,"禁止开仓","允许开仓"))</f>
        <v>允许开仓</v>
      </c>
      <c r="H16" s="2">
        <v>5000</v>
      </c>
      <c r="I16" s="10">
        <v>45562</v>
      </c>
      <c r="J16" s="9">
        <v>16</v>
      </c>
      <c r="K16" s="9">
        <v>14.01</v>
      </c>
      <c r="L16" s="8">
        <f t="shared" si="1"/>
        <v>5000</v>
      </c>
      <c r="M16" s="10">
        <v>45574</v>
      </c>
      <c r="N16" s="9">
        <v>14</v>
      </c>
      <c r="O16" s="9"/>
      <c r="P16" s="9"/>
      <c r="Q16" s="2"/>
      <c r="R16" s="2"/>
      <c r="S16" s="2"/>
      <c r="T16" s="2"/>
      <c r="U16" s="7">
        <f t="shared" si="2"/>
        <v>0.113430758524704</v>
      </c>
      <c r="V16" s="7">
        <f t="shared" si="3"/>
        <v>0.0257480862908837</v>
      </c>
      <c r="W16" s="15">
        <f t="shared" si="4"/>
        <v>4.40540540540542</v>
      </c>
      <c r="X16" s="5">
        <f t="shared" si="5"/>
        <v>-1800</v>
      </c>
      <c r="Y16" s="7">
        <f t="shared" si="6"/>
        <v>-0.0250521920668058</v>
      </c>
      <c r="Z16" s="7">
        <f>IF(OR(AE16="",多次统计数据!$B$8=""),"",AE16-多次统计数据!$B$8)</f>
        <v>-0.0744504445822635</v>
      </c>
      <c r="AA16" s="16">
        <f t="shared" si="7"/>
        <v>12</v>
      </c>
      <c r="AB16" s="7">
        <f>IF(OR(A16="",多次统计数据!$B$8="",多次统计数据!$B$6&lt;=0,多次统计数据!$B$6&gt;=1),"",1-POWER(1+多次统计数据!$B$8,-多次统计数据!$B$6/(1-多次统计数据!$B$6)))</f>
        <v>0.0455859002225864</v>
      </c>
      <c r="AC16" s="8" t="str">
        <f>IF(OR(AB16="",多次统计数据!$B$9=""),"",IF(多次统计数据!$B$9&lt;AB16,"低于上限","达到或超过上限"))</f>
        <v>低于上限</v>
      </c>
      <c r="AD16" s="2"/>
      <c r="AE16" s="7">
        <f t="shared" si="8"/>
        <v>-0.0171049005540087</v>
      </c>
    </row>
    <row r="17" ht="17" spans="1:32">
      <c r="A17" s="2">
        <v>16</v>
      </c>
      <c r="B17" s="11" t="s">
        <v>41</v>
      </c>
      <c r="C17" s="9">
        <v>103433</v>
      </c>
      <c r="D17" s="6">
        <v>0.02</v>
      </c>
      <c r="E17" s="9">
        <v>14.86</v>
      </c>
      <c r="F17" s="8">
        <f t="shared" si="0"/>
        <v>2400</v>
      </c>
      <c r="G17" s="8" t="str">
        <f>IF(OR(A17="",F17="",E17="",N17="",E17&lt;=N17,账户数据!$B$7=""),"",IF(账户数据!$B$9+IF(H17="",F17*(E17-N17),0)&gt;=账户数据!$B$7,"禁止开仓","允许开仓"))</f>
        <v>允许开仓</v>
      </c>
      <c r="H17" s="2">
        <v>3000</v>
      </c>
      <c r="I17" s="10">
        <v>45674</v>
      </c>
      <c r="J17" s="9">
        <v>16</v>
      </c>
      <c r="K17" s="9">
        <v>15.17</v>
      </c>
      <c r="L17" s="8">
        <f t="shared" si="1"/>
        <v>3000</v>
      </c>
      <c r="M17" s="10">
        <v>45716</v>
      </c>
      <c r="N17" s="9">
        <v>14</v>
      </c>
      <c r="O17" s="9"/>
      <c r="P17" s="9"/>
      <c r="Q17" s="2"/>
      <c r="R17" s="2"/>
      <c r="S17" s="2"/>
      <c r="T17" s="2"/>
      <c r="U17" s="7">
        <f t="shared" si="2"/>
        <v>0.0767160161507403</v>
      </c>
      <c r="V17" s="7">
        <f t="shared" si="3"/>
        <v>0.0578734858681023</v>
      </c>
      <c r="W17" s="15">
        <f t="shared" si="4"/>
        <v>1.32558139534884</v>
      </c>
      <c r="X17" s="5">
        <f t="shared" si="5"/>
        <v>930</v>
      </c>
      <c r="Y17" s="7">
        <f t="shared" si="6"/>
        <v>0.0208613728129206</v>
      </c>
      <c r="Z17" s="7">
        <f>IF(OR(AE17="",多次统计数据!$B$8=""),"",AE17-多次统计数据!$B$8)</f>
        <v>-0.0483542163088616</v>
      </c>
      <c r="AA17" s="16">
        <f t="shared" si="7"/>
        <v>42</v>
      </c>
      <c r="AB17" s="7">
        <f>IF(OR(A17="",多次统计数据!$B$8="",多次统计数据!$B$6&lt;=0,多次统计数据!$B$6&gt;=1),"",1-POWER(1+多次统计数据!$B$8,-多次统计数据!$B$6/(1-多次统计数据!$B$6)))</f>
        <v>0.0455859002225864</v>
      </c>
      <c r="AC17" s="8" t="str">
        <f>IF(OR(AB17="",多次统计数据!$B$9=""),"",IF(多次统计数据!$B$9&lt;AB17,"低于上限","达到或超过上限"))</f>
        <v>低于上限</v>
      </c>
      <c r="AD17" s="2"/>
      <c r="AE17" s="7">
        <f t="shared" si="8"/>
        <v>0.00899132771939323</v>
      </c>
    </row>
    <row r="18" ht="17" spans="1:32">
      <c r="A18" s="2">
        <v>17</v>
      </c>
      <c r="B18" s="11" t="s">
        <v>41</v>
      </c>
      <c r="C18" s="9">
        <v>104364</v>
      </c>
      <c r="D18" s="6">
        <v>0.02</v>
      </c>
      <c r="E18" s="9">
        <v>12.91</v>
      </c>
      <c r="F18" s="8">
        <f t="shared" si="0"/>
        <v>5000</v>
      </c>
      <c r="G18" s="8" t="str">
        <f>IF(OR(A18="",F18="",E18="",N18="",E18&lt;=N18,账户数据!$B$7=""),"",IF(账户数据!$B$9+IF(H18="",F18*(E18-N18),0)&gt;=账户数据!$B$7,"禁止开仓","允许开仓"))</f>
        <v>允许开仓</v>
      </c>
      <c r="H18" s="2">
        <v>5000</v>
      </c>
      <c r="I18" s="10">
        <v>45888</v>
      </c>
      <c r="J18" s="9">
        <v>14</v>
      </c>
      <c r="K18" s="9">
        <v>14.62</v>
      </c>
      <c r="L18" s="8">
        <f t="shared" si="1"/>
        <v>5000</v>
      </c>
      <c r="M18" s="10">
        <v>45917</v>
      </c>
      <c r="N18" s="9">
        <v>12.5</v>
      </c>
      <c r="O18" s="9"/>
      <c r="P18" s="9"/>
      <c r="Q18" s="2"/>
      <c r="R18" s="2"/>
      <c r="S18" s="2"/>
      <c r="T18" s="2"/>
      <c r="U18" s="7">
        <f t="shared" si="2"/>
        <v>0.0844306738962045</v>
      </c>
      <c r="V18" s="7">
        <f t="shared" si="3"/>
        <v>0.0317583268783889</v>
      </c>
      <c r="W18" s="15">
        <f t="shared" si="4"/>
        <v>2.65853658536585</v>
      </c>
      <c r="X18" s="5">
        <f t="shared" si="5"/>
        <v>8550</v>
      </c>
      <c r="Y18" s="7">
        <f t="shared" si="6"/>
        <v>0.132455460883036</v>
      </c>
      <c r="Z18" s="7">
        <f>IF(OR(AE18="",多次统计数据!$B$8=""),"",AE18-多次统计数据!$B$8)</f>
        <v>0.0245792576274886</v>
      </c>
      <c r="AA18" s="16">
        <f t="shared" si="7"/>
        <v>29</v>
      </c>
      <c r="AB18" s="7">
        <f>IF(OR(A18="",多次统计数据!$B$8="",多次统计数据!$B$6&lt;=0,多次统计数据!$B$6&gt;=1),"",1-POWER(1+多次统计数据!$B$8,-多次统计数据!$B$6/(1-多次统计数据!$B$6)))</f>
        <v>0.0455859002225864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 t="shared" si="8"/>
        <v>0.0819248016557434</v>
      </c>
    </row>
    <row r="19" ht="17" spans="1:32">
      <c r="A19" s="2">
        <v>18</v>
      </c>
      <c r="B19" s="2" t="s">
        <v>46</v>
      </c>
      <c r="C19" s="9">
        <v>112913</v>
      </c>
      <c r="D19" s="6">
        <v>0.02</v>
      </c>
      <c r="E19" s="9">
        <v>20.1</v>
      </c>
      <c r="F19" s="8">
        <f t="shared" si="0"/>
        <v>2000</v>
      </c>
      <c r="G19" s="8" t="str">
        <f>IF(OR(A19="",F19="",E19="",N19="",E19&lt;=N19,账户数据!$B$7=""),"",IF(账户数据!$B$9+IF(H19="",F19*(E19-N19),0)&gt;=账户数据!$B$7,"禁止开仓","允许开仓"))</f>
        <v>允许开仓</v>
      </c>
      <c r="H19" s="2">
        <v>2000</v>
      </c>
      <c r="I19" s="10">
        <v>44540</v>
      </c>
      <c r="J19" s="9">
        <v>23</v>
      </c>
      <c r="K19" s="9">
        <v>18.9</v>
      </c>
      <c r="L19" s="8">
        <f t="shared" si="1"/>
        <v>2000</v>
      </c>
      <c r="M19" s="10">
        <v>44550</v>
      </c>
      <c r="N19" s="9">
        <v>19</v>
      </c>
      <c r="O19" s="9"/>
      <c r="P19" s="9"/>
      <c r="Q19" s="2"/>
      <c r="R19" s="2"/>
      <c r="S19" s="2"/>
      <c r="T19" s="2"/>
      <c r="U19" s="7">
        <f t="shared" si="2"/>
        <v>0.144278606965174</v>
      </c>
      <c r="V19" s="7">
        <f t="shared" si="3"/>
        <v>0.0547263681592041</v>
      </c>
      <c r="W19" s="15">
        <f t="shared" si="4"/>
        <v>2.63636363636363</v>
      </c>
      <c r="X19" s="5">
        <f t="shared" si="5"/>
        <v>-2400</v>
      </c>
      <c r="Y19" s="7">
        <f t="shared" si="6"/>
        <v>-0.0597014925373134</v>
      </c>
      <c r="Z19" s="7">
        <f>IF(OR(AE19="",多次统计数据!$B$8=""),"",AE19-多次统计数据!$B$8)</f>
        <v>-0.0786008467834734</v>
      </c>
      <c r="AA19" s="16">
        <f t="shared" si="7"/>
        <v>10</v>
      </c>
      <c r="AB19" s="7">
        <f>IF(OR(A19="",多次统计数据!$B$8="",多次统计数据!$B$6&lt;=0,多次统计数据!$B$6&gt;=1),"",1-POWER(1+多次统计数据!$B$8,-多次统计数据!$B$6/(1-多次统计数据!$B$6)))</f>
        <v>0.0455859002225864</v>
      </c>
      <c r="AC19" s="8" t="str">
        <f>IF(OR(AB19="",多次统计数据!$B$9=""),"",IF(多次统计数据!$B$9&lt;AB19,"低于上限","达到或超过上限"))</f>
        <v>低于上限</v>
      </c>
      <c r="AD19" s="2"/>
      <c r="AE19" s="7">
        <f t="shared" si="8"/>
        <v>-0.0212553027552186</v>
      </c>
    </row>
    <row r="20" ht="17" spans="1:32">
      <c r="A20" s="2">
        <v>19</v>
      </c>
      <c r="B20" s="2" t="s">
        <v>46</v>
      </c>
      <c r="C20" s="9">
        <v>110513</v>
      </c>
      <c r="D20" s="6">
        <v>0.02</v>
      </c>
      <c r="E20" s="9">
        <v>14.23</v>
      </c>
      <c r="F20" s="8">
        <f t="shared" si="0"/>
        <v>3000</v>
      </c>
      <c r="G20" s="8" t="str">
        <f>IF(OR(A20="",F20="",E20="",N20="",E20&lt;=N20,账户数据!$B$7=""),"",IF(账户数据!$B$9+IF(H20="",F20*(E20-N20),0)&gt;=账户数据!$B$7,"禁止开仓","允许开仓"))</f>
        <v>允许开仓</v>
      </c>
      <c r="H20" s="2">
        <v>3000</v>
      </c>
      <c r="I20" s="10">
        <v>44727</v>
      </c>
      <c r="J20" s="9">
        <v>16</v>
      </c>
      <c r="K20" s="9">
        <v>14.86</v>
      </c>
      <c r="L20" s="8">
        <f t="shared" si="1"/>
        <v>3000</v>
      </c>
      <c r="M20" s="10">
        <v>44741</v>
      </c>
      <c r="N20" s="9">
        <v>13.5</v>
      </c>
      <c r="O20" s="9"/>
      <c r="P20" s="9"/>
      <c r="Q20" s="2"/>
      <c r="R20" s="2"/>
      <c r="S20" s="2"/>
      <c r="T20" s="2"/>
      <c r="U20" s="7">
        <f t="shared" si="2"/>
        <v>0.1243851018974</v>
      </c>
      <c r="V20" s="7">
        <f t="shared" si="3"/>
        <v>0.0513000702740689</v>
      </c>
      <c r="W20" s="15">
        <f t="shared" si="4"/>
        <v>2.42465753424657</v>
      </c>
      <c r="X20" s="5">
        <f t="shared" si="5"/>
        <v>1890</v>
      </c>
      <c r="Y20" s="7">
        <f t="shared" si="6"/>
        <v>0.0442726633872101</v>
      </c>
      <c r="Z20" s="7">
        <f>IF(OR(AE20="",多次统计数据!$B$8=""),"",AE20-多次统计数据!$B$8)</f>
        <v>-0.0402434836371696</v>
      </c>
      <c r="AA20" s="16">
        <f t="shared" si="7"/>
        <v>14</v>
      </c>
      <c r="AB20" s="7">
        <f>IF(OR(A20="",多次统计数据!$B$8="",多次统计数据!$B$6&lt;=0,多次统计数据!$B$6&gt;=1),"",1-POWER(1+多次统计数据!$B$8,-多次统计数据!$B$6/(1-多次统计数据!$B$6)))</f>
        <v>0.0455859002225864</v>
      </c>
      <c r="AC20" s="8" t="str">
        <f>IF(OR(AB20="",多次统计数据!$B$9=""),"",IF(多次统计数据!$B$9&lt;AB20,"低于上限","达到或超过上限"))</f>
        <v>低于上限</v>
      </c>
      <c r="AD20" s="2"/>
      <c r="AE20" s="7">
        <f t="shared" si="8"/>
        <v>0.0171020603910852</v>
      </c>
    </row>
    <row r="21" ht="17" spans="1:32">
      <c r="A21" s="2">
        <v>20</v>
      </c>
      <c r="B21" s="2" t="s">
        <v>46</v>
      </c>
      <c r="C21" s="9">
        <v>112403</v>
      </c>
      <c r="D21" s="6">
        <v>0.02</v>
      </c>
      <c r="E21" s="9">
        <v>20.05</v>
      </c>
      <c r="F21" s="8">
        <f t="shared" si="0"/>
        <v>4000</v>
      </c>
      <c r="G21" s="8" t="str">
        <f>IF(OR(A21="",F21="",E21="",N21="",E21&lt;=N21,账户数据!$B$7=""),"",IF(账户数据!$B$9+IF(H21="",F21*(E21-N21),0)&gt;=账户数据!$B$7,"禁止开仓","允许开仓"))</f>
        <v>允许开仓</v>
      </c>
      <c r="H21" s="2">
        <v>4000</v>
      </c>
      <c r="I21" s="10">
        <v>45068</v>
      </c>
      <c r="J21" s="9">
        <v>22.5</v>
      </c>
      <c r="K21" s="9">
        <v>25.16</v>
      </c>
      <c r="L21" s="8">
        <f t="shared" si="1"/>
        <v>4000</v>
      </c>
      <c r="M21" s="10">
        <v>45091</v>
      </c>
      <c r="N21" s="9">
        <v>19.5</v>
      </c>
      <c r="O21" s="9"/>
      <c r="P21" s="9"/>
      <c r="Q21" s="2"/>
      <c r="R21" s="2"/>
      <c r="S21" s="2"/>
      <c r="T21" s="2"/>
      <c r="U21" s="7">
        <f t="shared" si="2"/>
        <v>0.122194513715711</v>
      </c>
      <c r="V21" s="7">
        <f t="shared" si="3"/>
        <v>0.0274314214463841</v>
      </c>
      <c r="W21" s="15">
        <f t="shared" si="4"/>
        <v>4.45454545454545</v>
      </c>
      <c r="X21" s="5">
        <f t="shared" si="5"/>
        <v>20440</v>
      </c>
      <c r="Y21" s="7">
        <f t="shared" si="6"/>
        <v>0.254862842892768</v>
      </c>
      <c r="Z21" s="7">
        <f>IF(OR(AE21="",多次统计数据!$B$8=""),"",AE21-多次统计数据!$B$8)</f>
        <v>0.124500136247183</v>
      </c>
      <c r="AA21" s="16">
        <f t="shared" si="7"/>
        <v>23</v>
      </c>
      <c r="AB21" s="7">
        <f>IF(OR(A21="",多次统计数据!$B$8="",多次统计数据!$B$6&lt;=0,多次统计数据!$B$6&gt;=1),"",1-POWER(1+多次统计数据!$B$8,-多次统计数据!$B$6/(1-多次统计数据!$B$6)))</f>
        <v>0.0455859002225864</v>
      </c>
      <c r="AC21" s="8" t="str">
        <f>IF(OR(AB21="",多次统计数据!$B$9=""),"",IF(多次统计数据!$B$9&lt;AB21,"低于上限","达到或超过上限"))</f>
        <v>低于上限</v>
      </c>
      <c r="AD21" s="2"/>
      <c r="AE21" s="7">
        <f t="shared" si="8"/>
        <v>0.181845680275437</v>
      </c>
    </row>
    <row r="22" ht="17" spans="1:32">
      <c r="A22" s="2">
        <v>21</v>
      </c>
      <c r="B22" s="2" t="s">
        <v>46</v>
      </c>
      <c r="C22" s="9">
        <v>132843</v>
      </c>
      <c r="D22" s="6">
        <v>0.02</v>
      </c>
      <c r="E22" s="9">
        <v>24.36</v>
      </c>
      <c r="F22" s="8">
        <f t="shared" si="0"/>
        <v>1900</v>
      </c>
      <c r="G22" s="8" t="str">
        <f>IF(OR(A22="",F22="",E22="",N22="",E22&lt;=N22,账户数据!$B$7=""),"",IF(账户数据!$B$9+IF(H22="",F22*(E22-N22),0)&gt;=账户数据!$B$7,"禁止开仓","允许开仓"))</f>
        <v>允许开仓</v>
      </c>
      <c r="H22" s="2">
        <v>1900</v>
      </c>
      <c r="I22" s="10">
        <v>45128</v>
      </c>
      <c r="J22" s="9">
        <v>28</v>
      </c>
      <c r="K22" s="9">
        <v>22.11</v>
      </c>
      <c r="L22" s="8">
        <f t="shared" si="1"/>
        <v>1900</v>
      </c>
      <c r="M22" s="10">
        <v>45134</v>
      </c>
      <c r="N22" s="9">
        <v>23</v>
      </c>
      <c r="O22" s="9"/>
      <c r="P22" s="9"/>
      <c r="Q22" s="2"/>
      <c r="R22" s="2"/>
      <c r="S22" s="2"/>
      <c r="T22" s="2"/>
      <c r="U22" s="7">
        <f t="shared" si="2"/>
        <v>0.149425287356322</v>
      </c>
      <c r="V22" s="7">
        <f t="shared" si="3"/>
        <v>0.0558292282430213</v>
      </c>
      <c r="W22" s="15">
        <f t="shared" si="4"/>
        <v>2.6764705882353</v>
      </c>
      <c r="X22" s="5">
        <f t="shared" si="5"/>
        <v>-4275</v>
      </c>
      <c r="Y22" s="7">
        <f t="shared" si="6"/>
        <v>-0.0923645320197044</v>
      </c>
      <c r="Z22" s="7">
        <f>IF(OR(AE22="",多次统计数据!$B$8=""),"",AE22-多次统计数据!$B$8)</f>
        <v>-0.0895263890859545</v>
      </c>
      <c r="AA22" s="16">
        <f t="shared" si="7"/>
        <v>6</v>
      </c>
      <c r="AB22" s="7">
        <f>IF(OR(A22="",多次统计数据!$B$8="",多次统计数据!$B$6&lt;=0,多次统计数据!$B$6&gt;=1),"",1-POWER(1+多次统计数据!$B$8,-多次统计数据!$B$6/(1-多次统计数据!$B$6)))</f>
        <v>0.0455859002225864</v>
      </c>
      <c r="AC22" s="8" t="str">
        <f>IF(OR(AB22="",多次统计数据!$B$9=""),"",IF(多次统计数据!$B$9&lt;AB22,"低于上限","达到或超过上限"))</f>
        <v>低于上限</v>
      </c>
      <c r="AD22" s="2"/>
      <c r="AE22" s="7">
        <f t="shared" si="8"/>
        <v>-0.0321808450576997</v>
      </c>
    </row>
    <row r="23" ht="17" spans="1:32">
      <c r="A23" s="2">
        <v>22</v>
      </c>
      <c r="B23" s="2" t="s">
        <v>46</v>
      </c>
      <c r="C23" s="9">
        <v>128568</v>
      </c>
      <c r="D23" s="6">
        <v>0.02</v>
      </c>
      <c r="E23" s="9">
        <v>19.84</v>
      </c>
      <c r="F23" s="8">
        <f t="shared" si="0"/>
        <v>1300</v>
      </c>
      <c r="G23" s="8" t="str">
        <f>IF(OR(A23="",F23="",E23="",N23="",E23&lt;=N23,账户数据!$B$7=""),"",IF(账户数据!$B$9+IF(H23="",F23*(E23-N23),0)&gt;=账户数据!$B$7,"禁止开仓","允许开仓"))</f>
        <v>允许开仓</v>
      </c>
      <c r="H23" s="2">
        <v>1300</v>
      </c>
      <c r="I23" s="10">
        <v>45218</v>
      </c>
      <c r="J23" s="9">
        <v>24</v>
      </c>
      <c r="K23" s="9">
        <v>17.84</v>
      </c>
      <c r="L23" s="8">
        <f t="shared" si="1"/>
        <v>1300</v>
      </c>
      <c r="M23" s="10">
        <v>45222</v>
      </c>
      <c r="N23" s="9">
        <v>18</v>
      </c>
      <c r="O23" s="9"/>
      <c r="P23" s="9"/>
      <c r="Q23" s="2"/>
      <c r="R23" s="2"/>
      <c r="S23" s="2"/>
      <c r="T23" s="2"/>
      <c r="U23" s="7">
        <f t="shared" si="2"/>
        <v>0.209677419354839</v>
      </c>
      <c r="V23" s="7">
        <f t="shared" si="3"/>
        <v>0.092741935483871</v>
      </c>
      <c r="W23" s="15">
        <f t="shared" si="4"/>
        <v>2.26086956521739</v>
      </c>
      <c r="X23" s="5">
        <f t="shared" si="5"/>
        <v>-2600</v>
      </c>
      <c r="Y23" s="7">
        <f t="shared" si="6"/>
        <v>-0.100806451612903</v>
      </c>
      <c r="Z23" s="7">
        <f>IF(OR(AE23="",多次统计数据!$B$8=""),"",AE23-多次统计数据!$B$8)</f>
        <v>-0.0775683055241169</v>
      </c>
      <c r="AA23" s="16">
        <f t="shared" si="7"/>
        <v>4</v>
      </c>
      <c r="AB23" s="7">
        <f>IF(OR(A23="",多次统计数据!$B$8="",多次统计数据!$B$6&lt;=0,多次统计数据!$B$6&gt;=1),"",1-POWER(1+多次统计数据!$B$8,-多次统计数据!$B$6/(1-多次统计数据!$B$6)))</f>
        <v>0.0455859002225864</v>
      </c>
      <c r="AC23" s="8" t="str">
        <f>IF(OR(AB23="",多次统计数据!$B$9=""),"",IF(多次统计数据!$B$9&lt;AB23,"低于上限","达到或超过上限"))</f>
        <v>低于上限</v>
      </c>
      <c r="AD23" s="2"/>
      <c r="AE23" s="7">
        <f t="shared" si="8"/>
        <v>-0.0202227614958621</v>
      </c>
    </row>
    <row r="24" ht="17" spans="1:32">
      <c r="A24" s="2">
        <v>23</v>
      </c>
      <c r="B24" s="2" t="s">
        <v>46</v>
      </c>
      <c r="C24" s="9">
        <v>125968</v>
      </c>
      <c r="D24" s="6">
        <v>0.02</v>
      </c>
      <c r="E24" s="9">
        <v>21.54</v>
      </c>
      <c r="F24" s="8">
        <f t="shared" si="0"/>
        <v>3400</v>
      </c>
      <c r="G24" s="8" t="str">
        <f>IF(OR(A24="",F24="",E24="",N24="",E24&lt;=N24,账户数据!$B$7=""),"",IF(账户数据!$B$9+IF(H24="",F24*(E24-N24),0)&gt;=账户数据!$B$7,"禁止开仓","允许开仓"))</f>
        <v>允许开仓</v>
      </c>
      <c r="H24" s="2">
        <v>3400</v>
      </c>
      <c r="I24" s="10">
        <v>45439</v>
      </c>
      <c r="J24" s="9">
        <v>27</v>
      </c>
      <c r="K24" s="9">
        <v>23.44</v>
      </c>
      <c r="L24" s="8">
        <f t="shared" si="1"/>
        <v>3400</v>
      </c>
      <c r="M24" s="10">
        <v>45449</v>
      </c>
      <c r="N24" s="9">
        <v>20.8</v>
      </c>
      <c r="O24" s="9"/>
      <c r="P24" s="9"/>
      <c r="Q24" s="2"/>
      <c r="R24" s="2"/>
      <c r="S24" s="2"/>
      <c r="T24" s="2"/>
      <c r="U24" s="7">
        <f t="shared" si="2"/>
        <v>0.253481894150418</v>
      </c>
      <c r="V24" s="7">
        <f t="shared" si="3"/>
        <v>0.0343546889507892</v>
      </c>
      <c r="W24" s="15">
        <f t="shared" si="4"/>
        <v>7.3783783783784</v>
      </c>
      <c r="X24" s="5">
        <f t="shared" si="5"/>
        <v>6460</v>
      </c>
      <c r="Y24" s="7">
        <f t="shared" si="6"/>
        <v>0.0882079851439183</v>
      </c>
      <c r="Z24" s="7">
        <f>IF(OR(AE24="",多次统计数据!$B$8=""),"",AE24-多次统计数据!$B$8)</f>
        <v>-0.00606267853860662</v>
      </c>
      <c r="AA24" s="16">
        <f t="shared" si="7"/>
        <v>10</v>
      </c>
      <c r="AB24" s="7">
        <f>IF(OR(A24="",多次统计数据!$B$8="",多次统计数据!$B$6&lt;=0,多次统计数据!$B$6&gt;=1),"",1-POWER(1+多次统计数据!$B$8,-多次统计数据!$B$6/(1-多次统计数据!$B$6)))</f>
        <v>0.0455859002225864</v>
      </c>
      <c r="AC24" s="8" t="str">
        <f>IF(OR(AB24="",多次统计数据!$B$9=""),"",IF(多次统计数据!$B$9&lt;AB24,"低于上限","达到或超过上限"))</f>
        <v>低于上限</v>
      </c>
      <c r="AD24" s="2"/>
      <c r="AE24" s="7">
        <f t="shared" si="8"/>
        <v>0.0512828654896482</v>
      </c>
    </row>
    <row r="25" ht="17" spans="1:32">
      <c r="A25" s="2">
        <v>24</v>
      </c>
      <c r="B25" s="2" t="s">
        <v>46</v>
      </c>
      <c r="C25" s="9">
        <v>132428</v>
      </c>
      <c r="D25" s="6">
        <v>0.02</v>
      </c>
      <c r="E25" s="9">
        <v>22.04</v>
      </c>
      <c r="F25" s="8">
        <f t="shared" si="0"/>
        <v>2100</v>
      </c>
      <c r="G25" s="8" t="str">
        <f>IF(OR(A25="",F25="",E25="",N25="",E25&lt;=N25,账户数据!$B$7=""),"",IF(账户数据!$B$9+IF(H25="",F25*(E25-N25),0)&gt;=账户数据!$B$7,"禁止开仓","允许开仓"))</f>
        <v>允许开仓</v>
      </c>
      <c r="H25" s="2">
        <v>2100</v>
      </c>
      <c r="I25" s="10">
        <v>45503</v>
      </c>
      <c r="J25" s="9">
        <v>24.5</v>
      </c>
      <c r="K25" s="9">
        <v>20.51</v>
      </c>
      <c r="L25" s="8">
        <f t="shared" si="1"/>
        <v>2100</v>
      </c>
      <c r="M25" s="10">
        <v>45509</v>
      </c>
      <c r="N25" s="9">
        <v>20.8</v>
      </c>
      <c r="O25" s="9"/>
      <c r="P25" s="9"/>
      <c r="Q25" s="2"/>
      <c r="R25" s="2"/>
      <c r="S25" s="2"/>
      <c r="T25" s="2"/>
      <c r="U25" s="7">
        <f t="shared" si="2"/>
        <v>0.111615245009074</v>
      </c>
      <c r="V25" s="7">
        <f t="shared" si="3"/>
        <v>0.0562613430127041</v>
      </c>
      <c r="W25" s="15">
        <f t="shared" si="4"/>
        <v>1.98387096774194</v>
      </c>
      <c r="X25" s="5">
        <f t="shared" si="5"/>
        <v>-3213</v>
      </c>
      <c r="Y25" s="7">
        <f t="shared" si="6"/>
        <v>-0.0694192377495463</v>
      </c>
      <c r="Z25" s="7">
        <f>IF(OR(AE25="",多次统计数据!$B$8=""),"",AE25-多次统计数据!$B$8)</f>
        <v>-0.0816077846420223</v>
      </c>
      <c r="AA25" s="16">
        <f t="shared" si="7"/>
        <v>6</v>
      </c>
      <c r="AB25" s="7">
        <f>IF(OR(A25="",多次统计数据!$B$8="",多次统计数据!$B$6&lt;=0,多次统计数据!$B$6&gt;=1),"",1-POWER(1+多次统计数据!$B$8,-多次统计数据!$B$6/(1-多次统计数据!$B$6)))</f>
        <v>0.0455859002225864</v>
      </c>
      <c r="AC25" s="8" t="str">
        <f>IF(OR(AB25="",多次统计数据!$B$9=""),"",IF(多次统计数据!$B$9&lt;AB25,"低于上限","达到或超过上限"))</f>
        <v>低于上限</v>
      </c>
      <c r="AD25" s="2"/>
      <c r="AE25" s="7">
        <f t="shared" si="8"/>
        <v>-0.0242622406137675</v>
      </c>
    </row>
    <row r="26" ht="17" spans="1:32">
      <c r="A26" s="2">
        <v>25</v>
      </c>
      <c r="B26" s="2" t="s">
        <v>46</v>
      </c>
      <c r="C26" s="9">
        <v>129215</v>
      </c>
      <c r="D26" s="6">
        <v>0.02</v>
      </c>
      <c r="E26" s="9">
        <v>18.92</v>
      </c>
      <c r="F26" s="8">
        <f t="shared" si="0"/>
        <v>2800</v>
      </c>
      <c r="G26" s="8" t="str">
        <f>IF(OR(A26="",F26="",E26="",N26="",E26&lt;=N26,账户数据!$B$7=""),"",IF(账户数据!$B$9+IF(H26="",F26*(E26-N26),0)&gt;=账户数据!$B$7,"禁止开仓","允许开仓"))</f>
        <v>允许开仓</v>
      </c>
      <c r="H26" s="2">
        <v>2800</v>
      </c>
      <c r="I26" s="10">
        <v>45559</v>
      </c>
      <c r="J26" s="9">
        <v>21</v>
      </c>
      <c r="K26" s="9">
        <v>24.77</v>
      </c>
      <c r="L26" s="8">
        <f t="shared" si="1"/>
        <v>2800</v>
      </c>
      <c r="M26" s="10">
        <v>45574</v>
      </c>
      <c r="N26" s="9">
        <v>18</v>
      </c>
      <c r="O26" s="9"/>
      <c r="P26" s="9"/>
      <c r="Q26" s="2"/>
      <c r="R26" s="2"/>
      <c r="S26" s="2"/>
      <c r="T26" s="2"/>
      <c r="U26" s="7">
        <f t="shared" si="2"/>
        <v>0.109936575052854</v>
      </c>
      <c r="V26" s="7">
        <f t="shared" si="3"/>
        <v>0.0486257928118394</v>
      </c>
      <c r="W26" s="15">
        <f t="shared" si="4"/>
        <v>2.26086956521739</v>
      </c>
      <c r="X26" s="5">
        <f t="shared" si="5"/>
        <v>16380</v>
      </c>
      <c r="Y26" s="7">
        <f t="shared" si="6"/>
        <v>0.309196617336152</v>
      </c>
      <c r="Z26" s="7">
        <f>IF(OR(AE26="",多次统计数据!$B$8=""),"",AE26-多次统计数据!$B$8)</f>
        <v>0.0694199243771161</v>
      </c>
      <c r="AA26" s="16">
        <f t="shared" si="7"/>
        <v>15</v>
      </c>
      <c r="AB26" s="7">
        <f>IF(OR(A26="",多次统计数据!$B$8="",多次统计数据!$B$6&lt;=0,多次统计数据!$B$6&gt;=1),"",1-POWER(1+多次统计数据!$B$8,-多次统计数据!$B$6/(1-多次统计数据!$B$6)))</f>
        <v>0.0455859002225864</v>
      </c>
      <c r="AC26" s="8" t="str">
        <f>IF(OR(AB26="",多次统计数据!$B$9=""),"",IF(多次统计数据!$B$9&lt;AB26,"低于上限","达到或超过上限"))</f>
        <v>低于上限</v>
      </c>
      <c r="AD26" s="2"/>
      <c r="AE26" s="7">
        <f t="shared" si="8"/>
        <v>0.126765468405371</v>
      </c>
    </row>
    <row r="27" ht="17" spans="1:32">
      <c r="A27" s="2">
        <v>26</v>
      </c>
      <c r="B27" s="2" t="s">
        <v>47</v>
      </c>
      <c r="C27" s="9">
        <v>145595</v>
      </c>
      <c r="D27" s="6">
        <v>0.02</v>
      </c>
      <c r="E27" s="9">
        <v>73.35</v>
      </c>
      <c r="F27" s="8">
        <f t="shared" si="0"/>
        <v>500</v>
      </c>
      <c r="G27" s="8" t="str">
        <f>IF(OR(A27="",F27="",E27="",N27="",E27&lt;=N27,账户数据!$B$7=""),"",IF(账户数据!$B$9+IF(H27="",F27*(E27-N27),0)&gt;=账户数据!$B$7,"禁止开仓","允许开仓"))</f>
        <v>允许开仓</v>
      </c>
      <c r="H27" s="2">
        <v>500</v>
      </c>
      <c r="I27" s="10">
        <v>44636</v>
      </c>
      <c r="J27" s="9">
        <v>85</v>
      </c>
      <c r="K27" s="9">
        <v>92.9</v>
      </c>
      <c r="L27" s="8">
        <f t="shared" si="1"/>
        <v>500</v>
      </c>
      <c r="M27" s="10">
        <v>44804</v>
      </c>
      <c r="N27" s="9">
        <v>68</v>
      </c>
      <c r="O27" s="9"/>
      <c r="P27" s="9"/>
      <c r="Q27" s="2"/>
      <c r="R27" s="2"/>
      <c r="S27" s="2"/>
      <c r="T27" s="2"/>
      <c r="U27" s="7">
        <f t="shared" si="2"/>
        <v>0.158827539195637</v>
      </c>
      <c r="V27" s="7">
        <f t="shared" si="3"/>
        <v>0.07293796864349</v>
      </c>
      <c r="W27" s="15">
        <f t="shared" si="4"/>
        <v>2.17757009345795</v>
      </c>
      <c r="X27" s="5">
        <f t="shared" si="5"/>
        <v>9775</v>
      </c>
      <c r="Y27" s="7">
        <f t="shared" si="6"/>
        <v>0.266530334014997</v>
      </c>
      <c r="Z27" s="7">
        <f>IF(OR(AE27="",多次统计数据!$B$8=""),"",AE27-多次统计数据!$B$8)</f>
        <v>0.00979275055603726</v>
      </c>
      <c r="AA27" s="16">
        <f t="shared" si="7"/>
        <v>168</v>
      </c>
      <c r="AB27" s="7">
        <f>IF(OR(A27="",多次统计数据!$B$8="",多次统计数据!$B$6&lt;=0,多次统计数据!$B$6&gt;=1),"",1-POWER(1+多次统计数据!$B$8,-多次统计数据!$B$6/(1-多次统计数据!$B$6)))</f>
        <v>0.0455859002225864</v>
      </c>
      <c r="AC27" s="8" t="str">
        <f>IF(OR(AB27="",多次统计数据!$B$9=""),"",IF(多次统计数据!$B$9&lt;AB27,"低于上限","达到或超过上限"))</f>
        <v>低于上限</v>
      </c>
      <c r="AD27" s="2"/>
      <c r="AE27" s="7">
        <f t="shared" si="8"/>
        <v>0.067138294584292</v>
      </c>
    </row>
    <row r="28" ht="17" spans="1:32">
      <c r="A28" s="2">
        <v>27</v>
      </c>
      <c r="B28" s="2" t="s">
        <v>47</v>
      </c>
      <c r="C28" s="9">
        <v>155370</v>
      </c>
      <c r="D28" s="6">
        <v>0.02</v>
      </c>
      <c r="E28" s="9">
        <v>83.41</v>
      </c>
      <c r="F28" s="8">
        <f t="shared" si="0"/>
        <v>900</v>
      </c>
      <c r="G28" s="8" t="str">
        <f>IF(OR(A28="",F28="",E28="",N28="",E28&lt;=N28,账户数据!$B$7=""),"",IF(账户数据!$B$9+IF(H28="",F28*(E28-N28),0)&gt;=账户数据!$B$7,"禁止开仓","允许开仓"))</f>
        <v>允许开仓</v>
      </c>
      <c r="H28" s="2">
        <v>900</v>
      </c>
      <c r="I28" s="10">
        <v>44895</v>
      </c>
      <c r="J28" s="9">
        <v>90</v>
      </c>
      <c r="K28" s="9">
        <v>84.9</v>
      </c>
      <c r="L28" s="8">
        <f t="shared" si="1"/>
        <v>900</v>
      </c>
      <c r="M28" s="10">
        <v>44935</v>
      </c>
      <c r="N28" s="9">
        <v>80</v>
      </c>
      <c r="O28" s="9"/>
      <c r="P28" s="9"/>
      <c r="Q28" s="2"/>
      <c r="R28" s="2"/>
      <c r="S28" s="2"/>
      <c r="T28" s="2"/>
      <c r="U28" s="7">
        <f t="shared" si="2"/>
        <v>0.07900731327179</v>
      </c>
      <c r="V28" s="7">
        <f t="shared" si="3"/>
        <v>0.0408823882028533</v>
      </c>
      <c r="W28" s="15">
        <f t="shared" si="4"/>
        <v>1.9325513196481</v>
      </c>
      <c r="X28" s="5">
        <f t="shared" si="5"/>
        <v>1341</v>
      </c>
      <c r="Y28" s="7">
        <f t="shared" si="6"/>
        <v>0.0178635655197219</v>
      </c>
      <c r="Z28" s="7">
        <f>IF(OR(AE28="",多次统计数据!$B$8=""),"",AE28-多次统计数据!$B$8)</f>
        <v>-0.0487145341807939</v>
      </c>
      <c r="AA28" s="16">
        <f t="shared" si="7"/>
        <v>40</v>
      </c>
      <c r="AB28" s="7">
        <f>IF(OR(A28="",多次统计数据!$B$8="",多次统计数据!$B$6&lt;=0,多次统计数据!$B$6&gt;=1),"",1-POWER(1+多次统计数据!$B$8,-多次统计数据!$B$6/(1-多次统计数据!$B$6)))</f>
        <v>0.0455859002225864</v>
      </c>
      <c r="AC28" s="8" t="str">
        <f>IF(OR(AB28="",多次统计数据!$B$9=""),"",IF(多次统计数据!$B$9&lt;AB28,"低于上限","达到或超过上限"))</f>
        <v>低于上限</v>
      </c>
      <c r="AD28" s="2"/>
      <c r="AE28" s="7">
        <f t="shared" si="8"/>
        <v>0.0086310098474609</v>
      </c>
    </row>
    <row r="29" ht="17" spans="1:32">
      <c r="A29" s="2">
        <v>28</v>
      </c>
      <c r="B29" s="2" t="s">
        <v>47</v>
      </c>
      <c r="C29" s="9">
        <v>156711</v>
      </c>
      <c r="D29" s="6">
        <v>0.02</v>
      </c>
      <c r="E29" s="9">
        <v>82.64</v>
      </c>
      <c r="F29" s="8">
        <f t="shared" si="0"/>
        <v>1100</v>
      </c>
      <c r="G29" s="8" t="str">
        <f>IF(OR(A29="",F29="",E29="",N29="",E29&lt;=N29,账户数据!$B$7=""),"",IF(账户数据!$B$9+IF(H29="",F29*(E29-N29),0)&gt;=账户数据!$B$7,"禁止开仓","允许开仓"))</f>
        <v>允许开仓</v>
      </c>
      <c r="H29" s="2">
        <v>1100</v>
      </c>
      <c r="I29" s="10">
        <v>45015</v>
      </c>
      <c r="J29" s="9">
        <v>90</v>
      </c>
      <c r="K29" s="9">
        <v>78.04</v>
      </c>
      <c r="L29" s="8">
        <f t="shared" si="1"/>
        <v>1100</v>
      </c>
      <c r="M29" s="10">
        <v>45028</v>
      </c>
      <c r="N29" s="9">
        <v>80</v>
      </c>
      <c r="O29" s="9"/>
      <c r="P29" s="9"/>
      <c r="Q29" s="2"/>
      <c r="R29" s="2"/>
      <c r="S29" s="2"/>
      <c r="T29" s="2"/>
      <c r="U29" s="7">
        <f t="shared" si="2"/>
        <v>0.0890609874152953</v>
      </c>
      <c r="V29" s="7">
        <f t="shared" si="3"/>
        <v>0.031945788964182</v>
      </c>
      <c r="W29" s="15">
        <f t="shared" si="4"/>
        <v>2.78787878787879</v>
      </c>
      <c r="X29" s="5">
        <f t="shared" si="5"/>
        <v>-5060</v>
      </c>
      <c r="Y29" s="7">
        <f t="shared" si="6"/>
        <v>-0.0556631171345595</v>
      </c>
      <c r="Z29" s="7">
        <f>IF(OR(AE29="",多次统计数据!$B$8=""),"",AE29-多次统计数据!$B$8)</f>
        <v>-0.0896342793435805</v>
      </c>
      <c r="AA29" s="16">
        <f t="shared" si="7"/>
        <v>13</v>
      </c>
      <c r="AB29" s="7">
        <f>IF(OR(A29="",多次统计数据!$B$8="",多次统计数据!$B$6&lt;=0,多次统计数据!$B$6&gt;=1),"",1-POWER(1+多次统计数据!$B$8,-多次统计数据!$B$6/(1-多次统计数据!$B$6)))</f>
        <v>0.0455859002225864</v>
      </c>
      <c r="AC29" s="8" t="str">
        <f>IF(OR(AB29="",多次统计数据!$B$9=""),"",IF(多次统计数据!$B$9&lt;AB29,"低于上限","达到或超过上限"))</f>
        <v>低于上限</v>
      </c>
      <c r="AD29" s="2"/>
      <c r="AE29" s="7">
        <f t="shared" si="8"/>
        <v>-0.0322887353153257</v>
      </c>
    </row>
    <row r="30" ht="17" spans="1:32">
      <c r="A30" s="2">
        <v>29</v>
      </c>
      <c r="B30" s="2" t="s">
        <v>47</v>
      </c>
      <c r="C30" s="9">
        <v>151651</v>
      </c>
      <c r="D30" s="6">
        <v>0.02</v>
      </c>
      <c r="E30" s="9">
        <v>83.5</v>
      </c>
      <c r="F30" s="8">
        <f t="shared" si="0"/>
        <v>800</v>
      </c>
      <c r="G30" s="8" t="str">
        <f>IF(OR(A30="",F30="",E30="",N30="",E30&lt;=N30,账户数据!$B$7=""),"",IF(账户数据!$B$9+IF(H30="",F30*(E30-N30),0)&gt;=账户数据!$B$7,"禁止开仓","允许开仓"))</f>
        <v>允许开仓</v>
      </c>
      <c r="H30" s="2">
        <v>800</v>
      </c>
      <c r="I30" s="10">
        <v>45056</v>
      </c>
      <c r="J30" s="9">
        <v>90</v>
      </c>
      <c r="K30" s="9">
        <v>79.23</v>
      </c>
      <c r="L30" s="8">
        <f t="shared" si="1"/>
        <v>800</v>
      </c>
      <c r="M30" s="10">
        <v>45072</v>
      </c>
      <c r="N30" s="9">
        <v>80</v>
      </c>
      <c r="O30" s="9"/>
      <c r="P30" s="9"/>
      <c r="Q30" s="2"/>
      <c r="R30" s="2"/>
      <c r="S30" s="2"/>
      <c r="T30" s="2"/>
      <c r="U30" s="7">
        <f t="shared" si="2"/>
        <v>0.0778443113772455</v>
      </c>
      <c r="V30" s="7">
        <f t="shared" si="3"/>
        <v>0.0419161676646707</v>
      </c>
      <c r="W30" s="15">
        <f t="shared" si="4"/>
        <v>1.85714285714286</v>
      </c>
      <c r="X30" s="5">
        <f t="shared" si="5"/>
        <v>-3416</v>
      </c>
      <c r="Y30" s="7">
        <f t="shared" si="6"/>
        <v>-0.0511377245508982</v>
      </c>
      <c r="Z30" s="7">
        <f>IF(OR(AE30="",多次统计数据!$B$8=""),"",AE30-多次统计数据!$B$8)</f>
        <v>-0.0798709477512767</v>
      </c>
      <c r="AA30" s="16">
        <f t="shared" si="7"/>
        <v>16</v>
      </c>
      <c r="AB30" s="7">
        <f>IF(OR(A30="",多次统计数据!$B$8="",多次统计数据!$B$6&lt;=0,多次统计数据!$B$6&gt;=1),"",1-POWER(1+多次统计数据!$B$8,-多次统计数据!$B$6/(1-多次统计数据!$B$6)))</f>
        <v>0.0455859002225864</v>
      </c>
      <c r="AC30" s="8" t="str">
        <f>IF(OR(AB30="",多次统计数据!$B$9=""),"",IF(多次统计数据!$B$9&lt;AB30,"低于上限","达到或超过上限"))</f>
        <v>低于上限</v>
      </c>
      <c r="AD30" s="2"/>
      <c r="AE30" s="7">
        <f t="shared" si="8"/>
        <v>-0.0225254037230219</v>
      </c>
    </row>
    <row r="31" ht="17" spans="1:32">
      <c r="A31" s="2">
        <v>30</v>
      </c>
      <c r="B31" s="2" t="s">
        <v>47</v>
      </c>
      <c r="C31" s="9">
        <v>148235</v>
      </c>
      <c r="D31" s="6">
        <v>0.02</v>
      </c>
      <c r="E31" s="9">
        <v>86.28</v>
      </c>
      <c r="F31" s="8">
        <f t="shared" si="0"/>
        <v>1300</v>
      </c>
      <c r="G31" s="8" t="str">
        <f>IF(OR(A31="",F31="",E31="",N31="",E31&lt;=N31,账户数据!$B$7=""),"",IF(账户数据!$B$9+IF(H31="",F31*(E31-N31),0)&gt;=账户数据!$B$7,"禁止开仓","允许开仓"))</f>
        <v>允许开仓</v>
      </c>
      <c r="H31" s="2">
        <v>1300</v>
      </c>
      <c r="I31" s="10">
        <v>45135</v>
      </c>
      <c r="J31" s="9">
        <v>95</v>
      </c>
      <c r="K31" s="9">
        <v>79.22</v>
      </c>
      <c r="L31" s="8">
        <f t="shared" si="1"/>
        <v>1300</v>
      </c>
      <c r="M31" s="10">
        <v>45152</v>
      </c>
      <c r="N31" s="9">
        <v>84</v>
      </c>
      <c r="O31" s="9"/>
      <c r="P31" s="9"/>
      <c r="Q31" s="2"/>
      <c r="R31" s="2"/>
      <c r="S31" s="2"/>
      <c r="T31" s="2"/>
      <c r="U31" s="7">
        <f t="shared" si="2"/>
        <v>0.101066295781178</v>
      </c>
      <c r="V31" s="7">
        <f t="shared" si="3"/>
        <v>0.0264255910987483</v>
      </c>
      <c r="W31" s="15">
        <f t="shared" si="4"/>
        <v>3.82456140350877</v>
      </c>
      <c r="X31" s="5">
        <f t="shared" si="5"/>
        <v>-9178</v>
      </c>
      <c r="Y31" s="7">
        <f t="shared" si="6"/>
        <v>-0.0818266110338433</v>
      </c>
      <c r="Z31" s="7">
        <f>IF(OR(AE31="",多次统计数据!$B$8=""),"",AE31-多次统计数据!$B$8)</f>
        <v>-0.119260746240958</v>
      </c>
      <c r="AA31" s="16">
        <f t="shared" si="7"/>
        <v>17</v>
      </c>
      <c r="AB31" s="7">
        <f>IF(OR(A31="",多次统计数据!$B$8="",多次统计数据!$B$6&lt;=0,多次统计数据!$B$6&gt;=1),"",1-POWER(1+多次统计数据!$B$8,-多次统计数据!$B$6/(1-多次统计数据!$B$6)))</f>
        <v>0.0455859002225864</v>
      </c>
      <c r="AC31" s="8" t="str">
        <f>IF(OR(AB31="",多次统计数据!$B$9=""),"",IF(多次统计数据!$B$9&lt;AB31,"低于上限","达到或超过上限"))</f>
        <v>低于上限</v>
      </c>
      <c r="AD31" s="2"/>
      <c r="AE31" s="7">
        <f t="shared" si="8"/>
        <v>-0.0619152022127028</v>
      </c>
      <c r="AF31" t="s">
        <v>48</v>
      </c>
    </row>
    <row r="32" ht="17" spans="1:32">
      <c r="A32" s="2">
        <v>31</v>
      </c>
      <c r="B32" s="2" t="s">
        <v>47</v>
      </c>
      <c r="C32" s="9">
        <v>139057</v>
      </c>
      <c r="D32" s="6">
        <v>0.02</v>
      </c>
      <c r="E32" s="9">
        <v>73.91</v>
      </c>
      <c r="F32" s="8">
        <f t="shared" si="0"/>
        <v>700</v>
      </c>
      <c r="G32" s="8" t="str">
        <f>IF(OR(A32="",F32="",E32="",N32="",E32&lt;=N32,账户数据!$B$7=""),"",IF(账户数据!$B$9+IF(H32="",F32*(E32-N32),0)&gt;=账户数据!$B$7,"禁止开仓","允许开仓"))</f>
        <v>允许开仓</v>
      </c>
      <c r="H32" s="2">
        <v>700</v>
      </c>
      <c r="I32" s="10">
        <v>45419</v>
      </c>
      <c r="J32" s="9">
        <v>75</v>
      </c>
      <c r="K32" s="9">
        <v>69.59</v>
      </c>
      <c r="L32" s="8">
        <f t="shared" si="1"/>
        <v>700</v>
      </c>
      <c r="M32" s="10">
        <v>45434</v>
      </c>
      <c r="N32" s="9">
        <v>70</v>
      </c>
      <c r="O32" s="9"/>
      <c r="P32" s="9"/>
      <c r="Q32" s="2"/>
      <c r="R32" s="2"/>
      <c r="S32" s="2"/>
      <c r="T32" s="2"/>
      <c r="U32" s="7">
        <f t="shared" si="2"/>
        <v>0.0147476660803681</v>
      </c>
      <c r="V32" s="7">
        <f t="shared" si="3"/>
        <v>0.0529021783249898</v>
      </c>
      <c r="W32" s="15">
        <f t="shared" si="4"/>
        <v>0.278772378516625</v>
      </c>
      <c r="X32" s="5">
        <f t="shared" si="5"/>
        <v>-3024</v>
      </c>
      <c r="Y32" s="7">
        <f t="shared" si="6"/>
        <v>-0.0584494655662292</v>
      </c>
      <c r="Z32" s="7">
        <f>IF(OR(AE32="",多次统计数据!$B$8=""),"",AE32-多次统计数据!$B$8)</f>
        <v>-0.0790920220912074</v>
      </c>
      <c r="AA32" s="16">
        <f t="shared" si="7"/>
        <v>15</v>
      </c>
      <c r="AB32" s="7">
        <f>IF(OR(A32="",多次统计数据!$B$8="",多次统计数据!$B$6&lt;=0,多次统计数据!$B$6&gt;=1),"",1-POWER(1+多次统计数据!$B$8,-多次统计数据!$B$6/(1-多次统计数据!$B$6)))</f>
        <v>0.0455859002225864</v>
      </c>
      <c r="AC32" s="8" t="str">
        <f>IF(OR(AB32="",多次统计数据!$B$9=""),"",IF(多次统计数据!$B$9&lt;AB32,"低于上限","达到或超过上限"))</f>
        <v>低于上限</v>
      </c>
      <c r="AD32" s="2"/>
      <c r="AE32" s="7">
        <f t="shared" si="8"/>
        <v>-0.0217464780629526</v>
      </c>
    </row>
    <row r="33" ht="17" spans="1:32">
      <c r="A33" s="2">
        <v>32</v>
      </c>
      <c r="B33" s="2" t="s">
        <v>49</v>
      </c>
      <c r="C33" s="9">
        <v>136033</v>
      </c>
      <c r="D33" s="6">
        <v>0.02</v>
      </c>
      <c r="E33" s="9">
        <v>11.92</v>
      </c>
      <c r="F33" s="8">
        <f t="shared" si="0"/>
        <v>6400</v>
      </c>
      <c r="G33" s="8" t="str">
        <f>IF(OR(A33="",F33="",E33="",N33="",E33&lt;=N33,账户数据!$B$7=""),"",IF(账户数据!$B$9+IF(H33="",F33*(E33-N33),0)&gt;=账户数据!$B$7,"禁止开仓","允许开仓"))</f>
        <v>允许开仓</v>
      </c>
      <c r="H33" s="2">
        <v>6400</v>
      </c>
      <c r="I33" s="10">
        <v>44344</v>
      </c>
      <c r="J33" s="9">
        <v>12.75</v>
      </c>
      <c r="K33" s="9">
        <v>11.24</v>
      </c>
      <c r="L33" s="8">
        <f t="shared" si="1"/>
        <v>6400</v>
      </c>
      <c r="M33" s="10">
        <v>44362</v>
      </c>
      <c r="N33" s="9">
        <v>11.5</v>
      </c>
      <c r="O33" s="9"/>
      <c r="P33" s="9"/>
      <c r="Q33" s="2"/>
      <c r="R33" s="2"/>
      <c r="S33" s="2"/>
      <c r="T33" s="2"/>
      <c r="U33" s="7">
        <f t="shared" si="2"/>
        <v>0.0696308724832215</v>
      </c>
      <c r="V33" s="7">
        <f t="shared" si="3"/>
        <v>0.0352348993288591</v>
      </c>
      <c r="W33" s="15">
        <f t="shared" si="4"/>
        <v>1.97619047619048</v>
      </c>
      <c r="X33" s="5">
        <f t="shared" si="5"/>
        <v>-4352</v>
      </c>
      <c r="Y33" s="7">
        <f t="shared" si="6"/>
        <v>-0.0570469798657718</v>
      </c>
      <c r="Z33" s="7">
        <f>IF(OR(AE33="",多次统计数据!$B$8=""),"",AE33-多次统计数据!$B$8)</f>
        <v>-0.0893377812059984</v>
      </c>
      <c r="AA33" s="16">
        <f t="shared" si="7"/>
        <v>18</v>
      </c>
      <c r="AB33" s="7">
        <f>IF(OR(A33="",多次统计数据!$B$8="",多次统计数据!$B$6&lt;=0,多次统计数据!$B$6&gt;=1),"",1-POWER(1+多次统计数据!$B$8,-多次统计数据!$B$6/(1-多次统计数据!$B$6)))</f>
        <v>0.0455859002225864</v>
      </c>
      <c r="AC33" s="8" t="str">
        <f>IF(OR(AB33="",多次统计数据!$B$9=""),"",IF(多次统计数据!$B$9&lt;AB33,"低于上限","达到或超过上限"))</f>
        <v>低于上限</v>
      </c>
      <c r="AD33" s="2"/>
      <c r="AE33" s="7">
        <f t="shared" si="8"/>
        <v>-0.0319922371777436</v>
      </c>
    </row>
    <row r="34" ht="17" spans="1:32">
      <c r="A34" s="2">
        <v>33</v>
      </c>
      <c r="B34" s="2" t="s">
        <v>49</v>
      </c>
      <c r="C34" s="9">
        <v>131681</v>
      </c>
      <c r="D34" s="6">
        <v>0.02</v>
      </c>
      <c r="E34" s="9">
        <v>12.13</v>
      </c>
      <c r="F34" s="8">
        <f t="shared" si="0"/>
        <v>2800</v>
      </c>
      <c r="G34" s="8" t="str">
        <f>IF(OR(A34="",F34="",E34="",N34="",E34&lt;=N34,账户数据!$B$7=""),"",IF(账户数据!$B$9+IF(H34="",F34*(E34-N34),0)&gt;=账户数据!$B$7,"禁止开仓","允许开仓"))</f>
        <v>允许开仓</v>
      </c>
      <c r="H34" s="2">
        <v>2800</v>
      </c>
      <c r="I34" s="10">
        <v>44385</v>
      </c>
      <c r="J34" s="9">
        <v>13</v>
      </c>
      <c r="K34" s="9">
        <v>11.09</v>
      </c>
      <c r="L34" s="8">
        <f t="shared" si="1"/>
        <v>2800</v>
      </c>
      <c r="M34" s="10">
        <v>44396</v>
      </c>
      <c r="N34" s="9">
        <v>11.2</v>
      </c>
      <c r="O34" s="9"/>
      <c r="P34" s="9"/>
      <c r="Q34" s="2"/>
      <c r="R34" s="2"/>
      <c r="S34" s="2"/>
      <c r="T34" s="2"/>
      <c r="U34" s="7">
        <f t="shared" si="2"/>
        <v>0.0717230008244022</v>
      </c>
      <c r="V34" s="7">
        <f t="shared" si="3"/>
        <v>0.0766694146743612</v>
      </c>
      <c r="W34" s="15">
        <f t="shared" si="4"/>
        <v>0.93548387096774</v>
      </c>
      <c r="X34" s="5">
        <f t="shared" si="5"/>
        <v>-2912</v>
      </c>
      <c r="Y34" s="7">
        <f t="shared" si="6"/>
        <v>-0.0857378400659522</v>
      </c>
      <c r="Z34" s="7">
        <f>IF(OR(AE34="",多次统计数据!$B$8=""),"",AE34-多次统计数据!$B$8)</f>
        <v>-0.0794595923723591</v>
      </c>
      <c r="AA34" s="16">
        <f t="shared" si="7"/>
        <v>11</v>
      </c>
      <c r="AB34" s="7">
        <f>IF(OR(A34="",多次统计数据!$B$8="",多次统计数据!$B$6&lt;=0,多次统计数据!$B$6&gt;=1),"",1-POWER(1+多次统计数据!$B$8,-多次统计数据!$B$6/(1-多次统计数据!$B$6)))</f>
        <v>0.0455859002225864</v>
      </c>
      <c r="AC34" s="8" t="str">
        <f>IF(OR(AB34="",多次统计数据!$B$9=""),"",IF(多次统计数据!$B$9&lt;AB34,"低于上限","达到或超过上限"))</f>
        <v>低于上限</v>
      </c>
      <c r="AD34" s="2"/>
      <c r="AE34" s="7">
        <f t="shared" si="8"/>
        <v>-0.0221140483441043</v>
      </c>
    </row>
    <row r="35" ht="17" spans="1:32">
      <c r="A35" s="2">
        <v>34</v>
      </c>
      <c r="B35" s="2" t="s">
        <v>49</v>
      </c>
      <c r="C35" s="9">
        <v>128769</v>
      </c>
      <c r="D35" s="6">
        <v>0.02</v>
      </c>
      <c r="E35" s="9">
        <v>11.08</v>
      </c>
      <c r="F35" s="8">
        <f t="shared" si="0"/>
        <v>4400</v>
      </c>
      <c r="G35" s="8" t="str">
        <f>IF(OR(A35="",F35="",E35="",N35="",E35&lt;=N35,账户数据!$B$7=""),"",IF(账户数据!$B$9+IF(H35="",F35*(E35-N35),0)&gt;=账户数据!$B$7,"禁止开仓","允许开仓"))</f>
        <v>允许开仓</v>
      </c>
      <c r="H35" s="2">
        <v>4400</v>
      </c>
      <c r="I35" s="10">
        <v>44405</v>
      </c>
      <c r="J35" s="9">
        <v>12.36</v>
      </c>
      <c r="K35" s="9">
        <v>11.36</v>
      </c>
      <c r="L35" s="8">
        <f t="shared" si="1"/>
        <v>4400</v>
      </c>
      <c r="M35" s="10">
        <v>44406</v>
      </c>
      <c r="N35" s="9">
        <v>10.5</v>
      </c>
      <c r="O35" s="9"/>
      <c r="P35" s="9"/>
      <c r="Q35" s="2"/>
      <c r="R35" s="2"/>
      <c r="S35" s="2"/>
      <c r="T35" s="2"/>
      <c r="U35" s="7">
        <f t="shared" si="2"/>
        <v>0.115523465703971</v>
      </c>
      <c r="V35" s="7">
        <f t="shared" si="3"/>
        <v>0.0523465703971119</v>
      </c>
      <c r="W35" s="15">
        <f t="shared" si="4"/>
        <v>2.20689655172414</v>
      </c>
      <c r="X35" s="5">
        <f t="shared" si="5"/>
        <v>1232</v>
      </c>
      <c r="Y35" s="7">
        <f t="shared" si="6"/>
        <v>0.0252707581227437</v>
      </c>
      <c r="Z35" s="7">
        <f>IF(OR(AE35="",多次统计数据!$B$8=""),"",AE35-多次统计数据!$B$8)</f>
        <v>-0.0477780238953035</v>
      </c>
      <c r="AA35" s="16">
        <f t="shared" si="7"/>
        <v>1</v>
      </c>
      <c r="AB35" s="7">
        <f>IF(OR(A35="",多次统计数据!$B$8="",多次统计数据!$B$6&lt;=0,多次统计数据!$B$6&gt;=1),"",1-POWER(1+多次统计数据!$B$8,-多次统计数据!$B$6/(1-多次统计数据!$B$6)))</f>
        <v>0.0455859002225864</v>
      </c>
      <c r="AC35" s="8" t="str">
        <f>IF(OR(AB35="",多次统计数据!$B$9=""),"",IF(多次统计数据!$B$9&lt;AB35,"低于上限","达到或超过上限"))</f>
        <v>低于上限</v>
      </c>
      <c r="AD35" s="2"/>
      <c r="AE35" s="7">
        <f t="shared" si="8"/>
        <v>0.00956752013295125</v>
      </c>
    </row>
    <row r="36" ht="17" spans="1:32">
      <c r="A36" s="2">
        <v>35</v>
      </c>
      <c r="B36" s="2" t="s">
        <v>49</v>
      </c>
      <c r="C36" s="9">
        <v>130001</v>
      </c>
      <c r="D36" s="6">
        <v>0.02</v>
      </c>
      <c r="E36" s="9">
        <v>8.38</v>
      </c>
      <c r="F36" s="8">
        <f t="shared" si="0"/>
        <v>6800</v>
      </c>
      <c r="G36" s="8" t="str">
        <f>IF(OR(A36="",F36="",E36="",N36="",E36&lt;=N36,账户数据!$B$7=""),"",IF(账户数据!$B$9+IF(H36="",F36*(E36-N36),0)&gt;=账户数据!$B$7,"禁止开仓","允许开仓"))</f>
        <v>允许开仓</v>
      </c>
      <c r="H36" s="2">
        <v>6800</v>
      </c>
      <c r="I36" s="10">
        <v>44496</v>
      </c>
      <c r="J36" s="9">
        <v>9.45</v>
      </c>
      <c r="K36" s="9">
        <v>9.8</v>
      </c>
      <c r="L36" s="8">
        <f t="shared" si="1"/>
        <v>6800</v>
      </c>
      <c r="M36" s="10">
        <v>44508</v>
      </c>
      <c r="N36" s="9">
        <v>8</v>
      </c>
      <c r="O36" s="9"/>
      <c r="P36" s="9"/>
      <c r="Q36" s="2"/>
      <c r="R36" s="2"/>
      <c r="S36" s="2"/>
      <c r="T36" s="2"/>
      <c r="U36" s="7">
        <f t="shared" si="2"/>
        <v>0.127684964200477</v>
      </c>
      <c r="V36" s="7">
        <f t="shared" si="3"/>
        <v>0.0453460620525061</v>
      </c>
      <c r="W36" s="15">
        <f t="shared" si="4"/>
        <v>2.8157894736842</v>
      </c>
      <c r="X36" s="5">
        <f t="shared" si="5"/>
        <v>9655.99999999999</v>
      </c>
      <c r="Y36" s="7">
        <f t="shared" si="6"/>
        <v>0.16945107398568</v>
      </c>
      <c r="Z36" s="7">
        <f>IF(OR(AE36="",多次统计数据!$B$8=""),"",AE36-多次统计数据!$B$8)</f>
        <v>0.0169308076921165</v>
      </c>
      <c r="AA36" s="16">
        <f t="shared" si="7"/>
        <v>12</v>
      </c>
      <c r="AB36" s="7">
        <f>IF(OR(A36="",多次统计数据!$B$8="",多次统计数据!$B$6&lt;=0,多次统计数据!$B$6&gt;=1),"",1-POWER(1+多次统计数据!$B$8,-多次统计数据!$B$6/(1-多次统计数据!$B$6)))</f>
        <v>0.0455859002225864</v>
      </c>
      <c r="AC36" s="8" t="str">
        <f>IF(OR(AB36="",多次统计数据!$B$9=""),"",IF(多次统计数据!$B$9&lt;AB36,"低于上限","达到或超过上限"))</f>
        <v>低于上限</v>
      </c>
      <c r="AD36" s="2"/>
      <c r="AE36" s="7">
        <f t="shared" si="8"/>
        <v>0.0742763517203713</v>
      </c>
    </row>
    <row r="37" ht="17" spans="1:32">
      <c r="A37" s="2">
        <v>36</v>
      </c>
      <c r="B37" s="2" t="s">
        <v>49</v>
      </c>
      <c r="C37" s="9">
        <v>139657</v>
      </c>
      <c r="D37" s="6">
        <v>0.02</v>
      </c>
      <c r="E37" s="9">
        <v>15.16</v>
      </c>
      <c r="F37" s="8">
        <f t="shared" si="0"/>
        <v>2400</v>
      </c>
      <c r="G37" s="8" t="str">
        <f>IF(OR(A37="",F37="",E37="",N37="",E37&lt;=N37,账户数据!$B$7=""),"",IF(账户数据!$B$9+IF(H37="",F37*(E37-N37),0)&gt;=账户数据!$B$7,"禁止开仓","允许开仓"))</f>
        <v>允许开仓</v>
      </c>
      <c r="H37" s="2">
        <v>2400</v>
      </c>
      <c r="I37" s="10">
        <v>44553</v>
      </c>
      <c r="J37" s="9">
        <v>18</v>
      </c>
      <c r="K37" s="9">
        <v>13.4</v>
      </c>
      <c r="L37" s="8">
        <f t="shared" si="1"/>
        <v>2400</v>
      </c>
      <c r="M37" s="10">
        <v>44568</v>
      </c>
      <c r="N37" s="9">
        <v>14</v>
      </c>
      <c r="O37" s="9"/>
      <c r="P37" s="9"/>
      <c r="Q37" s="2"/>
      <c r="R37" s="2"/>
      <c r="S37" s="2"/>
      <c r="T37" s="2"/>
      <c r="U37" s="7">
        <f t="shared" si="2"/>
        <v>0.187335092348285</v>
      </c>
      <c r="V37" s="7">
        <f t="shared" si="3"/>
        <v>0.0765171503957784</v>
      </c>
      <c r="W37" s="15">
        <f t="shared" si="4"/>
        <v>2.44827586206896</v>
      </c>
      <c r="X37" s="5">
        <f t="shared" si="5"/>
        <v>-4224</v>
      </c>
      <c r="Y37" s="7">
        <f t="shared" si="6"/>
        <v>-0.116094986807388</v>
      </c>
      <c r="Z37" s="7">
        <f>IF(OR(AE37="",多次统计数据!$B$8=""),"",AE37-多次统计数据!$B$8)</f>
        <v>-0.0875910741484779</v>
      </c>
      <c r="AA37" s="16">
        <f t="shared" si="7"/>
        <v>15</v>
      </c>
      <c r="AB37" s="7">
        <f>IF(OR(A37="",多次统计数据!$B$8="",多次统计数据!$B$6&lt;=0,多次统计数据!$B$6&gt;=1),"",1-POWER(1+多次统计数据!$B$8,-多次统计数据!$B$6/(1-多次统计数据!$B$6)))</f>
        <v>0.0455859002225864</v>
      </c>
      <c r="AC37" s="8" t="str">
        <f>IF(OR(AB37="",多次统计数据!$B$9=""),"",IF(多次统计数据!$B$9&lt;AB37,"低于上限","达到或超过上限"))</f>
        <v>低于上限</v>
      </c>
      <c r="AD37" s="2"/>
      <c r="AE37" s="7">
        <f t="shared" si="8"/>
        <v>-0.0302455301202231</v>
      </c>
    </row>
    <row r="38" ht="17" spans="1:32">
      <c r="A38" s="2">
        <v>37</v>
      </c>
      <c r="B38" s="2" t="s">
        <v>49</v>
      </c>
      <c r="C38" s="9">
        <v>135433</v>
      </c>
      <c r="D38" s="6">
        <v>0.02</v>
      </c>
      <c r="E38" s="9">
        <v>12.17</v>
      </c>
      <c r="F38" s="8">
        <f t="shared" si="0"/>
        <v>2700</v>
      </c>
      <c r="G38" s="8" t="str">
        <f>IF(OR(A38="",F38="",E38="",N38="",E38&lt;=N38,账户数据!$B$7=""),"",IF(账户数据!$B$9+IF(H38="",F38*(E38-N38),0)&gt;=账户数据!$B$7,"禁止开仓","允许开仓"))</f>
        <v>允许开仓</v>
      </c>
      <c r="H38" s="2">
        <v>2700</v>
      </c>
      <c r="I38" s="10">
        <v>44641</v>
      </c>
      <c r="J38" s="9">
        <v>14</v>
      </c>
      <c r="K38" s="9">
        <v>9.49</v>
      </c>
      <c r="L38" s="8">
        <f t="shared" si="1"/>
        <v>2700</v>
      </c>
      <c r="M38" s="10">
        <v>44662</v>
      </c>
      <c r="N38" s="9">
        <v>11.2</v>
      </c>
      <c r="O38" s="9"/>
      <c r="P38" s="9"/>
      <c r="Q38" s="2"/>
      <c r="R38" s="2"/>
      <c r="S38" s="2"/>
      <c r="T38" s="2"/>
      <c r="U38" s="7">
        <f t="shared" si="2"/>
        <v>0.150369761709121</v>
      </c>
      <c r="V38" s="7">
        <f t="shared" si="3"/>
        <v>0.0797041906327034</v>
      </c>
      <c r="W38" s="15">
        <f t="shared" si="4"/>
        <v>1.88659793814433</v>
      </c>
      <c r="X38" s="5">
        <f t="shared" si="5"/>
        <v>-7236</v>
      </c>
      <c r="Y38" s="7">
        <f t="shared" si="6"/>
        <v>-0.220213640098603</v>
      </c>
      <c r="Z38" s="7">
        <f>IF(OR(AE38="",多次统计数据!$B$8=""),"",AE38-多次统计数据!$B$8)</f>
        <v>-0.11077417663626</v>
      </c>
      <c r="AA38" s="16">
        <f t="shared" si="7"/>
        <v>21</v>
      </c>
      <c r="AB38" s="7">
        <f>IF(OR(A38="",多次统计数据!$B$8="",多次统计数据!$B$6&lt;=0,多次统计数据!$B$6&gt;=1),"",1-POWER(1+多次统计数据!$B$8,-多次统计数据!$B$6/(1-多次统计数据!$B$6)))</f>
        <v>0.0455859002225864</v>
      </c>
      <c r="AC38" s="8" t="str">
        <f>IF(OR(AB38="",多次统计数据!$B$9=""),"",IF(多次统计数据!$B$9&lt;AB38,"低于上限","达到或超过上限"))</f>
        <v>低于上限</v>
      </c>
      <c r="AD38" s="2"/>
      <c r="AE38" s="7">
        <f t="shared" si="8"/>
        <v>-0.0534286326080054</v>
      </c>
      <c r="AF38" t="s">
        <v>50</v>
      </c>
    </row>
    <row r="39" ht="17" spans="1:32">
      <c r="A39" s="2">
        <v>38</v>
      </c>
      <c r="B39" s="2" t="s">
        <v>49</v>
      </c>
      <c r="C39" s="9">
        <v>128197</v>
      </c>
      <c r="D39" s="6">
        <v>0.02</v>
      </c>
      <c r="E39" s="9">
        <v>10.45</v>
      </c>
      <c r="F39" s="8">
        <f t="shared" si="0"/>
        <v>5600</v>
      </c>
      <c r="G39" s="8" t="str">
        <f>IF(OR(A39="",F39="",E39="",N39="",E39&lt;=N39,账户数据!$B$7=""),"",IF(账户数据!$B$9+IF(H39="",F39*(E39-N39),0)&gt;=账户数据!$B$7,"禁止开仓","允许开仓"))</f>
        <v>允许开仓</v>
      </c>
      <c r="H39" s="2">
        <v>5600</v>
      </c>
      <c r="I39" s="10">
        <v>44670</v>
      </c>
      <c r="J39" s="9">
        <v>12</v>
      </c>
      <c r="K39" s="9">
        <v>9.28</v>
      </c>
      <c r="L39" s="8">
        <f t="shared" si="1"/>
        <v>5600</v>
      </c>
      <c r="M39" s="10">
        <v>44676</v>
      </c>
      <c r="N39" s="9">
        <v>10</v>
      </c>
      <c r="O39" s="9"/>
      <c r="P39" s="9"/>
      <c r="Q39" s="2"/>
      <c r="R39" s="2"/>
      <c r="S39" s="2"/>
      <c r="T39" s="2"/>
      <c r="U39" s="7">
        <f t="shared" si="2"/>
        <v>0.148325358851675</v>
      </c>
      <c r="V39" s="7">
        <f t="shared" si="3"/>
        <v>0.0430622009569377</v>
      </c>
      <c r="W39" s="15">
        <f t="shared" si="4"/>
        <v>3.44444444444445</v>
      </c>
      <c r="X39" s="5">
        <f t="shared" si="5"/>
        <v>-6551.99999999999</v>
      </c>
      <c r="Y39" s="7">
        <f t="shared" si="6"/>
        <v>-0.111961722488038</v>
      </c>
      <c r="Z39" s="7">
        <f>IF(OR(AE39="",多次统计数据!$B$8=""),"",AE39-多次统计数据!$B$8)</f>
        <v>-0.10845438432873</v>
      </c>
      <c r="AA39" s="16">
        <f t="shared" si="7"/>
        <v>6</v>
      </c>
      <c r="AB39" s="7">
        <f>IF(OR(A39="",多次统计数据!$B$8="",多次统计数据!$B$6&lt;=0,多次统计数据!$B$6&gt;=1),"",1-POWER(1+多次统计数据!$B$8,-多次统计数据!$B$6/(1-多次统计数据!$B$6)))</f>
        <v>0.0455859002225864</v>
      </c>
      <c r="AC39" s="8" t="str">
        <f>IF(OR(AB39="",多次统计数据!$B$9=""),"",IF(多次统计数据!$B$9&lt;AB39,"低于上限","达到或超过上限"))</f>
        <v>低于上限</v>
      </c>
      <c r="AD39" s="2"/>
      <c r="AE39" s="7">
        <f t="shared" si="8"/>
        <v>-0.051108840300475</v>
      </c>
    </row>
    <row r="40" ht="17" spans="1:32">
      <c r="A40" s="2">
        <v>39</v>
      </c>
      <c r="B40" s="2" t="s">
        <v>49</v>
      </c>
      <c r="C40" s="9">
        <v>121645</v>
      </c>
      <c r="D40" s="6">
        <v>0.02</v>
      </c>
      <c r="E40" s="9">
        <v>13.54</v>
      </c>
      <c r="F40" s="8">
        <f t="shared" si="0"/>
        <v>4500</v>
      </c>
      <c r="G40" s="8" t="str">
        <f>IF(OR(A40="",F40="",E40="",N40="",E40&lt;=N40,账户数据!$B$7=""),"",IF(账户数据!$B$9+IF(H40="",F40*(E40-N40),0)&gt;=账户数据!$B$7,"禁止开仓","允许开仓"))</f>
        <v>允许开仓</v>
      </c>
      <c r="H40" s="2">
        <v>4500</v>
      </c>
      <c r="I40" s="10">
        <v>44740</v>
      </c>
      <c r="J40" s="9">
        <v>15</v>
      </c>
      <c r="K40" s="9">
        <v>12.66</v>
      </c>
      <c r="L40" s="8">
        <f t="shared" si="1"/>
        <v>4500</v>
      </c>
      <c r="M40" s="10">
        <v>44743</v>
      </c>
      <c r="N40" s="9">
        <v>13</v>
      </c>
      <c r="O40" s="9"/>
      <c r="P40" s="9"/>
      <c r="Q40" s="2"/>
      <c r="R40" s="2"/>
      <c r="S40" s="2"/>
      <c r="T40" s="2"/>
      <c r="U40" s="7">
        <f t="shared" si="2"/>
        <v>0.107828655834564</v>
      </c>
      <c r="V40" s="7">
        <f t="shared" si="3"/>
        <v>0.0398818316100443</v>
      </c>
      <c r="W40" s="15">
        <f t="shared" si="4"/>
        <v>2.70370370370371</v>
      </c>
      <c r="X40" s="5">
        <f t="shared" si="5"/>
        <v>-3959.99999999999</v>
      </c>
      <c r="Y40" s="7">
        <f t="shared" si="6"/>
        <v>-0.0649926144756277</v>
      </c>
      <c r="Z40" s="7">
        <f>IF(OR(AE40="",多次统计数据!$B$8=""),"",AE40-多次统计数据!$B$8)</f>
        <v>-0.0898992864755399</v>
      </c>
      <c r="AA40" s="16">
        <f t="shared" si="7"/>
        <v>3</v>
      </c>
      <c r="AB40" s="7">
        <f>IF(OR(A40="",多次统计数据!$B$8="",多次统计数据!$B$6&lt;=0,多次统计数据!$B$6&gt;=1),"",1-POWER(1+多次统计数据!$B$8,-多次统计数据!$B$6/(1-多次统计数据!$B$6)))</f>
        <v>0.0455859002225864</v>
      </c>
      <c r="AC40" s="8" t="str">
        <f>IF(OR(AB40="",多次统计数据!$B$9=""),"",IF(多次统计数据!$B$9&lt;AB40,"低于上限","达到或超过上限"))</f>
        <v>低于上限</v>
      </c>
      <c r="AD40" s="2"/>
      <c r="AE40" s="7">
        <f t="shared" si="8"/>
        <v>-0.0325537424472851</v>
      </c>
    </row>
    <row r="41" ht="17" spans="1:32">
      <c r="A41" s="2">
        <v>40</v>
      </c>
      <c r="B41" s="2" t="s">
        <v>49</v>
      </c>
      <c r="C41" s="9">
        <v>117685</v>
      </c>
      <c r="D41" s="6">
        <v>0.02</v>
      </c>
      <c r="E41" s="9">
        <v>11.67</v>
      </c>
      <c r="F41" s="8">
        <f t="shared" si="0"/>
        <v>2000</v>
      </c>
      <c r="G41" s="8" t="str">
        <f>IF(OR(A41="",F41="",E41="",N41="",E41&lt;=N41,账户数据!$B$7=""),"",IF(账户数据!$B$9+IF(H41="",F41*(E41-N41),0)&gt;=账户数据!$B$7,"禁止开仓","允许开仓"))</f>
        <v>允许开仓</v>
      </c>
      <c r="H41" s="2">
        <v>2000</v>
      </c>
      <c r="I41" s="10">
        <v>44883</v>
      </c>
      <c r="J41" s="9">
        <v>15</v>
      </c>
      <c r="K41" s="9">
        <v>10.23</v>
      </c>
      <c r="L41" s="8">
        <f t="shared" si="1"/>
        <v>2000</v>
      </c>
      <c r="M41" s="10">
        <v>44914</v>
      </c>
      <c r="N41" s="9">
        <v>10.52</v>
      </c>
      <c r="O41" s="9"/>
      <c r="P41" s="9"/>
      <c r="Q41" s="2"/>
      <c r="R41" s="2"/>
      <c r="S41" s="2"/>
      <c r="T41" s="2"/>
      <c r="U41" s="7">
        <f t="shared" si="2"/>
        <v>0.285347043701799</v>
      </c>
      <c r="V41" s="7">
        <f t="shared" si="3"/>
        <v>0.0985432733504713</v>
      </c>
      <c r="W41" s="15">
        <f t="shared" si="4"/>
        <v>2.89565217391304</v>
      </c>
      <c r="X41" s="5">
        <f t="shared" si="5"/>
        <v>-2880</v>
      </c>
      <c r="Y41" s="7">
        <f t="shared" si="6"/>
        <v>-0.123393316195373</v>
      </c>
      <c r="Z41" s="7">
        <f>IF(OR(AE41="",多次统计数据!$B$8=""),"",AE41-多次统计数据!$B$8)</f>
        <v>-0.0818176517735069</v>
      </c>
      <c r="AA41" s="16">
        <f t="shared" si="7"/>
        <v>31</v>
      </c>
      <c r="AB41" s="7">
        <f>IF(OR(A41="",多次统计数据!$B$8="",多次统计数据!$B$6&lt;=0,多次统计数据!$B$6&gt;=1),"",1-POWER(1+多次统计数据!$B$8,-多次统计数据!$B$6/(1-多次统计数据!$B$6)))</f>
        <v>0.0455859002225864</v>
      </c>
      <c r="AC41" s="8" t="str">
        <f>IF(OR(AB41="",多次统计数据!$B$9=""),"",IF(多次统计数据!$B$9&lt;AB41,"低于上限","达到或超过上限"))</f>
        <v>低于上限</v>
      </c>
      <c r="AD41" s="2"/>
      <c r="AE41" s="7">
        <f t="shared" si="8"/>
        <v>-0.0244721077452522</v>
      </c>
    </row>
    <row r="42" ht="17" spans="1:32">
      <c r="A42" s="2">
        <v>41</v>
      </c>
      <c r="B42" s="2" t="s">
        <v>49</v>
      </c>
      <c r="C42" s="9">
        <v>114805</v>
      </c>
      <c r="D42" s="6">
        <v>0.02</v>
      </c>
      <c r="E42" s="9">
        <v>18.24</v>
      </c>
      <c r="F42" s="8">
        <f t="shared" si="0"/>
        <v>1800</v>
      </c>
      <c r="G42" s="8" t="str">
        <f>IF(OR(A42="",F42="",E42="",N42="",E42&lt;=N42,账户数据!$B$7=""),"",IF(账户数据!$B$9+IF(H42="",F42*(E42-N42),0)&gt;=账户数据!$B$7,"禁止开仓","允许开仓"))</f>
        <v>允许开仓</v>
      </c>
      <c r="H42" s="2">
        <v>1800</v>
      </c>
      <c r="I42" s="10">
        <v>45064</v>
      </c>
      <c r="J42" s="9">
        <v>20</v>
      </c>
      <c r="K42" s="9">
        <v>16.44</v>
      </c>
      <c r="L42" s="8">
        <f t="shared" si="1"/>
        <v>1800</v>
      </c>
      <c r="M42" s="10">
        <v>45069</v>
      </c>
      <c r="N42" s="9">
        <v>17</v>
      </c>
      <c r="O42" s="9"/>
      <c r="P42" s="9"/>
      <c r="Q42" s="2"/>
      <c r="R42" s="2"/>
      <c r="S42" s="2"/>
      <c r="T42" s="2"/>
      <c r="U42" s="7">
        <f t="shared" si="2"/>
        <v>0.0964912280701755</v>
      </c>
      <c r="V42" s="7">
        <f t="shared" si="3"/>
        <v>0.0679824561403508</v>
      </c>
      <c r="W42" s="15">
        <f t="shared" si="4"/>
        <v>1.41935483870968</v>
      </c>
      <c r="X42" s="5">
        <f t="shared" si="5"/>
        <v>-3240</v>
      </c>
      <c r="Y42" s="7">
        <f t="shared" si="6"/>
        <v>-0.0986842105263157</v>
      </c>
      <c r="Z42" s="7">
        <f>IF(OR(AE42="",多次统计数据!$B$8=""),"",AE42-多次统计数据!$B$8)</f>
        <v>-0.0855673113728826</v>
      </c>
      <c r="AA42" s="16">
        <f t="shared" si="7"/>
        <v>5</v>
      </c>
      <c r="AB42" s="7">
        <f>IF(OR(A42="",多次统计数据!$B$8="",多次统计数据!$B$6&lt;=0,多次统计数据!$B$6&gt;=1),"",1-POWER(1+多次统计数据!$B$8,-多次统计数据!$B$6/(1-多次统计数据!$B$6)))</f>
        <v>0.0455859002225864</v>
      </c>
      <c r="AC42" s="8" t="str">
        <f>IF(OR(AB42="",多次统计数据!$B$9=""),"",IF(多次统计数据!$B$9&lt;AB42,"低于上限","达到或超过上限"))</f>
        <v>低于上限</v>
      </c>
      <c r="AD42" s="2"/>
      <c r="AE42" s="7">
        <f t="shared" si="8"/>
        <v>-0.0282217673446278</v>
      </c>
    </row>
    <row r="43" ht="17" spans="1:32">
      <c r="A43" s="2">
        <v>42</v>
      </c>
      <c r="B43" s="2" t="s">
        <v>49</v>
      </c>
      <c r="C43" s="9">
        <v>111565</v>
      </c>
      <c r="D43" s="6">
        <v>0.02</v>
      </c>
      <c r="E43" s="9">
        <v>20.31</v>
      </c>
      <c r="F43" s="8">
        <f t="shared" si="0"/>
        <v>1700</v>
      </c>
      <c r="G43" s="8" t="str">
        <f>IF(OR(A43="",F43="",E43="",N43="",E43&lt;=N43,账户数据!$B$7=""),"",IF(账户数据!$B$9+IF(H43="",F43*(E43-N43),0)&gt;=账户数据!$B$7,"禁止开仓","允许开仓"))</f>
        <v>允许开仓</v>
      </c>
      <c r="H43" s="2">
        <v>1700</v>
      </c>
      <c r="I43" s="10">
        <v>45086</v>
      </c>
      <c r="J43" s="9">
        <v>24</v>
      </c>
      <c r="K43" s="9">
        <v>18</v>
      </c>
      <c r="L43" s="8">
        <f t="shared" si="1"/>
        <v>1700</v>
      </c>
      <c r="M43" s="10">
        <v>45103</v>
      </c>
      <c r="N43" s="9">
        <v>19</v>
      </c>
      <c r="O43" s="9"/>
      <c r="P43" s="9"/>
      <c r="Q43" s="2"/>
      <c r="R43" s="2"/>
      <c r="S43" s="2"/>
      <c r="T43" s="2"/>
      <c r="U43" s="7">
        <f t="shared" si="2"/>
        <v>0.181683899556869</v>
      </c>
      <c r="V43" s="7">
        <f t="shared" si="3"/>
        <v>0.0645002461841457</v>
      </c>
      <c r="W43" s="15">
        <f t="shared" si="4"/>
        <v>2.81679389312977</v>
      </c>
      <c r="X43" s="5">
        <f t="shared" si="5"/>
        <v>-3927</v>
      </c>
      <c r="Y43" s="7">
        <f t="shared" si="6"/>
        <v>-0.113737075332349</v>
      </c>
      <c r="Z43" s="7">
        <f>IF(OR(AE43="",多次统计数据!$B$8=""),"",AE43-多次统计数据!$B$8)</f>
        <v>-0.0925447552504123</v>
      </c>
      <c r="AA43" s="16">
        <f t="shared" si="7"/>
        <v>17</v>
      </c>
      <c r="AB43" s="7">
        <f>IF(OR(A43="",多次统计数据!$B$8="",多次统计数据!$B$6&lt;=0,多次统计数据!$B$6&gt;=1),"",1-POWER(1+多次统计数据!$B$8,-多次统计数据!$B$6/(1-多次统计数据!$B$6)))</f>
        <v>0.0455859002225864</v>
      </c>
      <c r="AC43" s="8" t="str">
        <f>IF(OR(AB43="",多次统计数据!$B$9=""),"",IF(多次统计数据!$B$9&lt;AB43,"低于上限","达到或超过上限"))</f>
        <v>低于上限</v>
      </c>
      <c r="AD43" s="2"/>
      <c r="AE43" s="7">
        <f t="shared" si="8"/>
        <v>-0.0351992112221575</v>
      </c>
    </row>
    <row r="44" ht="17" spans="1:32">
      <c r="A44" s="2">
        <v>43</v>
      </c>
      <c r="B44" s="2" t="s">
        <v>49</v>
      </c>
      <c r="C44" s="9">
        <v>107638</v>
      </c>
      <c r="D44" s="6">
        <v>0.02</v>
      </c>
      <c r="E44" s="9">
        <v>20.43</v>
      </c>
      <c r="F44" s="8">
        <f t="shared" si="0"/>
        <v>600</v>
      </c>
      <c r="G44" s="8" t="str">
        <f>IF(OR(A44="",F44="",E44="",N44="",E44&lt;=N44,账户数据!$B$7=""),"",IF(账户数据!$B$9+IF(H44="",F44*(E44-N44),0)&gt;=账户数据!$B$7,"禁止开仓","允许开仓"))</f>
        <v>允许开仓</v>
      </c>
      <c r="H44" s="2">
        <v>600</v>
      </c>
      <c r="I44" s="10">
        <v>45138</v>
      </c>
      <c r="J44" s="9">
        <v>24</v>
      </c>
      <c r="K44" s="9">
        <v>30.34</v>
      </c>
      <c r="L44" s="8">
        <f t="shared" si="1"/>
        <v>600</v>
      </c>
      <c r="M44" s="10">
        <v>45366</v>
      </c>
      <c r="N44" s="9">
        <v>17</v>
      </c>
      <c r="O44" s="9"/>
      <c r="P44" s="9"/>
      <c r="Q44" s="2"/>
      <c r="R44" s="2"/>
      <c r="S44" s="2"/>
      <c r="T44" s="2"/>
      <c r="U44" s="7">
        <f t="shared" si="2"/>
        <v>0.174743024963289</v>
      </c>
      <c r="V44" s="7">
        <f t="shared" si="3"/>
        <v>0.16789035731767</v>
      </c>
      <c r="W44" s="15">
        <f t="shared" si="4"/>
        <v>1.04081632653061</v>
      </c>
      <c r="X44" s="5">
        <f t="shared" si="5"/>
        <v>5946</v>
      </c>
      <c r="Y44" s="7">
        <f t="shared" si="6"/>
        <v>0.485070974057758</v>
      </c>
      <c r="Z44" s="7">
        <f>IF(OR(AE44="",多次统计数据!$B$8=""),"",AE44-多次统计数据!$B$8)</f>
        <v>-0.00210482978235649</v>
      </c>
      <c r="AA44" s="16">
        <f t="shared" si="7"/>
        <v>228</v>
      </c>
      <c r="AB44" s="7">
        <f>IF(OR(A44="",多次统计数据!$B$8="",多次统计数据!$B$6&lt;=0,多次统计数据!$B$6&gt;=1),"",1-POWER(1+多次统计数据!$B$8,-多次统计数据!$B$6/(1-多次统计数据!$B$6)))</f>
        <v>0.0455859002225864</v>
      </c>
      <c r="AC44" s="8" t="str">
        <f>IF(OR(AB44="",多次统计数据!$B$9=""),"",IF(多次统计数据!$B$9&lt;AB44,"低于上限","达到或超过上限"))</f>
        <v>低于上限</v>
      </c>
      <c r="AD44" s="2"/>
      <c r="AE44" s="7">
        <f t="shared" si="8"/>
        <v>0.0552407142458983</v>
      </c>
    </row>
    <row r="45" ht="17" spans="1:32">
      <c r="A45" s="2">
        <v>44</v>
      </c>
      <c r="B45" s="2" t="s">
        <v>51</v>
      </c>
      <c r="C45" s="9">
        <v>113584</v>
      </c>
      <c r="D45" s="6">
        <v>0.02</v>
      </c>
      <c r="E45" s="9">
        <v>64.98</v>
      </c>
      <c r="F45" s="8">
        <f t="shared" si="0"/>
        <v>1100</v>
      </c>
      <c r="G45" s="8" t="str">
        <f>IF(OR(A45="",F45="",E45="",N45="",E45&lt;=N45,账户数据!$B$7=""),"",IF(账户数据!$B$9+IF(H45="",F45*(E45-N45),0)&gt;=账户数据!$B$7,"禁止开仓","允许开仓"))</f>
        <v>允许开仓</v>
      </c>
      <c r="H45" s="2">
        <v>1100</v>
      </c>
      <c r="I45" s="10">
        <v>44613</v>
      </c>
      <c r="J45" s="9">
        <v>69</v>
      </c>
      <c r="K45" s="9">
        <v>69.19</v>
      </c>
      <c r="L45" s="8">
        <f t="shared" si="1"/>
        <v>1100</v>
      </c>
      <c r="M45" s="10">
        <v>44719</v>
      </c>
      <c r="N45" s="9">
        <v>63</v>
      </c>
      <c r="O45" s="9"/>
      <c r="P45" s="9"/>
      <c r="Q45" s="2"/>
      <c r="R45" s="2"/>
      <c r="S45" s="2"/>
      <c r="T45" s="2"/>
      <c r="U45" s="7">
        <f t="shared" si="2"/>
        <v>0.0618651892890119</v>
      </c>
      <c r="V45" s="7">
        <f t="shared" si="3"/>
        <v>0.0304709141274239</v>
      </c>
      <c r="W45" s="15">
        <f t="shared" si="4"/>
        <v>2.03030303030302</v>
      </c>
      <c r="X45" s="5">
        <f t="shared" si="5"/>
        <v>4631</v>
      </c>
      <c r="Y45" s="7">
        <f t="shared" si="6"/>
        <v>0.0647891658971991</v>
      </c>
      <c r="Z45" s="7">
        <f>IF(OR(AE45="",多次统计数据!$B$8=""),"",AE45-多次统计数据!$B$8)</f>
        <v>-0.0165739564807129</v>
      </c>
      <c r="AA45" s="16">
        <f t="shared" si="7"/>
        <v>106</v>
      </c>
      <c r="AB45" s="7">
        <f>IF(OR(A45="",多次统计数据!$B$8="",多次统计数据!$B$6&lt;=0,多次统计数据!$B$6&gt;=1),"",1-POWER(1+多次统计数据!$B$8,-多次统计数据!$B$6/(1-多次统计数据!$B$6)))</f>
        <v>0.0455859002225864</v>
      </c>
      <c r="AC45" s="8" t="str">
        <f>IF(OR(AB45="",多次统计数据!$B$9=""),"",IF(多次统计数据!$B$9&lt;AB45,"低于上限","达到或超过上限"))</f>
        <v>低于上限</v>
      </c>
      <c r="AD45" s="2"/>
      <c r="AE45" s="7">
        <f t="shared" si="8"/>
        <v>0.0407715875475419</v>
      </c>
    </row>
    <row r="46" ht="17" spans="1:32">
      <c r="A46" s="2">
        <v>45</v>
      </c>
      <c r="B46" s="2" t="s">
        <v>51</v>
      </c>
      <c r="C46" s="9">
        <v>118215</v>
      </c>
      <c r="D46" s="6">
        <v>0.02</v>
      </c>
      <c r="E46" s="9">
        <v>66.85</v>
      </c>
      <c r="F46" s="8">
        <f t="shared" si="0"/>
        <v>6700</v>
      </c>
      <c r="G46" s="8" t="str">
        <f>IF(OR(A46="",F46="",E46="",N46="",E46&lt;=N46,账户数据!$B$7=""),"",IF(账户数据!$B$9+IF(H46="",F46*(E46-N46),0)&gt;=账户数据!$B$7,"禁止开仓","允许开仓"))</f>
        <v>允许开仓</v>
      </c>
      <c r="H46" s="2">
        <v>6700</v>
      </c>
      <c r="I46" s="10">
        <v>44722</v>
      </c>
      <c r="J46" s="9">
        <v>69</v>
      </c>
      <c r="K46" s="9">
        <v>66.07</v>
      </c>
      <c r="L46" s="8">
        <f t="shared" si="1"/>
        <v>6700</v>
      </c>
      <c r="M46" s="10">
        <v>44725</v>
      </c>
      <c r="N46" s="9">
        <v>66.5</v>
      </c>
      <c r="O46" s="9"/>
      <c r="P46" s="9"/>
      <c r="Q46" s="2"/>
      <c r="R46" s="2"/>
      <c r="S46" s="2"/>
      <c r="T46" s="2"/>
      <c r="U46" s="7">
        <f t="shared" si="2"/>
        <v>0.0321615557217652</v>
      </c>
      <c r="V46" s="7">
        <f t="shared" si="3"/>
        <v>0.00523560209424075</v>
      </c>
      <c r="W46" s="15">
        <f t="shared" si="4"/>
        <v>6.14285714285726</v>
      </c>
      <c r="X46" s="5">
        <f t="shared" si="5"/>
        <v>-5226</v>
      </c>
      <c r="Y46" s="7">
        <f t="shared" si="6"/>
        <v>-0.0116679132385939</v>
      </c>
      <c r="Z46" s="7">
        <f>IF(OR(AE46="",多次统计数据!$B$8=""),"",AE46-多次统计数据!$B$8)</f>
        <v>-0.101553131897814</v>
      </c>
      <c r="AA46" s="16">
        <f t="shared" si="7"/>
        <v>3</v>
      </c>
      <c r="AB46" s="7">
        <f>IF(OR(A46="",多次统计数据!$B$8="",多次统计数据!$B$6&lt;=0,多次统计数据!$B$6&gt;=1),"",1-POWER(1+多次统计数据!$B$8,-多次统计数据!$B$6/(1-多次统计数据!$B$6)))</f>
        <v>0.0455859002225864</v>
      </c>
      <c r="AC46" s="8" t="str">
        <f>IF(OR(AB46="",多次统计数据!$B$9=""),"",IF(多次统计数据!$B$9&lt;AB46,"低于上限","达到或超过上限"))</f>
        <v>低于上限</v>
      </c>
      <c r="AD46" s="2"/>
      <c r="AE46" s="7">
        <f t="shared" si="8"/>
        <v>-0.0442075878695597</v>
      </c>
    </row>
    <row r="47" ht="17" spans="1:32">
      <c r="A47" s="2">
        <v>46</v>
      </c>
      <c r="B47" s="2" t="s">
        <v>51</v>
      </c>
      <c r="C47" s="9">
        <v>112989</v>
      </c>
      <c r="D47" s="6">
        <v>0.02</v>
      </c>
      <c r="E47" s="9">
        <v>66.45</v>
      </c>
      <c r="F47" s="8">
        <f t="shared" si="0"/>
        <v>1500</v>
      </c>
      <c r="G47" s="8" t="str">
        <f>IF(OR(A47="",F47="",E47="",N47="",E47&lt;=N47,账户数据!$B$7=""),"",IF(账户数据!$B$9+IF(H47="",F47*(E47-N47),0)&gt;=账户数据!$B$7,"禁止开仓","允许开仓"))</f>
        <v>允许开仓</v>
      </c>
      <c r="H47" s="2">
        <v>1500</v>
      </c>
      <c r="I47" s="10">
        <v>44732</v>
      </c>
      <c r="J47" s="9">
        <v>69</v>
      </c>
      <c r="K47" s="9">
        <v>63.21</v>
      </c>
      <c r="L47" s="8">
        <f t="shared" si="1"/>
        <v>1500</v>
      </c>
      <c r="M47" s="10">
        <v>44764</v>
      </c>
      <c r="N47" s="9">
        <v>65</v>
      </c>
      <c r="O47" s="9"/>
      <c r="P47" s="9"/>
      <c r="Q47" s="2"/>
      <c r="R47" s="2"/>
      <c r="S47" s="2"/>
      <c r="T47" s="2"/>
      <c r="U47" s="7">
        <f t="shared" si="2"/>
        <v>0.0383747178329571</v>
      </c>
      <c r="V47" s="7">
        <f t="shared" si="3"/>
        <v>0.0218209179834462</v>
      </c>
      <c r="W47" s="15">
        <f t="shared" si="4"/>
        <v>1.75862068965517</v>
      </c>
      <c r="X47" s="5">
        <f t="shared" si="5"/>
        <v>-4860</v>
      </c>
      <c r="Y47" s="7">
        <f t="shared" si="6"/>
        <v>-0.0487584650112867</v>
      </c>
      <c r="Z47" s="7">
        <f>IF(OR(AE47="",多次统计数据!$B$8=""),"",AE47-多次统计数据!$B$8)</f>
        <v>-0.100358580695541</v>
      </c>
      <c r="AA47" s="16">
        <f t="shared" si="7"/>
        <v>32</v>
      </c>
      <c r="AB47" s="7">
        <f>IF(OR(A47="",多次统计数据!$B$8="",多次统计数据!$B$6&lt;=0,多次统计数据!$B$6&gt;=1),"",1-POWER(1+多次统计数据!$B$8,-多次统计数据!$B$6/(1-多次统计数据!$B$6)))</f>
        <v>0.0455859002225864</v>
      </c>
      <c r="AC47" s="8" t="str">
        <f>IF(OR(AB47="",多次统计数据!$B$9=""),"",IF(多次统计数据!$B$9&lt;AB47,"低于上限","达到或超过上限"))</f>
        <v>低于上限</v>
      </c>
      <c r="AD47" s="2"/>
      <c r="AE47" s="7">
        <f t="shared" si="8"/>
        <v>-0.0430130366672862</v>
      </c>
      <c r="AF47" t="s">
        <v>52</v>
      </c>
    </row>
    <row r="48" ht="17" spans="1:32">
      <c r="A48" s="2">
        <v>47</v>
      </c>
      <c r="B48" s="2" t="s">
        <v>51</v>
      </c>
      <c r="C48" s="9">
        <v>108129</v>
      </c>
      <c r="D48" s="6">
        <v>0.02</v>
      </c>
      <c r="E48" s="9">
        <v>51.49</v>
      </c>
      <c r="F48" s="8">
        <f t="shared" si="0"/>
        <v>1400</v>
      </c>
      <c r="G48" s="8" t="str">
        <f>IF(OR(A48="",F48="",E48="",N48="",E48&lt;=N48,账户数据!$B$7=""),"",IF(账户数据!$B$9+IF(H48="",F48*(E48-N48),0)&gt;=账户数据!$B$7,"禁止开仓","允许开仓"))</f>
        <v>允许开仓</v>
      </c>
      <c r="H48" s="2">
        <v>1400</v>
      </c>
      <c r="I48" s="10">
        <v>45070</v>
      </c>
      <c r="J48" s="9">
        <v>55</v>
      </c>
      <c r="K48" s="9">
        <v>56</v>
      </c>
      <c r="L48" s="8">
        <f t="shared" si="1"/>
        <v>1400</v>
      </c>
      <c r="M48" s="10">
        <v>45077</v>
      </c>
      <c r="N48" s="9">
        <v>50</v>
      </c>
      <c r="O48" s="9"/>
      <c r="P48" s="9"/>
      <c r="Q48" s="2"/>
      <c r="R48" s="2"/>
      <c r="S48" s="2"/>
      <c r="T48" s="2"/>
      <c r="U48" s="7">
        <f t="shared" si="2"/>
        <v>0.0681685764226063</v>
      </c>
      <c r="V48" s="7">
        <f t="shared" si="3"/>
        <v>0.0289376577976306</v>
      </c>
      <c r="W48" s="15">
        <f t="shared" si="4"/>
        <v>2.35570469798657</v>
      </c>
      <c r="X48" s="5">
        <f t="shared" si="5"/>
        <v>6314</v>
      </c>
      <c r="Y48" s="7">
        <f t="shared" si="6"/>
        <v>0.0875898232666537</v>
      </c>
      <c r="Z48" s="7">
        <f>IF(OR(AE48="",多次统计数据!$B$8=""),"",AE48-多次统计数据!$B$8)</f>
        <v>0.00104767148284769</v>
      </c>
      <c r="AA48" s="16">
        <f t="shared" si="7"/>
        <v>7</v>
      </c>
      <c r="AB48" s="7">
        <f>IF(OR(A48="",多次统计数据!$B$8="",多次统计数据!$B$6&lt;=0,多次统计数据!$B$6&gt;=1),"",1-POWER(1+多次统计数据!$B$8,-多次统计数据!$B$6/(1-多次统计数据!$B$6)))</f>
        <v>0.0455859002225864</v>
      </c>
      <c r="AC48" s="8" t="str">
        <f>IF(OR(AB48="",多次统计数据!$B$9=""),"",IF(多次统计数据!$B$9&lt;AB48,"低于上限","达到或超过上限"))</f>
        <v>低于上限</v>
      </c>
      <c r="AD48" s="2"/>
      <c r="AE48" s="7">
        <f t="shared" si="8"/>
        <v>0.0583932155111025</v>
      </c>
    </row>
    <row r="49" ht="17" spans="1:32">
      <c r="A49" s="2">
        <v>48</v>
      </c>
      <c r="B49" s="2" t="s">
        <v>51</v>
      </c>
      <c r="C49" s="9">
        <v>111443</v>
      </c>
      <c r="D49" s="6">
        <v>0.02</v>
      </c>
      <c r="E49" s="9">
        <v>52.19</v>
      </c>
      <c r="F49" s="8">
        <f t="shared" si="0"/>
        <v>1000</v>
      </c>
      <c r="G49" s="8" t="str">
        <f>IF(OR(A49="",F49="",E49="",N49="",E49&lt;=N49,账户数据!$B$7=""),"",IF(账户数据!$B$9+IF(H49="",F49*(E49-N49),0)&gt;=账户数据!$B$7,"禁止开仓","允许开仓"))</f>
        <v>允许开仓</v>
      </c>
      <c r="H49" s="2">
        <v>1000</v>
      </c>
      <c r="I49" s="10">
        <v>45153</v>
      </c>
      <c r="J49" s="9">
        <v>55</v>
      </c>
      <c r="K49" s="9">
        <v>46.45</v>
      </c>
      <c r="L49" s="8">
        <f t="shared" si="1"/>
        <v>1000</v>
      </c>
      <c r="M49" s="10">
        <v>45159</v>
      </c>
      <c r="N49" s="9">
        <v>50</v>
      </c>
      <c r="O49" s="9"/>
      <c r="P49" s="9"/>
      <c r="Q49" s="2"/>
      <c r="R49" s="2"/>
      <c r="S49" s="2"/>
      <c r="T49" s="2"/>
      <c r="U49" s="7">
        <f t="shared" si="2"/>
        <v>0.0538417321325925</v>
      </c>
      <c r="V49" s="7">
        <f t="shared" si="3"/>
        <v>0.0419620616976432</v>
      </c>
      <c r="W49" s="15">
        <f t="shared" si="4"/>
        <v>1.28310502283105</v>
      </c>
      <c r="X49" s="5">
        <f t="shared" si="5"/>
        <v>-5740</v>
      </c>
      <c r="Y49" s="7">
        <f t="shared" si="6"/>
        <v>-0.109982755317111</v>
      </c>
      <c r="Z49" s="7">
        <f>IF(OR(AE49="",多次统计数据!$B$8=""),"",AE49-多次统计数据!$B$8)</f>
        <v>-0.10885169515484</v>
      </c>
      <c r="AA49" s="16">
        <f t="shared" si="7"/>
        <v>6</v>
      </c>
      <c r="AB49" s="7">
        <f>IF(OR(A49="",多次统计数据!$B$8="",多次统计数据!$B$6&lt;=0,多次统计数据!$B$6&gt;=1),"",1-POWER(1+多次统计数据!$B$8,-多次统计数据!$B$6/(1-多次统计数据!$B$6)))</f>
        <v>0.0455859002225864</v>
      </c>
      <c r="AC49" s="8" t="str">
        <f>IF(OR(AB49="",多次统计数据!$B$9=""),"",IF(多次统计数据!$B$9&lt;AB49,"低于上限","达到或超过上限"))</f>
        <v>低于上限</v>
      </c>
      <c r="AD49" s="2"/>
      <c r="AE49" s="7">
        <f t="shared" si="8"/>
        <v>-0.0515061511265849</v>
      </c>
      <c r="AF49" t="s">
        <v>53</v>
      </c>
    </row>
    <row r="50" ht="17" spans="1:32">
      <c r="A50" s="2">
        <v>49</v>
      </c>
      <c r="B50" s="2" t="s">
        <v>51</v>
      </c>
      <c r="C50" s="9">
        <v>108793</v>
      </c>
      <c r="D50" s="6">
        <v>0.02</v>
      </c>
      <c r="E50" s="9">
        <v>41.88</v>
      </c>
      <c r="F50" s="8">
        <f t="shared" si="0"/>
        <v>1100</v>
      </c>
      <c r="G50" s="8" t="str">
        <f>IF(OR(A50="",F50="",E50="",N50="",E50&lt;=N50,账户数据!$B$7=""),"",IF(账户数据!$B$9+IF(H50="",F50*(E50-N50),0)&gt;=账户数据!$B$7,"禁止开仓","允许开仓"))</f>
        <v>允许开仓</v>
      </c>
      <c r="H50" s="2">
        <v>1100</v>
      </c>
      <c r="I50" s="10">
        <v>45309</v>
      </c>
      <c r="J50" s="9">
        <v>45.5</v>
      </c>
      <c r="K50" s="9">
        <v>38.83</v>
      </c>
      <c r="L50" s="8">
        <f t="shared" si="1"/>
        <v>1100</v>
      </c>
      <c r="M50" s="10">
        <v>45313</v>
      </c>
      <c r="N50" s="9">
        <v>40</v>
      </c>
      <c r="O50" s="9"/>
      <c r="P50" s="9"/>
      <c r="Q50" s="2"/>
      <c r="R50" s="2"/>
      <c r="S50" s="2"/>
      <c r="T50" s="2"/>
      <c r="U50" s="7">
        <f t="shared" si="2"/>
        <v>0.0864374403056351</v>
      </c>
      <c r="V50" s="7">
        <f t="shared" si="3"/>
        <v>0.0448901623686725</v>
      </c>
      <c r="W50" s="15">
        <f t="shared" si="4"/>
        <v>1.92553191489361</v>
      </c>
      <c r="X50" s="5">
        <f t="shared" si="5"/>
        <v>-3355</v>
      </c>
      <c r="Y50" s="7">
        <f t="shared" si="6"/>
        <v>-0.0728271251193887</v>
      </c>
      <c r="Z50" s="7">
        <f>IF(OR(AE50="",多次统计数据!$B$8=""),"",AE50-多次统计数据!$B$8)</f>
        <v>-0.0881839251741006</v>
      </c>
      <c r="AA50" s="16">
        <f t="shared" si="7"/>
        <v>4</v>
      </c>
      <c r="AB50" s="7">
        <f>IF(OR(A50="",多次统计数据!$B$8="",多次统计数据!$B$6&lt;=0,多次统计数据!$B$6&gt;=1),"",1-POWER(1+多次统计数据!$B$8,-多次统计数据!$B$6/(1-多次统计数据!$B$6)))</f>
        <v>0.0455859002225864</v>
      </c>
      <c r="AC50" s="8" t="str">
        <f>IF(OR(AB50="",多次统计数据!$B$9=""),"",IF(多次统计数据!$B$9&lt;AB50,"低于上限","达到或超过上限"))</f>
        <v>低于上限</v>
      </c>
      <c r="AD50" s="2"/>
      <c r="AE50" s="7">
        <f t="shared" si="8"/>
        <v>-0.0308383811458458</v>
      </c>
      <c r="AF50" t="s">
        <v>54</v>
      </c>
    </row>
    <row r="51" ht="17" spans="1:32">
      <c r="A51" s="2">
        <v>50</v>
      </c>
      <c r="B51" s="2" t="s">
        <v>51</v>
      </c>
      <c r="C51" s="9">
        <v>105348</v>
      </c>
      <c r="D51" s="6">
        <v>0.02</v>
      </c>
      <c r="E51" s="9">
        <v>97.5</v>
      </c>
      <c r="F51" s="8">
        <f t="shared" si="0"/>
        <v>800</v>
      </c>
      <c r="G51" s="8" t="str">
        <f>IF(OR(A51="",F51="",E51="",N51="",E51&lt;=N51,账户数据!$B$7=""),"",IF(账户数据!$B$9+IF(H51="",F51*(E51-N51),0)&gt;=账户数据!$B$7,"禁止开仓","允许开仓"))</f>
        <v>允许开仓</v>
      </c>
      <c r="H51" s="2">
        <v>800</v>
      </c>
      <c r="I51" s="10">
        <v>45833</v>
      </c>
      <c r="J51" s="9">
        <v>100</v>
      </c>
      <c r="K51" s="9">
        <v>129.8</v>
      </c>
      <c r="L51" s="8">
        <f t="shared" si="1"/>
        <v>800</v>
      </c>
      <c r="M51" s="10">
        <v>45861</v>
      </c>
      <c r="N51" s="9">
        <v>95</v>
      </c>
      <c r="O51" s="9"/>
      <c r="P51" s="9"/>
      <c r="Q51" s="2"/>
      <c r="R51" s="2"/>
      <c r="S51" s="2"/>
      <c r="T51" s="2"/>
      <c r="U51" s="7">
        <f t="shared" si="2"/>
        <v>0.0256410256410256</v>
      </c>
      <c r="V51" s="7">
        <f t="shared" si="3"/>
        <v>0.0256410256410256</v>
      </c>
      <c r="W51" s="15">
        <f t="shared" si="4"/>
        <v>1</v>
      </c>
      <c r="X51" s="5">
        <f t="shared" si="5"/>
        <v>25840</v>
      </c>
      <c r="Y51" s="7">
        <f t="shared" si="6"/>
        <v>0.331282051282051</v>
      </c>
      <c r="Z51" s="7">
        <f>IF(OR(AE51="",多次统计数据!$B$8=""),"",AE51-多次统计数据!$B$8)</f>
        <v>0.187936758435959</v>
      </c>
      <c r="AA51" s="16">
        <f t="shared" si="7"/>
        <v>28</v>
      </c>
      <c r="AB51" s="7">
        <f>IF(OR(A51="",多次统计数据!$B$8="",多次统计数据!$B$6&lt;=0,多次统计数据!$B$6&gt;=1),"",1-POWER(1+多次统计数据!$B$8,-多次统计数据!$B$6/(1-多次统计数据!$B$6)))</f>
        <v>0.0455859002225864</v>
      </c>
      <c r="AC51" s="8" t="str">
        <f>IF(OR(AB51="",多次统计数据!$B$9=""),"",IF(多次统计数据!$B$9&lt;AB51,"低于上限","达到或超过上限"))</f>
        <v>低于上限</v>
      </c>
      <c r="AD51" s="2"/>
      <c r="AE51" s="7">
        <f t="shared" si="8"/>
        <v>0.245282302464214</v>
      </c>
    </row>
    <row r="52" ht="17" spans="1:32">
      <c r="A52" s="2">
        <v>51</v>
      </c>
      <c r="B52" s="2" t="s">
        <v>51</v>
      </c>
      <c r="C52" s="9">
        <v>131188</v>
      </c>
      <c r="D52" s="6">
        <v>0.02</v>
      </c>
      <c r="E52" s="9">
        <v>139.18</v>
      </c>
      <c r="F52" s="8">
        <f t="shared" si="0"/>
        <v>600</v>
      </c>
      <c r="G52" s="8" t="str">
        <f>IF(OR(A52="",F52="",E52="",N52="",E52&lt;=N52,账户数据!$B$7=""),"",IF(账户数据!$B$9+IF(H52="",F52*(E52-N52),0)&gt;=账户数据!$B$7,"禁止开仓","允许开仓"))</f>
        <v>允许开仓</v>
      </c>
      <c r="H52" s="2">
        <v>600</v>
      </c>
      <c r="I52" s="10">
        <v>45890</v>
      </c>
      <c r="J52" s="9">
        <v>150</v>
      </c>
      <c r="K52" s="9">
        <v>177.39</v>
      </c>
      <c r="L52" s="8">
        <f t="shared" si="1"/>
        <v>600</v>
      </c>
      <c r="M52" s="10">
        <v>45902</v>
      </c>
      <c r="N52" s="9">
        <v>135</v>
      </c>
      <c r="O52" s="9"/>
      <c r="P52" s="9"/>
      <c r="Q52" s="2"/>
      <c r="R52" s="2"/>
      <c r="S52" s="2"/>
      <c r="T52" s="2"/>
      <c r="U52" s="7">
        <f t="shared" si="2"/>
        <v>0.0777410547492455</v>
      </c>
      <c r="V52" s="7">
        <f t="shared" si="3"/>
        <v>0.030033050725679</v>
      </c>
      <c r="W52" s="15">
        <f t="shared" si="4"/>
        <v>2.58851674641148</v>
      </c>
      <c r="X52" s="5">
        <f t="shared" si="5"/>
        <v>22926</v>
      </c>
      <c r="Y52" s="7">
        <f t="shared" si="6"/>
        <v>0.274536571346458</v>
      </c>
      <c r="Z52" s="7">
        <f>IF(OR(AE52="",多次统计数据!$B$8=""),"",AE52-多次统计数据!$B$8)</f>
        <v>0.117411293487372</v>
      </c>
      <c r="AA52" s="16">
        <f t="shared" si="7"/>
        <v>12</v>
      </c>
      <c r="AB52" s="7">
        <f>IF(OR(A52="",多次统计数据!$B$8="",多次统计数据!$B$6&lt;=0,多次统计数据!$B$6&gt;=1),"",1-POWER(1+多次统计数据!$B$8,-多次统计数据!$B$6/(1-多次统计数据!$B$6)))</f>
        <v>0.0455859002225864</v>
      </c>
      <c r="AC52" s="8" t="str">
        <f>IF(OR(AB52="",多次统计数据!$B$9=""),"",IF(多次统计数据!$B$9&lt;AB52,"低于上限","达到或超过上限"))</f>
        <v>低于上限</v>
      </c>
      <c r="AD52" s="2"/>
      <c r="AE52" s="7">
        <f t="shared" si="8"/>
        <v>0.174756837515626</v>
      </c>
    </row>
    <row r="53" ht="17" spans="1:32">
      <c r="A53" s="2">
        <v>52</v>
      </c>
      <c r="B53" s="2" t="s">
        <v>55</v>
      </c>
      <c r="C53" s="9">
        <v>154114</v>
      </c>
      <c r="D53" s="6">
        <v>0.02</v>
      </c>
      <c r="E53" s="9">
        <v>41.46</v>
      </c>
      <c r="F53" s="8">
        <f t="shared" si="0"/>
        <v>1200</v>
      </c>
      <c r="G53" s="8" t="str">
        <f>IF(OR(A53="",F53="",E53="",N53="",E53&lt;=N53,账户数据!$B$7=""),"",IF(账户数据!$B$9+IF(H53="",F53*(E53-N53),0)&gt;=账户数据!$B$7,"禁止开仓","允许开仓"))</f>
        <v>允许开仓</v>
      </c>
      <c r="H53" s="2">
        <v>1200</v>
      </c>
      <c r="I53" s="10">
        <v>44221</v>
      </c>
      <c r="J53" s="9">
        <v>45</v>
      </c>
      <c r="K53" s="9">
        <v>38.76</v>
      </c>
      <c r="L53" s="8">
        <f t="shared" si="1"/>
        <v>1200</v>
      </c>
      <c r="M53" s="10">
        <v>44223</v>
      </c>
      <c r="N53" s="9">
        <v>39</v>
      </c>
      <c r="O53" s="9"/>
      <c r="P53" s="9"/>
      <c r="Q53" s="2"/>
      <c r="R53" s="2"/>
      <c r="S53" s="2"/>
      <c r="T53" s="2"/>
      <c r="U53" s="7">
        <f t="shared" si="2"/>
        <v>0.085383502170767</v>
      </c>
      <c r="V53" s="7">
        <f t="shared" si="3"/>
        <v>0.0593342981186686</v>
      </c>
      <c r="W53" s="15">
        <f t="shared" si="4"/>
        <v>1.4390243902439</v>
      </c>
      <c r="X53" s="5">
        <f t="shared" si="5"/>
        <v>-3240</v>
      </c>
      <c r="Y53" s="7">
        <f t="shared" si="6"/>
        <v>-0.065123010130246</v>
      </c>
      <c r="Z53" s="7">
        <f>IF(OR(AE53="",多次统计数据!$B$8=""),"",AE53-多次统计数据!$B$8)</f>
        <v>-0.0783689422918778</v>
      </c>
      <c r="AA53" s="16">
        <f t="shared" si="7"/>
        <v>2</v>
      </c>
      <c r="AB53" s="7">
        <f>IF(OR(A53="",多次统计数据!$B$8="",多次统计数据!$B$6&lt;=0,多次统计数据!$B$6&gt;=1),"",1-POWER(1+多次统计数据!$B$8,-多次统计数据!$B$6/(1-多次统计数据!$B$6)))</f>
        <v>0.0455859002225864</v>
      </c>
      <c r="AC53" s="8" t="str">
        <f>IF(OR(AB53="",多次统计数据!$B$9=""),"",IF(多次统计数据!$B$9&lt;AB53,"低于上限","达到或超过上限"))</f>
        <v>低于上限</v>
      </c>
      <c r="AD53" s="2"/>
      <c r="AE53" s="7">
        <f t="shared" si="8"/>
        <v>-0.021023398263623</v>
      </c>
    </row>
    <row r="54" ht="17" spans="1:32">
      <c r="A54" s="2">
        <v>53</v>
      </c>
      <c r="B54" s="2" t="s">
        <v>55</v>
      </c>
      <c r="C54" s="9">
        <v>150874</v>
      </c>
      <c r="D54" s="6">
        <v>0.02</v>
      </c>
      <c r="E54" s="9">
        <v>20.64</v>
      </c>
      <c r="F54" s="8">
        <f t="shared" si="0"/>
        <v>1600</v>
      </c>
      <c r="G54" s="8" t="str">
        <f>IF(OR(A54="",F54="",E54="",N54="",E54&lt;=N54,账户数据!$B$7=""),"",IF(账户数据!$B$9+IF(H54="",F54*(E54-N54),0)&gt;=账户数据!$B$7,"禁止开仓","允许开仓"))</f>
        <v>允许开仓</v>
      </c>
      <c r="H54" s="2">
        <v>1600</v>
      </c>
      <c r="I54" s="10">
        <v>44496</v>
      </c>
      <c r="J54" s="9">
        <v>24</v>
      </c>
      <c r="K54" s="9">
        <v>22.77</v>
      </c>
      <c r="L54" s="8">
        <f t="shared" si="1"/>
        <v>1600</v>
      </c>
      <c r="M54" s="10">
        <v>44501</v>
      </c>
      <c r="N54" s="9">
        <v>18.8</v>
      </c>
      <c r="O54" s="9"/>
      <c r="P54" s="9"/>
      <c r="Q54" s="2"/>
      <c r="R54" s="2"/>
      <c r="S54" s="2"/>
      <c r="T54" s="2"/>
      <c r="U54" s="7">
        <f t="shared" si="2"/>
        <v>0.162790697674419</v>
      </c>
      <c r="V54" s="7">
        <f t="shared" si="3"/>
        <v>0.0891472868217054</v>
      </c>
      <c r="W54" s="15">
        <f t="shared" si="4"/>
        <v>1.82608695652174</v>
      </c>
      <c r="X54" s="5">
        <f t="shared" si="5"/>
        <v>3408</v>
      </c>
      <c r="Y54" s="7">
        <f t="shared" si="6"/>
        <v>0.103197674418605</v>
      </c>
      <c r="Z54" s="7">
        <f>IF(OR(AE54="",多次统计数据!$B$8=""),"",AE54-多次统计数据!$B$8)</f>
        <v>-0.0347571590182464</v>
      </c>
      <c r="AA54" s="16">
        <f t="shared" si="7"/>
        <v>5</v>
      </c>
      <c r="AB54" s="7">
        <f>IF(OR(A54="",多次统计数据!$B$8="",多次统计数据!$B$6&lt;=0,多次统计数据!$B$6&gt;=1),"",1-POWER(1+多次统计数据!$B$8,-多次统计数据!$B$6/(1-多次统计数据!$B$6)))</f>
        <v>0.0455859002225864</v>
      </c>
      <c r="AC54" s="8" t="str">
        <f>IF(OR(AB54="",多次统计数据!$B$9=""),"",IF(多次统计数据!$B$9&lt;AB54,"低于上限","达到或超过上限"))</f>
        <v>低于上限</v>
      </c>
      <c r="AD54" s="2"/>
      <c r="AE54" s="7">
        <f t="shared" si="8"/>
        <v>0.0225883850100084</v>
      </c>
    </row>
    <row r="55" ht="17" spans="1:32">
      <c r="A55" s="2">
        <v>54</v>
      </c>
      <c r="B55" s="2" t="s">
        <v>55</v>
      </c>
      <c r="C55" s="9">
        <v>154282</v>
      </c>
      <c r="D55" s="6">
        <v>0.02</v>
      </c>
      <c r="E55" s="9">
        <v>21.57</v>
      </c>
      <c r="F55" s="8">
        <f t="shared" si="0"/>
        <v>1900</v>
      </c>
      <c r="G55" s="8" t="str">
        <f>IF(OR(A55="",F55="",E55="",N55="",E55&lt;=N55,账户数据!$B$7=""),"",IF(账户数据!$B$9+IF(H55="",F55*(E55-N55),0)&gt;=账户数据!$B$7,"禁止开仓","允许开仓"))</f>
        <v>允许开仓</v>
      </c>
      <c r="H55" s="2">
        <v>1900</v>
      </c>
      <c r="I55" s="10">
        <v>44662</v>
      </c>
      <c r="J55" s="9">
        <v>24</v>
      </c>
      <c r="K55" s="9">
        <v>24.04</v>
      </c>
      <c r="L55" s="8">
        <f t="shared" si="1"/>
        <v>1900</v>
      </c>
      <c r="M55" s="10">
        <v>44670</v>
      </c>
      <c r="N55" s="9">
        <v>20</v>
      </c>
      <c r="O55" s="9"/>
      <c r="P55" s="9"/>
      <c r="Q55" s="2"/>
      <c r="R55" s="2"/>
      <c r="S55" s="2"/>
      <c r="T55" s="2"/>
      <c r="U55" s="7">
        <f t="shared" si="2"/>
        <v>0.112656467315716</v>
      </c>
      <c r="V55" s="7">
        <f t="shared" si="3"/>
        <v>0.0727862772369031</v>
      </c>
      <c r="W55" s="15">
        <f t="shared" si="4"/>
        <v>1.54777070063694</v>
      </c>
      <c r="X55" s="5">
        <f t="shared" si="5"/>
        <v>4693</v>
      </c>
      <c r="Y55" s="7">
        <f t="shared" si="6"/>
        <v>0.114510894761242</v>
      </c>
      <c r="Z55" s="7">
        <f>IF(OR(AE55="",多次统计数据!$B$8=""),"",AE55-多次统计数据!$B$8)</f>
        <v>-0.0269272191426557</v>
      </c>
      <c r="AA55" s="16">
        <f t="shared" si="7"/>
        <v>8</v>
      </c>
      <c r="AB55" s="7">
        <f>IF(OR(A55="",多次统计数据!$B$8="",多次统计数据!$B$6&lt;=0,多次统计数据!$B$6&gt;=1),"",1-POWER(1+多次统计数据!$B$8,-多次统计数据!$B$6/(1-多次统计数据!$B$6)))</f>
        <v>0.0455859002225864</v>
      </c>
      <c r="AC55" s="8" t="str">
        <f>IF(OR(AB55="",多次统计数据!$B$9=""),"",IF(多次统计数据!$B$9&lt;AB55,"低于上限","达到或超过上限"))</f>
        <v>低于上限</v>
      </c>
      <c r="AD55" s="2"/>
      <c r="AE55" s="7">
        <f t="shared" si="8"/>
        <v>0.0304183248855991</v>
      </c>
    </row>
    <row r="56" ht="17" spans="1:32">
      <c r="A56" s="2">
        <v>55</v>
      </c>
      <c r="B56" s="2" t="s">
        <v>55</v>
      </c>
      <c r="C56" s="9">
        <v>158975</v>
      </c>
      <c r="D56" s="6">
        <v>0.02</v>
      </c>
      <c r="E56" s="9">
        <v>21.3</v>
      </c>
      <c r="F56" s="8">
        <f t="shared" si="0"/>
        <v>2400</v>
      </c>
      <c r="G56" s="8" t="str">
        <f>IF(OR(A56="",F56="",E56="",N56="",E56&lt;=N56,账户数据!$B$7=""),"",IF(账户数据!$B$9+IF(H56="",F56*(E56-N56),0)&gt;=账户数据!$B$7,"禁止开仓","允许开仓"))</f>
        <v>允许开仓</v>
      </c>
      <c r="H56" s="2">
        <v>2000</v>
      </c>
      <c r="I56" s="10">
        <v>44719</v>
      </c>
      <c r="J56" s="9">
        <v>24</v>
      </c>
      <c r="K56" s="9">
        <v>20.41</v>
      </c>
      <c r="L56" s="8">
        <f t="shared" si="1"/>
        <v>2000</v>
      </c>
      <c r="M56" s="10">
        <v>44769</v>
      </c>
      <c r="N56" s="9">
        <v>20</v>
      </c>
      <c r="O56" s="9"/>
      <c r="P56" s="9"/>
      <c r="Q56" s="2"/>
      <c r="R56" s="2"/>
      <c r="S56" s="2"/>
      <c r="T56" s="2"/>
      <c r="U56" s="7">
        <f t="shared" si="2"/>
        <v>0.126760563380282</v>
      </c>
      <c r="V56" s="7">
        <f t="shared" si="3"/>
        <v>0.0610328638497653</v>
      </c>
      <c r="W56" s="15">
        <f t="shared" si="4"/>
        <v>2.07692307692308</v>
      </c>
      <c r="X56" s="5">
        <f t="shared" si="5"/>
        <v>-1780</v>
      </c>
      <c r="Y56" s="7">
        <f t="shared" si="6"/>
        <v>-0.0417840375586854</v>
      </c>
      <c r="Z56" s="7">
        <f>IF(OR(AE56="",多次统计数据!$B$8=""),"",AE56-多次统计数据!$B$8)</f>
        <v>-0.0685422730737022</v>
      </c>
      <c r="AA56" s="16">
        <f t="shared" si="7"/>
        <v>50</v>
      </c>
      <c r="AB56" s="7">
        <f>IF(OR(A56="",多次统计数据!$B$8="",多次统计数据!$B$6&lt;=0,多次统计数据!$B$6&gt;=1),"",1-POWER(1+多次统计数据!$B$8,-多次统计数据!$B$6/(1-多次统计数据!$B$6)))</f>
        <v>0.0455859002225864</v>
      </c>
      <c r="AC56" s="8" t="str">
        <f>IF(OR(AB56="",多次统计数据!$B$9=""),"",IF(多次统计数据!$B$9&lt;AB56,"低于上限","达到或超过上限"))</f>
        <v>低于上限</v>
      </c>
      <c r="AD56" s="2"/>
      <c r="AE56" s="7">
        <f t="shared" si="8"/>
        <v>-0.0111967290454474</v>
      </c>
    </row>
    <row r="57" ht="17" spans="1:32">
      <c r="A57" s="2">
        <v>56</v>
      </c>
      <c r="B57" s="2" t="s">
        <v>56</v>
      </c>
      <c r="C57" s="9">
        <v>157195</v>
      </c>
      <c r="D57" s="6">
        <v>0.02</v>
      </c>
      <c r="E57" s="9">
        <v>50.39</v>
      </c>
      <c r="F57" s="8">
        <f t="shared" si="0"/>
        <v>1000</v>
      </c>
      <c r="G57" s="8" t="str">
        <f>IF(OR(A57="",F57="",E57="",N57="",E57&lt;=N57,账户数据!$B$7=""),"",IF(账户数据!$B$9+IF(H57="",F57*(E57-N57),0)&gt;=账户数据!$B$7,"禁止开仓","允许开仓"))</f>
        <v>允许开仓</v>
      </c>
      <c r="H57" s="2">
        <v>1000</v>
      </c>
      <c r="I57" s="10">
        <v>44351</v>
      </c>
      <c r="J57" s="9">
        <v>60</v>
      </c>
      <c r="K57" s="9">
        <v>55</v>
      </c>
      <c r="L57" s="8">
        <f t="shared" si="1"/>
        <v>1000</v>
      </c>
      <c r="M57" s="10">
        <v>44356</v>
      </c>
      <c r="N57" s="9">
        <v>47.5</v>
      </c>
      <c r="O57" s="9"/>
      <c r="P57" s="9"/>
      <c r="Q57" s="2"/>
      <c r="R57" s="2"/>
      <c r="S57" s="2"/>
      <c r="T57" s="2"/>
      <c r="U57" s="7">
        <f t="shared" si="2"/>
        <v>0.190712442945029</v>
      </c>
      <c r="V57" s="7">
        <f t="shared" si="3"/>
        <v>0.0573526493351856</v>
      </c>
      <c r="W57" s="15">
        <f t="shared" si="4"/>
        <v>3.32525951557093</v>
      </c>
      <c r="X57" s="5">
        <f t="shared" si="5"/>
        <v>4610</v>
      </c>
      <c r="Y57" s="7">
        <f t="shared" si="6"/>
        <v>0.091486406032943</v>
      </c>
      <c r="Z57" s="7">
        <f>IF(OR(AE57="",多次统计数据!$B$8=""),"",AE57-多次统计数据!$B$8)</f>
        <v>-0.0280189115017749</v>
      </c>
      <c r="AA57" s="16">
        <f t="shared" si="7"/>
        <v>5</v>
      </c>
      <c r="AB57" s="7">
        <f>IF(OR(A57="",多次统计数据!$B$8="",多次统计数据!$B$6&lt;=0,多次统计数据!$B$6&gt;=1),"",1-POWER(1+多次统计数据!$B$8,-多次统计数据!$B$6/(1-多次统计数据!$B$6)))</f>
        <v>0.0455859002225864</v>
      </c>
      <c r="AC57" s="8" t="str">
        <f>IF(OR(AB57="",多次统计数据!$B$9=""),"",IF(多次统计数据!$B$9&lt;AB57,"低于上限","达到或超过上限"))</f>
        <v>低于上限</v>
      </c>
      <c r="AD57" s="2"/>
      <c r="AE57" s="7">
        <f t="shared" si="8"/>
        <v>0.0293266325264799</v>
      </c>
    </row>
    <row r="58" ht="17" spans="1:32">
      <c r="A58" s="2">
        <v>57</v>
      </c>
      <c r="B58" s="2" t="s">
        <v>56</v>
      </c>
      <c r="C58" s="9">
        <v>161805</v>
      </c>
      <c r="D58" s="6">
        <v>0.02</v>
      </c>
      <c r="E58" s="9">
        <v>45.04</v>
      </c>
      <c r="F58" s="8">
        <f t="shared" si="0"/>
        <v>1200</v>
      </c>
      <c r="G58" s="8" t="str">
        <f>IF(OR(A58="",F58="",E58="",N58="",E58&lt;=N58,账户数据!$B$7=""),"",IF(账户数据!$B$9+IF(H58="",F58*(E58-N58),0)&gt;=账户数据!$B$7,"禁止开仓","允许开仓"))</f>
        <v>允许开仓</v>
      </c>
      <c r="H58" s="2">
        <v>1200</v>
      </c>
      <c r="I58" s="10">
        <v>44742</v>
      </c>
      <c r="J58" s="9">
        <v>50</v>
      </c>
      <c r="K58" s="9">
        <v>49.64</v>
      </c>
      <c r="L58" s="8">
        <f t="shared" si="1"/>
        <v>1200</v>
      </c>
      <c r="M58" s="10">
        <v>44755</v>
      </c>
      <c r="N58" s="9">
        <v>42.5</v>
      </c>
      <c r="O58" s="9"/>
      <c r="P58" s="9"/>
      <c r="Q58" s="2"/>
      <c r="R58" s="2"/>
      <c r="S58" s="2"/>
      <c r="T58" s="2"/>
      <c r="U58" s="7">
        <f t="shared" si="2"/>
        <v>0.1101243339254</v>
      </c>
      <c r="V58" s="7">
        <f t="shared" si="3"/>
        <v>0.0563943161634103</v>
      </c>
      <c r="W58" s="15">
        <f t="shared" si="4"/>
        <v>1.95275590551181</v>
      </c>
      <c r="X58" s="5">
        <f t="shared" si="5"/>
        <v>5520</v>
      </c>
      <c r="Y58" s="7">
        <f t="shared" si="6"/>
        <v>0.102131438721137</v>
      </c>
      <c r="Z58" s="7">
        <f>IF(OR(AE58="",多次统计数据!$B$8=""),"",AE58-多次统计数据!$B$8)</f>
        <v>-0.0232304054355043</v>
      </c>
      <c r="AA58" s="16">
        <f t="shared" si="7"/>
        <v>13</v>
      </c>
      <c r="AB58" s="7">
        <f>IF(OR(A58="",多次统计数据!$B$8="",多次统计数据!$B$6&lt;=0,多次统计数据!$B$6&gt;=1),"",1-POWER(1+多次统计数据!$B$8,-多次统计数据!$B$6/(1-多次统计数据!$B$6)))</f>
        <v>0.0455859002225864</v>
      </c>
      <c r="AC58" s="8" t="str">
        <f>IF(OR(AB58="",多次统计数据!$B$9=""),"",IF(多次统计数据!$B$9&lt;AB58,"低于上限","达到或超过上限"))</f>
        <v>低于上限</v>
      </c>
      <c r="AD58" s="2"/>
      <c r="AE58" s="7">
        <f t="shared" si="8"/>
        <v>0.0341151385927505</v>
      </c>
    </row>
    <row r="59" ht="17" spans="1:32">
      <c r="A59" s="2">
        <v>58</v>
      </c>
      <c r="B59" s="2" t="s">
        <v>56</v>
      </c>
      <c r="C59" s="9">
        <v>167325</v>
      </c>
      <c r="D59" s="6">
        <v>0.02</v>
      </c>
      <c r="E59" s="9">
        <v>44.84</v>
      </c>
      <c r="F59" s="8">
        <f t="shared" si="0"/>
        <v>2400</v>
      </c>
      <c r="G59" s="8" t="str">
        <f>IF(OR(A59="",F59="",E59="",N59="",E59&lt;=N59,账户数据!$B$7=""),"",IF(账户数据!$B$9+IF(H59="",F59*(E59-N59),0)&gt;=账户数据!$B$7,"禁止开仓","允许开仓"))</f>
        <v>允许开仓</v>
      </c>
      <c r="H59" s="2">
        <v>2400</v>
      </c>
      <c r="I59" s="10">
        <v>44966</v>
      </c>
      <c r="J59" s="9">
        <v>48.5</v>
      </c>
      <c r="K59" s="9">
        <v>45.09</v>
      </c>
      <c r="L59" s="8">
        <f t="shared" si="1"/>
        <v>2400</v>
      </c>
      <c r="M59" s="10">
        <v>44980</v>
      </c>
      <c r="N59" s="9">
        <v>43.5</v>
      </c>
      <c r="O59" s="9"/>
      <c r="P59" s="9"/>
      <c r="Q59" s="2"/>
      <c r="R59" s="2"/>
      <c r="S59" s="2"/>
      <c r="T59" s="2"/>
      <c r="U59" s="7">
        <f t="shared" si="2"/>
        <v>0.0816235504014272</v>
      </c>
      <c r="V59" s="7">
        <f t="shared" si="3"/>
        <v>0.0298840321141838</v>
      </c>
      <c r="W59" s="15">
        <f t="shared" si="4"/>
        <v>2.73134328358208</v>
      </c>
      <c r="X59" s="5">
        <f t="shared" si="5"/>
        <v>600</v>
      </c>
      <c r="Y59" s="7">
        <f t="shared" si="6"/>
        <v>0.00557537912578055</v>
      </c>
      <c r="Z59" s="7">
        <f>IF(OR(AE59="",多次统计数据!$B$8=""),"",AE59-多次统计数据!$B$8)</f>
        <v>-0.0537597080802494</v>
      </c>
      <c r="AA59" s="16">
        <f t="shared" si="7"/>
        <v>14</v>
      </c>
      <c r="AB59" s="7">
        <f>IF(OR(A59="",多次统计数据!$B$8="",多次统计数据!$B$6&lt;=0,多次统计数据!$B$6&gt;=1),"",1-POWER(1+多次统计数据!$B$8,-多次统计数据!$B$6/(1-多次统计数据!$B$6)))</f>
        <v>0.0455859002225864</v>
      </c>
      <c r="AC59" s="8" t="str">
        <f>IF(OR(AB59="",多次统计数据!$B$9=""),"",IF(多次统计数据!$B$9&lt;AB59,"低于上限","达到或超过上限"))</f>
        <v>低于上限</v>
      </c>
      <c r="AD59" s="2"/>
      <c r="AE59" s="7">
        <f t="shared" si="8"/>
        <v>0.00358583594800538</v>
      </c>
    </row>
    <row r="60" ht="17" spans="1:32">
      <c r="A60" s="2">
        <v>59</v>
      </c>
      <c r="B60" s="2" t="s">
        <v>56</v>
      </c>
      <c r="C60" s="9">
        <v>167925</v>
      </c>
      <c r="D60" s="6">
        <v>0.02</v>
      </c>
      <c r="E60" s="9">
        <v>40.5</v>
      </c>
      <c r="F60" s="8">
        <f t="shared" si="0"/>
        <v>1600</v>
      </c>
      <c r="G60" s="8" t="str">
        <f>IF(OR(A60="",F60="",E60="",N60="",E60&lt;=N60,账户数据!$B$7=""),"",IF(账户数据!$B$9+IF(H60="",F60*(E60-N60),0)&gt;=账户数据!$B$7,"禁止开仓","允许开仓"))</f>
        <v>允许开仓</v>
      </c>
      <c r="H60" s="2">
        <v>1600</v>
      </c>
      <c r="I60" s="10">
        <v>45104</v>
      </c>
      <c r="J60" s="9">
        <v>42.5</v>
      </c>
      <c r="K60" s="9">
        <v>42.23</v>
      </c>
      <c r="L60" s="8">
        <f t="shared" si="1"/>
        <v>1600</v>
      </c>
      <c r="M60" s="10">
        <v>45112</v>
      </c>
      <c r="N60" s="9">
        <v>38.5</v>
      </c>
      <c r="O60" s="9"/>
      <c r="P60" s="9"/>
      <c r="Q60" s="2"/>
      <c r="R60" s="2"/>
      <c r="S60" s="2"/>
      <c r="T60" s="2"/>
      <c r="U60" s="7">
        <f t="shared" si="2"/>
        <v>0.0493827160493827</v>
      </c>
      <c r="V60" s="7">
        <f t="shared" si="3"/>
        <v>0.0493827160493827</v>
      </c>
      <c r="W60" s="15">
        <f t="shared" si="4"/>
        <v>1</v>
      </c>
      <c r="X60" s="5">
        <f t="shared" si="5"/>
        <v>2768</v>
      </c>
      <c r="Y60" s="7">
        <f t="shared" si="6"/>
        <v>0.0427160493827161</v>
      </c>
      <c r="Z60" s="7">
        <f>IF(OR(AE60="",多次统计数据!$B$8=""),"",AE60-多次统计数据!$B$8)</f>
        <v>-0.0408619948247413</v>
      </c>
      <c r="AA60" s="16">
        <f t="shared" si="7"/>
        <v>8</v>
      </c>
      <c r="AB60" s="7">
        <f>IF(OR(A60="",多次统计数据!$B$8="",多次统计数据!$B$6&lt;=0,多次统计数据!$B$6&gt;=1),"",1-POWER(1+多次统计数据!$B$8,-多次统计数据!$B$6/(1-多次统计数据!$B$6)))</f>
        <v>0.0455859002225864</v>
      </c>
      <c r="AC60" s="8" t="str">
        <f>IF(OR(AB60="",多次统计数据!$B$9=""),"",IF(多次统计数据!$B$9&lt;AB60,"低于上限","达到或超过上限"))</f>
        <v>低于上限</v>
      </c>
      <c r="AD60" s="2"/>
      <c r="AE60" s="7">
        <f t="shared" si="8"/>
        <v>0.0164835492035135</v>
      </c>
    </row>
    <row r="61" ht="17" spans="1:32">
      <c r="A61" s="2">
        <v>60</v>
      </c>
      <c r="B61" s="2" t="s">
        <v>56</v>
      </c>
      <c r="C61" s="9">
        <v>170693</v>
      </c>
      <c r="D61" s="6">
        <v>0.02</v>
      </c>
      <c r="E61" s="9">
        <v>38.09</v>
      </c>
      <c r="F61" s="8">
        <f t="shared" si="0"/>
        <v>3100</v>
      </c>
      <c r="G61" s="8" t="str">
        <f>IF(OR(A61="",F61="",E61="",N61="",E61&lt;=N61,账户数据!$B$7=""),"",IF(账户数据!$B$9+IF(H61="",F61*(E61-N61),0)&gt;=账户数据!$B$7,"禁止开仓","允许开仓"))</f>
        <v>允许开仓</v>
      </c>
      <c r="H61" s="2">
        <v>1500</v>
      </c>
      <c r="I61" s="10">
        <v>45162</v>
      </c>
      <c r="J61" s="9">
        <v>40</v>
      </c>
      <c r="K61" s="9">
        <v>37.47</v>
      </c>
      <c r="L61" s="8">
        <f t="shared" si="1"/>
        <v>1500</v>
      </c>
      <c r="M61" s="10">
        <v>45166</v>
      </c>
      <c r="N61" s="9">
        <v>37</v>
      </c>
      <c r="O61" s="9"/>
      <c r="P61" s="9"/>
      <c r="Q61" s="2"/>
      <c r="R61" s="2"/>
      <c r="S61" s="2"/>
      <c r="T61" s="2"/>
      <c r="U61" s="7">
        <f t="shared" si="2"/>
        <v>0.0501443948542924</v>
      </c>
      <c r="V61" s="7">
        <f t="shared" si="3"/>
        <v>0.0286164347597796</v>
      </c>
      <c r="W61" s="15">
        <f t="shared" si="4"/>
        <v>1.75229357798164</v>
      </c>
      <c r="X61" s="5">
        <f t="shared" si="5"/>
        <v>-930.000000000007</v>
      </c>
      <c r="Y61" s="7">
        <f t="shared" si="6"/>
        <v>-0.0162772381202417</v>
      </c>
      <c r="Z61" s="7">
        <f>IF(OR(AE61="",多次统计数据!$B$8=""),"",AE61-多次统计数据!$B$8)</f>
        <v>-0.0627939221105429</v>
      </c>
      <c r="AA61" s="16">
        <f t="shared" si="7"/>
        <v>4</v>
      </c>
      <c r="AB61" s="7">
        <f>IF(OR(A61="",多次统计数据!$B$8="",多次统计数据!$B$6&lt;=0,多次统计数据!$B$6&gt;=1),"",1-POWER(1+多次统计数据!$B$8,-多次统计数据!$B$6/(1-多次统计数据!$B$6)))</f>
        <v>0.0455859002225864</v>
      </c>
      <c r="AC61" s="8" t="str">
        <f>IF(OR(AB61="",多次统计数据!$B$9=""),"",IF(多次统计数据!$B$9&lt;AB61,"低于上限","达到或超过上限"))</f>
        <v>低于上限</v>
      </c>
      <c r="AD61" s="2"/>
      <c r="AE61" s="7">
        <f t="shared" si="8"/>
        <v>-0.00544837808228813</v>
      </c>
    </row>
    <row r="62" ht="17" spans="1:32">
      <c r="A62" s="2">
        <v>61</v>
      </c>
      <c r="B62" s="2" t="s">
        <v>56</v>
      </c>
      <c r="C62" s="9">
        <v>169763</v>
      </c>
      <c r="D62" s="6">
        <v>0.02</v>
      </c>
      <c r="E62" s="9">
        <v>31.73</v>
      </c>
      <c r="F62" s="8">
        <f t="shared" si="0"/>
        <v>1900</v>
      </c>
      <c r="G62" s="8" t="str">
        <f>IF(OR(A62="",F62="",E62="",N62="",E62&lt;=N62,账户数据!$B$7=""),"",IF(账户数据!$B$9+IF(H62="",F62*(E62-N62),0)&gt;=账户数据!$B$7,"禁止开仓","允许开仓"))</f>
        <v>允许开仓</v>
      </c>
      <c r="H62" s="2">
        <v>1900</v>
      </c>
      <c r="I62" s="10">
        <v>45313</v>
      </c>
      <c r="J62" s="9">
        <v>35</v>
      </c>
      <c r="K62" s="9">
        <v>29.67</v>
      </c>
      <c r="L62" s="8">
        <f t="shared" si="1"/>
        <v>1900</v>
      </c>
      <c r="M62" s="10">
        <v>45324</v>
      </c>
      <c r="N62" s="9">
        <v>30</v>
      </c>
      <c r="O62" s="9"/>
      <c r="P62" s="9"/>
      <c r="Q62" s="2"/>
      <c r="R62" s="2"/>
      <c r="S62" s="2"/>
      <c r="T62" s="2"/>
      <c r="U62" s="7">
        <f t="shared" si="2"/>
        <v>0.103057043807123</v>
      </c>
      <c r="V62" s="7">
        <f t="shared" si="3"/>
        <v>0.0545225338796092</v>
      </c>
      <c r="W62" s="15">
        <f t="shared" si="4"/>
        <v>1.89017341040462</v>
      </c>
      <c r="X62" s="5">
        <f t="shared" si="5"/>
        <v>-3914</v>
      </c>
      <c r="Y62" s="7">
        <f t="shared" si="6"/>
        <v>-0.0649227860069335</v>
      </c>
      <c r="Z62" s="7">
        <f>IF(OR(AE62="",多次统计数据!$B$8=""),"",AE62-多次统计数据!$B$8)</f>
        <v>-0.0804012157588439</v>
      </c>
      <c r="AA62" s="16">
        <f t="shared" si="7"/>
        <v>11</v>
      </c>
      <c r="AB62" s="7">
        <f>IF(OR(A62="",多次统计数据!$B$8="",多次统计数据!$B$6&lt;=0,多次统计数据!$B$6&gt;=1),"",1-POWER(1+多次统计数据!$B$8,-多次统计数据!$B$6/(1-多次统计数据!$B$6)))</f>
        <v>0.0455859002225864</v>
      </c>
      <c r="AC62" s="8" t="str">
        <f>IF(OR(AB62="",多次统计数据!$B$9=""),"",IF(多次统计数据!$B$9&lt;AB62,"低于上限","达到或超过上限"))</f>
        <v>低于上限</v>
      </c>
      <c r="AD62" s="2"/>
      <c r="AE62" s="7">
        <f t="shared" si="8"/>
        <v>-0.0230556717305891</v>
      </c>
      <c r="AF62" t="s">
        <v>57</v>
      </c>
    </row>
    <row r="63" ht="17" spans="1:32">
      <c r="A63" s="2">
        <v>62</v>
      </c>
      <c r="B63" s="2" t="s">
        <v>56</v>
      </c>
      <c r="C63" s="9">
        <v>165849</v>
      </c>
      <c r="D63" s="6">
        <v>0.02</v>
      </c>
      <c r="E63" s="9">
        <v>36.33</v>
      </c>
      <c r="F63" s="8">
        <f t="shared" si="0"/>
        <v>3900</v>
      </c>
      <c r="G63" s="8" t="str">
        <f>IF(OR(A63="",F63="",E63="",N63="",E63&lt;=N63,账户数据!$B$7=""),"",IF(账户数据!$B$9+IF(H63="",F63*(E63-N63),0)&gt;=账户数据!$B$7,"禁止开仓","允许开仓"))</f>
        <v>允许开仓</v>
      </c>
      <c r="H63" s="2">
        <v>1900</v>
      </c>
      <c r="I63" s="10">
        <v>45429</v>
      </c>
      <c r="J63" s="9">
        <v>38</v>
      </c>
      <c r="K63" s="9">
        <v>35.05</v>
      </c>
      <c r="L63" s="8">
        <f t="shared" si="1"/>
        <v>1900</v>
      </c>
      <c r="M63" s="10">
        <v>45435</v>
      </c>
      <c r="N63" s="9">
        <v>35.5</v>
      </c>
      <c r="O63" s="9"/>
      <c r="P63" s="9"/>
      <c r="Q63" s="2"/>
      <c r="R63" s="2"/>
      <c r="S63" s="2"/>
      <c r="T63" s="2"/>
      <c r="U63" s="7">
        <f t="shared" si="2"/>
        <v>0.0459675199559593</v>
      </c>
      <c r="V63" s="7">
        <f t="shared" si="3"/>
        <v>0.0228461326727222</v>
      </c>
      <c r="W63" s="15">
        <f t="shared" si="4"/>
        <v>2.01204819277109</v>
      </c>
      <c r="X63" s="5">
        <f t="shared" si="5"/>
        <v>-2432</v>
      </c>
      <c r="Y63" s="7">
        <f t="shared" si="6"/>
        <v>-0.0352325901458849</v>
      </c>
      <c r="Z63" s="7">
        <f>IF(OR(AE63="",多次统计数据!$B$8=""),"",AE63-多次统计数据!$B$8)</f>
        <v>-0.072009485324253</v>
      </c>
      <c r="AA63" s="16">
        <f t="shared" si="7"/>
        <v>6</v>
      </c>
      <c r="AB63" s="7">
        <f>IF(OR(A63="",多次统计数据!$B$8="",多次统计数据!$B$6&lt;=0,多次统计数据!$B$6&gt;=1),"",1-POWER(1+多次统计数据!$B$8,-多次统计数据!$B$6/(1-多次统计数据!$B$6)))</f>
        <v>0.0455859002225864</v>
      </c>
      <c r="AC63" s="8" t="str">
        <f>IF(OR(AB63="",多次统计数据!$B$9=""),"",IF(多次统计数据!$B$9&lt;AB63,"低于上限","达到或超过上限"))</f>
        <v>低于上限</v>
      </c>
      <c r="AD63" s="2"/>
      <c r="AE63" s="7">
        <f t="shared" si="8"/>
        <v>-0.0146639412959982</v>
      </c>
    </row>
    <row r="64" ht="17" spans="1:32">
      <c r="A64" s="2">
        <v>63</v>
      </c>
      <c r="B64" s="2" t="s">
        <v>56</v>
      </c>
      <c r="C64" s="9">
        <v>163417</v>
      </c>
      <c r="D64" s="6">
        <v>0.02</v>
      </c>
      <c r="E64" s="9">
        <v>35</v>
      </c>
      <c r="F64" s="8">
        <f t="shared" si="0"/>
        <v>1600</v>
      </c>
      <c r="G64" s="8" t="str">
        <f>IF(OR(A64="",F64="",E64="",N64="",E64&lt;=N64,账户数据!$B$7=""),"",IF(账户数据!$B$9+IF(H64="",F64*(E64-N64),0)&gt;=账户数据!$B$7,"禁止开仓","允许开仓"))</f>
        <v>允许开仓</v>
      </c>
      <c r="H64" s="2">
        <v>1600</v>
      </c>
      <c r="I64" s="10">
        <v>45785</v>
      </c>
      <c r="J64" s="9">
        <v>37</v>
      </c>
      <c r="K64" s="9">
        <v>41.19</v>
      </c>
      <c r="L64" s="8">
        <f t="shared" si="1"/>
        <v>1600</v>
      </c>
      <c r="M64" s="10">
        <v>45870</v>
      </c>
      <c r="N64" s="9">
        <v>33</v>
      </c>
      <c r="O64" s="9"/>
      <c r="P64" s="9"/>
      <c r="Q64" s="2"/>
      <c r="R64" s="2"/>
      <c r="S64" s="2"/>
      <c r="T64" s="2"/>
      <c r="U64" s="7">
        <f t="shared" si="2"/>
        <v>0.0571428571428571</v>
      </c>
      <c r="V64" s="7">
        <f t="shared" si="3"/>
        <v>0.0571428571428571</v>
      </c>
      <c r="W64" s="15">
        <f t="shared" si="4"/>
        <v>1</v>
      </c>
      <c r="X64" s="5">
        <f t="shared" si="5"/>
        <v>9904</v>
      </c>
      <c r="Y64" s="7">
        <f t="shared" si="6"/>
        <v>0.176857142857143</v>
      </c>
      <c r="Z64" s="7">
        <f>IF(OR(AE64="",多次统计数据!$B$8=""),"",AE64-多次统计数据!$B$8)</f>
        <v>0.00326014571026691</v>
      </c>
      <c r="AA64" s="16">
        <f t="shared" si="7"/>
        <v>85</v>
      </c>
      <c r="AB64" s="7">
        <f>IF(OR(A64="",多次统计数据!$B$8="",多次统计数据!$B$6&lt;=0,多次统计数据!$B$6&gt;=1),"",1-POWER(1+多次统计数据!$B$8,-多次统计数据!$B$6/(1-多次统计数据!$B$6)))</f>
        <v>0.0455859002225864</v>
      </c>
      <c r="AC64" s="8" t="str">
        <f>IF(OR(AB64="",多次统计数据!$B$9=""),"",IF(多次统计数据!$B$9&lt;AB64,"低于上限","达到或超过上限"))</f>
        <v>低于上限</v>
      </c>
      <c r="AD64" s="2"/>
      <c r="AE64" s="7">
        <f t="shared" si="8"/>
        <v>0.0606056897385217</v>
      </c>
    </row>
    <row r="65" ht="17" spans="1:32">
      <c r="A65" s="2">
        <v>64</v>
      </c>
      <c r="B65" s="2" t="s">
        <v>58</v>
      </c>
      <c r="C65" s="9">
        <v>173321</v>
      </c>
      <c r="D65" s="6">
        <v>0.02</v>
      </c>
      <c r="E65" s="9">
        <v>9.64</v>
      </c>
      <c r="F65" s="8">
        <f t="shared" si="0"/>
        <v>10100</v>
      </c>
      <c r="G65" s="8" t="str">
        <f>IF(OR(A65="",F65="",E65="",N65="",E65&lt;=N65,账户数据!$B$7=""),"",IF(账户数据!$B$9+IF(H65="",F65*(E65-N65),0)&gt;=账户数据!$B$7,"禁止开仓","允许开仓"))</f>
        <v>允许开仓</v>
      </c>
      <c r="H65" s="2">
        <v>10100</v>
      </c>
      <c r="I65" s="10">
        <v>44412</v>
      </c>
      <c r="J65" s="9">
        <v>10.3</v>
      </c>
      <c r="K65" s="9">
        <v>9.97</v>
      </c>
      <c r="L65" s="8">
        <f t="shared" si="1"/>
        <v>10100</v>
      </c>
      <c r="M65" s="10">
        <v>44414</v>
      </c>
      <c r="N65" s="9">
        <v>9.3</v>
      </c>
      <c r="O65" s="9"/>
      <c r="P65" s="9"/>
      <c r="Q65" s="2"/>
      <c r="R65" s="2"/>
      <c r="S65" s="2"/>
      <c r="T65" s="2"/>
      <c r="U65" s="7">
        <f t="shared" si="2"/>
        <v>0.0684647302904564</v>
      </c>
      <c r="V65" s="7">
        <f t="shared" si="3"/>
        <v>0.0352697095435685</v>
      </c>
      <c r="W65" s="15">
        <f t="shared" si="4"/>
        <v>1.94117647058824</v>
      </c>
      <c r="X65" s="5">
        <f t="shared" si="5"/>
        <v>3333</v>
      </c>
      <c r="Y65" s="7">
        <f t="shared" si="6"/>
        <v>0.0342323651452282</v>
      </c>
      <c r="Z65" s="7">
        <f>IF(OR(AE65="",多次统计数据!$B$8=""),"",AE65-多次统计数据!$B$8)</f>
        <v>-0.0381153295706876</v>
      </c>
      <c r="AA65" s="16">
        <f t="shared" si="7"/>
        <v>2</v>
      </c>
      <c r="AB65" s="7">
        <f>IF(OR(A65="",多次统计数据!$B$8="",多次统计数据!$B$6&lt;=0,多次统计数据!$B$6&gt;=1),"",1-POWER(1+多次统计数据!$B$8,-多次统计数据!$B$6/(1-多次统计数据!$B$6)))</f>
        <v>0.0455859002225864</v>
      </c>
      <c r="AC65" s="8" t="str">
        <f>IF(OR(AB65="",多次统计数据!$B$9=""),"",IF(多次统计数据!$B$9&lt;AB65,"低于上限","达到或超过上限"))</f>
        <v>低于上限</v>
      </c>
      <c r="AD65" s="2"/>
      <c r="AE65" s="7">
        <f t="shared" si="8"/>
        <v>0.0192302144575672</v>
      </c>
    </row>
    <row r="66" ht="17" spans="1:32">
      <c r="A66" s="2">
        <v>65</v>
      </c>
      <c r="B66" s="2" t="s">
        <v>58</v>
      </c>
      <c r="C66" s="9">
        <v>176654</v>
      </c>
      <c r="D66" s="6">
        <v>0.02</v>
      </c>
      <c r="E66" s="9">
        <v>14.13</v>
      </c>
      <c r="F66" s="8">
        <f t="shared" ref="F66:F129" si="9">IF(OR(C66="",D66="",E66="",N66="",C66&lt;=0,D66&lt;=0,E66&lt;=N66),"",ROUNDDOWN((C66*D66)/(E66-N66)/100,0)*100)</f>
        <v>3100</v>
      </c>
      <c r="G66" s="8" t="str">
        <f>IF(OR(A66="",F66="",E66="",N66="",E66&lt;=N66,账户数据!$B$7=""),"",IF(账户数据!$B$9+IF(H66="",F66*(E66-N66),0)&gt;=账户数据!$B$7,"禁止开仓","允许开仓"))</f>
        <v>允许开仓</v>
      </c>
      <c r="H66" s="2">
        <v>3100</v>
      </c>
      <c r="I66" s="10">
        <v>44446</v>
      </c>
      <c r="J66" s="9">
        <v>16</v>
      </c>
      <c r="K66" s="9">
        <v>15.31</v>
      </c>
      <c r="L66" s="8">
        <f t="shared" ref="L66:L129" si="10">IF(K66="","",H66)</f>
        <v>3100</v>
      </c>
      <c r="M66" s="10">
        <v>44449</v>
      </c>
      <c r="N66" s="9">
        <v>13</v>
      </c>
      <c r="O66" s="9"/>
      <c r="P66" s="9"/>
      <c r="Q66" s="2"/>
      <c r="R66" s="2"/>
      <c r="S66" s="2"/>
      <c r="T66" s="2"/>
      <c r="U66" s="7">
        <f t="shared" ref="U66:U129" si="11">IF(OR(E66="",J66="",E66&lt;=0),"",(J66-E66)/E66)</f>
        <v>0.132342533616419</v>
      </c>
      <c r="V66" s="7">
        <f t="shared" ref="V66:V129" si="12">IF(OR(E66="",N66="",E66&lt;=0),"",(E66-N66)/E66)</f>
        <v>0.0799716914366596</v>
      </c>
      <c r="W66" s="15">
        <f t="shared" ref="W66:W129" si="13">IF(OR(U66="",V66="",V66&lt;=0),"",U66/V66)</f>
        <v>1.65486725663717</v>
      </c>
      <c r="X66" s="5">
        <f t="shared" ref="X66:X129" si="14">IF(OR(K66="",L66="",E66="",H66=""),"",K66*L66-E66*H66-IF(O66="",0,O66)-IF(P66="",0,P66))</f>
        <v>3658</v>
      </c>
      <c r="Y66" s="7">
        <f t="shared" ref="Y66:Y129" si="15">IF(OR(X66="",E66="",H66=""),"",IF(E66*H66+IF(O66="",0,O66)&lt;=0,"",X66/(E66*H66+IF(O66="",0,O66))))</f>
        <v>0.0835102618542109</v>
      </c>
      <c r="Z66" s="7">
        <f>IF(OR(AE66="",多次统计数据!$B$8=""),"",AE66-多次统计数据!$B$8)</f>
        <v>-0.036638398987667</v>
      </c>
      <c r="AA66" s="16">
        <f t="shared" ref="AA66:AA129" si="16">IF(OR(I66="",M66="",M66&lt;I66),"",M66-I66)</f>
        <v>3</v>
      </c>
      <c r="AB66" s="7">
        <f>IF(OR(A66="",多次统计数据!$B$8="",多次统计数据!$B$6&lt;=0,多次统计数据!$B$6&gt;=1),"",1-POWER(1+多次统计数据!$B$8,-多次统计数据!$B$6/(1-多次统计数据!$B$6)))</f>
        <v>0.0455859002225864</v>
      </c>
      <c r="AC66" s="8" t="str">
        <f>IF(OR(AB66="",多次统计数据!$B$9=""),"",IF(多次统计数据!$B$9&lt;AB66,"低于上限","达到或超过上限"))</f>
        <v>低于上限</v>
      </c>
      <c r="AD66" s="2"/>
      <c r="AE66" s="7">
        <f t="shared" ref="AE66:AE129" si="17">IF(OR(X66="",C66="",C66&lt;=0),"",X66/C66)</f>
        <v>0.0207071450405878</v>
      </c>
    </row>
    <row r="67" ht="17" spans="1:32">
      <c r="A67" s="2">
        <v>66</v>
      </c>
      <c r="B67" s="2" t="s">
        <v>58</v>
      </c>
      <c r="C67" s="9">
        <v>180312</v>
      </c>
      <c r="D67" s="6">
        <v>0.02</v>
      </c>
      <c r="E67" s="9">
        <v>11.49</v>
      </c>
      <c r="F67" s="8">
        <f t="shared" si="9"/>
        <v>3600</v>
      </c>
      <c r="G67" s="8" t="str">
        <f>IF(OR(A67="",F67="",E67="",N67="",E67&lt;=N67,账户数据!$B$7=""),"",IF(账户数据!$B$9+IF(H67="",F67*(E67-N67),0)&gt;=账户数据!$B$7,"禁止开仓","允许开仓"))</f>
        <v>允许开仓</v>
      </c>
      <c r="H67" s="2">
        <v>3600</v>
      </c>
      <c r="I67" s="10">
        <v>44706</v>
      </c>
      <c r="J67" s="9">
        <v>13</v>
      </c>
      <c r="K67" s="9">
        <v>14.49</v>
      </c>
      <c r="L67" s="8">
        <f t="shared" si="10"/>
        <v>3600</v>
      </c>
      <c r="M67" s="10">
        <v>44739</v>
      </c>
      <c r="N67" s="9">
        <v>10.5</v>
      </c>
      <c r="O67" s="9"/>
      <c r="P67" s="9"/>
      <c r="Q67" s="2"/>
      <c r="R67" s="2"/>
      <c r="S67" s="2"/>
      <c r="T67" s="2"/>
      <c r="U67" s="7">
        <f t="shared" si="11"/>
        <v>0.13141862489121</v>
      </c>
      <c r="V67" s="7">
        <f t="shared" si="12"/>
        <v>0.0861618798955614</v>
      </c>
      <c r="W67" s="15">
        <f t="shared" si="13"/>
        <v>1.52525252525252</v>
      </c>
      <c r="X67" s="5">
        <f t="shared" si="14"/>
        <v>10800</v>
      </c>
      <c r="Y67" s="7">
        <f t="shared" si="15"/>
        <v>0.261096605744125</v>
      </c>
      <c r="Z67" s="7">
        <f>IF(OR(AE67="",多次统计数据!$B$8=""),"",AE67-多次统计数据!$B$8)</f>
        <v>0.00255063592649032</v>
      </c>
      <c r="AA67" s="16">
        <f t="shared" si="16"/>
        <v>33</v>
      </c>
      <c r="AB67" s="7">
        <f>IF(OR(A67="",多次统计数据!$B$8="",多次统计数据!$B$6&lt;=0,多次统计数据!$B$6&gt;=1),"",1-POWER(1+多次统计数据!$B$8,-多次统计数据!$B$6/(1-多次统计数据!$B$6)))</f>
        <v>0.0455859002225864</v>
      </c>
      <c r="AC67" s="8" t="str">
        <f>IF(OR(AB67="",多次统计数据!$B$9=""),"",IF(多次统计数据!$B$9&lt;AB67,"低于上限","达到或超过上限"))</f>
        <v>低于上限</v>
      </c>
      <c r="AD67" s="2"/>
      <c r="AE67" s="7">
        <f t="shared" si="17"/>
        <v>0.0598961799547451</v>
      </c>
    </row>
    <row r="68" ht="17" spans="1:32">
      <c r="A68" s="2">
        <v>67</v>
      </c>
      <c r="B68" s="2" t="s">
        <v>58</v>
      </c>
      <c r="C68" s="9">
        <v>191112</v>
      </c>
      <c r="D68" s="6">
        <v>0.02</v>
      </c>
      <c r="E68" s="9">
        <v>15.96</v>
      </c>
      <c r="F68" s="8">
        <f t="shared" si="9"/>
        <v>8300</v>
      </c>
      <c r="G68" s="8" t="str">
        <f>IF(OR(A68="",F68="",E68="",N68="",E68&lt;=N68,账户数据!$B$7=""),"",IF(账户数据!$B$9+IF(H68="",F68*(E68-N68),0)&gt;=账户数据!$B$7,"禁止开仓","允许开仓"))</f>
        <v>允许开仓</v>
      </c>
      <c r="H68" s="2">
        <v>8300</v>
      </c>
      <c r="I68" s="10">
        <v>44764</v>
      </c>
      <c r="J68" s="9">
        <v>17</v>
      </c>
      <c r="K68" s="9">
        <v>14.83</v>
      </c>
      <c r="L68" s="8">
        <f t="shared" si="10"/>
        <v>8300</v>
      </c>
      <c r="M68" s="10">
        <v>44767</v>
      </c>
      <c r="N68" s="9">
        <v>15.5</v>
      </c>
      <c r="O68" s="9"/>
      <c r="P68" s="9"/>
      <c r="Q68" s="2"/>
      <c r="R68" s="2"/>
      <c r="S68" s="2"/>
      <c r="T68" s="2"/>
      <c r="U68" s="7">
        <f t="shared" si="11"/>
        <v>0.0651629072681704</v>
      </c>
      <c r="V68" s="7">
        <f t="shared" si="12"/>
        <v>0.0288220551378447</v>
      </c>
      <c r="W68" s="15">
        <f t="shared" si="13"/>
        <v>2.26086956521739</v>
      </c>
      <c r="X68" s="5">
        <f t="shared" si="14"/>
        <v>-9379</v>
      </c>
      <c r="Y68" s="7">
        <f t="shared" si="15"/>
        <v>-0.0708020050125313</v>
      </c>
      <c r="Z68" s="7">
        <f>IF(OR(AE68="",多次统计数据!$B$8=""),"",AE68-多次统计数据!$B$8)</f>
        <v>-0.106421478558792</v>
      </c>
      <c r="AA68" s="16">
        <f t="shared" si="16"/>
        <v>3</v>
      </c>
      <c r="AB68" s="7">
        <f>IF(OR(A68="",多次统计数据!$B$8="",多次统计数据!$B$6&lt;=0,多次统计数据!$B$6&gt;=1),"",1-POWER(1+多次统计数据!$B$8,-多次统计数据!$B$6/(1-多次统计数据!$B$6)))</f>
        <v>0.0455859002225864</v>
      </c>
      <c r="AC68" s="8" t="str">
        <f>IF(OR(AB68="",多次统计数据!$B$9=""),"",IF(多次统计数据!$B$9&lt;AB68,"低于上限","达到或超过上限"))</f>
        <v>低于上限</v>
      </c>
      <c r="AD68" s="2"/>
      <c r="AE68" s="7">
        <f t="shared" si="17"/>
        <v>-0.0490759345305371</v>
      </c>
    </row>
    <row r="69" ht="17" spans="1:32">
      <c r="A69" s="2">
        <v>68</v>
      </c>
      <c r="B69" s="2" t="s">
        <v>58</v>
      </c>
      <c r="C69" s="9">
        <v>181733</v>
      </c>
      <c r="D69" s="6">
        <v>0.02</v>
      </c>
      <c r="E69" s="9">
        <v>20.37</v>
      </c>
      <c r="F69" s="8">
        <f t="shared" si="9"/>
        <v>3100</v>
      </c>
      <c r="G69" s="8" t="str">
        <f>IF(OR(A69="",F69="",E69="",N69="",E69&lt;=N69,账户数据!$B$7=""),"",IF(账户数据!$B$9+IF(H69="",F69*(E69-N69),0)&gt;=账户数据!$B$7,"禁止开仓","允许开仓"))</f>
        <v>允许开仓</v>
      </c>
      <c r="H69" s="2">
        <v>3100</v>
      </c>
      <c r="I69" s="10">
        <v>44937</v>
      </c>
      <c r="J69" s="9">
        <v>24</v>
      </c>
      <c r="K69" s="9">
        <v>18.78</v>
      </c>
      <c r="L69" s="8">
        <f t="shared" si="10"/>
        <v>3100</v>
      </c>
      <c r="M69" s="10">
        <v>44980</v>
      </c>
      <c r="N69" s="9">
        <v>19.2</v>
      </c>
      <c r="O69" s="9"/>
      <c r="P69" s="9"/>
      <c r="Q69" s="2"/>
      <c r="R69" s="2"/>
      <c r="S69" s="2"/>
      <c r="T69" s="2"/>
      <c r="U69" s="7">
        <f t="shared" si="11"/>
        <v>0.17820324005891</v>
      </c>
      <c r="V69" s="7">
        <f t="shared" si="12"/>
        <v>0.057437407952872</v>
      </c>
      <c r="W69" s="15">
        <f t="shared" si="13"/>
        <v>3.1025641025641</v>
      </c>
      <c r="X69" s="5">
        <f t="shared" si="14"/>
        <v>-4929</v>
      </c>
      <c r="Y69" s="7">
        <f t="shared" si="15"/>
        <v>-0.0780559646539028</v>
      </c>
      <c r="Z69" s="7">
        <f>IF(OR(AE69="",多次统计数据!$B$8=""),"",AE69-多次统计数据!$B$8)</f>
        <v>-0.084467750782119</v>
      </c>
      <c r="AA69" s="16">
        <f t="shared" si="16"/>
        <v>43</v>
      </c>
      <c r="AB69" s="7">
        <f>IF(OR(A69="",多次统计数据!$B$8="",多次统计数据!$B$6&lt;=0,多次统计数据!$B$6&gt;=1),"",1-POWER(1+多次统计数据!$B$8,-多次统计数据!$B$6/(1-多次统计数据!$B$6)))</f>
        <v>0.0455859002225864</v>
      </c>
      <c r="AC69" s="8" t="str">
        <f>IF(OR(AB69="",多次统计数据!$B$9=""),"",IF(多次统计数据!$B$9&lt;AB69,"低于上限","达到或超过上限"))</f>
        <v>低于上限</v>
      </c>
      <c r="AD69" s="2"/>
      <c r="AE69" s="7">
        <f t="shared" si="17"/>
        <v>-0.0271222067538642</v>
      </c>
    </row>
    <row r="70" ht="17" spans="1:32">
      <c r="A70" s="2">
        <v>69</v>
      </c>
      <c r="B70" s="2" t="s">
        <v>58</v>
      </c>
      <c r="C70" s="9">
        <v>176804</v>
      </c>
      <c r="D70" s="6">
        <v>0.02</v>
      </c>
      <c r="E70" s="9">
        <v>19.13</v>
      </c>
      <c r="F70" s="8">
        <f t="shared" si="9"/>
        <v>3100</v>
      </c>
      <c r="G70" s="8" t="str">
        <f>IF(OR(A70="",F70="",E70="",N70="",E70&lt;=N70,账户数据!$B$7=""),"",IF(账户数据!$B$9+IF(H70="",F70*(E70-N70),0)&gt;=账户数据!$B$7,"禁止开仓","允许开仓"))</f>
        <v>允许开仓</v>
      </c>
      <c r="H70" s="2">
        <v>3100</v>
      </c>
      <c r="I70" s="10">
        <v>44995</v>
      </c>
      <c r="J70" s="9">
        <v>21.3</v>
      </c>
      <c r="K70" s="9">
        <v>17.16</v>
      </c>
      <c r="L70" s="8">
        <f t="shared" si="10"/>
        <v>3100</v>
      </c>
      <c r="M70" s="10">
        <v>45002</v>
      </c>
      <c r="N70" s="9">
        <v>18</v>
      </c>
      <c r="O70" s="9"/>
      <c r="P70" s="9"/>
      <c r="Q70" s="2"/>
      <c r="R70" s="2"/>
      <c r="S70" s="2"/>
      <c r="T70" s="2"/>
      <c r="U70" s="7">
        <f t="shared" si="11"/>
        <v>0.113434396236278</v>
      </c>
      <c r="V70" s="7">
        <f t="shared" si="12"/>
        <v>0.0590695243073706</v>
      </c>
      <c r="W70" s="15">
        <f t="shared" si="13"/>
        <v>1.92035398230089</v>
      </c>
      <c r="X70" s="5">
        <f t="shared" si="14"/>
        <v>-6107</v>
      </c>
      <c r="Y70" s="7">
        <f t="shared" si="15"/>
        <v>-0.102979613173027</v>
      </c>
      <c r="Z70" s="7">
        <f>IF(OR(AE70="",多次统计数据!$B$8=""),"",AE70-多次统计数据!$B$8)</f>
        <v>-0.0918866177596183</v>
      </c>
      <c r="AA70" s="16">
        <f t="shared" si="16"/>
        <v>7</v>
      </c>
      <c r="AB70" s="7">
        <f>IF(OR(A70="",多次统计数据!$B$8="",多次统计数据!$B$6&lt;=0,多次统计数据!$B$6&gt;=1),"",1-POWER(1+多次统计数据!$B$8,-多次统计数据!$B$6/(1-多次统计数据!$B$6)))</f>
        <v>0.0455859002225864</v>
      </c>
      <c r="AC70" s="8" t="str">
        <f>IF(OR(AB70="",多次统计数据!$B$9=""),"",IF(多次统计数据!$B$9&lt;AB70,"低于上限","达到或超过上限"))</f>
        <v>低于上限</v>
      </c>
      <c r="AD70" s="2"/>
      <c r="AE70" s="7">
        <f t="shared" si="17"/>
        <v>-0.0345410737313635</v>
      </c>
    </row>
    <row r="71" ht="17" spans="1:32">
      <c r="A71" s="2">
        <v>70</v>
      </c>
      <c r="B71" s="2" t="s">
        <v>58</v>
      </c>
      <c r="C71" s="9">
        <v>170697</v>
      </c>
      <c r="D71" s="6">
        <v>0.02</v>
      </c>
      <c r="E71" s="9">
        <v>17.3</v>
      </c>
      <c r="F71" s="8">
        <f t="shared" si="9"/>
        <v>4200</v>
      </c>
      <c r="G71" s="8" t="str">
        <f>IF(OR(A71="",F71="",E71="",N71="",E71&lt;=N71,账户数据!$B$7=""),"",IF(账户数据!$B$9+IF(H71="",F71*(E71-N71),0)&gt;=账户数据!$B$7,"禁止开仓","允许开仓"))</f>
        <v>允许开仓</v>
      </c>
      <c r="H71" s="2">
        <v>4200</v>
      </c>
      <c r="I71" s="10">
        <v>45068</v>
      </c>
      <c r="J71" s="9">
        <v>20</v>
      </c>
      <c r="K71" s="9">
        <v>16.47</v>
      </c>
      <c r="L71" s="8">
        <f t="shared" si="10"/>
        <v>4200</v>
      </c>
      <c r="M71" s="10">
        <v>45075</v>
      </c>
      <c r="N71" s="9">
        <v>16.5</v>
      </c>
      <c r="O71" s="9"/>
      <c r="P71" s="9"/>
      <c r="Q71" s="2"/>
      <c r="R71" s="2"/>
      <c r="S71" s="2"/>
      <c r="T71" s="2"/>
      <c r="U71" s="7">
        <f t="shared" si="11"/>
        <v>0.15606936416185</v>
      </c>
      <c r="V71" s="7">
        <f t="shared" si="12"/>
        <v>0.046242774566474</v>
      </c>
      <c r="W71" s="15">
        <f t="shared" si="13"/>
        <v>3.375</v>
      </c>
      <c r="X71" s="5">
        <f t="shared" si="14"/>
        <v>-3486</v>
      </c>
      <c r="Y71" s="7">
        <f t="shared" si="15"/>
        <v>-0.0479768786127168</v>
      </c>
      <c r="Z71" s="7">
        <f>IF(OR(AE71="",多次统计数据!$B$8=""),"",AE71-多次统计数据!$B$8)</f>
        <v>-0.0777676955599162</v>
      </c>
      <c r="AA71" s="16">
        <f t="shared" si="16"/>
        <v>7</v>
      </c>
      <c r="AB71" s="7">
        <f>IF(OR(A71="",多次统计数据!$B$8="",多次统计数据!$B$6&lt;=0,多次统计数据!$B$6&gt;=1),"",1-POWER(1+多次统计数据!$B$8,-多次统计数据!$B$6/(1-多次统计数据!$B$6)))</f>
        <v>0.0455859002225864</v>
      </c>
      <c r="AC71" s="8" t="str">
        <f>IF(OR(AB71="",多次统计数据!$B$9=""),"",IF(多次统计数据!$B$9&lt;AB71,"低于上限","达到或超过上限"))</f>
        <v>低于上限</v>
      </c>
      <c r="AD71" s="2"/>
      <c r="AE71" s="7">
        <f t="shared" si="17"/>
        <v>-0.0204221515316614</v>
      </c>
    </row>
    <row r="72" ht="17" spans="1:32">
      <c r="A72" s="2">
        <v>71</v>
      </c>
      <c r="B72" s="2" t="s">
        <v>58</v>
      </c>
      <c r="C72" s="9">
        <v>167211</v>
      </c>
      <c r="D72" s="6">
        <v>0.02</v>
      </c>
      <c r="E72" s="9">
        <v>15</v>
      </c>
      <c r="F72" s="8">
        <f t="shared" si="9"/>
        <v>3300</v>
      </c>
      <c r="G72" s="8" t="str">
        <f>IF(OR(A72="",F72="",E72="",N72="",E72&lt;=N72,账户数据!$B$7=""),"",IF(账户数据!$B$9+IF(H72="",F72*(E72-N72),0)&gt;=账户数据!$B$7,"禁止开仓","允许开仓"))</f>
        <v>允许开仓</v>
      </c>
      <c r="H72" s="2">
        <v>3300</v>
      </c>
      <c r="I72" s="10">
        <v>45357</v>
      </c>
      <c r="J72" s="9">
        <v>16</v>
      </c>
      <c r="K72" s="9">
        <v>13.75</v>
      </c>
      <c r="L72" s="8">
        <f t="shared" si="10"/>
        <v>3300</v>
      </c>
      <c r="M72" s="10">
        <v>45378</v>
      </c>
      <c r="N72" s="9">
        <v>14</v>
      </c>
      <c r="O72" s="9"/>
      <c r="P72" s="9"/>
      <c r="Q72" s="2"/>
      <c r="R72" s="2"/>
      <c r="S72" s="2"/>
      <c r="T72" s="2"/>
      <c r="U72" s="7">
        <f t="shared" si="11"/>
        <v>0.0666666666666667</v>
      </c>
      <c r="V72" s="7">
        <f t="shared" si="12"/>
        <v>0.0666666666666667</v>
      </c>
      <c r="W72" s="15">
        <f t="shared" si="13"/>
        <v>1</v>
      </c>
      <c r="X72" s="5">
        <f t="shared" si="14"/>
        <v>-4125</v>
      </c>
      <c r="Y72" s="7">
        <f t="shared" si="15"/>
        <v>-0.0833333333333333</v>
      </c>
      <c r="Z72" s="7">
        <f>IF(OR(AE72="",多次统计数据!$B$8=""),"",AE72-多次统计数据!$B$8)</f>
        <v>-0.0820149736710414</v>
      </c>
      <c r="AA72" s="16">
        <f t="shared" si="16"/>
        <v>21</v>
      </c>
      <c r="AB72" s="7">
        <f>IF(OR(A72="",多次统计数据!$B$8="",多次统计数据!$B$6&lt;=0,多次统计数据!$B$6&gt;=1),"",1-POWER(1+多次统计数据!$B$8,-多次统计数据!$B$6/(1-多次统计数据!$B$6)))</f>
        <v>0.0455859002225864</v>
      </c>
      <c r="AC72" s="8" t="str">
        <f>IF(OR(AB72="",多次统计数据!$B$9=""),"",IF(多次统计数据!$B$9&lt;AB72,"低于上限","达到或超过上限"))</f>
        <v>低于上限</v>
      </c>
      <c r="AD72" s="2"/>
      <c r="AE72" s="7">
        <f t="shared" si="17"/>
        <v>-0.0246694296427867</v>
      </c>
    </row>
    <row r="73" ht="17" spans="1:32">
      <c r="A73" s="2">
        <v>72</v>
      </c>
      <c r="B73" s="2" t="s">
        <v>58</v>
      </c>
      <c r="C73" s="9">
        <v>163086</v>
      </c>
      <c r="D73" s="6">
        <v>0.02</v>
      </c>
      <c r="E73" s="9">
        <v>14.67</v>
      </c>
      <c r="F73" s="8">
        <f t="shared" si="9"/>
        <v>4800</v>
      </c>
      <c r="G73" s="8" t="str">
        <f>IF(OR(A73="",F73="",E73="",N73="",E73&lt;=N73,账户数据!$B$7=""),"",IF(账户数据!$B$9+IF(H73="",F73*(E73-N73),0)&gt;=账户数据!$B$7,"禁止开仓","允许开仓"))</f>
        <v>允许开仓</v>
      </c>
      <c r="H73" s="2">
        <v>4200</v>
      </c>
      <c r="I73" s="10">
        <v>45750</v>
      </c>
      <c r="J73" s="9">
        <v>16</v>
      </c>
      <c r="K73" s="9">
        <v>13.15</v>
      </c>
      <c r="L73" s="8">
        <f t="shared" si="10"/>
        <v>4200</v>
      </c>
      <c r="M73" s="10">
        <v>45754</v>
      </c>
      <c r="N73" s="9">
        <v>14</v>
      </c>
      <c r="O73" s="9"/>
      <c r="P73" s="9"/>
      <c r="Q73" s="2"/>
      <c r="R73" s="2"/>
      <c r="S73" s="2"/>
      <c r="T73" s="2"/>
      <c r="U73" s="7">
        <f t="shared" si="11"/>
        <v>0.0906612133605999</v>
      </c>
      <c r="V73" s="7">
        <f t="shared" si="12"/>
        <v>0.0456714383094751</v>
      </c>
      <c r="W73" s="15">
        <f t="shared" si="13"/>
        <v>1.98507462686567</v>
      </c>
      <c r="X73" s="5">
        <f t="shared" si="14"/>
        <v>-6384</v>
      </c>
      <c r="Y73" s="7">
        <f t="shared" si="15"/>
        <v>-0.103612815269257</v>
      </c>
      <c r="Z73" s="7">
        <f>IF(OR(AE73="",多次统计数据!$B$8=""),"",AE73-多次统计数据!$B$8)</f>
        <v>-0.0964905350146056</v>
      </c>
      <c r="AA73" s="16">
        <f t="shared" si="16"/>
        <v>4</v>
      </c>
      <c r="AB73" s="7">
        <f>IF(OR(A73="",多次统计数据!$B$8="",多次统计数据!$B$6&lt;=0,多次统计数据!$B$6&gt;=1),"",1-POWER(1+多次统计数据!$B$8,-多次统计数据!$B$6/(1-多次统计数据!$B$6)))</f>
        <v>0.0455859002225864</v>
      </c>
      <c r="AC73" s="8" t="str">
        <f>IF(OR(AB73="",多次统计数据!$B$9=""),"",IF(多次统计数据!$B$9&lt;AB73,"低于上限","达到或超过上限"))</f>
        <v>低于上限</v>
      </c>
      <c r="AD73" s="2"/>
      <c r="AE73" s="7">
        <f t="shared" si="17"/>
        <v>-0.0391449909863508</v>
      </c>
    </row>
    <row r="74" ht="17" spans="1:32">
      <c r="A74" s="2">
        <v>73</v>
      </c>
      <c r="B74" s="2" t="s">
        <v>58</v>
      </c>
      <c r="C74" s="9">
        <v>156702</v>
      </c>
      <c r="D74" s="6">
        <v>0.02</v>
      </c>
      <c r="E74" s="9">
        <v>15.77</v>
      </c>
      <c r="F74" s="8">
        <f t="shared" si="9"/>
        <v>4000</v>
      </c>
      <c r="G74" s="8" t="str">
        <f>IF(OR(A74="",F74="",E74="",N74="",E74&lt;=N74,账户数据!$B$7=""),"",IF(账户数据!$B$9+IF(H74="",F74*(E74-N74),0)&gt;=账户数据!$B$7,"禁止开仓","允许开仓"))</f>
        <v>允许开仓</v>
      </c>
      <c r="H74" s="2">
        <v>4000</v>
      </c>
      <c r="I74" s="10">
        <v>45821</v>
      </c>
      <c r="J74" s="9">
        <v>17</v>
      </c>
      <c r="K74" s="9">
        <v>15.53</v>
      </c>
      <c r="L74" s="8">
        <f t="shared" si="10"/>
        <v>4000</v>
      </c>
      <c r="M74" s="10">
        <v>45827</v>
      </c>
      <c r="N74" s="9">
        <v>15</v>
      </c>
      <c r="O74" s="9"/>
      <c r="P74" s="9"/>
      <c r="Q74" s="2"/>
      <c r="R74" s="2"/>
      <c r="S74" s="2"/>
      <c r="T74" s="2"/>
      <c r="U74" s="7">
        <f t="shared" si="11"/>
        <v>0.077996195307546</v>
      </c>
      <c r="V74" s="7">
        <f t="shared" si="12"/>
        <v>0.0488268864933418</v>
      </c>
      <c r="W74" s="15">
        <f t="shared" si="13"/>
        <v>1.5974025974026</v>
      </c>
      <c r="X74" s="5">
        <f t="shared" si="14"/>
        <v>-960</v>
      </c>
      <c r="Y74" s="7">
        <f t="shared" si="15"/>
        <v>-0.0152187698161065</v>
      </c>
      <c r="Z74" s="7">
        <f>IF(OR(AE74="",多次统计数据!$B$8=""),"",AE74-多次统计数据!$B$8)</f>
        <v>-0.0634718219315362</v>
      </c>
      <c r="AA74" s="16">
        <f t="shared" si="16"/>
        <v>6</v>
      </c>
      <c r="AB74" s="7">
        <f>IF(OR(A74="",多次统计数据!$B$8="",多次统计数据!$B$6&lt;=0,多次统计数据!$B$6&gt;=1),"",1-POWER(1+多次统计数据!$B$8,-多次统计数据!$B$6/(1-多次统计数据!$B$6)))</f>
        <v>0.0455859002225864</v>
      </c>
      <c r="AC74" s="8" t="str">
        <f>IF(OR(AB74="",多次统计数据!$B$9=""),"",IF(多次统计数据!$B$9&lt;AB74,"低于上限","达到或超过上限"))</f>
        <v>低于上限</v>
      </c>
      <c r="AD74" s="2"/>
      <c r="AE74" s="7">
        <f t="shared" si="17"/>
        <v>-0.00612627790328139</v>
      </c>
    </row>
    <row r="75" ht="17" spans="1:32">
      <c r="A75" s="2">
        <v>74</v>
      </c>
      <c r="B75" s="13" t="s">
        <v>59</v>
      </c>
      <c r="C75" s="9">
        <v>155742</v>
      </c>
      <c r="D75" s="6">
        <v>0.02</v>
      </c>
      <c r="E75" s="9">
        <v>4.59</v>
      </c>
      <c r="F75" s="8">
        <f t="shared" si="9"/>
        <v>5200</v>
      </c>
      <c r="G75" s="8" t="str">
        <f>IF(OR(A75="",F75="",E75="",N75="",E75&lt;=N75,账户数据!$B$7=""),"",IF(账户数据!$B$9+IF(H75="",F75*(E75-N75),0)&gt;=账户数据!$B$7,"禁止开仓","允许开仓"))</f>
        <v>允许开仓</v>
      </c>
      <c r="H75" s="2">
        <v>5200</v>
      </c>
      <c r="I75" s="10">
        <v>42622</v>
      </c>
      <c r="J75" s="9">
        <v>5.5</v>
      </c>
      <c r="K75" s="9">
        <v>5.72</v>
      </c>
      <c r="L75" s="8">
        <f t="shared" si="10"/>
        <v>5200</v>
      </c>
      <c r="M75" s="10">
        <v>42788</v>
      </c>
      <c r="N75" s="9">
        <v>4</v>
      </c>
      <c r="O75" s="9"/>
      <c r="P75" s="9"/>
      <c r="Q75" s="2"/>
      <c r="R75" s="2"/>
      <c r="S75" s="2"/>
      <c r="T75" s="2"/>
      <c r="U75" s="7">
        <f t="shared" si="11"/>
        <v>0.198257080610022</v>
      </c>
      <c r="V75" s="7">
        <f t="shared" si="12"/>
        <v>0.128540305010893</v>
      </c>
      <c r="W75" s="15">
        <f t="shared" si="13"/>
        <v>1.54237288135593</v>
      </c>
      <c r="X75" s="5">
        <f t="shared" si="14"/>
        <v>5876</v>
      </c>
      <c r="Y75" s="7">
        <f t="shared" si="15"/>
        <v>0.246187363834423</v>
      </c>
      <c r="Z75" s="7">
        <f>IF(OR(AE75="",多次统计数据!$B$8=""),"",AE75-多次统计数据!$B$8)</f>
        <v>-0.0196164792929875</v>
      </c>
      <c r="AA75" s="16">
        <f t="shared" si="16"/>
        <v>166</v>
      </c>
      <c r="AB75" s="7">
        <f>IF(OR(A75="",多次统计数据!$B$8="",多次统计数据!$B$6&lt;=0,多次统计数据!$B$6&gt;=1),"",1-POWER(1+多次统计数据!$B$8,-多次统计数据!$B$6/(1-多次统计数据!$B$6)))</f>
        <v>0.0455859002225864</v>
      </c>
      <c r="AC75" s="8" t="str">
        <f>IF(OR(AB75="",多次统计数据!$B$9=""),"",IF(多次统计数据!$B$9&lt;AB75,"低于上限","达到或超过上限"))</f>
        <v>低于上限</v>
      </c>
      <c r="AD75" s="2" t="s">
        <v>60</v>
      </c>
      <c r="AE75" s="7">
        <f t="shared" si="17"/>
        <v>0.0377290647352673</v>
      </c>
      <c r="AF75" s="14" t="s">
        <v>61</v>
      </c>
    </row>
    <row r="76" ht="17" spans="1:32">
      <c r="A76" s="2">
        <v>75</v>
      </c>
      <c r="B76" s="13" t="s">
        <v>62</v>
      </c>
      <c r="C76" s="9">
        <v>161618</v>
      </c>
      <c r="D76" s="6">
        <v>0.02</v>
      </c>
      <c r="E76" s="9">
        <v>18.75</v>
      </c>
      <c r="F76" s="8">
        <f t="shared" si="9"/>
        <v>1800</v>
      </c>
      <c r="G76" s="8" t="str">
        <f>IF(OR(A76="",F76="",E76="",N76="",E76&lt;=N76,账户数据!$B$7=""),"",IF(账户数据!$B$9+IF(H76="",F76*(E76-N76),0)&gt;=账户数据!$B$7,"禁止开仓","允许开仓"))</f>
        <v>允许开仓</v>
      </c>
      <c r="H76" s="2">
        <v>1800</v>
      </c>
      <c r="I76" s="10">
        <v>44032</v>
      </c>
      <c r="J76" s="9">
        <v>24</v>
      </c>
      <c r="K76" s="9">
        <v>16.88</v>
      </c>
      <c r="L76" s="8">
        <f t="shared" si="10"/>
        <v>1800</v>
      </c>
      <c r="M76" s="10">
        <v>44299</v>
      </c>
      <c r="N76" s="9">
        <v>17</v>
      </c>
      <c r="O76" s="9"/>
      <c r="P76" s="9"/>
      <c r="Q76" s="2"/>
      <c r="R76" s="2"/>
      <c r="S76" s="2"/>
      <c r="T76" s="2"/>
      <c r="U76" s="7">
        <f t="shared" si="11"/>
        <v>0.28</v>
      </c>
      <c r="V76" s="7">
        <f t="shared" si="12"/>
        <v>0.0933333333333333</v>
      </c>
      <c r="W76" s="15">
        <f t="shared" si="13"/>
        <v>3</v>
      </c>
      <c r="X76" s="5">
        <f t="shared" si="14"/>
        <v>-3366</v>
      </c>
      <c r="Y76" s="7">
        <f t="shared" si="15"/>
        <v>-0.0997333333333333</v>
      </c>
      <c r="Z76" s="7">
        <f>IF(OR(AE76="",多次统计数据!$B$8=""),"",AE76-多次统计数据!$B$8)</f>
        <v>-0.0781724321224027</v>
      </c>
      <c r="AA76" s="16">
        <f t="shared" si="16"/>
        <v>267</v>
      </c>
      <c r="AB76" s="7">
        <f>IF(OR(A76="",多次统计数据!$B$8="",多次统计数据!$B$6&lt;=0,多次统计数据!$B$6&gt;=1),"",1-POWER(1+多次统计数据!$B$8,-多次统计数据!$B$6/(1-多次统计数据!$B$6)))</f>
        <v>0.0455859002225864</v>
      </c>
      <c r="AC76" s="8" t="str">
        <f>IF(OR(AB76="",多次统计数据!$B$9=""),"",IF(多次统计数据!$B$9&lt;AB76,"低于上限","达到或超过上限"))</f>
        <v>低于上限</v>
      </c>
      <c r="AD76" s="2" t="s">
        <v>63</v>
      </c>
      <c r="AE76" s="7">
        <f t="shared" si="17"/>
        <v>-0.0208268880941479</v>
      </c>
      <c r="AF76" s="14" t="s">
        <v>64</v>
      </c>
    </row>
    <row r="77" ht="17" spans="1:32">
      <c r="A77" s="2">
        <v>76</v>
      </c>
      <c r="B77" s="13" t="s">
        <v>65</v>
      </c>
      <c r="C77" s="9">
        <v>158252</v>
      </c>
      <c r="D77" s="6">
        <v>0.02</v>
      </c>
      <c r="E77" s="9">
        <v>26.05</v>
      </c>
      <c r="F77" s="8">
        <f t="shared" si="9"/>
        <v>1500</v>
      </c>
      <c r="G77" s="8" t="str">
        <f>IF(OR(A77="",F77="",E77="",N77="",E77&lt;=N77,账户数据!$B$7=""),"",IF(账户数据!$B$9+IF(H77="",F77*(E77-N77),0)&gt;=账户数据!$B$7,"禁止开仓","允许开仓"))</f>
        <v>允许开仓</v>
      </c>
      <c r="H77" s="2">
        <v>1500</v>
      </c>
      <c r="I77" s="10">
        <v>44399</v>
      </c>
      <c r="J77" s="9">
        <v>30</v>
      </c>
      <c r="K77" s="9">
        <v>23.4</v>
      </c>
      <c r="L77" s="8">
        <f t="shared" si="10"/>
        <v>1500</v>
      </c>
      <c r="M77" s="10">
        <v>44428</v>
      </c>
      <c r="N77" s="9">
        <v>24</v>
      </c>
      <c r="O77" s="9"/>
      <c r="P77" s="9"/>
      <c r="Q77" s="2"/>
      <c r="R77" s="2"/>
      <c r="S77" s="2"/>
      <c r="T77" s="2"/>
      <c r="U77" s="7">
        <f t="shared" si="11"/>
        <v>0.151631477927063</v>
      </c>
      <c r="V77" s="7">
        <f t="shared" si="12"/>
        <v>0.0786948176583493</v>
      </c>
      <c r="W77" s="15">
        <f t="shared" si="13"/>
        <v>1.92682926829268</v>
      </c>
      <c r="X77" s="5">
        <f t="shared" si="14"/>
        <v>-3975</v>
      </c>
      <c r="Y77" s="7">
        <f t="shared" si="15"/>
        <v>-0.101727447216891</v>
      </c>
      <c r="Z77" s="7">
        <f>IF(OR(AE77="",多次统计数据!$B$8=""),"",AE77-多次统计数据!$B$8)</f>
        <v>-0.0824637099914022</v>
      </c>
      <c r="AA77" s="16">
        <f t="shared" si="16"/>
        <v>29</v>
      </c>
      <c r="AB77" s="7">
        <f>IF(OR(A77="",多次统计数据!$B$8="",多次统计数据!$B$6&lt;=0,多次统计数据!$B$6&gt;=1),"",1-POWER(1+多次统计数据!$B$8,-多次统计数据!$B$6/(1-多次统计数据!$B$6)))</f>
        <v>0.0455859002225864</v>
      </c>
      <c r="AC77" s="8" t="str">
        <f>IF(OR(AB77="",多次统计数据!$B$9=""),"",IF(多次统计数据!$B$9&lt;AB77,"低于上限","达到或超过上限"))</f>
        <v>低于上限</v>
      </c>
      <c r="AD77" s="2" t="s">
        <v>66</v>
      </c>
      <c r="AE77" s="7">
        <f t="shared" si="17"/>
        <v>-0.0251181659631474</v>
      </c>
      <c r="AF77" s="14" t="s">
        <v>67</v>
      </c>
    </row>
    <row r="78" ht="17" spans="1:32">
      <c r="A78" s="2">
        <v>77</v>
      </c>
      <c r="B78" s="2" t="s">
        <v>68</v>
      </c>
      <c r="C78" s="9">
        <v>154277</v>
      </c>
      <c r="D78" s="6">
        <v>0.02</v>
      </c>
      <c r="E78" s="9">
        <v>2.75</v>
      </c>
      <c r="F78" s="8">
        <f t="shared" si="9"/>
        <v>12300</v>
      </c>
      <c r="G78" s="8" t="str">
        <f>IF(OR(A78="",F78="",E78="",N78="",E78&lt;=N78,账户数据!$B$7=""),"",IF(账户数据!$B$9+IF(H78="",F78*(E78-N78),0)&gt;=账户数据!$B$7,"禁止开仓","允许开仓"))</f>
        <v>允许开仓</v>
      </c>
      <c r="H78" s="2">
        <v>12300</v>
      </c>
      <c r="I78" s="10">
        <v>43419</v>
      </c>
      <c r="J78" s="9">
        <v>3</v>
      </c>
      <c r="K78" s="9">
        <v>2.81</v>
      </c>
      <c r="L78" s="8">
        <f t="shared" si="10"/>
        <v>12300</v>
      </c>
      <c r="M78" s="10">
        <v>43440</v>
      </c>
      <c r="N78" s="9">
        <v>2.5</v>
      </c>
      <c r="O78" s="9"/>
      <c r="P78" s="9"/>
      <c r="Q78" s="2"/>
      <c r="R78" s="2"/>
      <c r="S78" s="2"/>
      <c r="T78" s="2"/>
      <c r="U78" s="7">
        <f t="shared" si="11"/>
        <v>0.0909090909090909</v>
      </c>
      <c r="V78" s="7">
        <f t="shared" si="12"/>
        <v>0.0909090909090909</v>
      </c>
      <c r="W78" s="15">
        <f t="shared" si="13"/>
        <v>1</v>
      </c>
      <c r="X78" s="5">
        <f t="shared" si="14"/>
        <v>738</v>
      </c>
      <c r="Y78" s="7">
        <f t="shared" si="15"/>
        <v>0.0218181818181818</v>
      </c>
      <c r="Z78" s="7">
        <f>IF(OR(AE78="",多次统计数据!$B$8=""),"",AE78-多次统计数据!$B$8)</f>
        <v>-0.0525619405099079</v>
      </c>
      <c r="AA78" s="16">
        <f t="shared" si="16"/>
        <v>21</v>
      </c>
      <c r="AB78" s="7">
        <f>IF(OR(A78="",多次统计数据!$B$8="",多次统计数据!$B$6&lt;=0,多次统计数据!$B$6&gt;=1),"",1-POWER(1+多次统计数据!$B$8,-多次统计数据!$B$6/(1-多次统计数据!$B$6)))</f>
        <v>0.0455859002225864</v>
      </c>
      <c r="AC78" s="8" t="str">
        <f>IF(OR(AB78="",多次统计数据!$B$9=""),"",IF(多次统计数据!$B$9&lt;AB78,"低于上限","达到或超过上限"))</f>
        <v>低于上限</v>
      </c>
      <c r="AD78" s="2" t="s">
        <v>60</v>
      </c>
      <c r="AE78" s="7">
        <f t="shared" si="17"/>
        <v>0.00478360351834687</v>
      </c>
      <c r="AF78" t="s">
        <v>69</v>
      </c>
    </row>
    <row r="79" ht="17" spans="1:32">
      <c r="A79" s="2">
        <v>78</v>
      </c>
      <c r="B79" s="2" t="s">
        <v>68</v>
      </c>
      <c r="C79" s="9">
        <v>155015</v>
      </c>
      <c r="D79" s="6">
        <v>0.02</v>
      </c>
      <c r="E79" s="9">
        <v>2.73</v>
      </c>
      <c r="F79" s="8">
        <f t="shared" si="9"/>
        <v>13400</v>
      </c>
      <c r="G79" s="8" t="str">
        <f>IF(OR(A79="",F79="",E79="",N79="",E79&lt;=N79,账户数据!$B$7=""),"",IF(账户数据!$B$9+IF(H79="",F79*(E79-N79),0)&gt;=账户数据!$B$7,"禁止开仓","允许开仓"))</f>
        <v>允许开仓</v>
      </c>
      <c r="H79" s="2">
        <v>13400</v>
      </c>
      <c r="I79" s="10">
        <v>43460</v>
      </c>
      <c r="J79" s="9">
        <v>3</v>
      </c>
      <c r="K79" s="9">
        <v>3.31</v>
      </c>
      <c r="L79" s="8">
        <f t="shared" si="10"/>
        <v>13400</v>
      </c>
      <c r="M79" s="10">
        <v>43486</v>
      </c>
      <c r="N79" s="9">
        <v>2.5</v>
      </c>
      <c r="O79" s="9"/>
      <c r="P79" s="9"/>
      <c r="Q79" s="2"/>
      <c r="R79" s="2"/>
      <c r="S79" s="2"/>
      <c r="T79" s="2"/>
      <c r="U79" s="7">
        <f t="shared" si="11"/>
        <v>0.0989010989010989</v>
      </c>
      <c r="V79" s="7">
        <f t="shared" si="12"/>
        <v>0.0842490842490842</v>
      </c>
      <c r="W79" s="15">
        <f t="shared" si="13"/>
        <v>1.17391304347826</v>
      </c>
      <c r="X79" s="5">
        <f t="shared" si="14"/>
        <v>7772</v>
      </c>
      <c r="Y79" s="7">
        <f t="shared" si="15"/>
        <v>0.212454212454212</v>
      </c>
      <c r="Z79" s="7">
        <f>IF(OR(AE79="",多次统计数据!$B$8=""),"",AE79-多次统计数据!$B$8)</f>
        <v>-0.00720846052020718</v>
      </c>
      <c r="AA79" s="16">
        <f t="shared" si="16"/>
        <v>26</v>
      </c>
      <c r="AB79" s="7">
        <f>IF(OR(A79="",多次统计数据!$B$8="",多次统计数据!$B$6&lt;=0,多次统计数据!$B$6&gt;=1),"",1-POWER(1+多次统计数据!$B$8,-多次统计数据!$B$6/(1-多次统计数据!$B$6)))</f>
        <v>0.0455859002225864</v>
      </c>
      <c r="AC79" s="8" t="str">
        <f>IF(OR(AB79="",多次统计数据!$B$9=""),"",IF(多次统计数据!$B$9&lt;AB79,"低于上限","达到或超过上限"))</f>
        <v>低于上限</v>
      </c>
      <c r="AD79" s="2" t="s">
        <v>70</v>
      </c>
      <c r="AE79" s="7">
        <f t="shared" si="17"/>
        <v>0.0501370835080476</v>
      </c>
      <c r="AF79" t="s">
        <v>71</v>
      </c>
    </row>
    <row r="80" ht="17" spans="1:32">
      <c r="A80" s="2">
        <v>79</v>
      </c>
      <c r="B80" s="2" t="s">
        <v>68</v>
      </c>
      <c r="C80" s="9">
        <v>162787</v>
      </c>
      <c r="D80" s="6">
        <v>0.02</v>
      </c>
      <c r="E80" s="9">
        <v>3</v>
      </c>
      <c r="F80" s="8">
        <f t="shared" si="9"/>
        <v>8100</v>
      </c>
      <c r="G80" s="8" t="str">
        <f>IF(OR(A80="",F80="",E80="",N80="",E80&lt;=N80,账户数据!$B$7=""),"",IF(账户数据!$B$9+IF(H80="",F80*(E80-N80),0)&gt;=账户数据!$B$7,"禁止开仓","允许开仓"))</f>
        <v>允许开仓</v>
      </c>
      <c r="H80" s="2">
        <v>8100</v>
      </c>
      <c r="I80" s="10">
        <v>43490</v>
      </c>
      <c r="J80" s="9">
        <v>4</v>
      </c>
      <c r="K80" s="9">
        <v>4.48</v>
      </c>
      <c r="L80" s="8">
        <f t="shared" si="10"/>
        <v>8100</v>
      </c>
      <c r="M80" s="10">
        <v>43622</v>
      </c>
      <c r="N80" s="9">
        <v>2.6</v>
      </c>
      <c r="O80" s="9"/>
      <c r="P80" s="9"/>
      <c r="Q80" s="2"/>
      <c r="R80" s="2"/>
      <c r="S80" s="2"/>
      <c r="T80" s="2"/>
      <c r="U80" s="7">
        <f t="shared" si="11"/>
        <v>0.333333333333333</v>
      </c>
      <c r="V80" s="7">
        <f t="shared" si="12"/>
        <v>0.133333333333333</v>
      </c>
      <c r="W80" s="15">
        <f t="shared" si="13"/>
        <v>2.5</v>
      </c>
      <c r="X80" s="5">
        <f t="shared" si="14"/>
        <v>11988</v>
      </c>
      <c r="Y80" s="7">
        <f t="shared" si="15"/>
        <v>0.493333333333333</v>
      </c>
      <c r="Z80" s="7">
        <f>IF(OR(AE80="",多次统计数据!$B$8=""),"",AE80-多次统计数据!$B$8)</f>
        <v>0.0162967001312911</v>
      </c>
      <c r="AA80" s="16">
        <f t="shared" si="16"/>
        <v>132</v>
      </c>
      <c r="AB80" s="7">
        <f>IF(OR(A80="",多次统计数据!$B$8="",多次统计数据!$B$6&lt;=0,多次统计数据!$B$6&gt;=1),"",1-POWER(1+多次统计数据!$B$8,-多次统计数据!$B$6/(1-多次统计数据!$B$6)))</f>
        <v>0.0455859002225864</v>
      </c>
      <c r="AC80" s="8" t="str">
        <f>IF(OR(AB80="",多次统计数据!$B$9=""),"",IF(多次统计数据!$B$9&lt;AB80,"低于上限","达到或超过上限"))</f>
        <v>低于上限</v>
      </c>
      <c r="AD80" s="2" t="s">
        <v>70</v>
      </c>
      <c r="AE80" s="7">
        <f t="shared" si="17"/>
        <v>0.0736422441595459</v>
      </c>
      <c r="AF80" t="s">
        <v>72</v>
      </c>
    </row>
    <row r="81" ht="17" spans="1:32">
      <c r="A81" s="2">
        <v>80</v>
      </c>
      <c r="B81" s="2" t="s">
        <v>73</v>
      </c>
      <c r="C81" s="9">
        <v>174775</v>
      </c>
      <c r="D81" s="6">
        <v>0.02</v>
      </c>
      <c r="E81" s="9">
        <v>34.19</v>
      </c>
      <c r="F81" s="8">
        <f t="shared" si="9"/>
        <v>800</v>
      </c>
      <c r="G81" s="8" t="str">
        <f>IF(OR(A81="",F81="",E81="",N81="",E81&lt;=N81,账户数据!$B$7=""),"",IF(账户数据!$B$9+IF(H81="",F81*(E81-N81),0)&gt;=账户数据!$B$7,"禁止开仓","允许开仓"))</f>
        <v>允许开仓</v>
      </c>
      <c r="H81" s="2">
        <v>800</v>
      </c>
      <c r="I81" s="10">
        <v>44404</v>
      </c>
      <c r="J81" s="9">
        <v>40</v>
      </c>
      <c r="K81" s="9">
        <v>28.47</v>
      </c>
      <c r="L81" s="8">
        <f t="shared" si="10"/>
        <v>800</v>
      </c>
      <c r="M81" s="10">
        <v>44434</v>
      </c>
      <c r="N81" s="9">
        <v>30</v>
      </c>
      <c r="O81" s="9"/>
      <c r="P81" s="9"/>
      <c r="Q81" s="2"/>
      <c r="R81" s="2"/>
      <c r="S81" s="2"/>
      <c r="T81" s="2"/>
      <c r="U81" s="7">
        <f t="shared" si="11"/>
        <v>0.16993272886809</v>
      </c>
      <c r="V81" s="7">
        <f t="shared" si="12"/>
        <v>0.122550453348932</v>
      </c>
      <c r="W81" s="15">
        <f t="shared" si="13"/>
        <v>1.38663484486874</v>
      </c>
      <c r="X81" s="5">
        <f t="shared" si="14"/>
        <v>-4576</v>
      </c>
      <c r="Y81" s="7">
        <f t="shared" si="15"/>
        <v>-0.167300380228137</v>
      </c>
      <c r="Z81" s="7">
        <f>IF(OR(AE81="",多次统计数据!$B$8=""),"",AE81-多次统计数据!$B$8)</f>
        <v>-0.0835277783294992</v>
      </c>
      <c r="AA81" s="16">
        <f t="shared" si="16"/>
        <v>30</v>
      </c>
      <c r="AB81" s="7">
        <f>IF(OR(A81="",多次统计数据!$B$8="",多次统计数据!$B$6&lt;=0,多次统计数据!$B$6&gt;=1),"",1-POWER(1+多次统计数据!$B$8,-多次统计数据!$B$6/(1-多次统计数据!$B$6)))</f>
        <v>0.0455859002225864</v>
      </c>
      <c r="AC81" s="8" t="str">
        <f>IF(OR(AB81="",多次统计数据!$B$9=""),"",IF(多次统计数据!$B$9&lt;AB81,"低于上限","达到或超过上限"))</f>
        <v>低于上限</v>
      </c>
      <c r="AD81" s="2" t="s">
        <v>66</v>
      </c>
      <c r="AE81" s="7">
        <f t="shared" si="17"/>
        <v>-0.0261822343012445</v>
      </c>
      <c r="AF81" t="s">
        <v>74</v>
      </c>
    </row>
    <row r="82" ht="17" spans="1:32">
      <c r="A82" s="2">
        <v>81</v>
      </c>
      <c r="B82" s="2" t="s">
        <v>73</v>
      </c>
      <c r="C82" s="9">
        <v>170199</v>
      </c>
      <c r="D82" s="6">
        <v>0.02</v>
      </c>
      <c r="E82" s="9">
        <v>37.29</v>
      </c>
      <c r="F82" s="8">
        <f t="shared" si="9"/>
        <v>1400</v>
      </c>
      <c r="G82" s="8" t="str">
        <f>IF(OR(A82="",F82="",E82="",N82="",E82&lt;=N82,账户数据!$B$7=""),"",IF(账户数据!$B$9+IF(H82="",F82*(E82-N82),0)&gt;=账户数据!$B$7,"禁止开仓","允许开仓"))</f>
        <v>允许开仓</v>
      </c>
      <c r="H82" s="2">
        <v>1400</v>
      </c>
      <c r="I82" s="10">
        <v>44545</v>
      </c>
      <c r="J82" s="9">
        <v>40</v>
      </c>
      <c r="K82" s="9">
        <v>34.75</v>
      </c>
      <c r="L82" s="8">
        <f t="shared" si="10"/>
        <v>1400</v>
      </c>
      <c r="M82" s="10">
        <v>44581</v>
      </c>
      <c r="N82" s="9">
        <v>35</v>
      </c>
      <c r="O82" s="9"/>
      <c r="P82" s="9"/>
      <c r="Q82" s="2"/>
      <c r="R82" s="2"/>
      <c r="S82" s="2"/>
      <c r="T82" s="2"/>
      <c r="U82" s="7">
        <f t="shared" si="11"/>
        <v>0.0726736390453205</v>
      </c>
      <c r="V82" s="7">
        <f t="shared" si="12"/>
        <v>0.0614105658353446</v>
      </c>
      <c r="W82" s="15">
        <f t="shared" si="13"/>
        <v>1.18340611353712</v>
      </c>
      <c r="X82" s="5">
        <f t="shared" si="14"/>
        <v>-3556</v>
      </c>
      <c r="Y82" s="7">
        <f t="shared" si="15"/>
        <v>-0.0681147760793779</v>
      </c>
      <c r="Z82" s="7">
        <f>IF(OR(AE82="",多次统计数据!$B$8=""),"",AE82-多次统计数据!$B$8)</f>
        <v>-0.0782387337649747</v>
      </c>
      <c r="AA82" s="16">
        <f t="shared" si="16"/>
        <v>36</v>
      </c>
      <c r="AB82" s="7">
        <f>IF(OR(A82="",多次统计数据!$B$8="",多次统计数据!$B$6&lt;=0,多次统计数据!$B$6&gt;=1),"",1-POWER(1+多次统计数据!$B$8,-多次统计数据!$B$6/(1-多次统计数据!$B$6)))</f>
        <v>0.0455859002225864</v>
      </c>
      <c r="AC82" s="8" t="str">
        <f>IF(OR(AB82="",多次统计数据!$B$9=""),"",IF(多次统计数据!$B$9&lt;AB82,"低于上限","达到或超过上限"))</f>
        <v>低于上限</v>
      </c>
      <c r="AD82" s="2" t="s">
        <v>63</v>
      </c>
      <c r="AE82" s="7">
        <f t="shared" si="17"/>
        <v>-0.02089318973672</v>
      </c>
      <c r="AF82" t="s">
        <v>75</v>
      </c>
    </row>
    <row r="83" ht="17" spans="1:32">
      <c r="A83" s="2">
        <v>82</v>
      </c>
      <c r="B83" s="2" t="s">
        <v>73</v>
      </c>
      <c r="C83" s="9">
        <v>166643</v>
      </c>
      <c r="D83" s="6">
        <v>0.02</v>
      </c>
      <c r="E83" s="9">
        <v>24.67</v>
      </c>
      <c r="F83" s="8">
        <f t="shared" si="9"/>
        <v>1200</v>
      </c>
      <c r="G83" s="8" t="str">
        <f>IF(OR(A83="",F83="",E83="",N83="",E83&lt;=N83,账户数据!$B$7=""),"",IF(账户数据!$B$9+IF(H83="",F83*(E83-N83),0)&gt;=账户数据!$B$7,"禁止开仓","允许开仓"))</f>
        <v>允许开仓</v>
      </c>
      <c r="H83" s="2">
        <v>1200</v>
      </c>
      <c r="I83" s="10">
        <v>44691</v>
      </c>
      <c r="J83" s="9">
        <v>28</v>
      </c>
      <c r="K83" s="9">
        <v>26.03</v>
      </c>
      <c r="L83" s="8">
        <f t="shared" si="10"/>
        <v>1200</v>
      </c>
      <c r="M83" s="10">
        <v>44749</v>
      </c>
      <c r="N83" s="9">
        <v>22</v>
      </c>
      <c r="O83" s="9"/>
      <c r="P83" s="9"/>
      <c r="Q83" s="2"/>
      <c r="R83" s="2"/>
      <c r="S83" s="2"/>
      <c r="T83" s="2"/>
      <c r="U83" s="7">
        <f t="shared" si="11"/>
        <v>0.134981759221727</v>
      </c>
      <c r="V83" s="7">
        <f t="shared" si="12"/>
        <v>0.108228617754358</v>
      </c>
      <c r="W83" s="15">
        <f t="shared" si="13"/>
        <v>1.24719101123595</v>
      </c>
      <c r="X83" s="5">
        <f t="shared" si="14"/>
        <v>1632</v>
      </c>
      <c r="Y83" s="7">
        <f t="shared" si="15"/>
        <v>0.0551276854479123</v>
      </c>
      <c r="Z83" s="7">
        <f>IF(OR(AE83="",多次统计数据!$B$8=""),"",AE83-多次统计数据!$B$8)</f>
        <v>-0.0475521533667809</v>
      </c>
      <c r="AA83" s="16">
        <f t="shared" si="16"/>
        <v>58</v>
      </c>
      <c r="AB83" s="7">
        <f>IF(OR(A83="",多次统计数据!$B$8="",多次统计数据!$B$6&lt;=0,多次统计数据!$B$6&gt;=1),"",1-POWER(1+多次统计数据!$B$8,-多次统计数据!$B$6/(1-多次统计数据!$B$6)))</f>
        <v>0.0455859002225864</v>
      </c>
      <c r="AC83" s="8" t="str">
        <f>IF(OR(AB83="",多次统计数据!$B$9=""),"",IF(多次统计数据!$B$9&lt;AB83,"低于上限","达到或超过上限"))</f>
        <v>低于上限</v>
      </c>
      <c r="AD83" s="2" t="s">
        <v>70</v>
      </c>
      <c r="AE83" s="7">
        <f t="shared" si="17"/>
        <v>0.00979339066147391</v>
      </c>
      <c r="AF83" t="s">
        <v>76</v>
      </c>
    </row>
    <row r="84" ht="17" spans="1:32">
      <c r="A84" s="2">
        <v>83</v>
      </c>
      <c r="B84" s="2" t="s">
        <v>73</v>
      </c>
      <c r="C84" s="9">
        <v>168275</v>
      </c>
      <c r="D84" s="6">
        <v>0.02</v>
      </c>
      <c r="E84" s="9">
        <v>26.02</v>
      </c>
      <c r="F84" s="8">
        <f t="shared" si="9"/>
        <v>3200</v>
      </c>
      <c r="G84" s="8" t="str">
        <f>IF(OR(A84="",F84="",E84="",N84="",E84&lt;=N84,账户数据!$B$7=""),"",IF(账户数据!$B$9+IF(H84="",F84*(E84-N84),0)&gt;=账户数据!$B$7,"禁止开仓","允许开仓"))</f>
        <v>允许开仓</v>
      </c>
      <c r="H84" s="2">
        <v>3200</v>
      </c>
      <c r="I84" s="10">
        <v>44959</v>
      </c>
      <c r="J84" s="9">
        <v>28</v>
      </c>
      <c r="K84" s="9">
        <v>26.34</v>
      </c>
      <c r="L84" s="8">
        <f t="shared" si="10"/>
        <v>3200</v>
      </c>
      <c r="M84" s="10">
        <v>44973</v>
      </c>
      <c r="N84" s="9">
        <v>25</v>
      </c>
      <c r="O84" s="9"/>
      <c r="P84" s="9"/>
      <c r="Q84" s="2"/>
      <c r="R84" s="2"/>
      <c r="S84" s="2"/>
      <c r="T84" s="2"/>
      <c r="U84" s="7">
        <f t="shared" si="11"/>
        <v>0.0760953112990008</v>
      </c>
      <c r="V84" s="7">
        <f t="shared" si="12"/>
        <v>0.0392006149116064</v>
      </c>
      <c r="W84" s="15">
        <f t="shared" si="13"/>
        <v>1.94117647058824</v>
      </c>
      <c r="X84" s="5">
        <f t="shared" si="14"/>
        <v>1024</v>
      </c>
      <c r="Y84" s="7">
        <f t="shared" si="15"/>
        <v>0.0122982321291314</v>
      </c>
      <c r="Z84" s="7">
        <f>IF(OR(AE84="",多次统计数据!$B$8=""),"",AE84-多次统计数据!$B$8)</f>
        <v>-0.0512602669520403</v>
      </c>
      <c r="AA84" s="16">
        <f t="shared" si="16"/>
        <v>14</v>
      </c>
      <c r="AB84" s="7">
        <f>IF(OR(A84="",多次统计数据!$B$8="",多次统计数据!$B$6&lt;=0,多次统计数据!$B$6&gt;=1),"",1-POWER(1+多次统计数据!$B$8,-多次统计数据!$B$6/(1-多次统计数据!$B$6)))</f>
        <v>0.0455859002225864</v>
      </c>
      <c r="AC84" s="8" t="str">
        <f>IF(OR(AB84="",多次统计数据!$B$9=""),"",IF(多次统计数据!$B$9&lt;AB84,"低于上限","达到或超过上限"))</f>
        <v>低于上限</v>
      </c>
      <c r="AD84" s="2" t="s">
        <v>70</v>
      </c>
      <c r="AE84" s="7">
        <f t="shared" si="17"/>
        <v>0.00608527707621453</v>
      </c>
      <c r="AF84" t="s">
        <v>76</v>
      </c>
    </row>
    <row r="85" ht="17" spans="1:32">
      <c r="A85" s="2">
        <v>84</v>
      </c>
      <c r="B85" s="2" t="s">
        <v>73</v>
      </c>
      <c r="C85" s="9">
        <v>169299</v>
      </c>
      <c r="D85" s="6">
        <v>0.02</v>
      </c>
      <c r="E85" s="9">
        <v>25.4</v>
      </c>
      <c r="F85" s="8">
        <f t="shared" si="9"/>
        <v>2900</v>
      </c>
      <c r="G85" s="8" t="str">
        <f>IF(OR(A85="",F85="",E85="",N85="",E85&lt;=N85,账户数据!$B$7=""),"",IF(账户数据!$B$9+IF(H85="",F85*(E85-N85),0)&gt;=账户数据!$B$7,"禁止开仓","允许开仓"))</f>
        <v>允许开仓</v>
      </c>
      <c r="H85" s="2">
        <v>2900</v>
      </c>
      <c r="I85" s="10">
        <v>45006</v>
      </c>
      <c r="J85" s="9">
        <v>28</v>
      </c>
      <c r="K85" s="9">
        <v>30.16</v>
      </c>
      <c r="L85" s="8">
        <f t="shared" si="10"/>
        <v>2900</v>
      </c>
      <c r="M85" s="10">
        <v>45009</v>
      </c>
      <c r="N85" s="9">
        <v>24.25</v>
      </c>
      <c r="O85" s="9"/>
      <c r="P85" s="9"/>
      <c r="Q85" s="2"/>
      <c r="R85" s="2"/>
      <c r="S85" s="2"/>
      <c r="T85" s="2"/>
      <c r="U85" s="7">
        <f t="shared" si="11"/>
        <v>0.10236220472441</v>
      </c>
      <c r="V85" s="7">
        <f t="shared" si="12"/>
        <v>0.045275590551181</v>
      </c>
      <c r="W85" s="15">
        <f t="shared" si="13"/>
        <v>2.2608695652174</v>
      </c>
      <c r="X85" s="5">
        <f t="shared" si="14"/>
        <v>13804</v>
      </c>
      <c r="Y85" s="7">
        <f t="shared" si="15"/>
        <v>0.18740157480315</v>
      </c>
      <c r="Z85" s="7">
        <f>IF(OR(AE85="",多次统计数据!$B$8=""),"",AE85-多次统计数据!$B$8)</f>
        <v>0.0241906729606229</v>
      </c>
      <c r="AA85" s="16">
        <f t="shared" si="16"/>
        <v>3</v>
      </c>
      <c r="AB85" s="7">
        <f>IF(OR(A85="",多次统计数据!$B$8="",多次统计数据!$B$6&lt;=0,多次统计数据!$B$6&gt;=1),"",1-POWER(1+多次统计数据!$B$8,-多次统计数据!$B$6/(1-多次统计数据!$B$6)))</f>
        <v>0.0455859002225864</v>
      </c>
      <c r="AC85" s="8" t="str">
        <f>IF(OR(AB85="",多次统计数据!$B$9=""),"",IF(多次统计数据!$B$9&lt;AB85,"低于上限","达到或超过上限"))</f>
        <v>低于上限</v>
      </c>
      <c r="AD85" s="2" t="s">
        <v>60</v>
      </c>
      <c r="AE85" s="7">
        <f t="shared" si="17"/>
        <v>0.0815362169888777</v>
      </c>
      <c r="AF85" t="s">
        <v>77</v>
      </c>
    </row>
    <row r="86" ht="17" spans="1:32">
      <c r="A86" s="2">
        <v>85</v>
      </c>
      <c r="B86" s="2" t="s">
        <v>73</v>
      </c>
      <c r="C86" s="9">
        <v>183103</v>
      </c>
      <c r="D86" s="6">
        <v>0.02</v>
      </c>
      <c r="E86" s="9">
        <v>27.82</v>
      </c>
      <c r="F86" s="8">
        <f t="shared" si="9"/>
        <v>2000</v>
      </c>
      <c r="G86" s="8" t="str">
        <f>IF(OR(A86="",F86="",E86="",N86="",E86&lt;=N86,账户数据!$B$7=""),"",IF(账户数据!$B$9+IF(H86="",F86*(E86-N86),0)&gt;=账户数据!$B$7,"禁止开仓","允许开仓"))</f>
        <v>允许开仓</v>
      </c>
      <c r="H86" s="2">
        <v>2000</v>
      </c>
      <c r="I86" s="10">
        <v>45016</v>
      </c>
      <c r="J86" s="9">
        <v>30</v>
      </c>
      <c r="K86" s="9">
        <v>25.74</v>
      </c>
      <c r="L86" s="8">
        <f t="shared" si="10"/>
        <v>2000</v>
      </c>
      <c r="M86" s="10">
        <v>45029</v>
      </c>
      <c r="N86" s="9">
        <v>26</v>
      </c>
      <c r="O86" s="9"/>
      <c r="P86" s="9"/>
      <c r="Q86" s="2"/>
      <c r="R86" s="2"/>
      <c r="S86" s="2"/>
      <c r="T86" s="2"/>
      <c r="U86" s="7">
        <f t="shared" si="11"/>
        <v>0.0783608914450036</v>
      </c>
      <c r="V86" s="7">
        <f t="shared" si="12"/>
        <v>0.0654205607476636</v>
      </c>
      <c r="W86" s="15">
        <f t="shared" si="13"/>
        <v>1.1978021978022</v>
      </c>
      <c r="X86" s="5">
        <f t="shared" si="14"/>
        <v>-4160</v>
      </c>
      <c r="Y86" s="7">
        <f t="shared" si="15"/>
        <v>-0.0747663551401869</v>
      </c>
      <c r="Z86" s="7">
        <f>IF(OR(AE86="",多次统计数据!$B$8=""),"",AE86-多次统计数据!$B$8)</f>
        <v>-0.0800649970137329</v>
      </c>
      <c r="AA86" s="16">
        <f t="shared" si="16"/>
        <v>13</v>
      </c>
      <c r="AB86" s="7">
        <f>IF(OR(A86="",多次统计数据!$B$8="",多次统计数据!$B$6&lt;=0,多次统计数据!$B$6&gt;=1),"",1-POWER(1+多次统计数据!$B$8,-多次统计数据!$B$6/(1-多次统计数据!$B$6)))</f>
        <v>0.0455859002225864</v>
      </c>
      <c r="AC86" s="8" t="str">
        <f>IF(OR(AB86="",多次统计数据!$B$9=""),"",IF(多次统计数据!$B$9&lt;AB86,"低于上限","达到或超过上限"))</f>
        <v>低于上限</v>
      </c>
      <c r="AD86" s="2" t="s">
        <v>63</v>
      </c>
      <c r="AE86" s="7">
        <f t="shared" si="17"/>
        <v>-0.0227194529854781</v>
      </c>
      <c r="AF86" t="s">
        <v>78</v>
      </c>
    </row>
    <row r="87" ht="17" spans="1:32">
      <c r="A87" s="2">
        <v>86</v>
      </c>
      <c r="B87" s="2" t="s">
        <v>79</v>
      </c>
      <c r="C87" s="9">
        <v>178943</v>
      </c>
      <c r="D87" s="6">
        <v>0.02</v>
      </c>
      <c r="E87" s="9">
        <v>4.2</v>
      </c>
      <c r="F87" s="8">
        <f t="shared" si="9"/>
        <v>8900</v>
      </c>
      <c r="G87" s="8" t="str">
        <f>IF(OR(A87="",F87="",E87="",N87="",E87&lt;=N87,账户数据!$B$7=""),"",IF(账户数据!$B$9+IF(H87="",F87*(E87-N87),0)&gt;=账户数据!$B$7,"禁止开仓","允许开仓"))</f>
        <v>允许开仓</v>
      </c>
      <c r="H87" s="2">
        <v>8900</v>
      </c>
      <c r="I87" s="10">
        <v>43748</v>
      </c>
      <c r="J87" s="9">
        <v>4.8</v>
      </c>
      <c r="K87" s="9">
        <v>4.25</v>
      </c>
      <c r="L87" s="8">
        <f t="shared" si="10"/>
        <v>8900</v>
      </c>
      <c r="M87" s="10">
        <v>43756</v>
      </c>
      <c r="N87" s="9">
        <v>3.8</v>
      </c>
      <c r="O87" s="9"/>
      <c r="P87" s="9"/>
      <c r="Q87" s="2"/>
      <c r="R87" s="2"/>
      <c r="S87" s="2"/>
      <c r="T87" s="2"/>
      <c r="U87" s="7">
        <f t="shared" si="11"/>
        <v>0.142857142857143</v>
      </c>
      <c r="V87" s="7">
        <f t="shared" si="12"/>
        <v>0.0952380952380953</v>
      </c>
      <c r="W87" s="15">
        <f t="shared" si="13"/>
        <v>1.5</v>
      </c>
      <c r="X87" s="5">
        <f t="shared" si="14"/>
        <v>445</v>
      </c>
      <c r="Y87" s="7">
        <f t="shared" si="15"/>
        <v>0.0119047619047619</v>
      </c>
      <c r="Z87" s="7">
        <f>IF(OR(AE87="",多次统计数据!$B$8=""),"",AE87-多次统计数据!$B$8)</f>
        <v>-0.0548587186145756</v>
      </c>
      <c r="AA87" s="16">
        <f t="shared" si="16"/>
        <v>8</v>
      </c>
      <c r="AB87" s="7">
        <f>IF(OR(A87="",多次统计数据!$B$8="",多次统计数据!$B$6&lt;=0,多次统计数据!$B$6&gt;=1),"",1-POWER(1+多次统计数据!$B$8,-多次统计数据!$B$6/(1-多次统计数据!$B$6)))</f>
        <v>0.0455859002225864</v>
      </c>
      <c r="AC87" s="8" t="str">
        <f>IF(OR(AB87="",多次统计数据!$B$9=""),"",IF(多次统计数据!$B$9&lt;AB87,"低于上限","达到或超过上限"))</f>
        <v>低于上限</v>
      </c>
      <c r="AD87" s="2"/>
      <c r="AE87" s="7">
        <f t="shared" si="17"/>
        <v>0.00248682541367922</v>
      </c>
    </row>
    <row r="88" ht="17" spans="1:32">
      <c r="A88" s="2">
        <v>87</v>
      </c>
      <c r="B88" s="2" t="s">
        <v>79</v>
      </c>
      <c r="C88" s="9">
        <v>179388</v>
      </c>
      <c r="D88" s="6">
        <v>0.02</v>
      </c>
      <c r="E88" s="9">
        <v>4.46</v>
      </c>
      <c r="F88" s="8">
        <f t="shared" si="9"/>
        <v>13700</v>
      </c>
      <c r="G88" s="8" t="str">
        <f>IF(OR(A88="",F88="",E88="",N88="",E88&lt;=N88,账户数据!$B$7=""),"",IF(账户数据!$B$9+IF(H88="",F88*(E88-N88),0)&gt;=账户数据!$B$7,"禁止开仓","允许开仓"))</f>
        <v>允许开仓</v>
      </c>
      <c r="H88" s="2">
        <v>13700</v>
      </c>
      <c r="I88" s="10">
        <v>43753</v>
      </c>
      <c r="J88" s="9">
        <v>5</v>
      </c>
      <c r="K88" s="9">
        <v>4.9</v>
      </c>
      <c r="L88" s="8">
        <f t="shared" si="10"/>
        <v>13700</v>
      </c>
      <c r="M88" s="10">
        <v>43767</v>
      </c>
      <c r="N88" s="9">
        <v>4.2</v>
      </c>
      <c r="O88" s="9"/>
      <c r="P88" s="9"/>
      <c r="Q88" s="2"/>
      <c r="R88" s="2"/>
      <c r="S88" s="2"/>
      <c r="T88" s="2"/>
      <c r="U88" s="7">
        <f t="shared" si="11"/>
        <v>0.121076233183857</v>
      </c>
      <c r="V88" s="7">
        <f t="shared" si="12"/>
        <v>0.0582959641255605</v>
      </c>
      <c r="W88" s="15">
        <f t="shared" si="13"/>
        <v>2.07692307692308</v>
      </c>
      <c r="X88" s="5">
        <f t="shared" si="14"/>
        <v>6028</v>
      </c>
      <c r="Y88" s="7">
        <f t="shared" si="15"/>
        <v>0.0986547085201794</v>
      </c>
      <c r="Z88" s="7">
        <f>IF(OR(AE88="",多次统计数据!$B$8=""),"",AE88-多次统计数据!$B$8)</f>
        <v>-0.0237424044648503</v>
      </c>
      <c r="AA88" s="16">
        <f t="shared" si="16"/>
        <v>14</v>
      </c>
      <c r="AB88" s="7">
        <f>IF(OR(A88="",多次统计数据!$B$8="",多次统计数据!$B$6&lt;=0,多次统计数据!$B$6&gt;=1),"",1-POWER(1+多次统计数据!$B$8,-多次统计数据!$B$6/(1-多次统计数据!$B$6)))</f>
        <v>0.0455859002225864</v>
      </c>
      <c r="AC88" s="8" t="str">
        <f>IF(OR(AB88="",多次统计数据!$B$9=""),"",IF(多次统计数据!$B$9&lt;AB88,"低于上限","达到或超过上限"))</f>
        <v>低于上限</v>
      </c>
      <c r="AD88" s="2" t="s">
        <v>60</v>
      </c>
      <c r="AE88" s="7">
        <f t="shared" si="17"/>
        <v>0.0336031395634045</v>
      </c>
    </row>
    <row r="89" ht="17" spans="1:32">
      <c r="A89" s="2">
        <v>88</v>
      </c>
      <c r="B89" s="2" t="s">
        <v>79</v>
      </c>
      <c r="C89" s="9">
        <v>185416</v>
      </c>
      <c r="D89" s="6">
        <v>0.02</v>
      </c>
      <c r="E89" s="9">
        <v>5.19</v>
      </c>
      <c r="F89" s="8">
        <f t="shared" si="9"/>
        <v>19500</v>
      </c>
      <c r="G89" s="8" t="str">
        <f>IF(OR(A89="",F89="",E89="",N89="",E89&lt;=N89,账户数据!$B$7=""),"",IF(账户数据!$B$9+IF(H89="",F89*(E89-N89),0)&gt;=账户数据!$B$7,"禁止开仓","允许开仓"))</f>
        <v>允许开仓</v>
      </c>
      <c r="H89" s="2">
        <v>19500</v>
      </c>
      <c r="I89" s="10">
        <v>43775</v>
      </c>
      <c r="J89" s="9">
        <v>6</v>
      </c>
      <c r="K89" s="9">
        <v>4.63</v>
      </c>
      <c r="L89" s="8">
        <f t="shared" si="10"/>
        <v>19500</v>
      </c>
      <c r="M89" s="10">
        <v>43777</v>
      </c>
      <c r="N89" s="9">
        <v>5</v>
      </c>
      <c r="O89" s="9"/>
      <c r="P89" s="9"/>
      <c r="Q89" s="2"/>
      <c r="R89" s="2"/>
      <c r="S89" s="2"/>
      <c r="T89" s="2"/>
      <c r="U89" s="7">
        <f t="shared" si="11"/>
        <v>0.15606936416185</v>
      </c>
      <c r="V89" s="7">
        <f t="shared" si="12"/>
        <v>0.0366088631984586</v>
      </c>
      <c r="W89" s="15">
        <f t="shared" si="13"/>
        <v>4.26315789473683</v>
      </c>
      <c r="X89" s="5">
        <f t="shared" si="14"/>
        <v>-10920</v>
      </c>
      <c r="Y89" s="7">
        <f t="shared" si="15"/>
        <v>-0.107899807321773</v>
      </c>
      <c r="Z89" s="7">
        <f>IF(OR(AE89="",多次统计数据!$B$8=""),"",AE89-多次统计数据!$B$8)</f>
        <v>-0.11624013780657</v>
      </c>
      <c r="AA89" s="16">
        <f t="shared" si="16"/>
        <v>2</v>
      </c>
      <c r="AB89" s="7">
        <f>IF(OR(A89="",多次统计数据!$B$8="",多次统计数据!$B$6&lt;=0,多次统计数据!$B$6&gt;=1),"",1-POWER(1+多次统计数据!$B$8,-多次统计数据!$B$6/(1-多次统计数据!$B$6)))</f>
        <v>0.0455859002225864</v>
      </c>
      <c r="AC89" s="8" t="str">
        <f>IF(OR(AB89="",多次统计数据!$B$9=""),"",IF(多次统计数据!$B$9&lt;AB89,"低于上限","达到或超过上限"))</f>
        <v>低于上限</v>
      </c>
      <c r="AD89" s="2" t="s">
        <v>66</v>
      </c>
      <c r="AE89" s="7">
        <f t="shared" si="17"/>
        <v>-0.0588945937783148</v>
      </c>
      <c r="AF89" t="s">
        <v>80</v>
      </c>
    </row>
    <row r="90" ht="17" spans="1:32">
      <c r="A90" s="2">
        <v>89</v>
      </c>
      <c r="B90" s="2" t="s">
        <v>79</v>
      </c>
      <c r="C90" s="9">
        <v>174496</v>
      </c>
      <c r="D90" s="6">
        <v>0.02</v>
      </c>
      <c r="E90" s="9">
        <v>4.99</v>
      </c>
      <c r="F90" s="8">
        <f t="shared" si="9"/>
        <v>7100</v>
      </c>
      <c r="G90" s="8" t="str">
        <f>IF(OR(A90="",F90="",E90="",N90="",E90&lt;=N90,账户数据!$B$7=""),"",IF(账户数据!$B$9+IF(H90="",F90*(E90-N90),0)&gt;=账户数据!$B$7,"禁止开仓","允许开仓"))</f>
        <v>允许开仓</v>
      </c>
      <c r="H90" s="2">
        <v>7100</v>
      </c>
      <c r="I90" s="10">
        <v>43851</v>
      </c>
      <c r="J90" s="9">
        <v>6</v>
      </c>
      <c r="K90" s="9">
        <v>4.55</v>
      </c>
      <c r="L90" s="8">
        <f t="shared" si="10"/>
        <v>7100</v>
      </c>
      <c r="M90" s="10">
        <v>43852</v>
      </c>
      <c r="N90" s="9">
        <v>4.5</v>
      </c>
      <c r="O90" s="9"/>
      <c r="P90" s="9"/>
      <c r="Q90" s="2"/>
      <c r="R90" s="2"/>
      <c r="S90" s="2"/>
      <c r="T90" s="2"/>
      <c r="U90" s="7">
        <f t="shared" si="11"/>
        <v>0.202404809619238</v>
      </c>
      <c r="V90" s="7">
        <f t="shared" si="12"/>
        <v>0.0981963927855712</v>
      </c>
      <c r="W90" s="15">
        <f t="shared" si="13"/>
        <v>2.06122448979592</v>
      </c>
      <c r="X90" s="5">
        <f t="shared" si="14"/>
        <v>-3124</v>
      </c>
      <c r="Y90" s="7">
        <f t="shared" si="15"/>
        <v>-0.0881763527054108</v>
      </c>
      <c r="Z90" s="7">
        <f>IF(OR(AE90="",多次统计数据!$B$8=""),"",AE90-多次统计数据!$B$8)</f>
        <v>-0.0752485332085225</v>
      </c>
      <c r="AA90" s="16">
        <f t="shared" si="16"/>
        <v>1</v>
      </c>
      <c r="AB90" s="7">
        <f>IF(OR(A90="",多次统计数据!$B$8="",多次统计数据!$B$6&lt;=0,多次统计数据!$B$6&gt;=1),"",1-POWER(1+多次统计数据!$B$8,-多次统计数据!$B$6/(1-多次统计数据!$B$6)))</f>
        <v>0.0455859002225864</v>
      </c>
      <c r="AC90" s="8" t="str">
        <f>IF(OR(AB90="",多次统计数据!$B$9=""),"",IF(多次统计数据!$B$9&lt;AB90,"低于上限","达到或超过上限"))</f>
        <v>低于上限</v>
      </c>
      <c r="AD90" s="2" t="s">
        <v>70</v>
      </c>
      <c r="AE90" s="7">
        <f t="shared" si="17"/>
        <v>-0.0179029891802677</v>
      </c>
    </row>
    <row r="91" ht="17" spans="1:32">
      <c r="A91" s="2">
        <v>90</v>
      </c>
      <c r="B91" s="2" t="s">
        <v>79</v>
      </c>
      <c r="C91" s="9">
        <v>171372</v>
      </c>
      <c r="D91" s="6">
        <v>0.02</v>
      </c>
      <c r="E91" s="9">
        <v>4.55</v>
      </c>
      <c r="F91" s="8">
        <f t="shared" si="9"/>
        <v>6200</v>
      </c>
      <c r="G91" s="8" t="str">
        <f>IF(OR(A91="",F91="",E91="",N91="",E91&lt;=N91,账户数据!$B$7=""),"",IF(账户数据!$B$9+IF(H91="",F91*(E91-N91),0)&gt;=账户数据!$B$7,"禁止开仓","允许开仓"))</f>
        <v>允许开仓</v>
      </c>
      <c r="H91" s="2">
        <v>6200</v>
      </c>
      <c r="I91" s="10">
        <v>43864</v>
      </c>
      <c r="J91" s="9">
        <v>6</v>
      </c>
      <c r="K91" s="9">
        <v>3.91</v>
      </c>
      <c r="L91" s="8">
        <f t="shared" si="10"/>
        <v>6200</v>
      </c>
      <c r="M91" s="10">
        <v>43889</v>
      </c>
      <c r="N91" s="9">
        <v>4</v>
      </c>
      <c r="O91" s="9"/>
      <c r="P91" s="9"/>
      <c r="Q91" s="2"/>
      <c r="R91" s="2"/>
      <c r="S91" s="2"/>
      <c r="T91" s="2"/>
      <c r="U91" s="7">
        <f t="shared" si="11"/>
        <v>0.318681318681319</v>
      </c>
      <c r="V91" s="7">
        <f t="shared" si="12"/>
        <v>0.120879120879121</v>
      </c>
      <c r="W91" s="15">
        <f t="shared" si="13"/>
        <v>2.63636363636364</v>
      </c>
      <c r="X91" s="5">
        <f t="shared" si="14"/>
        <v>-3968</v>
      </c>
      <c r="Y91" s="7">
        <f t="shared" si="15"/>
        <v>-0.140659340659341</v>
      </c>
      <c r="Z91" s="7">
        <f>IF(OR(AE91="",多次统计数据!$B$8=""),"",AE91-多次统计数据!$B$8)</f>
        <v>-0.0804998516164255</v>
      </c>
      <c r="AA91" s="16">
        <f t="shared" si="16"/>
        <v>25</v>
      </c>
      <c r="AB91" s="7">
        <f>IF(OR(A91="",多次统计数据!$B$8="",多次统计数据!$B$6&lt;=0,多次统计数据!$B$6&gt;=1),"",1-POWER(1+多次统计数据!$B$8,-多次统计数据!$B$6/(1-多次统计数据!$B$6)))</f>
        <v>0.0455859002225864</v>
      </c>
      <c r="AC91" s="8" t="str">
        <f>IF(OR(AB91="",多次统计数据!$B$9=""),"",IF(多次统计数据!$B$9&lt;AB91,"低于上限","达到或超过上限"))</f>
        <v>低于上限</v>
      </c>
      <c r="AD91" s="2" t="s">
        <v>81</v>
      </c>
      <c r="AE91" s="7">
        <f t="shared" si="17"/>
        <v>-0.0231543075881708</v>
      </c>
      <c r="AF91" t="s">
        <v>82</v>
      </c>
    </row>
    <row r="92" ht="17" spans="1:32">
      <c r="A92" s="2">
        <v>91</v>
      </c>
      <c r="B92" s="2" t="s">
        <v>79</v>
      </c>
      <c r="C92" s="9">
        <v>167404</v>
      </c>
      <c r="D92" s="6">
        <v>0.02</v>
      </c>
      <c r="E92" s="9">
        <v>4.33</v>
      </c>
      <c r="F92" s="8">
        <f t="shared" si="9"/>
        <v>7700</v>
      </c>
      <c r="G92" s="8" t="str">
        <f>IF(OR(A92="",F92="",E92="",N92="",E92&lt;=N92,账户数据!$B$7=""),"",IF(账户数据!$B$9+IF(H92="",F92*(E92-N92),0)&gt;=账户数据!$B$7,"禁止开仓","允许开仓"))</f>
        <v>允许开仓</v>
      </c>
      <c r="H92" s="2">
        <v>7700</v>
      </c>
      <c r="I92" s="10">
        <v>44235</v>
      </c>
      <c r="J92" s="9">
        <v>5</v>
      </c>
      <c r="K92" s="9">
        <v>9.27</v>
      </c>
      <c r="L92" s="8">
        <f t="shared" si="10"/>
        <v>7700</v>
      </c>
      <c r="M92" s="10">
        <v>44565</v>
      </c>
      <c r="N92" s="9">
        <v>3.9</v>
      </c>
      <c r="O92" s="9"/>
      <c r="P92" s="9"/>
      <c r="Q92" s="2"/>
      <c r="R92" s="2"/>
      <c r="S92" s="2"/>
      <c r="T92" s="2"/>
      <c r="U92" s="7">
        <f t="shared" si="11"/>
        <v>0.15473441108545</v>
      </c>
      <c r="V92" s="7">
        <f t="shared" si="12"/>
        <v>0.0993071593533488</v>
      </c>
      <c r="W92" s="15">
        <f t="shared" si="13"/>
        <v>1.55813953488372</v>
      </c>
      <c r="X92" s="5">
        <f t="shared" si="14"/>
        <v>38038</v>
      </c>
      <c r="Y92" s="7">
        <f t="shared" si="15"/>
        <v>1.14087759815242</v>
      </c>
      <c r="Z92" s="7">
        <f>IF(OR(AE92="",多次统计数据!$B$8=""),"",AE92-多次统计数据!$B$8)</f>
        <v>0.169877222452833</v>
      </c>
      <c r="AA92" s="16">
        <f t="shared" si="16"/>
        <v>330</v>
      </c>
      <c r="AB92" s="7">
        <f>IF(OR(A92="",多次统计数据!$B$8="",多次统计数据!$B$6&lt;=0,多次统计数据!$B$6&gt;=1),"",1-POWER(1+多次统计数据!$B$8,-多次统计数据!$B$6/(1-多次统计数据!$B$6)))</f>
        <v>0.0455859002225864</v>
      </c>
      <c r="AC92" s="8" t="str">
        <f>IF(OR(AB92="",多次统计数据!$B$9=""),"",IF(多次统计数据!$B$9&lt;AB92,"低于上限","达到或超过上限"))</f>
        <v>低于上限</v>
      </c>
      <c r="AD92" s="2" t="s">
        <v>63</v>
      </c>
      <c r="AE92" s="7">
        <f t="shared" si="17"/>
        <v>0.227222766481088</v>
      </c>
      <c r="AF92" t="s">
        <v>83</v>
      </c>
    </row>
    <row r="93" ht="17" spans="1:32">
      <c r="A93" s="2">
        <v>92</v>
      </c>
      <c r="B93" s="2" t="s">
        <v>79</v>
      </c>
      <c r="C93" s="9">
        <v>205442</v>
      </c>
      <c r="D93" s="6">
        <v>0.02</v>
      </c>
      <c r="E93" s="9">
        <v>6.13</v>
      </c>
      <c r="F93" s="8">
        <f t="shared" si="9"/>
        <v>6500</v>
      </c>
      <c r="G93" s="8" t="str">
        <f>IF(OR(A93="",F93="",E93="",N93="",E93&lt;=N93,账户数据!$B$7=""),"",IF(账户数据!$B$9+IF(H93="",F93*(E93-N93),0)&gt;=账户数据!$B$7,"禁止开仓","允许开仓"))</f>
        <v>允许开仓</v>
      </c>
      <c r="H93" s="2">
        <v>6500</v>
      </c>
      <c r="I93" s="10">
        <v>44636</v>
      </c>
      <c r="J93" s="9">
        <v>7</v>
      </c>
      <c r="K93" s="9">
        <v>7.62</v>
      </c>
      <c r="L93" s="8">
        <f t="shared" si="10"/>
        <v>6500</v>
      </c>
      <c r="M93" s="10">
        <v>44644</v>
      </c>
      <c r="N93" s="9">
        <v>5.5</v>
      </c>
      <c r="O93" s="9"/>
      <c r="P93" s="9"/>
      <c r="Q93" s="2"/>
      <c r="R93" s="2"/>
      <c r="S93" s="2"/>
      <c r="T93" s="2"/>
      <c r="U93" s="7">
        <f t="shared" si="11"/>
        <v>0.141924959216966</v>
      </c>
      <c r="V93" s="7">
        <f t="shared" si="12"/>
        <v>0.102773246329527</v>
      </c>
      <c r="W93" s="15">
        <f t="shared" si="13"/>
        <v>1.38095238095238</v>
      </c>
      <c r="X93" s="5">
        <f t="shared" si="14"/>
        <v>9685</v>
      </c>
      <c r="Y93" s="7">
        <f t="shared" si="15"/>
        <v>0.243066884176183</v>
      </c>
      <c r="Z93" s="7">
        <f>IF(OR(AE93="",多次统计数据!$B$8=""),"",AE93-多次统计数据!$B$8)</f>
        <v>-0.0102032848991575</v>
      </c>
      <c r="AA93" s="16">
        <f t="shared" si="16"/>
        <v>8</v>
      </c>
      <c r="AB93" s="7">
        <f>IF(OR(A93="",多次统计数据!$B$8="",多次统计数据!$B$6&lt;=0,多次统计数据!$B$6&gt;=1),"",1-POWER(1+多次统计数据!$B$8,-多次统计数据!$B$6/(1-多次统计数据!$B$6)))</f>
        <v>0.0455859002225864</v>
      </c>
      <c r="AC93" s="8" t="str">
        <f>IF(OR(AB93="",多次统计数据!$B$9=""),"",IF(多次统计数据!$B$9&lt;AB93,"低于上限","达到或超过上限"))</f>
        <v>低于上限</v>
      </c>
      <c r="AD93" s="2" t="s">
        <v>60</v>
      </c>
      <c r="AE93" s="7">
        <f t="shared" si="17"/>
        <v>0.0471422591290973</v>
      </c>
      <c r="AF93" t="s">
        <v>84</v>
      </c>
    </row>
    <row r="94" ht="17" spans="1:32">
      <c r="A94" s="2"/>
      <c r="B94" s="2"/>
      <c r="C94" s="9"/>
      <c r="D94" s="6"/>
      <c r="E94" s="9"/>
      <c r="F94" s="8" t="str">
        <f t="shared" si="9"/>
        <v/>
      </c>
      <c r="G94" s="8" t="str">
        <f>IF(OR(A94="",F94="",E94="",N94="",E94&lt;=N94,账户数据!$B$7=""),"",IF(账户数据!$B$9+IF(H94="",F94*(E94-N94),0)&gt;=账户数据!$B$7,"禁止开仓","允许开仓"))</f>
        <v/>
      </c>
      <c r="H94" s="2"/>
      <c r="I94" s="10"/>
      <c r="J94" s="9"/>
      <c r="K94" s="9"/>
      <c r="L94" s="8" t="str">
        <f t="shared" si="10"/>
        <v/>
      </c>
      <c r="M94" s="10"/>
      <c r="N94" s="9"/>
      <c r="O94" s="9"/>
      <c r="P94" s="9"/>
      <c r="Q94" s="2"/>
      <c r="R94" s="2"/>
      <c r="S94" s="2"/>
      <c r="T94" s="2"/>
      <c r="U94" s="7" t="str">
        <f t="shared" si="11"/>
        <v/>
      </c>
      <c r="V94" s="7" t="str">
        <f t="shared" si="12"/>
        <v/>
      </c>
      <c r="W94" s="15" t="str">
        <f t="shared" si="13"/>
        <v/>
      </c>
      <c r="X94" s="5" t="str">
        <f t="shared" si="14"/>
        <v/>
      </c>
      <c r="Y94" s="7" t="str">
        <f t="shared" si="15"/>
        <v/>
      </c>
      <c r="Z94" s="7" t="str">
        <f>IF(OR(AE94="",多次统计数据!$B$8=""),"",AE94-多次统计数据!$B$8)</f>
        <v/>
      </c>
      <c r="AA94" s="16" t="str">
        <f t="shared" si="16"/>
        <v/>
      </c>
      <c r="AB94" s="7" t="str">
        <f>IF(OR(A94="",多次统计数据!$B$8="",多次统计数据!$B$6&lt;=0,多次统计数据!$B$6&gt;=1),"",1-POWER(1+多次统计数据!$B$8,-多次统计数据!$B$6/(1-多次统计数据!$B$6)))</f>
        <v/>
      </c>
      <c r="AC94" s="8" t="str">
        <f>IF(OR(AB94="",多次统计数据!$B$9=""),"",IF(多次统计数据!$B$9&lt;AB94,"低于上限","达到或超过上限"))</f>
        <v/>
      </c>
      <c r="AD94" s="2"/>
      <c r="AE94" s="7" t="str">
        <f t="shared" si="17"/>
        <v/>
      </c>
    </row>
    <row r="95" ht="17" spans="1:32">
      <c r="A95" s="2"/>
      <c r="B95" s="2"/>
      <c r="C95" s="9"/>
      <c r="D95" s="6"/>
      <c r="E95" s="9"/>
      <c r="F95" s="8" t="str">
        <f t="shared" si="9"/>
        <v/>
      </c>
      <c r="G95" s="8" t="str">
        <f>IF(OR(A95="",F95="",E95="",N95="",E95&lt;=N95,账户数据!$B$7=""),"",IF(账户数据!$B$9+IF(H95="",F95*(E95-N95),0)&gt;=账户数据!$B$7,"禁止开仓","允许开仓"))</f>
        <v/>
      </c>
      <c r="H95" s="2"/>
      <c r="I95" s="10"/>
      <c r="J95" s="9"/>
      <c r="K95" s="9"/>
      <c r="L95" s="8" t="str">
        <f t="shared" si="10"/>
        <v/>
      </c>
      <c r="M95" s="10"/>
      <c r="N95" s="9"/>
      <c r="O95" s="9"/>
      <c r="P95" s="9"/>
      <c r="Q95" s="2"/>
      <c r="R95" s="2"/>
      <c r="S95" s="2"/>
      <c r="T95" s="2"/>
      <c r="U95" s="7" t="str">
        <f t="shared" si="11"/>
        <v/>
      </c>
      <c r="V95" s="7" t="str">
        <f t="shared" si="12"/>
        <v/>
      </c>
      <c r="W95" s="15" t="str">
        <f t="shared" si="13"/>
        <v/>
      </c>
      <c r="X95" s="5" t="str">
        <f t="shared" si="14"/>
        <v/>
      </c>
      <c r="Y95" s="7" t="str">
        <f t="shared" si="15"/>
        <v/>
      </c>
      <c r="Z95" s="7" t="str">
        <f>IF(OR(AE95="",多次统计数据!$B$8=""),"",AE95-多次统计数据!$B$8)</f>
        <v/>
      </c>
      <c r="AA95" s="16" t="str">
        <f t="shared" si="16"/>
        <v/>
      </c>
      <c r="AB95" s="7" t="str">
        <f>IF(OR(A95="",多次统计数据!$B$8="",多次统计数据!$B$6&lt;=0,多次统计数据!$B$6&gt;=1),"",1-POWER(1+多次统计数据!$B$8,-多次统计数据!$B$6/(1-多次统计数据!$B$6)))</f>
        <v/>
      </c>
      <c r="AC95" s="8" t="str">
        <f>IF(OR(AB95="",多次统计数据!$B$9=""),"",IF(多次统计数据!$B$9&lt;AB95,"低于上限","达到或超过上限"))</f>
        <v/>
      </c>
      <c r="AD95" s="2"/>
      <c r="AE95" s="7" t="str">
        <f t="shared" si="17"/>
        <v/>
      </c>
    </row>
    <row r="96" ht="17" spans="1:32">
      <c r="A96" s="2"/>
      <c r="B96" s="2"/>
      <c r="C96" s="9"/>
      <c r="D96" s="6"/>
      <c r="E96" s="9"/>
      <c r="F96" s="8" t="str">
        <f t="shared" si="9"/>
        <v/>
      </c>
      <c r="G96" s="8" t="str">
        <f>IF(OR(A96="",F96="",E96="",N96="",E96&lt;=N96,账户数据!$B$7=""),"",IF(账户数据!$B$9+IF(H96="",F96*(E96-N96),0)&gt;=账户数据!$B$7,"禁止开仓","允许开仓"))</f>
        <v/>
      </c>
      <c r="H96" s="2"/>
      <c r="I96" s="10"/>
      <c r="J96" s="9"/>
      <c r="K96" s="9"/>
      <c r="L96" s="8" t="str">
        <f t="shared" si="10"/>
        <v/>
      </c>
      <c r="M96" s="10"/>
      <c r="N96" s="9"/>
      <c r="O96" s="9"/>
      <c r="P96" s="9"/>
      <c r="Q96" s="2"/>
      <c r="R96" s="2"/>
      <c r="S96" s="2"/>
      <c r="T96" s="2"/>
      <c r="U96" s="7" t="str">
        <f t="shared" si="11"/>
        <v/>
      </c>
      <c r="V96" s="7" t="str">
        <f t="shared" si="12"/>
        <v/>
      </c>
      <c r="W96" s="15" t="str">
        <f t="shared" si="13"/>
        <v/>
      </c>
      <c r="X96" s="5" t="str">
        <f t="shared" si="14"/>
        <v/>
      </c>
      <c r="Y96" s="7" t="str">
        <f t="shared" si="15"/>
        <v/>
      </c>
      <c r="Z96" s="7" t="str">
        <f>IF(OR(AE96="",多次统计数据!$B$8=""),"",AE96-多次统计数据!$B$8)</f>
        <v/>
      </c>
      <c r="AA96" s="16" t="str">
        <f t="shared" si="16"/>
        <v/>
      </c>
      <c r="AB96" s="7" t="str">
        <f>IF(OR(A96="",多次统计数据!$B$8="",多次统计数据!$B$6&lt;=0,多次统计数据!$B$6&gt;=1),"",1-POWER(1+多次统计数据!$B$8,-多次统计数据!$B$6/(1-多次统计数据!$B$6)))</f>
        <v/>
      </c>
      <c r="AC96" s="8" t="str">
        <f>IF(OR(AB96="",多次统计数据!$B$9=""),"",IF(多次统计数据!$B$9&lt;AB96,"低于上限","达到或超过上限"))</f>
        <v/>
      </c>
      <c r="AD96" s="2"/>
      <c r="AE96" s="7" t="str">
        <f t="shared" si="17"/>
        <v/>
      </c>
    </row>
    <row r="97" ht="17" spans="1:31">
      <c r="A97" s="2"/>
      <c r="B97" s="2"/>
      <c r="C97" s="9"/>
      <c r="D97" s="6"/>
      <c r="E97" s="9"/>
      <c r="F97" s="8" t="str">
        <f t="shared" si="9"/>
        <v/>
      </c>
      <c r="G97" s="8" t="str">
        <f>IF(OR(A97="",F97="",E97="",N97="",E97&lt;=N97,账户数据!$B$7=""),"",IF(账户数据!$B$9+IF(H97="",F97*(E97-N97),0)&gt;=账户数据!$B$7,"禁止开仓","允许开仓"))</f>
        <v/>
      </c>
      <c r="H97" s="2"/>
      <c r="I97" s="10"/>
      <c r="J97" s="9"/>
      <c r="K97" s="9"/>
      <c r="L97" s="8" t="str">
        <f t="shared" si="10"/>
        <v/>
      </c>
      <c r="M97" s="10"/>
      <c r="N97" s="9"/>
      <c r="O97" s="9"/>
      <c r="P97" s="9"/>
      <c r="Q97" s="2"/>
      <c r="R97" s="2"/>
      <c r="S97" s="2"/>
      <c r="T97" s="2"/>
      <c r="U97" s="7" t="str">
        <f t="shared" si="11"/>
        <v/>
      </c>
      <c r="V97" s="7" t="str">
        <f t="shared" si="12"/>
        <v/>
      </c>
      <c r="W97" s="15" t="str">
        <f t="shared" si="13"/>
        <v/>
      </c>
      <c r="X97" s="5" t="str">
        <f t="shared" si="14"/>
        <v/>
      </c>
      <c r="Y97" s="7" t="str">
        <f t="shared" si="15"/>
        <v/>
      </c>
      <c r="Z97" s="7" t="str">
        <f>IF(OR(AE97="",多次统计数据!$B$8=""),"",AE97-多次统计数据!$B$8)</f>
        <v/>
      </c>
      <c r="AA97" s="16" t="str">
        <f t="shared" si="16"/>
        <v/>
      </c>
      <c r="AB97" s="7" t="str">
        <f>IF(OR(A97="",多次统计数据!$B$8="",多次统计数据!$B$6&lt;=0,多次统计数据!$B$6&gt;=1),"",1-POWER(1+多次统计数据!$B$8,-多次统计数据!$B$6/(1-多次统计数据!$B$6)))</f>
        <v/>
      </c>
      <c r="AC97" s="8" t="str">
        <f>IF(OR(AB97="",多次统计数据!$B$9=""),"",IF(多次统计数据!$B$9&lt;AB97,"低于上限","达到或超过上限"))</f>
        <v/>
      </c>
      <c r="AD97" s="2"/>
      <c r="AE97" s="7" t="str">
        <f t="shared" si="17"/>
        <v/>
      </c>
    </row>
    <row r="98" ht="17" spans="1:31">
      <c r="A98" s="2"/>
      <c r="B98" s="2"/>
      <c r="C98" s="9"/>
      <c r="D98" s="6"/>
      <c r="E98" s="9"/>
      <c r="F98" s="8" t="str">
        <f t="shared" si="9"/>
        <v/>
      </c>
      <c r="G98" s="8" t="str">
        <f>IF(OR(A98="",F98="",E98="",N98="",E98&lt;=N98,账户数据!$B$7=""),"",IF(账户数据!$B$9+IF(H98="",F98*(E98-N98),0)&gt;=账户数据!$B$7,"禁止开仓","允许开仓"))</f>
        <v/>
      </c>
      <c r="H98" s="2"/>
      <c r="I98" s="10"/>
      <c r="J98" s="9"/>
      <c r="K98" s="9"/>
      <c r="L98" s="8" t="str">
        <f t="shared" si="10"/>
        <v/>
      </c>
      <c r="M98" s="10"/>
      <c r="N98" s="9"/>
      <c r="O98" s="9"/>
      <c r="P98" s="9"/>
      <c r="Q98" s="2"/>
      <c r="R98" s="2"/>
      <c r="S98" s="2"/>
      <c r="T98" s="2"/>
      <c r="U98" s="7" t="str">
        <f t="shared" si="11"/>
        <v/>
      </c>
      <c r="V98" s="7" t="str">
        <f t="shared" si="12"/>
        <v/>
      </c>
      <c r="W98" s="15" t="str">
        <f t="shared" si="13"/>
        <v/>
      </c>
      <c r="X98" s="5" t="str">
        <f t="shared" si="14"/>
        <v/>
      </c>
      <c r="Y98" s="7" t="str">
        <f t="shared" si="15"/>
        <v/>
      </c>
      <c r="Z98" s="7" t="str">
        <f>IF(OR(AE98="",多次统计数据!$B$8=""),"",AE98-多次统计数据!$B$8)</f>
        <v/>
      </c>
      <c r="AA98" s="16" t="str">
        <f t="shared" si="16"/>
        <v/>
      </c>
      <c r="AB98" s="7" t="str">
        <f>IF(OR(A98="",多次统计数据!$B$8="",多次统计数据!$B$6&lt;=0,多次统计数据!$B$6&gt;=1),"",1-POWER(1+多次统计数据!$B$8,-多次统计数据!$B$6/(1-多次统计数据!$B$6)))</f>
        <v/>
      </c>
      <c r="AC98" s="8" t="str">
        <f>IF(OR(AB98="",多次统计数据!$B$9=""),"",IF(多次统计数据!$B$9&lt;AB98,"低于上限","达到或超过上限"))</f>
        <v/>
      </c>
      <c r="AD98" s="2"/>
      <c r="AE98" s="7" t="str">
        <f t="shared" si="17"/>
        <v/>
      </c>
    </row>
    <row r="99" ht="17" spans="1:31">
      <c r="A99" s="2"/>
      <c r="B99" s="2"/>
      <c r="C99" s="9"/>
      <c r="D99" s="6"/>
      <c r="E99" s="9"/>
      <c r="F99" s="8" t="str">
        <f t="shared" si="9"/>
        <v/>
      </c>
      <c r="G99" s="8" t="str">
        <f>IF(OR(A99="",F99="",E99="",N99="",E99&lt;=N99,账户数据!$B$7=""),"",IF(账户数据!$B$9+IF(H99="",F99*(E99-N99),0)&gt;=账户数据!$B$7,"禁止开仓","允许开仓"))</f>
        <v/>
      </c>
      <c r="H99" s="2"/>
      <c r="I99" s="10"/>
      <c r="J99" s="9"/>
      <c r="K99" s="9"/>
      <c r="L99" s="8" t="str">
        <f t="shared" si="10"/>
        <v/>
      </c>
      <c r="M99" s="10"/>
      <c r="N99" s="9"/>
      <c r="O99" s="9"/>
      <c r="P99" s="9"/>
      <c r="Q99" s="2"/>
      <c r="R99" s="2"/>
      <c r="S99" s="2"/>
      <c r="T99" s="2"/>
      <c r="U99" s="7" t="str">
        <f t="shared" si="11"/>
        <v/>
      </c>
      <c r="V99" s="7" t="str">
        <f t="shared" si="12"/>
        <v/>
      </c>
      <c r="W99" s="15" t="str">
        <f t="shared" si="13"/>
        <v/>
      </c>
      <c r="X99" s="5" t="str">
        <f t="shared" si="14"/>
        <v/>
      </c>
      <c r="Y99" s="7" t="str">
        <f t="shared" si="15"/>
        <v/>
      </c>
      <c r="Z99" s="7" t="str">
        <f>IF(OR(AE99="",多次统计数据!$B$8=""),"",AE99-多次统计数据!$B$8)</f>
        <v/>
      </c>
      <c r="AA99" s="16" t="str">
        <f t="shared" si="16"/>
        <v/>
      </c>
      <c r="AB99" s="7" t="str">
        <f>IF(OR(A99="",多次统计数据!$B$8="",多次统计数据!$B$6&lt;=0,多次统计数据!$B$6&gt;=1),"",1-POWER(1+多次统计数据!$B$8,-多次统计数据!$B$6/(1-多次统计数据!$B$6)))</f>
        <v/>
      </c>
      <c r="AC99" s="8" t="str">
        <f>IF(OR(AB99="",多次统计数据!$B$9=""),"",IF(多次统计数据!$B$9&lt;AB99,"低于上限","达到或超过上限"))</f>
        <v/>
      </c>
      <c r="AD99" s="2"/>
      <c r="AE99" s="7" t="str">
        <f t="shared" si="17"/>
        <v/>
      </c>
    </row>
    <row r="100" ht="17" spans="1:31">
      <c r="A100" s="2"/>
      <c r="B100" s="2"/>
      <c r="C100" s="9"/>
      <c r="D100" s="6"/>
      <c r="E100" s="9"/>
      <c r="F100" s="8" t="str">
        <f t="shared" si="9"/>
        <v/>
      </c>
      <c r="G100" s="8" t="str">
        <f>IF(OR(A100="",F100="",E100="",N100="",E100&lt;=N100,账户数据!$B$7=""),"",IF(账户数据!$B$9+IF(H100="",F100*(E100-N100),0)&gt;=账户数据!$B$7,"禁止开仓","允许开仓"))</f>
        <v/>
      </c>
      <c r="H100" s="2"/>
      <c r="I100" s="10"/>
      <c r="J100" s="9"/>
      <c r="K100" s="9"/>
      <c r="L100" s="8" t="str">
        <f t="shared" si="10"/>
        <v/>
      </c>
      <c r="M100" s="10"/>
      <c r="N100" s="9"/>
      <c r="O100" s="9"/>
      <c r="P100" s="9"/>
      <c r="Q100" s="2"/>
      <c r="R100" s="2"/>
      <c r="S100" s="2"/>
      <c r="T100" s="2"/>
      <c r="U100" s="7" t="str">
        <f t="shared" si="11"/>
        <v/>
      </c>
      <c r="V100" s="7" t="str">
        <f t="shared" si="12"/>
        <v/>
      </c>
      <c r="W100" s="15" t="str">
        <f t="shared" si="13"/>
        <v/>
      </c>
      <c r="X100" s="5" t="str">
        <f t="shared" si="14"/>
        <v/>
      </c>
      <c r="Y100" s="7" t="str">
        <f t="shared" si="15"/>
        <v/>
      </c>
      <c r="Z100" s="7" t="str">
        <f>IF(OR(AE100="",多次统计数据!$B$8=""),"",AE100-多次统计数据!$B$8)</f>
        <v/>
      </c>
      <c r="AA100" s="16" t="str">
        <f t="shared" si="16"/>
        <v/>
      </c>
      <c r="AB100" s="7" t="str">
        <f>IF(OR(A100="",多次统计数据!$B$8="",多次统计数据!$B$6&lt;=0,多次统计数据!$B$6&gt;=1),"",1-POWER(1+多次统计数据!$B$8,-多次统计数据!$B$6/(1-多次统计数据!$B$6)))</f>
        <v/>
      </c>
      <c r="AC100" s="8" t="str">
        <f>IF(OR(AB100="",多次统计数据!$B$9=""),"",IF(多次统计数据!$B$9&lt;AB100,"低于上限","达到或超过上限"))</f>
        <v/>
      </c>
      <c r="AD100" s="2"/>
      <c r="AE100" s="7" t="str">
        <f t="shared" si="17"/>
        <v/>
      </c>
    </row>
    <row r="101" ht="17" spans="1:31">
      <c r="A101" s="2"/>
      <c r="B101" s="2"/>
      <c r="C101" s="9"/>
      <c r="D101" s="6"/>
      <c r="E101" s="9"/>
      <c r="F101" s="8" t="str">
        <f t="shared" si="9"/>
        <v/>
      </c>
      <c r="G101" s="8" t="str">
        <f>IF(OR(A101="",F101="",E101="",N101="",E101&lt;=N101,账户数据!$B$7=""),"",IF(账户数据!$B$9+IF(H101="",F101*(E101-N101),0)&gt;=账户数据!$B$7,"禁止开仓","允许开仓"))</f>
        <v/>
      </c>
      <c r="H101" s="2"/>
      <c r="I101" s="10"/>
      <c r="J101" s="9"/>
      <c r="K101" s="9"/>
      <c r="L101" s="8" t="str">
        <f t="shared" si="10"/>
        <v/>
      </c>
      <c r="M101" s="10"/>
      <c r="N101" s="9"/>
      <c r="O101" s="9"/>
      <c r="P101" s="9"/>
      <c r="Q101" s="2"/>
      <c r="R101" s="2"/>
      <c r="S101" s="2"/>
      <c r="T101" s="2"/>
      <c r="U101" s="7" t="str">
        <f t="shared" si="11"/>
        <v/>
      </c>
      <c r="V101" s="7" t="str">
        <f t="shared" si="12"/>
        <v/>
      </c>
      <c r="W101" s="15" t="str">
        <f t="shared" si="13"/>
        <v/>
      </c>
      <c r="X101" s="5" t="str">
        <f t="shared" si="14"/>
        <v/>
      </c>
      <c r="Y101" s="7" t="str">
        <f t="shared" si="15"/>
        <v/>
      </c>
      <c r="Z101" s="7" t="str">
        <f>IF(OR(AE101="",多次统计数据!$B$8=""),"",AE101-多次统计数据!$B$8)</f>
        <v/>
      </c>
      <c r="AA101" s="16" t="str">
        <f t="shared" si="16"/>
        <v/>
      </c>
      <c r="AB101" s="7" t="str">
        <f>IF(OR(A101="",多次统计数据!$B$8="",多次统计数据!$B$6&lt;=0,多次统计数据!$B$6&gt;=1),"",1-POWER(1+多次统计数据!$B$8,-多次统计数据!$B$6/(1-多次统计数据!$B$6)))</f>
        <v/>
      </c>
      <c r="AC101" s="8" t="str">
        <f>IF(OR(AB101="",多次统计数据!$B$9=""),"",IF(多次统计数据!$B$9&lt;AB101,"低于上限","达到或超过上限"))</f>
        <v/>
      </c>
      <c r="AD101" s="2"/>
      <c r="AE101" s="7" t="str">
        <f t="shared" si="17"/>
        <v/>
      </c>
    </row>
    <row r="102" ht="17" spans="1:31">
      <c r="A102" s="2"/>
      <c r="B102" s="2"/>
      <c r="C102" s="9"/>
      <c r="D102" s="6"/>
      <c r="E102" s="9"/>
      <c r="F102" s="8" t="str">
        <f t="shared" si="9"/>
        <v/>
      </c>
      <c r="G102" s="8" t="str">
        <f>IF(OR(A102="",F102="",E102="",N102="",E102&lt;=N102,账户数据!$B$7=""),"",IF(账户数据!$B$9+IF(H102="",F102*(E102-N102),0)&gt;=账户数据!$B$7,"禁止开仓","允许开仓"))</f>
        <v/>
      </c>
      <c r="H102" s="2"/>
      <c r="I102" s="10"/>
      <c r="J102" s="9"/>
      <c r="K102" s="9"/>
      <c r="L102" s="8" t="str">
        <f t="shared" si="10"/>
        <v/>
      </c>
      <c r="M102" s="10"/>
      <c r="N102" s="9"/>
      <c r="O102" s="9"/>
      <c r="P102" s="9"/>
      <c r="Q102" s="2"/>
      <c r="R102" s="2"/>
      <c r="S102" s="2"/>
      <c r="T102" s="2"/>
      <c r="U102" s="7" t="str">
        <f t="shared" si="11"/>
        <v/>
      </c>
      <c r="V102" s="7" t="str">
        <f t="shared" si="12"/>
        <v/>
      </c>
      <c r="W102" s="15" t="str">
        <f t="shared" si="13"/>
        <v/>
      </c>
      <c r="X102" s="5" t="str">
        <f t="shared" si="14"/>
        <v/>
      </c>
      <c r="Y102" s="7" t="str">
        <f t="shared" si="15"/>
        <v/>
      </c>
      <c r="Z102" s="7" t="str">
        <f>IF(OR(AE102="",多次统计数据!$B$8=""),"",AE102-多次统计数据!$B$8)</f>
        <v/>
      </c>
      <c r="AA102" s="16" t="str">
        <f t="shared" si="16"/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 t="shared" si="17"/>
        <v/>
      </c>
    </row>
    <row r="103" ht="17" spans="1:31">
      <c r="A103" s="2"/>
      <c r="B103" s="2"/>
      <c r="C103" s="9"/>
      <c r="D103" s="6"/>
      <c r="E103" s="9"/>
      <c r="F103" s="8" t="str">
        <f t="shared" si="9"/>
        <v/>
      </c>
      <c r="G103" s="8" t="str">
        <f>IF(OR(A103="",F103="",E103="",N103="",E103&lt;=N103,账户数据!$B$7=""),"",IF(账户数据!$B$9+IF(H103="",F103*(E103-N103),0)&gt;=账户数据!$B$7,"禁止开仓","允许开仓"))</f>
        <v/>
      </c>
      <c r="H103" s="2"/>
      <c r="I103" s="10"/>
      <c r="J103" s="9"/>
      <c r="K103" s="9"/>
      <c r="L103" s="8" t="str">
        <f t="shared" si="10"/>
        <v/>
      </c>
      <c r="M103" s="10"/>
      <c r="N103" s="9"/>
      <c r="O103" s="9"/>
      <c r="P103" s="9"/>
      <c r="Q103" s="2"/>
      <c r="R103" s="2"/>
      <c r="S103" s="2"/>
      <c r="T103" s="2"/>
      <c r="U103" s="7" t="str">
        <f t="shared" si="11"/>
        <v/>
      </c>
      <c r="V103" s="7" t="str">
        <f t="shared" si="12"/>
        <v/>
      </c>
      <c r="W103" s="15" t="str">
        <f t="shared" si="13"/>
        <v/>
      </c>
      <c r="X103" s="5" t="str">
        <f t="shared" si="14"/>
        <v/>
      </c>
      <c r="Y103" s="7" t="str">
        <f t="shared" si="15"/>
        <v/>
      </c>
      <c r="Z103" s="7" t="str">
        <f>IF(OR(AE103="",多次统计数据!$B$8=""),"",AE103-多次统计数据!$B$8)</f>
        <v/>
      </c>
      <c r="AA103" s="16" t="str">
        <f t="shared" si="16"/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 t="shared" si="17"/>
        <v/>
      </c>
    </row>
    <row r="104" ht="17" spans="1:31">
      <c r="A104" s="2"/>
      <c r="B104" s="2"/>
      <c r="C104" s="9"/>
      <c r="D104" s="6"/>
      <c r="E104" s="9"/>
      <c r="F104" s="8" t="str">
        <f t="shared" si="9"/>
        <v/>
      </c>
      <c r="G104" s="8" t="str">
        <f>IF(OR(A104="",F104="",E104="",N104="",E104&lt;=N104,账户数据!$B$7=""),"",IF(账户数据!$B$9+IF(H104="",F104*(E104-N104),0)&gt;=账户数据!$B$7,"禁止开仓","允许开仓"))</f>
        <v/>
      </c>
      <c r="H104" s="2"/>
      <c r="I104" s="10"/>
      <c r="J104" s="9"/>
      <c r="K104" s="9"/>
      <c r="L104" s="8" t="str">
        <f t="shared" si="10"/>
        <v/>
      </c>
      <c r="M104" s="10"/>
      <c r="N104" s="9"/>
      <c r="O104" s="9"/>
      <c r="P104" s="9"/>
      <c r="Q104" s="2"/>
      <c r="R104" s="2"/>
      <c r="S104" s="2"/>
      <c r="T104" s="2"/>
      <c r="U104" s="7" t="str">
        <f t="shared" si="11"/>
        <v/>
      </c>
      <c r="V104" s="7" t="str">
        <f t="shared" si="12"/>
        <v/>
      </c>
      <c r="W104" s="15" t="str">
        <f t="shared" si="13"/>
        <v/>
      </c>
      <c r="X104" s="5" t="str">
        <f t="shared" si="14"/>
        <v/>
      </c>
      <c r="Y104" s="7" t="str">
        <f t="shared" si="15"/>
        <v/>
      </c>
      <c r="Z104" s="7" t="str">
        <f>IF(OR(AE104="",多次统计数据!$B$8=""),"",AE104-多次统计数据!$B$8)</f>
        <v/>
      </c>
      <c r="AA104" s="16" t="str">
        <f t="shared" si="16"/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 t="shared" si="17"/>
        <v/>
      </c>
    </row>
    <row r="105" ht="17" spans="1:31">
      <c r="A105" s="2"/>
      <c r="B105" s="2"/>
      <c r="C105" s="9"/>
      <c r="D105" s="6"/>
      <c r="E105" s="9"/>
      <c r="F105" s="8" t="str">
        <f t="shared" si="9"/>
        <v/>
      </c>
      <c r="G105" s="8" t="str">
        <f>IF(OR(A105="",F105="",E105="",N105="",E105&lt;=N105,账户数据!$B$7=""),"",IF(账户数据!$B$9+IF(H105="",F105*(E105-N105),0)&gt;=账户数据!$B$7,"禁止开仓","允许开仓"))</f>
        <v/>
      </c>
      <c r="H105" s="2"/>
      <c r="I105" s="10"/>
      <c r="J105" s="9"/>
      <c r="K105" s="9"/>
      <c r="L105" s="8" t="str">
        <f t="shared" si="10"/>
        <v/>
      </c>
      <c r="M105" s="10"/>
      <c r="N105" s="9"/>
      <c r="O105" s="9"/>
      <c r="P105" s="9"/>
      <c r="Q105" s="2"/>
      <c r="R105" s="2"/>
      <c r="S105" s="2"/>
      <c r="T105" s="2"/>
      <c r="U105" s="7" t="str">
        <f t="shared" si="11"/>
        <v/>
      </c>
      <c r="V105" s="7" t="str">
        <f t="shared" si="12"/>
        <v/>
      </c>
      <c r="W105" s="15" t="str">
        <f t="shared" si="13"/>
        <v/>
      </c>
      <c r="X105" s="5" t="str">
        <f t="shared" si="14"/>
        <v/>
      </c>
      <c r="Y105" s="7" t="str">
        <f t="shared" si="15"/>
        <v/>
      </c>
      <c r="Z105" s="7" t="str">
        <f>IF(OR(AE105="",多次统计数据!$B$8=""),"",AE105-多次统计数据!$B$8)</f>
        <v/>
      </c>
      <c r="AA105" s="16" t="str">
        <f t="shared" si="16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17"/>
        <v/>
      </c>
    </row>
    <row r="106" ht="17" spans="1:31">
      <c r="A106" s="2"/>
      <c r="B106" s="2"/>
      <c r="C106" s="9"/>
      <c r="D106" s="6"/>
      <c r="E106" s="9"/>
      <c r="F106" s="8" t="str">
        <f t="shared" si="9"/>
        <v/>
      </c>
      <c r="G106" s="8" t="str">
        <f>IF(OR(A106="",F106="",E106="",N106="",E106&lt;=N106,账户数据!$B$7=""),"",IF(账户数据!$B$9+IF(H106="",F106*(E106-N106),0)&gt;=账户数据!$B$7,"禁止开仓","允许开仓"))</f>
        <v/>
      </c>
      <c r="H106" s="2"/>
      <c r="I106" s="10"/>
      <c r="J106" s="9"/>
      <c r="K106" s="9"/>
      <c r="L106" s="8" t="str">
        <f t="shared" si="10"/>
        <v/>
      </c>
      <c r="M106" s="10"/>
      <c r="N106" s="9"/>
      <c r="O106" s="9"/>
      <c r="P106" s="9"/>
      <c r="Q106" s="2"/>
      <c r="R106" s="2"/>
      <c r="S106" s="2"/>
      <c r="T106" s="2"/>
      <c r="U106" s="7" t="str">
        <f t="shared" si="11"/>
        <v/>
      </c>
      <c r="V106" s="7" t="str">
        <f t="shared" si="12"/>
        <v/>
      </c>
      <c r="W106" s="15" t="str">
        <f t="shared" si="13"/>
        <v/>
      </c>
      <c r="X106" s="5" t="str">
        <f t="shared" si="14"/>
        <v/>
      </c>
      <c r="Y106" s="7" t="str">
        <f t="shared" si="15"/>
        <v/>
      </c>
      <c r="Z106" s="7" t="str">
        <f>IF(OR(AE106="",多次统计数据!$B$8=""),"",AE106-多次统计数据!$B$8)</f>
        <v/>
      </c>
      <c r="AA106" s="16" t="str">
        <f t="shared" si="16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17"/>
        <v/>
      </c>
    </row>
    <row r="107" ht="17" spans="1:31">
      <c r="A107" s="2"/>
      <c r="B107" s="2"/>
      <c r="C107" s="9"/>
      <c r="D107" s="6"/>
      <c r="E107" s="9"/>
      <c r="F107" s="8" t="str">
        <f t="shared" si="9"/>
        <v/>
      </c>
      <c r="G107" s="8" t="str">
        <f>IF(OR(A107="",F107="",E107="",N107="",E107&lt;=N107,账户数据!$B$7=""),"",IF(账户数据!$B$9+IF(H107="",F107*(E107-N107),0)&gt;=账户数据!$B$7,"禁止开仓","允许开仓"))</f>
        <v/>
      </c>
      <c r="H107" s="2"/>
      <c r="I107" s="10"/>
      <c r="J107" s="9"/>
      <c r="K107" s="9"/>
      <c r="L107" s="8" t="str">
        <f t="shared" si="10"/>
        <v/>
      </c>
      <c r="M107" s="10"/>
      <c r="N107" s="9"/>
      <c r="O107" s="9"/>
      <c r="P107" s="9"/>
      <c r="Q107" s="2"/>
      <c r="R107" s="2"/>
      <c r="S107" s="2"/>
      <c r="T107" s="2"/>
      <c r="U107" s="7" t="str">
        <f t="shared" si="11"/>
        <v/>
      </c>
      <c r="V107" s="7" t="str">
        <f t="shared" si="12"/>
        <v/>
      </c>
      <c r="W107" s="15" t="str">
        <f t="shared" si="13"/>
        <v/>
      </c>
      <c r="X107" s="5" t="str">
        <f t="shared" si="14"/>
        <v/>
      </c>
      <c r="Y107" s="7" t="str">
        <f t="shared" si="15"/>
        <v/>
      </c>
      <c r="Z107" s="7" t="str">
        <f>IF(OR(AE107="",多次统计数据!$B$8=""),"",AE107-多次统计数据!$B$8)</f>
        <v/>
      </c>
      <c r="AA107" s="16" t="str">
        <f t="shared" si="16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17"/>
        <v/>
      </c>
    </row>
    <row r="108" ht="17" spans="1:31">
      <c r="A108" s="2"/>
      <c r="B108" s="2"/>
      <c r="C108" s="9"/>
      <c r="D108" s="6"/>
      <c r="E108" s="9"/>
      <c r="F108" s="8" t="str">
        <f t="shared" si="9"/>
        <v/>
      </c>
      <c r="G108" s="8" t="str">
        <f>IF(OR(A108="",F108="",E108="",N108="",E108&lt;=N108,账户数据!$B$7=""),"",IF(账户数据!$B$9+IF(H108="",F108*(E108-N108),0)&gt;=账户数据!$B$7,"禁止开仓","允许开仓"))</f>
        <v/>
      </c>
      <c r="H108" s="2"/>
      <c r="I108" s="10"/>
      <c r="J108" s="9"/>
      <c r="K108" s="9"/>
      <c r="L108" s="8" t="str">
        <f t="shared" si="10"/>
        <v/>
      </c>
      <c r="M108" s="10"/>
      <c r="N108" s="9"/>
      <c r="O108" s="9"/>
      <c r="P108" s="9"/>
      <c r="Q108" s="2"/>
      <c r="R108" s="2"/>
      <c r="S108" s="2"/>
      <c r="T108" s="2"/>
      <c r="U108" s="7" t="str">
        <f t="shared" si="11"/>
        <v/>
      </c>
      <c r="V108" s="7" t="str">
        <f t="shared" si="12"/>
        <v/>
      </c>
      <c r="W108" s="15" t="str">
        <f t="shared" si="13"/>
        <v/>
      </c>
      <c r="X108" s="5" t="str">
        <f t="shared" si="14"/>
        <v/>
      </c>
      <c r="Y108" s="7" t="str">
        <f t="shared" si="15"/>
        <v/>
      </c>
      <c r="Z108" s="7" t="str">
        <f>IF(OR(AE108="",多次统计数据!$B$8=""),"",AE108-多次统计数据!$B$8)</f>
        <v/>
      </c>
      <c r="AA108" s="16" t="str">
        <f t="shared" si="16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17"/>
        <v/>
      </c>
    </row>
    <row r="109" ht="17" spans="1:31">
      <c r="A109" s="2"/>
      <c r="B109" s="2"/>
      <c r="C109" s="9"/>
      <c r="D109" s="6"/>
      <c r="E109" s="9"/>
      <c r="F109" s="8" t="str">
        <f t="shared" si="9"/>
        <v/>
      </c>
      <c r="G109" s="8" t="str">
        <f>IF(OR(A109="",F109="",E109="",N109="",E109&lt;=N109,账户数据!$B$7=""),"",IF(账户数据!$B$9+IF(H109="",F109*(E109-N109),0)&gt;=账户数据!$B$7,"禁止开仓","允许开仓"))</f>
        <v/>
      </c>
      <c r="H109" s="2"/>
      <c r="I109" s="10"/>
      <c r="J109" s="9"/>
      <c r="K109" s="9"/>
      <c r="L109" s="8" t="str">
        <f t="shared" si="10"/>
        <v/>
      </c>
      <c r="M109" s="10"/>
      <c r="N109" s="9"/>
      <c r="O109" s="9"/>
      <c r="P109" s="9"/>
      <c r="Q109" s="2"/>
      <c r="R109" s="2"/>
      <c r="S109" s="2"/>
      <c r="T109" s="2"/>
      <c r="U109" s="7" t="str">
        <f t="shared" si="11"/>
        <v/>
      </c>
      <c r="V109" s="7" t="str">
        <f t="shared" si="12"/>
        <v/>
      </c>
      <c r="W109" s="15" t="str">
        <f t="shared" si="13"/>
        <v/>
      </c>
      <c r="X109" s="5" t="str">
        <f t="shared" si="14"/>
        <v/>
      </c>
      <c r="Y109" s="7" t="str">
        <f t="shared" si="15"/>
        <v/>
      </c>
      <c r="Z109" s="7" t="str">
        <f>IF(OR(AE109="",多次统计数据!$B$8=""),"",AE109-多次统计数据!$B$8)</f>
        <v/>
      </c>
      <c r="AA109" s="16" t="str">
        <f t="shared" si="16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17"/>
        <v/>
      </c>
    </row>
    <row r="110" ht="17" spans="1:31">
      <c r="A110" s="2"/>
      <c r="B110" s="2"/>
      <c r="C110" s="9"/>
      <c r="D110" s="6"/>
      <c r="E110" s="9"/>
      <c r="F110" s="8" t="str">
        <f t="shared" si="9"/>
        <v/>
      </c>
      <c r="G110" s="8" t="str">
        <f>IF(OR(A110="",F110="",E110="",N110="",E110&lt;=N110,账户数据!$B$7=""),"",IF(账户数据!$B$9+IF(H110="",F110*(E110-N110),0)&gt;=账户数据!$B$7,"禁止开仓","允许开仓"))</f>
        <v/>
      </c>
      <c r="H110" s="2"/>
      <c r="I110" s="10"/>
      <c r="J110" s="9"/>
      <c r="K110" s="9"/>
      <c r="L110" s="8" t="str">
        <f t="shared" si="10"/>
        <v/>
      </c>
      <c r="M110" s="10"/>
      <c r="N110" s="9"/>
      <c r="O110" s="9"/>
      <c r="P110" s="9"/>
      <c r="Q110" s="2"/>
      <c r="R110" s="2"/>
      <c r="S110" s="2"/>
      <c r="T110" s="2"/>
      <c r="U110" s="7" t="str">
        <f t="shared" si="11"/>
        <v/>
      </c>
      <c r="V110" s="7" t="str">
        <f t="shared" si="12"/>
        <v/>
      </c>
      <c r="W110" s="15" t="str">
        <f t="shared" si="13"/>
        <v/>
      </c>
      <c r="X110" s="5" t="str">
        <f t="shared" si="14"/>
        <v/>
      </c>
      <c r="Y110" s="7" t="str">
        <f t="shared" si="15"/>
        <v/>
      </c>
      <c r="Z110" s="7" t="str">
        <f>IF(OR(AE110="",多次统计数据!$B$8=""),"",AE110-多次统计数据!$B$8)</f>
        <v/>
      </c>
      <c r="AA110" s="16" t="str">
        <f t="shared" si="16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17"/>
        <v/>
      </c>
    </row>
    <row r="111" ht="17" spans="1:31">
      <c r="A111" s="2"/>
      <c r="B111" s="2"/>
      <c r="C111" s="9"/>
      <c r="D111" s="6"/>
      <c r="E111" s="9"/>
      <c r="F111" s="8" t="str">
        <f t="shared" si="9"/>
        <v/>
      </c>
      <c r="G111" s="8" t="str">
        <f>IF(OR(A111="",F111="",E111="",N111="",E111&lt;=N111,账户数据!$B$7=""),"",IF(账户数据!$B$9+IF(H111="",F111*(E111-N111),0)&gt;=账户数据!$B$7,"禁止开仓","允许开仓"))</f>
        <v/>
      </c>
      <c r="H111" s="2"/>
      <c r="I111" s="10"/>
      <c r="J111" s="9"/>
      <c r="K111" s="9"/>
      <c r="L111" s="8" t="str">
        <f t="shared" si="10"/>
        <v/>
      </c>
      <c r="M111" s="10"/>
      <c r="N111" s="9"/>
      <c r="O111" s="9"/>
      <c r="P111" s="9"/>
      <c r="Q111" s="2"/>
      <c r="R111" s="2"/>
      <c r="S111" s="2"/>
      <c r="T111" s="2"/>
      <c r="U111" s="7" t="str">
        <f t="shared" si="11"/>
        <v/>
      </c>
      <c r="V111" s="7" t="str">
        <f t="shared" si="12"/>
        <v/>
      </c>
      <c r="W111" s="15" t="str">
        <f t="shared" si="13"/>
        <v/>
      </c>
      <c r="X111" s="5" t="str">
        <f t="shared" si="14"/>
        <v/>
      </c>
      <c r="Y111" s="7" t="str">
        <f t="shared" si="15"/>
        <v/>
      </c>
      <c r="Z111" s="7" t="str">
        <f>IF(OR(AE111="",多次统计数据!$B$8=""),"",AE111-多次统计数据!$B$8)</f>
        <v/>
      </c>
      <c r="AA111" s="16" t="str">
        <f t="shared" si="16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17"/>
        <v/>
      </c>
    </row>
    <row r="112" ht="17" spans="1:31">
      <c r="A112" s="2"/>
      <c r="B112" s="2"/>
      <c r="C112" s="9"/>
      <c r="D112" s="6"/>
      <c r="E112" s="9"/>
      <c r="F112" s="8" t="str">
        <f t="shared" si="9"/>
        <v/>
      </c>
      <c r="G112" s="8" t="str">
        <f>IF(OR(A112="",F112="",E112="",N112="",E112&lt;=N112,账户数据!$B$7=""),"",IF(账户数据!$B$9+IF(H112="",F112*(E112-N112),0)&gt;=账户数据!$B$7,"禁止开仓","允许开仓"))</f>
        <v/>
      </c>
      <c r="H112" s="2"/>
      <c r="I112" s="10"/>
      <c r="J112" s="9"/>
      <c r="K112" s="9"/>
      <c r="L112" s="8" t="str">
        <f t="shared" si="10"/>
        <v/>
      </c>
      <c r="M112" s="10"/>
      <c r="N112" s="9"/>
      <c r="O112" s="9"/>
      <c r="P112" s="9"/>
      <c r="Q112" s="2"/>
      <c r="R112" s="2"/>
      <c r="S112" s="2"/>
      <c r="T112" s="2"/>
      <c r="U112" s="7" t="str">
        <f t="shared" si="11"/>
        <v/>
      </c>
      <c r="V112" s="7" t="str">
        <f t="shared" si="12"/>
        <v/>
      </c>
      <c r="W112" s="15" t="str">
        <f t="shared" si="13"/>
        <v/>
      </c>
      <c r="X112" s="5" t="str">
        <f t="shared" si="14"/>
        <v/>
      </c>
      <c r="Y112" s="7" t="str">
        <f t="shared" si="15"/>
        <v/>
      </c>
      <c r="Z112" s="7" t="str">
        <f>IF(OR(AE112="",多次统计数据!$B$8=""),"",AE112-多次统计数据!$B$8)</f>
        <v/>
      </c>
      <c r="AA112" s="16" t="str">
        <f t="shared" si="16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17"/>
        <v/>
      </c>
    </row>
    <row r="113" ht="17" spans="1:31">
      <c r="A113" s="2"/>
      <c r="B113" s="2"/>
      <c r="C113" s="9"/>
      <c r="D113" s="6"/>
      <c r="E113" s="9"/>
      <c r="F113" s="8" t="str">
        <f t="shared" si="9"/>
        <v/>
      </c>
      <c r="G113" s="8" t="str">
        <f>IF(OR(A113="",F113="",E113="",N113="",E113&lt;=N113,账户数据!$B$7=""),"",IF(账户数据!$B$9+IF(H113="",F113*(E113-N113),0)&gt;=账户数据!$B$7,"禁止开仓","允许开仓"))</f>
        <v/>
      </c>
      <c r="H113" s="2"/>
      <c r="I113" s="10"/>
      <c r="J113" s="9"/>
      <c r="K113" s="9"/>
      <c r="L113" s="8" t="str">
        <f t="shared" si="10"/>
        <v/>
      </c>
      <c r="M113" s="10"/>
      <c r="N113" s="9"/>
      <c r="O113" s="9"/>
      <c r="P113" s="9"/>
      <c r="Q113" s="2"/>
      <c r="R113" s="2"/>
      <c r="S113" s="2"/>
      <c r="T113" s="2"/>
      <c r="U113" s="7" t="str">
        <f t="shared" si="11"/>
        <v/>
      </c>
      <c r="V113" s="7" t="str">
        <f t="shared" si="12"/>
        <v/>
      </c>
      <c r="W113" s="15" t="str">
        <f t="shared" si="13"/>
        <v/>
      </c>
      <c r="X113" s="5" t="str">
        <f t="shared" si="14"/>
        <v/>
      </c>
      <c r="Y113" s="7" t="str">
        <f t="shared" si="15"/>
        <v/>
      </c>
      <c r="Z113" s="7" t="str">
        <f>IF(OR(AE113="",多次统计数据!$B$8=""),"",AE113-多次统计数据!$B$8)</f>
        <v/>
      </c>
      <c r="AA113" s="16" t="str">
        <f t="shared" si="16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17"/>
        <v/>
      </c>
    </row>
    <row r="114" ht="17" spans="1:31">
      <c r="A114" s="2"/>
      <c r="B114" s="2"/>
      <c r="C114" s="9"/>
      <c r="D114" s="6"/>
      <c r="E114" s="9"/>
      <c r="F114" s="8" t="str">
        <f t="shared" si="9"/>
        <v/>
      </c>
      <c r="G114" s="8" t="str">
        <f>IF(OR(A114="",F114="",E114="",N114="",E114&lt;=N114,账户数据!$B$7=""),"",IF(账户数据!$B$9+IF(H114="",F114*(E114-N114),0)&gt;=账户数据!$B$7,"禁止开仓","允许开仓"))</f>
        <v/>
      </c>
      <c r="H114" s="2"/>
      <c r="I114" s="10"/>
      <c r="J114" s="9"/>
      <c r="K114" s="9"/>
      <c r="L114" s="8" t="str">
        <f t="shared" si="10"/>
        <v/>
      </c>
      <c r="M114" s="10"/>
      <c r="N114" s="9"/>
      <c r="O114" s="9"/>
      <c r="P114" s="9"/>
      <c r="Q114" s="2"/>
      <c r="R114" s="2"/>
      <c r="S114" s="2"/>
      <c r="T114" s="2"/>
      <c r="U114" s="7" t="str">
        <f t="shared" si="11"/>
        <v/>
      </c>
      <c r="V114" s="7" t="str">
        <f t="shared" si="12"/>
        <v/>
      </c>
      <c r="W114" s="15" t="str">
        <f t="shared" si="13"/>
        <v/>
      </c>
      <c r="X114" s="5" t="str">
        <f t="shared" si="14"/>
        <v/>
      </c>
      <c r="Y114" s="7" t="str">
        <f t="shared" si="15"/>
        <v/>
      </c>
      <c r="Z114" s="7" t="str">
        <f>IF(OR(AE114="",多次统计数据!$B$8=""),"",AE114-多次统计数据!$B$8)</f>
        <v/>
      </c>
      <c r="AA114" s="16" t="str">
        <f t="shared" si="16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17"/>
        <v/>
      </c>
    </row>
    <row r="115" ht="17" spans="1:31">
      <c r="A115" s="2"/>
      <c r="B115" s="2"/>
      <c r="C115" s="9"/>
      <c r="D115" s="6"/>
      <c r="E115" s="9"/>
      <c r="F115" s="8" t="str">
        <f t="shared" si="9"/>
        <v/>
      </c>
      <c r="G115" s="8" t="str">
        <f>IF(OR(A115="",F115="",E115="",N115="",E115&lt;=N115,账户数据!$B$7=""),"",IF(账户数据!$B$9+IF(H115="",F115*(E115-N115),0)&gt;=账户数据!$B$7,"禁止开仓","允许开仓"))</f>
        <v/>
      </c>
      <c r="H115" s="2"/>
      <c r="I115" s="10"/>
      <c r="J115" s="9"/>
      <c r="K115" s="9"/>
      <c r="L115" s="8" t="str">
        <f t="shared" si="10"/>
        <v/>
      </c>
      <c r="M115" s="10"/>
      <c r="N115" s="9"/>
      <c r="O115" s="9"/>
      <c r="P115" s="9"/>
      <c r="Q115" s="2"/>
      <c r="R115" s="2"/>
      <c r="S115" s="2"/>
      <c r="T115" s="2"/>
      <c r="U115" s="7" t="str">
        <f t="shared" si="11"/>
        <v/>
      </c>
      <c r="V115" s="7" t="str">
        <f t="shared" si="12"/>
        <v/>
      </c>
      <c r="W115" s="15" t="str">
        <f t="shared" si="13"/>
        <v/>
      </c>
      <c r="X115" s="5" t="str">
        <f t="shared" si="14"/>
        <v/>
      </c>
      <c r="Y115" s="7" t="str">
        <f t="shared" si="15"/>
        <v/>
      </c>
      <c r="Z115" s="7" t="str">
        <f>IF(OR(AE115="",多次统计数据!$B$8=""),"",AE115-多次统计数据!$B$8)</f>
        <v/>
      </c>
      <c r="AA115" s="16" t="str">
        <f t="shared" si="16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17"/>
        <v/>
      </c>
    </row>
    <row r="116" ht="17" spans="1:31">
      <c r="A116" s="2"/>
      <c r="B116" s="2"/>
      <c r="C116" s="9"/>
      <c r="D116" s="6"/>
      <c r="E116" s="9"/>
      <c r="F116" s="8" t="str">
        <f t="shared" si="9"/>
        <v/>
      </c>
      <c r="G116" s="8" t="str">
        <f>IF(OR(A116="",F116="",E116="",N116="",E116&lt;=N116,账户数据!$B$7=""),"",IF(账户数据!$B$9+IF(H116="",F116*(E116-N116),0)&gt;=账户数据!$B$7,"禁止开仓","允许开仓"))</f>
        <v/>
      </c>
      <c r="H116" s="2"/>
      <c r="I116" s="10"/>
      <c r="J116" s="9"/>
      <c r="K116" s="9"/>
      <c r="L116" s="8" t="str">
        <f t="shared" si="10"/>
        <v/>
      </c>
      <c r="M116" s="10"/>
      <c r="N116" s="9"/>
      <c r="O116" s="9"/>
      <c r="P116" s="9"/>
      <c r="Q116" s="2"/>
      <c r="R116" s="2"/>
      <c r="S116" s="2"/>
      <c r="T116" s="2"/>
      <c r="U116" s="7" t="str">
        <f t="shared" si="11"/>
        <v/>
      </c>
      <c r="V116" s="7" t="str">
        <f t="shared" si="12"/>
        <v/>
      </c>
      <c r="W116" s="15" t="str">
        <f t="shared" si="13"/>
        <v/>
      </c>
      <c r="X116" s="5" t="str">
        <f t="shared" si="14"/>
        <v/>
      </c>
      <c r="Y116" s="7" t="str">
        <f t="shared" si="15"/>
        <v/>
      </c>
      <c r="Z116" s="7" t="str">
        <f>IF(OR(AE116="",多次统计数据!$B$8=""),"",AE116-多次统计数据!$B$8)</f>
        <v/>
      </c>
      <c r="AA116" s="16" t="str">
        <f t="shared" si="16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17"/>
        <v/>
      </c>
    </row>
    <row r="117" ht="17" spans="1:31">
      <c r="A117" s="2"/>
      <c r="B117" s="2"/>
      <c r="C117" s="9"/>
      <c r="D117" s="6"/>
      <c r="E117" s="9"/>
      <c r="F117" s="8" t="str">
        <f t="shared" si="9"/>
        <v/>
      </c>
      <c r="G117" s="8" t="str">
        <f>IF(OR(A117="",F117="",E117="",N117="",E117&lt;=N117,账户数据!$B$7=""),"",IF(账户数据!$B$9+IF(H117="",F117*(E117-N117),0)&gt;=账户数据!$B$7,"禁止开仓","允许开仓"))</f>
        <v/>
      </c>
      <c r="H117" s="2"/>
      <c r="I117" s="10"/>
      <c r="J117" s="9"/>
      <c r="K117" s="9"/>
      <c r="L117" s="8" t="str">
        <f t="shared" si="10"/>
        <v/>
      </c>
      <c r="M117" s="10"/>
      <c r="N117" s="9"/>
      <c r="O117" s="9"/>
      <c r="P117" s="9"/>
      <c r="Q117" s="2"/>
      <c r="R117" s="2"/>
      <c r="S117" s="2"/>
      <c r="T117" s="2"/>
      <c r="U117" s="7" t="str">
        <f t="shared" si="11"/>
        <v/>
      </c>
      <c r="V117" s="7" t="str">
        <f t="shared" si="12"/>
        <v/>
      </c>
      <c r="W117" s="15" t="str">
        <f t="shared" si="13"/>
        <v/>
      </c>
      <c r="X117" s="5" t="str">
        <f t="shared" si="14"/>
        <v/>
      </c>
      <c r="Y117" s="7" t="str">
        <f t="shared" si="15"/>
        <v/>
      </c>
      <c r="Z117" s="7" t="str">
        <f>IF(OR(AE117="",多次统计数据!$B$8=""),"",AE117-多次统计数据!$B$8)</f>
        <v/>
      </c>
      <c r="AA117" s="16" t="str">
        <f t="shared" si="16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17"/>
        <v/>
      </c>
    </row>
    <row r="118" ht="17" spans="1:31">
      <c r="A118" s="2"/>
      <c r="B118" s="2"/>
      <c r="C118" s="9"/>
      <c r="D118" s="6"/>
      <c r="E118" s="9"/>
      <c r="F118" s="8" t="str">
        <f t="shared" si="9"/>
        <v/>
      </c>
      <c r="G118" s="8" t="str">
        <f>IF(OR(A118="",F118="",E118="",N118="",E118&lt;=N118,账户数据!$B$7=""),"",IF(账户数据!$B$9+IF(H118="",F118*(E118-N118),0)&gt;=账户数据!$B$7,"禁止开仓","允许开仓"))</f>
        <v/>
      </c>
      <c r="H118" s="2"/>
      <c r="I118" s="10"/>
      <c r="J118" s="9"/>
      <c r="K118" s="9"/>
      <c r="L118" s="8" t="str">
        <f t="shared" si="10"/>
        <v/>
      </c>
      <c r="M118" s="10"/>
      <c r="N118" s="9"/>
      <c r="O118" s="9"/>
      <c r="P118" s="9"/>
      <c r="Q118" s="2"/>
      <c r="R118" s="2"/>
      <c r="S118" s="2"/>
      <c r="T118" s="2"/>
      <c r="U118" s="7" t="str">
        <f t="shared" si="11"/>
        <v/>
      </c>
      <c r="V118" s="7" t="str">
        <f t="shared" si="12"/>
        <v/>
      </c>
      <c r="W118" s="15" t="str">
        <f t="shared" si="13"/>
        <v/>
      </c>
      <c r="X118" s="5" t="str">
        <f t="shared" si="14"/>
        <v/>
      </c>
      <c r="Y118" s="7" t="str">
        <f t="shared" si="15"/>
        <v/>
      </c>
      <c r="Z118" s="7" t="str">
        <f>IF(OR(AE118="",多次统计数据!$B$8=""),"",AE118-多次统计数据!$B$8)</f>
        <v/>
      </c>
      <c r="AA118" s="16" t="str">
        <f t="shared" si="16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17"/>
        <v/>
      </c>
    </row>
    <row r="119" ht="17" spans="1:31">
      <c r="A119" s="2"/>
      <c r="B119" s="2"/>
      <c r="C119" s="9"/>
      <c r="D119" s="6"/>
      <c r="E119" s="9"/>
      <c r="F119" s="8" t="str">
        <f t="shared" si="9"/>
        <v/>
      </c>
      <c r="G119" s="8" t="str">
        <f>IF(OR(A119="",F119="",E119="",N119="",E119&lt;=N119,账户数据!$B$7=""),"",IF(账户数据!$B$9+IF(H119="",F119*(E119-N119),0)&gt;=账户数据!$B$7,"禁止开仓","允许开仓"))</f>
        <v/>
      </c>
      <c r="H119" s="2"/>
      <c r="I119" s="10"/>
      <c r="J119" s="9"/>
      <c r="K119" s="9"/>
      <c r="L119" s="8" t="str">
        <f t="shared" si="10"/>
        <v/>
      </c>
      <c r="M119" s="10"/>
      <c r="N119" s="9"/>
      <c r="O119" s="9"/>
      <c r="P119" s="9"/>
      <c r="Q119" s="2"/>
      <c r="R119" s="2"/>
      <c r="S119" s="2"/>
      <c r="T119" s="2"/>
      <c r="U119" s="7" t="str">
        <f t="shared" si="11"/>
        <v/>
      </c>
      <c r="V119" s="7" t="str">
        <f t="shared" si="12"/>
        <v/>
      </c>
      <c r="W119" s="15" t="str">
        <f t="shared" si="13"/>
        <v/>
      </c>
      <c r="X119" s="5" t="str">
        <f t="shared" si="14"/>
        <v/>
      </c>
      <c r="Y119" s="7" t="str">
        <f t="shared" si="15"/>
        <v/>
      </c>
      <c r="Z119" s="7" t="str">
        <f>IF(OR(AE119="",多次统计数据!$B$8=""),"",AE119-多次统计数据!$B$8)</f>
        <v/>
      </c>
      <c r="AA119" s="16" t="str">
        <f t="shared" si="16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17"/>
        <v/>
      </c>
    </row>
    <row r="120" ht="17" spans="1:31">
      <c r="A120" s="2"/>
      <c r="B120" s="2"/>
      <c r="C120" s="9"/>
      <c r="D120" s="6"/>
      <c r="E120" s="9"/>
      <c r="F120" s="8" t="str">
        <f t="shared" si="9"/>
        <v/>
      </c>
      <c r="G120" s="8" t="str">
        <f>IF(OR(A120="",F120="",E120="",N120="",E120&lt;=N120,账户数据!$B$7=""),"",IF(账户数据!$B$9+IF(H120="",F120*(E120-N120),0)&gt;=账户数据!$B$7,"禁止开仓","允许开仓"))</f>
        <v/>
      </c>
      <c r="H120" s="2"/>
      <c r="I120" s="10"/>
      <c r="J120" s="9"/>
      <c r="K120" s="9"/>
      <c r="L120" s="8" t="str">
        <f t="shared" si="10"/>
        <v/>
      </c>
      <c r="M120" s="10"/>
      <c r="N120" s="9"/>
      <c r="O120" s="9"/>
      <c r="P120" s="9"/>
      <c r="Q120" s="2"/>
      <c r="R120" s="2"/>
      <c r="S120" s="2"/>
      <c r="T120" s="2"/>
      <c r="U120" s="7" t="str">
        <f t="shared" si="11"/>
        <v/>
      </c>
      <c r="V120" s="7" t="str">
        <f t="shared" si="12"/>
        <v/>
      </c>
      <c r="W120" s="15" t="str">
        <f t="shared" si="13"/>
        <v/>
      </c>
      <c r="X120" s="5" t="str">
        <f t="shared" si="14"/>
        <v/>
      </c>
      <c r="Y120" s="7" t="str">
        <f t="shared" si="15"/>
        <v/>
      </c>
      <c r="Z120" s="7" t="str">
        <f>IF(OR(AE120="",多次统计数据!$B$8=""),"",AE120-多次统计数据!$B$8)</f>
        <v/>
      </c>
      <c r="AA120" s="16" t="str">
        <f t="shared" si="16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17"/>
        <v/>
      </c>
    </row>
    <row r="121" ht="17" spans="1:31">
      <c r="A121" s="2"/>
      <c r="B121" s="2"/>
      <c r="C121" s="9"/>
      <c r="D121" s="6"/>
      <c r="E121" s="9"/>
      <c r="F121" s="8" t="str">
        <f t="shared" si="9"/>
        <v/>
      </c>
      <c r="G121" s="8" t="str">
        <f>IF(OR(A121="",F121="",E121="",N121="",E121&lt;=N121,账户数据!$B$7=""),"",IF(账户数据!$B$9+IF(H121="",F121*(E121-N121),0)&gt;=账户数据!$B$7,"禁止开仓","允许开仓"))</f>
        <v/>
      </c>
      <c r="H121" s="2"/>
      <c r="I121" s="10"/>
      <c r="J121" s="9"/>
      <c r="K121" s="9"/>
      <c r="L121" s="8" t="str">
        <f t="shared" si="10"/>
        <v/>
      </c>
      <c r="M121" s="10"/>
      <c r="N121" s="9"/>
      <c r="O121" s="9"/>
      <c r="P121" s="9"/>
      <c r="Q121" s="2"/>
      <c r="R121" s="2"/>
      <c r="S121" s="2"/>
      <c r="T121" s="2"/>
      <c r="U121" s="7" t="str">
        <f t="shared" si="11"/>
        <v/>
      </c>
      <c r="V121" s="7" t="str">
        <f t="shared" si="12"/>
        <v/>
      </c>
      <c r="W121" s="15" t="str">
        <f t="shared" si="13"/>
        <v/>
      </c>
      <c r="X121" s="5" t="str">
        <f t="shared" si="14"/>
        <v/>
      </c>
      <c r="Y121" s="7" t="str">
        <f t="shared" si="15"/>
        <v/>
      </c>
      <c r="Z121" s="7" t="str">
        <f>IF(OR(AE121="",多次统计数据!$B$8=""),"",AE121-多次统计数据!$B$8)</f>
        <v/>
      </c>
      <c r="AA121" s="16" t="str">
        <f t="shared" si="16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17"/>
        <v/>
      </c>
    </row>
    <row r="122" ht="17" spans="1:31">
      <c r="A122" s="2"/>
      <c r="B122" s="2"/>
      <c r="C122" s="9"/>
      <c r="D122" s="6"/>
      <c r="E122" s="9"/>
      <c r="F122" s="8" t="str">
        <f t="shared" si="9"/>
        <v/>
      </c>
      <c r="G122" s="8" t="str">
        <f>IF(OR(A122="",F122="",E122="",N122="",E122&lt;=N122,账户数据!$B$7=""),"",IF(账户数据!$B$9+IF(H122="",F122*(E122-N122),0)&gt;=账户数据!$B$7,"禁止开仓","允许开仓"))</f>
        <v/>
      </c>
      <c r="H122" s="2"/>
      <c r="I122" s="10"/>
      <c r="J122" s="9"/>
      <c r="K122" s="9"/>
      <c r="L122" s="8" t="str">
        <f t="shared" si="10"/>
        <v/>
      </c>
      <c r="M122" s="10"/>
      <c r="N122" s="9"/>
      <c r="O122" s="9"/>
      <c r="P122" s="9"/>
      <c r="Q122" s="2"/>
      <c r="R122" s="2"/>
      <c r="S122" s="2"/>
      <c r="T122" s="2"/>
      <c r="U122" s="7" t="str">
        <f t="shared" si="11"/>
        <v/>
      </c>
      <c r="V122" s="7" t="str">
        <f t="shared" si="12"/>
        <v/>
      </c>
      <c r="W122" s="15" t="str">
        <f t="shared" si="13"/>
        <v/>
      </c>
      <c r="X122" s="5" t="str">
        <f t="shared" si="14"/>
        <v/>
      </c>
      <c r="Y122" s="7" t="str">
        <f t="shared" si="15"/>
        <v/>
      </c>
      <c r="Z122" s="7" t="str">
        <f>IF(OR(AE122="",多次统计数据!$B$8=""),"",AE122-多次统计数据!$B$8)</f>
        <v/>
      </c>
      <c r="AA122" s="16" t="str">
        <f t="shared" si="16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17"/>
        <v/>
      </c>
    </row>
    <row r="123" ht="17" spans="1:31">
      <c r="A123" s="2"/>
      <c r="B123" s="2"/>
      <c r="C123" s="9"/>
      <c r="D123" s="6"/>
      <c r="E123" s="9"/>
      <c r="F123" s="8" t="str">
        <f t="shared" si="9"/>
        <v/>
      </c>
      <c r="G123" s="8" t="str">
        <f>IF(OR(A123="",F123="",E123="",N123="",E123&lt;=N123,账户数据!$B$7=""),"",IF(账户数据!$B$9+IF(H123="",F123*(E123-N123),0)&gt;=账户数据!$B$7,"禁止开仓","允许开仓"))</f>
        <v/>
      </c>
      <c r="H123" s="2"/>
      <c r="I123" s="10"/>
      <c r="J123" s="9"/>
      <c r="K123" s="9"/>
      <c r="L123" s="8" t="str">
        <f t="shared" si="10"/>
        <v/>
      </c>
      <c r="M123" s="10"/>
      <c r="N123" s="9"/>
      <c r="O123" s="9"/>
      <c r="P123" s="9"/>
      <c r="Q123" s="2"/>
      <c r="R123" s="2"/>
      <c r="S123" s="2"/>
      <c r="T123" s="2"/>
      <c r="U123" s="7" t="str">
        <f t="shared" si="11"/>
        <v/>
      </c>
      <c r="V123" s="7" t="str">
        <f t="shared" si="12"/>
        <v/>
      </c>
      <c r="W123" s="15" t="str">
        <f t="shared" si="13"/>
        <v/>
      </c>
      <c r="X123" s="5" t="str">
        <f t="shared" si="14"/>
        <v/>
      </c>
      <c r="Y123" s="7" t="str">
        <f t="shared" si="15"/>
        <v/>
      </c>
      <c r="Z123" s="7" t="str">
        <f>IF(OR(AE123="",多次统计数据!$B$8=""),"",AE123-多次统计数据!$B$8)</f>
        <v/>
      </c>
      <c r="AA123" s="16" t="str">
        <f t="shared" si="16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17"/>
        <v/>
      </c>
    </row>
    <row r="124" ht="17" spans="1:31">
      <c r="A124" s="2"/>
      <c r="B124" s="2"/>
      <c r="C124" s="9"/>
      <c r="D124" s="6"/>
      <c r="E124" s="9"/>
      <c r="F124" s="8" t="str">
        <f t="shared" si="9"/>
        <v/>
      </c>
      <c r="G124" s="8" t="str">
        <f>IF(OR(A124="",F124="",E124="",N124="",E124&lt;=N124,账户数据!$B$7=""),"",IF(账户数据!$B$9+IF(H124="",F124*(E124-N124),0)&gt;=账户数据!$B$7,"禁止开仓","允许开仓"))</f>
        <v/>
      </c>
      <c r="H124" s="2"/>
      <c r="I124" s="10"/>
      <c r="J124" s="9"/>
      <c r="K124" s="9"/>
      <c r="L124" s="8" t="str">
        <f t="shared" si="10"/>
        <v/>
      </c>
      <c r="M124" s="10"/>
      <c r="N124" s="9"/>
      <c r="O124" s="9"/>
      <c r="P124" s="9"/>
      <c r="Q124" s="2"/>
      <c r="R124" s="2"/>
      <c r="S124" s="2"/>
      <c r="T124" s="2"/>
      <c r="U124" s="7" t="str">
        <f t="shared" si="11"/>
        <v/>
      </c>
      <c r="V124" s="7" t="str">
        <f t="shared" si="12"/>
        <v/>
      </c>
      <c r="W124" s="15" t="str">
        <f t="shared" si="13"/>
        <v/>
      </c>
      <c r="X124" s="5" t="str">
        <f t="shared" si="14"/>
        <v/>
      </c>
      <c r="Y124" s="7" t="str">
        <f t="shared" si="15"/>
        <v/>
      </c>
      <c r="Z124" s="7" t="str">
        <f>IF(OR(AE124="",多次统计数据!$B$8=""),"",AE124-多次统计数据!$B$8)</f>
        <v/>
      </c>
      <c r="AA124" s="16" t="str">
        <f t="shared" si="16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17"/>
        <v/>
      </c>
    </row>
    <row r="125" ht="17" spans="1:31">
      <c r="A125" s="2"/>
      <c r="B125" s="2"/>
      <c r="C125" s="9"/>
      <c r="D125" s="6"/>
      <c r="E125" s="9"/>
      <c r="F125" s="8" t="str">
        <f t="shared" si="9"/>
        <v/>
      </c>
      <c r="G125" s="8" t="str">
        <f>IF(OR(A125="",F125="",E125="",N125="",E125&lt;=N125,账户数据!$B$7=""),"",IF(账户数据!$B$9+IF(H125="",F125*(E125-N125),0)&gt;=账户数据!$B$7,"禁止开仓","允许开仓"))</f>
        <v/>
      </c>
      <c r="H125" s="2"/>
      <c r="I125" s="10"/>
      <c r="J125" s="9"/>
      <c r="K125" s="9"/>
      <c r="L125" s="8" t="str">
        <f t="shared" si="10"/>
        <v/>
      </c>
      <c r="M125" s="10"/>
      <c r="N125" s="9"/>
      <c r="O125" s="9"/>
      <c r="P125" s="9"/>
      <c r="Q125" s="2"/>
      <c r="R125" s="2"/>
      <c r="S125" s="2"/>
      <c r="T125" s="2"/>
      <c r="U125" s="7" t="str">
        <f t="shared" si="11"/>
        <v/>
      </c>
      <c r="V125" s="7" t="str">
        <f t="shared" si="12"/>
        <v/>
      </c>
      <c r="W125" s="15" t="str">
        <f t="shared" si="13"/>
        <v/>
      </c>
      <c r="X125" s="5" t="str">
        <f t="shared" si="14"/>
        <v/>
      </c>
      <c r="Y125" s="7" t="str">
        <f t="shared" si="15"/>
        <v/>
      </c>
      <c r="Z125" s="7" t="str">
        <f>IF(OR(AE125="",多次统计数据!$B$8=""),"",AE125-多次统计数据!$B$8)</f>
        <v/>
      </c>
      <c r="AA125" s="16" t="str">
        <f t="shared" si="16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17"/>
        <v/>
      </c>
    </row>
    <row r="126" ht="17" spans="1:31">
      <c r="A126" s="2"/>
      <c r="B126" s="2"/>
      <c r="C126" s="9"/>
      <c r="D126" s="6"/>
      <c r="E126" s="9"/>
      <c r="F126" s="8" t="str">
        <f t="shared" si="9"/>
        <v/>
      </c>
      <c r="G126" s="8" t="str">
        <f>IF(OR(A126="",F126="",E126="",N126="",E126&lt;=N126,账户数据!$B$7=""),"",IF(账户数据!$B$9+IF(H126="",F126*(E126-N126),0)&gt;=账户数据!$B$7,"禁止开仓","允许开仓"))</f>
        <v/>
      </c>
      <c r="H126" s="2"/>
      <c r="I126" s="10"/>
      <c r="J126" s="9"/>
      <c r="K126" s="9"/>
      <c r="L126" s="8" t="str">
        <f t="shared" si="10"/>
        <v/>
      </c>
      <c r="M126" s="10"/>
      <c r="N126" s="9"/>
      <c r="O126" s="9"/>
      <c r="P126" s="9"/>
      <c r="Q126" s="2"/>
      <c r="R126" s="2"/>
      <c r="S126" s="2"/>
      <c r="T126" s="2"/>
      <c r="U126" s="7" t="str">
        <f t="shared" si="11"/>
        <v/>
      </c>
      <c r="V126" s="7" t="str">
        <f t="shared" si="12"/>
        <v/>
      </c>
      <c r="W126" s="15" t="str">
        <f t="shared" si="13"/>
        <v/>
      </c>
      <c r="X126" s="5" t="str">
        <f t="shared" si="14"/>
        <v/>
      </c>
      <c r="Y126" s="7" t="str">
        <f t="shared" si="15"/>
        <v/>
      </c>
      <c r="Z126" s="7" t="str">
        <f>IF(OR(AE126="",多次统计数据!$B$8=""),"",AE126-多次统计数据!$B$8)</f>
        <v/>
      </c>
      <c r="AA126" s="16" t="str">
        <f t="shared" si="16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17"/>
        <v/>
      </c>
    </row>
    <row r="127" ht="17" spans="1:31">
      <c r="A127" s="2"/>
      <c r="B127" s="2"/>
      <c r="C127" s="9"/>
      <c r="D127" s="6"/>
      <c r="E127" s="9"/>
      <c r="F127" s="8" t="str">
        <f t="shared" si="9"/>
        <v/>
      </c>
      <c r="G127" s="8" t="str">
        <f>IF(OR(A127="",F127="",E127="",N127="",E127&lt;=N127,账户数据!$B$7=""),"",IF(账户数据!$B$9+IF(H127="",F127*(E127-N127),0)&gt;=账户数据!$B$7,"禁止开仓","允许开仓"))</f>
        <v/>
      </c>
      <c r="H127" s="2"/>
      <c r="I127" s="10"/>
      <c r="J127" s="9"/>
      <c r="K127" s="9"/>
      <c r="L127" s="8" t="str">
        <f t="shared" si="10"/>
        <v/>
      </c>
      <c r="M127" s="10"/>
      <c r="N127" s="9"/>
      <c r="O127" s="9"/>
      <c r="P127" s="9"/>
      <c r="Q127" s="2"/>
      <c r="R127" s="2"/>
      <c r="S127" s="2"/>
      <c r="T127" s="2"/>
      <c r="U127" s="7" t="str">
        <f t="shared" si="11"/>
        <v/>
      </c>
      <c r="V127" s="7" t="str">
        <f t="shared" si="12"/>
        <v/>
      </c>
      <c r="W127" s="15" t="str">
        <f t="shared" si="13"/>
        <v/>
      </c>
      <c r="X127" s="5" t="str">
        <f t="shared" si="14"/>
        <v/>
      </c>
      <c r="Y127" s="7" t="str">
        <f t="shared" si="15"/>
        <v/>
      </c>
      <c r="Z127" s="7" t="str">
        <f>IF(OR(AE127="",多次统计数据!$B$8=""),"",AE127-多次统计数据!$B$8)</f>
        <v/>
      </c>
      <c r="AA127" s="16" t="str">
        <f t="shared" si="16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17"/>
        <v/>
      </c>
    </row>
    <row r="128" ht="17" spans="1:31">
      <c r="A128" s="2"/>
      <c r="B128" s="2"/>
      <c r="C128" s="9"/>
      <c r="D128" s="6"/>
      <c r="E128" s="9"/>
      <c r="F128" s="8" t="str">
        <f t="shared" si="9"/>
        <v/>
      </c>
      <c r="G128" s="8" t="str">
        <f>IF(OR(A128="",F128="",E128="",N128="",E128&lt;=N128,账户数据!$B$7=""),"",IF(账户数据!$B$9+IF(H128="",F128*(E128-N128),0)&gt;=账户数据!$B$7,"禁止开仓","允许开仓"))</f>
        <v/>
      </c>
      <c r="H128" s="2"/>
      <c r="I128" s="10"/>
      <c r="J128" s="9"/>
      <c r="K128" s="9"/>
      <c r="L128" s="8" t="str">
        <f t="shared" si="10"/>
        <v/>
      </c>
      <c r="M128" s="10"/>
      <c r="N128" s="9"/>
      <c r="O128" s="9"/>
      <c r="P128" s="9"/>
      <c r="Q128" s="2"/>
      <c r="R128" s="2"/>
      <c r="S128" s="2"/>
      <c r="T128" s="2"/>
      <c r="U128" s="7" t="str">
        <f t="shared" si="11"/>
        <v/>
      </c>
      <c r="V128" s="7" t="str">
        <f t="shared" si="12"/>
        <v/>
      </c>
      <c r="W128" s="15" t="str">
        <f t="shared" si="13"/>
        <v/>
      </c>
      <c r="X128" s="5" t="str">
        <f t="shared" si="14"/>
        <v/>
      </c>
      <c r="Y128" s="7" t="str">
        <f t="shared" si="15"/>
        <v/>
      </c>
      <c r="Z128" s="7" t="str">
        <f>IF(OR(AE128="",多次统计数据!$B$8=""),"",AE128-多次统计数据!$B$8)</f>
        <v/>
      </c>
      <c r="AA128" s="16" t="str">
        <f t="shared" si="16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17"/>
        <v/>
      </c>
    </row>
    <row r="129" ht="17" spans="1:31">
      <c r="A129" s="2"/>
      <c r="B129" s="2"/>
      <c r="C129" s="9"/>
      <c r="D129" s="6"/>
      <c r="E129" s="9"/>
      <c r="F129" s="8" t="str">
        <f t="shared" si="9"/>
        <v/>
      </c>
      <c r="G129" s="8" t="str">
        <f>IF(OR(A129="",F129="",E129="",N129="",E129&lt;=N129,账户数据!$B$7=""),"",IF(账户数据!$B$9+IF(H129="",F129*(E129-N129),0)&gt;=账户数据!$B$7,"禁止开仓","允许开仓"))</f>
        <v/>
      </c>
      <c r="H129" s="2"/>
      <c r="I129" s="10"/>
      <c r="J129" s="9"/>
      <c r="K129" s="9"/>
      <c r="L129" s="8" t="str">
        <f t="shared" si="10"/>
        <v/>
      </c>
      <c r="M129" s="10"/>
      <c r="N129" s="9"/>
      <c r="O129" s="9"/>
      <c r="P129" s="9"/>
      <c r="Q129" s="2"/>
      <c r="R129" s="2"/>
      <c r="S129" s="2"/>
      <c r="T129" s="2"/>
      <c r="U129" s="7" t="str">
        <f t="shared" si="11"/>
        <v/>
      </c>
      <c r="V129" s="7" t="str">
        <f t="shared" si="12"/>
        <v/>
      </c>
      <c r="W129" s="15" t="str">
        <f t="shared" si="13"/>
        <v/>
      </c>
      <c r="X129" s="5" t="str">
        <f t="shared" si="14"/>
        <v/>
      </c>
      <c r="Y129" s="7" t="str">
        <f t="shared" si="15"/>
        <v/>
      </c>
      <c r="Z129" s="7" t="str">
        <f>IF(OR(AE129="",多次统计数据!$B$8=""),"",AE129-多次统计数据!$B$8)</f>
        <v/>
      </c>
      <c r="AA129" s="16" t="str">
        <f t="shared" si="16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17"/>
        <v/>
      </c>
    </row>
    <row r="130" ht="17" spans="1:31">
      <c r="A130" s="2"/>
      <c r="B130" s="2"/>
      <c r="C130" s="9"/>
      <c r="D130" s="6"/>
      <c r="E130" s="9"/>
      <c r="F130" s="8" t="str">
        <f t="shared" ref="F130:F193" si="18">IF(OR(C130="",D130="",E130="",N130="",C130&lt;=0,D130&lt;=0,E130&lt;=N130),"",ROUNDDOWN((C130*D130)/(E130-N130)/100,0)*100)</f>
        <v/>
      </c>
      <c r="G130" s="8" t="str">
        <f>IF(OR(A130="",F130="",E130="",N130="",E130&lt;=N130,账户数据!$B$7=""),"",IF(账户数据!$B$9+IF(H130="",F130*(E130-N130),0)&gt;=账户数据!$B$7,"禁止开仓","允许开仓"))</f>
        <v/>
      </c>
      <c r="H130" s="2"/>
      <c r="I130" s="10"/>
      <c r="J130" s="9"/>
      <c r="K130" s="9"/>
      <c r="L130" s="8" t="str">
        <f t="shared" ref="L130:L193" si="19">IF(K130="","",H130)</f>
        <v/>
      </c>
      <c r="M130" s="10"/>
      <c r="N130" s="9"/>
      <c r="O130" s="9"/>
      <c r="P130" s="9"/>
      <c r="Q130" s="2"/>
      <c r="R130" s="2"/>
      <c r="S130" s="2"/>
      <c r="T130" s="2"/>
      <c r="U130" s="7" t="str">
        <f t="shared" ref="U130:U193" si="20">IF(OR(E130="",J130="",E130&lt;=0),"",(J130-E130)/E130)</f>
        <v/>
      </c>
      <c r="V130" s="7" t="str">
        <f t="shared" ref="V130:V193" si="21">IF(OR(E130="",N130="",E130&lt;=0),"",(E130-N130)/E130)</f>
        <v/>
      </c>
      <c r="W130" s="15" t="str">
        <f t="shared" ref="W130:W193" si="22">IF(OR(U130="",V130="",V130&lt;=0),"",U130/V130)</f>
        <v/>
      </c>
      <c r="X130" s="5" t="str">
        <f t="shared" ref="X130:X193" si="23">IF(OR(K130="",L130="",E130="",H130=""),"",K130*L130-E130*H130-IF(O130="",0,O130)-IF(P130="",0,P130))</f>
        <v/>
      </c>
      <c r="Y130" s="7" t="str">
        <f t="shared" ref="Y130:Y193" si="24">IF(OR(X130="",E130="",H130=""),"",IF(E130*H130+IF(O130="",0,O130)&lt;=0,"",X130/(E130*H130+IF(O130="",0,O130))))</f>
        <v/>
      </c>
      <c r="Z130" s="7" t="str">
        <f>IF(OR(AE130="",多次统计数据!$B$8=""),"",AE130-多次统计数据!$B$8)</f>
        <v/>
      </c>
      <c r="AA130" s="16" t="str">
        <f t="shared" ref="AA130:AA193" si="25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93" si="26">IF(OR(X130="",C130="",C130&lt;=0),"",X130/C130)</f>
        <v/>
      </c>
    </row>
    <row r="131" ht="17" spans="1:31">
      <c r="A131" s="2"/>
      <c r="B131" s="2"/>
      <c r="C131" s="9"/>
      <c r="D131" s="6"/>
      <c r="E131" s="9"/>
      <c r="F131" s="8" t="str">
        <f t="shared" si="18"/>
        <v/>
      </c>
      <c r="G131" s="8" t="str">
        <f>IF(OR(A131="",F131="",E131="",N131="",E131&lt;=N131,账户数据!$B$7=""),"",IF(账户数据!$B$9+IF(H131="",F131*(E131-N131),0)&gt;=账户数据!$B$7,"禁止开仓","允许开仓"))</f>
        <v/>
      </c>
      <c r="H131" s="2"/>
      <c r="I131" s="10"/>
      <c r="J131" s="9"/>
      <c r="K131" s="9"/>
      <c r="L131" s="8" t="str">
        <f t="shared" si="19"/>
        <v/>
      </c>
      <c r="M131" s="10"/>
      <c r="N131" s="9"/>
      <c r="O131" s="9"/>
      <c r="P131" s="9"/>
      <c r="Q131" s="2"/>
      <c r="R131" s="2"/>
      <c r="S131" s="2"/>
      <c r="T131" s="2"/>
      <c r="U131" s="7" t="str">
        <f t="shared" si="20"/>
        <v/>
      </c>
      <c r="V131" s="7" t="str">
        <f t="shared" si="21"/>
        <v/>
      </c>
      <c r="W131" s="15" t="str">
        <f t="shared" si="22"/>
        <v/>
      </c>
      <c r="X131" s="5" t="str">
        <f t="shared" si="23"/>
        <v/>
      </c>
      <c r="Y131" s="7" t="str">
        <f t="shared" si="24"/>
        <v/>
      </c>
      <c r="Z131" s="7" t="str">
        <f>IF(OR(AE131="",多次统计数据!$B$8=""),"",AE131-多次统计数据!$B$8)</f>
        <v/>
      </c>
      <c r="AA131" s="16" t="str">
        <f t="shared" si="25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26"/>
        <v/>
      </c>
    </row>
    <row r="132" ht="17" spans="1:31">
      <c r="A132" s="2"/>
      <c r="B132" s="2"/>
      <c r="C132" s="9"/>
      <c r="D132" s="6"/>
      <c r="E132" s="9"/>
      <c r="F132" s="8" t="str">
        <f t="shared" si="18"/>
        <v/>
      </c>
      <c r="G132" s="8" t="str">
        <f>IF(OR(A132="",F132="",E132="",N132="",E132&lt;=N132,账户数据!$B$7=""),"",IF(账户数据!$B$9+IF(H132="",F132*(E132-N132),0)&gt;=账户数据!$B$7,"禁止开仓","允许开仓"))</f>
        <v/>
      </c>
      <c r="H132" s="2"/>
      <c r="I132" s="10"/>
      <c r="J132" s="9"/>
      <c r="K132" s="9"/>
      <c r="L132" s="8" t="str">
        <f t="shared" si="19"/>
        <v/>
      </c>
      <c r="M132" s="10"/>
      <c r="N132" s="9"/>
      <c r="O132" s="9"/>
      <c r="P132" s="9"/>
      <c r="Q132" s="2"/>
      <c r="R132" s="2"/>
      <c r="S132" s="2"/>
      <c r="T132" s="2"/>
      <c r="U132" s="7" t="str">
        <f t="shared" si="20"/>
        <v/>
      </c>
      <c r="V132" s="7" t="str">
        <f t="shared" si="21"/>
        <v/>
      </c>
      <c r="W132" s="15" t="str">
        <f t="shared" si="22"/>
        <v/>
      </c>
      <c r="X132" s="5" t="str">
        <f t="shared" si="23"/>
        <v/>
      </c>
      <c r="Y132" s="7" t="str">
        <f t="shared" si="24"/>
        <v/>
      </c>
      <c r="Z132" s="7" t="str">
        <f>IF(OR(AE132="",多次统计数据!$B$8=""),"",AE132-多次统计数据!$B$8)</f>
        <v/>
      </c>
      <c r="AA132" s="16" t="str">
        <f t="shared" si="25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26"/>
        <v/>
      </c>
    </row>
    <row r="133" ht="17" spans="1:31">
      <c r="A133" s="2"/>
      <c r="B133" s="2"/>
      <c r="C133" s="9"/>
      <c r="D133" s="6"/>
      <c r="E133" s="9"/>
      <c r="F133" s="8" t="str">
        <f t="shared" si="18"/>
        <v/>
      </c>
      <c r="G133" s="8" t="str">
        <f>IF(OR(A133="",F133="",E133="",N133="",E133&lt;=N133,账户数据!$B$7=""),"",IF(账户数据!$B$9+IF(H133="",F133*(E133-N133),0)&gt;=账户数据!$B$7,"禁止开仓","允许开仓"))</f>
        <v/>
      </c>
      <c r="H133" s="2"/>
      <c r="I133" s="10"/>
      <c r="J133" s="9"/>
      <c r="K133" s="9"/>
      <c r="L133" s="8" t="str">
        <f t="shared" si="19"/>
        <v/>
      </c>
      <c r="M133" s="10"/>
      <c r="N133" s="9"/>
      <c r="O133" s="9"/>
      <c r="P133" s="9"/>
      <c r="Q133" s="2"/>
      <c r="R133" s="2"/>
      <c r="S133" s="2"/>
      <c r="T133" s="2"/>
      <c r="U133" s="7" t="str">
        <f t="shared" si="20"/>
        <v/>
      </c>
      <c r="V133" s="7" t="str">
        <f t="shared" si="21"/>
        <v/>
      </c>
      <c r="W133" s="15" t="str">
        <f t="shared" si="22"/>
        <v/>
      </c>
      <c r="X133" s="5" t="str">
        <f t="shared" si="23"/>
        <v/>
      </c>
      <c r="Y133" s="7" t="str">
        <f t="shared" si="24"/>
        <v/>
      </c>
      <c r="Z133" s="7" t="str">
        <f>IF(OR(AE133="",多次统计数据!$B$8=""),"",AE133-多次统计数据!$B$8)</f>
        <v/>
      </c>
      <c r="AA133" s="16" t="str">
        <f t="shared" si="25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26"/>
        <v/>
      </c>
    </row>
    <row r="134" ht="17" spans="1:31">
      <c r="A134" s="2"/>
      <c r="B134" s="2"/>
      <c r="C134" s="9"/>
      <c r="D134" s="6"/>
      <c r="E134" s="9"/>
      <c r="F134" s="8" t="str">
        <f t="shared" si="18"/>
        <v/>
      </c>
      <c r="G134" s="8" t="str">
        <f>IF(OR(A134="",F134="",E134="",N134="",E134&lt;=N134,账户数据!$B$7=""),"",IF(账户数据!$B$9+IF(H134="",F134*(E134-N134),0)&gt;=账户数据!$B$7,"禁止开仓","允许开仓"))</f>
        <v/>
      </c>
      <c r="H134" s="2"/>
      <c r="I134" s="10"/>
      <c r="J134" s="9"/>
      <c r="K134" s="9"/>
      <c r="L134" s="8" t="str">
        <f t="shared" si="19"/>
        <v/>
      </c>
      <c r="M134" s="10"/>
      <c r="N134" s="9"/>
      <c r="O134" s="9"/>
      <c r="P134" s="9"/>
      <c r="Q134" s="2"/>
      <c r="R134" s="2"/>
      <c r="S134" s="2"/>
      <c r="T134" s="2"/>
      <c r="U134" s="7" t="str">
        <f t="shared" si="20"/>
        <v/>
      </c>
      <c r="V134" s="7" t="str">
        <f t="shared" si="21"/>
        <v/>
      </c>
      <c r="W134" s="15" t="str">
        <f t="shared" si="22"/>
        <v/>
      </c>
      <c r="X134" s="5" t="str">
        <f t="shared" si="23"/>
        <v/>
      </c>
      <c r="Y134" s="7" t="str">
        <f t="shared" si="24"/>
        <v/>
      </c>
      <c r="Z134" s="7" t="str">
        <f>IF(OR(AE134="",多次统计数据!$B$8=""),"",AE134-多次统计数据!$B$8)</f>
        <v/>
      </c>
      <c r="AA134" s="16" t="str">
        <f t="shared" si="25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26"/>
        <v/>
      </c>
    </row>
    <row r="135" ht="17" spans="1:31">
      <c r="A135" s="2"/>
      <c r="B135" s="2"/>
      <c r="C135" s="9"/>
      <c r="D135" s="6"/>
      <c r="E135" s="9"/>
      <c r="F135" s="8" t="str">
        <f t="shared" si="18"/>
        <v/>
      </c>
      <c r="G135" s="8" t="str">
        <f>IF(OR(A135="",F135="",E135="",N135="",E135&lt;=N135,账户数据!$B$7=""),"",IF(账户数据!$B$9+IF(H135="",F135*(E135-N135),0)&gt;=账户数据!$B$7,"禁止开仓","允许开仓"))</f>
        <v/>
      </c>
      <c r="H135" s="2"/>
      <c r="I135" s="10"/>
      <c r="J135" s="9"/>
      <c r="K135" s="9"/>
      <c r="L135" s="8" t="str">
        <f t="shared" si="19"/>
        <v/>
      </c>
      <c r="M135" s="10"/>
      <c r="N135" s="9"/>
      <c r="O135" s="9"/>
      <c r="P135" s="9"/>
      <c r="Q135" s="2"/>
      <c r="R135" s="2"/>
      <c r="S135" s="2"/>
      <c r="T135" s="2"/>
      <c r="U135" s="7" t="str">
        <f t="shared" si="20"/>
        <v/>
      </c>
      <c r="V135" s="7" t="str">
        <f t="shared" si="21"/>
        <v/>
      </c>
      <c r="W135" s="15" t="str">
        <f t="shared" si="22"/>
        <v/>
      </c>
      <c r="X135" s="5" t="str">
        <f t="shared" si="23"/>
        <v/>
      </c>
      <c r="Y135" s="7" t="str">
        <f t="shared" si="24"/>
        <v/>
      </c>
      <c r="Z135" s="7" t="str">
        <f>IF(OR(AE135="",多次统计数据!$B$8=""),"",AE135-多次统计数据!$B$8)</f>
        <v/>
      </c>
      <c r="AA135" s="16" t="str">
        <f t="shared" si="25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26"/>
        <v/>
      </c>
    </row>
    <row r="136" ht="17" spans="1:31">
      <c r="A136" s="2"/>
      <c r="B136" s="2"/>
      <c r="C136" s="9"/>
      <c r="D136" s="6"/>
      <c r="E136" s="9"/>
      <c r="F136" s="8" t="str">
        <f t="shared" si="18"/>
        <v/>
      </c>
      <c r="G136" s="8" t="str">
        <f>IF(OR(A136="",F136="",E136="",N136="",E136&lt;=N136,账户数据!$B$7=""),"",IF(账户数据!$B$9+IF(H136="",F136*(E136-N136),0)&gt;=账户数据!$B$7,"禁止开仓","允许开仓"))</f>
        <v/>
      </c>
      <c r="H136" s="2"/>
      <c r="I136" s="10"/>
      <c r="J136" s="9"/>
      <c r="K136" s="9"/>
      <c r="L136" s="8" t="str">
        <f t="shared" si="19"/>
        <v/>
      </c>
      <c r="M136" s="10"/>
      <c r="N136" s="9"/>
      <c r="O136" s="9"/>
      <c r="P136" s="9"/>
      <c r="Q136" s="2"/>
      <c r="R136" s="2"/>
      <c r="S136" s="2"/>
      <c r="T136" s="2"/>
      <c r="U136" s="7" t="str">
        <f t="shared" si="20"/>
        <v/>
      </c>
      <c r="V136" s="7" t="str">
        <f t="shared" si="21"/>
        <v/>
      </c>
      <c r="W136" s="15" t="str">
        <f t="shared" si="22"/>
        <v/>
      </c>
      <c r="X136" s="5" t="str">
        <f t="shared" si="23"/>
        <v/>
      </c>
      <c r="Y136" s="7" t="str">
        <f t="shared" si="24"/>
        <v/>
      </c>
      <c r="Z136" s="7" t="str">
        <f>IF(OR(AE136="",多次统计数据!$B$8=""),"",AE136-多次统计数据!$B$8)</f>
        <v/>
      </c>
      <c r="AA136" s="16" t="str">
        <f t="shared" si="25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26"/>
        <v/>
      </c>
    </row>
    <row r="137" ht="17" spans="1:31">
      <c r="A137" s="2"/>
      <c r="B137" s="2"/>
      <c r="C137" s="9"/>
      <c r="D137" s="6"/>
      <c r="E137" s="9"/>
      <c r="F137" s="8" t="str">
        <f t="shared" si="18"/>
        <v/>
      </c>
      <c r="G137" s="8" t="str">
        <f>IF(OR(A137="",F137="",E137="",N137="",E137&lt;=N137,账户数据!$B$7=""),"",IF(账户数据!$B$9+IF(H137="",F137*(E137-N137),0)&gt;=账户数据!$B$7,"禁止开仓","允许开仓"))</f>
        <v/>
      </c>
      <c r="H137" s="2"/>
      <c r="I137" s="10"/>
      <c r="J137" s="9"/>
      <c r="K137" s="9"/>
      <c r="L137" s="8" t="str">
        <f t="shared" si="19"/>
        <v/>
      </c>
      <c r="M137" s="10"/>
      <c r="N137" s="9"/>
      <c r="O137" s="9"/>
      <c r="P137" s="9"/>
      <c r="Q137" s="2"/>
      <c r="R137" s="2"/>
      <c r="S137" s="2"/>
      <c r="T137" s="2"/>
      <c r="U137" s="7" t="str">
        <f t="shared" si="20"/>
        <v/>
      </c>
      <c r="V137" s="7" t="str">
        <f t="shared" si="21"/>
        <v/>
      </c>
      <c r="W137" s="15" t="str">
        <f t="shared" si="22"/>
        <v/>
      </c>
      <c r="X137" s="5" t="str">
        <f t="shared" si="23"/>
        <v/>
      </c>
      <c r="Y137" s="7" t="str">
        <f t="shared" si="24"/>
        <v/>
      </c>
      <c r="Z137" s="7" t="str">
        <f>IF(OR(AE137="",多次统计数据!$B$8=""),"",AE137-多次统计数据!$B$8)</f>
        <v/>
      </c>
      <c r="AA137" s="16" t="str">
        <f t="shared" si="25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26"/>
        <v/>
      </c>
    </row>
    <row r="138" ht="17" spans="1:31">
      <c r="A138" s="2"/>
      <c r="B138" s="2"/>
      <c r="C138" s="9"/>
      <c r="D138" s="6"/>
      <c r="E138" s="9"/>
      <c r="F138" s="8" t="str">
        <f t="shared" si="18"/>
        <v/>
      </c>
      <c r="G138" s="8" t="str">
        <f>IF(OR(A138="",F138="",E138="",N138="",E138&lt;=N138,账户数据!$B$7=""),"",IF(账户数据!$B$9+IF(H138="",F138*(E138-N138),0)&gt;=账户数据!$B$7,"禁止开仓","允许开仓"))</f>
        <v/>
      </c>
      <c r="H138" s="2"/>
      <c r="I138" s="10"/>
      <c r="J138" s="9"/>
      <c r="K138" s="9"/>
      <c r="L138" s="8" t="str">
        <f t="shared" si="19"/>
        <v/>
      </c>
      <c r="M138" s="10"/>
      <c r="N138" s="9"/>
      <c r="O138" s="9"/>
      <c r="P138" s="9"/>
      <c r="Q138" s="2"/>
      <c r="R138" s="2"/>
      <c r="S138" s="2"/>
      <c r="T138" s="2"/>
      <c r="U138" s="7" t="str">
        <f t="shared" si="20"/>
        <v/>
      </c>
      <c r="V138" s="7" t="str">
        <f t="shared" si="21"/>
        <v/>
      </c>
      <c r="W138" s="15" t="str">
        <f t="shared" si="22"/>
        <v/>
      </c>
      <c r="X138" s="5" t="str">
        <f t="shared" si="23"/>
        <v/>
      </c>
      <c r="Y138" s="7" t="str">
        <f t="shared" si="24"/>
        <v/>
      </c>
      <c r="Z138" s="7" t="str">
        <f>IF(OR(AE138="",多次统计数据!$B$8=""),"",AE138-多次统计数据!$B$8)</f>
        <v/>
      </c>
      <c r="AA138" s="16" t="str">
        <f t="shared" si="25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26"/>
        <v/>
      </c>
    </row>
    <row r="139" ht="17" spans="1:31">
      <c r="A139" s="2"/>
      <c r="B139" s="2"/>
      <c r="C139" s="9"/>
      <c r="D139" s="6"/>
      <c r="E139" s="9"/>
      <c r="F139" s="8" t="str">
        <f t="shared" si="18"/>
        <v/>
      </c>
      <c r="G139" s="8" t="str">
        <f>IF(OR(A139="",F139="",E139="",N139="",E139&lt;=N139,账户数据!$B$7=""),"",IF(账户数据!$B$9+IF(H139="",F139*(E139-N139),0)&gt;=账户数据!$B$7,"禁止开仓","允许开仓"))</f>
        <v/>
      </c>
      <c r="H139" s="2"/>
      <c r="I139" s="10"/>
      <c r="J139" s="9"/>
      <c r="K139" s="9"/>
      <c r="L139" s="8" t="str">
        <f t="shared" si="19"/>
        <v/>
      </c>
      <c r="M139" s="10"/>
      <c r="N139" s="9"/>
      <c r="O139" s="9"/>
      <c r="P139" s="9"/>
      <c r="Q139" s="2"/>
      <c r="R139" s="2"/>
      <c r="S139" s="2"/>
      <c r="T139" s="2"/>
      <c r="U139" s="7" t="str">
        <f t="shared" si="20"/>
        <v/>
      </c>
      <c r="V139" s="7" t="str">
        <f t="shared" si="21"/>
        <v/>
      </c>
      <c r="W139" s="15" t="str">
        <f t="shared" si="22"/>
        <v/>
      </c>
      <c r="X139" s="5" t="str">
        <f t="shared" si="23"/>
        <v/>
      </c>
      <c r="Y139" s="7" t="str">
        <f t="shared" si="24"/>
        <v/>
      </c>
      <c r="Z139" s="7" t="str">
        <f>IF(OR(AE139="",多次统计数据!$B$8=""),"",AE139-多次统计数据!$B$8)</f>
        <v/>
      </c>
      <c r="AA139" s="16" t="str">
        <f t="shared" si="25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26"/>
        <v/>
      </c>
    </row>
    <row r="140" ht="17" spans="1:31">
      <c r="A140" s="2"/>
      <c r="B140" s="2"/>
      <c r="C140" s="9"/>
      <c r="D140" s="6"/>
      <c r="E140" s="9"/>
      <c r="F140" s="8" t="str">
        <f t="shared" si="18"/>
        <v/>
      </c>
      <c r="G140" s="8" t="str">
        <f>IF(OR(A140="",F140="",E140="",N140="",E140&lt;=N140,账户数据!$B$7=""),"",IF(账户数据!$B$9+IF(H140="",F140*(E140-N140),0)&gt;=账户数据!$B$7,"禁止开仓","允许开仓"))</f>
        <v/>
      </c>
      <c r="H140" s="2"/>
      <c r="I140" s="10"/>
      <c r="J140" s="9"/>
      <c r="K140" s="9"/>
      <c r="L140" s="8" t="str">
        <f t="shared" si="19"/>
        <v/>
      </c>
      <c r="M140" s="10"/>
      <c r="N140" s="9"/>
      <c r="O140" s="9"/>
      <c r="P140" s="9"/>
      <c r="Q140" s="2"/>
      <c r="R140" s="2"/>
      <c r="S140" s="2"/>
      <c r="T140" s="2"/>
      <c r="U140" s="7" t="str">
        <f t="shared" si="20"/>
        <v/>
      </c>
      <c r="V140" s="7" t="str">
        <f t="shared" si="21"/>
        <v/>
      </c>
      <c r="W140" s="15" t="str">
        <f t="shared" si="22"/>
        <v/>
      </c>
      <c r="X140" s="5" t="str">
        <f t="shared" si="23"/>
        <v/>
      </c>
      <c r="Y140" s="7" t="str">
        <f t="shared" si="24"/>
        <v/>
      </c>
      <c r="Z140" s="7" t="str">
        <f>IF(OR(AE140="",多次统计数据!$B$8=""),"",AE140-多次统计数据!$B$8)</f>
        <v/>
      </c>
      <c r="AA140" s="16" t="str">
        <f t="shared" si="25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26"/>
        <v/>
      </c>
    </row>
    <row r="141" ht="17" spans="1:31">
      <c r="A141" s="2"/>
      <c r="B141" s="2"/>
      <c r="C141" s="9"/>
      <c r="D141" s="6"/>
      <c r="E141" s="9"/>
      <c r="F141" s="8" t="str">
        <f t="shared" si="18"/>
        <v/>
      </c>
      <c r="G141" s="8" t="str">
        <f>IF(OR(A141="",F141="",E141="",N141="",E141&lt;=N141,账户数据!$B$7=""),"",IF(账户数据!$B$9+IF(H141="",F141*(E141-N141),0)&gt;=账户数据!$B$7,"禁止开仓","允许开仓"))</f>
        <v/>
      </c>
      <c r="H141" s="2"/>
      <c r="I141" s="10"/>
      <c r="J141" s="9"/>
      <c r="K141" s="9"/>
      <c r="L141" s="8" t="str">
        <f t="shared" si="19"/>
        <v/>
      </c>
      <c r="M141" s="10"/>
      <c r="N141" s="9"/>
      <c r="O141" s="9"/>
      <c r="P141" s="9"/>
      <c r="Q141" s="2"/>
      <c r="R141" s="2"/>
      <c r="S141" s="2"/>
      <c r="T141" s="2"/>
      <c r="U141" s="7" t="str">
        <f t="shared" si="20"/>
        <v/>
      </c>
      <c r="V141" s="7" t="str">
        <f t="shared" si="21"/>
        <v/>
      </c>
      <c r="W141" s="15" t="str">
        <f t="shared" si="22"/>
        <v/>
      </c>
      <c r="X141" s="5" t="str">
        <f t="shared" si="23"/>
        <v/>
      </c>
      <c r="Y141" s="7" t="str">
        <f t="shared" si="24"/>
        <v/>
      </c>
      <c r="Z141" s="7" t="str">
        <f>IF(OR(AE141="",多次统计数据!$B$8=""),"",AE141-多次统计数据!$B$8)</f>
        <v/>
      </c>
      <c r="AA141" s="16" t="str">
        <f t="shared" si="25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26"/>
        <v/>
      </c>
    </row>
    <row r="142" ht="17" spans="1:31">
      <c r="A142" s="2"/>
      <c r="B142" s="2"/>
      <c r="C142" s="9"/>
      <c r="D142" s="6"/>
      <c r="E142" s="9"/>
      <c r="F142" s="8" t="str">
        <f t="shared" si="18"/>
        <v/>
      </c>
      <c r="G142" s="8" t="str">
        <f>IF(OR(A142="",F142="",E142="",N142="",E142&lt;=N142,账户数据!$B$7=""),"",IF(账户数据!$B$9+IF(H142="",F142*(E142-N142),0)&gt;=账户数据!$B$7,"禁止开仓","允许开仓"))</f>
        <v/>
      </c>
      <c r="H142" s="2"/>
      <c r="I142" s="10"/>
      <c r="J142" s="9"/>
      <c r="K142" s="9"/>
      <c r="L142" s="8" t="str">
        <f t="shared" si="19"/>
        <v/>
      </c>
      <c r="M142" s="10"/>
      <c r="N142" s="9"/>
      <c r="O142" s="9"/>
      <c r="P142" s="9"/>
      <c r="Q142" s="2"/>
      <c r="R142" s="2"/>
      <c r="S142" s="2"/>
      <c r="T142" s="2"/>
      <c r="U142" s="7" t="str">
        <f t="shared" si="20"/>
        <v/>
      </c>
      <c r="V142" s="7" t="str">
        <f t="shared" si="21"/>
        <v/>
      </c>
      <c r="W142" s="15" t="str">
        <f t="shared" si="22"/>
        <v/>
      </c>
      <c r="X142" s="5" t="str">
        <f t="shared" si="23"/>
        <v/>
      </c>
      <c r="Y142" s="7" t="str">
        <f t="shared" si="24"/>
        <v/>
      </c>
      <c r="Z142" s="7" t="str">
        <f>IF(OR(AE142="",多次统计数据!$B$8=""),"",AE142-多次统计数据!$B$8)</f>
        <v/>
      </c>
      <c r="AA142" s="16" t="str">
        <f t="shared" si="25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26"/>
        <v/>
      </c>
    </row>
    <row r="143" ht="17" spans="1:31">
      <c r="A143" s="2"/>
      <c r="B143" s="2"/>
      <c r="C143" s="9"/>
      <c r="D143" s="6"/>
      <c r="E143" s="9"/>
      <c r="F143" s="8" t="str">
        <f t="shared" si="18"/>
        <v/>
      </c>
      <c r="G143" s="8" t="str">
        <f>IF(OR(A143="",F143="",E143="",N143="",E143&lt;=N143,账户数据!$B$7=""),"",IF(账户数据!$B$9+IF(H143="",F143*(E143-N143),0)&gt;=账户数据!$B$7,"禁止开仓","允许开仓"))</f>
        <v/>
      </c>
      <c r="H143" s="2"/>
      <c r="I143" s="10"/>
      <c r="J143" s="9"/>
      <c r="K143" s="9"/>
      <c r="L143" s="8" t="str">
        <f t="shared" si="19"/>
        <v/>
      </c>
      <c r="M143" s="10"/>
      <c r="N143" s="9"/>
      <c r="O143" s="9"/>
      <c r="P143" s="9"/>
      <c r="Q143" s="2"/>
      <c r="R143" s="2"/>
      <c r="S143" s="2"/>
      <c r="T143" s="2"/>
      <c r="U143" s="7" t="str">
        <f t="shared" si="20"/>
        <v/>
      </c>
      <c r="V143" s="7" t="str">
        <f t="shared" si="21"/>
        <v/>
      </c>
      <c r="W143" s="15" t="str">
        <f t="shared" si="22"/>
        <v/>
      </c>
      <c r="X143" s="5" t="str">
        <f t="shared" si="23"/>
        <v/>
      </c>
      <c r="Y143" s="7" t="str">
        <f t="shared" si="24"/>
        <v/>
      </c>
      <c r="Z143" s="7" t="str">
        <f>IF(OR(AE143="",多次统计数据!$B$8=""),"",AE143-多次统计数据!$B$8)</f>
        <v/>
      </c>
      <c r="AA143" s="16" t="str">
        <f t="shared" si="25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26"/>
        <v/>
      </c>
    </row>
    <row r="144" ht="17" spans="1:31">
      <c r="A144" s="2"/>
      <c r="B144" s="2"/>
      <c r="C144" s="9"/>
      <c r="D144" s="6"/>
      <c r="E144" s="9"/>
      <c r="F144" s="8" t="str">
        <f t="shared" si="18"/>
        <v/>
      </c>
      <c r="G144" s="8" t="str">
        <f>IF(OR(A144="",F144="",E144="",N144="",E144&lt;=N144,账户数据!$B$7=""),"",IF(账户数据!$B$9+IF(H144="",F144*(E144-N144),0)&gt;=账户数据!$B$7,"禁止开仓","允许开仓"))</f>
        <v/>
      </c>
      <c r="H144" s="2"/>
      <c r="I144" s="10"/>
      <c r="J144" s="9"/>
      <c r="K144" s="9"/>
      <c r="L144" s="8" t="str">
        <f t="shared" si="19"/>
        <v/>
      </c>
      <c r="M144" s="10"/>
      <c r="N144" s="9"/>
      <c r="O144" s="9"/>
      <c r="P144" s="9"/>
      <c r="Q144" s="2"/>
      <c r="R144" s="2"/>
      <c r="S144" s="2"/>
      <c r="T144" s="2"/>
      <c r="U144" s="7" t="str">
        <f t="shared" si="20"/>
        <v/>
      </c>
      <c r="V144" s="7" t="str">
        <f t="shared" si="21"/>
        <v/>
      </c>
      <c r="W144" s="15" t="str">
        <f t="shared" si="22"/>
        <v/>
      </c>
      <c r="X144" s="5" t="str">
        <f t="shared" si="23"/>
        <v/>
      </c>
      <c r="Y144" s="7" t="str">
        <f t="shared" si="24"/>
        <v/>
      </c>
      <c r="Z144" s="7" t="str">
        <f>IF(OR(AE144="",多次统计数据!$B$8=""),"",AE144-多次统计数据!$B$8)</f>
        <v/>
      </c>
      <c r="AA144" s="16" t="str">
        <f t="shared" si="25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26"/>
        <v/>
      </c>
    </row>
    <row r="145" ht="17" spans="1:31">
      <c r="A145" s="2"/>
      <c r="B145" s="2"/>
      <c r="C145" s="9"/>
      <c r="D145" s="6"/>
      <c r="E145" s="9"/>
      <c r="F145" s="8" t="str">
        <f t="shared" si="18"/>
        <v/>
      </c>
      <c r="G145" s="8" t="str">
        <f>IF(OR(A145="",F145="",E145="",N145="",E145&lt;=N145,账户数据!$B$7=""),"",IF(账户数据!$B$9+IF(H145="",F145*(E145-N145),0)&gt;=账户数据!$B$7,"禁止开仓","允许开仓"))</f>
        <v/>
      </c>
      <c r="H145" s="2"/>
      <c r="I145" s="10"/>
      <c r="J145" s="9"/>
      <c r="K145" s="9"/>
      <c r="L145" s="8" t="str">
        <f t="shared" si="19"/>
        <v/>
      </c>
      <c r="M145" s="10"/>
      <c r="N145" s="9"/>
      <c r="O145" s="9"/>
      <c r="P145" s="9"/>
      <c r="Q145" s="2"/>
      <c r="R145" s="2"/>
      <c r="S145" s="2"/>
      <c r="T145" s="2"/>
      <c r="U145" s="7" t="str">
        <f t="shared" si="20"/>
        <v/>
      </c>
      <c r="V145" s="7" t="str">
        <f t="shared" si="21"/>
        <v/>
      </c>
      <c r="W145" s="15" t="str">
        <f t="shared" si="22"/>
        <v/>
      </c>
      <c r="X145" s="5" t="str">
        <f t="shared" si="23"/>
        <v/>
      </c>
      <c r="Y145" s="7" t="str">
        <f t="shared" si="24"/>
        <v/>
      </c>
      <c r="Z145" s="7" t="str">
        <f>IF(OR(AE145="",多次统计数据!$B$8=""),"",AE145-多次统计数据!$B$8)</f>
        <v/>
      </c>
      <c r="AA145" s="16" t="str">
        <f t="shared" si="25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26"/>
        <v/>
      </c>
    </row>
    <row r="146" ht="17" spans="1:31">
      <c r="A146" s="2"/>
      <c r="B146" s="2"/>
      <c r="C146" s="9"/>
      <c r="D146" s="6"/>
      <c r="E146" s="9"/>
      <c r="F146" s="8" t="str">
        <f t="shared" si="18"/>
        <v/>
      </c>
      <c r="G146" s="8" t="str">
        <f>IF(OR(A146="",F146="",E146="",N146="",E146&lt;=N146,账户数据!$B$7=""),"",IF(账户数据!$B$9+IF(H146="",F146*(E146-N146),0)&gt;=账户数据!$B$7,"禁止开仓","允许开仓"))</f>
        <v/>
      </c>
      <c r="H146" s="2"/>
      <c r="I146" s="10"/>
      <c r="J146" s="9"/>
      <c r="K146" s="9"/>
      <c r="L146" s="8" t="str">
        <f t="shared" si="19"/>
        <v/>
      </c>
      <c r="M146" s="10"/>
      <c r="N146" s="9"/>
      <c r="O146" s="9"/>
      <c r="P146" s="9"/>
      <c r="Q146" s="2"/>
      <c r="R146" s="2"/>
      <c r="S146" s="2"/>
      <c r="T146" s="2"/>
      <c r="U146" s="7" t="str">
        <f t="shared" si="20"/>
        <v/>
      </c>
      <c r="V146" s="7" t="str">
        <f t="shared" si="21"/>
        <v/>
      </c>
      <c r="W146" s="15" t="str">
        <f t="shared" si="22"/>
        <v/>
      </c>
      <c r="X146" s="5" t="str">
        <f t="shared" si="23"/>
        <v/>
      </c>
      <c r="Y146" s="7" t="str">
        <f t="shared" si="24"/>
        <v/>
      </c>
      <c r="Z146" s="7" t="str">
        <f>IF(OR(AE146="",多次统计数据!$B$8=""),"",AE146-多次统计数据!$B$8)</f>
        <v/>
      </c>
      <c r="AA146" s="16" t="str">
        <f t="shared" si="25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26"/>
        <v/>
      </c>
    </row>
    <row r="147" ht="17" spans="1:31">
      <c r="A147" s="2"/>
      <c r="B147" s="2"/>
      <c r="C147" s="9"/>
      <c r="D147" s="6"/>
      <c r="E147" s="9"/>
      <c r="F147" s="8" t="str">
        <f t="shared" si="18"/>
        <v/>
      </c>
      <c r="G147" s="8" t="str">
        <f>IF(OR(A147="",F147="",E147="",N147="",E147&lt;=N147,账户数据!$B$7=""),"",IF(账户数据!$B$9+IF(H147="",F147*(E147-N147),0)&gt;=账户数据!$B$7,"禁止开仓","允许开仓"))</f>
        <v/>
      </c>
      <c r="H147" s="2"/>
      <c r="I147" s="10"/>
      <c r="J147" s="9"/>
      <c r="K147" s="9"/>
      <c r="L147" s="8" t="str">
        <f t="shared" si="19"/>
        <v/>
      </c>
      <c r="M147" s="10"/>
      <c r="N147" s="9"/>
      <c r="O147" s="9"/>
      <c r="P147" s="9"/>
      <c r="Q147" s="2"/>
      <c r="R147" s="2"/>
      <c r="S147" s="2"/>
      <c r="T147" s="2"/>
      <c r="U147" s="7" t="str">
        <f t="shared" si="20"/>
        <v/>
      </c>
      <c r="V147" s="7" t="str">
        <f t="shared" si="21"/>
        <v/>
      </c>
      <c r="W147" s="15" t="str">
        <f t="shared" si="22"/>
        <v/>
      </c>
      <c r="X147" s="5" t="str">
        <f t="shared" si="23"/>
        <v/>
      </c>
      <c r="Y147" s="7" t="str">
        <f t="shared" si="24"/>
        <v/>
      </c>
      <c r="Z147" s="7" t="str">
        <f>IF(OR(AE147="",多次统计数据!$B$8=""),"",AE147-多次统计数据!$B$8)</f>
        <v/>
      </c>
      <c r="AA147" s="16" t="str">
        <f t="shared" si="25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26"/>
        <v/>
      </c>
    </row>
    <row r="148" ht="17" spans="1:31">
      <c r="A148" s="2"/>
      <c r="B148" s="2"/>
      <c r="C148" s="9"/>
      <c r="D148" s="6"/>
      <c r="E148" s="9"/>
      <c r="F148" s="8" t="str">
        <f t="shared" si="18"/>
        <v/>
      </c>
      <c r="G148" s="8" t="str">
        <f>IF(OR(A148="",F148="",E148="",N148="",E148&lt;=N148,账户数据!$B$7=""),"",IF(账户数据!$B$9+IF(H148="",F148*(E148-N148),0)&gt;=账户数据!$B$7,"禁止开仓","允许开仓"))</f>
        <v/>
      </c>
      <c r="H148" s="2"/>
      <c r="I148" s="10"/>
      <c r="J148" s="9"/>
      <c r="K148" s="9"/>
      <c r="L148" s="8" t="str">
        <f t="shared" si="19"/>
        <v/>
      </c>
      <c r="M148" s="10"/>
      <c r="N148" s="9"/>
      <c r="O148" s="9"/>
      <c r="P148" s="9"/>
      <c r="Q148" s="2"/>
      <c r="R148" s="2"/>
      <c r="S148" s="2"/>
      <c r="T148" s="2"/>
      <c r="U148" s="7" t="str">
        <f t="shared" si="20"/>
        <v/>
      </c>
      <c r="V148" s="7" t="str">
        <f t="shared" si="21"/>
        <v/>
      </c>
      <c r="W148" s="15" t="str">
        <f t="shared" si="22"/>
        <v/>
      </c>
      <c r="X148" s="5" t="str">
        <f t="shared" si="23"/>
        <v/>
      </c>
      <c r="Y148" s="7" t="str">
        <f t="shared" si="24"/>
        <v/>
      </c>
      <c r="Z148" s="7" t="str">
        <f>IF(OR(AE148="",多次统计数据!$B$8=""),"",AE148-多次统计数据!$B$8)</f>
        <v/>
      </c>
      <c r="AA148" s="16" t="str">
        <f t="shared" si="25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26"/>
        <v/>
      </c>
    </row>
    <row r="149" ht="17" spans="1:31">
      <c r="A149" s="2"/>
      <c r="B149" s="2"/>
      <c r="C149" s="9"/>
      <c r="D149" s="6"/>
      <c r="E149" s="9"/>
      <c r="F149" s="8" t="str">
        <f t="shared" si="18"/>
        <v/>
      </c>
      <c r="G149" s="8" t="str">
        <f>IF(OR(A149="",F149="",E149="",N149="",E149&lt;=N149,账户数据!$B$7=""),"",IF(账户数据!$B$9+IF(H149="",F149*(E149-N149),0)&gt;=账户数据!$B$7,"禁止开仓","允许开仓"))</f>
        <v/>
      </c>
      <c r="H149" s="2"/>
      <c r="I149" s="10"/>
      <c r="J149" s="9"/>
      <c r="K149" s="9"/>
      <c r="L149" s="8" t="str">
        <f t="shared" si="19"/>
        <v/>
      </c>
      <c r="M149" s="10"/>
      <c r="N149" s="9"/>
      <c r="O149" s="9"/>
      <c r="P149" s="9"/>
      <c r="Q149" s="2"/>
      <c r="R149" s="2"/>
      <c r="S149" s="2"/>
      <c r="T149" s="2"/>
      <c r="U149" s="7" t="str">
        <f t="shared" si="20"/>
        <v/>
      </c>
      <c r="V149" s="7" t="str">
        <f t="shared" si="21"/>
        <v/>
      </c>
      <c r="W149" s="15" t="str">
        <f t="shared" si="22"/>
        <v/>
      </c>
      <c r="X149" s="5" t="str">
        <f t="shared" si="23"/>
        <v/>
      </c>
      <c r="Y149" s="7" t="str">
        <f t="shared" si="24"/>
        <v/>
      </c>
      <c r="Z149" s="7" t="str">
        <f>IF(OR(AE149="",多次统计数据!$B$8=""),"",AE149-多次统计数据!$B$8)</f>
        <v/>
      </c>
      <c r="AA149" s="16" t="str">
        <f t="shared" si="25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26"/>
        <v/>
      </c>
    </row>
    <row r="150" ht="17" spans="1:31">
      <c r="A150" s="2"/>
      <c r="B150" s="2"/>
      <c r="C150" s="9"/>
      <c r="D150" s="6"/>
      <c r="E150" s="9"/>
      <c r="F150" s="8" t="str">
        <f t="shared" si="18"/>
        <v/>
      </c>
      <c r="G150" s="8" t="str">
        <f>IF(OR(A150="",F150="",E150="",N150="",E150&lt;=N150,账户数据!$B$7=""),"",IF(账户数据!$B$9+IF(H150="",F150*(E150-N150),0)&gt;=账户数据!$B$7,"禁止开仓","允许开仓"))</f>
        <v/>
      </c>
      <c r="H150" s="2"/>
      <c r="I150" s="10"/>
      <c r="J150" s="9"/>
      <c r="K150" s="9"/>
      <c r="L150" s="8" t="str">
        <f t="shared" si="19"/>
        <v/>
      </c>
      <c r="M150" s="10"/>
      <c r="N150" s="9"/>
      <c r="O150" s="9"/>
      <c r="P150" s="9"/>
      <c r="Q150" s="2"/>
      <c r="R150" s="2"/>
      <c r="S150" s="2"/>
      <c r="T150" s="2"/>
      <c r="U150" s="7" t="str">
        <f t="shared" si="20"/>
        <v/>
      </c>
      <c r="V150" s="7" t="str">
        <f t="shared" si="21"/>
        <v/>
      </c>
      <c r="W150" s="15" t="str">
        <f t="shared" si="22"/>
        <v/>
      </c>
      <c r="X150" s="5" t="str">
        <f t="shared" si="23"/>
        <v/>
      </c>
      <c r="Y150" s="7" t="str">
        <f t="shared" si="24"/>
        <v/>
      </c>
      <c r="Z150" s="7" t="str">
        <f>IF(OR(AE150="",多次统计数据!$B$8=""),"",AE150-多次统计数据!$B$8)</f>
        <v/>
      </c>
      <c r="AA150" s="16" t="str">
        <f t="shared" si="25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26"/>
        <v/>
      </c>
    </row>
    <row r="151" ht="17" spans="1:31">
      <c r="A151" s="2"/>
      <c r="B151" s="2"/>
      <c r="C151" s="9"/>
      <c r="D151" s="6"/>
      <c r="E151" s="9"/>
      <c r="F151" s="8" t="str">
        <f t="shared" si="18"/>
        <v/>
      </c>
      <c r="G151" s="8" t="str">
        <f>IF(OR(A151="",F151="",E151="",N151="",E151&lt;=N151,账户数据!$B$7=""),"",IF(账户数据!$B$9+IF(H151="",F151*(E151-N151),0)&gt;=账户数据!$B$7,"禁止开仓","允许开仓"))</f>
        <v/>
      </c>
      <c r="H151" s="2"/>
      <c r="I151" s="10"/>
      <c r="J151" s="9"/>
      <c r="K151" s="9"/>
      <c r="L151" s="8" t="str">
        <f t="shared" si="19"/>
        <v/>
      </c>
      <c r="M151" s="10"/>
      <c r="N151" s="9"/>
      <c r="O151" s="9"/>
      <c r="P151" s="9"/>
      <c r="Q151" s="2"/>
      <c r="R151" s="2"/>
      <c r="S151" s="2"/>
      <c r="T151" s="2"/>
      <c r="U151" s="7" t="str">
        <f t="shared" si="20"/>
        <v/>
      </c>
      <c r="V151" s="7" t="str">
        <f t="shared" si="21"/>
        <v/>
      </c>
      <c r="W151" s="15" t="str">
        <f t="shared" si="22"/>
        <v/>
      </c>
      <c r="X151" s="5" t="str">
        <f t="shared" si="23"/>
        <v/>
      </c>
      <c r="Y151" s="7" t="str">
        <f t="shared" si="24"/>
        <v/>
      </c>
      <c r="Z151" s="7" t="str">
        <f>IF(OR(AE151="",多次统计数据!$B$8=""),"",AE151-多次统计数据!$B$8)</f>
        <v/>
      </c>
      <c r="AA151" s="16" t="str">
        <f t="shared" si="25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26"/>
        <v/>
      </c>
    </row>
    <row r="152" ht="17" spans="1:31">
      <c r="A152" s="2"/>
      <c r="B152" s="2"/>
      <c r="C152" s="9"/>
      <c r="D152" s="6"/>
      <c r="E152" s="9"/>
      <c r="F152" s="8" t="str">
        <f t="shared" si="18"/>
        <v/>
      </c>
      <c r="G152" s="8" t="str">
        <f>IF(OR(A152="",F152="",E152="",N152="",E152&lt;=N152,账户数据!$B$7=""),"",IF(账户数据!$B$9+IF(H152="",F152*(E152-N152),0)&gt;=账户数据!$B$7,"禁止开仓","允许开仓"))</f>
        <v/>
      </c>
      <c r="H152" s="2"/>
      <c r="I152" s="10"/>
      <c r="J152" s="9"/>
      <c r="K152" s="9"/>
      <c r="L152" s="8" t="str">
        <f t="shared" si="19"/>
        <v/>
      </c>
      <c r="M152" s="10"/>
      <c r="N152" s="9"/>
      <c r="O152" s="9"/>
      <c r="P152" s="9"/>
      <c r="Q152" s="2"/>
      <c r="R152" s="2"/>
      <c r="S152" s="2"/>
      <c r="T152" s="2"/>
      <c r="U152" s="7" t="str">
        <f t="shared" si="20"/>
        <v/>
      </c>
      <c r="V152" s="7" t="str">
        <f t="shared" si="21"/>
        <v/>
      </c>
      <c r="W152" s="15" t="str">
        <f t="shared" si="22"/>
        <v/>
      </c>
      <c r="X152" s="5" t="str">
        <f t="shared" si="23"/>
        <v/>
      </c>
      <c r="Y152" s="7" t="str">
        <f t="shared" si="24"/>
        <v/>
      </c>
      <c r="Z152" s="7" t="str">
        <f>IF(OR(AE152="",多次统计数据!$B$8=""),"",AE152-多次统计数据!$B$8)</f>
        <v/>
      </c>
      <c r="AA152" s="16" t="str">
        <f t="shared" si="25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26"/>
        <v/>
      </c>
    </row>
    <row r="153" ht="17" spans="1:31">
      <c r="A153" s="2"/>
      <c r="B153" s="2"/>
      <c r="C153" s="9"/>
      <c r="D153" s="6"/>
      <c r="E153" s="9"/>
      <c r="F153" s="8" t="str">
        <f t="shared" si="18"/>
        <v/>
      </c>
      <c r="G153" s="8" t="str">
        <f>IF(OR(A153="",F153="",E153="",N153="",E153&lt;=N153,账户数据!$B$7=""),"",IF(账户数据!$B$9+IF(H153="",F153*(E153-N153),0)&gt;=账户数据!$B$7,"禁止开仓","允许开仓"))</f>
        <v/>
      </c>
      <c r="H153" s="2"/>
      <c r="I153" s="10"/>
      <c r="J153" s="9"/>
      <c r="K153" s="9"/>
      <c r="L153" s="8" t="str">
        <f t="shared" si="19"/>
        <v/>
      </c>
      <c r="M153" s="10"/>
      <c r="N153" s="9"/>
      <c r="O153" s="9"/>
      <c r="P153" s="9"/>
      <c r="Q153" s="2"/>
      <c r="R153" s="2"/>
      <c r="S153" s="2"/>
      <c r="T153" s="2"/>
      <c r="U153" s="7" t="str">
        <f t="shared" si="20"/>
        <v/>
      </c>
      <c r="V153" s="7" t="str">
        <f t="shared" si="21"/>
        <v/>
      </c>
      <c r="W153" s="15" t="str">
        <f t="shared" si="22"/>
        <v/>
      </c>
      <c r="X153" s="5" t="str">
        <f t="shared" si="23"/>
        <v/>
      </c>
      <c r="Y153" s="7" t="str">
        <f t="shared" si="24"/>
        <v/>
      </c>
      <c r="Z153" s="7" t="str">
        <f>IF(OR(AE153="",多次统计数据!$B$8=""),"",AE153-多次统计数据!$B$8)</f>
        <v/>
      </c>
      <c r="AA153" s="16" t="str">
        <f t="shared" si="25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26"/>
        <v/>
      </c>
    </row>
    <row r="154" ht="17" spans="1:31">
      <c r="A154" s="2"/>
      <c r="B154" s="2"/>
      <c r="C154" s="9"/>
      <c r="D154" s="6"/>
      <c r="E154" s="9"/>
      <c r="F154" s="8" t="str">
        <f t="shared" si="18"/>
        <v/>
      </c>
      <c r="G154" s="8" t="str">
        <f>IF(OR(A154="",F154="",E154="",N154="",E154&lt;=N154,账户数据!$B$7=""),"",IF(账户数据!$B$9+IF(H154="",F154*(E154-N154),0)&gt;=账户数据!$B$7,"禁止开仓","允许开仓"))</f>
        <v/>
      </c>
      <c r="H154" s="2"/>
      <c r="I154" s="10"/>
      <c r="J154" s="9"/>
      <c r="K154" s="9"/>
      <c r="L154" s="8" t="str">
        <f t="shared" si="19"/>
        <v/>
      </c>
      <c r="M154" s="10"/>
      <c r="N154" s="9"/>
      <c r="O154" s="9"/>
      <c r="P154" s="9"/>
      <c r="Q154" s="2"/>
      <c r="R154" s="2"/>
      <c r="S154" s="2"/>
      <c r="T154" s="2"/>
      <c r="U154" s="7" t="str">
        <f t="shared" si="20"/>
        <v/>
      </c>
      <c r="V154" s="7" t="str">
        <f t="shared" si="21"/>
        <v/>
      </c>
      <c r="W154" s="15" t="str">
        <f t="shared" si="22"/>
        <v/>
      </c>
      <c r="X154" s="5" t="str">
        <f t="shared" si="23"/>
        <v/>
      </c>
      <c r="Y154" s="7" t="str">
        <f t="shared" si="24"/>
        <v/>
      </c>
      <c r="Z154" s="7" t="str">
        <f>IF(OR(AE154="",多次统计数据!$B$8=""),"",AE154-多次统计数据!$B$8)</f>
        <v/>
      </c>
      <c r="AA154" s="16" t="str">
        <f t="shared" si="25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26"/>
        <v/>
      </c>
    </row>
    <row r="155" ht="17" spans="1:31">
      <c r="A155" s="2"/>
      <c r="B155" s="2"/>
      <c r="C155" s="9"/>
      <c r="D155" s="6"/>
      <c r="E155" s="9"/>
      <c r="F155" s="8" t="str">
        <f t="shared" si="18"/>
        <v/>
      </c>
      <c r="G155" s="8" t="str">
        <f>IF(OR(A155="",F155="",E155="",N155="",E155&lt;=N155,账户数据!$B$7=""),"",IF(账户数据!$B$9+IF(H155="",F155*(E155-N155),0)&gt;=账户数据!$B$7,"禁止开仓","允许开仓"))</f>
        <v/>
      </c>
      <c r="H155" s="2"/>
      <c r="I155" s="10"/>
      <c r="J155" s="9"/>
      <c r="K155" s="9"/>
      <c r="L155" s="8" t="str">
        <f t="shared" si="19"/>
        <v/>
      </c>
      <c r="M155" s="10"/>
      <c r="N155" s="9"/>
      <c r="O155" s="9"/>
      <c r="P155" s="9"/>
      <c r="Q155" s="2"/>
      <c r="R155" s="2"/>
      <c r="S155" s="2"/>
      <c r="T155" s="2"/>
      <c r="U155" s="7" t="str">
        <f t="shared" si="20"/>
        <v/>
      </c>
      <c r="V155" s="7" t="str">
        <f t="shared" si="21"/>
        <v/>
      </c>
      <c r="W155" s="15" t="str">
        <f t="shared" si="22"/>
        <v/>
      </c>
      <c r="X155" s="5" t="str">
        <f t="shared" si="23"/>
        <v/>
      </c>
      <c r="Y155" s="7" t="str">
        <f t="shared" si="24"/>
        <v/>
      </c>
      <c r="Z155" s="7" t="str">
        <f>IF(OR(AE155="",多次统计数据!$B$8=""),"",AE155-多次统计数据!$B$8)</f>
        <v/>
      </c>
      <c r="AA155" s="16" t="str">
        <f t="shared" si="25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26"/>
        <v/>
      </c>
    </row>
    <row r="156" ht="17" spans="1:31">
      <c r="A156" s="2"/>
      <c r="B156" s="2"/>
      <c r="C156" s="9"/>
      <c r="D156" s="6"/>
      <c r="E156" s="9"/>
      <c r="F156" s="8" t="str">
        <f t="shared" si="18"/>
        <v/>
      </c>
      <c r="G156" s="8" t="str">
        <f>IF(OR(A156="",F156="",E156="",N156="",E156&lt;=N156,账户数据!$B$7=""),"",IF(账户数据!$B$9+IF(H156="",F156*(E156-N156),0)&gt;=账户数据!$B$7,"禁止开仓","允许开仓"))</f>
        <v/>
      </c>
      <c r="H156" s="2"/>
      <c r="I156" s="10"/>
      <c r="J156" s="9"/>
      <c r="K156" s="9"/>
      <c r="L156" s="8" t="str">
        <f t="shared" si="19"/>
        <v/>
      </c>
      <c r="M156" s="10"/>
      <c r="N156" s="9"/>
      <c r="O156" s="9"/>
      <c r="P156" s="9"/>
      <c r="Q156" s="2"/>
      <c r="R156" s="2"/>
      <c r="S156" s="2"/>
      <c r="T156" s="2"/>
      <c r="U156" s="7" t="str">
        <f t="shared" si="20"/>
        <v/>
      </c>
      <c r="V156" s="7" t="str">
        <f t="shared" si="21"/>
        <v/>
      </c>
      <c r="W156" s="15" t="str">
        <f t="shared" si="22"/>
        <v/>
      </c>
      <c r="X156" s="5" t="str">
        <f t="shared" si="23"/>
        <v/>
      </c>
      <c r="Y156" s="7" t="str">
        <f t="shared" si="24"/>
        <v/>
      </c>
      <c r="Z156" s="7" t="str">
        <f>IF(OR(AE156="",多次统计数据!$B$8=""),"",AE156-多次统计数据!$B$8)</f>
        <v/>
      </c>
      <c r="AA156" s="16" t="str">
        <f t="shared" si="25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26"/>
        <v/>
      </c>
    </row>
    <row r="157" ht="17" spans="1:31">
      <c r="A157" s="2"/>
      <c r="B157" s="2"/>
      <c r="C157" s="9"/>
      <c r="D157" s="6"/>
      <c r="E157" s="9"/>
      <c r="F157" s="8" t="str">
        <f t="shared" si="18"/>
        <v/>
      </c>
      <c r="G157" s="8" t="str">
        <f>IF(OR(A157="",F157="",E157="",N157="",E157&lt;=N157,账户数据!$B$7=""),"",IF(账户数据!$B$9+IF(H157="",F157*(E157-N157),0)&gt;=账户数据!$B$7,"禁止开仓","允许开仓"))</f>
        <v/>
      </c>
      <c r="H157" s="2"/>
      <c r="I157" s="10"/>
      <c r="J157" s="9"/>
      <c r="K157" s="9"/>
      <c r="L157" s="8" t="str">
        <f t="shared" si="19"/>
        <v/>
      </c>
      <c r="M157" s="10"/>
      <c r="N157" s="9"/>
      <c r="O157" s="9"/>
      <c r="P157" s="9"/>
      <c r="Q157" s="2"/>
      <c r="R157" s="2"/>
      <c r="S157" s="2"/>
      <c r="T157" s="2"/>
      <c r="U157" s="7" t="str">
        <f t="shared" si="20"/>
        <v/>
      </c>
      <c r="V157" s="7" t="str">
        <f t="shared" si="21"/>
        <v/>
      </c>
      <c r="W157" s="15" t="str">
        <f t="shared" si="22"/>
        <v/>
      </c>
      <c r="X157" s="5" t="str">
        <f t="shared" si="23"/>
        <v/>
      </c>
      <c r="Y157" s="7" t="str">
        <f t="shared" si="24"/>
        <v/>
      </c>
      <c r="Z157" s="7" t="str">
        <f>IF(OR(AE157="",多次统计数据!$B$8=""),"",AE157-多次统计数据!$B$8)</f>
        <v/>
      </c>
      <c r="AA157" s="16" t="str">
        <f t="shared" si="25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26"/>
        <v/>
      </c>
    </row>
    <row r="158" ht="17" spans="1:31">
      <c r="A158" s="2"/>
      <c r="B158" s="2"/>
      <c r="C158" s="9"/>
      <c r="D158" s="6"/>
      <c r="E158" s="9"/>
      <c r="F158" s="8" t="str">
        <f t="shared" si="18"/>
        <v/>
      </c>
      <c r="G158" s="8" t="str">
        <f>IF(OR(A158="",F158="",E158="",N158="",E158&lt;=N158,账户数据!$B$7=""),"",IF(账户数据!$B$9+IF(H158="",F158*(E158-N158),0)&gt;=账户数据!$B$7,"禁止开仓","允许开仓"))</f>
        <v/>
      </c>
      <c r="H158" s="2"/>
      <c r="I158" s="10"/>
      <c r="J158" s="9"/>
      <c r="K158" s="9"/>
      <c r="L158" s="8" t="str">
        <f t="shared" si="19"/>
        <v/>
      </c>
      <c r="M158" s="10"/>
      <c r="N158" s="9"/>
      <c r="O158" s="9"/>
      <c r="P158" s="9"/>
      <c r="Q158" s="2"/>
      <c r="R158" s="2"/>
      <c r="S158" s="2"/>
      <c r="T158" s="2"/>
      <c r="U158" s="7" t="str">
        <f t="shared" si="20"/>
        <v/>
      </c>
      <c r="V158" s="7" t="str">
        <f t="shared" si="21"/>
        <v/>
      </c>
      <c r="W158" s="15" t="str">
        <f t="shared" si="22"/>
        <v/>
      </c>
      <c r="X158" s="5" t="str">
        <f t="shared" si="23"/>
        <v/>
      </c>
      <c r="Y158" s="7" t="str">
        <f t="shared" si="24"/>
        <v/>
      </c>
      <c r="Z158" s="7" t="str">
        <f>IF(OR(AE158="",多次统计数据!$B$8=""),"",AE158-多次统计数据!$B$8)</f>
        <v/>
      </c>
      <c r="AA158" s="16" t="str">
        <f t="shared" si="25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26"/>
        <v/>
      </c>
    </row>
    <row r="159" ht="17" spans="1:31">
      <c r="A159" s="2"/>
      <c r="B159" s="2"/>
      <c r="C159" s="9"/>
      <c r="D159" s="6"/>
      <c r="E159" s="9"/>
      <c r="F159" s="8" t="str">
        <f t="shared" si="18"/>
        <v/>
      </c>
      <c r="G159" s="8" t="str">
        <f>IF(OR(A159="",F159="",E159="",N159="",E159&lt;=N159,账户数据!$B$7=""),"",IF(账户数据!$B$9+IF(H159="",F159*(E159-N159),0)&gt;=账户数据!$B$7,"禁止开仓","允许开仓"))</f>
        <v/>
      </c>
      <c r="H159" s="2"/>
      <c r="I159" s="10"/>
      <c r="J159" s="9"/>
      <c r="K159" s="9"/>
      <c r="L159" s="8" t="str">
        <f t="shared" si="19"/>
        <v/>
      </c>
      <c r="M159" s="10"/>
      <c r="N159" s="9"/>
      <c r="O159" s="9"/>
      <c r="P159" s="9"/>
      <c r="Q159" s="2"/>
      <c r="R159" s="2"/>
      <c r="S159" s="2"/>
      <c r="T159" s="2"/>
      <c r="U159" s="7" t="str">
        <f t="shared" si="20"/>
        <v/>
      </c>
      <c r="V159" s="7" t="str">
        <f t="shared" si="21"/>
        <v/>
      </c>
      <c r="W159" s="15" t="str">
        <f t="shared" si="22"/>
        <v/>
      </c>
      <c r="X159" s="5" t="str">
        <f t="shared" si="23"/>
        <v/>
      </c>
      <c r="Y159" s="7" t="str">
        <f t="shared" si="24"/>
        <v/>
      </c>
      <c r="Z159" s="7" t="str">
        <f>IF(OR(AE159="",多次统计数据!$B$8=""),"",AE159-多次统计数据!$B$8)</f>
        <v/>
      </c>
      <c r="AA159" s="16" t="str">
        <f t="shared" si="25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26"/>
        <v/>
      </c>
    </row>
    <row r="160" ht="17" spans="1:31">
      <c r="A160" s="2"/>
      <c r="B160" s="2"/>
      <c r="C160" s="9"/>
      <c r="D160" s="6"/>
      <c r="E160" s="9"/>
      <c r="F160" s="8" t="str">
        <f t="shared" si="18"/>
        <v/>
      </c>
      <c r="G160" s="8" t="str">
        <f>IF(OR(A160="",F160="",E160="",N160="",E160&lt;=N160,账户数据!$B$7=""),"",IF(账户数据!$B$9+IF(H160="",F160*(E160-N160),0)&gt;=账户数据!$B$7,"禁止开仓","允许开仓"))</f>
        <v/>
      </c>
      <c r="H160" s="2"/>
      <c r="I160" s="10"/>
      <c r="J160" s="9"/>
      <c r="K160" s="9"/>
      <c r="L160" s="8" t="str">
        <f t="shared" si="19"/>
        <v/>
      </c>
      <c r="M160" s="10"/>
      <c r="N160" s="9"/>
      <c r="O160" s="9"/>
      <c r="P160" s="9"/>
      <c r="Q160" s="2"/>
      <c r="R160" s="2"/>
      <c r="S160" s="2"/>
      <c r="T160" s="2"/>
      <c r="U160" s="7" t="str">
        <f t="shared" si="20"/>
        <v/>
      </c>
      <c r="V160" s="7" t="str">
        <f t="shared" si="21"/>
        <v/>
      </c>
      <c r="W160" s="15" t="str">
        <f t="shared" si="22"/>
        <v/>
      </c>
      <c r="X160" s="5" t="str">
        <f t="shared" si="23"/>
        <v/>
      </c>
      <c r="Y160" s="7" t="str">
        <f t="shared" si="24"/>
        <v/>
      </c>
      <c r="Z160" s="7" t="str">
        <f>IF(OR(AE160="",多次统计数据!$B$8=""),"",AE160-多次统计数据!$B$8)</f>
        <v/>
      </c>
      <c r="AA160" s="16" t="str">
        <f t="shared" si="25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26"/>
        <v/>
      </c>
    </row>
    <row r="161" ht="17" spans="1:31">
      <c r="A161" s="2"/>
      <c r="B161" s="2"/>
      <c r="C161" s="9"/>
      <c r="D161" s="6"/>
      <c r="E161" s="9"/>
      <c r="F161" s="8" t="str">
        <f t="shared" si="18"/>
        <v/>
      </c>
      <c r="G161" s="8" t="str">
        <f>IF(OR(A161="",F161="",E161="",N161="",E161&lt;=N161,账户数据!$B$7=""),"",IF(账户数据!$B$9+IF(H161="",F161*(E161-N161),0)&gt;=账户数据!$B$7,"禁止开仓","允许开仓"))</f>
        <v/>
      </c>
      <c r="H161" s="2"/>
      <c r="I161" s="10"/>
      <c r="J161" s="9"/>
      <c r="K161" s="9"/>
      <c r="L161" s="8" t="str">
        <f t="shared" si="19"/>
        <v/>
      </c>
      <c r="M161" s="10"/>
      <c r="N161" s="9"/>
      <c r="O161" s="9"/>
      <c r="P161" s="9"/>
      <c r="Q161" s="2"/>
      <c r="R161" s="2"/>
      <c r="S161" s="2"/>
      <c r="T161" s="2"/>
      <c r="U161" s="7" t="str">
        <f t="shared" si="20"/>
        <v/>
      </c>
      <c r="V161" s="7" t="str">
        <f t="shared" si="21"/>
        <v/>
      </c>
      <c r="W161" s="15" t="str">
        <f t="shared" si="22"/>
        <v/>
      </c>
      <c r="X161" s="5" t="str">
        <f t="shared" si="23"/>
        <v/>
      </c>
      <c r="Y161" s="7" t="str">
        <f t="shared" si="24"/>
        <v/>
      </c>
      <c r="Z161" s="7" t="str">
        <f>IF(OR(AE161="",多次统计数据!$B$8=""),"",AE161-多次统计数据!$B$8)</f>
        <v/>
      </c>
      <c r="AA161" s="16" t="str">
        <f t="shared" si="25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26"/>
        <v/>
      </c>
    </row>
    <row r="162" ht="17" spans="1:31">
      <c r="A162" s="2"/>
      <c r="B162" s="2"/>
      <c r="C162" s="9"/>
      <c r="D162" s="6"/>
      <c r="E162" s="9"/>
      <c r="F162" s="8" t="str">
        <f t="shared" si="18"/>
        <v/>
      </c>
      <c r="G162" s="8" t="str">
        <f>IF(OR(A162="",F162="",E162="",N162="",E162&lt;=N162,账户数据!$B$7=""),"",IF(账户数据!$B$9+IF(H162="",F162*(E162-N162),0)&gt;=账户数据!$B$7,"禁止开仓","允许开仓"))</f>
        <v/>
      </c>
      <c r="H162" s="2"/>
      <c r="I162" s="10"/>
      <c r="J162" s="9"/>
      <c r="K162" s="9"/>
      <c r="L162" s="8" t="str">
        <f t="shared" si="19"/>
        <v/>
      </c>
      <c r="M162" s="10"/>
      <c r="N162" s="9"/>
      <c r="O162" s="9"/>
      <c r="P162" s="9"/>
      <c r="Q162" s="2"/>
      <c r="R162" s="2"/>
      <c r="S162" s="2"/>
      <c r="T162" s="2"/>
      <c r="U162" s="7" t="str">
        <f t="shared" si="20"/>
        <v/>
      </c>
      <c r="V162" s="7" t="str">
        <f t="shared" si="21"/>
        <v/>
      </c>
      <c r="W162" s="15" t="str">
        <f t="shared" si="22"/>
        <v/>
      </c>
      <c r="X162" s="5" t="str">
        <f t="shared" si="23"/>
        <v/>
      </c>
      <c r="Y162" s="7" t="str">
        <f t="shared" si="24"/>
        <v/>
      </c>
      <c r="Z162" s="7" t="str">
        <f>IF(OR(AE162="",多次统计数据!$B$8=""),"",AE162-多次统计数据!$B$8)</f>
        <v/>
      </c>
      <c r="AA162" s="16" t="str">
        <f t="shared" si="25"/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si="26"/>
        <v/>
      </c>
    </row>
    <row r="163" ht="17" spans="1:31">
      <c r="A163" s="2"/>
      <c r="B163" s="2"/>
      <c r="C163" s="9"/>
      <c r="D163" s="6"/>
      <c r="E163" s="9"/>
      <c r="F163" s="8" t="str">
        <f t="shared" si="18"/>
        <v/>
      </c>
      <c r="G163" s="8" t="str">
        <f>IF(OR(A163="",F163="",E163="",N163="",E163&lt;=N163,账户数据!$B$7=""),"",IF(账户数据!$B$9+IF(H163="",F163*(E163-N163),0)&gt;=账户数据!$B$7,"禁止开仓","允许开仓"))</f>
        <v/>
      </c>
      <c r="H163" s="2"/>
      <c r="I163" s="10"/>
      <c r="J163" s="9"/>
      <c r="K163" s="9"/>
      <c r="L163" s="8" t="str">
        <f t="shared" si="19"/>
        <v/>
      </c>
      <c r="M163" s="10"/>
      <c r="N163" s="9"/>
      <c r="O163" s="9"/>
      <c r="P163" s="9"/>
      <c r="Q163" s="2"/>
      <c r="R163" s="2"/>
      <c r="S163" s="2"/>
      <c r="T163" s="2"/>
      <c r="U163" s="7" t="str">
        <f t="shared" si="20"/>
        <v/>
      </c>
      <c r="V163" s="7" t="str">
        <f t="shared" si="21"/>
        <v/>
      </c>
      <c r="W163" s="15" t="str">
        <f t="shared" si="22"/>
        <v/>
      </c>
      <c r="X163" s="5" t="str">
        <f t="shared" si="23"/>
        <v/>
      </c>
      <c r="Y163" s="7" t="str">
        <f t="shared" si="24"/>
        <v/>
      </c>
      <c r="Z163" s="7" t="str">
        <f>IF(OR(AE163="",多次统计数据!$B$8=""),"",AE163-多次统计数据!$B$8)</f>
        <v/>
      </c>
      <c r="AA163" s="16" t="str">
        <f t="shared" si="2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26"/>
        <v/>
      </c>
    </row>
    <row r="164" ht="17" spans="1:31">
      <c r="A164" s="2"/>
      <c r="B164" s="2"/>
      <c r="C164" s="9"/>
      <c r="D164" s="6"/>
      <c r="E164" s="9"/>
      <c r="F164" s="8" t="str">
        <f t="shared" si="18"/>
        <v/>
      </c>
      <c r="G164" s="8" t="str">
        <f>IF(OR(A164="",F164="",E164="",N164="",E164&lt;=N164,账户数据!$B$7=""),"",IF(账户数据!$B$9+IF(H164="",F164*(E164-N164),0)&gt;=账户数据!$B$7,"禁止开仓","允许开仓"))</f>
        <v/>
      </c>
      <c r="H164" s="2"/>
      <c r="I164" s="10"/>
      <c r="J164" s="9"/>
      <c r="K164" s="9"/>
      <c r="L164" s="8" t="str">
        <f t="shared" si="19"/>
        <v/>
      </c>
      <c r="M164" s="10"/>
      <c r="N164" s="9"/>
      <c r="O164" s="9"/>
      <c r="P164" s="9"/>
      <c r="Q164" s="2"/>
      <c r="R164" s="2"/>
      <c r="S164" s="2"/>
      <c r="T164" s="2"/>
      <c r="U164" s="7" t="str">
        <f t="shared" si="20"/>
        <v/>
      </c>
      <c r="V164" s="7" t="str">
        <f t="shared" si="21"/>
        <v/>
      </c>
      <c r="W164" s="15" t="str">
        <f t="shared" si="22"/>
        <v/>
      </c>
      <c r="X164" s="5" t="str">
        <f t="shared" si="23"/>
        <v/>
      </c>
      <c r="Y164" s="7" t="str">
        <f t="shared" si="24"/>
        <v/>
      </c>
      <c r="Z164" s="7" t="str">
        <f>IF(OR(AE164="",多次统计数据!$B$8=""),"",AE164-多次统计数据!$B$8)</f>
        <v/>
      </c>
      <c r="AA164" s="16" t="str">
        <f t="shared" si="2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26"/>
        <v/>
      </c>
    </row>
    <row r="165" ht="17" spans="1:31">
      <c r="A165" s="2"/>
      <c r="B165" s="2"/>
      <c r="C165" s="9"/>
      <c r="D165" s="6"/>
      <c r="E165" s="9"/>
      <c r="F165" s="8" t="str">
        <f t="shared" si="18"/>
        <v/>
      </c>
      <c r="G165" s="8" t="str">
        <f>IF(OR(A165="",F165="",E165="",N165="",E165&lt;=N165,账户数据!$B$7=""),"",IF(账户数据!$B$9+IF(H165="",F165*(E165-N165),0)&gt;=账户数据!$B$7,"禁止开仓","允许开仓"))</f>
        <v/>
      </c>
      <c r="H165" s="2"/>
      <c r="I165" s="10"/>
      <c r="J165" s="9"/>
      <c r="K165" s="9"/>
      <c r="L165" s="8" t="str">
        <f t="shared" si="19"/>
        <v/>
      </c>
      <c r="M165" s="10"/>
      <c r="N165" s="9"/>
      <c r="O165" s="9"/>
      <c r="P165" s="9"/>
      <c r="Q165" s="2"/>
      <c r="R165" s="2"/>
      <c r="S165" s="2"/>
      <c r="T165" s="2"/>
      <c r="U165" s="7" t="str">
        <f t="shared" si="20"/>
        <v/>
      </c>
      <c r="V165" s="7" t="str">
        <f t="shared" si="21"/>
        <v/>
      </c>
      <c r="W165" s="15" t="str">
        <f t="shared" si="22"/>
        <v/>
      </c>
      <c r="X165" s="5" t="str">
        <f t="shared" si="23"/>
        <v/>
      </c>
      <c r="Y165" s="7" t="str">
        <f t="shared" si="24"/>
        <v/>
      </c>
      <c r="Z165" s="7" t="str">
        <f>IF(OR(AE165="",多次统计数据!$B$8=""),"",AE165-多次统计数据!$B$8)</f>
        <v/>
      </c>
      <c r="AA165" s="16" t="str">
        <f t="shared" si="2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26"/>
        <v/>
      </c>
    </row>
    <row r="166" ht="17" spans="1:31">
      <c r="A166" s="2"/>
      <c r="B166" s="2"/>
      <c r="C166" s="9"/>
      <c r="D166" s="6"/>
      <c r="E166" s="9"/>
      <c r="F166" s="8" t="str">
        <f t="shared" si="18"/>
        <v/>
      </c>
      <c r="G166" s="8" t="str">
        <f>IF(OR(A166="",F166="",E166="",N166="",E166&lt;=N166,账户数据!$B$7=""),"",IF(账户数据!$B$9+IF(H166="",F166*(E166-N166),0)&gt;=账户数据!$B$7,"禁止开仓","允许开仓"))</f>
        <v/>
      </c>
      <c r="H166" s="2"/>
      <c r="I166" s="10"/>
      <c r="J166" s="9"/>
      <c r="K166" s="9"/>
      <c r="L166" s="8" t="str">
        <f t="shared" si="19"/>
        <v/>
      </c>
      <c r="M166" s="10"/>
      <c r="N166" s="9"/>
      <c r="O166" s="9"/>
      <c r="P166" s="9"/>
      <c r="Q166" s="2"/>
      <c r="R166" s="2"/>
      <c r="S166" s="2"/>
      <c r="T166" s="2"/>
      <c r="U166" s="7" t="str">
        <f t="shared" si="20"/>
        <v/>
      </c>
      <c r="V166" s="7" t="str">
        <f t="shared" si="21"/>
        <v/>
      </c>
      <c r="W166" s="15" t="str">
        <f t="shared" si="22"/>
        <v/>
      </c>
      <c r="X166" s="5" t="str">
        <f t="shared" si="23"/>
        <v/>
      </c>
      <c r="Y166" s="7" t="str">
        <f t="shared" si="24"/>
        <v/>
      </c>
      <c r="Z166" s="7" t="str">
        <f>IF(OR(AE166="",多次统计数据!$B$8=""),"",AE166-多次统计数据!$B$8)</f>
        <v/>
      </c>
      <c r="AA166" s="16" t="str">
        <f t="shared" si="25"/>
        <v/>
      </c>
      <c r="AB166" s="7" t="str">
        <f>IF(OR(A166="",多次统计数据!$B$8="",多次统计数据!$B$6&lt;=0,多次统计数据!$B$6&gt;=1),"",1-POWER(1+多次统计数据!$B$8,-多次统计数据!$B$6/(1-多次统计数据!$B$6)))</f>
        <v/>
      </c>
      <c r="AC166" s="8" t="str">
        <f>IF(OR(AB166="",多次统计数据!$B$9=""),"",IF(多次统计数据!$B$9&lt;AB166,"低于上限","达到或超过上限"))</f>
        <v/>
      </c>
      <c r="AD166" s="2"/>
      <c r="AE166" s="7" t="str">
        <f t="shared" si="26"/>
        <v/>
      </c>
    </row>
    <row r="167" ht="17" spans="1:31">
      <c r="A167" s="2"/>
      <c r="B167" s="2"/>
      <c r="C167" s="9"/>
      <c r="D167" s="6"/>
      <c r="E167" s="9"/>
      <c r="F167" s="8" t="str">
        <f t="shared" si="18"/>
        <v/>
      </c>
      <c r="G167" s="8" t="str">
        <f>IF(OR(A167="",F167="",E167="",N167="",E167&lt;=N167,账户数据!$B$7=""),"",IF(账户数据!$B$9+IF(H167="",F167*(E167-N167),0)&gt;=账户数据!$B$7,"禁止开仓","允许开仓"))</f>
        <v/>
      </c>
      <c r="H167" s="2"/>
      <c r="I167" s="10"/>
      <c r="J167" s="9"/>
      <c r="K167" s="9"/>
      <c r="L167" s="8" t="str">
        <f t="shared" si="19"/>
        <v/>
      </c>
      <c r="M167" s="10"/>
      <c r="N167" s="9"/>
      <c r="O167" s="9"/>
      <c r="P167" s="9"/>
      <c r="Q167" s="2"/>
      <c r="R167" s="2"/>
      <c r="S167" s="2"/>
      <c r="T167" s="2"/>
      <c r="U167" s="7" t="str">
        <f t="shared" si="20"/>
        <v/>
      </c>
      <c r="V167" s="7" t="str">
        <f t="shared" si="21"/>
        <v/>
      </c>
      <c r="W167" s="15" t="str">
        <f t="shared" si="22"/>
        <v/>
      </c>
      <c r="X167" s="5" t="str">
        <f t="shared" si="23"/>
        <v/>
      </c>
      <c r="Y167" s="7" t="str">
        <f t="shared" si="24"/>
        <v/>
      </c>
      <c r="Z167" s="7" t="str">
        <f>IF(OR(AE167="",多次统计数据!$B$8=""),"",AE167-多次统计数据!$B$8)</f>
        <v/>
      </c>
      <c r="AA167" s="16" t="str">
        <f t="shared" si="25"/>
        <v/>
      </c>
      <c r="AB167" s="7" t="str">
        <f>IF(OR(A167="",多次统计数据!$B$8="",多次统计数据!$B$6&lt;=0,多次统计数据!$B$6&gt;=1),"",1-POWER(1+多次统计数据!$B$8,-多次统计数据!$B$6/(1-多次统计数据!$B$6)))</f>
        <v/>
      </c>
      <c r="AC167" s="8" t="str">
        <f>IF(OR(AB167="",多次统计数据!$B$9=""),"",IF(多次统计数据!$B$9&lt;AB167,"低于上限","达到或超过上限"))</f>
        <v/>
      </c>
      <c r="AD167" s="2"/>
      <c r="AE167" s="7" t="str">
        <f t="shared" si="26"/>
        <v/>
      </c>
    </row>
    <row r="168" ht="17" spans="1:31">
      <c r="A168" s="2"/>
      <c r="B168" s="2"/>
      <c r="C168" s="9"/>
      <c r="D168" s="6"/>
      <c r="E168" s="9"/>
      <c r="F168" s="8" t="str">
        <f t="shared" si="18"/>
        <v/>
      </c>
      <c r="G168" s="8" t="str">
        <f>IF(OR(A168="",F168="",E168="",N168="",E168&lt;=N168,账户数据!$B$7=""),"",IF(账户数据!$B$9+IF(H168="",F168*(E168-N168),0)&gt;=账户数据!$B$7,"禁止开仓","允许开仓"))</f>
        <v/>
      </c>
      <c r="H168" s="2"/>
      <c r="I168" s="10"/>
      <c r="J168" s="9"/>
      <c r="K168" s="9"/>
      <c r="L168" s="8" t="str">
        <f t="shared" si="19"/>
        <v/>
      </c>
      <c r="M168" s="10"/>
      <c r="N168" s="9"/>
      <c r="O168" s="9"/>
      <c r="P168" s="9"/>
      <c r="Q168" s="2"/>
      <c r="R168" s="2"/>
      <c r="S168" s="2"/>
      <c r="T168" s="2"/>
      <c r="U168" s="7" t="str">
        <f t="shared" si="20"/>
        <v/>
      </c>
      <c r="V168" s="7" t="str">
        <f t="shared" si="21"/>
        <v/>
      </c>
      <c r="W168" s="15" t="str">
        <f t="shared" si="22"/>
        <v/>
      </c>
      <c r="X168" s="5" t="str">
        <f t="shared" si="23"/>
        <v/>
      </c>
      <c r="Y168" s="7" t="str">
        <f t="shared" si="24"/>
        <v/>
      </c>
      <c r="Z168" s="7" t="str">
        <f>IF(OR(AE168="",多次统计数据!$B$8=""),"",AE168-多次统计数据!$B$8)</f>
        <v/>
      </c>
      <c r="AA168" s="16" t="str">
        <f t="shared" si="25"/>
        <v/>
      </c>
      <c r="AB168" s="7" t="str">
        <f>IF(OR(A168="",多次统计数据!$B$8="",多次统计数据!$B$6&lt;=0,多次统计数据!$B$6&gt;=1),"",1-POWER(1+多次统计数据!$B$8,-多次统计数据!$B$6/(1-多次统计数据!$B$6)))</f>
        <v/>
      </c>
      <c r="AC168" s="8" t="str">
        <f>IF(OR(AB168="",多次统计数据!$B$9=""),"",IF(多次统计数据!$B$9&lt;AB168,"低于上限","达到或超过上限"))</f>
        <v/>
      </c>
      <c r="AD168" s="2"/>
      <c r="AE168" s="7" t="str">
        <f t="shared" si="26"/>
        <v/>
      </c>
    </row>
    <row r="169" ht="17" spans="1:31">
      <c r="A169" s="2"/>
      <c r="B169" s="2"/>
      <c r="C169" s="9"/>
      <c r="D169" s="6"/>
      <c r="E169" s="9"/>
      <c r="F169" s="8" t="str">
        <f t="shared" si="18"/>
        <v/>
      </c>
      <c r="G169" s="8" t="str">
        <f>IF(OR(A169="",F169="",E169="",N169="",E169&lt;=N169,账户数据!$B$7=""),"",IF(账户数据!$B$9+IF(H169="",F169*(E169-N169),0)&gt;=账户数据!$B$7,"禁止开仓","允许开仓"))</f>
        <v/>
      </c>
      <c r="H169" s="2"/>
      <c r="I169" s="10"/>
      <c r="J169" s="9"/>
      <c r="K169" s="9"/>
      <c r="L169" s="8" t="str">
        <f t="shared" si="19"/>
        <v/>
      </c>
      <c r="M169" s="10"/>
      <c r="N169" s="9"/>
      <c r="O169" s="9"/>
      <c r="P169" s="9"/>
      <c r="Q169" s="2"/>
      <c r="R169" s="2"/>
      <c r="S169" s="2"/>
      <c r="T169" s="2"/>
      <c r="U169" s="7" t="str">
        <f t="shared" si="20"/>
        <v/>
      </c>
      <c r="V169" s="7" t="str">
        <f t="shared" si="21"/>
        <v/>
      </c>
      <c r="W169" s="15" t="str">
        <f t="shared" si="22"/>
        <v/>
      </c>
      <c r="X169" s="5" t="str">
        <f t="shared" si="23"/>
        <v/>
      </c>
      <c r="Y169" s="7" t="str">
        <f t="shared" si="24"/>
        <v/>
      </c>
      <c r="Z169" s="7" t="str">
        <f>IF(OR(AE169="",多次统计数据!$B$8=""),"",AE169-多次统计数据!$B$8)</f>
        <v/>
      </c>
      <c r="AA169" s="16" t="str">
        <f t="shared" si="25"/>
        <v/>
      </c>
      <c r="AB169" s="7" t="str">
        <f>IF(OR(A169="",多次统计数据!$B$8="",多次统计数据!$B$6&lt;=0,多次统计数据!$B$6&gt;=1),"",1-POWER(1+多次统计数据!$B$8,-多次统计数据!$B$6/(1-多次统计数据!$B$6)))</f>
        <v/>
      </c>
      <c r="AC169" s="8" t="str">
        <f>IF(OR(AB169="",多次统计数据!$B$9=""),"",IF(多次统计数据!$B$9&lt;AB169,"低于上限","达到或超过上限"))</f>
        <v/>
      </c>
      <c r="AD169" s="2"/>
      <c r="AE169" s="7" t="str">
        <f t="shared" si="26"/>
        <v/>
      </c>
    </row>
    <row r="170" ht="17" spans="1:31">
      <c r="A170" s="2"/>
      <c r="B170" s="2"/>
      <c r="C170" s="9"/>
      <c r="D170" s="6"/>
      <c r="E170" s="9"/>
      <c r="F170" s="8" t="str">
        <f t="shared" si="18"/>
        <v/>
      </c>
      <c r="G170" s="8" t="str">
        <f>IF(OR(A170="",F170="",E170="",N170="",E170&lt;=N170,账户数据!$B$7=""),"",IF(账户数据!$B$9+IF(H170="",F170*(E170-N170),0)&gt;=账户数据!$B$7,"禁止开仓","允许开仓"))</f>
        <v/>
      </c>
      <c r="H170" s="2"/>
      <c r="I170" s="10"/>
      <c r="J170" s="9"/>
      <c r="K170" s="9"/>
      <c r="L170" s="8" t="str">
        <f t="shared" si="19"/>
        <v/>
      </c>
      <c r="M170" s="10"/>
      <c r="N170" s="9"/>
      <c r="O170" s="9"/>
      <c r="P170" s="9"/>
      <c r="Q170" s="2"/>
      <c r="R170" s="2"/>
      <c r="S170" s="2"/>
      <c r="T170" s="2"/>
      <c r="U170" s="7" t="str">
        <f t="shared" si="20"/>
        <v/>
      </c>
      <c r="V170" s="7" t="str">
        <f t="shared" si="21"/>
        <v/>
      </c>
      <c r="W170" s="15" t="str">
        <f t="shared" si="22"/>
        <v/>
      </c>
      <c r="X170" s="5" t="str">
        <f t="shared" si="23"/>
        <v/>
      </c>
      <c r="Y170" s="7" t="str">
        <f t="shared" si="24"/>
        <v/>
      </c>
      <c r="Z170" s="7" t="str">
        <f>IF(OR(AE170="",多次统计数据!$B$8=""),"",AE170-多次统计数据!$B$8)</f>
        <v/>
      </c>
      <c r="AA170" s="16" t="str">
        <f t="shared" si="25"/>
        <v/>
      </c>
      <c r="AB170" s="7" t="str">
        <f>IF(OR(A170="",多次统计数据!$B$8="",多次统计数据!$B$6&lt;=0,多次统计数据!$B$6&gt;=1),"",1-POWER(1+多次统计数据!$B$8,-多次统计数据!$B$6/(1-多次统计数据!$B$6)))</f>
        <v/>
      </c>
      <c r="AC170" s="8" t="str">
        <f>IF(OR(AB170="",多次统计数据!$B$9=""),"",IF(多次统计数据!$B$9&lt;AB170,"低于上限","达到或超过上限"))</f>
        <v/>
      </c>
      <c r="AD170" s="2"/>
      <c r="AE170" s="7" t="str">
        <f t="shared" si="26"/>
        <v/>
      </c>
    </row>
    <row r="171" ht="17" spans="1:31">
      <c r="A171" s="2"/>
      <c r="B171" s="2"/>
      <c r="C171" s="9"/>
      <c r="D171" s="6"/>
      <c r="E171" s="9"/>
      <c r="F171" s="8" t="str">
        <f t="shared" si="18"/>
        <v/>
      </c>
      <c r="G171" s="8" t="str">
        <f>IF(OR(A171="",F171="",E171="",N171="",E171&lt;=N171,账户数据!$B$7=""),"",IF(账户数据!$B$9+IF(H171="",F171*(E171-N171),0)&gt;=账户数据!$B$7,"禁止开仓","允许开仓"))</f>
        <v/>
      </c>
      <c r="H171" s="2"/>
      <c r="I171" s="10"/>
      <c r="J171" s="9"/>
      <c r="K171" s="9"/>
      <c r="L171" s="8" t="str">
        <f t="shared" si="19"/>
        <v/>
      </c>
      <c r="M171" s="10"/>
      <c r="N171" s="9"/>
      <c r="O171" s="9"/>
      <c r="P171" s="9"/>
      <c r="Q171" s="2"/>
      <c r="R171" s="2"/>
      <c r="S171" s="2"/>
      <c r="T171" s="2"/>
      <c r="U171" s="7" t="str">
        <f t="shared" si="20"/>
        <v/>
      </c>
      <c r="V171" s="7" t="str">
        <f t="shared" si="21"/>
        <v/>
      </c>
      <c r="W171" s="15" t="str">
        <f t="shared" si="22"/>
        <v/>
      </c>
      <c r="X171" s="5" t="str">
        <f t="shared" si="23"/>
        <v/>
      </c>
      <c r="Y171" s="7" t="str">
        <f t="shared" si="24"/>
        <v/>
      </c>
      <c r="Z171" s="7" t="str">
        <f>IF(OR(AE171="",多次统计数据!$B$8=""),"",AE171-多次统计数据!$B$8)</f>
        <v/>
      </c>
      <c r="AA171" s="16" t="str">
        <f t="shared" si="25"/>
        <v/>
      </c>
      <c r="AB171" s="7" t="str">
        <f>IF(OR(A171="",多次统计数据!$B$8="",多次统计数据!$B$6&lt;=0,多次统计数据!$B$6&gt;=1),"",1-POWER(1+多次统计数据!$B$8,-多次统计数据!$B$6/(1-多次统计数据!$B$6)))</f>
        <v/>
      </c>
      <c r="AC171" s="8" t="str">
        <f>IF(OR(AB171="",多次统计数据!$B$9=""),"",IF(多次统计数据!$B$9&lt;AB171,"低于上限","达到或超过上限"))</f>
        <v/>
      </c>
      <c r="AD171" s="2"/>
      <c r="AE171" s="7" t="str">
        <f t="shared" si="26"/>
        <v/>
      </c>
    </row>
    <row r="172" ht="17" spans="1:31">
      <c r="A172" s="2"/>
      <c r="B172" s="2"/>
      <c r="C172" s="9"/>
      <c r="D172" s="6"/>
      <c r="E172" s="9"/>
      <c r="F172" s="8" t="str">
        <f t="shared" si="18"/>
        <v/>
      </c>
      <c r="G172" s="8" t="str">
        <f>IF(OR(A172="",F172="",E172="",N172="",E172&lt;=N172,账户数据!$B$7=""),"",IF(账户数据!$B$9+IF(H172="",F172*(E172-N172),0)&gt;=账户数据!$B$7,"禁止开仓","允许开仓"))</f>
        <v/>
      </c>
      <c r="H172" s="2"/>
      <c r="I172" s="10"/>
      <c r="J172" s="9"/>
      <c r="K172" s="9"/>
      <c r="L172" s="8" t="str">
        <f t="shared" si="19"/>
        <v/>
      </c>
      <c r="M172" s="10"/>
      <c r="N172" s="9"/>
      <c r="O172" s="9"/>
      <c r="P172" s="9"/>
      <c r="Q172" s="2"/>
      <c r="R172" s="2"/>
      <c r="S172" s="2"/>
      <c r="T172" s="2"/>
      <c r="U172" s="7" t="str">
        <f t="shared" si="20"/>
        <v/>
      </c>
      <c r="V172" s="7" t="str">
        <f t="shared" si="21"/>
        <v/>
      </c>
      <c r="W172" s="15" t="str">
        <f t="shared" si="22"/>
        <v/>
      </c>
      <c r="X172" s="5" t="str">
        <f t="shared" si="23"/>
        <v/>
      </c>
      <c r="Y172" s="7" t="str">
        <f t="shared" si="24"/>
        <v/>
      </c>
      <c r="Z172" s="7" t="str">
        <f>IF(OR(AE172="",多次统计数据!$B$8=""),"",AE172-多次统计数据!$B$8)</f>
        <v/>
      </c>
      <c r="AA172" s="16" t="str">
        <f t="shared" si="25"/>
        <v/>
      </c>
      <c r="AB172" s="7" t="str">
        <f>IF(OR(A172="",多次统计数据!$B$8="",多次统计数据!$B$6&lt;=0,多次统计数据!$B$6&gt;=1),"",1-POWER(1+多次统计数据!$B$8,-多次统计数据!$B$6/(1-多次统计数据!$B$6)))</f>
        <v/>
      </c>
      <c r="AC172" s="8" t="str">
        <f>IF(OR(AB172="",多次统计数据!$B$9=""),"",IF(多次统计数据!$B$9&lt;AB172,"低于上限","达到或超过上限"))</f>
        <v/>
      </c>
      <c r="AD172" s="2"/>
      <c r="AE172" s="7" t="str">
        <f t="shared" si="26"/>
        <v/>
      </c>
    </row>
    <row r="173" ht="17" spans="1:31">
      <c r="A173" s="2"/>
      <c r="B173" s="2"/>
      <c r="C173" s="9"/>
      <c r="D173" s="6"/>
      <c r="E173" s="9"/>
      <c r="F173" s="8" t="str">
        <f t="shared" si="18"/>
        <v/>
      </c>
      <c r="G173" s="8" t="str">
        <f>IF(OR(A173="",F173="",E173="",N173="",E173&lt;=N173,账户数据!$B$7=""),"",IF(账户数据!$B$9+IF(H173="",F173*(E173-N173),0)&gt;=账户数据!$B$7,"禁止开仓","允许开仓"))</f>
        <v/>
      </c>
      <c r="H173" s="2"/>
      <c r="I173" s="10"/>
      <c r="J173" s="9"/>
      <c r="K173" s="9"/>
      <c r="L173" s="8" t="str">
        <f t="shared" si="19"/>
        <v/>
      </c>
      <c r="M173" s="10"/>
      <c r="N173" s="9"/>
      <c r="O173" s="9"/>
      <c r="P173" s="9"/>
      <c r="Q173" s="2"/>
      <c r="R173" s="2"/>
      <c r="S173" s="2"/>
      <c r="T173" s="2"/>
      <c r="U173" s="7" t="str">
        <f t="shared" si="20"/>
        <v/>
      </c>
      <c r="V173" s="7" t="str">
        <f t="shared" si="21"/>
        <v/>
      </c>
      <c r="W173" s="15" t="str">
        <f t="shared" si="22"/>
        <v/>
      </c>
      <c r="X173" s="5" t="str">
        <f t="shared" si="23"/>
        <v/>
      </c>
      <c r="Y173" s="7" t="str">
        <f t="shared" si="24"/>
        <v/>
      </c>
      <c r="Z173" s="7" t="str">
        <f>IF(OR(AE173="",多次统计数据!$B$8=""),"",AE173-多次统计数据!$B$8)</f>
        <v/>
      </c>
      <c r="AA173" s="16" t="str">
        <f t="shared" si="25"/>
        <v/>
      </c>
      <c r="AB173" s="7" t="str">
        <f>IF(OR(A173="",多次统计数据!$B$8="",多次统计数据!$B$6&lt;=0,多次统计数据!$B$6&gt;=1),"",1-POWER(1+多次统计数据!$B$8,-多次统计数据!$B$6/(1-多次统计数据!$B$6)))</f>
        <v/>
      </c>
      <c r="AC173" s="8" t="str">
        <f>IF(OR(AB173="",多次统计数据!$B$9=""),"",IF(多次统计数据!$B$9&lt;AB173,"低于上限","达到或超过上限"))</f>
        <v/>
      </c>
      <c r="AD173" s="2"/>
      <c r="AE173" s="7" t="str">
        <f t="shared" si="26"/>
        <v/>
      </c>
    </row>
    <row r="174" ht="17" spans="1:31">
      <c r="A174" s="2"/>
      <c r="B174" s="2"/>
      <c r="C174" s="9"/>
      <c r="D174" s="6"/>
      <c r="E174" s="9"/>
      <c r="F174" s="8" t="str">
        <f t="shared" si="18"/>
        <v/>
      </c>
      <c r="G174" s="8" t="str">
        <f>IF(OR(A174="",F174="",E174="",N174="",E174&lt;=N174,账户数据!$B$7=""),"",IF(账户数据!$B$9+IF(H174="",F174*(E174-N174),0)&gt;=账户数据!$B$7,"禁止开仓","允许开仓"))</f>
        <v/>
      </c>
      <c r="H174" s="2"/>
      <c r="I174" s="10"/>
      <c r="J174" s="9"/>
      <c r="K174" s="9"/>
      <c r="L174" s="8" t="str">
        <f t="shared" si="19"/>
        <v/>
      </c>
      <c r="M174" s="10"/>
      <c r="N174" s="9"/>
      <c r="O174" s="9"/>
      <c r="P174" s="9"/>
      <c r="Q174" s="2"/>
      <c r="R174" s="2"/>
      <c r="S174" s="2"/>
      <c r="T174" s="2"/>
      <c r="U174" s="7" t="str">
        <f t="shared" si="20"/>
        <v/>
      </c>
      <c r="V174" s="7" t="str">
        <f t="shared" si="21"/>
        <v/>
      </c>
      <c r="W174" s="15" t="str">
        <f t="shared" si="22"/>
        <v/>
      </c>
      <c r="X174" s="5" t="str">
        <f t="shared" si="23"/>
        <v/>
      </c>
      <c r="Y174" s="7" t="str">
        <f t="shared" si="24"/>
        <v/>
      </c>
      <c r="Z174" s="7" t="str">
        <f>IF(OR(AE174="",多次统计数据!$B$8=""),"",AE174-多次统计数据!$B$8)</f>
        <v/>
      </c>
      <c r="AA174" s="16" t="str">
        <f t="shared" si="25"/>
        <v/>
      </c>
      <c r="AB174" s="7" t="str">
        <f>IF(OR(A174="",多次统计数据!$B$8="",多次统计数据!$B$6&lt;=0,多次统计数据!$B$6&gt;=1),"",1-POWER(1+多次统计数据!$B$8,-多次统计数据!$B$6/(1-多次统计数据!$B$6)))</f>
        <v/>
      </c>
      <c r="AC174" s="8" t="str">
        <f>IF(OR(AB174="",多次统计数据!$B$9=""),"",IF(多次统计数据!$B$9&lt;AB174,"低于上限","达到或超过上限"))</f>
        <v/>
      </c>
      <c r="AD174" s="2"/>
      <c r="AE174" s="7" t="str">
        <f t="shared" si="26"/>
        <v/>
      </c>
    </row>
    <row r="175" ht="17" spans="1:31">
      <c r="A175" s="2"/>
      <c r="B175" s="2"/>
      <c r="C175" s="9"/>
      <c r="D175" s="6"/>
      <c r="E175" s="9"/>
      <c r="F175" s="8" t="str">
        <f t="shared" si="18"/>
        <v/>
      </c>
      <c r="G175" s="8" t="str">
        <f>IF(OR(A175="",F175="",E175="",N175="",E175&lt;=N175,账户数据!$B$7=""),"",IF(账户数据!$B$9+IF(H175="",F175*(E175-N175),0)&gt;=账户数据!$B$7,"禁止开仓","允许开仓"))</f>
        <v/>
      </c>
      <c r="H175" s="2"/>
      <c r="I175" s="10"/>
      <c r="J175" s="9"/>
      <c r="K175" s="9"/>
      <c r="L175" s="8" t="str">
        <f t="shared" si="19"/>
        <v/>
      </c>
      <c r="M175" s="10"/>
      <c r="N175" s="9"/>
      <c r="O175" s="9"/>
      <c r="P175" s="9"/>
      <c r="Q175" s="2"/>
      <c r="R175" s="2"/>
      <c r="S175" s="2"/>
      <c r="T175" s="2"/>
      <c r="U175" s="7" t="str">
        <f t="shared" si="20"/>
        <v/>
      </c>
      <c r="V175" s="7" t="str">
        <f t="shared" si="21"/>
        <v/>
      </c>
      <c r="W175" s="15" t="str">
        <f t="shared" si="22"/>
        <v/>
      </c>
      <c r="X175" s="5" t="str">
        <f t="shared" si="23"/>
        <v/>
      </c>
      <c r="Y175" s="7" t="str">
        <f t="shared" si="24"/>
        <v/>
      </c>
      <c r="Z175" s="7" t="str">
        <f>IF(OR(AE175="",多次统计数据!$B$8=""),"",AE175-多次统计数据!$B$8)</f>
        <v/>
      </c>
      <c r="AA175" s="16" t="str">
        <f t="shared" si="25"/>
        <v/>
      </c>
      <c r="AB175" s="7" t="str">
        <f>IF(OR(A175="",多次统计数据!$B$8="",多次统计数据!$B$6&lt;=0,多次统计数据!$B$6&gt;=1),"",1-POWER(1+多次统计数据!$B$8,-多次统计数据!$B$6/(1-多次统计数据!$B$6)))</f>
        <v/>
      </c>
      <c r="AC175" s="8" t="str">
        <f>IF(OR(AB175="",多次统计数据!$B$9=""),"",IF(多次统计数据!$B$9&lt;AB175,"低于上限","达到或超过上限"))</f>
        <v/>
      </c>
      <c r="AD175" s="2"/>
      <c r="AE175" s="7" t="str">
        <f t="shared" si="26"/>
        <v/>
      </c>
    </row>
    <row r="176" ht="17" spans="1:31">
      <c r="A176" s="2"/>
      <c r="B176" s="2"/>
      <c r="C176" s="9"/>
      <c r="D176" s="6"/>
      <c r="E176" s="9"/>
      <c r="F176" s="8" t="str">
        <f t="shared" si="18"/>
        <v/>
      </c>
      <c r="G176" s="8" t="str">
        <f>IF(OR(A176="",F176="",E176="",N176="",E176&lt;=N176,账户数据!$B$7=""),"",IF(账户数据!$B$9+IF(H176="",F176*(E176-N176),0)&gt;=账户数据!$B$7,"禁止开仓","允许开仓"))</f>
        <v/>
      </c>
      <c r="H176" s="2"/>
      <c r="I176" s="10"/>
      <c r="J176" s="9"/>
      <c r="K176" s="9"/>
      <c r="L176" s="8" t="str">
        <f t="shared" si="19"/>
        <v/>
      </c>
      <c r="M176" s="10"/>
      <c r="N176" s="9"/>
      <c r="O176" s="9"/>
      <c r="P176" s="9"/>
      <c r="Q176" s="2"/>
      <c r="R176" s="2"/>
      <c r="S176" s="2"/>
      <c r="T176" s="2"/>
      <c r="U176" s="7" t="str">
        <f t="shared" si="20"/>
        <v/>
      </c>
      <c r="V176" s="7" t="str">
        <f t="shared" si="21"/>
        <v/>
      </c>
      <c r="W176" s="15" t="str">
        <f t="shared" si="22"/>
        <v/>
      </c>
      <c r="X176" s="5" t="str">
        <f t="shared" si="23"/>
        <v/>
      </c>
      <c r="Y176" s="7" t="str">
        <f t="shared" si="24"/>
        <v/>
      </c>
      <c r="Z176" s="7" t="str">
        <f>IF(OR(AE176="",多次统计数据!$B$8=""),"",AE176-多次统计数据!$B$8)</f>
        <v/>
      </c>
      <c r="AA176" s="16" t="str">
        <f t="shared" si="2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26"/>
        <v/>
      </c>
    </row>
    <row r="177" ht="17" spans="1:31">
      <c r="A177" s="2"/>
      <c r="B177" s="2"/>
      <c r="C177" s="9"/>
      <c r="D177" s="6"/>
      <c r="E177" s="9"/>
      <c r="F177" s="8" t="str">
        <f t="shared" si="18"/>
        <v/>
      </c>
      <c r="G177" s="8" t="str">
        <f>IF(OR(A177="",F177="",E177="",N177="",E177&lt;=N177,账户数据!$B$7=""),"",IF(账户数据!$B$9+IF(H177="",F177*(E177-N177),0)&gt;=账户数据!$B$7,"禁止开仓","允许开仓"))</f>
        <v/>
      </c>
      <c r="H177" s="2"/>
      <c r="I177" s="10"/>
      <c r="J177" s="9"/>
      <c r="K177" s="9"/>
      <c r="L177" s="8" t="str">
        <f t="shared" si="19"/>
        <v/>
      </c>
      <c r="M177" s="10"/>
      <c r="N177" s="9"/>
      <c r="O177" s="9"/>
      <c r="P177" s="9"/>
      <c r="Q177" s="2"/>
      <c r="R177" s="2"/>
      <c r="S177" s="2"/>
      <c r="T177" s="2"/>
      <c r="U177" s="7" t="str">
        <f t="shared" si="20"/>
        <v/>
      </c>
      <c r="V177" s="7" t="str">
        <f t="shared" si="21"/>
        <v/>
      </c>
      <c r="W177" s="15" t="str">
        <f t="shared" si="22"/>
        <v/>
      </c>
      <c r="X177" s="5" t="str">
        <f t="shared" si="23"/>
        <v/>
      </c>
      <c r="Y177" s="7" t="str">
        <f t="shared" si="24"/>
        <v/>
      </c>
      <c r="Z177" s="7" t="str">
        <f>IF(OR(AE177="",多次统计数据!$B$8=""),"",AE177-多次统计数据!$B$8)</f>
        <v/>
      </c>
      <c r="AA177" s="16" t="str">
        <f t="shared" si="2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26"/>
        <v/>
      </c>
    </row>
    <row r="178" ht="17" spans="1:31">
      <c r="A178" s="2"/>
      <c r="B178" s="2"/>
      <c r="C178" s="9"/>
      <c r="D178" s="6"/>
      <c r="E178" s="9"/>
      <c r="F178" s="8" t="str">
        <f t="shared" si="18"/>
        <v/>
      </c>
      <c r="G178" s="8" t="str">
        <f>IF(OR(A178="",F178="",E178="",N178="",E178&lt;=N178,账户数据!$B$7=""),"",IF(账户数据!$B$9+IF(H178="",F178*(E178-N178),0)&gt;=账户数据!$B$7,"禁止开仓","允许开仓"))</f>
        <v/>
      </c>
      <c r="H178" s="2"/>
      <c r="I178" s="10"/>
      <c r="J178" s="9"/>
      <c r="K178" s="9"/>
      <c r="L178" s="8" t="str">
        <f t="shared" si="19"/>
        <v/>
      </c>
      <c r="M178" s="10"/>
      <c r="N178" s="9"/>
      <c r="O178" s="9"/>
      <c r="P178" s="9"/>
      <c r="Q178" s="2"/>
      <c r="R178" s="2"/>
      <c r="S178" s="2"/>
      <c r="T178" s="2"/>
      <c r="U178" s="7" t="str">
        <f t="shared" si="20"/>
        <v/>
      </c>
      <c r="V178" s="7" t="str">
        <f t="shared" si="21"/>
        <v/>
      </c>
      <c r="W178" s="15" t="str">
        <f t="shared" si="22"/>
        <v/>
      </c>
      <c r="X178" s="5" t="str">
        <f t="shared" si="23"/>
        <v/>
      </c>
      <c r="Y178" s="7" t="str">
        <f t="shared" si="24"/>
        <v/>
      </c>
      <c r="Z178" s="7" t="str">
        <f>IF(OR(AE178="",多次统计数据!$B$8=""),"",AE178-多次统计数据!$B$8)</f>
        <v/>
      </c>
      <c r="AA178" s="16" t="str">
        <f t="shared" si="2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26"/>
        <v/>
      </c>
    </row>
    <row r="179" ht="17" spans="1:31">
      <c r="A179" s="2"/>
      <c r="B179" s="2"/>
      <c r="C179" s="9"/>
      <c r="D179" s="6"/>
      <c r="E179" s="9"/>
      <c r="F179" s="8" t="str">
        <f t="shared" si="18"/>
        <v/>
      </c>
      <c r="G179" s="8" t="str">
        <f>IF(OR(A179="",F179="",E179="",N179="",E179&lt;=N179,账户数据!$B$7=""),"",IF(账户数据!$B$9+IF(H179="",F179*(E179-N179),0)&gt;=账户数据!$B$7,"禁止开仓","允许开仓"))</f>
        <v/>
      </c>
      <c r="H179" s="2"/>
      <c r="I179" s="10"/>
      <c r="J179" s="9"/>
      <c r="K179" s="9"/>
      <c r="L179" s="8" t="str">
        <f t="shared" si="19"/>
        <v/>
      </c>
      <c r="M179" s="10"/>
      <c r="N179" s="9"/>
      <c r="O179" s="9"/>
      <c r="P179" s="9"/>
      <c r="Q179" s="2"/>
      <c r="R179" s="2"/>
      <c r="S179" s="2"/>
      <c r="T179" s="2"/>
      <c r="U179" s="7" t="str">
        <f t="shared" si="20"/>
        <v/>
      </c>
      <c r="V179" s="7" t="str">
        <f t="shared" si="21"/>
        <v/>
      </c>
      <c r="W179" s="15" t="str">
        <f t="shared" si="22"/>
        <v/>
      </c>
      <c r="X179" s="5" t="str">
        <f t="shared" si="23"/>
        <v/>
      </c>
      <c r="Y179" s="7" t="str">
        <f t="shared" si="24"/>
        <v/>
      </c>
      <c r="Z179" s="7" t="str">
        <f>IF(OR(AE179="",多次统计数据!$B$8=""),"",AE179-多次统计数据!$B$8)</f>
        <v/>
      </c>
      <c r="AA179" s="16" t="str">
        <f t="shared" si="2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26"/>
        <v/>
      </c>
    </row>
    <row r="180" ht="17" spans="1:31">
      <c r="A180" s="2"/>
      <c r="B180" s="2"/>
      <c r="C180" s="9"/>
      <c r="D180" s="6"/>
      <c r="E180" s="9"/>
      <c r="F180" s="8" t="str">
        <f t="shared" si="18"/>
        <v/>
      </c>
      <c r="G180" s="8" t="str">
        <f>IF(OR(A180="",F180="",E180="",N180="",E180&lt;=N180,账户数据!$B$7=""),"",IF(账户数据!$B$9+IF(H180="",F180*(E180-N180),0)&gt;=账户数据!$B$7,"禁止开仓","允许开仓"))</f>
        <v/>
      </c>
      <c r="H180" s="2"/>
      <c r="I180" s="10"/>
      <c r="J180" s="9"/>
      <c r="K180" s="9"/>
      <c r="L180" s="8" t="str">
        <f t="shared" si="19"/>
        <v/>
      </c>
      <c r="M180" s="10"/>
      <c r="N180" s="9"/>
      <c r="O180" s="9"/>
      <c r="P180" s="9"/>
      <c r="Q180" s="2"/>
      <c r="R180" s="2"/>
      <c r="S180" s="2"/>
      <c r="T180" s="2"/>
      <c r="U180" s="7" t="str">
        <f t="shared" si="20"/>
        <v/>
      </c>
      <c r="V180" s="7" t="str">
        <f t="shared" si="21"/>
        <v/>
      </c>
      <c r="W180" s="15" t="str">
        <f t="shared" si="22"/>
        <v/>
      </c>
      <c r="X180" s="5" t="str">
        <f t="shared" si="23"/>
        <v/>
      </c>
      <c r="Y180" s="7" t="str">
        <f t="shared" si="24"/>
        <v/>
      </c>
      <c r="Z180" s="7" t="str">
        <f>IF(OR(AE180="",多次统计数据!$B$8=""),"",AE180-多次统计数据!$B$8)</f>
        <v/>
      </c>
      <c r="AA180" s="16" t="str">
        <f t="shared" si="2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26"/>
        <v/>
      </c>
    </row>
    <row r="181" ht="17" spans="1:31">
      <c r="A181" s="2"/>
      <c r="B181" s="2"/>
      <c r="C181" s="9"/>
      <c r="D181" s="6"/>
      <c r="E181" s="9"/>
      <c r="F181" s="8" t="str">
        <f t="shared" si="18"/>
        <v/>
      </c>
      <c r="G181" s="8" t="str">
        <f>IF(OR(A181="",F181="",E181="",N181="",E181&lt;=N181,账户数据!$B$7=""),"",IF(账户数据!$B$9+IF(H181="",F181*(E181-N181),0)&gt;=账户数据!$B$7,"禁止开仓","允许开仓"))</f>
        <v/>
      </c>
      <c r="H181" s="2"/>
      <c r="I181" s="10"/>
      <c r="J181" s="9"/>
      <c r="K181" s="9"/>
      <c r="L181" s="8" t="str">
        <f t="shared" si="19"/>
        <v/>
      </c>
      <c r="M181" s="10"/>
      <c r="N181" s="9"/>
      <c r="O181" s="9"/>
      <c r="P181" s="9"/>
      <c r="Q181" s="2"/>
      <c r="R181" s="2"/>
      <c r="S181" s="2"/>
      <c r="T181" s="2"/>
      <c r="U181" s="7" t="str">
        <f t="shared" si="20"/>
        <v/>
      </c>
      <c r="V181" s="7" t="str">
        <f t="shared" si="21"/>
        <v/>
      </c>
      <c r="W181" s="15" t="str">
        <f t="shared" si="22"/>
        <v/>
      </c>
      <c r="X181" s="5" t="str">
        <f t="shared" si="23"/>
        <v/>
      </c>
      <c r="Y181" s="7" t="str">
        <f t="shared" si="24"/>
        <v/>
      </c>
      <c r="Z181" s="7" t="str">
        <f>IF(OR(AE181="",多次统计数据!$B$8=""),"",AE181-多次统计数据!$B$8)</f>
        <v/>
      </c>
      <c r="AA181" s="16" t="str">
        <f t="shared" si="2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26"/>
        <v/>
      </c>
    </row>
    <row r="182" ht="17" spans="1:31">
      <c r="A182" s="2"/>
      <c r="B182" s="2"/>
      <c r="C182" s="9"/>
      <c r="D182" s="6"/>
      <c r="E182" s="9"/>
      <c r="F182" s="8" t="str">
        <f t="shared" si="18"/>
        <v/>
      </c>
      <c r="G182" s="8" t="str">
        <f>IF(OR(A182="",F182="",E182="",N182="",E182&lt;=N182,账户数据!$B$7=""),"",IF(账户数据!$B$9+IF(H182="",F182*(E182-N182),0)&gt;=账户数据!$B$7,"禁止开仓","允许开仓"))</f>
        <v/>
      </c>
      <c r="H182" s="2"/>
      <c r="I182" s="10"/>
      <c r="J182" s="9"/>
      <c r="K182" s="9"/>
      <c r="L182" s="8" t="str">
        <f t="shared" si="19"/>
        <v/>
      </c>
      <c r="M182" s="10"/>
      <c r="N182" s="9"/>
      <c r="O182" s="9"/>
      <c r="P182" s="9"/>
      <c r="Q182" s="2"/>
      <c r="R182" s="2"/>
      <c r="S182" s="2"/>
      <c r="T182" s="2"/>
      <c r="U182" s="7" t="str">
        <f t="shared" si="20"/>
        <v/>
      </c>
      <c r="V182" s="7" t="str">
        <f t="shared" si="21"/>
        <v/>
      </c>
      <c r="W182" s="15" t="str">
        <f t="shared" si="22"/>
        <v/>
      </c>
      <c r="X182" s="5" t="str">
        <f t="shared" si="23"/>
        <v/>
      </c>
      <c r="Y182" s="7" t="str">
        <f t="shared" si="24"/>
        <v/>
      </c>
      <c r="Z182" s="7" t="str">
        <f>IF(OR(AE182="",多次统计数据!$B$8=""),"",AE182-多次统计数据!$B$8)</f>
        <v/>
      </c>
      <c r="AA182" s="16" t="str">
        <f t="shared" si="2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26"/>
        <v/>
      </c>
    </row>
    <row r="183" ht="17" spans="1:31">
      <c r="A183" s="2"/>
      <c r="B183" s="2"/>
      <c r="C183" s="9"/>
      <c r="D183" s="6"/>
      <c r="E183" s="9"/>
      <c r="F183" s="8" t="str">
        <f t="shared" si="18"/>
        <v/>
      </c>
      <c r="G183" s="8" t="str">
        <f>IF(OR(A183="",F183="",E183="",N183="",E183&lt;=N183,账户数据!$B$7=""),"",IF(账户数据!$B$9+IF(H183="",F183*(E183-N183),0)&gt;=账户数据!$B$7,"禁止开仓","允许开仓"))</f>
        <v/>
      </c>
      <c r="H183" s="2"/>
      <c r="I183" s="10"/>
      <c r="J183" s="9"/>
      <c r="K183" s="9"/>
      <c r="L183" s="8" t="str">
        <f t="shared" si="19"/>
        <v/>
      </c>
      <c r="M183" s="10"/>
      <c r="N183" s="9"/>
      <c r="O183" s="9"/>
      <c r="P183" s="9"/>
      <c r="Q183" s="2"/>
      <c r="R183" s="2"/>
      <c r="S183" s="2"/>
      <c r="T183" s="2"/>
      <c r="U183" s="7" t="str">
        <f t="shared" si="20"/>
        <v/>
      </c>
      <c r="V183" s="7" t="str">
        <f t="shared" si="21"/>
        <v/>
      </c>
      <c r="W183" s="15" t="str">
        <f t="shared" si="22"/>
        <v/>
      </c>
      <c r="X183" s="5" t="str">
        <f t="shared" si="23"/>
        <v/>
      </c>
      <c r="Y183" s="7" t="str">
        <f t="shared" si="24"/>
        <v/>
      </c>
      <c r="Z183" s="7" t="str">
        <f>IF(OR(AE183="",多次统计数据!$B$8=""),"",AE183-多次统计数据!$B$8)</f>
        <v/>
      </c>
      <c r="AA183" s="16" t="str">
        <f t="shared" si="2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26"/>
        <v/>
      </c>
    </row>
    <row r="184" ht="17" spans="1:31">
      <c r="A184" s="2"/>
      <c r="B184" s="2"/>
      <c r="C184" s="9"/>
      <c r="D184" s="6"/>
      <c r="E184" s="9"/>
      <c r="F184" s="8" t="str">
        <f t="shared" si="18"/>
        <v/>
      </c>
      <c r="G184" s="8" t="str">
        <f>IF(OR(A184="",F184="",E184="",N184="",E184&lt;=N184,账户数据!$B$7=""),"",IF(账户数据!$B$9+IF(H184="",F184*(E184-N184),0)&gt;=账户数据!$B$7,"禁止开仓","允许开仓"))</f>
        <v/>
      </c>
      <c r="H184" s="2"/>
      <c r="I184" s="10"/>
      <c r="J184" s="9"/>
      <c r="K184" s="9"/>
      <c r="L184" s="8" t="str">
        <f t="shared" si="19"/>
        <v/>
      </c>
      <c r="M184" s="10"/>
      <c r="N184" s="9"/>
      <c r="O184" s="9"/>
      <c r="P184" s="9"/>
      <c r="Q184" s="2"/>
      <c r="R184" s="2"/>
      <c r="S184" s="2"/>
      <c r="T184" s="2"/>
      <c r="U184" s="7" t="str">
        <f t="shared" si="20"/>
        <v/>
      </c>
      <c r="V184" s="7" t="str">
        <f t="shared" si="21"/>
        <v/>
      </c>
      <c r="W184" s="15" t="str">
        <f t="shared" si="22"/>
        <v/>
      </c>
      <c r="X184" s="5" t="str">
        <f t="shared" si="23"/>
        <v/>
      </c>
      <c r="Y184" s="7" t="str">
        <f t="shared" si="24"/>
        <v/>
      </c>
      <c r="Z184" s="7" t="str">
        <f>IF(OR(AE184="",多次统计数据!$B$8=""),"",AE184-多次统计数据!$B$8)</f>
        <v/>
      </c>
      <c r="AA184" s="16" t="str">
        <f t="shared" si="2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26"/>
        <v/>
      </c>
    </row>
    <row r="185" ht="17" spans="1:31">
      <c r="A185" s="2"/>
      <c r="B185" s="2"/>
      <c r="C185" s="9"/>
      <c r="D185" s="6"/>
      <c r="E185" s="9"/>
      <c r="F185" s="8" t="str">
        <f t="shared" si="18"/>
        <v/>
      </c>
      <c r="G185" s="8" t="str">
        <f>IF(OR(A185="",F185="",E185="",N185="",E185&lt;=N185,账户数据!$B$7=""),"",IF(账户数据!$B$9+IF(H185="",F185*(E185-N185),0)&gt;=账户数据!$B$7,"禁止开仓","允许开仓"))</f>
        <v/>
      </c>
      <c r="H185" s="2"/>
      <c r="I185" s="10"/>
      <c r="J185" s="9"/>
      <c r="K185" s="9"/>
      <c r="L185" s="8" t="str">
        <f t="shared" si="19"/>
        <v/>
      </c>
      <c r="M185" s="10"/>
      <c r="N185" s="9"/>
      <c r="O185" s="9"/>
      <c r="P185" s="9"/>
      <c r="Q185" s="2"/>
      <c r="R185" s="2"/>
      <c r="S185" s="2"/>
      <c r="T185" s="2"/>
      <c r="U185" s="7" t="str">
        <f t="shared" si="20"/>
        <v/>
      </c>
      <c r="V185" s="7" t="str">
        <f t="shared" si="21"/>
        <v/>
      </c>
      <c r="W185" s="15" t="str">
        <f t="shared" si="22"/>
        <v/>
      </c>
      <c r="X185" s="5" t="str">
        <f t="shared" si="23"/>
        <v/>
      </c>
      <c r="Y185" s="7" t="str">
        <f t="shared" si="24"/>
        <v/>
      </c>
      <c r="Z185" s="7" t="str">
        <f>IF(OR(AE185="",多次统计数据!$B$8=""),"",AE185-多次统计数据!$B$8)</f>
        <v/>
      </c>
      <c r="AA185" s="16" t="str">
        <f t="shared" si="2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26"/>
        <v/>
      </c>
    </row>
    <row r="186" ht="17" spans="1:31">
      <c r="A186" s="2"/>
      <c r="B186" s="2"/>
      <c r="C186" s="9"/>
      <c r="D186" s="6"/>
      <c r="E186" s="9"/>
      <c r="F186" s="8" t="str">
        <f t="shared" si="18"/>
        <v/>
      </c>
      <c r="G186" s="8" t="str">
        <f>IF(OR(A186="",F186="",E186="",N186="",E186&lt;=N186,账户数据!$B$7=""),"",IF(账户数据!$B$9+IF(H186="",F186*(E186-N186),0)&gt;=账户数据!$B$7,"禁止开仓","允许开仓"))</f>
        <v/>
      </c>
      <c r="H186" s="2"/>
      <c r="I186" s="10"/>
      <c r="J186" s="9"/>
      <c r="K186" s="9"/>
      <c r="L186" s="8" t="str">
        <f t="shared" si="19"/>
        <v/>
      </c>
      <c r="M186" s="10"/>
      <c r="N186" s="9"/>
      <c r="O186" s="9"/>
      <c r="P186" s="9"/>
      <c r="Q186" s="2"/>
      <c r="R186" s="2"/>
      <c r="S186" s="2"/>
      <c r="T186" s="2"/>
      <c r="U186" s="7" t="str">
        <f t="shared" si="20"/>
        <v/>
      </c>
      <c r="V186" s="7" t="str">
        <f t="shared" si="21"/>
        <v/>
      </c>
      <c r="W186" s="15" t="str">
        <f t="shared" si="22"/>
        <v/>
      </c>
      <c r="X186" s="5" t="str">
        <f t="shared" si="23"/>
        <v/>
      </c>
      <c r="Y186" s="7" t="str">
        <f t="shared" si="24"/>
        <v/>
      </c>
      <c r="Z186" s="7" t="str">
        <f>IF(OR(AE186="",多次统计数据!$B$8=""),"",AE186-多次统计数据!$B$8)</f>
        <v/>
      </c>
      <c r="AA186" s="16" t="str">
        <f t="shared" si="2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26"/>
        <v/>
      </c>
    </row>
    <row r="187" ht="17" spans="1:31">
      <c r="A187" s="2"/>
      <c r="B187" s="2"/>
      <c r="C187" s="9"/>
      <c r="D187" s="6"/>
      <c r="E187" s="9"/>
      <c r="F187" s="8" t="str">
        <f t="shared" si="18"/>
        <v/>
      </c>
      <c r="G187" s="8" t="str">
        <f>IF(OR(A187="",F187="",E187="",N187="",E187&lt;=N187,账户数据!$B$7=""),"",IF(账户数据!$B$9+IF(H187="",F187*(E187-N187),0)&gt;=账户数据!$B$7,"禁止开仓","允许开仓"))</f>
        <v/>
      </c>
      <c r="H187" s="2"/>
      <c r="I187" s="10"/>
      <c r="J187" s="9"/>
      <c r="K187" s="9"/>
      <c r="L187" s="8" t="str">
        <f t="shared" si="19"/>
        <v/>
      </c>
      <c r="M187" s="10"/>
      <c r="N187" s="9"/>
      <c r="O187" s="9"/>
      <c r="P187" s="9"/>
      <c r="Q187" s="2"/>
      <c r="R187" s="2"/>
      <c r="S187" s="2"/>
      <c r="T187" s="2"/>
      <c r="U187" s="7" t="str">
        <f t="shared" si="20"/>
        <v/>
      </c>
      <c r="V187" s="7" t="str">
        <f t="shared" si="21"/>
        <v/>
      </c>
      <c r="W187" s="15" t="str">
        <f t="shared" si="22"/>
        <v/>
      </c>
      <c r="X187" s="5" t="str">
        <f t="shared" si="23"/>
        <v/>
      </c>
      <c r="Y187" s="7" t="str">
        <f t="shared" si="24"/>
        <v/>
      </c>
      <c r="Z187" s="7" t="str">
        <f>IF(OR(AE187="",多次统计数据!$B$8=""),"",AE187-多次统计数据!$B$8)</f>
        <v/>
      </c>
      <c r="AA187" s="16" t="str">
        <f t="shared" si="2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26"/>
        <v/>
      </c>
    </row>
    <row r="188" ht="17" spans="1:31">
      <c r="A188" s="2"/>
      <c r="B188" s="2"/>
      <c r="C188" s="9"/>
      <c r="D188" s="6"/>
      <c r="E188" s="9"/>
      <c r="F188" s="8" t="str">
        <f t="shared" si="18"/>
        <v/>
      </c>
      <c r="G188" s="8" t="str">
        <f>IF(OR(A188="",F188="",E188="",N188="",E188&lt;=N188,账户数据!$B$7=""),"",IF(账户数据!$B$9+IF(H188="",F188*(E188-N188),0)&gt;=账户数据!$B$7,"禁止开仓","允许开仓"))</f>
        <v/>
      </c>
      <c r="H188" s="2"/>
      <c r="I188" s="10"/>
      <c r="J188" s="9"/>
      <c r="K188" s="9"/>
      <c r="L188" s="8" t="str">
        <f t="shared" si="19"/>
        <v/>
      </c>
      <c r="M188" s="10"/>
      <c r="N188" s="9"/>
      <c r="O188" s="9"/>
      <c r="P188" s="9"/>
      <c r="Q188" s="2"/>
      <c r="R188" s="2"/>
      <c r="S188" s="2"/>
      <c r="T188" s="2"/>
      <c r="U188" s="7" t="str">
        <f t="shared" si="20"/>
        <v/>
      </c>
      <c r="V188" s="7" t="str">
        <f t="shared" si="21"/>
        <v/>
      </c>
      <c r="W188" s="15" t="str">
        <f t="shared" si="22"/>
        <v/>
      </c>
      <c r="X188" s="5" t="str">
        <f t="shared" si="23"/>
        <v/>
      </c>
      <c r="Y188" s="7" t="str">
        <f t="shared" si="24"/>
        <v/>
      </c>
      <c r="Z188" s="7" t="str">
        <f>IF(OR(AE188="",多次统计数据!$B$8=""),"",AE188-多次统计数据!$B$8)</f>
        <v/>
      </c>
      <c r="AA188" s="16" t="str">
        <f t="shared" si="2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26"/>
        <v/>
      </c>
    </row>
    <row r="189" ht="17" spans="1:31">
      <c r="A189" s="2"/>
      <c r="B189" s="2"/>
      <c r="C189" s="9"/>
      <c r="D189" s="6"/>
      <c r="E189" s="9"/>
      <c r="F189" s="8" t="str">
        <f t="shared" si="18"/>
        <v/>
      </c>
      <c r="G189" s="8" t="str">
        <f>IF(OR(A189="",F189="",E189="",N189="",E189&lt;=N189,账户数据!$B$7=""),"",IF(账户数据!$B$9+IF(H189="",F189*(E189-N189),0)&gt;=账户数据!$B$7,"禁止开仓","允许开仓"))</f>
        <v/>
      </c>
      <c r="H189" s="2"/>
      <c r="I189" s="10"/>
      <c r="J189" s="9"/>
      <c r="K189" s="9"/>
      <c r="L189" s="8" t="str">
        <f t="shared" si="19"/>
        <v/>
      </c>
      <c r="M189" s="10"/>
      <c r="N189" s="9"/>
      <c r="O189" s="9"/>
      <c r="P189" s="9"/>
      <c r="Q189" s="2"/>
      <c r="R189" s="2"/>
      <c r="S189" s="2"/>
      <c r="T189" s="2"/>
      <c r="U189" s="7" t="str">
        <f t="shared" si="20"/>
        <v/>
      </c>
      <c r="V189" s="7" t="str">
        <f t="shared" si="21"/>
        <v/>
      </c>
      <c r="W189" s="15" t="str">
        <f t="shared" si="22"/>
        <v/>
      </c>
      <c r="X189" s="5" t="str">
        <f t="shared" si="23"/>
        <v/>
      </c>
      <c r="Y189" s="7" t="str">
        <f t="shared" si="24"/>
        <v/>
      </c>
      <c r="Z189" s="7" t="str">
        <f>IF(OR(AE189="",多次统计数据!$B$8=""),"",AE189-多次统计数据!$B$8)</f>
        <v/>
      </c>
      <c r="AA189" s="16" t="str">
        <f t="shared" si="2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26"/>
        <v/>
      </c>
    </row>
    <row r="190" ht="17" spans="1:31">
      <c r="A190" s="2"/>
      <c r="B190" s="2"/>
      <c r="C190" s="9"/>
      <c r="D190" s="6"/>
      <c r="E190" s="9"/>
      <c r="F190" s="8" t="str">
        <f t="shared" si="18"/>
        <v/>
      </c>
      <c r="G190" s="8" t="str">
        <f>IF(OR(A190="",F190="",E190="",N190="",E190&lt;=N190,账户数据!$B$7=""),"",IF(账户数据!$B$9+IF(H190="",F190*(E190-N190),0)&gt;=账户数据!$B$7,"禁止开仓","允许开仓"))</f>
        <v/>
      </c>
      <c r="H190" s="2"/>
      <c r="I190" s="10"/>
      <c r="J190" s="9"/>
      <c r="K190" s="9"/>
      <c r="L190" s="8" t="str">
        <f t="shared" si="19"/>
        <v/>
      </c>
      <c r="M190" s="10"/>
      <c r="N190" s="9"/>
      <c r="O190" s="9"/>
      <c r="P190" s="9"/>
      <c r="Q190" s="2"/>
      <c r="R190" s="2"/>
      <c r="S190" s="2"/>
      <c r="T190" s="2"/>
      <c r="U190" s="7" t="str">
        <f t="shared" si="20"/>
        <v/>
      </c>
      <c r="V190" s="7" t="str">
        <f t="shared" si="21"/>
        <v/>
      </c>
      <c r="W190" s="15" t="str">
        <f t="shared" si="22"/>
        <v/>
      </c>
      <c r="X190" s="5" t="str">
        <f t="shared" si="23"/>
        <v/>
      </c>
      <c r="Y190" s="7" t="str">
        <f t="shared" si="24"/>
        <v/>
      </c>
      <c r="Z190" s="7" t="str">
        <f>IF(OR(AE190="",多次统计数据!$B$8=""),"",AE190-多次统计数据!$B$8)</f>
        <v/>
      </c>
      <c r="AA190" s="16" t="str">
        <f t="shared" si="2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26"/>
        <v/>
      </c>
    </row>
    <row r="191" ht="17" spans="1:31">
      <c r="A191" s="2"/>
      <c r="B191" s="2"/>
      <c r="C191" s="9"/>
      <c r="D191" s="6"/>
      <c r="E191" s="9"/>
      <c r="F191" s="8" t="str">
        <f t="shared" si="18"/>
        <v/>
      </c>
      <c r="G191" s="8" t="str">
        <f>IF(OR(A191="",F191="",E191="",N191="",E191&lt;=N191,账户数据!$B$7=""),"",IF(账户数据!$B$9+IF(H191="",F191*(E191-N191),0)&gt;=账户数据!$B$7,"禁止开仓","允许开仓"))</f>
        <v/>
      </c>
      <c r="H191" s="2"/>
      <c r="I191" s="10"/>
      <c r="J191" s="9"/>
      <c r="K191" s="9"/>
      <c r="L191" s="8" t="str">
        <f t="shared" si="19"/>
        <v/>
      </c>
      <c r="M191" s="10"/>
      <c r="N191" s="9"/>
      <c r="O191" s="9"/>
      <c r="P191" s="9"/>
      <c r="Q191" s="2"/>
      <c r="R191" s="2"/>
      <c r="S191" s="2"/>
      <c r="T191" s="2"/>
      <c r="U191" s="7" t="str">
        <f t="shared" si="20"/>
        <v/>
      </c>
      <c r="V191" s="7" t="str">
        <f t="shared" si="21"/>
        <v/>
      </c>
      <c r="W191" s="15" t="str">
        <f t="shared" si="22"/>
        <v/>
      </c>
      <c r="X191" s="5" t="str">
        <f t="shared" si="23"/>
        <v/>
      </c>
      <c r="Y191" s="7" t="str">
        <f t="shared" si="24"/>
        <v/>
      </c>
      <c r="Z191" s="7" t="str">
        <f>IF(OR(AE191="",多次统计数据!$B$8=""),"",AE191-多次统计数据!$B$8)</f>
        <v/>
      </c>
      <c r="AA191" s="16" t="str">
        <f t="shared" si="2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26"/>
        <v/>
      </c>
    </row>
    <row r="192" ht="17" spans="1:31">
      <c r="A192" s="2"/>
      <c r="B192" s="2"/>
      <c r="C192" s="9"/>
      <c r="D192" s="6"/>
      <c r="E192" s="9"/>
      <c r="F192" s="8" t="str">
        <f t="shared" si="18"/>
        <v/>
      </c>
      <c r="G192" s="8" t="str">
        <f>IF(OR(A192="",F192="",E192="",N192="",E192&lt;=N192,账户数据!$B$7=""),"",IF(账户数据!$B$9+IF(H192="",F192*(E192-N192),0)&gt;=账户数据!$B$7,"禁止开仓","允许开仓"))</f>
        <v/>
      </c>
      <c r="H192" s="2"/>
      <c r="I192" s="10"/>
      <c r="J192" s="9"/>
      <c r="K192" s="9"/>
      <c r="L192" s="8" t="str">
        <f t="shared" si="19"/>
        <v/>
      </c>
      <c r="M192" s="10"/>
      <c r="N192" s="9"/>
      <c r="O192" s="9"/>
      <c r="P192" s="9"/>
      <c r="Q192" s="2"/>
      <c r="R192" s="2"/>
      <c r="S192" s="2"/>
      <c r="T192" s="2"/>
      <c r="U192" s="7" t="str">
        <f t="shared" si="20"/>
        <v/>
      </c>
      <c r="V192" s="7" t="str">
        <f t="shared" si="21"/>
        <v/>
      </c>
      <c r="W192" s="15" t="str">
        <f t="shared" si="22"/>
        <v/>
      </c>
      <c r="X192" s="5" t="str">
        <f t="shared" si="23"/>
        <v/>
      </c>
      <c r="Y192" s="7" t="str">
        <f t="shared" si="24"/>
        <v/>
      </c>
      <c r="Z192" s="7" t="str">
        <f>IF(OR(AE192="",多次统计数据!$B$8=""),"",AE192-多次统计数据!$B$8)</f>
        <v/>
      </c>
      <c r="AA192" s="16" t="str">
        <f t="shared" si="2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26"/>
        <v/>
      </c>
    </row>
    <row r="193" ht="17" spans="1:31">
      <c r="A193" s="2"/>
      <c r="B193" s="2"/>
      <c r="C193" s="9"/>
      <c r="D193" s="6"/>
      <c r="E193" s="9"/>
      <c r="F193" s="8" t="str">
        <f t="shared" si="18"/>
        <v/>
      </c>
      <c r="G193" s="8" t="str">
        <f>IF(OR(A193="",F193="",E193="",N193="",E193&lt;=N193,账户数据!$B$7=""),"",IF(账户数据!$B$9+IF(H193="",F193*(E193-N193),0)&gt;=账户数据!$B$7,"禁止开仓","允许开仓"))</f>
        <v/>
      </c>
      <c r="H193" s="2"/>
      <c r="I193" s="10"/>
      <c r="J193" s="9"/>
      <c r="K193" s="9"/>
      <c r="L193" s="8" t="str">
        <f t="shared" si="19"/>
        <v/>
      </c>
      <c r="M193" s="10"/>
      <c r="N193" s="9"/>
      <c r="O193" s="9"/>
      <c r="P193" s="9"/>
      <c r="Q193" s="2"/>
      <c r="R193" s="2"/>
      <c r="S193" s="2"/>
      <c r="T193" s="2"/>
      <c r="U193" s="7" t="str">
        <f t="shared" si="20"/>
        <v/>
      </c>
      <c r="V193" s="7" t="str">
        <f t="shared" si="21"/>
        <v/>
      </c>
      <c r="W193" s="15" t="str">
        <f t="shared" si="22"/>
        <v/>
      </c>
      <c r="X193" s="5" t="str">
        <f t="shared" si="23"/>
        <v/>
      </c>
      <c r="Y193" s="7" t="str">
        <f t="shared" si="24"/>
        <v/>
      </c>
      <c r="Z193" s="7" t="str">
        <f>IF(OR(AE193="",多次统计数据!$B$8=""),"",AE193-多次统计数据!$B$8)</f>
        <v/>
      </c>
      <c r="AA193" s="16" t="str">
        <f t="shared" si="2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26"/>
        <v/>
      </c>
    </row>
    <row r="194" ht="17" spans="1:31">
      <c r="A194" s="2"/>
      <c r="B194" s="2"/>
      <c r="C194" s="9"/>
      <c r="D194" s="6"/>
      <c r="E194" s="9"/>
      <c r="F194" s="8" t="str">
        <f t="shared" ref="F194:F201" si="27">IF(OR(C194="",D194="",E194="",N194="",C194&lt;=0,D194&lt;=0,E194&lt;=N194),"",ROUNDDOWN((C194*D194)/(E194-N194)/100,0)*100)</f>
        <v/>
      </c>
      <c r="G194" s="8" t="str">
        <f>IF(OR(A194="",F194="",E194="",N194="",E194&lt;=N194,账户数据!$B$7=""),"",IF(账户数据!$B$9+IF(H194="",F194*(E194-N194),0)&gt;=账户数据!$B$7,"禁止开仓","允许开仓"))</f>
        <v/>
      </c>
      <c r="H194" s="2"/>
      <c r="I194" s="10"/>
      <c r="J194" s="9"/>
      <c r="K194" s="9"/>
      <c r="L194" s="8" t="str">
        <f t="shared" ref="L194:L201" si="28">IF(K194="","",H194)</f>
        <v/>
      </c>
      <c r="M194" s="10"/>
      <c r="N194" s="9"/>
      <c r="O194" s="9"/>
      <c r="P194" s="9"/>
      <c r="Q194" s="2"/>
      <c r="R194" s="2"/>
      <c r="S194" s="2"/>
      <c r="T194" s="2"/>
      <c r="U194" s="7" t="str">
        <f t="shared" ref="U194:U201" si="29">IF(OR(E194="",J194="",E194&lt;=0),"",(J194-E194)/E194)</f>
        <v/>
      </c>
      <c r="V194" s="7" t="str">
        <f t="shared" ref="V194:V201" si="30">IF(OR(E194="",N194="",E194&lt;=0),"",(E194-N194)/E194)</f>
        <v/>
      </c>
      <c r="W194" s="15" t="str">
        <f t="shared" ref="W194:W201" si="31">IF(OR(U194="",V194="",V194&lt;=0),"",U194/V194)</f>
        <v/>
      </c>
      <c r="X194" s="5" t="str">
        <f t="shared" ref="X194:X201" si="32">IF(OR(K194="",L194="",E194="",H194=""),"",K194*L194-E194*H194-IF(O194="",0,O194)-IF(P194="",0,P194))</f>
        <v/>
      </c>
      <c r="Y194" s="7" t="str">
        <f t="shared" ref="Y194:Y201" si="33">IF(OR(X194="",E194="",H194=""),"",IF(E194*H194+IF(O194="",0,O194)&lt;=0,"",X194/(E194*H194+IF(O194="",0,O194))))</f>
        <v/>
      </c>
      <c r="Z194" s="7" t="str">
        <f>IF(OR(AE194="",多次统计数据!$B$8=""),"",AE194-多次统计数据!$B$8)</f>
        <v/>
      </c>
      <c r="AA194" s="16" t="str">
        <f t="shared" ref="AA194:AA201" si="34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35">IF(OR(X194="",C194="",C194&lt;=0),"",X194/C194)</f>
        <v/>
      </c>
    </row>
    <row r="195" ht="17" spans="1:31">
      <c r="A195" s="2"/>
      <c r="B195" s="2"/>
      <c r="C195" s="9"/>
      <c r="D195" s="6"/>
      <c r="E195" s="9"/>
      <c r="F195" s="8" t="str">
        <f t="shared" si="27"/>
        <v/>
      </c>
      <c r="G195" s="8" t="str">
        <f>IF(OR(A195="",F195="",E195="",N195="",E195&lt;=N195,账户数据!$B$7=""),"",IF(账户数据!$B$9+IF(H195="",F195*(E195-N195),0)&gt;=账户数据!$B$7,"禁止开仓","允许开仓"))</f>
        <v/>
      </c>
      <c r="H195" s="2"/>
      <c r="I195" s="10"/>
      <c r="J195" s="9"/>
      <c r="K195" s="9"/>
      <c r="L195" s="8" t="str">
        <f t="shared" si="28"/>
        <v/>
      </c>
      <c r="M195" s="10"/>
      <c r="N195" s="9"/>
      <c r="O195" s="9"/>
      <c r="P195" s="9"/>
      <c r="Q195" s="2"/>
      <c r="R195" s="2"/>
      <c r="S195" s="2"/>
      <c r="T195" s="2"/>
      <c r="U195" s="7" t="str">
        <f t="shared" si="29"/>
        <v/>
      </c>
      <c r="V195" s="7" t="str">
        <f t="shared" si="30"/>
        <v/>
      </c>
      <c r="W195" s="15" t="str">
        <f t="shared" si="31"/>
        <v/>
      </c>
      <c r="X195" s="5" t="str">
        <f t="shared" si="32"/>
        <v/>
      </c>
      <c r="Y195" s="7" t="str">
        <f t="shared" si="33"/>
        <v/>
      </c>
      <c r="Z195" s="7" t="str">
        <f>IF(OR(AE195="",多次统计数据!$B$8=""),"",AE195-多次统计数据!$B$8)</f>
        <v/>
      </c>
      <c r="AA195" s="16" t="str">
        <f t="shared" si="34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35"/>
        <v/>
      </c>
    </row>
    <row r="196" ht="17" spans="1:31">
      <c r="A196" s="2"/>
      <c r="B196" s="2"/>
      <c r="C196" s="9"/>
      <c r="D196" s="6"/>
      <c r="E196" s="9"/>
      <c r="F196" s="8" t="str">
        <f t="shared" si="27"/>
        <v/>
      </c>
      <c r="G196" s="8" t="str">
        <f>IF(OR(A196="",F196="",E196="",N196="",E196&lt;=N196,账户数据!$B$7=""),"",IF(账户数据!$B$9+IF(H196="",F196*(E196-N196),0)&gt;=账户数据!$B$7,"禁止开仓","允许开仓"))</f>
        <v/>
      </c>
      <c r="H196" s="2"/>
      <c r="I196" s="10"/>
      <c r="J196" s="9"/>
      <c r="K196" s="9"/>
      <c r="L196" s="8" t="str">
        <f t="shared" si="28"/>
        <v/>
      </c>
      <c r="M196" s="10"/>
      <c r="N196" s="9"/>
      <c r="O196" s="9"/>
      <c r="P196" s="9"/>
      <c r="Q196" s="2"/>
      <c r="R196" s="2"/>
      <c r="S196" s="2"/>
      <c r="T196" s="2"/>
      <c r="U196" s="7" t="str">
        <f t="shared" si="29"/>
        <v/>
      </c>
      <c r="V196" s="7" t="str">
        <f t="shared" si="30"/>
        <v/>
      </c>
      <c r="W196" s="15" t="str">
        <f t="shared" si="31"/>
        <v/>
      </c>
      <c r="X196" s="5" t="str">
        <f t="shared" si="32"/>
        <v/>
      </c>
      <c r="Y196" s="7" t="str">
        <f t="shared" si="33"/>
        <v/>
      </c>
      <c r="Z196" s="7" t="str">
        <f>IF(OR(AE196="",多次统计数据!$B$8=""),"",AE196-多次统计数据!$B$8)</f>
        <v/>
      </c>
      <c r="AA196" s="16" t="str">
        <f t="shared" si="34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35"/>
        <v/>
      </c>
    </row>
    <row r="197" ht="17" spans="1:31">
      <c r="A197" s="2"/>
      <c r="B197" s="2"/>
      <c r="C197" s="9"/>
      <c r="D197" s="6"/>
      <c r="E197" s="9"/>
      <c r="F197" s="8" t="str">
        <f t="shared" si="27"/>
        <v/>
      </c>
      <c r="G197" s="8" t="str">
        <f>IF(OR(A197="",F197="",E197="",N197="",E197&lt;=N197,账户数据!$B$7=""),"",IF(账户数据!$B$9+IF(H197="",F197*(E197-N197),0)&gt;=账户数据!$B$7,"禁止开仓","允许开仓"))</f>
        <v/>
      </c>
      <c r="H197" s="2"/>
      <c r="I197" s="10"/>
      <c r="J197" s="9"/>
      <c r="K197" s="9"/>
      <c r="L197" s="8" t="str">
        <f t="shared" si="28"/>
        <v/>
      </c>
      <c r="M197" s="10"/>
      <c r="N197" s="9"/>
      <c r="O197" s="9"/>
      <c r="P197" s="9"/>
      <c r="Q197" s="2"/>
      <c r="R197" s="2"/>
      <c r="S197" s="2"/>
      <c r="T197" s="2"/>
      <c r="U197" s="7" t="str">
        <f t="shared" si="29"/>
        <v/>
      </c>
      <c r="V197" s="7" t="str">
        <f t="shared" si="30"/>
        <v/>
      </c>
      <c r="W197" s="15" t="str">
        <f t="shared" si="31"/>
        <v/>
      </c>
      <c r="X197" s="5" t="str">
        <f t="shared" si="32"/>
        <v/>
      </c>
      <c r="Y197" s="7" t="str">
        <f t="shared" si="33"/>
        <v/>
      </c>
      <c r="Z197" s="7" t="str">
        <f>IF(OR(AE197="",多次统计数据!$B$8=""),"",AE197-多次统计数据!$B$8)</f>
        <v/>
      </c>
      <c r="AA197" s="16" t="str">
        <f t="shared" si="34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35"/>
        <v/>
      </c>
    </row>
    <row r="198" ht="17" spans="1:31">
      <c r="A198" s="2"/>
      <c r="B198" s="2"/>
      <c r="C198" s="9"/>
      <c r="D198" s="6"/>
      <c r="E198" s="9"/>
      <c r="F198" s="8" t="str">
        <f t="shared" si="27"/>
        <v/>
      </c>
      <c r="G198" s="8" t="str">
        <f>IF(OR(A198="",F198="",E198="",N198="",E198&lt;=N198,账户数据!$B$7=""),"",IF(账户数据!$B$9+IF(H198="",F198*(E198-N198),0)&gt;=账户数据!$B$7,"禁止开仓","允许开仓"))</f>
        <v/>
      </c>
      <c r="H198" s="2"/>
      <c r="I198" s="10"/>
      <c r="J198" s="9"/>
      <c r="K198" s="9"/>
      <c r="L198" s="8" t="str">
        <f t="shared" si="28"/>
        <v/>
      </c>
      <c r="M198" s="10"/>
      <c r="N198" s="9"/>
      <c r="O198" s="9"/>
      <c r="P198" s="9"/>
      <c r="Q198" s="2"/>
      <c r="R198" s="2"/>
      <c r="S198" s="2"/>
      <c r="T198" s="2"/>
      <c r="U198" s="7" t="str">
        <f t="shared" si="29"/>
        <v/>
      </c>
      <c r="V198" s="7" t="str">
        <f t="shared" si="30"/>
        <v/>
      </c>
      <c r="W198" s="15" t="str">
        <f t="shared" si="31"/>
        <v/>
      </c>
      <c r="X198" s="5" t="str">
        <f t="shared" si="32"/>
        <v/>
      </c>
      <c r="Y198" s="7" t="str">
        <f t="shared" si="33"/>
        <v/>
      </c>
      <c r="Z198" s="7" t="str">
        <f>IF(OR(AE198="",多次统计数据!$B$8=""),"",AE198-多次统计数据!$B$8)</f>
        <v/>
      </c>
      <c r="AA198" s="16" t="str">
        <f t="shared" si="34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35"/>
        <v/>
      </c>
    </row>
    <row r="199" ht="17" spans="1:31">
      <c r="A199" s="2"/>
      <c r="B199" s="2"/>
      <c r="C199" s="9"/>
      <c r="D199" s="6"/>
      <c r="E199" s="9"/>
      <c r="F199" s="8" t="str">
        <f t="shared" si="27"/>
        <v/>
      </c>
      <c r="G199" s="8" t="str">
        <f>IF(OR(A199="",F199="",E199="",N199="",E199&lt;=N199,账户数据!$B$7=""),"",IF(账户数据!$B$9+IF(H199="",F199*(E199-N199),0)&gt;=账户数据!$B$7,"禁止开仓","允许开仓"))</f>
        <v/>
      </c>
      <c r="H199" s="2"/>
      <c r="I199" s="10"/>
      <c r="J199" s="9"/>
      <c r="K199" s="9"/>
      <c r="L199" s="8" t="str">
        <f t="shared" si="28"/>
        <v/>
      </c>
      <c r="M199" s="10"/>
      <c r="N199" s="9"/>
      <c r="O199" s="9"/>
      <c r="P199" s="9"/>
      <c r="Q199" s="2"/>
      <c r="R199" s="2"/>
      <c r="S199" s="2"/>
      <c r="T199" s="2"/>
      <c r="U199" s="7" t="str">
        <f t="shared" si="29"/>
        <v/>
      </c>
      <c r="V199" s="7" t="str">
        <f t="shared" si="30"/>
        <v/>
      </c>
      <c r="W199" s="15" t="str">
        <f t="shared" si="31"/>
        <v/>
      </c>
      <c r="X199" s="5" t="str">
        <f t="shared" si="32"/>
        <v/>
      </c>
      <c r="Y199" s="7" t="str">
        <f t="shared" si="33"/>
        <v/>
      </c>
      <c r="Z199" s="7" t="str">
        <f>IF(OR(AE199="",多次统计数据!$B$8=""),"",AE199-多次统计数据!$B$8)</f>
        <v/>
      </c>
      <c r="AA199" s="16" t="str">
        <f t="shared" si="34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35"/>
        <v/>
      </c>
    </row>
    <row r="200" ht="17" spans="1:31">
      <c r="A200" s="2"/>
      <c r="B200" s="2"/>
      <c r="C200" s="9"/>
      <c r="D200" s="6"/>
      <c r="E200" s="9"/>
      <c r="F200" s="8" t="str">
        <f t="shared" si="27"/>
        <v/>
      </c>
      <c r="G200" s="8" t="str">
        <f>IF(OR(A200="",F200="",E200="",N200="",E200&lt;=N200,账户数据!$B$7=""),"",IF(账户数据!$B$9+IF(H200="",F200*(E200-N200),0)&gt;=账户数据!$B$7,"禁止开仓","允许开仓"))</f>
        <v/>
      </c>
      <c r="H200" s="2"/>
      <c r="I200" s="10"/>
      <c r="J200" s="9"/>
      <c r="K200" s="9"/>
      <c r="L200" s="8" t="str">
        <f t="shared" si="28"/>
        <v/>
      </c>
      <c r="M200" s="10"/>
      <c r="N200" s="9"/>
      <c r="O200" s="9"/>
      <c r="P200" s="9"/>
      <c r="Q200" s="2"/>
      <c r="R200" s="2"/>
      <c r="S200" s="2"/>
      <c r="T200" s="2"/>
      <c r="U200" s="7" t="str">
        <f t="shared" si="29"/>
        <v/>
      </c>
      <c r="V200" s="7" t="str">
        <f t="shared" si="30"/>
        <v/>
      </c>
      <c r="W200" s="15" t="str">
        <f t="shared" si="31"/>
        <v/>
      </c>
      <c r="X200" s="5" t="str">
        <f t="shared" si="32"/>
        <v/>
      </c>
      <c r="Y200" s="7" t="str">
        <f t="shared" si="33"/>
        <v/>
      </c>
      <c r="Z200" s="7" t="str">
        <f>IF(OR(AE200="",多次统计数据!$B$8=""),"",AE200-多次统计数据!$B$8)</f>
        <v/>
      </c>
      <c r="AA200" s="16" t="str">
        <f t="shared" si="34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35"/>
        <v/>
      </c>
    </row>
    <row r="201" ht="17" spans="1:31">
      <c r="A201" s="2"/>
      <c r="B201" s="2"/>
      <c r="C201" s="9"/>
      <c r="D201" s="6"/>
      <c r="E201" s="9"/>
      <c r="F201" s="8" t="str">
        <f t="shared" si="27"/>
        <v/>
      </c>
      <c r="G201" s="8" t="str">
        <f>IF(OR(A201="",F201="",E201="",N201="",E201&lt;=N201,账户数据!$B$7=""),"",IF(账户数据!$B$9+IF(H201="",F201*(E201-N201),0)&gt;=账户数据!$B$7,"禁止开仓","允许开仓"))</f>
        <v/>
      </c>
      <c r="H201" s="2"/>
      <c r="I201" s="10"/>
      <c r="J201" s="9"/>
      <c r="K201" s="9"/>
      <c r="L201" s="8" t="str">
        <f t="shared" si="28"/>
        <v/>
      </c>
      <c r="M201" s="10"/>
      <c r="N201" s="9"/>
      <c r="O201" s="9"/>
      <c r="P201" s="9"/>
      <c r="Q201" s="2"/>
      <c r="R201" s="2"/>
      <c r="S201" s="2"/>
      <c r="T201" s="2"/>
      <c r="U201" s="7" t="str">
        <f t="shared" si="29"/>
        <v/>
      </c>
      <c r="V201" s="7" t="str">
        <f t="shared" si="30"/>
        <v/>
      </c>
      <c r="W201" s="15" t="str">
        <f t="shared" si="31"/>
        <v/>
      </c>
      <c r="X201" s="5" t="str">
        <f t="shared" si="32"/>
        <v/>
      </c>
      <c r="Y201" s="7" t="str">
        <f t="shared" si="33"/>
        <v/>
      </c>
      <c r="Z201" s="7" t="str">
        <f>IF(OR(AE201="",多次统计数据!$B$8=""),"",AE201-多次统计数据!$B$8)</f>
        <v/>
      </c>
      <c r="AA201" s="16" t="str">
        <f t="shared" si="34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35"/>
        <v/>
      </c>
    </row>
  </sheetData>
  <conditionalFormatting sqref="G2:G201">
    <cfRule type="expression" dxfId="0" priority="10">
      <formula>$G2="禁止开仓"</formula>
    </cfRule>
    <cfRule type="expression" dxfId="1" priority="11">
      <formula>$G2="允许开仓"</formula>
    </cfRule>
  </conditionalFormatting>
  <conditionalFormatting sqref="W2:W201">
    <cfRule type="cellIs" dxfId="2" priority="3" operator="lessThan">
      <formula>2</formula>
    </cfRule>
  </conditionalFormatting>
  <conditionalFormatting sqref="X2:X201">
    <cfRule type="cellIs" dxfId="1" priority="1" operator="greaterThan">
      <formula>0</formula>
    </cfRule>
    <cfRule type="cellIs" dxfId="0" priority="2" operator="lessThan">
      <formula>0</formula>
    </cfRule>
  </conditionalFormatting>
  <conditionalFormatting sqref="Y2:Y201">
    <cfRule type="cellIs" dxfId="1" priority="6" operator="greaterThan">
      <formula>0</formula>
    </cfRule>
    <cfRule type="cellIs" dxfId="0" priority="7" operator="lessThan">
      <formula>0</formula>
    </cfRule>
  </conditionalFormatting>
  <conditionalFormatting sqref="AC2:AC201">
    <cfRule type="expression" dxfId="0" priority="4">
      <formula>$AC2="达到或超过上限"</formula>
    </cfRule>
    <cfRule type="expression" dxfId="1" priority="5">
      <formula>$AC2="低于上限"</formula>
    </cfRule>
  </conditionalFormatting>
  <conditionalFormatting sqref="AE2:AE201">
    <cfRule type="cellIs" dxfId="1" priority="8" operator="greaterThan">
      <formula>0</formula>
    </cfRule>
    <cfRule type="cellIs" dxfId="0" priority="9" operator="lessThan">
      <formula>0</formula>
    </cfRule>
  </conditionalFormatting>
  <dataValidations count="8">
    <dataValidation type="decimal" operator="greaterThan" allowBlank="1" sqref="C2 C4:C201 E2:E201 N2:N201 J2:K201">
      <formula1>0</formula1>
    </dataValidation>
    <dataValidation type="decimal" operator="between" allowBlank="1" sqref="D2:D201">
      <formula1>0</formula1>
      <formula2>1</formula2>
    </dataValidation>
    <dataValidation type="custom" allowBlank="1" showErrorMessage="1" errorTitle="实际买入股数无效" error="实际买入股数必须是大于0的100股整数倍" sqref="H2:H201">
      <formula1>OR(H2="",AND(ISNUMBER(H2),H2&gt;0,MOD(H2,100)=0))</formula1>
    </dataValidation>
    <dataValidation type="date" operator="between" allowBlank="1" sqref="I2:I201">
      <formula1>DATE(2000,1,1)</formula1>
      <formula2>DATE(2100,12,31)</formula2>
    </dataValidation>
    <dataValidation type="custom" allowBlank="1" sqref="L2:L201">
      <formula1>OR(L2="",L2=H2)</formula1>
    </dataValidation>
    <dataValidation type="custom" allowBlank="1" sqref="M2:M201">
      <formula1>OR(M2="",AND(ISNUMBER(M2),M2&gt;=I2))</formula1>
    </dataValidation>
    <dataValidation type="list" allowBlank="1" sqref="AD2:AD201">
      <formula1>"1-差,2-较差,3-一般,4-良好,5-优秀"</formula1>
    </dataValidation>
    <dataValidation type="decimal" operator="greaterThanOrEqual" allowBlank="1" sqref="O2:P201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01"/>
  <sheetViews>
    <sheetView workbookViewId="0">
      <pane ySplit="1" topLeftCell="A81" activePane="bottomLeft" state="frozen"/>
      <selection/>
      <selection pane="bottomLeft" activeCell="G87" sqref="G87"/>
    </sheetView>
  </sheetViews>
  <sheetFormatPr defaultColWidth="9" defaultRowHeight="16.8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ht="42" customHeight="1" spans="1:11">
      <c r="A1" s="1" t="s">
        <v>0</v>
      </c>
      <c r="B1" s="1" t="s">
        <v>1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t="s">
        <v>31</v>
      </c>
      <c r="K1" t="s">
        <v>92</v>
      </c>
    </row>
    <row r="2" ht="34" spans="1:11">
      <c r="A2" s="2">
        <v>1</v>
      </c>
      <c r="B2" s="2"/>
      <c r="C2" s="2"/>
      <c r="D2" s="2"/>
      <c r="E2" s="10"/>
      <c r="F2" s="2"/>
      <c r="G2" s="2"/>
      <c r="H2" s="2"/>
      <c r="I2" s="2" t="s">
        <v>93</v>
      </c>
    </row>
    <row r="3" ht="51" spans="1:11">
      <c r="A3" s="2"/>
      <c r="B3" s="2"/>
      <c r="C3" s="2"/>
      <c r="D3" s="2"/>
      <c r="E3" s="10"/>
      <c r="F3" s="2"/>
      <c r="G3" s="2"/>
      <c r="H3" s="2"/>
      <c r="I3" s="2" t="s">
        <v>94</v>
      </c>
    </row>
    <row r="4" ht="34" spans="1:11">
      <c r="A4" s="2"/>
      <c r="B4" s="2"/>
      <c r="C4" s="2"/>
      <c r="D4" s="2"/>
      <c r="E4" s="10"/>
      <c r="F4" s="2"/>
      <c r="G4" s="2"/>
      <c r="H4" s="2"/>
      <c r="I4" s="2" t="s">
        <v>95</v>
      </c>
    </row>
    <row r="5" ht="34" spans="1:11">
      <c r="A5" s="2"/>
      <c r="B5" s="2"/>
      <c r="C5" s="2"/>
      <c r="D5" s="2"/>
      <c r="E5" s="10"/>
      <c r="F5" s="2"/>
      <c r="G5" s="2"/>
      <c r="H5" s="2"/>
      <c r="I5" s="11" t="s">
        <v>96</v>
      </c>
    </row>
    <row r="6" ht="34" spans="1:11">
      <c r="A6" s="2"/>
      <c r="B6" s="2"/>
      <c r="C6" s="2"/>
      <c r="D6" s="2"/>
      <c r="E6" s="10"/>
      <c r="F6" s="2"/>
      <c r="G6" s="2"/>
      <c r="H6" s="2"/>
      <c r="I6" s="11" t="s">
        <v>97</v>
      </c>
      <c r="J6" s="12" t="s">
        <v>98</v>
      </c>
    </row>
    <row r="7" ht="17" spans="1:11">
      <c r="A7" s="2"/>
      <c r="B7" s="2"/>
      <c r="C7" s="2"/>
      <c r="D7" s="2"/>
      <c r="E7" s="10"/>
      <c r="F7" s="2"/>
      <c r="G7" s="2"/>
      <c r="H7" s="2"/>
      <c r="I7" s="11" t="s">
        <v>99</v>
      </c>
    </row>
    <row r="8" spans="1:11">
      <c r="A8" s="2"/>
      <c r="B8" s="2"/>
      <c r="C8" s="2"/>
      <c r="D8" s="2"/>
      <c r="E8" s="10"/>
      <c r="F8" s="2"/>
      <c r="G8" s="2"/>
      <c r="H8" s="2"/>
      <c r="I8" s="2"/>
    </row>
    <row r="9" spans="1:11">
      <c r="A9" s="2"/>
      <c r="B9" s="2"/>
      <c r="C9" s="2"/>
      <c r="D9" s="2"/>
      <c r="E9" s="10"/>
      <c r="F9" s="2"/>
      <c r="G9" s="2"/>
      <c r="H9" s="2"/>
      <c r="I9" s="2"/>
    </row>
    <row r="10" ht="34" spans="1:11">
      <c r="A10" s="2">
        <v>9</v>
      </c>
      <c r="B10" s="2"/>
      <c r="C10" s="2"/>
      <c r="D10" s="2"/>
      <c r="E10" s="10"/>
      <c r="F10" s="2"/>
      <c r="G10" s="2"/>
      <c r="H10" s="2"/>
      <c r="I10" s="11" t="s">
        <v>100</v>
      </c>
    </row>
    <row r="11" ht="34" spans="1:11">
      <c r="A11" s="2">
        <v>11</v>
      </c>
      <c r="B11" s="2"/>
      <c r="C11" s="2"/>
      <c r="D11" s="2"/>
      <c r="E11" s="10"/>
      <c r="F11" s="2"/>
      <c r="G11" s="2"/>
      <c r="H11" s="2"/>
      <c r="I11" s="11" t="s">
        <v>101</v>
      </c>
    </row>
    <row r="12" ht="51" spans="1:11">
      <c r="A12" s="2">
        <v>14</v>
      </c>
      <c r="B12" s="2"/>
      <c r="C12" s="2"/>
      <c r="D12" s="2"/>
      <c r="E12" s="10"/>
      <c r="F12" s="2"/>
      <c r="G12" s="2"/>
      <c r="H12" s="2"/>
      <c r="I12" s="2" t="s">
        <v>102</v>
      </c>
    </row>
    <row r="13" ht="34" spans="1:11">
      <c r="A13" s="2">
        <v>15</v>
      </c>
      <c r="B13" s="2"/>
      <c r="C13" s="2"/>
      <c r="D13" s="2"/>
      <c r="E13" s="10"/>
      <c r="F13" s="2"/>
      <c r="G13" s="2"/>
      <c r="H13" s="2"/>
      <c r="I13" s="2" t="s">
        <v>103</v>
      </c>
    </row>
    <row r="14" ht="34" spans="1:11">
      <c r="A14" s="2">
        <v>16</v>
      </c>
      <c r="B14" s="2"/>
      <c r="C14" s="2"/>
      <c r="D14" s="2"/>
      <c r="E14" s="10"/>
      <c r="F14" s="2"/>
      <c r="G14" s="2"/>
      <c r="H14" s="2"/>
      <c r="I14" s="2" t="s">
        <v>104</v>
      </c>
    </row>
    <row r="15" ht="34" spans="1:11">
      <c r="A15" s="2">
        <v>17</v>
      </c>
      <c r="B15" s="2"/>
      <c r="C15" s="2"/>
      <c r="D15" s="2"/>
      <c r="E15" s="10"/>
      <c r="F15" s="2"/>
      <c r="G15" s="2"/>
      <c r="H15" s="2"/>
      <c r="I15" s="2" t="s">
        <v>105</v>
      </c>
    </row>
    <row r="16" ht="51" spans="1:11">
      <c r="A16" s="2">
        <v>18</v>
      </c>
      <c r="B16" s="2"/>
      <c r="C16" s="2"/>
      <c r="D16" s="2"/>
      <c r="E16" s="10"/>
      <c r="F16" s="2"/>
      <c r="G16" s="2"/>
      <c r="H16" s="2"/>
      <c r="I16" s="2" t="s">
        <v>106</v>
      </c>
    </row>
    <row r="17" ht="34" spans="1:9">
      <c r="A17" s="2">
        <v>19</v>
      </c>
      <c r="B17" s="2"/>
      <c r="C17" s="2"/>
      <c r="D17" s="2"/>
      <c r="E17" s="10"/>
      <c r="F17" s="2"/>
      <c r="G17" s="2"/>
      <c r="H17" s="2"/>
      <c r="I17" s="2" t="s">
        <v>107</v>
      </c>
    </row>
    <row r="18" ht="34" spans="1:9">
      <c r="A18" s="2">
        <v>20</v>
      </c>
      <c r="B18" s="2"/>
      <c r="C18" s="2"/>
      <c r="D18" s="2"/>
      <c r="E18" s="10"/>
      <c r="F18" s="2"/>
      <c r="G18" s="2"/>
      <c r="H18" s="2"/>
      <c r="I18" s="2" t="s">
        <v>108</v>
      </c>
    </row>
    <row r="19" ht="34" spans="1:9">
      <c r="A19" s="2">
        <v>21</v>
      </c>
      <c r="B19" s="2"/>
      <c r="C19" s="2"/>
      <c r="D19" s="2"/>
      <c r="E19" s="10"/>
      <c r="F19" s="2"/>
      <c r="G19" s="2"/>
      <c r="H19" s="2"/>
      <c r="I19" s="2" t="s">
        <v>109</v>
      </c>
    </row>
    <row r="20" ht="34" spans="1:9">
      <c r="A20" s="2">
        <v>22</v>
      </c>
      <c r="B20" s="2"/>
      <c r="C20" s="2"/>
      <c r="D20" s="2"/>
      <c r="E20" s="10"/>
      <c r="F20" s="2"/>
      <c r="G20" s="2"/>
      <c r="H20" s="2"/>
      <c r="I20" s="2" t="s">
        <v>110</v>
      </c>
    </row>
    <row r="21" ht="34" spans="1:9">
      <c r="A21" s="2">
        <v>23</v>
      </c>
      <c r="B21" s="2"/>
      <c r="C21" s="2"/>
      <c r="D21" s="2"/>
      <c r="E21" s="10"/>
      <c r="F21" s="2"/>
      <c r="G21" s="2"/>
      <c r="H21" s="2"/>
      <c r="I21" s="2" t="s">
        <v>111</v>
      </c>
    </row>
    <row r="22" ht="34" spans="1:9">
      <c r="A22" s="2">
        <v>24</v>
      </c>
      <c r="B22" s="2"/>
      <c r="C22" s="2"/>
      <c r="D22" s="2"/>
      <c r="E22" s="10"/>
      <c r="F22" s="2"/>
      <c r="G22" s="2"/>
      <c r="H22" s="2"/>
      <c r="I22" s="2" t="s">
        <v>112</v>
      </c>
    </row>
    <row r="23" ht="51" spans="1:9">
      <c r="A23" s="2">
        <v>25</v>
      </c>
      <c r="B23" s="2"/>
      <c r="C23" s="2"/>
      <c r="D23" s="2"/>
      <c r="E23" s="10"/>
      <c r="F23" s="2"/>
      <c r="G23" s="2"/>
      <c r="H23" s="2"/>
      <c r="I23" s="2" t="s">
        <v>113</v>
      </c>
    </row>
    <row r="24" ht="34" spans="1:9">
      <c r="A24" s="2">
        <v>26</v>
      </c>
      <c r="B24" s="2"/>
      <c r="C24" s="2"/>
      <c r="D24" s="2"/>
      <c r="E24" s="10"/>
      <c r="F24" s="2"/>
      <c r="G24" s="2"/>
      <c r="H24" s="2"/>
      <c r="I24" s="2" t="s">
        <v>114</v>
      </c>
    </row>
    <row r="25" ht="34" spans="1:9">
      <c r="A25" s="2">
        <v>27</v>
      </c>
      <c r="B25" s="2"/>
      <c r="C25" s="2"/>
      <c r="D25" s="2"/>
      <c r="E25" s="10"/>
      <c r="F25" s="2"/>
      <c r="G25" s="2"/>
      <c r="H25" s="2"/>
      <c r="I25" s="2" t="s">
        <v>115</v>
      </c>
    </row>
    <row r="26" ht="51" spans="1:9">
      <c r="A26" s="2">
        <v>28</v>
      </c>
      <c r="B26" s="2"/>
      <c r="C26" s="2"/>
      <c r="D26" s="2"/>
      <c r="E26" s="10"/>
      <c r="F26" s="2"/>
      <c r="G26" s="2"/>
      <c r="H26" s="2"/>
      <c r="I26" s="2" t="s">
        <v>116</v>
      </c>
    </row>
    <row r="27" ht="51" spans="1:9">
      <c r="A27" s="2">
        <v>29</v>
      </c>
      <c r="B27" s="2"/>
      <c r="C27" s="2"/>
      <c r="D27" s="2"/>
      <c r="E27" s="10"/>
      <c r="F27" s="2"/>
      <c r="G27" s="2"/>
      <c r="H27" s="2"/>
      <c r="I27" s="2" t="s">
        <v>117</v>
      </c>
    </row>
    <row r="28" ht="34" spans="1:9">
      <c r="A28" s="2">
        <v>30</v>
      </c>
      <c r="B28" s="2"/>
      <c r="C28" s="2"/>
      <c r="D28" s="2"/>
      <c r="E28" s="10"/>
      <c r="F28" s="2"/>
      <c r="G28" s="2"/>
      <c r="H28" s="2"/>
      <c r="I28" s="2" t="s">
        <v>118</v>
      </c>
    </row>
    <row r="29" ht="34" spans="1:9">
      <c r="A29" s="2">
        <v>31</v>
      </c>
      <c r="B29" s="2"/>
      <c r="C29" s="2"/>
      <c r="D29" s="2"/>
      <c r="E29" s="10"/>
      <c r="F29" s="2"/>
      <c r="G29" s="2"/>
      <c r="H29" s="2"/>
      <c r="I29" s="2" t="s">
        <v>119</v>
      </c>
    </row>
    <row r="30" ht="51" spans="1:9">
      <c r="A30" s="2">
        <v>32</v>
      </c>
      <c r="B30" s="2"/>
      <c r="C30" s="2"/>
      <c r="D30" s="2"/>
      <c r="E30" s="10"/>
      <c r="F30" s="2"/>
      <c r="G30" s="2"/>
      <c r="H30" s="2"/>
      <c r="I30" s="2" t="s">
        <v>120</v>
      </c>
    </row>
    <row r="31" ht="34" spans="1:9">
      <c r="A31" s="2">
        <v>33</v>
      </c>
      <c r="B31" s="2"/>
      <c r="C31" s="2"/>
      <c r="D31" s="2"/>
      <c r="E31" s="10"/>
      <c r="F31" s="2"/>
      <c r="G31" s="2"/>
      <c r="H31" s="2"/>
      <c r="I31" s="2" t="s">
        <v>121</v>
      </c>
    </row>
    <row r="32" ht="34" spans="1:9">
      <c r="A32" s="2">
        <v>34</v>
      </c>
      <c r="B32" s="2"/>
      <c r="C32" s="2"/>
      <c r="D32" s="2"/>
      <c r="E32" s="10"/>
      <c r="F32" s="2"/>
      <c r="G32" s="2"/>
      <c r="H32" s="2"/>
      <c r="I32" s="2" t="s">
        <v>122</v>
      </c>
    </row>
    <row r="33" ht="17" spans="1:9">
      <c r="A33" s="2">
        <v>35</v>
      </c>
      <c r="B33" s="2"/>
      <c r="C33" s="2"/>
      <c r="D33" s="2"/>
      <c r="E33" s="10"/>
      <c r="F33" s="2"/>
      <c r="G33" s="2"/>
      <c r="H33" s="2"/>
      <c r="I33" s="2" t="s">
        <v>123</v>
      </c>
    </row>
    <row r="34" ht="34" spans="1:9">
      <c r="A34" s="2">
        <v>36</v>
      </c>
      <c r="B34" s="2"/>
      <c r="C34" s="2"/>
      <c r="D34" s="2"/>
      <c r="E34" s="10"/>
      <c r="F34" s="2"/>
      <c r="G34" s="2"/>
      <c r="H34" s="2"/>
      <c r="I34" s="2" t="s">
        <v>124</v>
      </c>
    </row>
    <row r="35" ht="34" spans="1:9">
      <c r="A35" s="2">
        <v>37</v>
      </c>
      <c r="B35" s="2"/>
      <c r="C35" s="2"/>
      <c r="D35" s="2"/>
      <c r="E35" s="10"/>
      <c r="F35" s="2"/>
      <c r="G35" s="2"/>
      <c r="H35" s="2"/>
      <c r="I35" s="2" t="s">
        <v>125</v>
      </c>
    </row>
    <row r="36" ht="51" spans="1:9">
      <c r="A36" s="2">
        <v>38</v>
      </c>
      <c r="B36" s="2"/>
      <c r="C36" s="2"/>
      <c r="D36" s="2"/>
      <c r="E36" s="10"/>
      <c r="F36" s="2"/>
      <c r="G36" s="2"/>
      <c r="H36" s="2"/>
      <c r="I36" s="2" t="s">
        <v>126</v>
      </c>
    </row>
    <row r="37" ht="17" spans="1:9">
      <c r="A37" s="2">
        <v>39</v>
      </c>
      <c r="B37" s="2"/>
      <c r="C37" s="2"/>
      <c r="D37" s="2"/>
      <c r="E37" s="10"/>
      <c r="F37" s="2"/>
      <c r="G37" s="2"/>
      <c r="H37" s="2"/>
      <c r="I37" s="2" t="s">
        <v>127</v>
      </c>
    </row>
    <row r="38" ht="34" spans="1:9">
      <c r="A38" s="2">
        <v>40</v>
      </c>
      <c r="B38" s="2"/>
      <c r="C38" s="2"/>
      <c r="D38" s="2"/>
      <c r="E38" s="10"/>
      <c r="F38" s="2"/>
      <c r="G38" s="2"/>
      <c r="H38" s="2"/>
      <c r="I38" s="2" t="s">
        <v>128</v>
      </c>
    </row>
    <row r="39" ht="17" spans="1:9">
      <c r="A39" s="2">
        <v>41</v>
      </c>
      <c r="B39" s="2"/>
      <c r="C39" s="2"/>
      <c r="D39" s="2"/>
      <c r="E39" s="10"/>
      <c r="F39" s="2"/>
      <c r="G39" s="2"/>
      <c r="H39" s="2"/>
      <c r="I39" s="2" t="s">
        <v>129</v>
      </c>
    </row>
    <row r="40" ht="34" spans="1:9">
      <c r="A40" s="2">
        <v>42</v>
      </c>
      <c r="B40" s="2"/>
      <c r="C40" s="2"/>
      <c r="D40" s="2"/>
      <c r="E40" s="10"/>
      <c r="F40" s="2"/>
      <c r="G40" s="2"/>
      <c r="H40" s="2"/>
      <c r="I40" s="2" t="s">
        <v>130</v>
      </c>
    </row>
    <row r="41" ht="17" spans="1:9">
      <c r="A41" s="2">
        <v>43</v>
      </c>
      <c r="B41" s="2"/>
      <c r="C41" s="2"/>
      <c r="D41" s="2"/>
      <c r="E41" s="10"/>
      <c r="F41" s="2"/>
      <c r="G41" s="2"/>
      <c r="H41" s="2"/>
      <c r="I41" s="2" t="s">
        <v>131</v>
      </c>
    </row>
    <row r="42" ht="34" spans="1:9">
      <c r="A42" s="2">
        <v>44</v>
      </c>
      <c r="B42" s="2"/>
      <c r="C42" s="2"/>
      <c r="D42" s="2"/>
      <c r="E42" s="10"/>
      <c r="F42" s="2"/>
      <c r="G42" s="2"/>
      <c r="H42" s="2"/>
      <c r="I42" s="2" t="s">
        <v>132</v>
      </c>
    </row>
    <row r="43" ht="34" spans="1:9">
      <c r="A43" s="2">
        <v>45</v>
      </c>
      <c r="B43" s="2"/>
      <c r="C43" s="2"/>
      <c r="D43" s="2"/>
      <c r="E43" s="10"/>
      <c r="F43" s="2"/>
      <c r="G43" s="2"/>
      <c r="H43" s="2"/>
      <c r="I43" s="2" t="s">
        <v>133</v>
      </c>
    </row>
    <row r="44" ht="34" spans="1:9">
      <c r="A44" s="2">
        <v>46</v>
      </c>
      <c r="B44" s="2"/>
      <c r="C44" s="2"/>
      <c r="D44" s="2"/>
      <c r="E44" s="10"/>
      <c r="F44" s="2"/>
      <c r="G44" s="2"/>
      <c r="H44" s="2"/>
      <c r="I44" s="2" t="s">
        <v>134</v>
      </c>
    </row>
    <row r="45" ht="17" spans="1:9">
      <c r="A45" s="2">
        <v>47</v>
      </c>
      <c r="B45" s="2"/>
      <c r="C45" s="2"/>
      <c r="D45" s="2"/>
      <c r="E45" s="10"/>
      <c r="F45" s="2"/>
      <c r="G45" s="2"/>
      <c r="H45" s="2"/>
      <c r="I45" s="2" t="s">
        <v>135</v>
      </c>
    </row>
    <row r="46" ht="17" spans="1:9">
      <c r="A46" s="2">
        <v>48</v>
      </c>
      <c r="B46" s="2"/>
      <c r="C46" s="2"/>
      <c r="D46" s="2"/>
      <c r="E46" s="10"/>
      <c r="F46" s="2"/>
      <c r="G46" s="2"/>
      <c r="H46" s="2"/>
      <c r="I46" s="2" t="s">
        <v>136</v>
      </c>
    </row>
    <row r="47" ht="17" spans="1:9">
      <c r="A47" s="2">
        <v>49</v>
      </c>
      <c r="B47" s="2"/>
      <c r="C47" s="2"/>
      <c r="D47" s="2"/>
      <c r="E47" s="10"/>
      <c r="F47" s="2"/>
      <c r="G47" s="2"/>
      <c r="H47" s="2"/>
      <c r="I47" s="2" t="s">
        <v>137</v>
      </c>
    </row>
    <row r="48" ht="17" spans="1:9">
      <c r="A48" s="2">
        <v>50</v>
      </c>
      <c r="B48" s="2"/>
      <c r="C48" s="2"/>
      <c r="D48" s="2"/>
      <c r="E48" s="10"/>
      <c r="F48" s="2"/>
      <c r="G48" s="2"/>
      <c r="H48" s="2"/>
      <c r="I48" s="2" t="s">
        <v>138</v>
      </c>
    </row>
    <row r="49" ht="34" spans="1:9">
      <c r="A49" s="2">
        <v>51</v>
      </c>
      <c r="B49" s="2"/>
      <c r="C49" s="2"/>
      <c r="D49" s="2"/>
      <c r="E49" s="10"/>
      <c r="F49" s="2"/>
      <c r="G49" s="2"/>
      <c r="H49" s="2"/>
      <c r="I49" s="2" t="s">
        <v>139</v>
      </c>
    </row>
    <row r="50" ht="34" spans="1:9">
      <c r="A50" s="2">
        <v>52</v>
      </c>
      <c r="B50" s="2"/>
      <c r="C50" s="2"/>
      <c r="D50" s="2"/>
      <c r="E50" s="10"/>
      <c r="F50" s="2"/>
      <c r="G50" s="2"/>
      <c r="H50" s="2"/>
      <c r="I50" s="2" t="s">
        <v>140</v>
      </c>
    </row>
    <row r="51" ht="34" spans="1:9">
      <c r="A51" s="2">
        <v>53</v>
      </c>
      <c r="B51" s="2"/>
      <c r="C51" s="2"/>
      <c r="D51" s="2"/>
      <c r="E51" s="10"/>
      <c r="F51" s="2"/>
      <c r="G51" s="2"/>
      <c r="H51" s="2"/>
      <c r="I51" s="2" t="s">
        <v>141</v>
      </c>
    </row>
    <row r="52" ht="34" spans="1:9">
      <c r="A52" s="2">
        <v>54</v>
      </c>
      <c r="B52" s="2"/>
      <c r="C52" s="2"/>
      <c r="D52" s="2"/>
      <c r="E52" s="10"/>
      <c r="F52" s="2"/>
      <c r="G52" s="2"/>
      <c r="H52" s="2"/>
      <c r="I52" s="2" t="s">
        <v>142</v>
      </c>
    </row>
    <row r="53" ht="34" spans="1:9">
      <c r="A53" s="2">
        <v>55</v>
      </c>
      <c r="B53" s="2"/>
      <c r="C53" s="2"/>
      <c r="D53" s="2"/>
      <c r="E53" s="10"/>
      <c r="F53" s="2"/>
      <c r="G53" s="2"/>
      <c r="H53" s="2"/>
      <c r="I53" s="2" t="s">
        <v>143</v>
      </c>
    </row>
    <row r="54" ht="34" spans="1:9">
      <c r="A54" s="2">
        <v>56</v>
      </c>
      <c r="B54" s="2"/>
      <c r="C54" s="2"/>
      <c r="D54" s="2"/>
      <c r="E54" s="10"/>
      <c r="F54" s="2"/>
      <c r="G54" s="2"/>
      <c r="H54" s="2"/>
      <c r="I54" s="2" t="s">
        <v>144</v>
      </c>
    </row>
    <row r="55" ht="51" spans="1:9">
      <c r="A55" s="2">
        <v>57</v>
      </c>
      <c r="B55" s="2"/>
      <c r="C55" s="2"/>
      <c r="D55" s="2"/>
      <c r="E55" s="10"/>
      <c r="F55" s="2"/>
      <c r="G55" s="2"/>
      <c r="H55" s="2"/>
      <c r="I55" s="2" t="s">
        <v>145</v>
      </c>
    </row>
    <row r="56" ht="34" spans="1:9">
      <c r="A56" s="2">
        <v>58</v>
      </c>
      <c r="B56" s="2"/>
      <c r="C56" s="2"/>
      <c r="D56" s="2"/>
      <c r="E56" s="10"/>
      <c r="F56" s="2"/>
      <c r="G56" s="2"/>
      <c r="H56" s="2"/>
      <c r="I56" s="2" t="s">
        <v>146</v>
      </c>
    </row>
    <row r="57" ht="34" spans="1:9">
      <c r="A57" s="2">
        <v>59</v>
      </c>
      <c r="B57" s="2"/>
      <c r="C57" s="2"/>
      <c r="D57" s="2"/>
      <c r="E57" s="10"/>
      <c r="F57" s="2"/>
      <c r="G57" s="2"/>
      <c r="H57" s="2"/>
      <c r="I57" s="2" t="s">
        <v>147</v>
      </c>
    </row>
    <row r="58" ht="17" spans="1:9">
      <c r="A58" s="2">
        <v>60</v>
      </c>
      <c r="B58" s="2"/>
      <c r="C58" s="2"/>
      <c r="D58" s="2"/>
      <c r="E58" s="10"/>
      <c r="F58" s="2"/>
      <c r="G58" s="2"/>
      <c r="H58" s="2"/>
      <c r="I58" s="2" t="s">
        <v>148</v>
      </c>
    </row>
    <row r="59" ht="34" spans="1:9">
      <c r="A59" s="2">
        <v>61</v>
      </c>
      <c r="B59" s="2"/>
      <c r="C59" s="2"/>
      <c r="D59" s="2"/>
      <c r="E59" s="10"/>
      <c r="F59" s="2"/>
      <c r="G59" s="2"/>
      <c r="H59" s="2"/>
      <c r="I59" s="2" t="s">
        <v>149</v>
      </c>
    </row>
    <row r="60" ht="34" spans="1:9">
      <c r="A60" s="2">
        <v>62</v>
      </c>
      <c r="B60" s="2"/>
      <c r="C60" s="2"/>
      <c r="D60" s="2"/>
      <c r="E60" s="10"/>
      <c r="F60" s="2"/>
      <c r="G60" s="2"/>
      <c r="H60" s="2"/>
      <c r="I60" s="2" t="s">
        <v>150</v>
      </c>
    </row>
    <row r="61" ht="34" spans="1:9">
      <c r="A61" s="2">
        <v>63</v>
      </c>
      <c r="B61" s="2"/>
      <c r="C61" s="2"/>
      <c r="D61" s="2"/>
      <c r="E61" s="10"/>
      <c r="F61" s="2"/>
      <c r="G61" s="2"/>
      <c r="H61" s="2"/>
      <c r="I61" s="2" t="s">
        <v>151</v>
      </c>
    </row>
    <row r="62" ht="34" spans="1:9">
      <c r="A62" s="2">
        <v>64</v>
      </c>
      <c r="B62" s="2"/>
      <c r="C62" s="2"/>
      <c r="D62" s="2"/>
      <c r="E62" s="10"/>
      <c r="F62" s="2"/>
      <c r="G62" s="2"/>
      <c r="H62" s="2"/>
      <c r="I62" s="2" t="s">
        <v>152</v>
      </c>
    </row>
    <row r="63" ht="34" spans="1:9">
      <c r="A63" s="2">
        <v>65</v>
      </c>
      <c r="B63" s="2"/>
      <c r="C63" s="2"/>
      <c r="D63" s="2"/>
      <c r="E63" s="10"/>
      <c r="F63" s="2"/>
      <c r="G63" s="2"/>
      <c r="H63" s="2"/>
      <c r="I63" s="2" t="s">
        <v>153</v>
      </c>
    </row>
    <row r="64" ht="34" spans="1:9">
      <c r="A64" s="2">
        <v>66</v>
      </c>
      <c r="B64" s="2"/>
      <c r="C64" s="2"/>
      <c r="D64" s="2"/>
      <c r="E64" s="10"/>
      <c r="F64" s="2"/>
      <c r="G64" s="2"/>
      <c r="H64" s="2"/>
      <c r="I64" s="2" t="s">
        <v>154</v>
      </c>
    </row>
    <row r="65" ht="34" spans="1:11">
      <c r="A65" s="2">
        <v>67</v>
      </c>
      <c r="B65" s="2"/>
      <c r="C65" s="2"/>
      <c r="D65" s="2"/>
      <c r="E65" s="10"/>
      <c r="F65" s="2"/>
      <c r="G65" s="2"/>
      <c r="H65" s="2"/>
      <c r="I65" s="2" t="s">
        <v>155</v>
      </c>
    </row>
    <row r="66" ht="17" spans="1:11">
      <c r="A66" s="2">
        <v>68</v>
      </c>
      <c r="B66" s="2"/>
      <c r="C66" s="2"/>
      <c r="D66" s="2"/>
      <c r="E66" s="10"/>
      <c r="F66" s="2"/>
      <c r="G66" s="2"/>
      <c r="H66" s="2"/>
      <c r="I66" s="2" t="s">
        <v>156</v>
      </c>
    </row>
    <row r="67" ht="17" spans="1:11">
      <c r="A67" s="2">
        <v>69</v>
      </c>
      <c r="B67" s="2"/>
      <c r="C67" s="2"/>
      <c r="D67" s="2"/>
      <c r="E67" s="10"/>
      <c r="F67" s="2"/>
      <c r="G67" s="2"/>
      <c r="H67" s="2"/>
      <c r="I67" s="2" t="s">
        <v>157</v>
      </c>
    </row>
    <row r="68" ht="34" spans="1:11">
      <c r="A68" s="2">
        <v>70</v>
      </c>
      <c r="B68" s="2"/>
      <c r="C68" s="2"/>
      <c r="D68" s="2"/>
      <c r="E68" s="10"/>
      <c r="F68" s="2"/>
      <c r="G68" s="2"/>
      <c r="H68" s="2"/>
      <c r="I68" s="2" t="s">
        <v>158</v>
      </c>
    </row>
    <row r="69" ht="17" spans="1:11">
      <c r="A69" s="2">
        <v>71</v>
      </c>
      <c r="B69" s="2"/>
      <c r="C69" s="2"/>
      <c r="D69" s="2"/>
      <c r="E69" s="10"/>
      <c r="F69" s="2"/>
      <c r="G69" s="2"/>
      <c r="H69" s="2"/>
      <c r="I69" s="2" t="s">
        <v>159</v>
      </c>
    </row>
    <row r="70" ht="68" spans="1:11">
      <c r="A70" s="2">
        <v>72</v>
      </c>
      <c r="B70" s="2"/>
      <c r="C70" s="2"/>
      <c r="D70" s="2"/>
      <c r="E70" s="10"/>
      <c r="F70" s="2"/>
      <c r="G70" s="2"/>
      <c r="H70" s="2"/>
      <c r="I70" s="13" t="s">
        <v>160</v>
      </c>
      <c r="J70" s="14" t="s">
        <v>161</v>
      </c>
      <c r="K70" s="14" t="s">
        <v>162</v>
      </c>
    </row>
    <row r="71" ht="84" spans="1:11">
      <c r="A71" s="2">
        <v>73</v>
      </c>
      <c r="B71" s="2"/>
      <c r="C71" s="2"/>
      <c r="D71" s="2"/>
      <c r="E71" s="10"/>
      <c r="F71" s="2"/>
      <c r="G71" s="2"/>
      <c r="H71" s="2"/>
      <c r="I71" s="13" t="s">
        <v>163</v>
      </c>
    </row>
    <row r="72" ht="84" spans="1:11">
      <c r="A72" s="2">
        <v>74</v>
      </c>
      <c r="B72" s="2"/>
      <c r="C72" s="2"/>
      <c r="D72" s="2"/>
      <c r="E72" s="10"/>
      <c r="F72" s="2"/>
      <c r="G72" s="2"/>
      <c r="H72" s="2"/>
      <c r="I72" s="13" t="s">
        <v>164</v>
      </c>
    </row>
    <row r="73" ht="101" spans="1:11">
      <c r="A73" s="2">
        <v>75</v>
      </c>
      <c r="B73" s="2"/>
      <c r="C73" s="2"/>
      <c r="D73" s="2"/>
      <c r="E73" s="10"/>
      <c r="F73" s="2"/>
      <c r="G73" s="2"/>
      <c r="H73" s="2"/>
      <c r="I73" s="2" t="s">
        <v>165</v>
      </c>
    </row>
    <row r="74" ht="51" spans="1:11">
      <c r="A74" s="2">
        <v>76</v>
      </c>
      <c r="B74" s="2"/>
      <c r="C74" s="2"/>
      <c r="D74" s="2"/>
      <c r="E74" s="10"/>
      <c r="F74" s="2"/>
      <c r="G74" s="2"/>
      <c r="H74" s="2"/>
      <c r="I74" s="2" t="s">
        <v>166</v>
      </c>
    </row>
    <row r="75" ht="135" spans="1:11">
      <c r="A75" s="2">
        <v>78</v>
      </c>
      <c r="B75" s="2"/>
      <c r="C75" s="2"/>
      <c r="D75" s="2"/>
      <c r="E75" s="10"/>
      <c r="F75" s="2"/>
      <c r="G75" s="2"/>
      <c r="H75" s="2"/>
      <c r="I75" s="2" t="s">
        <v>167</v>
      </c>
    </row>
    <row r="76" ht="68" spans="1:11">
      <c r="A76" s="2">
        <v>79</v>
      </c>
      <c r="B76" s="2"/>
      <c r="C76" s="2"/>
      <c r="D76" s="2"/>
      <c r="E76" s="10"/>
      <c r="F76" s="2"/>
      <c r="G76" s="2"/>
      <c r="H76" s="2"/>
      <c r="I76" s="2" t="s">
        <v>168</v>
      </c>
      <c r="J76" t="s">
        <v>169</v>
      </c>
    </row>
    <row r="77" ht="34" spans="1:11">
      <c r="A77" s="2">
        <v>80</v>
      </c>
      <c r="B77" s="2"/>
      <c r="C77" s="2"/>
      <c r="D77" s="2"/>
      <c r="E77" s="10"/>
      <c r="F77" s="2"/>
      <c r="G77" s="2"/>
      <c r="H77" s="2"/>
      <c r="I77" s="2" t="s">
        <v>170</v>
      </c>
      <c r="J77" t="s">
        <v>171</v>
      </c>
    </row>
    <row r="78" ht="84" spans="1:11">
      <c r="A78" s="2">
        <v>81</v>
      </c>
      <c r="B78" s="2"/>
      <c r="C78" s="2"/>
      <c r="D78" s="2"/>
      <c r="E78" s="10"/>
      <c r="F78" s="2"/>
      <c r="G78" s="2"/>
      <c r="H78" s="2"/>
      <c r="I78" s="2" t="s">
        <v>172</v>
      </c>
    </row>
    <row r="79" ht="17" spans="1:11">
      <c r="A79" s="2">
        <v>82</v>
      </c>
      <c r="B79" s="2"/>
      <c r="C79" s="2"/>
      <c r="D79" s="2"/>
      <c r="E79" s="10"/>
      <c r="F79" s="2"/>
      <c r="G79" s="2"/>
      <c r="H79" s="2"/>
      <c r="I79" s="2" t="s">
        <v>173</v>
      </c>
    </row>
    <row r="80" ht="84" spans="1:11">
      <c r="A80" s="2">
        <v>83</v>
      </c>
      <c r="B80" s="2"/>
      <c r="C80" s="2"/>
      <c r="D80" s="2"/>
      <c r="E80" s="10"/>
      <c r="F80" s="2"/>
      <c r="G80" s="2"/>
      <c r="H80" s="2"/>
      <c r="I80" s="2" t="s">
        <v>174</v>
      </c>
    </row>
    <row r="81" ht="68" spans="1:9">
      <c r="A81" s="2">
        <v>84</v>
      </c>
      <c r="B81" s="2"/>
      <c r="C81" s="2"/>
      <c r="D81" s="2"/>
      <c r="E81" s="10"/>
      <c r="F81" s="2"/>
      <c r="G81" s="2"/>
      <c r="H81" s="2"/>
      <c r="I81" s="2" t="s">
        <v>175</v>
      </c>
    </row>
    <row r="82" ht="101" spans="1:9">
      <c r="A82" s="2">
        <v>85</v>
      </c>
      <c r="B82" s="2"/>
      <c r="C82" s="2"/>
      <c r="D82" s="2"/>
      <c r="E82" s="10"/>
      <c r="F82" s="2"/>
      <c r="G82" s="2"/>
      <c r="H82" s="2"/>
      <c r="I82" s="2" t="s">
        <v>176</v>
      </c>
    </row>
    <row r="83" ht="51" spans="1:9">
      <c r="A83" s="2">
        <v>86</v>
      </c>
      <c r="B83" s="2"/>
      <c r="C83" s="2"/>
      <c r="D83" s="2"/>
      <c r="E83" s="10"/>
      <c r="F83" s="2"/>
      <c r="G83" s="2"/>
      <c r="H83" s="2"/>
      <c r="I83" s="2" t="s">
        <v>177</v>
      </c>
    </row>
    <row r="84" ht="84" spans="1:9">
      <c r="A84" s="2">
        <v>87</v>
      </c>
      <c r="B84" s="2"/>
      <c r="C84" s="2"/>
      <c r="D84" s="2"/>
      <c r="E84" s="10"/>
      <c r="F84" s="2"/>
      <c r="G84" s="2"/>
      <c r="H84" s="2"/>
      <c r="I84" s="2" t="s">
        <v>178</v>
      </c>
    </row>
    <row r="85" ht="34" spans="1:9">
      <c r="A85" s="2">
        <v>89</v>
      </c>
      <c r="B85" s="2"/>
      <c r="C85" s="2"/>
      <c r="D85" s="2"/>
      <c r="E85" s="10"/>
      <c r="F85" s="2"/>
      <c r="G85" s="2"/>
      <c r="H85" s="2"/>
      <c r="I85" s="2" t="s">
        <v>179</v>
      </c>
    </row>
    <row r="86" ht="34" spans="1:9">
      <c r="A86" s="2">
        <v>88</v>
      </c>
      <c r="B86" s="2"/>
      <c r="C86" s="2"/>
      <c r="D86" s="2"/>
      <c r="E86" s="10"/>
      <c r="F86" s="2"/>
      <c r="G86" s="2"/>
      <c r="H86" s="2"/>
      <c r="I86" s="2" t="s">
        <v>180</v>
      </c>
    </row>
    <row r="87" ht="84" spans="1:9">
      <c r="A87" s="2">
        <v>90</v>
      </c>
      <c r="B87" s="2"/>
      <c r="C87" s="2"/>
      <c r="D87" s="2"/>
      <c r="E87" s="10"/>
      <c r="F87" s="2"/>
      <c r="G87" s="2"/>
      <c r="H87" s="2"/>
      <c r="I87" s="2" t="s">
        <v>181</v>
      </c>
    </row>
    <row r="88" ht="118" spans="1:9">
      <c r="A88" s="2">
        <v>91</v>
      </c>
      <c r="B88" s="2"/>
      <c r="C88" s="2"/>
      <c r="D88" s="2"/>
      <c r="E88" s="10"/>
      <c r="F88" s="2"/>
      <c r="G88" s="2"/>
      <c r="H88" s="2"/>
      <c r="I88" s="2" t="s">
        <v>182</v>
      </c>
    </row>
    <row r="89" spans="1:9">
      <c r="A89" s="2"/>
      <c r="B89" s="2"/>
      <c r="C89" s="2"/>
      <c r="D89" s="2"/>
      <c r="E89" s="10"/>
      <c r="F89" s="2"/>
      <c r="G89" s="2"/>
      <c r="H89" s="2"/>
      <c r="I89" s="2"/>
    </row>
    <row r="90" spans="1:9">
      <c r="A90" s="2"/>
      <c r="B90" s="2"/>
      <c r="C90" s="2"/>
      <c r="D90" s="2"/>
      <c r="E90" s="10"/>
      <c r="F90" s="2"/>
      <c r="G90" s="2"/>
      <c r="H90" s="2"/>
      <c r="I90" s="2"/>
    </row>
    <row r="91" spans="1:9">
      <c r="A91" s="2"/>
      <c r="B91" s="2"/>
      <c r="C91" s="2"/>
      <c r="D91" s="2"/>
      <c r="E91" s="10"/>
      <c r="F91" s="2"/>
      <c r="G91" s="2"/>
      <c r="H91" s="2"/>
      <c r="I91" s="2"/>
    </row>
    <row r="92" spans="1:9">
      <c r="A92" s="2"/>
      <c r="B92" s="2"/>
      <c r="C92" s="2"/>
      <c r="D92" s="2"/>
      <c r="E92" s="10"/>
      <c r="F92" s="2"/>
      <c r="G92" s="2"/>
      <c r="H92" s="2"/>
      <c r="I92" s="2"/>
    </row>
    <row r="93" spans="1:9">
      <c r="A93" s="2"/>
      <c r="B93" s="2"/>
      <c r="C93" s="2"/>
      <c r="D93" s="2"/>
      <c r="E93" s="10"/>
      <c r="F93" s="2"/>
      <c r="G93" s="2"/>
      <c r="H93" s="2"/>
      <c r="I93" s="2"/>
    </row>
    <row r="94" spans="1:9">
      <c r="A94" s="2"/>
      <c r="B94" s="2"/>
      <c r="C94" s="2"/>
      <c r="D94" s="2"/>
      <c r="E94" s="10"/>
      <c r="F94" s="2"/>
      <c r="G94" s="2"/>
      <c r="H94" s="2"/>
      <c r="I94" s="2"/>
    </row>
    <row r="95" spans="1:9">
      <c r="A95" s="2"/>
      <c r="B95" s="2"/>
      <c r="C95" s="2"/>
      <c r="D95" s="2"/>
      <c r="E95" s="10"/>
      <c r="F95" s="2"/>
      <c r="G95" s="2"/>
      <c r="H95" s="2"/>
      <c r="I95" s="2"/>
    </row>
    <row r="96" spans="1:9">
      <c r="A96" s="2"/>
      <c r="B96" s="2"/>
      <c r="C96" s="2"/>
      <c r="D96" s="2"/>
      <c r="E96" s="10"/>
      <c r="F96" s="2"/>
      <c r="G96" s="2"/>
      <c r="H96" s="2"/>
      <c r="I96" s="2"/>
    </row>
    <row r="97" spans="1:9">
      <c r="A97" s="2"/>
      <c r="B97" s="2"/>
      <c r="C97" s="2"/>
      <c r="D97" s="2"/>
      <c r="E97" s="10"/>
      <c r="F97" s="2"/>
      <c r="G97" s="2"/>
      <c r="H97" s="2"/>
      <c r="I97" s="2"/>
    </row>
    <row r="98" spans="1:9">
      <c r="A98" s="2"/>
      <c r="B98" s="2"/>
      <c r="C98" s="2"/>
      <c r="D98" s="2"/>
      <c r="E98" s="10"/>
      <c r="F98" s="2"/>
      <c r="G98" s="2"/>
      <c r="H98" s="2"/>
      <c r="I98" s="2"/>
    </row>
    <row r="99" spans="1:9">
      <c r="A99" s="2"/>
      <c r="B99" s="2"/>
      <c r="C99" s="2"/>
      <c r="D99" s="2"/>
      <c r="E99" s="10"/>
      <c r="F99" s="2"/>
      <c r="G99" s="2"/>
      <c r="H99" s="2"/>
      <c r="I99" s="2"/>
    </row>
    <row r="100" spans="1:9">
      <c r="A100" s="2"/>
      <c r="B100" s="2"/>
      <c r="C100" s="2"/>
      <c r="D100" s="2"/>
      <c r="E100" s="10"/>
      <c r="F100" s="2"/>
      <c r="G100" s="2"/>
      <c r="H100" s="2"/>
      <c r="I100" s="2"/>
    </row>
    <row r="101" spans="1:9">
      <c r="A101" s="2"/>
      <c r="B101" s="2"/>
      <c r="C101" s="2"/>
      <c r="D101" s="2"/>
      <c r="E101" s="10"/>
      <c r="F101" s="2"/>
      <c r="G101" s="2"/>
      <c r="H101" s="2"/>
      <c r="I101" s="2"/>
    </row>
    <row r="102" spans="1:9">
      <c r="A102" s="2"/>
      <c r="B102" s="2"/>
      <c r="C102" s="2"/>
      <c r="D102" s="2"/>
      <c r="E102" s="10"/>
      <c r="F102" s="2"/>
      <c r="G102" s="2"/>
      <c r="H102" s="2"/>
      <c r="I102" s="2"/>
    </row>
    <row r="103" spans="1:9">
      <c r="A103" s="2"/>
      <c r="B103" s="2"/>
      <c r="C103" s="2"/>
      <c r="D103" s="2"/>
      <c r="E103" s="10"/>
      <c r="F103" s="2"/>
      <c r="G103" s="2"/>
      <c r="H103" s="2"/>
      <c r="I103" s="2"/>
    </row>
    <row r="104" spans="1:9">
      <c r="A104" s="2"/>
      <c r="B104" s="2"/>
      <c r="C104" s="2"/>
      <c r="D104" s="2"/>
      <c r="E104" s="10"/>
      <c r="F104" s="2"/>
      <c r="G104" s="2"/>
      <c r="H104" s="2"/>
      <c r="I104" s="2"/>
    </row>
    <row r="105" spans="1:9">
      <c r="A105" s="2"/>
      <c r="B105" s="2"/>
      <c r="C105" s="2"/>
      <c r="D105" s="2"/>
      <c r="E105" s="10"/>
      <c r="F105" s="2"/>
      <c r="G105" s="2"/>
      <c r="H105" s="2"/>
      <c r="I105" s="2"/>
    </row>
    <row r="106" spans="1:9">
      <c r="A106" s="2"/>
      <c r="B106" s="2"/>
      <c r="C106" s="2"/>
      <c r="D106" s="2"/>
      <c r="E106" s="10"/>
      <c r="F106" s="2"/>
      <c r="G106" s="2"/>
      <c r="H106" s="2"/>
      <c r="I106" s="2"/>
    </row>
    <row r="107" spans="1:9">
      <c r="A107" s="2"/>
      <c r="B107" s="2"/>
      <c r="C107" s="2"/>
      <c r="D107" s="2"/>
      <c r="E107" s="10"/>
      <c r="F107" s="2"/>
      <c r="G107" s="2"/>
      <c r="H107" s="2"/>
      <c r="I107" s="2"/>
    </row>
    <row r="108" spans="1:9">
      <c r="A108" s="2"/>
      <c r="B108" s="2"/>
      <c r="C108" s="2"/>
      <c r="D108" s="2"/>
      <c r="E108" s="10"/>
      <c r="F108" s="2"/>
      <c r="G108" s="2"/>
      <c r="H108" s="2"/>
      <c r="I108" s="2"/>
    </row>
    <row r="109" spans="1:9">
      <c r="A109" s="2"/>
      <c r="B109" s="2"/>
      <c r="C109" s="2"/>
      <c r="D109" s="2"/>
      <c r="E109" s="10"/>
      <c r="F109" s="2"/>
      <c r="G109" s="2"/>
      <c r="H109" s="2"/>
      <c r="I109" s="2"/>
    </row>
    <row r="110" spans="1:9">
      <c r="A110" s="2"/>
      <c r="B110" s="2"/>
      <c r="C110" s="2"/>
      <c r="D110" s="2"/>
      <c r="E110" s="10"/>
      <c r="F110" s="2"/>
      <c r="G110" s="2"/>
      <c r="H110" s="2"/>
      <c r="I110" s="2"/>
    </row>
    <row r="111" spans="1:9">
      <c r="A111" s="2"/>
      <c r="B111" s="2"/>
      <c r="C111" s="2"/>
      <c r="D111" s="2"/>
      <c r="E111" s="10"/>
      <c r="F111" s="2"/>
      <c r="G111" s="2"/>
      <c r="H111" s="2"/>
      <c r="I111" s="2"/>
    </row>
    <row r="112" spans="1:9">
      <c r="A112" s="2"/>
      <c r="B112" s="2"/>
      <c r="C112" s="2"/>
      <c r="D112" s="2"/>
      <c r="E112" s="10"/>
      <c r="F112" s="2"/>
      <c r="G112" s="2"/>
      <c r="H112" s="2"/>
      <c r="I112" s="2"/>
    </row>
    <row r="113" spans="1:9">
      <c r="A113" s="2"/>
      <c r="B113" s="2"/>
      <c r="C113" s="2"/>
      <c r="D113" s="2"/>
      <c r="E113" s="10"/>
      <c r="F113" s="2"/>
      <c r="G113" s="2"/>
      <c r="H113" s="2"/>
      <c r="I113" s="2"/>
    </row>
    <row r="114" spans="1:9">
      <c r="A114" s="2"/>
      <c r="B114" s="2"/>
      <c r="C114" s="2"/>
      <c r="D114" s="2"/>
      <c r="E114" s="10"/>
      <c r="F114" s="2"/>
      <c r="G114" s="2"/>
      <c r="H114" s="2"/>
      <c r="I114" s="2"/>
    </row>
    <row r="115" spans="1:9">
      <c r="A115" s="2"/>
      <c r="B115" s="2"/>
      <c r="C115" s="2"/>
      <c r="D115" s="2"/>
      <c r="E115" s="10"/>
      <c r="F115" s="2"/>
      <c r="G115" s="2"/>
      <c r="H115" s="2"/>
      <c r="I115" s="2"/>
    </row>
    <row r="116" spans="1:9">
      <c r="A116" s="2"/>
      <c r="B116" s="2"/>
      <c r="C116" s="2"/>
      <c r="D116" s="2"/>
      <c r="E116" s="10"/>
      <c r="F116" s="2"/>
      <c r="G116" s="2"/>
      <c r="H116" s="2"/>
      <c r="I116" s="2"/>
    </row>
    <row r="117" spans="1:9">
      <c r="A117" s="2"/>
      <c r="B117" s="2"/>
      <c r="C117" s="2"/>
      <c r="D117" s="2"/>
      <c r="E117" s="10"/>
      <c r="F117" s="2"/>
      <c r="G117" s="2"/>
      <c r="H117" s="2"/>
      <c r="I117" s="2"/>
    </row>
    <row r="118" spans="1:9">
      <c r="A118" s="2"/>
      <c r="B118" s="2"/>
      <c r="C118" s="2"/>
      <c r="D118" s="2"/>
      <c r="E118" s="10"/>
      <c r="F118" s="2"/>
      <c r="G118" s="2"/>
      <c r="H118" s="2"/>
      <c r="I118" s="2"/>
    </row>
    <row r="119" spans="1:9">
      <c r="A119" s="2"/>
      <c r="B119" s="2"/>
      <c r="C119" s="2"/>
      <c r="D119" s="2"/>
      <c r="E119" s="10"/>
      <c r="F119" s="2"/>
      <c r="G119" s="2"/>
      <c r="H119" s="2"/>
      <c r="I119" s="2"/>
    </row>
    <row r="120" spans="1:9">
      <c r="A120" s="2"/>
      <c r="B120" s="2"/>
      <c r="C120" s="2"/>
      <c r="D120" s="2"/>
      <c r="E120" s="10"/>
      <c r="F120" s="2"/>
      <c r="G120" s="2"/>
      <c r="H120" s="2"/>
      <c r="I120" s="2"/>
    </row>
    <row r="121" spans="1:9">
      <c r="A121" s="2"/>
      <c r="B121" s="2"/>
      <c r="C121" s="2"/>
      <c r="D121" s="2"/>
      <c r="E121" s="10"/>
      <c r="F121" s="2"/>
      <c r="G121" s="2"/>
      <c r="H121" s="2"/>
      <c r="I121" s="2"/>
    </row>
    <row r="122" spans="1:9">
      <c r="A122" s="2"/>
      <c r="B122" s="2"/>
      <c r="C122" s="2"/>
      <c r="D122" s="2"/>
      <c r="E122" s="10"/>
      <c r="F122" s="2"/>
      <c r="G122" s="2"/>
      <c r="H122" s="2"/>
      <c r="I122" s="2"/>
    </row>
    <row r="123" spans="1:9">
      <c r="A123" s="2"/>
      <c r="B123" s="2"/>
      <c r="C123" s="2"/>
      <c r="D123" s="2"/>
      <c r="E123" s="10"/>
      <c r="F123" s="2"/>
      <c r="G123" s="2"/>
      <c r="H123" s="2"/>
      <c r="I123" s="2"/>
    </row>
    <row r="124" spans="1:9">
      <c r="A124" s="2"/>
      <c r="B124" s="2"/>
      <c r="C124" s="2"/>
      <c r="D124" s="2"/>
      <c r="E124" s="10"/>
      <c r="F124" s="2"/>
      <c r="G124" s="2"/>
      <c r="H124" s="2"/>
      <c r="I124" s="2"/>
    </row>
    <row r="125" spans="1:9">
      <c r="A125" s="2"/>
      <c r="B125" s="2"/>
      <c r="C125" s="2"/>
      <c r="D125" s="2"/>
      <c r="E125" s="10"/>
      <c r="F125" s="2"/>
      <c r="G125" s="2"/>
      <c r="H125" s="2"/>
      <c r="I125" s="2"/>
    </row>
    <row r="126" spans="1:9">
      <c r="A126" s="2"/>
      <c r="B126" s="2"/>
      <c r="C126" s="2"/>
      <c r="D126" s="2"/>
      <c r="E126" s="10"/>
      <c r="F126" s="2"/>
      <c r="G126" s="2"/>
      <c r="H126" s="2"/>
      <c r="I126" s="2"/>
    </row>
    <row r="127" spans="1:9">
      <c r="A127" s="2"/>
      <c r="B127" s="2"/>
      <c r="C127" s="2"/>
      <c r="D127" s="2"/>
      <c r="E127" s="10"/>
      <c r="F127" s="2"/>
      <c r="G127" s="2"/>
      <c r="H127" s="2"/>
      <c r="I127" s="2"/>
    </row>
    <row r="128" spans="1:9">
      <c r="A128" s="2"/>
      <c r="B128" s="2"/>
      <c r="C128" s="2"/>
      <c r="D128" s="2"/>
      <c r="E128" s="10"/>
      <c r="F128" s="2"/>
      <c r="G128" s="2"/>
      <c r="H128" s="2"/>
      <c r="I128" s="2"/>
    </row>
    <row r="129" spans="1:9">
      <c r="A129" s="2"/>
      <c r="B129" s="2"/>
      <c r="C129" s="2"/>
      <c r="D129" s="2"/>
      <c r="E129" s="10"/>
      <c r="F129" s="2"/>
      <c r="G129" s="2"/>
      <c r="H129" s="2"/>
      <c r="I129" s="2"/>
    </row>
    <row r="130" spans="1:9">
      <c r="A130" s="2"/>
      <c r="B130" s="2"/>
      <c r="C130" s="2"/>
      <c r="D130" s="2"/>
      <c r="E130" s="10"/>
      <c r="F130" s="2"/>
      <c r="G130" s="2"/>
      <c r="H130" s="2"/>
      <c r="I130" s="2"/>
    </row>
    <row r="131" spans="1:9">
      <c r="A131" s="2"/>
      <c r="B131" s="2"/>
      <c r="C131" s="2"/>
      <c r="D131" s="2"/>
      <c r="E131" s="10"/>
      <c r="F131" s="2"/>
      <c r="G131" s="2"/>
      <c r="H131" s="2"/>
      <c r="I131" s="2"/>
    </row>
    <row r="132" spans="1:9">
      <c r="A132" s="2"/>
      <c r="B132" s="2"/>
      <c r="C132" s="2"/>
      <c r="D132" s="2"/>
      <c r="E132" s="10"/>
      <c r="F132" s="2"/>
      <c r="G132" s="2"/>
      <c r="H132" s="2"/>
      <c r="I132" s="2"/>
    </row>
    <row r="133" spans="1:9">
      <c r="A133" s="2"/>
      <c r="B133" s="2"/>
      <c r="C133" s="2"/>
      <c r="D133" s="2"/>
      <c r="E133" s="10"/>
      <c r="F133" s="2"/>
      <c r="G133" s="2"/>
      <c r="H133" s="2"/>
      <c r="I133" s="2"/>
    </row>
    <row r="134" spans="1:9">
      <c r="A134" s="2"/>
      <c r="B134" s="2"/>
      <c r="C134" s="2"/>
      <c r="D134" s="2"/>
      <c r="E134" s="10"/>
      <c r="F134" s="2"/>
      <c r="G134" s="2"/>
      <c r="H134" s="2"/>
      <c r="I134" s="2"/>
    </row>
    <row r="135" spans="1:9">
      <c r="A135" s="2"/>
      <c r="B135" s="2"/>
      <c r="C135" s="2"/>
      <c r="D135" s="2"/>
      <c r="E135" s="10"/>
      <c r="F135" s="2"/>
      <c r="G135" s="2"/>
      <c r="H135" s="2"/>
      <c r="I135" s="2"/>
    </row>
    <row r="136" spans="1:9">
      <c r="A136" s="2"/>
      <c r="B136" s="2"/>
      <c r="C136" s="2"/>
      <c r="D136" s="2"/>
      <c r="E136" s="10"/>
      <c r="F136" s="2"/>
      <c r="G136" s="2"/>
      <c r="H136" s="2"/>
      <c r="I136" s="2"/>
    </row>
    <row r="137" spans="1:9">
      <c r="A137" s="2"/>
      <c r="B137" s="2"/>
      <c r="C137" s="2"/>
      <c r="D137" s="2"/>
      <c r="E137" s="10"/>
      <c r="F137" s="2"/>
      <c r="G137" s="2"/>
      <c r="H137" s="2"/>
      <c r="I137" s="2"/>
    </row>
    <row r="138" spans="1:9">
      <c r="A138" s="2"/>
      <c r="B138" s="2"/>
      <c r="C138" s="2"/>
      <c r="D138" s="2"/>
      <c r="E138" s="10"/>
      <c r="F138" s="2"/>
      <c r="G138" s="2"/>
      <c r="H138" s="2"/>
      <c r="I138" s="2"/>
    </row>
    <row r="139" spans="1:9">
      <c r="A139" s="2"/>
      <c r="B139" s="2"/>
      <c r="C139" s="2"/>
      <c r="D139" s="2"/>
      <c r="E139" s="10"/>
      <c r="F139" s="2"/>
      <c r="G139" s="2"/>
      <c r="H139" s="2"/>
      <c r="I139" s="2"/>
    </row>
    <row r="140" spans="1:9">
      <c r="A140" s="2"/>
      <c r="B140" s="2"/>
      <c r="C140" s="2"/>
      <c r="D140" s="2"/>
      <c r="E140" s="10"/>
      <c r="F140" s="2"/>
      <c r="G140" s="2"/>
      <c r="H140" s="2"/>
      <c r="I140" s="2"/>
    </row>
    <row r="141" spans="1:9">
      <c r="A141" s="2"/>
      <c r="B141" s="2"/>
      <c r="C141" s="2"/>
      <c r="D141" s="2"/>
      <c r="E141" s="10"/>
      <c r="F141" s="2"/>
      <c r="G141" s="2"/>
      <c r="H141" s="2"/>
      <c r="I141" s="2"/>
    </row>
    <row r="142" spans="1:9">
      <c r="A142" s="2"/>
      <c r="B142" s="2"/>
      <c r="C142" s="2"/>
      <c r="D142" s="2"/>
      <c r="E142" s="10"/>
      <c r="F142" s="2"/>
      <c r="G142" s="2"/>
      <c r="H142" s="2"/>
      <c r="I142" s="2"/>
    </row>
    <row r="143" spans="1:9">
      <c r="A143" s="2"/>
      <c r="B143" s="2"/>
      <c r="C143" s="2"/>
      <c r="D143" s="2"/>
      <c r="E143" s="10"/>
      <c r="F143" s="2"/>
      <c r="G143" s="2"/>
      <c r="H143" s="2"/>
      <c r="I143" s="2"/>
    </row>
    <row r="144" spans="1:9">
      <c r="A144" s="2"/>
      <c r="B144" s="2"/>
      <c r="C144" s="2"/>
      <c r="D144" s="2"/>
      <c r="E144" s="10"/>
      <c r="F144" s="2"/>
      <c r="G144" s="2"/>
      <c r="H144" s="2"/>
      <c r="I144" s="2"/>
    </row>
    <row r="145" spans="1:9">
      <c r="A145" s="2"/>
      <c r="B145" s="2"/>
      <c r="C145" s="2"/>
      <c r="D145" s="2"/>
      <c r="E145" s="10"/>
      <c r="F145" s="2"/>
      <c r="G145" s="2"/>
      <c r="H145" s="2"/>
      <c r="I145" s="2"/>
    </row>
    <row r="146" spans="1:9">
      <c r="A146" s="2"/>
      <c r="B146" s="2"/>
      <c r="C146" s="2"/>
      <c r="D146" s="2"/>
      <c r="E146" s="10"/>
      <c r="F146" s="2"/>
      <c r="G146" s="2"/>
      <c r="H146" s="2"/>
      <c r="I146" s="2"/>
    </row>
    <row r="147" spans="1:9">
      <c r="A147" s="2"/>
      <c r="B147" s="2"/>
      <c r="C147" s="2"/>
      <c r="D147" s="2"/>
      <c r="E147" s="10"/>
      <c r="F147" s="2"/>
      <c r="G147" s="2"/>
      <c r="H147" s="2"/>
      <c r="I147" s="2"/>
    </row>
    <row r="148" spans="1:9">
      <c r="A148" s="2"/>
      <c r="B148" s="2"/>
      <c r="C148" s="2"/>
      <c r="D148" s="2"/>
      <c r="E148" s="10"/>
      <c r="F148" s="2"/>
      <c r="G148" s="2"/>
      <c r="H148" s="2"/>
      <c r="I148" s="2"/>
    </row>
    <row r="149" spans="1:9">
      <c r="A149" s="2"/>
      <c r="B149" s="2"/>
      <c r="C149" s="2"/>
      <c r="D149" s="2"/>
      <c r="E149" s="10"/>
      <c r="F149" s="2"/>
      <c r="G149" s="2"/>
      <c r="H149" s="2"/>
      <c r="I149" s="2"/>
    </row>
    <row r="150" spans="1:9">
      <c r="A150" s="2"/>
      <c r="B150" s="2"/>
      <c r="C150" s="2"/>
      <c r="D150" s="2"/>
      <c r="E150" s="10"/>
      <c r="F150" s="2"/>
      <c r="G150" s="2"/>
      <c r="H150" s="2"/>
      <c r="I150" s="2"/>
    </row>
    <row r="151" spans="1:9">
      <c r="A151" s="2"/>
      <c r="B151" s="2"/>
      <c r="C151" s="2"/>
      <c r="D151" s="2"/>
      <c r="E151" s="10"/>
      <c r="F151" s="2"/>
      <c r="G151" s="2"/>
      <c r="H151" s="2"/>
      <c r="I151" s="2"/>
    </row>
    <row r="152" spans="1:9">
      <c r="A152" s="2"/>
      <c r="B152" s="2"/>
      <c r="C152" s="2"/>
      <c r="D152" s="2"/>
      <c r="E152" s="10"/>
      <c r="F152" s="2"/>
      <c r="G152" s="2"/>
      <c r="H152" s="2"/>
      <c r="I152" s="2"/>
    </row>
    <row r="153" spans="1:9">
      <c r="A153" s="2"/>
      <c r="B153" s="2"/>
      <c r="C153" s="2"/>
      <c r="D153" s="2"/>
      <c r="E153" s="10"/>
      <c r="F153" s="2"/>
      <c r="G153" s="2"/>
      <c r="H153" s="2"/>
      <c r="I153" s="2"/>
    </row>
    <row r="154" spans="1:9">
      <c r="A154" s="2"/>
      <c r="B154" s="2"/>
      <c r="C154" s="2"/>
      <c r="D154" s="2"/>
      <c r="E154" s="10"/>
      <c r="F154" s="2"/>
      <c r="G154" s="2"/>
      <c r="H154" s="2"/>
      <c r="I154" s="2"/>
    </row>
    <row r="155" spans="1:9">
      <c r="A155" s="2"/>
      <c r="B155" s="2"/>
      <c r="C155" s="2"/>
      <c r="D155" s="2"/>
      <c r="E155" s="10"/>
      <c r="F155" s="2"/>
      <c r="G155" s="2"/>
      <c r="H155" s="2"/>
      <c r="I155" s="2"/>
    </row>
    <row r="156" spans="1:9">
      <c r="A156" s="2"/>
      <c r="B156" s="2"/>
      <c r="C156" s="2"/>
      <c r="D156" s="2"/>
      <c r="E156" s="10"/>
      <c r="F156" s="2"/>
      <c r="G156" s="2"/>
      <c r="H156" s="2"/>
      <c r="I156" s="2"/>
    </row>
    <row r="157" spans="1:9">
      <c r="A157" s="2"/>
      <c r="B157" s="2"/>
      <c r="C157" s="2"/>
      <c r="D157" s="2"/>
      <c r="E157" s="10"/>
      <c r="F157" s="2"/>
      <c r="G157" s="2"/>
      <c r="H157" s="2"/>
      <c r="I157" s="2"/>
    </row>
    <row r="158" spans="1:9">
      <c r="A158" s="2"/>
      <c r="B158" s="2"/>
      <c r="C158" s="2"/>
      <c r="D158" s="2"/>
      <c r="E158" s="10"/>
      <c r="F158" s="2"/>
      <c r="G158" s="2"/>
      <c r="H158" s="2"/>
      <c r="I158" s="2"/>
    </row>
    <row r="159" spans="1:9">
      <c r="A159" s="2"/>
      <c r="B159" s="2"/>
      <c r="C159" s="2"/>
      <c r="D159" s="2"/>
      <c r="E159" s="10"/>
      <c r="F159" s="2"/>
      <c r="G159" s="2"/>
      <c r="H159" s="2"/>
      <c r="I159" s="2"/>
    </row>
    <row r="160" spans="1:9">
      <c r="A160" s="2"/>
      <c r="B160" s="2"/>
      <c r="C160" s="2"/>
      <c r="D160" s="2"/>
      <c r="E160" s="10"/>
      <c r="F160" s="2"/>
      <c r="G160" s="2"/>
      <c r="H160" s="2"/>
      <c r="I160" s="2"/>
    </row>
    <row r="161" spans="1:9">
      <c r="A161" s="2"/>
      <c r="B161" s="2"/>
      <c r="C161" s="2"/>
      <c r="D161" s="2"/>
      <c r="E161" s="10"/>
      <c r="F161" s="2"/>
      <c r="G161" s="2"/>
      <c r="H161" s="2"/>
      <c r="I161" s="2"/>
    </row>
    <row r="162" spans="1:9">
      <c r="A162" s="2"/>
      <c r="B162" s="2"/>
      <c r="C162" s="2"/>
      <c r="D162" s="2"/>
      <c r="E162" s="10"/>
      <c r="F162" s="2"/>
      <c r="G162" s="2"/>
      <c r="H162" s="2"/>
      <c r="I162" s="2"/>
    </row>
    <row r="163" spans="1:9">
      <c r="A163" s="2"/>
      <c r="B163" s="2"/>
      <c r="C163" s="2"/>
      <c r="D163" s="2"/>
      <c r="E163" s="10"/>
      <c r="F163" s="2"/>
      <c r="G163" s="2"/>
      <c r="H163" s="2"/>
      <c r="I163" s="2"/>
    </row>
    <row r="164" spans="1:9">
      <c r="A164" s="2"/>
      <c r="B164" s="2"/>
      <c r="C164" s="2"/>
      <c r="D164" s="2"/>
      <c r="E164" s="10"/>
      <c r="F164" s="2"/>
      <c r="G164" s="2"/>
      <c r="H164" s="2"/>
      <c r="I164" s="2"/>
    </row>
    <row r="165" spans="1:9">
      <c r="A165" s="2"/>
      <c r="B165" s="2"/>
      <c r="C165" s="2"/>
      <c r="D165" s="2"/>
      <c r="E165" s="10"/>
      <c r="F165" s="2"/>
      <c r="G165" s="2"/>
      <c r="H165" s="2"/>
      <c r="I165" s="2"/>
    </row>
    <row r="166" spans="1:9">
      <c r="A166" s="2"/>
      <c r="B166" s="2"/>
      <c r="C166" s="2"/>
      <c r="D166" s="2"/>
      <c r="E166" s="10"/>
      <c r="F166" s="2"/>
      <c r="G166" s="2"/>
      <c r="H166" s="2"/>
      <c r="I166" s="2"/>
    </row>
    <row r="167" spans="1:9">
      <c r="A167" s="2"/>
      <c r="B167" s="2"/>
      <c r="C167" s="2"/>
      <c r="D167" s="2"/>
      <c r="E167" s="10"/>
      <c r="F167" s="2"/>
      <c r="G167" s="2"/>
      <c r="H167" s="2"/>
      <c r="I167" s="2"/>
    </row>
    <row r="168" spans="1:9">
      <c r="A168" s="2"/>
      <c r="B168" s="2"/>
      <c r="C168" s="2"/>
      <c r="D168" s="2"/>
      <c r="E168" s="10"/>
      <c r="F168" s="2"/>
      <c r="G168" s="2"/>
      <c r="H168" s="2"/>
      <c r="I168" s="2"/>
    </row>
    <row r="169" spans="1:9">
      <c r="A169" s="2"/>
      <c r="B169" s="2"/>
      <c r="C169" s="2"/>
      <c r="D169" s="2"/>
      <c r="E169" s="10"/>
      <c r="F169" s="2"/>
      <c r="G169" s="2"/>
      <c r="H169" s="2"/>
      <c r="I169" s="2"/>
    </row>
    <row r="170" spans="1:9">
      <c r="A170" s="2"/>
      <c r="B170" s="2"/>
      <c r="C170" s="2"/>
      <c r="D170" s="2"/>
      <c r="E170" s="10"/>
      <c r="F170" s="2"/>
      <c r="G170" s="2"/>
      <c r="H170" s="2"/>
      <c r="I170" s="2"/>
    </row>
    <row r="171" spans="1:9">
      <c r="A171" s="2"/>
      <c r="B171" s="2"/>
      <c r="C171" s="2"/>
      <c r="D171" s="2"/>
      <c r="E171" s="10"/>
      <c r="F171" s="2"/>
      <c r="G171" s="2"/>
      <c r="H171" s="2"/>
      <c r="I171" s="2"/>
    </row>
    <row r="172" spans="1:9">
      <c r="A172" s="2"/>
      <c r="B172" s="2"/>
      <c r="C172" s="2"/>
      <c r="D172" s="2"/>
      <c r="E172" s="10"/>
      <c r="F172" s="2"/>
      <c r="G172" s="2"/>
      <c r="H172" s="2"/>
      <c r="I172" s="2"/>
    </row>
    <row r="173" spans="1:9">
      <c r="A173" s="2"/>
      <c r="B173" s="2"/>
      <c r="C173" s="2"/>
      <c r="D173" s="2"/>
      <c r="E173" s="10"/>
      <c r="F173" s="2"/>
      <c r="G173" s="2"/>
      <c r="H173" s="2"/>
      <c r="I173" s="2"/>
    </row>
    <row r="174" spans="1:9">
      <c r="A174" s="2"/>
      <c r="B174" s="2"/>
      <c r="C174" s="2"/>
      <c r="D174" s="2"/>
      <c r="E174" s="10"/>
      <c r="F174" s="2"/>
      <c r="G174" s="2"/>
      <c r="H174" s="2"/>
      <c r="I174" s="2"/>
    </row>
    <row r="175" spans="1:9">
      <c r="A175" s="2"/>
      <c r="B175" s="2"/>
      <c r="C175" s="2"/>
      <c r="D175" s="2"/>
      <c r="E175" s="10"/>
      <c r="F175" s="2"/>
      <c r="G175" s="2"/>
      <c r="H175" s="2"/>
      <c r="I175" s="2"/>
    </row>
    <row r="176" spans="1:9">
      <c r="A176" s="2"/>
      <c r="B176" s="2"/>
      <c r="C176" s="2"/>
      <c r="D176" s="2"/>
      <c r="E176" s="10"/>
      <c r="F176" s="2"/>
      <c r="G176" s="2"/>
      <c r="H176" s="2"/>
      <c r="I176" s="2"/>
    </row>
    <row r="177" spans="1:9">
      <c r="A177" s="2"/>
      <c r="B177" s="2"/>
      <c r="C177" s="2"/>
      <c r="D177" s="2"/>
      <c r="E177" s="10"/>
      <c r="F177" s="2"/>
      <c r="G177" s="2"/>
      <c r="H177" s="2"/>
      <c r="I177" s="2"/>
    </row>
    <row r="178" spans="1:9">
      <c r="A178" s="2"/>
      <c r="B178" s="2"/>
      <c r="C178" s="2"/>
      <c r="D178" s="2"/>
      <c r="E178" s="10"/>
      <c r="F178" s="2"/>
      <c r="G178" s="2"/>
      <c r="H178" s="2"/>
      <c r="I178" s="2"/>
    </row>
    <row r="179" spans="1:9">
      <c r="A179" s="2"/>
      <c r="B179" s="2"/>
      <c r="C179" s="2"/>
      <c r="D179" s="2"/>
      <c r="E179" s="10"/>
      <c r="F179" s="2"/>
      <c r="G179" s="2"/>
      <c r="H179" s="2"/>
      <c r="I179" s="2"/>
    </row>
    <row r="180" spans="1:9">
      <c r="A180" s="2"/>
      <c r="B180" s="2"/>
      <c r="C180" s="2"/>
      <c r="D180" s="2"/>
      <c r="E180" s="10"/>
      <c r="F180" s="2"/>
      <c r="G180" s="2"/>
      <c r="H180" s="2"/>
      <c r="I180" s="2"/>
    </row>
    <row r="181" spans="1:9">
      <c r="A181" s="2"/>
      <c r="B181" s="2"/>
      <c r="C181" s="2"/>
      <c r="D181" s="2"/>
      <c r="E181" s="10"/>
      <c r="F181" s="2"/>
      <c r="G181" s="2"/>
      <c r="H181" s="2"/>
      <c r="I181" s="2"/>
    </row>
    <row r="182" spans="1:9">
      <c r="A182" s="2"/>
      <c r="B182" s="2"/>
      <c r="C182" s="2"/>
      <c r="D182" s="2"/>
      <c r="E182" s="10"/>
      <c r="F182" s="2"/>
      <c r="G182" s="2"/>
      <c r="H182" s="2"/>
      <c r="I182" s="2"/>
    </row>
    <row r="183" spans="1:9">
      <c r="A183" s="2"/>
      <c r="B183" s="2"/>
      <c r="C183" s="2"/>
      <c r="D183" s="2"/>
      <c r="E183" s="10"/>
      <c r="F183" s="2"/>
      <c r="G183" s="2"/>
      <c r="H183" s="2"/>
      <c r="I183" s="2"/>
    </row>
    <row r="184" spans="1:9">
      <c r="A184" s="2"/>
      <c r="B184" s="2"/>
      <c r="C184" s="2"/>
      <c r="D184" s="2"/>
      <c r="E184" s="10"/>
      <c r="F184" s="2"/>
      <c r="G184" s="2"/>
      <c r="H184" s="2"/>
      <c r="I184" s="2"/>
    </row>
    <row r="185" spans="1:9">
      <c r="A185" s="2"/>
      <c r="B185" s="2"/>
      <c r="C185" s="2"/>
      <c r="D185" s="2"/>
      <c r="E185" s="10"/>
      <c r="F185" s="2"/>
      <c r="G185" s="2"/>
      <c r="H185" s="2"/>
      <c r="I185" s="2"/>
    </row>
    <row r="186" spans="1:9">
      <c r="A186" s="2"/>
      <c r="B186" s="2"/>
      <c r="C186" s="2"/>
      <c r="D186" s="2"/>
      <c r="E186" s="10"/>
      <c r="F186" s="2"/>
      <c r="G186" s="2"/>
      <c r="H186" s="2"/>
      <c r="I186" s="2"/>
    </row>
    <row r="187" spans="1:9">
      <c r="A187" s="2"/>
      <c r="B187" s="2"/>
      <c r="C187" s="2"/>
      <c r="D187" s="2"/>
      <c r="E187" s="10"/>
      <c r="F187" s="2"/>
      <c r="G187" s="2"/>
      <c r="H187" s="2"/>
      <c r="I187" s="2"/>
    </row>
    <row r="188" spans="1:9">
      <c r="A188" s="2"/>
      <c r="B188" s="2"/>
      <c r="C188" s="2"/>
      <c r="D188" s="2"/>
      <c r="E188" s="10"/>
      <c r="F188" s="2"/>
      <c r="G188" s="2"/>
      <c r="H188" s="2"/>
      <c r="I188" s="2"/>
    </row>
    <row r="189" spans="1:9">
      <c r="A189" s="2"/>
      <c r="B189" s="2"/>
      <c r="C189" s="2"/>
      <c r="D189" s="2"/>
      <c r="E189" s="10"/>
      <c r="F189" s="2"/>
      <c r="G189" s="2"/>
      <c r="H189" s="2"/>
      <c r="I189" s="2"/>
    </row>
    <row r="190" spans="1:9">
      <c r="A190" s="2"/>
      <c r="B190" s="2"/>
      <c r="C190" s="2"/>
      <c r="D190" s="2"/>
      <c r="E190" s="10"/>
      <c r="F190" s="2"/>
      <c r="G190" s="2"/>
      <c r="H190" s="2"/>
      <c r="I190" s="2"/>
    </row>
    <row r="191" spans="1:9">
      <c r="A191" s="2"/>
      <c r="B191" s="2"/>
      <c r="C191" s="2"/>
      <c r="D191" s="2"/>
      <c r="E191" s="10"/>
      <c r="F191" s="2"/>
      <c r="G191" s="2"/>
      <c r="H191" s="2"/>
      <c r="I191" s="2"/>
    </row>
    <row r="192" spans="1:9">
      <c r="A192" s="2"/>
      <c r="B192" s="2"/>
      <c r="C192" s="2"/>
      <c r="D192" s="2"/>
      <c r="E192" s="10"/>
      <c r="F192" s="2"/>
      <c r="G192" s="2"/>
      <c r="H192" s="2"/>
      <c r="I192" s="2"/>
    </row>
    <row r="193" spans="1:9">
      <c r="A193" s="2"/>
      <c r="B193" s="2"/>
      <c r="C193" s="2"/>
      <c r="D193" s="2"/>
      <c r="E193" s="10"/>
      <c r="F193" s="2"/>
      <c r="G193" s="2"/>
      <c r="H193" s="2"/>
      <c r="I193" s="2"/>
    </row>
    <row r="194" spans="1:9">
      <c r="A194" s="2"/>
      <c r="B194" s="2"/>
      <c r="C194" s="2"/>
      <c r="D194" s="2"/>
      <c r="E194" s="10"/>
      <c r="F194" s="2"/>
      <c r="G194" s="2"/>
      <c r="H194" s="2"/>
      <c r="I194" s="2"/>
    </row>
    <row r="195" spans="1:9">
      <c r="A195" s="2"/>
      <c r="B195" s="2"/>
      <c r="C195" s="2"/>
      <c r="D195" s="2"/>
      <c r="E195" s="10"/>
      <c r="F195" s="2"/>
      <c r="G195" s="2"/>
      <c r="H195" s="2"/>
      <c r="I195" s="2"/>
    </row>
    <row r="196" spans="1:9">
      <c r="A196" s="2"/>
      <c r="B196" s="2"/>
      <c r="C196" s="2"/>
      <c r="D196" s="2"/>
      <c r="E196" s="10"/>
      <c r="F196" s="2"/>
      <c r="G196" s="2"/>
      <c r="H196" s="2"/>
      <c r="I196" s="2"/>
    </row>
    <row r="197" spans="1:9">
      <c r="A197" s="2"/>
      <c r="B197" s="2"/>
      <c r="C197" s="2"/>
      <c r="D197" s="2"/>
      <c r="E197" s="10"/>
      <c r="F197" s="2"/>
      <c r="G197" s="2"/>
      <c r="H197" s="2"/>
      <c r="I197" s="2"/>
    </row>
    <row r="198" spans="1:9">
      <c r="A198" s="2"/>
      <c r="B198" s="2"/>
      <c r="C198" s="2"/>
      <c r="D198" s="2"/>
      <c r="E198" s="10"/>
      <c r="F198" s="2"/>
      <c r="G198" s="2"/>
      <c r="H198" s="2"/>
      <c r="I198" s="2"/>
    </row>
    <row r="199" spans="1:9">
      <c r="A199" s="2"/>
      <c r="B199" s="2"/>
      <c r="C199" s="2"/>
      <c r="D199" s="2"/>
      <c r="E199" s="10"/>
      <c r="F199" s="2"/>
      <c r="G199" s="2"/>
      <c r="H199" s="2"/>
      <c r="I199" s="2"/>
    </row>
    <row r="200" spans="1:9">
      <c r="A200" s="2"/>
      <c r="B200" s="2"/>
      <c r="C200" s="2"/>
      <c r="D200" s="2"/>
      <c r="E200" s="10"/>
      <c r="F200" s="2"/>
      <c r="G200" s="2"/>
      <c r="H200" s="2"/>
      <c r="I200" s="2"/>
    </row>
    <row r="201" spans="1:9">
      <c r="A201" s="2"/>
      <c r="B201" s="2"/>
      <c r="C201" s="2"/>
      <c r="D201" s="2"/>
      <c r="E201" s="10"/>
      <c r="F201" s="2"/>
      <c r="G201" s="2"/>
      <c r="H201" s="2"/>
      <c r="I201" s="2"/>
    </row>
    <row r="202" spans="1:9">
      <c r="A202" s="2"/>
      <c r="B202" s="2"/>
      <c r="C202" s="2"/>
      <c r="D202" s="2"/>
      <c r="E202" s="10"/>
      <c r="F202" s="2"/>
      <c r="G202" s="2"/>
      <c r="H202" s="2"/>
      <c r="I202" s="2"/>
    </row>
    <row r="203" spans="1:9">
      <c r="A203" s="2"/>
      <c r="B203" s="2"/>
      <c r="C203" s="2"/>
      <c r="D203" s="2"/>
      <c r="E203" s="10"/>
      <c r="F203" s="2"/>
      <c r="G203" s="2"/>
      <c r="H203" s="2"/>
      <c r="I203" s="2"/>
    </row>
    <row r="204" spans="1:9">
      <c r="A204" s="2"/>
      <c r="B204" s="2"/>
      <c r="C204" s="2"/>
      <c r="D204" s="2"/>
      <c r="E204" s="10"/>
      <c r="F204" s="2"/>
      <c r="G204" s="2"/>
      <c r="H204" s="2"/>
      <c r="I204" s="2"/>
    </row>
    <row r="205" spans="1:9">
      <c r="A205" s="2"/>
      <c r="B205" s="2"/>
      <c r="C205" s="2"/>
      <c r="D205" s="2"/>
      <c r="E205" s="10"/>
      <c r="F205" s="2"/>
      <c r="G205" s="2"/>
      <c r="H205" s="2"/>
      <c r="I205" s="2"/>
    </row>
    <row r="206" spans="1:9">
      <c r="A206" s="2"/>
      <c r="B206" s="2"/>
      <c r="C206" s="2"/>
      <c r="D206" s="2"/>
      <c r="E206" s="10"/>
      <c r="F206" s="2"/>
      <c r="G206" s="2"/>
      <c r="H206" s="2"/>
      <c r="I206" s="2"/>
    </row>
    <row r="207" spans="1:9">
      <c r="A207" s="2"/>
      <c r="B207" s="2"/>
      <c r="C207" s="2"/>
      <c r="D207" s="2"/>
      <c r="E207" s="10"/>
      <c r="F207" s="2"/>
      <c r="G207" s="2"/>
      <c r="H207" s="2"/>
      <c r="I207" s="2"/>
    </row>
    <row r="208" spans="1:9">
      <c r="A208" s="2"/>
      <c r="B208" s="2"/>
      <c r="C208" s="2"/>
      <c r="D208" s="2"/>
      <c r="E208" s="10"/>
      <c r="F208" s="2"/>
      <c r="G208" s="2"/>
      <c r="H208" s="2"/>
      <c r="I208" s="2"/>
    </row>
    <row r="209" spans="1:9">
      <c r="A209" s="2"/>
      <c r="B209" s="2"/>
      <c r="C209" s="2"/>
      <c r="D209" s="2"/>
      <c r="E209" s="10"/>
      <c r="F209" s="2"/>
      <c r="G209" s="2"/>
      <c r="H209" s="2"/>
      <c r="I209" s="2"/>
    </row>
    <row r="210" spans="1:9">
      <c r="A210" s="2"/>
      <c r="B210" s="2"/>
      <c r="C210" s="2"/>
      <c r="D210" s="2"/>
      <c r="E210" s="10"/>
      <c r="F210" s="2"/>
      <c r="G210" s="2"/>
      <c r="H210" s="2"/>
      <c r="I210" s="2"/>
    </row>
    <row r="211" spans="1:9">
      <c r="A211" s="2"/>
      <c r="B211" s="2"/>
      <c r="C211" s="2"/>
      <c r="D211" s="2"/>
      <c r="E211" s="10"/>
      <c r="F211" s="2"/>
      <c r="G211" s="2"/>
      <c r="H211" s="2"/>
      <c r="I211" s="2"/>
    </row>
    <row r="212" spans="1:9">
      <c r="A212" s="2"/>
      <c r="B212" s="2"/>
      <c r="C212" s="2"/>
      <c r="D212" s="2"/>
      <c r="E212" s="10"/>
      <c r="F212" s="2"/>
      <c r="G212" s="2"/>
      <c r="H212" s="2"/>
      <c r="I212" s="2"/>
    </row>
    <row r="213" spans="1:9">
      <c r="A213" s="2"/>
      <c r="B213" s="2"/>
      <c r="C213" s="2"/>
      <c r="D213" s="2"/>
      <c r="E213" s="10"/>
      <c r="F213" s="2"/>
      <c r="G213" s="2"/>
      <c r="H213" s="2"/>
      <c r="I213" s="2"/>
    </row>
    <row r="214" spans="1:9">
      <c r="A214" s="2"/>
      <c r="B214" s="2"/>
      <c r="C214" s="2"/>
      <c r="D214" s="2"/>
      <c r="E214" s="10"/>
      <c r="F214" s="2"/>
      <c r="G214" s="2"/>
      <c r="H214" s="2"/>
      <c r="I214" s="2"/>
    </row>
    <row r="215" spans="1:9">
      <c r="A215" s="2"/>
      <c r="B215" s="2"/>
      <c r="C215" s="2"/>
      <c r="D215" s="2"/>
      <c r="E215" s="10"/>
      <c r="F215" s="2"/>
      <c r="G215" s="2"/>
      <c r="H215" s="2"/>
      <c r="I215" s="2"/>
    </row>
    <row r="216" spans="1:9">
      <c r="A216" s="2"/>
      <c r="B216" s="2"/>
      <c r="C216" s="2"/>
      <c r="D216" s="2"/>
      <c r="E216" s="10"/>
      <c r="F216" s="2"/>
      <c r="G216" s="2"/>
      <c r="H216" s="2"/>
      <c r="I216" s="2"/>
    </row>
    <row r="217" spans="1:9">
      <c r="A217" s="2"/>
      <c r="B217" s="2"/>
      <c r="C217" s="2"/>
      <c r="D217" s="2"/>
      <c r="E217" s="10"/>
      <c r="F217" s="2"/>
      <c r="G217" s="2"/>
      <c r="H217" s="2"/>
      <c r="I217" s="2"/>
    </row>
    <row r="218" spans="1:9">
      <c r="A218" s="2"/>
      <c r="B218" s="2"/>
      <c r="C218" s="2"/>
      <c r="D218" s="2"/>
      <c r="E218" s="10"/>
      <c r="F218" s="2"/>
      <c r="G218" s="2"/>
      <c r="H218" s="2"/>
      <c r="I218" s="2"/>
    </row>
    <row r="219" spans="1:9">
      <c r="A219" s="2"/>
      <c r="B219" s="2"/>
      <c r="C219" s="2"/>
      <c r="D219" s="2"/>
      <c r="E219" s="10"/>
      <c r="F219" s="2"/>
      <c r="G219" s="2"/>
      <c r="H219" s="2"/>
      <c r="I219" s="2"/>
    </row>
    <row r="220" spans="1:9">
      <c r="A220" s="2"/>
      <c r="B220" s="2"/>
      <c r="C220" s="2"/>
      <c r="D220" s="2"/>
      <c r="E220" s="10"/>
      <c r="F220" s="2"/>
      <c r="G220" s="2"/>
      <c r="H220" s="2"/>
      <c r="I220" s="2"/>
    </row>
    <row r="221" spans="1:9">
      <c r="A221" s="2"/>
      <c r="B221" s="2"/>
      <c r="C221" s="2"/>
      <c r="D221" s="2"/>
      <c r="E221" s="10"/>
      <c r="F221" s="2"/>
      <c r="G221" s="2"/>
      <c r="H221" s="2"/>
      <c r="I221" s="2"/>
    </row>
    <row r="222" spans="1:9">
      <c r="A222" s="2"/>
      <c r="B222" s="2"/>
      <c r="C222" s="2"/>
      <c r="D222" s="2"/>
      <c r="E222" s="10"/>
      <c r="F222" s="2"/>
      <c r="G222" s="2"/>
      <c r="H222" s="2"/>
      <c r="I222" s="2"/>
    </row>
    <row r="223" spans="1:9">
      <c r="A223" s="2"/>
      <c r="B223" s="2"/>
      <c r="C223" s="2"/>
      <c r="D223" s="2"/>
      <c r="E223" s="10"/>
      <c r="F223" s="2"/>
      <c r="G223" s="2"/>
      <c r="H223" s="2"/>
      <c r="I223" s="2"/>
    </row>
    <row r="224" spans="1:9">
      <c r="A224" s="2"/>
      <c r="B224" s="2"/>
      <c r="C224" s="2"/>
      <c r="D224" s="2"/>
      <c r="E224" s="10"/>
      <c r="F224" s="2"/>
      <c r="G224" s="2"/>
      <c r="H224" s="2"/>
      <c r="I224" s="2"/>
    </row>
    <row r="225" spans="1:9">
      <c r="A225" s="2"/>
      <c r="B225" s="2"/>
      <c r="C225" s="2"/>
      <c r="D225" s="2"/>
      <c r="E225" s="10"/>
      <c r="F225" s="2"/>
      <c r="G225" s="2"/>
      <c r="H225" s="2"/>
      <c r="I225" s="2"/>
    </row>
    <row r="226" spans="1:9">
      <c r="A226" s="2"/>
      <c r="B226" s="2"/>
      <c r="C226" s="2"/>
      <c r="D226" s="2"/>
      <c r="E226" s="10"/>
      <c r="F226" s="2"/>
      <c r="G226" s="2"/>
      <c r="H226" s="2"/>
      <c r="I226" s="2"/>
    </row>
    <row r="227" spans="1:9">
      <c r="A227" s="2"/>
      <c r="B227" s="2"/>
      <c r="C227" s="2"/>
      <c r="D227" s="2"/>
      <c r="E227" s="10"/>
      <c r="F227" s="2"/>
      <c r="G227" s="2"/>
      <c r="H227" s="2"/>
      <c r="I227" s="2"/>
    </row>
    <row r="228" spans="1:9">
      <c r="A228" s="2"/>
      <c r="B228" s="2"/>
      <c r="C228" s="2"/>
      <c r="D228" s="2"/>
      <c r="E228" s="10"/>
      <c r="F228" s="2"/>
      <c r="G228" s="2"/>
      <c r="H228" s="2"/>
      <c r="I228" s="2"/>
    </row>
    <row r="229" spans="1:9">
      <c r="A229" s="2"/>
      <c r="B229" s="2"/>
      <c r="C229" s="2"/>
      <c r="D229" s="2"/>
      <c r="E229" s="10"/>
      <c r="F229" s="2"/>
      <c r="G229" s="2"/>
      <c r="H229" s="2"/>
      <c r="I229" s="2"/>
    </row>
    <row r="230" spans="1:9">
      <c r="A230" s="2"/>
      <c r="B230" s="2"/>
      <c r="C230" s="2"/>
      <c r="D230" s="2"/>
      <c r="E230" s="10"/>
      <c r="F230" s="2"/>
      <c r="G230" s="2"/>
      <c r="H230" s="2"/>
      <c r="I230" s="2"/>
    </row>
    <row r="231" spans="1:9">
      <c r="A231" s="2"/>
      <c r="B231" s="2"/>
      <c r="C231" s="2"/>
      <c r="D231" s="2"/>
      <c r="E231" s="10"/>
      <c r="F231" s="2"/>
      <c r="G231" s="2"/>
      <c r="H231" s="2"/>
      <c r="I231" s="2"/>
    </row>
    <row r="232" spans="1:9">
      <c r="A232" s="2"/>
      <c r="B232" s="2"/>
      <c r="C232" s="2"/>
      <c r="D232" s="2"/>
      <c r="E232" s="10"/>
      <c r="F232" s="2"/>
      <c r="G232" s="2"/>
      <c r="H232" s="2"/>
      <c r="I232" s="2"/>
    </row>
    <row r="233" spans="1:9">
      <c r="A233" s="2"/>
      <c r="B233" s="2"/>
      <c r="C233" s="2"/>
      <c r="D233" s="2"/>
      <c r="E233" s="10"/>
      <c r="F233" s="2"/>
      <c r="G233" s="2"/>
      <c r="H233" s="2"/>
      <c r="I233" s="2"/>
    </row>
    <row r="234" spans="1:9">
      <c r="A234" s="2"/>
      <c r="B234" s="2"/>
      <c r="C234" s="2"/>
      <c r="D234" s="2"/>
      <c r="E234" s="10"/>
      <c r="F234" s="2"/>
      <c r="G234" s="2"/>
      <c r="H234" s="2"/>
      <c r="I234" s="2"/>
    </row>
    <row r="235" spans="1:9">
      <c r="A235" s="2"/>
      <c r="B235" s="2"/>
      <c r="C235" s="2"/>
      <c r="D235" s="2"/>
      <c r="E235" s="10"/>
      <c r="F235" s="2"/>
      <c r="G235" s="2"/>
      <c r="H235" s="2"/>
      <c r="I235" s="2"/>
    </row>
    <row r="236" spans="1:9">
      <c r="A236" s="2"/>
      <c r="B236" s="2"/>
      <c r="C236" s="2"/>
      <c r="D236" s="2"/>
      <c r="E236" s="10"/>
      <c r="F236" s="2"/>
      <c r="G236" s="2"/>
      <c r="H236" s="2"/>
      <c r="I236" s="2"/>
    </row>
    <row r="237" spans="1:9">
      <c r="A237" s="2"/>
      <c r="B237" s="2"/>
      <c r="C237" s="2"/>
      <c r="D237" s="2"/>
      <c r="E237" s="10"/>
      <c r="F237" s="2"/>
      <c r="G237" s="2"/>
      <c r="H237" s="2"/>
      <c r="I237" s="2"/>
    </row>
    <row r="238" spans="1:9">
      <c r="A238" s="2"/>
      <c r="B238" s="2"/>
      <c r="C238" s="2"/>
      <c r="D238" s="2"/>
      <c r="E238" s="10"/>
      <c r="F238" s="2"/>
      <c r="G238" s="2"/>
      <c r="H238" s="2"/>
      <c r="I238" s="2"/>
    </row>
    <row r="239" spans="1:9">
      <c r="A239" s="2"/>
      <c r="B239" s="2"/>
      <c r="C239" s="2"/>
      <c r="D239" s="2"/>
      <c r="E239" s="10"/>
      <c r="F239" s="2"/>
      <c r="G239" s="2"/>
      <c r="H239" s="2"/>
      <c r="I239" s="2"/>
    </row>
    <row r="240" spans="1:9">
      <c r="A240" s="2"/>
      <c r="B240" s="2"/>
      <c r="C240" s="2"/>
      <c r="D240" s="2"/>
      <c r="E240" s="10"/>
      <c r="F240" s="2"/>
      <c r="G240" s="2"/>
      <c r="H240" s="2"/>
      <c r="I240" s="2"/>
    </row>
    <row r="241" spans="1:9">
      <c r="A241" s="2"/>
      <c r="B241" s="2"/>
      <c r="C241" s="2"/>
      <c r="D241" s="2"/>
      <c r="E241" s="10"/>
      <c r="F241" s="2"/>
      <c r="G241" s="2"/>
      <c r="H241" s="2"/>
      <c r="I241" s="2"/>
    </row>
    <row r="242" spans="1:9">
      <c r="A242" s="2"/>
      <c r="B242" s="2"/>
      <c r="C242" s="2"/>
      <c r="D242" s="2"/>
      <c r="E242" s="10"/>
      <c r="F242" s="2"/>
      <c r="G242" s="2"/>
      <c r="H242" s="2"/>
      <c r="I242" s="2"/>
    </row>
    <row r="243" spans="1:9">
      <c r="A243" s="2"/>
      <c r="B243" s="2"/>
      <c r="C243" s="2"/>
      <c r="D243" s="2"/>
      <c r="E243" s="10"/>
      <c r="F243" s="2"/>
      <c r="G243" s="2"/>
      <c r="H243" s="2"/>
      <c r="I243" s="2"/>
    </row>
    <row r="244" spans="1:9">
      <c r="A244" s="2"/>
      <c r="B244" s="2"/>
      <c r="C244" s="2"/>
      <c r="D244" s="2"/>
      <c r="E244" s="10"/>
      <c r="F244" s="2"/>
      <c r="G244" s="2"/>
      <c r="H244" s="2"/>
      <c r="I244" s="2"/>
    </row>
    <row r="245" spans="1:9">
      <c r="A245" s="2"/>
      <c r="B245" s="2"/>
      <c r="C245" s="2"/>
      <c r="D245" s="2"/>
      <c r="E245" s="10"/>
      <c r="F245" s="2"/>
      <c r="G245" s="2"/>
      <c r="H245" s="2"/>
      <c r="I245" s="2"/>
    </row>
    <row r="246" spans="1:9">
      <c r="A246" s="2"/>
      <c r="B246" s="2"/>
      <c r="C246" s="2"/>
      <c r="D246" s="2"/>
      <c r="E246" s="10"/>
      <c r="F246" s="2"/>
      <c r="G246" s="2"/>
      <c r="H246" s="2"/>
      <c r="I246" s="2"/>
    </row>
    <row r="247" spans="1:9">
      <c r="A247" s="2"/>
      <c r="B247" s="2"/>
      <c r="C247" s="2"/>
      <c r="D247" s="2"/>
      <c r="E247" s="10"/>
      <c r="F247" s="2"/>
      <c r="G247" s="2"/>
      <c r="H247" s="2"/>
      <c r="I247" s="2"/>
    </row>
    <row r="248" spans="1:9">
      <c r="A248" s="2"/>
      <c r="B248" s="2"/>
      <c r="C248" s="2"/>
      <c r="D248" s="2"/>
      <c r="E248" s="10"/>
      <c r="F248" s="2"/>
      <c r="G248" s="2"/>
      <c r="H248" s="2"/>
      <c r="I248" s="2"/>
    </row>
    <row r="249" spans="1:9">
      <c r="A249" s="2"/>
      <c r="B249" s="2"/>
      <c r="C249" s="2"/>
      <c r="D249" s="2"/>
      <c r="E249" s="10"/>
      <c r="F249" s="2"/>
      <c r="G249" s="2"/>
      <c r="H249" s="2"/>
      <c r="I249" s="2"/>
    </row>
    <row r="250" spans="1:9">
      <c r="A250" s="2"/>
      <c r="B250" s="2"/>
      <c r="C250" s="2"/>
      <c r="D250" s="2"/>
      <c r="E250" s="10"/>
      <c r="F250" s="2"/>
      <c r="G250" s="2"/>
      <c r="H250" s="2"/>
      <c r="I250" s="2"/>
    </row>
    <row r="251" spans="1:9">
      <c r="A251" s="2"/>
      <c r="B251" s="2"/>
      <c r="C251" s="2"/>
      <c r="D251" s="2"/>
      <c r="E251" s="10"/>
      <c r="F251" s="2"/>
      <c r="G251" s="2"/>
      <c r="H251" s="2"/>
      <c r="I251" s="2"/>
    </row>
    <row r="252" spans="1:9">
      <c r="A252" s="2"/>
      <c r="B252" s="2"/>
      <c r="C252" s="2"/>
      <c r="D252" s="2"/>
      <c r="E252" s="10"/>
      <c r="F252" s="2"/>
      <c r="G252" s="2"/>
      <c r="H252" s="2"/>
      <c r="I252" s="2"/>
    </row>
    <row r="253" spans="1:9">
      <c r="A253" s="2"/>
      <c r="B253" s="2"/>
      <c r="C253" s="2"/>
      <c r="D253" s="2"/>
      <c r="E253" s="10"/>
      <c r="F253" s="2"/>
      <c r="G253" s="2"/>
      <c r="H253" s="2"/>
      <c r="I253" s="2"/>
    </row>
    <row r="254" spans="1:9">
      <c r="A254" s="2"/>
      <c r="B254" s="2"/>
      <c r="C254" s="2"/>
      <c r="D254" s="2"/>
      <c r="E254" s="10"/>
      <c r="F254" s="2"/>
      <c r="G254" s="2"/>
      <c r="H254" s="2"/>
      <c r="I254" s="2"/>
    </row>
    <row r="255" spans="1:9">
      <c r="A255" s="2"/>
      <c r="B255" s="2"/>
      <c r="C255" s="2"/>
      <c r="D255" s="2"/>
      <c r="E255" s="10"/>
      <c r="F255" s="2"/>
      <c r="G255" s="2"/>
      <c r="H255" s="2"/>
      <c r="I255" s="2"/>
    </row>
    <row r="256" spans="1:9">
      <c r="A256" s="2"/>
      <c r="B256" s="2"/>
      <c r="C256" s="2"/>
      <c r="D256" s="2"/>
      <c r="E256" s="10"/>
      <c r="F256" s="2"/>
      <c r="G256" s="2"/>
      <c r="H256" s="2"/>
      <c r="I256" s="2"/>
    </row>
    <row r="257" spans="1:9">
      <c r="A257" s="2"/>
      <c r="B257" s="2"/>
      <c r="C257" s="2"/>
      <c r="D257" s="2"/>
      <c r="E257" s="10"/>
      <c r="F257" s="2"/>
      <c r="G257" s="2"/>
      <c r="H257" s="2"/>
      <c r="I257" s="2"/>
    </row>
    <row r="258" spans="1:9">
      <c r="A258" s="2"/>
      <c r="B258" s="2"/>
      <c r="C258" s="2"/>
      <c r="D258" s="2"/>
      <c r="E258" s="10"/>
      <c r="F258" s="2"/>
      <c r="G258" s="2"/>
      <c r="H258" s="2"/>
      <c r="I258" s="2"/>
    </row>
    <row r="259" spans="1:9">
      <c r="A259" s="2"/>
      <c r="B259" s="2"/>
      <c r="C259" s="2"/>
      <c r="D259" s="2"/>
      <c r="E259" s="10"/>
      <c r="F259" s="2"/>
      <c r="G259" s="2"/>
      <c r="H259" s="2"/>
      <c r="I259" s="2"/>
    </row>
    <row r="260" spans="1:9">
      <c r="A260" s="2"/>
      <c r="B260" s="2"/>
      <c r="C260" s="2"/>
      <c r="D260" s="2"/>
      <c r="E260" s="10"/>
      <c r="F260" s="2"/>
      <c r="G260" s="2"/>
      <c r="H260" s="2"/>
      <c r="I260" s="2"/>
    </row>
    <row r="261" spans="1:9">
      <c r="A261" s="2"/>
      <c r="B261" s="2"/>
      <c r="C261" s="2"/>
      <c r="D261" s="2"/>
      <c r="E261" s="10"/>
      <c r="F261" s="2"/>
      <c r="G261" s="2"/>
      <c r="H261" s="2"/>
      <c r="I261" s="2"/>
    </row>
    <row r="262" spans="1:9">
      <c r="A262" s="2"/>
      <c r="B262" s="2"/>
      <c r="C262" s="2"/>
      <c r="D262" s="2"/>
      <c r="E262" s="10"/>
      <c r="F262" s="2"/>
      <c r="G262" s="2"/>
      <c r="H262" s="2"/>
      <c r="I262" s="2"/>
    </row>
    <row r="263" spans="1:9">
      <c r="A263" s="2"/>
      <c r="B263" s="2"/>
      <c r="C263" s="2"/>
      <c r="D263" s="2"/>
      <c r="E263" s="10"/>
      <c r="F263" s="2"/>
      <c r="G263" s="2"/>
      <c r="H263" s="2"/>
      <c r="I263" s="2"/>
    </row>
    <row r="264" spans="1:9">
      <c r="A264" s="2"/>
      <c r="B264" s="2"/>
      <c r="C264" s="2"/>
      <c r="D264" s="2"/>
      <c r="E264" s="10"/>
      <c r="F264" s="2"/>
      <c r="G264" s="2"/>
      <c r="H264" s="2"/>
      <c r="I264" s="2"/>
    </row>
    <row r="265" spans="1:9">
      <c r="A265" s="2"/>
      <c r="B265" s="2"/>
      <c r="C265" s="2"/>
      <c r="D265" s="2"/>
      <c r="E265" s="10"/>
      <c r="F265" s="2"/>
      <c r="G265" s="2"/>
      <c r="H265" s="2"/>
      <c r="I265" s="2"/>
    </row>
    <row r="266" spans="1:9">
      <c r="A266" s="2"/>
      <c r="B266" s="2"/>
      <c r="C266" s="2"/>
      <c r="D266" s="2"/>
      <c r="E266" s="10"/>
      <c r="F266" s="2"/>
      <c r="G266" s="2"/>
      <c r="H266" s="2"/>
      <c r="I266" s="2"/>
    </row>
    <row r="267" spans="1:9">
      <c r="A267" s="2"/>
      <c r="B267" s="2"/>
      <c r="C267" s="2"/>
      <c r="D267" s="2"/>
      <c r="E267" s="10"/>
      <c r="F267" s="2"/>
      <c r="G267" s="2"/>
      <c r="H267" s="2"/>
      <c r="I267" s="2"/>
    </row>
    <row r="268" spans="1:9">
      <c r="A268" s="2"/>
      <c r="B268" s="2"/>
      <c r="C268" s="2"/>
      <c r="D268" s="2"/>
      <c r="E268" s="10"/>
      <c r="F268" s="2"/>
      <c r="G268" s="2"/>
      <c r="H268" s="2"/>
      <c r="I268" s="2"/>
    </row>
    <row r="269" spans="1:9">
      <c r="A269" s="2"/>
      <c r="B269" s="2"/>
      <c r="C269" s="2"/>
      <c r="D269" s="2"/>
      <c r="E269" s="10"/>
      <c r="F269" s="2"/>
      <c r="G269" s="2"/>
      <c r="H269" s="2"/>
      <c r="I269" s="2"/>
    </row>
    <row r="270" spans="1:9">
      <c r="A270" s="2"/>
      <c r="B270" s="2"/>
      <c r="C270" s="2"/>
      <c r="D270" s="2"/>
      <c r="E270" s="10"/>
      <c r="F270" s="2"/>
      <c r="G270" s="2"/>
      <c r="H270" s="2"/>
      <c r="I270" s="2"/>
    </row>
    <row r="271" spans="1:9">
      <c r="A271" s="2"/>
      <c r="B271" s="2"/>
      <c r="C271" s="2"/>
      <c r="D271" s="2"/>
      <c r="E271" s="10"/>
      <c r="F271" s="2"/>
      <c r="G271" s="2"/>
      <c r="H271" s="2"/>
      <c r="I271" s="2"/>
    </row>
    <row r="272" spans="1:9">
      <c r="A272" s="2"/>
      <c r="B272" s="2"/>
      <c r="C272" s="2"/>
      <c r="D272" s="2"/>
      <c r="E272" s="10"/>
      <c r="F272" s="2"/>
      <c r="G272" s="2"/>
      <c r="H272" s="2"/>
      <c r="I272" s="2"/>
    </row>
    <row r="273" spans="1:9">
      <c r="A273" s="2"/>
      <c r="B273" s="2"/>
      <c r="C273" s="2"/>
      <c r="D273" s="2"/>
      <c r="E273" s="10"/>
      <c r="F273" s="2"/>
      <c r="G273" s="2"/>
      <c r="H273" s="2"/>
      <c r="I273" s="2"/>
    </row>
    <row r="274" spans="1:9">
      <c r="A274" s="2"/>
      <c r="B274" s="2"/>
      <c r="C274" s="2"/>
      <c r="D274" s="2"/>
      <c r="E274" s="10"/>
      <c r="F274" s="2"/>
      <c r="G274" s="2"/>
      <c r="H274" s="2"/>
      <c r="I274" s="2"/>
    </row>
    <row r="275" spans="1:9">
      <c r="A275" s="2"/>
      <c r="B275" s="2"/>
      <c r="C275" s="2"/>
      <c r="D275" s="2"/>
      <c r="E275" s="10"/>
      <c r="F275" s="2"/>
      <c r="G275" s="2"/>
      <c r="H275" s="2"/>
      <c r="I275" s="2"/>
    </row>
    <row r="276" spans="1:9">
      <c r="A276" s="2"/>
      <c r="B276" s="2"/>
      <c r="C276" s="2"/>
      <c r="D276" s="2"/>
      <c r="E276" s="10"/>
      <c r="F276" s="2"/>
      <c r="G276" s="2"/>
      <c r="H276" s="2"/>
      <c r="I276" s="2"/>
    </row>
    <row r="277" spans="1:9">
      <c r="A277" s="2"/>
      <c r="B277" s="2"/>
      <c r="C277" s="2"/>
      <c r="D277" s="2"/>
      <c r="E277" s="10"/>
      <c r="F277" s="2"/>
      <c r="G277" s="2"/>
      <c r="H277" s="2"/>
      <c r="I277" s="2"/>
    </row>
    <row r="278" spans="1:9">
      <c r="A278" s="2"/>
      <c r="B278" s="2"/>
      <c r="C278" s="2"/>
      <c r="D278" s="2"/>
      <c r="E278" s="10"/>
      <c r="F278" s="2"/>
      <c r="G278" s="2"/>
      <c r="H278" s="2"/>
      <c r="I278" s="2"/>
    </row>
    <row r="279" spans="1:9">
      <c r="A279" s="2"/>
      <c r="B279" s="2"/>
      <c r="C279" s="2"/>
      <c r="D279" s="2"/>
      <c r="E279" s="10"/>
      <c r="F279" s="2"/>
      <c r="G279" s="2"/>
      <c r="H279" s="2"/>
      <c r="I279" s="2"/>
    </row>
    <row r="280" spans="1:9">
      <c r="A280" s="2"/>
      <c r="B280" s="2"/>
      <c r="C280" s="2"/>
      <c r="D280" s="2"/>
      <c r="E280" s="10"/>
      <c r="F280" s="2"/>
      <c r="G280" s="2"/>
      <c r="H280" s="2"/>
      <c r="I280" s="2"/>
    </row>
    <row r="281" spans="1:9">
      <c r="A281" s="2"/>
      <c r="B281" s="2"/>
      <c r="C281" s="2"/>
      <c r="D281" s="2"/>
      <c r="E281" s="10"/>
      <c r="F281" s="2"/>
      <c r="G281" s="2"/>
      <c r="H281" s="2"/>
      <c r="I281" s="2"/>
    </row>
    <row r="282" spans="1:9">
      <c r="A282" s="2"/>
      <c r="B282" s="2"/>
      <c r="C282" s="2"/>
      <c r="D282" s="2"/>
      <c r="E282" s="10"/>
      <c r="F282" s="2"/>
      <c r="G282" s="2"/>
      <c r="H282" s="2"/>
      <c r="I282" s="2"/>
    </row>
    <row r="283" spans="1:9">
      <c r="A283" s="2"/>
      <c r="B283" s="2"/>
      <c r="C283" s="2"/>
      <c r="D283" s="2"/>
      <c r="E283" s="10"/>
      <c r="F283" s="2"/>
      <c r="G283" s="2"/>
      <c r="H283" s="2"/>
      <c r="I283" s="2"/>
    </row>
    <row r="284" spans="1:9">
      <c r="A284" s="2"/>
      <c r="B284" s="2"/>
      <c r="C284" s="2"/>
      <c r="D284" s="2"/>
      <c r="E284" s="10"/>
      <c r="F284" s="2"/>
      <c r="G284" s="2"/>
      <c r="H284" s="2"/>
      <c r="I284" s="2"/>
    </row>
    <row r="285" spans="1:9">
      <c r="A285" s="2"/>
      <c r="B285" s="2"/>
      <c r="C285" s="2"/>
      <c r="D285" s="2"/>
      <c r="E285" s="10"/>
      <c r="F285" s="2"/>
      <c r="G285" s="2"/>
      <c r="H285" s="2"/>
      <c r="I285" s="2"/>
    </row>
    <row r="286" spans="1:9">
      <c r="A286" s="2"/>
      <c r="B286" s="2"/>
      <c r="C286" s="2"/>
      <c r="D286" s="2"/>
      <c r="E286" s="10"/>
      <c r="F286" s="2"/>
      <c r="G286" s="2"/>
      <c r="H286" s="2"/>
      <c r="I286" s="2"/>
    </row>
    <row r="287" spans="1:9">
      <c r="A287" s="2"/>
      <c r="B287" s="2"/>
      <c r="C287" s="2"/>
      <c r="D287" s="2"/>
      <c r="E287" s="10"/>
      <c r="F287" s="2"/>
      <c r="G287" s="2"/>
      <c r="H287" s="2"/>
      <c r="I287" s="2"/>
    </row>
    <row r="288" spans="1:9">
      <c r="A288" s="2"/>
      <c r="B288" s="2"/>
      <c r="C288" s="2"/>
      <c r="D288" s="2"/>
      <c r="E288" s="10"/>
      <c r="F288" s="2"/>
      <c r="G288" s="2"/>
      <c r="H288" s="2"/>
      <c r="I288" s="2"/>
    </row>
    <row r="289" spans="1:9">
      <c r="A289" s="2"/>
      <c r="B289" s="2"/>
      <c r="C289" s="2"/>
      <c r="D289" s="2"/>
      <c r="E289" s="10"/>
      <c r="F289" s="2"/>
      <c r="G289" s="2"/>
      <c r="H289" s="2"/>
      <c r="I289" s="2"/>
    </row>
    <row r="290" spans="1:9">
      <c r="A290" s="2"/>
      <c r="B290" s="2"/>
      <c r="C290" s="2"/>
      <c r="D290" s="2"/>
      <c r="E290" s="10"/>
      <c r="F290" s="2"/>
      <c r="G290" s="2"/>
      <c r="H290" s="2"/>
      <c r="I290" s="2"/>
    </row>
    <row r="291" spans="1:9">
      <c r="A291" s="2"/>
      <c r="B291" s="2"/>
      <c r="C291" s="2"/>
      <c r="D291" s="2"/>
      <c r="E291" s="10"/>
      <c r="F291" s="2"/>
      <c r="G291" s="2"/>
      <c r="H291" s="2"/>
      <c r="I291" s="2"/>
    </row>
    <row r="292" spans="1:9">
      <c r="A292" s="2"/>
      <c r="B292" s="2"/>
      <c r="C292" s="2"/>
      <c r="D292" s="2"/>
      <c r="E292" s="10"/>
      <c r="F292" s="2"/>
      <c r="G292" s="2"/>
      <c r="H292" s="2"/>
      <c r="I292" s="2"/>
    </row>
    <row r="293" spans="1:9">
      <c r="A293" s="2"/>
      <c r="B293" s="2"/>
      <c r="C293" s="2"/>
      <c r="D293" s="2"/>
      <c r="E293" s="10"/>
      <c r="F293" s="2"/>
      <c r="G293" s="2"/>
      <c r="H293" s="2"/>
      <c r="I293" s="2"/>
    </row>
    <row r="294" spans="1:9">
      <c r="A294" s="2"/>
      <c r="B294" s="2"/>
      <c r="C294" s="2"/>
      <c r="D294" s="2"/>
      <c r="E294" s="10"/>
      <c r="F294" s="2"/>
      <c r="G294" s="2"/>
      <c r="H294" s="2"/>
      <c r="I294" s="2"/>
    </row>
    <row r="295" spans="1:9">
      <c r="A295" s="2"/>
      <c r="B295" s="2"/>
      <c r="C295" s="2"/>
      <c r="D295" s="2"/>
      <c r="E295" s="10"/>
      <c r="F295" s="2"/>
      <c r="G295" s="2"/>
      <c r="H295" s="2"/>
      <c r="I295" s="2"/>
    </row>
    <row r="296" spans="1:9">
      <c r="A296" s="2"/>
      <c r="B296" s="2"/>
      <c r="C296" s="2"/>
      <c r="D296" s="2"/>
      <c r="E296" s="10"/>
      <c r="F296" s="2"/>
      <c r="G296" s="2"/>
      <c r="H296" s="2"/>
      <c r="I296" s="2"/>
    </row>
    <row r="297" spans="1:9">
      <c r="A297" s="2"/>
      <c r="B297" s="2"/>
      <c r="C297" s="2"/>
      <c r="D297" s="2"/>
      <c r="E297" s="10"/>
      <c r="F297" s="2"/>
      <c r="G297" s="2"/>
      <c r="H297" s="2"/>
      <c r="I297" s="2"/>
    </row>
    <row r="298" spans="1:9">
      <c r="A298" s="2"/>
      <c r="B298" s="2"/>
      <c r="C298" s="2"/>
      <c r="D298" s="2"/>
      <c r="E298" s="10"/>
      <c r="F298" s="2"/>
      <c r="G298" s="2"/>
      <c r="H298" s="2"/>
      <c r="I298" s="2"/>
    </row>
    <row r="299" spans="1:9">
      <c r="A299" s="2"/>
      <c r="B299" s="2"/>
      <c r="C299" s="2"/>
      <c r="D299" s="2"/>
      <c r="E299" s="10"/>
      <c r="F299" s="2"/>
      <c r="G299" s="2"/>
      <c r="H299" s="2"/>
      <c r="I299" s="2"/>
    </row>
    <row r="300" spans="1:9">
      <c r="A300" s="2"/>
      <c r="B300" s="2"/>
      <c r="C300" s="2"/>
      <c r="D300" s="2"/>
      <c r="E300" s="10"/>
      <c r="F300" s="2"/>
      <c r="G300" s="2"/>
      <c r="H300" s="2"/>
      <c r="I300" s="2"/>
    </row>
    <row r="301" spans="1:9">
      <c r="A301" s="2"/>
      <c r="B301" s="2"/>
      <c r="C301" s="2"/>
      <c r="D301" s="2"/>
      <c r="E301" s="10"/>
      <c r="F301" s="2"/>
      <c r="G301" s="2"/>
      <c r="H301" s="2"/>
      <c r="I301" s="2"/>
    </row>
    <row r="302" spans="1:9">
      <c r="A302" s="2"/>
      <c r="B302" s="2"/>
      <c r="C302" s="2"/>
      <c r="D302" s="2"/>
      <c r="E302" s="10"/>
      <c r="F302" s="2"/>
      <c r="G302" s="2"/>
      <c r="H302" s="2"/>
      <c r="I302" s="2"/>
    </row>
    <row r="303" spans="1:9">
      <c r="A303" s="2"/>
      <c r="B303" s="2"/>
      <c r="C303" s="2"/>
      <c r="D303" s="2"/>
      <c r="E303" s="10"/>
      <c r="F303" s="2"/>
      <c r="G303" s="2"/>
      <c r="H303" s="2"/>
      <c r="I303" s="2"/>
    </row>
    <row r="304" spans="1:9">
      <c r="A304" s="2"/>
      <c r="B304" s="2"/>
      <c r="C304" s="2"/>
      <c r="D304" s="2"/>
      <c r="E304" s="10"/>
      <c r="F304" s="2"/>
      <c r="G304" s="2"/>
      <c r="H304" s="2"/>
      <c r="I304" s="2"/>
    </row>
    <row r="305" spans="1:9">
      <c r="A305" s="2"/>
      <c r="B305" s="2"/>
      <c r="C305" s="2"/>
      <c r="D305" s="2"/>
      <c r="E305" s="10"/>
      <c r="F305" s="2"/>
      <c r="G305" s="2"/>
      <c r="H305" s="2"/>
      <c r="I305" s="2"/>
    </row>
    <row r="306" spans="1:9">
      <c r="A306" s="2"/>
      <c r="B306" s="2"/>
      <c r="C306" s="2"/>
      <c r="D306" s="2"/>
      <c r="E306" s="10"/>
      <c r="F306" s="2"/>
      <c r="G306" s="2"/>
      <c r="H306" s="2"/>
      <c r="I306" s="2"/>
    </row>
    <row r="307" spans="1:9">
      <c r="A307" s="2"/>
      <c r="B307" s="2"/>
      <c r="C307" s="2"/>
      <c r="D307" s="2"/>
      <c r="E307" s="10"/>
      <c r="F307" s="2"/>
      <c r="G307" s="2"/>
      <c r="H307" s="2"/>
      <c r="I307" s="2"/>
    </row>
    <row r="308" spans="1:9">
      <c r="A308" s="2"/>
      <c r="B308" s="2"/>
      <c r="C308" s="2"/>
      <c r="D308" s="2"/>
      <c r="E308" s="10"/>
      <c r="F308" s="2"/>
      <c r="G308" s="2"/>
      <c r="H308" s="2"/>
      <c r="I308" s="2"/>
    </row>
    <row r="309" spans="1:9">
      <c r="A309" s="2"/>
      <c r="B309" s="2"/>
      <c r="C309" s="2"/>
      <c r="D309" s="2"/>
      <c r="E309" s="10"/>
      <c r="F309" s="2"/>
      <c r="G309" s="2"/>
      <c r="H309" s="2"/>
      <c r="I309" s="2"/>
    </row>
    <row r="310" spans="1:9">
      <c r="A310" s="2"/>
      <c r="B310" s="2"/>
      <c r="C310" s="2"/>
      <c r="D310" s="2"/>
      <c r="E310" s="10"/>
      <c r="F310" s="2"/>
      <c r="G310" s="2"/>
      <c r="H310" s="2"/>
      <c r="I310" s="2"/>
    </row>
    <row r="311" spans="1:9">
      <c r="A311" s="2"/>
      <c r="B311" s="2"/>
      <c r="C311" s="2"/>
      <c r="D311" s="2"/>
      <c r="E311" s="10"/>
      <c r="F311" s="2"/>
      <c r="G311" s="2"/>
      <c r="H311" s="2"/>
      <c r="I311" s="2"/>
    </row>
    <row r="312" spans="1:9">
      <c r="A312" s="2"/>
      <c r="B312" s="2"/>
      <c r="C312" s="2"/>
      <c r="D312" s="2"/>
      <c r="E312" s="10"/>
      <c r="F312" s="2"/>
      <c r="G312" s="2"/>
      <c r="H312" s="2"/>
      <c r="I312" s="2"/>
    </row>
    <row r="313" spans="1:9">
      <c r="A313" s="2"/>
      <c r="B313" s="2"/>
      <c r="C313" s="2"/>
      <c r="D313" s="2"/>
      <c r="E313" s="10"/>
      <c r="F313" s="2"/>
      <c r="G313" s="2"/>
      <c r="H313" s="2"/>
      <c r="I313" s="2"/>
    </row>
    <row r="314" spans="1:9">
      <c r="A314" s="2"/>
      <c r="B314" s="2"/>
      <c r="C314" s="2"/>
      <c r="D314" s="2"/>
      <c r="E314" s="10"/>
      <c r="F314" s="2"/>
      <c r="G314" s="2"/>
      <c r="H314" s="2"/>
      <c r="I314" s="2"/>
    </row>
    <row r="315" spans="1:9">
      <c r="A315" s="2"/>
      <c r="B315" s="2"/>
      <c r="C315" s="2"/>
      <c r="D315" s="2"/>
      <c r="E315" s="10"/>
      <c r="F315" s="2"/>
      <c r="G315" s="2"/>
      <c r="H315" s="2"/>
      <c r="I315" s="2"/>
    </row>
    <row r="316" spans="1:9">
      <c r="A316" s="2"/>
      <c r="B316" s="2"/>
      <c r="C316" s="2"/>
      <c r="D316" s="2"/>
      <c r="E316" s="10"/>
      <c r="F316" s="2"/>
      <c r="G316" s="2"/>
      <c r="H316" s="2"/>
      <c r="I316" s="2"/>
    </row>
    <row r="317" spans="1:9">
      <c r="A317" s="2"/>
      <c r="B317" s="2"/>
      <c r="C317" s="2"/>
      <c r="D317" s="2"/>
      <c r="E317" s="10"/>
      <c r="F317" s="2"/>
      <c r="G317" s="2"/>
      <c r="H317" s="2"/>
      <c r="I317" s="2"/>
    </row>
    <row r="318" spans="1:9">
      <c r="A318" s="2"/>
      <c r="B318" s="2"/>
      <c r="C318" s="2"/>
      <c r="D318" s="2"/>
      <c r="E318" s="10"/>
      <c r="F318" s="2"/>
      <c r="G318" s="2"/>
      <c r="H318" s="2"/>
      <c r="I318" s="2"/>
    </row>
    <row r="319" spans="1:9">
      <c r="A319" s="2"/>
      <c r="B319" s="2"/>
      <c r="C319" s="2"/>
      <c r="D319" s="2"/>
      <c r="E319" s="10"/>
      <c r="F319" s="2"/>
      <c r="G319" s="2"/>
      <c r="H319" s="2"/>
      <c r="I319" s="2"/>
    </row>
    <row r="320" spans="1:9">
      <c r="A320" s="2"/>
      <c r="B320" s="2"/>
      <c r="C320" s="2"/>
      <c r="D320" s="2"/>
      <c r="E320" s="10"/>
      <c r="F320" s="2"/>
      <c r="G320" s="2"/>
      <c r="H320" s="2"/>
      <c r="I320" s="2"/>
    </row>
    <row r="321" spans="1:9">
      <c r="A321" s="2"/>
      <c r="B321" s="2"/>
      <c r="C321" s="2"/>
      <c r="D321" s="2"/>
      <c r="E321" s="10"/>
      <c r="F321" s="2"/>
      <c r="G321" s="2"/>
      <c r="H321" s="2"/>
      <c r="I321" s="2"/>
    </row>
    <row r="322" spans="1:9">
      <c r="A322" s="2"/>
      <c r="B322" s="2"/>
      <c r="C322" s="2"/>
      <c r="D322" s="2"/>
      <c r="E322" s="10"/>
      <c r="F322" s="2"/>
      <c r="G322" s="2"/>
      <c r="H322" s="2"/>
      <c r="I322" s="2"/>
    </row>
    <row r="323" spans="1:9">
      <c r="A323" s="2"/>
      <c r="B323" s="2"/>
      <c r="C323" s="2"/>
      <c r="D323" s="2"/>
      <c r="E323" s="10"/>
      <c r="F323" s="2"/>
      <c r="G323" s="2"/>
      <c r="H323" s="2"/>
      <c r="I323" s="2"/>
    </row>
    <row r="324" spans="1:9">
      <c r="A324" s="2"/>
      <c r="B324" s="2"/>
      <c r="C324" s="2"/>
      <c r="D324" s="2"/>
      <c r="E324" s="10"/>
      <c r="F324" s="2"/>
      <c r="G324" s="2"/>
      <c r="H324" s="2"/>
      <c r="I324" s="2"/>
    </row>
    <row r="325" spans="1:9">
      <c r="A325" s="2"/>
      <c r="B325" s="2"/>
      <c r="C325" s="2"/>
      <c r="D325" s="2"/>
      <c r="E325" s="10"/>
      <c r="F325" s="2"/>
      <c r="G325" s="2"/>
      <c r="H325" s="2"/>
      <c r="I325" s="2"/>
    </row>
    <row r="326" spans="1:9">
      <c r="A326" s="2"/>
      <c r="B326" s="2"/>
      <c r="C326" s="2"/>
      <c r="D326" s="2"/>
      <c r="E326" s="10"/>
      <c r="F326" s="2"/>
      <c r="G326" s="2"/>
      <c r="H326" s="2"/>
      <c r="I326" s="2"/>
    </row>
    <row r="327" spans="1:9">
      <c r="A327" s="2"/>
      <c r="B327" s="2"/>
      <c r="C327" s="2"/>
      <c r="D327" s="2"/>
      <c r="E327" s="10"/>
      <c r="F327" s="2"/>
      <c r="G327" s="2"/>
      <c r="H327" s="2"/>
      <c r="I327" s="2"/>
    </row>
    <row r="328" spans="1:9">
      <c r="A328" s="2"/>
      <c r="B328" s="2"/>
      <c r="C328" s="2"/>
      <c r="D328" s="2"/>
      <c r="E328" s="10"/>
      <c r="F328" s="2"/>
      <c r="G328" s="2"/>
      <c r="H328" s="2"/>
      <c r="I328" s="2"/>
    </row>
    <row r="329" spans="1:9">
      <c r="A329" s="2"/>
      <c r="B329" s="2"/>
      <c r="C329" s="2"/>
      <c r="D329" s="2"/>
      <c r="E329" s="10"/>
      <c r="F329" s="2"/>
      <c r="G329" s="2"/>
      <c r="H329" s="2"/>
      <c r="I329" s="2"/>
    </row>
    <row r="330" spans="1:9">
      <c r="A330" s="2"/>
      <c r="B330" s="2"/>
      <c r="C330" s="2"/>
      <c r="D330" s="2"/>
      <c r="E330" s="10"/>
      <c r="F330" s="2"/>
      <c r="G330" s="2"/>
      <c r="H330" s="2"/>
      <c r="I330" s="2"/>
    </row>
    <row r="331" spans="1:9">
      <c r="A331" s="2"/>
      <c r="B331" s="2"/>
      <c r="C331" s="2"/>
      <c r="D331" s="2"/>
      <c r="E331" s="10"/>
      <c r="F331" s="2"/>
      <c r="G331" s="2"/>
      <c r="H331" s="2"/>
      <c r="I331" s="2"/>
    </row>
    <row r="332" spans="1:9">
      <c r="A332" s="2"/>
      <c r="B332" s="2"/>
      <c r="C332" s="2"/>
      <c r="D332" s="2"/>
      <c r="E332" s="10"/>
      <c r="F332" s="2"/>
      <c r="G332" s="2"/>
      <c r="H332" s="2"/>
      <c r="I332" s="2"/>
    </row>
    <row r="333" spans="1:9">
      <c r="A333" s="2"/>
      <c r="B333" s="2"/>
      <c r="C333" s="2"/>
      <c r="D333" s="2"/>
      <c r="E333" s="10"/>
      <c r="F333" s="2"/>
      <c r="G333" s="2"/>
      <c r="H333" s="2"/>
      <c r="I333" s="2"/>
    </row>
    <row r="334" spans="1:9">
      <c r="A334" s="2"/>
      <c r="B334" s="2"/>
      <c r="C334" s="2"/>
      <c r="D334" s="2"/>
      <c r="E334" s="10"/>
      <c r="F334" s="2"/>
      <c r="G334" s="2"/>
      <c r="H334" s="2"/>
      <c r="I334" s="2"/>
    </row>
    <row r="335" spans="1:9">
      <c r="A335" s="2"/>
      <c r="B335" s="2"/>
      <c r="C335" s="2"/>
      <c r="D335" s="2"/>
      <c r="E335" s="10"/>
      <c r="F335" s="2"/>
      <c r="G335" s="2"/>
      <c r="H335" s="2"/>
      <c r="I335" s="2"/>
    </row>
    <row r="336" spans="1:9">
      <c r="A336" s="2"/>
      <c r="B336" s="2"/>
      <c r="C336" s="2"/>
      <c r="D336" s="2"/>
      <c r="E336" s="10"/>
      <c r="F336" s="2"/>
      <c r="G336" s="2"/>
      <c r="H336" s="2"/>
      <c r="I336" s="2"/>
    </row>
    <row r="337" spans="1:9">
      <c r="A337" s="2"/>
      <c r="B337" s="2"/>
      <c r="C337" s="2"/>
      <c r="D337" s="2"/>
      <c r="E337" s="10"/>
      <c r="F337" s="2"/>
      <c r="G337" s="2"/>
      <c r="H337" s="2"/>
      <c r="I337" s="2"/>
    </row>
    <row r="338" spans="1:9">
      <c r="A338" s="2"/>
      <c r="B338" s="2"/>
      <c r="C338" s="2"/>
      <c r="D338" s="2"/>
      <c r="E338" s="10"/>
      <c r="F338" s="2"/>
      <c r="G338" s="2"/>
      <c r="H338" s="2"/>
      <c r="I338" s="2"/>
    </row>
    <row r="339" spans="1:9">
      <c r="A339" s="2"/>
      <c r="B339" s="2"/>
      <c r="C339" s="2"/>
      <c r="D339" s="2"/>
      <c r="E339" s="10"/>
      <c r="F339" s="2"/>
      <c r="G339" s="2"/>
      <c r="H339" s="2"/>
      <c r="I339" s="2"/>
    </row>
    <row r="340" spans="1:9">
      <c r="A340" s="2"/>
      <c r="B340" s="2"/>
      <c r="C340" s="2"/>
      <c r="D340" s="2"/>
      <c r="E340" s="10"/>
      <c r="F340" s="2"/>
      <c r="G340" s="2"/>
      <c r="H340" s="2"/>
      <c r="I340" s="2"/>
    </row>
    <row r="341" spans="1:9">
      <c r="A341" s="2"/>
      <c r="B341" s="2"/>
      <c r="C341" s="2"/>
      <c r="D341" s="2"/>
      <c r="E341" s="10"/>
      <c r="F341" s="2"/>
      <c r="G341" s="2"/>
      <c r="H341" s="2"/>
      <c r="I341" s="2"/>
    </row>
    <row r="342" spans="1:9">
      <c r="A342" s="2"/>
      <c r="B342" s="2"/>
      <c r="C342" s="2"/>
      <c r="D342" s="2"/>
      <c r="E342" s="10"/>
      <c r="F342" s="2"/>
      <c r="G342" s="2"/>
      <c r="H342" s="2"/>
      <c r="I342" s="2"/>
    </row>
    <row r="343" spans="1:9">
      <c r="A343" s="2"/>
      <c r="B343" s="2"/>
      <c r="C343" s="2"/>
      <c r="D343" s="2"/>
      <c r="E343" s="10"/>
      <c r="F343" s="2"/>
      <c r="G343" s="2"/>
      <c r="H343" s="2"/>
      <c r="I343" s="2"/>
    </row>
    <row r="344" spans="1:9">
      <c r="A344" s="2"/>
      <c r="B344" s="2"/>
      <c r="C344" s="2"/>
      <c r="D344" s="2"/>
      <c r="E344" s="10"/>
      <c r="F344" s="2"/>
      <c r="G344" s="2"/>
      <c r="H344" s="2"/>
      <c r="I344" s="2"/>
    </row>
    <row r="345" spans="1:9">
      <c r="A345" s="2"/>
      <c r="B345" s="2"/>
      <c r="C345" s="2"/>
      <c r="D345" s="2"/>
      <c r="E345" s="10"/>
      <c r="F345" s="2"/>
      <c r="G345" s="2"/>
      <c r="H345" s="2"/>
      <c r="I345" s="2"/>
    </row>
    <row r="346" spans="1:9">
      <c r="A346" s="2"/>
      <c r="B346" s="2"/>
      <c r="C346" s="2"/>
      <c r="D346" s="2"/>
      <c r="E346" s="10"/>
      <c r="F346" s="2"/>
      <c r="G346" s="2"/>
      <c r="H346" s="2"/>
      <c r="I346" s="2"/>
    </row>
    <row r="347" spans="1:9">
      <c r="A347" s="2"/>
      <c r="B347" s="2"/>
      <c r="C347" s="2"/>
      <c r="D347" s="2"/>
      <c r="E347" s="10"/>
      <c r="F347" s="2"/>
      <c r="G347" s="2"/>
      <c r="H347" s="2"/>
      <c r="I347" s="2"/>
    </row>
    <row r="348" spans="1:9">
      <c r="A348" s="2"/>
      <c r="B348" s="2"/>
      <c r="C348" s="2"/>
      <c r="D348" s="2"/>
      <c r="E348" s="10"/>
      <c r="F348" s="2"/>
      <c r="G348" s="2"/>
      <c r="H348" s="2"/>
      <c r="I348" s="2"/>
    </row>
    <row r="349" spans="1:9">
      <c r="A349" s="2"/>
      <c r="B349" s="2"/>
      <c r="C349" s="2"/>
      <c r="D349" s="2"/>
      <c r="E349" s="10"/>
      <c r="F349" s="2"/>
      <c r="G349" s="2"/>
      <c r="H349" s="2"/>
      <c r="I349" s="2"/>
    </row>
    <row r="350" spans="1:9">
      <c r="A350" s="2"/>
      <c r="B350" s="2"/>
      <c r="C350" s="2"/>
      <c r="D350" s="2"/>
      <c r="E350" s="10"/>
      <c r="F350" s="2"/>
      <c r="G350" s="2"/>
      <c r="H350" s="2"/>
      <c r="I350" s="2"/>
    </row>
    <row r="351" spans="1:9">
      <c r="A351" s="2"/>
      <c r="B351" s="2"/>
      <c r="C351" s="2"/>
      <c r="D351" s="2"/>
      <c r="E351" s="10"/>
      <c r="F351" s="2"/>
      <c r="G351" s="2"/>
      <c r="H351" s="2"/>
      <c r="I351" s="2"/>
    </row>
    <row r="352" spans="1:9">
      <c r="A352" s="2"/>
      <c r="B352" s="2"/>
      <c r="C352" s="2"/>
      <c r="D352" s="2"/>
      <c r="E352" s="10"/>
      <c r="F352" s="2"/>
      <c r="G352" s="2"/>
      <c r="H352" s="2"/>
      <c r="I352" s="2"/>
    </row>
    <row r="353" spans="1:9">
      <c r="A353" s="2"/>
      <c r="B353" s="2"/>
      <c r="C353" s="2"/>
      <c r="D353" s="2"/>
      <c r="E353" s="10"/>
      <c r="F353" s="2"/>
      <c r="G353" s="2"/>
      <c r="H353" s="2"/>
      <c r="I353" s="2"/>
    </row>
    <row r="354" spans="1:9">
      <c r="A354" s="2"/>
      <c r="B354" s="2"/>
      <c r="C354" s="2"/>
      <c r="D354" s="2"/>
      <c r="E354" s="10"/>
      <c r="F354" s="2"/>
      <c r="G354" s="2"/>
      <c r="H354" s="2"/>
      <c r="I354" s="2"/>
    </row>
    <row r="355" spans="1:9">
      <c r="A355" s="2"/>
      <c r="B355" s="2"/>
      <c r="C355" s="2"/>
      <c r="D355" s="2"/>
      <c r="E355" s="10"/>
      <c r="F355" s="2"/>
      <c r="G355" s="2"/>
      <c r="H355" s="2"/>
      <c r="I355" s="2"/>
    </row>
    <row r="356" spans="1:9">
      <c r="A356" s="2"/>
      <c r="B356" s="2"/>
      <c r="C356" s="2"/>
      <c r="D356" s="2"/>
      <c r="E356" s="10"/>
      <c r="F356" s="2"/>
      <c r="G356" s="2"/>
      <c r="H356" s="2"/>
      <c r="I356" s="2"/>
    </row>
    <row r="357" spans="1:9">
      <c r="A357" s="2"/>
      <c r="B357" s="2"/>
      <c r="C357" s="2"/>
      <c r="D357" s="2"/>
      <c r="E357" s="10"/>
      <c r="F357" s="2"/>
      <c r="G357" s="2"/>
      <c r="H357" s="2"/>
      <c r="I357" s="2"/>
    </row>
    <row r="358" spans="1:9">
      <c r="A358" s="2"/>
      <c r="B358" s="2"/>
      <c r="C358" s="2"/>
      <c r="D358" s="2"/>
      <c r="E358" s="10"/>
      <c r="F358" s="2"/>
      <c r="G358" s="2"/>
      <c r="H358" s="2"/>
      <c r="I358" s="2"/>
    </row>
    <row r="359" spans="1:9">
      <c r="A359" s="2"/>
      <c r="B359" s="2"/>
      <c r="C359" s="2"/>
      <c r="D359" s="2"/>
      <c r="E359" s="10"/>
      <c r="F359" s="2"/>
      <c r="G359" s="2"/>
      <c r="H359" s="2"/>
      <c r="I359" s="2"/>
    </row>
    <row r="360" spans="1:9">
      <c r="A360" s="2"/>
      <c r="B360" s="2"/>
      <c r="C360" s="2"/>
      <c r="D360" s="2"/>
      <c r="E360" s="10"/>
      <c r="F360" s="2"/>
      <c r="G360" s="2"/>
      <c r="H360" s="2"/>
      <c r="I360" s="2"/>
    </row>
    <row r="361" spans="1:9">
      <c r="A361" s="2"/>
      <c r="B361" s="2"/>
      <c r="C361" s="2"/>
      <c r="D361" s="2"/>
      <c r="E361" s="10"/>
      <c r="F361" s="2"/>
      <c r="G361" s="2"/>
      <c r="H361" s="2"/>
      <c r="I361" s="2"/>
    </row>
    <row r="362" spans="1:9">
      <c r="A362" s="2"/>
      <c r="B362" s="2"/>
      <c r="C362" s="2"/>
      <c r="D362" s="2"/>
      <c r="E362" s="10"/>
      <c r="F362" s="2"/>
      <c r="G362" s="2"/>
      <c r="H362" s="2"/>
      <c r="I362" s="2"/>
    </row>
    <row r="363" spans="1:9">
      <c r="A363" s="2"/>
      <c r="B363" s="2"/>
      <c r="C363" s="2"/>
      <c r="D363" s="2"/>
      <c r="E363" s="10"/>
      <c r="F363" s="2"/>
      <c r="G363" s="2"/>
      <c r="H363" s="2"/>
      <c r="I363" s="2"/>
    </row>
    <row r="364" spans="1:9">
      <c r="A364" s="2"/>
      <c r="B364" s="2"/>
      <c r="C364" s="2"/>
      <c r="D364" s="2"/>
      <c r="E364" s="10"/>
      <c r="F364" s="2"/>
      <c r="G364" s="2"/>
      <c r="H364" s="2"/>
      <c r="I364" s="2"/>
    </row>
    <row r="365" spans="1:9">
      <c r="A365" s="2"/>
      <c r="B365" s="2"/>
      <c r="C365" s="2"/>
      <c r="D365" s="2"/>
      <c r="E365" s="10"/>
      <c r="F365" s="2"/>
      <c r="G365" s="2"/>
      <c r="H365" s="2"/>
      <c r="I365" s="2"/>
    </row>
    <row r="366" spans="1:9">
      <c r="A366" s="2"/>
      <c r="B366" s="2"/>
      <c r="C366" s="2"/>
      <c r="D366" s="2"/>
      <c r="E366" s="10"/>
      <c r="F366" s="2"/>
      <c r="G366" s="2"/>
      <c r="H366" s="2"/>
      <c r="I366" s="2"/>
    </row>
    <row r="367" spans="1:9">
      <c r="A367" s="2"/>
      <c r="B367" s="2"/>
      <c r="C367" s="2"/>
      <c r="D367" s="2"/>
      <c r="E367" s="10"/>
      <c r="F367" s="2"/>
      <c r="G367" s="2"/>
      <c r="H367" s="2"/>
      <c r="I367" s="2"/>
    </row>
    <row r="368" spans="1:9">
      <c r="A368" s="2"/>
      <c r="B368" s="2"/>
      <c r="C368" s="2"/>
      <c r="D368" s="2"/>
      <c r="E368" s="10"/>
      <c r="F368" s="2"/>
      <c r="G368" s="2"/>
      <c r="H368" s="2"/>
      <c r="I368" s="2"/>
    </row>
    <row r="369" spans="1:9">
      <c r="A369" s="2"/>
      <c r="B369" s="2"/>
      <c r="C369" s="2"/>
      <c r="D369" s="2"/>
      <c r="E369" s="10"/>
      <c r="F369" s="2"/>
      <c r="G369" s="2"/>
      <c r="H369" s="2"/>
      <c r="I369" s="2"/>
    </row>
    <row r="370" spans="1:9">
      <c r="A370" s="2"/>
      <c r="B370" s="2"/>
      <c r="C370" s="2"/>
      <c r="D370" s="2"/>
      <c r="E370" s="10"/>
      <c r="F370" s="2"/>
      <c r="G370" s="2"/>
      <c r="H370" s="2"/>
      <c r="I370" s="2"/>
    </row>
    <row r="371" spans="1:9">
      <c r="A371" s="2"/>
      <c r="B371" s="2"/>
      <c r="C371" s="2"/>
      <c r="D371" s="2"/>
      <c r="E371" s="10"/>
      <c r="F371" s="2"/>
      <c r="G371" s="2"/>
      <c r="H371" s="2"/>
      <c r="I371" s="2"/>
    </row>
    <row r="372" spans="1:9">
      <c r="A372" s="2"/>
      <c r="B372" s="2"/>
      <c r="C372" s="2"/>
      <c r="D372" s="2"/>
      <c r="E372" s="10"/>
      <c r="F372" s="2"/>
      <c r="G372" s="2"/>
      <c r="H372" s="2"/>
      <c r="I372" s="2"/>
    </row>
    <row r="373" spans="1:9">
      <c r="A373" s="2"/>
      <c r="B373" s="2"/>
      <c r="C373" s="2"/>
      <c r="D373" s="2"/>
      <c r="E373" s="10"/>
      <c r="F373" s="2"/>
      <c r="G373" s="2"/>
      <c r="H373" s="2"/>
      <c r="I373" s="2"/>
    </row>
    <row r="374" spans="1:9">
      <c r="A374" s="2"/>
      <c r="B374" s="2"/>
      <c r="C374" s="2"/>
      <c r="D374" s="2"/>
      <c r="E374" s="10"/>
      <c r="F374" s="2"/>
      <c r="G374" s="2"/>
      <c r="H374" s="2"/>
      <c r="I374" s="2"/>
    </row>
    <row r="375" spans="1:9">
      <c r="A375" s="2"/>
      <c r="B375" s="2"/>
      <c r="C375" s="2"/>
      <c r="D375" s="2"/>
      <c r="E375" s="10"/>
      <c r="F375" s="2"/>
      <c r="G375" s="2"/>
      <c r="H375" s="2"/>
      <c r="I375" s="2"/>
    </row>
    <row r="376" spans="1:9">
      <c r="A376" s="2"/>
      <c r="B376" s="2"/>
      <c r="C376" s="2"/>
      <c r="D376" s="2"/>
      <c r="E376" s="10"/>
      <c r="F376" s="2"/>
      <c r="G376" s="2"/>
      <c r="H376" s="2"/>
      <c r="I376" s="2"/>
    </row>
    <row r="377" spans="1:9">
      <c r="A377" s="2"/>
      <c r="B377" s="2"/>
      <c r="C377" s="2"/>
      <c r="D377" s="2"/>
      <c r="E377" s="10"/>
      <c r="F377" s="2"/>
      <c r="G377" s="2"/>
      <c r="H377" s="2"/>
      <c r="I377" s="2"/>
    </row>
    <row r="378" spans="1:9">
      <c r="A378" s="2"/>
      <c r="B378" s="2"/>
      <c r="C378" s="2"/>
      <c r="D378" s="2"/>
      <c r="E378" s="10"/>
      <c r="F378" s="2"/>
      <c r="G378" s="2"/>
      <c r="H378" s="2"/>
      <c r="I378" s="2"/>
    </row>
    <row r="379" spans="1:9">
      <c r="A379" s="2"/>
      <c r="B379" s="2"/>
      <c r="C379" s="2"/>
      <c r="D379" s="2"/>
      <c r="E379" s="10"/>
      <c r="F379" s="2"/>
      <c r="G379" s="2"/>
      <c r="H379" s="2"/>
      <c r="I379" s="2"/>
    </row>
    <row r="380" spans="1:9">
      <c r="A380" s="2"/>
      <c r="B380" s="2"/>
      <c r="C380" s="2"/>
      <c r="D380" s="2"/>
      <c r="E380" s="10"/>
      <c r="F380" s="2"/>
      <c r="G380" s="2"/>
      <c r="H380" s="2"/>
      <c r="I380" s="2"/>
    </row>
    <row r="381" spans="1:9">
      <c r="A381" s="2"/>
      <c r="B381" s="2"/>
      <c r="C381" s="2"/>
      <c r="D381" s="2"/>
      <c r="E381" s="10"/>
      <c r="F381" s="2"/>
      <c r="G381" s="2"/>
      <c r="H381" s="2"/>
      <c r="I381" s="2"/>
    </row>
    <row r="382" spans="1:9">
      <c r="A382" s="2"/>
      <c r="B382" s="2"/>
      <c r="C382" s="2"/>
      <c r="D382" s="2"/>
      <c r="E382" s="10"/>
      <c r="F382" s="2"/>
      <c r="G382" s="2"/>
      <c r="H382" s="2"/>
      <c r="I382" s="2"/>
    </row>
    <row r="383" spans="1:9">
      <c r="A383" s="2"/>
      <c r="B383" s="2"/>
      <c r="C383" s="2"/>
      <c r="D383" s="2"/>
      <c r="E383" s="10"/>
      <c r="F383" s="2"/>
      <c r="G383" s="2"/>
      <c r="H383" s="2"/>
      <c r="I383" s="2"/>
    </row>
    <row r="384" spans="1:9">
      <c r="A384" s="2"/>
      <c r="B384" s="2"/>
      <c r="C384" s="2"/>
      <c r="D384" s="2"/>
      <c r="E384" s="10"/>
      <c r="F384" s="2"/>
      <c r="G384" s="2"/>
      <c r="H384" s="2"/>
      <c r="I384" s="2"/>
    </row>
    <row r="385" spans="1:9">
      <c r="A385" s="2"/>
      <c r="B385" s="2"/>
      <c r="C385" s="2"/>
      <c r="D385" s="2"/>
      <c r="E385" s="10"/>
      <c r="F385" s="2"/>
      <c r="G385" s="2"/>
      <c r="H385" s="2"/>
      <c r="I385" s="2"/>
    </row>
    <row r="386" spans="1:9">
      <c r="A386" s="2"/>
      <c r="B386" s="2"/>
      <c r="C386" s="2"/>
      <c r="D386" s="2"/>
      <c r="E386" s="10"/>
      <c r="F386" s="2"/>
      <c r="G386" s="2"/>
      <c r="H386" s="2"/>
      <c r="I386" s="2"/>
    </row>
    <row r="387" spans="1:9">
      <c r="A387" s="2"/>
      <c r="B387" s="2"/>
      <c r="C387" s="2"/>
      <c r="D387" s="2"/>
      <c r="E387" s="10"/>
      <c r="F387" s="2"/>
      <c r="G387" s="2"/>
      <c r="H387" s="2"/>
      <c r="I387" s="2"/>
    </row>
    <row r="388" spans="1:9">
      <c r="A388" s="2"/>
      <c r="B388" s="2"/>
      <c r="C388" s="2"/>
      <c r="D388" s="2"/>
      <c r="E388" s="10"/>
      <c r="F388" s="2"/>
      <c r="G388" s="2"/>
      <c r="H388" s="2"/>
      <c r="I388" s="2"/>
    </row>
    <row r="389" spans="1:9">
      <c r="A389" s="2"/>
      <c r="B389" s="2"/>
      <c r="C389" s="2"/>
      <c r="D389" s="2"/>
      <c r="E389" s="10"/>
      <c r="F389" s="2"/>
      <c r="G389" s="2"/>
      <c r="H389" s="2"/>
      <c r="I389" s="2"/>
    </row>
    <row r="390" spans="1:9">
      <c r="A390" s="2"/>
      <c r="B390" s="2"/>
      <c r="C390" s="2"/>
      <c r="D390" s="2"/>
      <c r="E390" s="10"/>
      <c r="F390" s="2"/>
      <c r="G390" s="2"/>
      <c r="H390" s="2"/>
      <c r="I390" s="2"/>
    </row>
    <row r="391" spans="1:9">
      <c r="A391" s="2"/>
      <c r="B391" s="2"/>
      <c r="C391" s="2"/>
      <c r="D391" s="2"/>
      <c r="E391" s="10"/>
      <c r="F391" s="2"/>
      <c r="G391" s="2"/>
      <c r="H391" s="2"/>
      <c r="I391" s="2"/>
    </row>
    <row r="392" spans="1:9">
      <c r="A392" s="2"/>
      <c r="B392" s="2"/>
      <c r="C392" s="2"/>
      <c r="D392" s="2"/>
      <c r="E392" s="10"/>
      <c r="F392" s="2"/>
      <c r="G392" s="2"/>
      <c r="H392" s="2"/>
      <c r="I392" s="2"/>
    </row>
    <row r="393" spans="1:9">
      <c r="A393" s="2"/>
      <c r="B393" s="2"/>
      <c r="C393" s="2"/>
      <c r="D393" s="2"/>
      <c r="E393" s="10"/>
      <c r="F393" s="2"/>
      <c r="G393" s="2"/>
      <c r="H393" s="2"/>
      <c r="I393" s="2"/>
    </row>
    <row r="394" spans="1:9">
      <c r="A394" s="2"/>
      <c r="B394" s="2"/>
      <c r="C394" s="2"/>
      <c r="D394" s="2"/>
      <c r="E394" s="10"/>
      <c r="F394" s="2"/>
      <c r="G394" s="2"/>
      <c r="H394" s="2"/>
      <c r="I394" s="2"/>
    </row>
    <row r="395" spans="1:9">
      <c r="A395" s="2"/>
      <c r="B395" s="2"/>
      <c r="C395" s="2"/>
      <c r="D395" s="2"/>
      <c r="E395" s="10"/>
      <c r="F395" s="2"/>
      <c r="G395" s="2"/>
      <c r="H395" s="2"/>
      <c r="I395" s="2"/>
    </row>
    <row r="396" spans="1:9">
      <c r="A396" s="2"/>
      <c r="B396" s="2"/>
      <c r="C396" s="2"/>
      <c r="D396" s="2"/>
      <c r="E396" s="10"/>
      <c r="F396" s="2"/>
      <c r="G396" s="2"/>
      <c r="H396" s="2"/>
      <c r="I396" s="2"/>
    </row>
    <row r="397" spans="1:9">
      <c r="A397" s="2"/>
      <c r="B397" s="2"/>
      <c r="C397" s="2"/>
      <c r="D397" s="2"/>
      <c r="E397" s="10"/>
      <c r="F397" s="2"/>
      <c r="G397" s="2"/>
      <c r="H397" s="2"/>
      <c r="I397" s="2"/>
    </row>
    <row r="398" spans="1:9">
      <c r="A398" s="2"/>
      <c r="B398" s="2"/>
      <c r="C398" s="2"/>
      <c r="D398" s="2"/>
      <c r="E398" s="10"/>
      <c r="F398" s="2"/>
      <c r="G398" s="2"/>
      <c r="H398" s="2"/>
      <c r="I398" s="2"/>
    </row>
    <row r="399" spans="1:9">
      <c r="A399" s="2"/>
      <c r="B399" s="2"/>
      <c r="C399" s="2"/>
      <c r="D399" s="2"/>
      <c r="E399" s="10"/>
      <c r="F399" s="2"/>
      <c r="G399" s="2"/>
      <c r="H399" s="2"/>
      <c r="I399" s="2"/>
    </row>
    <row r="400" spans="1:9">
      <c r="A400" s="2"/>
      <c r="B400" s="2"/>
      <c r="C400" s="2"/>
      <c r="D400" s="2"/>
      <c r="E400" s="10"/>
      <c r="F400" s="2"/>
      <c r="G400" s="2"/>
      <c r="H400" s="2"/>
      <c r="I400" s="2"/>
    </row>
    <row r="401" spans="1:9">
      <c r="A401" s="2"/>
      <c r="B401" s="2"/>
      <c r="C401" s="2"/>
      <c r="D401" s="2"/>
      <c r="E401" s="10"/>
      <c r="F401" s="2"/>
      <c r="G401" s="2"/>
      <c r="H401" s="2"/>
      <c r="I401" s="2"/>
    </row>
    <row r="402" spans="1:9">
      <c r="A402" s="2"/>
      <c r="B402" s="2"/>
      <c r="C402" s="2"/>
      <c r="D402" s="2"/>
      <c r="E402" s="10"/>
      <c r="F402" s="2"/>
      <c r="G402" s="2"/>
      <c r="H402" s="2"/>
      <c r="I402" s="2"/>
    </row>
    <row r="403" spans="1:9">
      <c r="A403" s="2"/>
      <c r="B403" s="2"/>
      <c r="C403" s="2"/>
      <c r="D403" s="2"/>
      <c r="E403" s="10"/>
      <c r="F403" s="2"/>
      <c r="G403" s="2"/>
      <c r="H403" s="2"/>
      <c r="I403" s="2"/>
    </row>
    <row r="404" spans="1:9">
      <c r="A404" s="2"/>
      <c r="B404" s="2"/>
      <c r="C404" s="2"/>
      <c r="D404" s="2"/>
      <c r="E404" s="10"/>
      <c r="F404" s="2"/>
      <c r="G404" s="2"/>
      <c r="H404" s="2"/>
      <c r="I404" s="2"/>
    </row>
    <row r="405" spans="1:9">
      <c r="A405" s="2"/>
      <c r="B405" s="2"/>
      <c r="C405" s="2"/>
      <c r="D405" s="2"/>
      <c r="E405" s="10"/>
      <c r="F405" s="2"/>
      <c r="G405" s="2"/>
      <c r="H405" s="2"/>
      <c r="I405" s="2"/>
    </row>
    <row r="406" spans="1:9">
      <c r="A406" s="2"/>
      <c r="B406" s="2"/>
      <c r="C406" s="2"/>
      <c r="D406" s="2"/>
      <c r="E406" s="10"/>
      <c r="F406" s="2"/>
      <c r="G406" s="2"/>
      <c r="H406" s="2"/>
      <c r="I406" s="2"/>
    </row>
    <row r="407" spans="1:9">
      <c r="A407" s="2"/>
      <c r="B407" s="2"/>
      <c r="C407" s="2"/>
      <c r="D407" s="2"/>
      <c r="E407" s="10"/>
      <c r="F407" s="2"/>
      <c r="G407" s="2"/>
      <c r="H407" s="2"/>
      <c r="I407" s="2"/>
    </row>
    <row r="408" spans="1:9">
      <c r="A408" s="2"/>
      <c r="B408" s="2"/>
      <c r="C408" s="2"/>
      <c r="D408" s="2"/>
      <c r="E408" s="10"/>
      <c r="F408" s="2"/>
      <c r="G408" s="2"/>
      <c r="H408" s="2"/>
      <c r="I408" s="2"/>
    </row>
    <row r="409" spans="1:9">
      <c r="A409" s="2"/>
      <c r="B409" s="2"/>
      <c r="C409" s="2"/>
      <c r="D409" s="2"/>
      <c r="E409" s="10"/>
      <c r="F409" s="2"/>
      <c r="G409" s="2"/>
      <c r="H409" s="2"/>
      <c r="I409" s="2"/>
    </row>
    <row r="410" spans="1:9">
      <c r="A410" s="2"/>
      <c r="B410" s="2"/>
      <c r="C410" s="2"/>
      <c r="D410" s="2"/>
      <c r="E410" s="10"/>
      <c r="F410" s="2"/>
      <c r="G410" s="2"/>
      <c r="H410" s="2"/>
      <c r="I410" s="2"/>
    </row>
    <row r="411" spans="1:9">
      <c r="A411" s="2"/>
      <c r="B411" s="2"/>
      <c r="C411" s="2"/>
      <c r="D411" s="2"/>
      <c r="E411" s="10"/>
      <c r="F411" s="2"/>
      <c r="G411" s="2"/>
      <c r="H411" s="2"/>
      <c r="I411" s="2"/>
    </row>
    <row r="412" spans="1:9">
      <c r="A412" s="2"/>
      <c r="B412" s="2"/>
      <c r="C412" s="2"/>
      <c r="D412" s="2"/>
      <c r="E412" s="10"/>
      <c r="F412" s="2"/>
      <c r="G412" s="2"/>
      <c r="H412" s="2"/>
      <c r="I412" s="2"/>
    </row>
    <row r="413" spans="1:9">
      <c r="A413" s="2"/>
      <c r="B413" s="2"/>
      <c r="C413" s="2"/>
      <c r="D413" s="2"/>
      <c r="E413" s="10"/>
      <c r="F413" s="2"/>
      <c r="G413" s="2"/>
      <c r="H413" s="2"/>
      <c r="I413" s="2"/>
    </row>
    <row r="414" spans="1:9">
      <c r="A414" s="2"/>
      <c r="B414" s="2"/>
      <c r="C414" s="2"/>
      <c r="D414" s="2"/>
      <c r="E414" s="10"/>
      <c r="F414" s="2"/>
      <c r="G414" s="2"/>
      <c r="H414" s="2"/>
      <c r="I414" s="2"/>
    </row>
    <row r="415" spans="1:9">
      <c r="A415" s="2"/>
      <c r="B415" s="2"/>
      <c r="C415" s="2"/>
      <c r="D415" s="2"/>
      <c r="E415" s="10"/>
      <c r="F415" s="2"/>
      <c r="G415" s="2"/>
      <c r="H415" s="2"/>
      <c r="I415" s="2"/>
    </row>
    <row r="416" spans="1:9">
      <c r="A416" s="2"/>
      <c r="B416" s="2"/>
      <c r="C416" s="2"/>
      <c r="D416" s="2"/>
      <c r="E416" s="10"/>
      <c r="F416" s="2"/>
      <c r="G416" s="2"/>
      <c r="H416" s="2"/>
      <c r="I416" s="2"/>
    </row>
    <row r="417" spans="1:9">
      <c r="A417" s="2"/>
      <c r="B417" s="2"/>
      <c r="C417" s="2"/>
      <c r="D417" s="2"/>
      <c r="E417" s="10"/>
      <c r="F417" s="2"/>
      <c r="G417" s="2"/>
      <c r="H417" s="2"/>
      <c r="I417" s="2"/>
    </row>
    <row r="418" spans="1:9">
      <c r="A418" s="2"/>
      <c r="B418" s="2"/>
      <c r="C418" s="2"/>
      <c r="D418" s="2"/>
      <c r="E418" s="10"/>
      <c r="F418" s="2"/>
      <c r="G418" s="2"/>
      <c r="H418" s="2"/>
      <c r="I418" s="2"/>
    </row>
    <row r="419" spans="1:9">
      <c r="A419" s="2"/>
      <c r="B419" s="2"/>
      <c r="C419" s="2"/>
      <c r="D419" s="2"/>
      <c r="E419" s="10"/>
      <c r="F419" s="2"/>
      <c r="G419" s="2"/>
      <c r="H419" s="2"/>
      <c r="I419" s="2"/>
    </row>
    <row r="420" spans="1:9">
      <c r="A420" s="2"/>
      <c r="B420" s="2"/>
      <c r="C420" s="2"/>
      <c r="D420" s="2"/>
      <c r="E420" s="10"/>
      <c r="F420" s="2"/>
      <c r="G420" s="2"/>
      <c r="H420" s="2"/>
      <c r="I420" s="2"/>
    </row>
    <row r="421" spans="1:9">
      <c r="A421" s="2"/>
      <c r="B421" s="2"/>
      <c r="C421" s="2"/>
      <c r="D421" s="2"/>
      <c r="E421" s="10"/>
      <c r="F421" s="2"/>
      <c r="G421" s="2"/>
      <c r="H421" s="2"/>
      <c r="I421" s="2"/>
    </row>
    <row r="422" spans="1:9">
      <c r="A422" s="2"/>
      <c r="B422" s="2"/>
      <c r="C422" s="2"/>
      <c r="D422" s="2"/>
      <c r="E422" s="10"/>
      <c r="F422" s="2"/>
      <c r="G422" s="2"/>
      <c r="H422" s="2"/>
      <c r="I422" s="2"/>
    </row>
    <row r="423" spans="1:9">
      <c r="A423" s="2"/>
      <c r="B423" s="2"/>
      <c r="C423" s="2"/>
      <c r="D423" s="2"/>
      <c r="E423" s="10"/>
      <c r="F423" s="2"/>
      <c r="G423" s="2"/>
      <c r="H423" s="2"/>
      <c r="I423" s="2"/>
    </row>
    <row r="424" spans="1:9">
      <c r="A424" s="2"/>
      <c r="B424" s="2"/>
      <c r="C424" s="2"/>
      <c r="D424" s="2"/>
      <c r="E424" s="10"/>
      <c r="F424" s="2"/>
      <c r="G424" s="2"/>
      <c r="H424" s="2"/>
      <c r="I424" s="2"/>
    </row>
    <row r="425" spans="1:9">
      <c r="A425" s="2"/>
      <c r="B425" s="2"/>
      <c r="C425" s="2"/>
      <c r="D425" s="2"/>
      <c r="E425" s="10"/>
      <c r="F425" s="2"/>
      <c r="G425" s="2"/>
      <c r="H425" s="2"/>
      <c r="I425" s="2"/>
    </row>
    <row r="426" spans="1:9">
      <c r="A426" s="2"/>
      <c r="B426" s="2"/>
      <c r="C426" s="2"/>
      <c r="D426" s="2"/>
      <c r="E426" s="10"/>
      <c r="F426" s="2"/>
      <c r="G426" s="2"/>
      <c r="H426" s="2"/>
      <c r="I426" s="2"/>
    </row>
    <row r="427" spans="1:9">
      <c r="A427" s="2"/>
      <c r="B427" s="2"/>
      <c r="C427" s="2"/>
      <c r="D427" s="2"/>
      <c r="E427" s="10"/>
      <c r="F427" s="2"/>
      <c r="G427" s="2"/>
      <c r="H427" s="2"/>
      <c r="I427" s="2"/>
    </row>
    <row r="428" spans="1:9">
      <c r="A428" s="2"/>
      <c r="B428" s="2"/>
      <c r="C428" s="2"/>
      <c r="D428" s="2"/>
      <c r="E428" s="10"/>
      <c r="F428" s="2"/>
      <c r="G428" s="2"/>
      <c r="H428" s="2"/>
      <c r="I428" s="2"/>
    </row>
    <row r="429" spans="1:9">
      <c r="A429" s="2"/>
      <c r="B429" s="2"/>
      <c r="C429" s="2"/>
      <c r="D429" s="2"/>
      <c r="E429" s="10"/>
      <c r="F429" s="2"/>
      <c r="G429" s="2"/>
      <c r="H429" s="2"/>
      <c r="I429" s="2"/>
    </row>
    <row r="430" spans="1:9">
      <c r="A430" s="2"/>
      <c r="B430" s="2"/>
      <c r="C430" s="2"/>
      <c r="D430" s="2"/>
      <c r="E430" s="10"/>
      <c r="F430" s="2"/>
      <c r="G430" s="2"/>
      <c r="H430" s="2"/>
      <c r="I430" s="2"/>
    </row>
    <row r="431" spans="1:9">
      <c r="A431" s="2"/>
      <c r="B431" s="2"/>
      <c r="C431" s="2"/>
      <c r="D431" s="2"/>
      <c r="E431" s="10"/>
      <c r="F431" s="2"/>
      <c r="G431" s="2"/>
      <c r="H431" s="2"/>
      <c r="I431" s="2"/>
    </row>
    <row r="432" spans="1:9">
      <c r="A432" s="2"/>
      <c r="B432" s="2"/>
      <c r="C432" s="2"/>
      <c r="D432" s="2"/>
      <c r="E432" s="10"/>
      <c r="F432" s="2"/>
      <c r="G432" s="2"/>
      <c r="H432" s="2"/>
      <c r="I432" s="2"/>
    </row>
    <row r="433" spans="1:9">
      <c r="A433" s="2"/>
      <c r="B433" s="2"/>
      <c r="C433" s="2"/>
      <c r="D433" s="2"/>
      <c r="E433" s="10"/>
      <c r="F433" s="2"/>
      <c r="G433" s="2"/>
      <c r="H433" s="2"/>
      <c r="I433" s="2"/>
    </row>
    <row r="434" spans="1:9">
      <c r="A434" s="2"/>
      <c r="B434" s="2"/>
      <c r="C434" s="2"/>
      <c r="D434" s="2"/>
      <c r="E434" s="10"/>
      <c r="F434" s="2"/>
      <c r="G434" s="2"/>
      <c r="H434" s="2"/>
      <c r="I434" s="2"/>
    </row>
    <row r="435" spans="1:9">
      <c r="A435" s="2"/>
      <c r="B435" s="2"/>
      <c r="C435" s="2"/>
      <c r="D435" s="2"/>
      <c r="E435" s="10"/>
      <c r="F435" s="2"/>
      <c r="G435" s="2"/>
      <c r="H435" s="2"/>
      <c r="I435" s="2"/>
    </row>
    <row r="436" spans="1:9">
      <c r="A436" s="2"/>
      <c r="B436" s="2"/>
      <c r="C436" s="2"/>
      <c r="D436" s="2"/>
      <c r="E436" s="10"/>
      <c r="F436" s="2"/>
      <c r="G436" s="2"/>
      <c r="H436" s="2"/>
      <c r="I436" s="2"/>
    </row>
    <row r="437" spans="1:9">
      <c r="A437" s="2"/>
      <c r="B437" s="2"/>
      <c r="C437" s="2"/>
      <c r="D437" s="2"/>
      <c r="E437" s="10"/>
      <c r="F437" s="2"/>
      <c r="G437" s="2"/>
      <c r="H437" s="2"/>
      <c r="I437" s="2"/>
    </row>
    <row r="438" spans="1:9">
      <c r="A438" s="2"/>
      <c r="B438" s="2"/>
      <c r="C438" s="2"/>
      <c r="D438" s="2"/>
      <c r="E438" s="10"/>
      <c r="F438" s="2"/>
      <c r="G438" s="2"/>
      <c r="H438" s="2"/>
      <c r="I438" s="2"/>
    </row>
    <row r="439" spans="1:9">
      <c r="A439" s="2"/>
      <c r="B439" s="2"/>
      <c r="C439" s="2"/>
      <c r="D439" s="2"/>
      <c r="E439" s="10"/>
      <c r="F439" s="2"/>
      <c r="G439" s="2"/>
      <c r="H439" s="2"/>
      <c r="I439" s="2"/>
    </row>
    <row r="440" spans="1:9">
      <c r="A440" s="2"/>
      <c r="B440" s="2"/>
      <c r="C440" s="2"/>
      <c r="D440" s="2"/>
      <c r="E440" s="10"/>
      <c r="F440" s="2"/>
      <c r="G440" s="2"/>
      <c r="H440" s="2"/>
      <c r="I440" s="2"/>
    </row>
    <row r="441" spans="1:9">
      <c r="A441" s="2"/>
      <c r="B441" s="2"/>
      <c r="C441" s="2"/>
      <c r="D441" s="2"/>
      <c r="E441" s="10"/>
      <c r="F441" s="2"/>
      <c r="G441" s="2"/>
      <c r="H441" s="2"/>
      <c r="I441" s="2"/>
    </row>
    <row r="442" spans="1:9">
      <c r="A442" s="2"/>
      <c r="B442" s="2"/>
      <c r="C442" s="2"/>
      <c r="D442" s="2"/>
      <c r="E442" s="10"/>
      <c r="F442" s="2"/>
      <c r="G442" s="2"/>
      <c r="H442" s="2"/>
      <c r="I442" s="2"/>
    </row>
    <row r="443" spans="1:9">
      <c r="A443" s="2"/>
      <c r="B443" s="2"/>
      <c r="C443" s="2"/>
      <c r="D443" s="2"/>
      <c r="E443" s="10"/>
      <c r="F443" s="2"/>
      <c r="G443" s="2"/>
      <c r="H443" s="2"/>
      <c r="I443" s="2"/>
    </row>
    <row r="444" spans="1:9">
      <c r="A444" s="2"/>
      <c r="B444" s="2"/>
      <c r="C444" s="2"/>
      <c r="D444" s="2"/>
      <c r="E444" s="10"/>
      <c r="F444" s="2"/>
      <c r="G444" s="2"/>
      <c r="H444" s="2"/>
      <c r="I444" s="2"/>
    </row>
    <row r="445" spans="1:9">
      <c r="A445" s="2"/>
      <c r="B445" s="2"/>
      <c r="C445" s="2"/>
      <c r="D445" s="2"/>
      <c r="E445" s="10"/>
      <c r="F445" s="2"/>
      <c r="G445" s="2"/>
      <c r="H445" s="2"/>
      <c r="I445" s="2"/>
    </row>
    <row r="446" spans="1:9">
      <c r="A446" s="2"/>
      <c r="B446" s="2"/>
      <c r="C446" s="2"/>
      <c r="D446" s="2"/>
      <c r="E446" s="10"/>
      <c r="F446" s="2"/>
      <c r="G446" s="2"/>
      <c r="H446" s="2"/>
      <c r="I446" s="2"/>
    </row>
    <row r="447" spans="1:9">
      <c r="A447" s="2"/>
      <c r="B447" s="2"/>
      <c r="C447" s="2"/>
      <c r="D447" s="2"/>
      <c r="E447" s="10"/>
      <c r="F447" s="2"/>
      <c r="G447" s="2"/>
      <c r="H447" s="2"/>
      <c r="I447" s="2"/>
    </row>
    <row r="448" spans="1:9">
      <c r="A448" s="2"/>
      <c r="B448" s="2"/>
      <c r="C448" s="2"/>
      <c r="D448" s="2"/>
      <c r="E448" s="10"/>
      <c r="F448" s="2"/>
      <c r="G448" s="2"/>
      <c r="H448" s="2"/>
      <c r="I448" s="2"/>
    </row>
    <row r="449" spans="1:9">
      <c r="A449" s="2"/>
      <c r="B449" s="2"/>
      <c r="C449" s="2"/>
      <c r="D449" s="2"/>
      <c r="E449" s="10"/>
      <c r="F449" s="2"/>
      <c r="G449" s="2"/>
      <c r="H449" s="2"/>
      <c r="I449" s="2"/>
    </row>
    <row r="450" spans="1:9">
      <c r="A450" s="2"/>
      <c r="B450" s="2"/>
      <c r="C450" s="2"/>
      <c r="D450" s="2"/>
      <c r="E450" s="10"/>
      <c r="F450" s="2"/>
      <c r="G450" s="2"/>
      <c r="H450" s="2"/>
      <c r="I450" s="2"/>
    </row>
    <row r="451" spans="1:9">
      <c r="A451" s="2"/>
      <c r="B451" s="2"/>
      <c r="C451" s="2"/>
      <c r="D451" s="2"/>
      <c r="E451" s="10"/>
      <c r="F451" s="2"/>
      <c r="G451" s="2"/>
      <c r="H451" s="2"/>
      <c r="I451" s="2"/>
    </row>
    <row r="452" spans="1:9">
      <c r="A452" s="2"/>
      <c r="B452" s="2"/>
      <c r="C452" s="2"/>
      <c r="D452" s="2"/>
      <c r="E452" s="10"/>
      <c r="F452" s="2"/>
      <c r="G452" s="2"/>
      <c r="H452" s="2"/>
      <c r="I452" s="2"/>
    </row>
    <row r="453" spans="1:9">
      <c r="A453" s="2"/>
      <c r="B453" s="2"/>
      <c r="C453" s="2"/>
      <c r="D453" s="2"/>
      <c r="E453" s="10"/>
      <c r="F453" s="2"/>
      <c r="G453" s="2"/>
      <c r="H453" s="2"/>
      <c r="I453" s="2"/>
    </row>
    <row r="454" spans="1:9">
      <c r="A454" s="2"/>
      <c r="B454" s="2"/>
      <c r="C454" s="2"/>
      <c r="D454" s="2"/>
      <c r="E454" s="10"/>
      <c r="F454" s="2"/>
      <c r="G454" s="2"/>
      <c r="H454" s="2"/>
      <c r="I454" s="2"/>
    </row>
    <row r="455" spans="1:9">
      <c r="A455" s="2"/>
      <c r="B455" s="2"/>
      <c r="C455" s="2"/>
      <c r="D455" s="2"/>
      <c r="E455" s="10"/>
      <c r="F455" s="2"/>
      <c r="G455" s="2"/>
      <c r="H455" s="2"/>
      <c r="I455" s="2"/>
    </row>
    <row r="456" spans="1:9">
      <c r="A456" s="2"/>
      <c r="B456" s="2"/>
      <c r="C456" s="2"/>
      <c r="D456" s="2"/>
      <c r="E456" s="10"/>
      <c r="F456" s="2"/>
      <c r="G456" s="2"/>
      <c r="H456" s="2"/>
      <c r="I456" s="2"/>
    </row>
    <row r="457" spans="1:9">
      <c r="A457" s="2"/>
      <c r="B457" s="2"/>
      <c r="C457" s="2"/>
      <c r="D457" s="2"/>
      <c r="E457" s="10"/>
      <c r="F457" s="2"/>
      <c r="G457" s="2"/>
      <c r="H457" s="2"/>
      <c r="I457" s="2"/>
    </row>
    <row r="458" spans="1:9">
      <c r="A458" s="2"/>
      <c r="B458" s="2"/>
      <c r="C458" s="2"/>
      <c r="D458" s="2"/>
      <c r="E458" s="10"/>
      <c r="F458" s="2"/>
      <c r="G458" s="2"/>
      <c r="H458" s="2"/>
      <c r="I458" s="2"/>
    </row>
    <row r="459" spans="1:9">
      <c r="A459" s="2"/>
      <c r="B459" s="2"/>
      <c r="C459" s="2"/>
      <c r="D459" s="2"/>
      <c r="E459" s="10"/>
      <c r="F459" s="2"/>
      <c r="G459" s="2"/>
      <c r="H459" s="2"/>
      <c r="I459" s="2"/>
    </row>
    <row r="460" spans="1:9">
      <c r="A460" s="2"/>
      <c r="B460" s="2"/>
      <c r="C460" s="2"/>
      <c r="D460" s="2"/>
      <c r="E460" s="10"/>
      <c r="F460" s="2"/>
      <c r="G460" s="2"/>
      <c r="H460" s="2"/>
      <c r="I460" s="2"/>
    </row>
    <row r="461" spans="1:9">
      <c r="A461" s="2"/>
      <c r="B461" s="2"/>
      <c r="C461" s="2"/>
      <c r="D461" s="2"/>
      <c r="E461" s="10"/>
      <c r="F461" s="2"/>
      <c r="G461" s="2"/>
      <c r="H461" s="2"/>
      <c r="I461" s="2"/>
    </row>
    <row r="462" spans="1:9">
      <c r="A462" s="2"/>
      <c r="B462" s="2"/>
      <c r="C462" s="2"/>
      <c r="D462" s="2"/>
      <c r="E462" s="10"/>
      <c r="F462" s="2"/>
      <c r="G462" s="2"/>
      <c r="H462" s="2"/>
      <c r="I462" s="2"/>
    </row>
    <row r="463" spans="1:9">
      <c r="A463" s="2"/>
      <c r="B463" s="2"/>
      <c r="C463" s="2"/>
      <c r="D463" s="2"/>
      <c r="E463" s="10"/>
      <c r="F463" s="2"/>
      <c r="G463" s="2"/>
      <c r="H463" s="2"/>
      <c r="I463" s="2"/>
    </row>
    <row r="464" spans="1:9">
      <c r="A464" s="2"/>
      <c r="B464" s="2"/>
      <c r="C464" s="2"/>
      <c r="D464" s="2"/>
      <c r="E464" s="10"/>
      <c r="F464" s="2"/>
      <c r="G464" s="2"/>
      <c r="H464" s="2"/>
      <c r="I464" s="2"/>
    </row>
    <row r="465" spans="1:9">
      <c r="A465" s="2"/>
      <c r="B465" s="2"/>
      <c r="C465" s="2"/>
      <c r="D465" s="2"/>
      <c r="E465" s="10"/>
      <c r="F465" s="2"/>
      <c r="G465" s="2"/>
      <c r="H465" s="2"/>
      <c r="I465" s="2"/>
    </row>
    <row r="466" spans="1:9">
      <c r="A466" s="2"/>
      <c r="B466" s="2"/>
      <c r="C466" s="2"/>
      <c r="D466" s="2"/>
      <c r="E466" s="10"/>
      <c r="F466" s="2"/>
      <c r="G466" s="2"/>
      <c r="H466" s="2"/>
      <c r="I466" s="2"/>
    </row>
    <row r="467" spans="1:9">
      <c r="A467" s="2"/>
      <c r="B467" s="2"/>
      <c r="C467" s="2"/>
      <c r="D467" s="2"/>
      <c r="E467" s="10"/>
      <c r="F467" s="2"/>
      <c r="G467" s="2"/>
      <c r="H467" s="2"/>
      <c r="I467" s="2"/>
    </row>
    <row r="468" spans="1:9">
      <c r="A468" s="2"/>
      <c r="B468" s="2"/>
      <c r="C468" s="2"/>
      <c r="D468" s="2"/>
      <c r="E468" s="10"/>
      <c r="F468" s="2"/>
      <c r="G468" s="2"/>
      <c r="H468" s="2"/>
      <c r="I468" s="2"/>
    </row>
    <row r="469" spans="1:9">
      <c r="A469" s="2"/>
      <c r="B469" s="2"/>
      <c r="C469" s="2"/>
      <c r="D469" s="2"/>
      <c r="E469" s="10"/>
      <c r="F469" s="2"/>
      <c r="G469" s="2"/>
      <c r="H469" s="2"/>
      <c r="I469" s="2"/>
    </row>
    <row r="470" spans="1:9">
      <c r="A470" s="2"/>
      <c r="B470" s="2"/>
      <c r="C470" s="2"/>
      <c r="D470" s="2"/>
      <c r="E470" s="10"/>
      <c r="F470" s="2"/>
      <c r="G470" s="2"/>
      <c r="H470" s="2"/>
      <c r="I470" s="2"/>
    </row>
    <row r="471" spans="1:9">
      <c r="A471" s="2"/>
      <c r="B471" s="2"/>
      <c r="C471" s="2"/>
      <c r="D471" s="2"/>
      <c r="E471" s="10"/>
      <c r="F471" s="2"/>
      <c r="G471" s="2"/>
      <c r="H471" s="2"/>
      <c r="I471" s="2"/>
    </row>
    <row r="472" spans="1:9">
      <c r="A472" s="2"/>
      <c r="B472" s="2"/>
      <c r="C472" s="2"/>
      <c r="D472" s="2"/>
      <c r="E472" s="10"/>
      <c r="F472" s="2"/>
      <c r="G472" s="2"/>
      <c r="H472" s="2"/>
      <c r="I472" s="2"/>
    </row>
    <row r="473" spans="1:9">
      <c r="A473" s="2"/>
      <c r="B473" s="2"/>
      <c r="C473" s="2"/>
      <c r="D473" s="2"/>
      <c r="E473" s="10"/>
      <c r="F473" s="2"/>
      <c r="G473" s="2"/>
      <c r="H473" s="2"/>
      <c r="I473" s="2"/>
    </row>
    <row r="474" spans="1:9">
      <c r="A474" s="2"/>
      <c r="B474" s="2"/>
      <c r="C474" s="2"/>
      <c r="D474" s="2"/>
      <c r="E474" s="10"/>
      <c r="F474" s="2"/>
      <c r="G474" s="2"/>
      <c r="H474" s="2"/>
      <c r="I474" s="2"/>
    </row>
    <row r="475" spans="1:9">
      <c r="A475" s="2"/>
      <c r="B475" s="2"/>
      <c r="C475" s="2"/>
      <c r="D475" s="2"/>
      <c r="E475" s="10"/>
      <c r="F475" s="2"/>
      <c r="G475" s="2"/>
      <c r="H475" s="2"/>
      <c r="I475" s="2"/>
    </row>
    <row r="476" spans="1:9">
      <c r="A476" s="2"/>
      <c r="B476" s="2"/>
      <c r="C476" s="2"/>
      <c r="D476" s="2"/>
      <c r="E476" s="10"/>
      <c r="F476" s="2"/>
      <c r="G476" s="2"/>
      <c r="H476" s="2"/>
      <c r="I476" s="2"/>
    </row>
    <row r="477" spans="1:9">
      <c r="A477" s="2"/>
      <c r="B477" s="2"/>
      <c r="C477" s="2"/>
      <c r="D477" s="2"/>
      <c r="E477" s="10"/>
      <c r="F477" s="2"/>
      <c r="G477" s="2"/>
      <c r="H477" s="2"/>
      <c r="I477" s="2"/>
    </row>
    <row r="478" spans="1:9">
      <c r="A478" s="2"/>
      <c r="B478" s="2"/>
      <c r="C478" s="2"/>
      <c r="D478" s="2"/>
      <c r="E478" s="10"/>
      <c r="F478" s="2"/>
      <c r="G478" s="2"/>
      <c r="H478" s="2"/>
      <c r="I478" s="2"/>
    </row>
    <row r="479" spans="1:9">
      <c r="A479" s="2"/>
      <c r="B479" s="2"/>
      <c r="C479" s="2"/>
      <c r="D479" s="2"/>
      <c r="E479" s="10"/>
      <c r="F479" s="2"/>
      <c r="G479" s="2"/>
      <c r="H479" s="2"/>
      <c r="I479" s="2"/>
    </row>
    <row r="480" spans="1:9">
      <c r="A480" s="2"/>
      <c r="B480" s="2"/>
      <c r="C480" s="2"/>
      <c r="D480" s="2"/>
      <c r="E480" s="10"/>
      <c r="F480" s="2"/>
      <c r="G480" s="2"/>
      <c r="H480" s="2"/>
      <c r="I480" s="2"/>
    </row>
    <row r="481" spans="1:9">
      <c r="A481" s="2"/>
      <c r="B481" s="2"/>
      <c r="C481" s="2"/>
      <c r="D481" s="2"/>
      <c r="E481" s="10"/>
      <c r="F481" s="2"/>
      <c r="G481" s="2"/>
      <c r="H481" s="2"/>
      <c r="I481" s="2"/>
    </row>
    <row r="482" spans="1:9">
      <c r="A482" s="2"/>
      <c r="B482" s="2"/>
      <c r="C482" s="2"/>
      <c r="D482" s="2"/>
      <c r="E482" s="10"/>
      <c r="F482" s="2"/>
      <c r="G482" s="2"/>
      <c r="H482" s="2"/>
      <c r="I482" s="2"/>
    </row>
    <row r="483" spans="1:9">
      <c r="A483" s="2"/>
      <c r="B483" s="2"/>
      <c r="C483" s="2"/>
      <c r="D483" s="2"/>
      <c r="E483" s="10"/>
      <c r="F483" s="2"/>
      <c r="G483" s="2"/>
      <c r="H483" s="2"/>
      <c r="I483" s="2"/>
    </row>
    <row r="484" spans="1:9">
      <c r="A484" s="2"/>
      <c r="B484" s="2"/>
      <c r="C484" s="2"/>
      <c r="D484" s="2"/>
      <c r="E484" s="10"/>
      <c r="F484" s="2"/>
      <c r="G484" s="2"/>
      <c r="H484" s="2"/>
      <c r="I484" s="2"/>
    </row>
    <row r="485" spans="1:9">
      <c r="A485" s="2"/>
      <c r="B485" s="2"/>
      <c r="C485" s="2"/>
      <c r="D485" s="2"/>
      <c r="E485" s="10"/>
      <c r="F485" s="2"/>
      <c r="G485" s="2"/>
      <c r="H485" s="2"/>
      <c r="I485" s="2"/>
    </row>
    <row r="486" spans="1:9">
      <c r="A486" s="2"/>
      <c r="B486" s="2"/>
      <c r="C486" s="2"/>
      <c r="D486" s="2"/>
      <c r="E486" s="10"/>
      <c r="F486" s="2"/>
      <c r="G486" s="2"/>
      <c r="H486" s="2"/>
      <c r="I486" s="2"/>
    </row>
    <row r="487" spans="1:9">
      <c r="A487" s="2"/>
      <c r="B487" s="2"/>
      <c r="C487" s="2"/>
      <c r="D487" s="2"/>
      <c r="E487" s="10"/>
      <c r="F487" s="2"/>
      <c r="G487" s="2"/>
      <c r="H487" s="2"/>
      <c r="I487" s="2"/>
    </row>
    <row r="488" spans="1:9">
      <c r="A488" s="2"/>
      <c r="B488" s="2"/>
      <c r="C488" s="2"/>
      <c r="D488" s="2"/>
      <c r="E488" s="10"/>
      <c r="F488" s="2"/>
      <c r="G488" s="2"/>
      <c r="H488" s="2"/>
      <c r="I488" s="2"/>
    </row>
    <row r="489" spans="1:9">
      <c r="A489" s="2"/>
      <c r="B489" s="2"/>
      <c r="C489" s="2"/>
      <c r="D489" s="2"/>
      <c r="E489" s="10"/>
      <c r="F489" s="2"/>
      <c r="G489" s="2"/>
      <c r="H489" s="2"/>
      <c r="I489" s="2"/>
    </row>
    <row r="490" spans="1:9">
      <c r="A490" s="2"/>
      <c r="B490" s="2"/>
      <c r="C490" s="2"/>
      <c r="D490" s="2"/>
      <c r="E490" s="10"/>
      <c r="F490" s="2"/>
      <c r="G490" s="2"/>
      <c r="H490" s="2"/>
      <c r="I490" s="2"/>
    </row>
    <row r="491" spans="1:9">
      <c r="A491" s="2"/>
      <c r="B491" s="2"/>
      <c r="C491" s="2"/>
      <c r="D491" s="2"/>
      <c r="E491" s="10"/>
      <c r="F491" s="2"/>
      <c r="G491" s="2"/>
      <c r="H491" s="2"/>
      <c r="I491" s="2"/>
    </row>
    <row r="492" spans="1:9">
      <c r="A492" s="2"/>
      <c r="B492" s="2"/>
      <c r="C492" s="2"/>
      <c r="D492" s="2"/>
      <c r="E492" s="10"/>
      <c r="F492" s="2"/>
      <c r="G492" s="2"/>
      <c r="H492" s="2"/>
      <c r="I492" s="2"/>
    </row>
    <row r="493" spans="1:9">
      <c r="A493" s="2"/>
      <c r="B493" s="2"/>
      <c r="C493" s="2"/>
      <c r="D493" s="2"/>
      <c r="E493" s="10"/>
      <c r="F493" s="2"/>
      <c r="G493" s="2"/>
      <c r="H493" s="2"/>
      <c r="I493" s="2"/>
    </row>
    <row r="494" spans="1:9">
      <c r="A494" s="2"/>
      <c r="B494" s="2"/>
      <c r="C494" s="2"/>
      <c r="D494" s="2"/>
      <c r="E494" s="10"/>
      <c r="F494" s="2"/>
      <c r="G494" s="2"/>
      <c r="H494" s="2"/>
      <c r="I494" s="2"/>
    </row>
    <row r="495" spans="1:9">
      <c r="A495" s="2"/>
      <c r="B495" s="2"/>
      <c r="C495" s="2"/>
      <c r="D495" s="2"/>
      <c r="E495" s="10"/>
      <c r="F495" s="2"/>
      <c r="G495" s="2"/>
      <c r="H495" s="2"/>
      <c r="I495" s="2"/>
    </row>
    <row r="496" spans="1:9">
      <c r="A496" s="2"/>
      <c r="B496" s="2"/>
      <c r="C496" s="2"/>
      <c r="D496" s="2"/>
      <c r="E496" s="10"/>
      <c r="F496" s="2"/>
      <c r="G496" s="2"/>
      <c r="H496" s="2"/>
      <c r="I496" s="2"/>
    </row>
    <row r="497" spans="1:9">
      <c r="A497" s="2"/>
      <c r="B497" s="2"/>
      <c r="C497" s="2"/>
      <c r="D497" s="2"/>
      <c r="E497" s="10"/>
      <c r="F497" s="2"/>
      <c r="G497" s="2"/>
      <c r="H497" s="2"/>
      <c r="I497" s="2"/>
    </row>
    <row r="498" spans="1:9">
      <c r="A498" s="2"/>
      <c r="B498" s="2"/>
      <c r="C498" s="2"/>
      <c r="D498" s="2"/>
      <c r="E498" s="10"/>
      <c r="F498" s="2"/>
      <c r="G498" s="2"/>
      <c r="H498" s="2"/>
      <c r="I498" s="2"/>
    </row>
    <row r="499" spans="1:9">
      <c r="A499" s="2"/>
      <c r="B499" s="2"/>
      <c r="C499" s="2"/>
      <c r="D499" s="2"/>
      <c r="E499" s="10"/>
      <c r="F499" s="2"/>
      <c r="G499" s="2"/>
      <c r="H499" s="2"/>
      <c r="I499" s="2"/>
    </row>
    <row r="500" spans="1:9">
      <c r="A500" s="2"/>
      <c r="B500" s="2"/>
      <c r="C500" s="2"/>
      <c r="D500" s="2"/>
      <c r="E500" s="10"/>
      <c r="F500" s="2"/>
      <c r="G500" s="2"/>
      <c r="H500" s="2"/>
      <c r="I500" s="2"/>
    </row>
    <row r="501" spans="1:9">
      <c r="A501" s="2"/>
      <c r="B501" s="2"/>
      <c r="C501" s="2"/>
      <c r="D501" s="2"/>
      <c r="E501" s="10"/>
      <c r="F501" s="2"/>
      <c r="G501" s="2"/>
      <c r="H501" s="2"/>
      <c r="I501" s="2"/>
    </row>
  </sheetData>
  <dataValidations count="3">
    <dataValidation type="list" allowBlank="1" sqref="D2:D501">
      <formula1>"买入,持续追踪,卖出"</formula1>
    </dataValidation>
    <dataValidation type="date" operator="between" allowBlank="1" sqref="E2:E501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>
      <formula1>技术指标列表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pane ySplit="1" topLeftCell="A2" activePane="bottomLeft" state="frozen"/>
      <selection/>
      <selection pane="bottomLeft" activeCell="B18" sqref="B18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183</v>
      </c>
      <c r="B1" s="3" t="s">
        <v>184</v>
      </c>
      <c r="C1" s="3" t="s">
        <v>185</v>
      </c>
    </row>
    <row r="2" ht="17" spans="1:3">
      <c r="A2" s="4" t="s">
        <v>186</v>
      </c>
      <c r="B2" s="8">
        <f>COUNT(单次交易!M2:M201)</f>
        <v>90</v>
      </c>
      <c r="C2" s="4" t="s">
        <v>187</v>
      </c>
    </row>
    <row r="3" ht="17" spans="1:3">
      <c r="A3" s="4" t="s">
        <v>188</v>
      </c>
      <c r="B3" s="8">
        <f>COUNTIF(单次交易!X2:X201,"&gt;0")</f>
        <v>41</v>
      </c>
      <c r="C3" s="4" t="s">
        <v>189</v>
      </c>
    </row>
    <row r="4" ht="17" spans="1:3">
      <c r="A4" s="4" t="s">
        <v>190</v>
      </c>
      <c r="B4" s="8">
        <f>COUNTIF(单次交易!X2:X201,"&lt;0")</f>
        <v>49</v>
      </c>
      <c r="C4" s="4" t="s">
        <v>191</v>
      </c>
    </row>
    <row r="5" ht="17" spans="1:3">
      <c r="A5" s="4" t="s">
        <v>192</v>
      </c>
      <c r="B5" s="8">
        <f>COUNTIFS(单次交易!M2:M201,"&lt;&gt;",单次交易!X2:X201,"=0")</f>
        <v>0</v>
      </c>
      <c r="C5" s="4" t="s">
        <v>193</v>
      </c>
    </row>
    <row r="6" ht="17" spans="1:3">
      <c r="A6" s="4" t="s">
        <v>194</v>
      </c>
      <c r="B6" s="7">
        <f>IFERROR(B3/(B3+B4),"")</f>
        <v>0.455555555555556</v>
      </c>
      <c r="C6" s="4" t="s">
        <v>195</v>
      </c>
    </row>
    <row r="7" ht="17" spans="1:3">
      <c r="A7" s="4" t="s">
        <v>196</v>
      </c>
      <c r="B7" s="7">
        <f>IFERROR(B4/(B3+B4),"")</f>
        <v>0.544444444444444</v>
      </c>
      <c r="C7" s="4" t="s">
        <v>197</v>
      </c>
    </row>
    <row r="8" ht="17" spans="1:3">
      <c r="A8" s="4" t="s">
        <v>198</v>
      </c>
      <c r="B8" s="7">
        <f>IFERROR(AVERAGEIF(单次交易!X2:X201,"&gt;0",单次交易!AE2:AE201),"")</f>
        <v>0.0573455440282548</v>
      </c>
      <c r="C8" s="4" t="s">
        <v>199</v>
      </c>
    </row>
    <row r="9" ht="17" spans="1:3">
      <c r="A9" s="4" t="s">
        <v>200</v>
      </c>
      <c r="B9" s="7">
        <f>IFERROR(-AVERAGEIF(单次交易!X2:X201,"&lt;0",单次交易!AE2:AE201),"")</f>
        <v>0.0292761619899203</v>
      </c>
      <c r="C9" s="4" t="s">
        <v>201</v>
      </c>
    </row>
    <row r="10" ht="17" spans="1:3">
      <c r="A10" s="4" t="s">
        <v>202</v>
      </c>
      <c r="B10" s="8">
        <f>SUMIF(单次交易!X2:X201,"&gt;0",单次交易!AA2:AA201)</f>
        <v>1785</v>
      </c>
      <c r="C10" s="4" t="s">
        <v>203</v>
      </c>
    </row>
    <row r="11" ht="17" spans="1:3">
      <c r="A11" s="4" t="s">
        <v>204</v>
      </c>
      <c r="B11" s="8">
        <f>SUMIF(单次交易!X2:X201,"&lt;0",单次交易!AA2:AA201)</f>
        <v>917</v>
      </c>
      <c r="C11" s="4" t="s">
        <v>203</v>
      </c>
    </row>
    <row r="12" ht="17" spans="1:3">
      <c r="A12" s="4" t="s">
        <v>205</v>
      </c>
      <c r="B12" s="5">
        <f>IFERROR(SUMPRODUCT(单次交易!E2:E201,单次交易!H2:H201)/COUNT(单次交易!H2:H201),"")</f>
        <v>61767.8</v>
      </c>
      <c r="C12" s="4" t="s">
        <v>206</v>
      </c>
    </row>
    <row r="13" ht="17" spans="1:3">
      <c r="A13" s="4" t="s">
        <v>207</v>
      </c>
      <c r="B13" s="7">
        <f>IF(OR(B6="",B7="",B8="",B9=""),"",B6*B8-B7*B9)</f>
        <v>0.0101848374183594</v>
      </c>
      <c r="C13" s="4" t="s">
        <v>208</v>
      </c>
    </row>
    <row r="14" ht="17" spans="1:3">
      <c r="A14" s="4" t="s">
        <v>209</v>
      </c>
      <c r="B14" s="7">
        <f>IF(COUNT(单次交易!AE2:AE201)=0,"",EXP(SUMPRODUCT(IFERROR(LN(1+单次交易!AE2:AE201),0)))-1)</f>
        <v>1.15131819740595</v>
      </c>
      <c r="C14" s="4" t="s">
        <v>210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workbookViewId="0">
      <pane ySplit="1" topLeftCell="A2" activePane="bottomLeft" state="frozen"/>
      <selection/>
      <selection pane="bottomLeft" activeCell="E10" sqref="E10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183</v>
      </c>
      <c r="B1" s="3" t="s">
        <v>211</v>
      </c>
      <c r="C1" s="3" t="s">
        <v>212</v>
      </c>
    </row>
    <row r="2" ht="17" spans="1:3">
      <c r="A2" s="4" t="s">
        <v>213</v>
      </c>
      <c r="B2" s="9">
        <v>100000</v>
      </c>
      <c r="C2" s="4" t="s">
        <v>214</v>
      </c>
    </row>
    <row r="3" ht="17" spans="1:3">
      <c r="A3" s="4" t="s">
        <v>215</v>
      </c>
      <c r="B3" s="5">
        <f>IF(B2="","",B2+SUM(单次交易!X2:X201))</f>
        <v>215127</v>
      </c>
      <c r="C3" s="4" t="s">
        <v>216</v>
      </c>
    </row>
    <row r="4" ht="17" spans="1:3">
      <c r="A4" s="4" t="s">
        <v>217</v>
      </c>
      <c r="B4" s="6">
        <v>0.02</v>
      </c>
      <c r="C4" s="4" t="s">
        <v>218</v>
      </c>
    </row>
    <row r="5" ht="17" spans="1:3">
      <c r="A5" s="4" t="s">
        <v>219</v>
      </c>
      <c r="B5" s="5">
        <f>IF(B3="","",B3*B4)</f>
        <v>4302.54</v>
      </c>
      <c r="C5" s="4" t="s">
        <v>220</v>
      </c>
    </row>
    <row r="6" ht="17" spans="1:3">
      <c r="A6" s="4" t="s">
        <v>221</v>
      </c>
      <c r="B6" s="6">
        <v>0.06</v>
      </c>
      <c r="C6" s="4" t="s">
        <v>222</v>
      </c>
    </row>
    <row r="7" ht="17" spans="1:3">
      <c r="A7" s="4" t="s">
        <v>223</v>
      </c>
      <c r="B7" s="5">
        <f>IF(B3="","",B3*B6)</f>
        <v>12907.62</v>
      </c>
      <c r="C7" s="4" t="s">
        <v>224</v>
      </c>
    </row>
    <row r="8" ht="17" spans="1:3">
      <c r="A8" s="4" t="s">
        <v>225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226</v>
      </c>
    </row>
    <row r="9" ht="17" spans="1:3">
      <c r="A9" s="4" t="s">
        <v>227</v>
      </c>
      <c r="B9" s="5">
        <f>IFERROR(SUMPRODUCT((单次交易!M2:M201="")*(单次交易!H2:H201&gt;0)*(单次交易!E2:E201&gt;单次交易!N2:N201)*单次交易!H2:H201*(单次交易!E2:E201-单次交易!N2:N201)),0)</f>
        <v>0</v>
      </c>
      <c r="C9" s="4" t="s">
        <v>228</v>
      </c>
    </row>
    <row r="10" ht="17" spans="1:3">
      <c r="A10" s="4" t="s">
        <v>229</v>
      </c>
      <c r="B10" s="5">
        <f>IF(OR(B7="",B9=""),"",B7-B9)</f>
        <v>12907.62</v>
      </c>
      <c r="C10" s="4" t="s">
        <v>230</v>
      </c>
    </row>
    <row r="11" ht="17" spans="1:3">
      <c r="A11" s="4" t="s">
        <v>231</v>
      </c>
      <c r="B11" s="7">
        <f>IF(OR(B2="",B3="",B2&lt;=0),"",B3/B2-1)</f>
        <v>1.15127</v>
      </c>
      <c r="C11" s="4" t="s">
        <v>232</v>
      </c>
    </row>
  </sheetData>
  <conditionalFormatting sqref="B8">
    <cfRule type="cellIs" dxfId="0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dataValidations count="2">
    <dataValidation type="decimal" operator="greaterThan" sqref="B2">
      <formula1>0</formula1>
    </dataValidation>
    <dataValidation type="decimal" operator="between" sqref="B4 B6">
      <formula1>0</formula1>
      <formula2>1</formula2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C26" sqref="C26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183</v>
      </c>
      <c r="B1" s="3" t="s">
        <v>211</v>
      </c>
      <c r="C1" s="3" t="s">
        <v>185</v>
      </c>
    </row>
    <row r="2" ht="17" spans="1:3">
      <c r="A2" s="4" t="s">
        <v>233</v>
      </c>
      <c r="B2" s="5">
        <f>账户数据!B3</f>
        <v>215127</v>
      </c>
      <c r="C2" s="4" t="s">
        <v>234</v>
      </c>
    </row>
    <row r="3" ht="17" spans="1:3">
      <c r="A3" s="4" t="s">
        <v>235</v>
      </c>
      <c r="B3" s="6">
        <v>0.1</v>
      </c>
      <c r="C3" s="4" t="s">
        <v>236</v>
      </c>
    </row>
    <row r="4" ht="17" spans="1:3">
      <c r="A4" s="4" t="s">
        <v>237</v>
      </c>
      <c r="B4" s="5">
        <f>IF(OR(B2="",B3=""),"",B2*B3)</f>
        <v>21512.7</v>
      </c>
      <c r="C4" s="4" t="s">
        <v>238</v>
      </c>
    </row>
    <row r="5" ht="17" spans="1:3">
      <c r="A5" s="4" t="s">
        <v>205</v>
      </c>
      <c r="B5" s="5">
        <f>多次统计数据!B12</f>
        <v>61767.8</v>
      </c>
      <c r="C5" s="4" t="s">
        <v>239</v>
      </c>
    </row>
    <row r="6" ht="17" spans="1:3">
      <c r="A6" s="4" t="s">
        <v>240</v>
      </c>
      <c r="B6" s="7">
        <f>多次统计数据!B13</f>
        <v>0.0101848374183594</v>
      </c>
      <c r="C6" s="4" t="s">
        <v>241</v>
      </c>
    </row>
    <row r="7" ht="17" spans="1:3">
      <c r="A7" s="4" t="s">
        <v>242</v>
      </c>
      <c r="B7" s="8">
        <f>IF(OR(B3="",B6="",B3&lt;=0,B6&lt;=0),"暂不可计算",ROUNDUP(LN(1+B3)/LN(1+B6),0))</f>
        <v>10</v>
      </c>
      <c r="C7" s="4" t="s">
        <v>243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2" customWidth="1"/>
    <col min="2" max="2" width="18" customWidth="1"/>
    <col min="3" max="3" width="56" customWidth="1"/>
  </cols>
  <sheetData>
    <row r="1" ht="42" customHeight="1" spans="1:3">
      <c r="A1" s="1" t="s">
        <v>244</v>
      </c>
      <c r="B1" s="1" t="s">
        <v>245</v>
      </c>
      <c r="C1" s="1" t="s">
        <v>246</v>
      </c>
    </row>
    <row r="2" ht="17" spans="1:3">
      <c r="A2" s="2" t="s">
        <v>247</v>
      </c>
      <c r="B2" s="2" t="s">
        <v>248</v>
      </c>
      <c r="C2" s="2" t="s">
        <v>249</v>
      </c>
    </row>
    <row r="3" ht="17" spans="1:3">
      <c r="A3" s="2" t="s">
        <v>250</v>
      </c>
      <c r="B3" s="2" t="s">
        <v>251</v>
      </c>
      <c r="C3" s="2" t="s">
        <v>252</v>
      </c>
    </row>
    <row r="4" ht="17" spans="1:3">
      <c r="A4" s="2" t="s">
        <v>253</v>
      </c>
      <c r="B4" s="2" t="s">
        <v>254</v>
      </c>
      <c r="C4" s="2" t="s">
        <v>255</v>
      </c>
    </row>
    <row r="5" ht="17" spans="1:3">
      <c r="A5" s="2" t="s">
        <v>256</v>
      </c>
      <c r="B5" s="2" t="s">
        <v>251</v>
      </c>
      <c r="C5" s="2" t="s">
        <v>257</v>
      </c>
    </row>
    <row r="6" ht="17" spans="1:3">
      <c r="A6" s="2" t="s">
        <v>258</v>
      </c>
      <c r="B6" s="2" t="s">
        <v>259</v>
      </c>
      <c r="C6" s="2" t="s">
        <v>260</v>
      </c>
    </row>
    <row r="7" ht="17" spans="1:3">
      <c r="A7" s="2" t="s">
        <v>261</v>
      </c>
      <c r="B7" s="2" t="s">
        <v>254</v>
      </c>
      <c r="C7" s="2" t="s">
        <v>262</v>
      </c>
    </row>
    <row r="8" ht="17" spans="1:3">
      <c r="A8" s="2" t="s">
        <v>263</v>
      </c>
      <c r="B8" s="2" t="s">
        <v>254</v>
      </c>
      <c r="C8" s="2" t="s">
        <v>264</v>
      </c>
    </row>
    <row r="9" ht="17" spans="1:3">
      <c r="A9" s="2" t="s">
        <v>265</v>
      </c>
      <c r="B9" s="2" t="s">
        <v>266</v>
      </c>
      <c r="C9" s="2" t="s">
        <v>267</v>
      </c>
    </row>
    <row r="10" ht="17" spans="1:3">
      <c r="A10" s="2" t="s">
        <v>268</v>
      </c>
      <c r="B10" s="2" t="s">
        <v>269</v>
      </c>
      <c r="C10" s="2" t="s">
        <v>270</v>
      </c>
    </row>
    <row r="11" ht="17" spans="1:3">
      <c r="A11" s="2" t="s">
        <v>271</v>
      </c>
      <c r="B11" s="2" t="s">
        <v>269</v>
      </c>
      <c r="C11" s="2" t="s">
        <v>272</v>
      </c>
    </row>
    <row r="12" ht="17" spans="1:3">
      <c r="A12" s="2" t="s">
        <v>273</v>
      </c>
      <c r="B12" s="2" t="s">
        <v>248</v>
      </c>
      <c r="C12" s="2" t="s">
        <v>274</v>
      </c>
    </row>
    <row r="13" ht="17" spans="1:3">
      <c r="A13" s="2" t="s">
        <v>275</v>
      </c>
      <c r="B13" s="2" t="s">
        <v>248</v>
      </c>
      <c r="C13" s="2" t="s">
        <v>276</v>
      </c>
    </row>
    <row r="14" ht="17" spans="1:3">
      <c r="A14" s="2" t="s">
        <v>277</v>
      </c>
      <c r="B14" s="2" t="s">
        <v>251</v>
      </c>
      <c r="C14" s="2" t="s">
        <v>278</v>
      </c>
    </row>
    <row r="15" ht="17" spans="1:3">
      <c r="A15" s="2" t="s">
        <v>279</v>
      </c>
      <c r="B15" s="2" t="s">
        <v>251</v>
      </c>
      <c r="C15" s="2" t="s">
        <v>280</v>
      </c>
    </row>
    <row r="16" ht="17" spans="1:3">
      <c r="A16" s="2" t="s">
        <v>281</v>
      </c>
      <c r="B16" s="2" t="s">
        <v>259</v>
      </c>
      <c r="C16" s="2" t="s">
        <v>282</v>
      </c>
    </row>
    <row r="17" ht="17" spans="1:3">
      <c r="A17" s="2" t="s">
        <v>283</v>
      </c>
      <c r="B17" s="2" t="s">
        <v>254</v>
      </c>
      <c r="C17" s="2" t="s">
        <v>284</v>
      </c>
    </row>
    <row r="18" ht="17" spans="1:3">
      <c r="A18" s="2" t="s">
        <v>285</v>
      </c>
      <c r="B18" s="2" t="s">
        <v>266</v>
      </c>
      <c r="C18" s="2" t="s">
        <v>286</v>
      </c>
    </row>
    <row r="19" ht="17" spans="1:3">
      <c r="A19" s="2" t="s">
        <v>287</v>
      </c>
      <c r="B19" s="2" t="s">
        <v>259</v>
      </c>
      <c r="C19" s="2" t="s">
        <v>288</v>
      </c>
    </row>
    <row r="20" ht="17" spans="1:3">
      <c r="A20" s="2" t="s">
        <v>289</v>
      </c>
      <c r="B20" s="2" t="s">
        <v>290</v>
      </c>
      <c r="C20" s="2" t="s">
        <v>291</v>
      </c>
    </row>
    <row r="21" ht="17" spans="1:3">
      <c r="A21" s="2" t="s">
        <v>292</v>
      </c>
      <c r="B21" s="2" t="s">
        <v>293</v>
      </c>
      <c r="C21" s="2" t="s">
        <v>294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/>
      <c r="B26" s="2"/>
      <c r="C26" s="2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/>
      <c r="B37" s="2"/>
      <c r="C37" s="2"/>
    </row>
    <row r="38" spans="1:3">
      <c r="A38" s="2"/>
      <c r="B38" s="2"/>
      <c r="C38" s="2"/>
    </row>
    <row r="39" spans="1:3">
      <c r="A39" s="2"/>
      <c r="B39" s="2"/>
      <c r="C39" s="2"/>
    </row>
    <row r="40" spans="1:3">
      <c r="A40" s="2"/>
      <c r="B40" s="2"/>
      <c r="C40" s="2"/>
    </row>
    <row r="41" spans="1:3">
      <c r="A41" s="2"/>
      <c r="B41" s="2"/>
      <c r="C41" s="2"/>
    </row>
    <row r="42" spans="1:3">
      <c r="A42" s="2"/>
      <c r="B42" s="2"/>
      <c r="C42" s="2"/>
    </row>
    <row r="43" spans="1:3">
      <c r="A43" s="2"/>
      <c r="B43" s="2"/>
      <c r="C43" s="2"/>
    </row>
    <row r="44" spans="1:3">
      <c r="A44" s="2"/>
      <c r="B44" s="2"/>
      <c r="C44" s="2"/>
    </row>
    <row r="45" spans="1:3">
      <c r="A45" s="2"/>
      <c r="B45" s="2"/>
      <c r="C45" s="2"/>
    </row>
    <row r="46" spans="1:3">
      <c r="A46" s="2"/>
      <c r="B46" s="2"/>
      <c r="C46" s="2"/>
    </row>
    <row r="47" spans="1:3">
      <c r="A47" s="2"/>
      <c r="B47" s="2"/>
      <c r="C47" s="2"/>
    </row>
    <row r="48" spans="1:3">
      <c r="A48" s="2"/>
      <c r="B48" s="2"/>
      <c r="C48" s="2"/>
    </row>
    <row r="49" spans="1:3">
      <c r="A49" s="2"/>
      <c r="B49" s="2"/>
      <c r="C49" s="2"/>
    </row>
    <row r="50" spans="1:3">
      <c r="A50" s="2"/>
      <c r="B50" s="2"/>
      <c r="C50" s="2"/>
    </row>
    <row r="51" spans="1:3">
      <c r="A51" s="2"/>
      <c r="B51" s="2"/>
      <c r="C51" s="2"/>
    </row>
    <row r="52" spans="1:3">
      <c r="A52" s="2"/>
      <c r="B52" s="2"/>
      <c r="C52" s="2"/>
    </row>
    <row r="53" spans="1:3">
      <c r="A53" s="2"/>
      <c r="B53" s="2"/>
      <c r="C53" s="2"/>
    </row>
    <row r="54" spans="1:3">
      <c r="A54" s="2"/>
      <c r="B54" s="2"/>
      <c r="C54" s="2"/>
    </row>
    <row r="55" spans="1:3">
      <c r="A55" s="2"/>
      <c r="B55" s="2"/>
      <c r="C55" s="2"/>
    </row>
    <row r="56" spans="1:3">
      <c r="A56" s="2"/>
      <c r="B56" s="2"/>
      <c r="C56" s="2"/>
    </row>
    <row r="57" spans="1:3">
      <c r="A57" s="2"/>
      <c r="B57" s="2"/>
      <c r="C57" s="2"/>
    </row>
    <row r="58" spans="1:3">
      <c r="A58" s="2"/>
      <c r="B58" s="2"/>
      <c r="C58" s="2"/>
    </row>
    <row r="59" spans="1:3">
      <c r="A59" s="2"/>
      <c r="B59" s="2"/>
      <c r="C59" s="2"/>
    </row>
    <row r="60" spans="1:3">
      <c r="A60" s="2"/>
      <c r="B60" s="2"/>
      <c r="C60" s="2"/>
    </row>
    <row r="61" spans="1:3">
      <c r="A61" s="2"/>
      <c r="B61" s="2"/>
      <c r="C61" s="2"/>
    </row>
    <row r="62" spans="1:3">
      <c r="A62" s="2"/>
      <c r="B62" s="2"/>
      <c r="C62" s="2"/>
    </row>
    <row r="63" spans="1:3">
      <c r="A63" s="2"/>
      <c r="B63" s="2"/>
      <c r="C63" s="2"/>
    </row>
    <row r="64" spans="1:3">
      <c r="A64" s="2"/>
      <c r="B64" s="2"/>
      <c r="C64" s="2"/>
    </row>
    <row r="65" spans="1:3">
      <c r="A65" s="2"/>
      <c r="B65" s="2"/>
      <c r="C65" s="2"/>
    </row>
    <row r="66" spans="1:3">
      <c r="A66" s="2"/>
      <c r="B66" s="2"/>
      <c r="C66" s="2"/>
    </row>
    <row r="67" spans="1:3">
      <c r="A67" s="2"/>
      <c r="B67" s="2"/>
      <c r="C67" s="2"/>
    </row>
    <row r="68" spans="1:3">
      <c r="A68" s="2"/>
      <c r="B68" s="2"/>
      <c r="C68" s="2"/>
    </row>
    <row r="69" spans="1:3">
      <c r="A69" s="2"/>
      <c r="B69" s="2"/>
      <c r="C69" s="2"/>
    </row>
    <row r="70" spans="1:3">
      <c r="A70" s="2"/>
      <c r="B70" s="2"/>
      <c r="C70" s="2"/>
    </row>
    <row r="71" spans="1:3">
      <c r="A71" s="2"/>
      <c r="B71" s="2"/>
      <c r="C71" s="2"/>
    </row>
    <row r="72" spans="1:3">
      <c r="A72" s="2"/>
      <c r="B72" s="2"/>
      <c r="C72" s="2"/>
    </row>
    <row r="73" spans="1:3">
      <c r="A73" s="2"/>
      <c r="B73" s="2"/>
      <c r="C73" s="2"/>
    </row>
    <row r="74" spans="1:3">
      <c r="A74" s="2"/>
      <c r="B74" s="2"/>
      <c r="C74" s="2"/>
    </row>
    <row r="75" spans="1:3">
      <c r="A75" s="2"/>
      <c r="B75" s="2"/>
      <c r="C75" s="2"/>
    </row>
    <row r="76" spans="1:3">
      <c r="A76" s="2"/>
      <c r="B76" s="2"/>
      <c r="C76" s="2"/>
    </row>
    <row r="77" spans="1:3">
      <c r="A77" s="2"/>
      <c r="B77" s="2"/>
      <c r="C77" s="2"/>
    </row>
    <row r="78" spans="1:3">
      <c r="A78" s="2"/>
      <c r="B78" s="2"/>
      <c r="C78" s="2"/>
    </row>
    <row r="79" spans="1:3">
      <c r="A79" s="2"/>
      <c r="B79" s="2"/>
      <c r="C79" s="2"/>
    </row>
    <row r="80" spans="1:3">
      <c r="A80" s="2"/>
      <c r="B80" s="2"/>
      <c r="C80" s="2"/>
    </row>
    <row r="81" spans="1:3">
      <c r="A81" s="2"/>
      <c r="B81" s="2"/>
      <c r="C81" s="2"/>
    </row>
    <row r="82" spans="1:3">
      <c r="A82" s="2"/>
      <c r="B82" s="2"/>
      <c r="C82" s="2"/>
    </row>
    <row r="83" spans="1:3">
      <c r="A83" s="2"/>
      <c r="B83" s="2"/>
      <c r="C83" s="2"/>
    </row>
    <row r="84" spans="1:3">
      <c r="A84" s="2"/>
      <c r="B84" s="2"/>
      <c r="C84" s="2"/>
    </row>
    <row r="85" spans="1:3">
      <c r="A85" s="2"/>
      <c r="B85" s="2"/>
      <c r="C85" s="2"/>
    </row>
    <row r="86" spans="1:3">
      <c r="A86" s="2"/>
      <c r="B86" s="2"/>
      <c r="C86" s="2"/>
    </row>
    <row r="87" spans="1:3">
      <c r="A87" s="2"/>
      <c r="B87" s="2"/>
      <c r="C87" s="2"/>
    </row>
    <row r="88" spans="1:3">
      <c r="A88" s="2"/>
      <c r="B88" s="2"/>
      <c r="C88" s="2"/>
    </row>
    <row r="89" spans="1:3">
      <c r="A89" s="2"/>
      <c r="B89" s="2"/>
      <c r="C89" s="2"/>
    </row>
    <row r="90" spans="1:3">
      <c r="A90" s="2"/>
      <c r="B90" s="2"/>
      <c r="C90" s="2"/>
    </row>
    <row r="91" spans="1:3">
      <c r="A91" s="2"/>
      <c r="B91" s="2"/>
      <c r="C91" s="2"/>
    </row>
    <row r="92" spans="1:3">
      <c r="A92" s="2"/>
      <c r="B92" s="2"/>
      <c r="C92" s="2"/>
    </row>
    <row r="93" spans="1:3">
      <c r="A93" s="2"/>
      <c r="B93" s="2"/>
      <c r="C93" s="2"/>
    </row>
    <row r="94" spans="1:3">
      <c r="A94" s="2"/>
      <c r="B94" s="2"/>
      <c r="C94" s="2"/>
    </row>
    <row r="95" spans="1:3">
      <c r="A95" s="2"/>
      <c r="B95" s="2"/>
      <c r="C95" s="2"/>
    </row>
    <row r="96" spans="1:3">
      <c r="A96" s="2"/>
      <c r="B96" s="2"/>
      <c r="C96" s="2"/>
    </row>
    <row r="97" spans="1:3">
      <c r="A97" s="2"/>
      <c r="B97" s="2"/>
      <c r="C97" s="2"/>
    </row>
    <row r="98" spans="1:3">
      <c r="A98" s="2"/>
      <c r="B98" s="2"/>
      <c r="C98" s="2"/>
    </row>
    <row r="99" spans="1:3">
      <c r="A99" s="2"/>
      <c r="B99" s="2"/>
      <c r="C99" s="2"/>
    </row>
    <row r="100" spans="1:3">
      <c r="A100" s="2"/>
      <c r="B100" s="2"/>
      <c r="C100" s="2"/>
    </row>
    <row r="101" spans="1:3">
      <c r="A101" s="2"/>
      <c r="B101" s="2"/>
      <c r="C101" s="2"/>
    </row>
    <row r="102" spans="1:3">
      <c r="A102" s="2"/>
      <c r="B102" s="2"/>
      <c r="C102" s="2"/>
    </row>
    <row r="103" spans="1:3">
      <c r="A103" s="2"/>
      <c r="B103" s="2"/>
      <c r="C103" s="2"/>
    </row>
    <row r="104" spans="1:3">
      <c r="A104" s="2"/>
      <c r="B104" s="2"/>
      <c r="C104" s="2"/>
    </row>
    <row r="105" spans="1:3">
      <c r="A105" s="2"/>
      <c r="B105" s="2"/>
      <c r="C105" s="2"/>
    </row>
    <row r="106" spans="1:3">
      <c r="A106" s="2"/>
      <c r="B106" s="2"/>
      <c r="C106" s="2"/>
    </row>
    <row r="107" spans="1:3">
      <c r="A107" s="2"/>
      <c r="B107" s="2"/>
      <c r="C107" s="2"/>
    </row>
    <row r="108" spans="1:3">
      <c r="A108" s="2"/>
      <c r="B108" s="2"/>
      <c r="C108" s="2"/>
    </row>
    <row r="109" spans="1:3">
      <c r="A109" s="2"/>
      <c r="B109" s="2"/>
      <c r="C109" s="2"/>
    </row>
    <row r="110" spans="1:3">
      <c r="A110" s="2"/>
      <c r="B110" s="2"/>
      <c r="C110" s="2"/>
    </row>
    <row r="111" spans="1:3">
      <c r="A111" s="2"/>
      <c r="B111" s="2"/>
      <c r="C111" s="2"/>
    </row>
    <row r="112" spans="1:3">
      <c r="A112" s="2"/>
      <c r="B112" s="2"/>
      <c r="C112" s="2"/>
    </row>
    <row r="113" spans="1:3">
      <c r="A113" s="2"/>
      <c r="B113" s="2"/>
      <c r="C113" s="2"/>
    </row>
    <row r="114" spans="1:3">
      <c r="A114" s="2"/>
      <c r="B114" s="2"/>
      <c r="C114" s="2"/>
    </row>
    <row r="115" spans="1:3">
      <c r="A115" s="2"/>
      <c r="B115" s="2"/>
      <c r="C115" s="2"/>
    </row>
    <row r="116" spans="1:3">
      <c r="A116" s="2"/>
      <c r="B116" s="2"/>
      <c r="C116" s="2"/>
    </row>
    <row r="117" spans="1:3">
      <c r="A117" s="2"/>
      <c r="B117" s="2"/>
      <c r="C117" s="2"/>
    </row>
    <row r="118" spans="1:3">
      <c r="A118" s="2"/>
      <c r="B118" s="2"/>
      <c r="C118" s="2"/>
    </row>
    <row r="119" spans="1:3">
      <c r="A119" s="2"/>
      <c r="B119" s="2"/>
      <c r="C119" s="2"/>
    </row>
    <row r="120" spans="1:3">
      <c r="A120" s="2"/>
      <c r="B120" s="2"/>
      <c r="C120" s="2"/>
    </row>
    <row r="121" spans="1:3">
      <c r="A121" s="2"/>
      <c r="B121" s="2"/>
      <c r="C121" s="2"/>
    </row>
    <row r="122" spans="1:3">
      <c r="A122" s="2"/>
      <c r="B122" s="2"/>
      <c r="C122" s="2"/>
    </row>
    <row r="123" spans="1:3">
      <c r="A123" s="2"/>
      <c r="B123" s="2"/>
      <c r="C123" s="2"/>
    </row>
    <row r="124" spans="1:3">
      <c r="A124" s="2"/>
      <c r="B124" s="2"/>
      <c r="C124" s="2"/>
    </row>
    <row r="125" spans="1:3">
      <c r="A125" s="2"/>
      <c r="B125" s="2"/>
      <c r="C125" s="2"/>
    </row>
    <row r="126" spans="1:3">
      <c r="A126" s="2"/>
      <c r="B126" s="2"/>
      <c r="C126" s="2"/>
    </row>
    <row r="127" spans="1:3">
      <c r="A127" s="2"/>
      <c r="B127" s="2"/>
      <c r="C127" s="2"/>
    </row>
    <row r="128" spans="1:3">
      <c r="A128" s="2"/>
      <c r="B128" s="2"/>
      <c r="C128" s="2"/>
    </row>
    <row r="129" spans="1:3">
      <c r="A129" s="2"/>
      <c r="B129" s="2"/>
      <c r="C129" s="2"/>
    </row>
    <row r="130" spans="1:3">
      <c r="A130" s="2"/>
      <c r="B130" s="2"/>
      <c r="C130" s="2"/>
    </row>
    <row r="131" spans="1:3">
      <c r="A131" s="2"/>
      <c r="B131" s="2"/>
      <c r="C131" s="2"/>
    </row>
    <row r="132" spans="1:3">
      <c r="A132" s="2"/>
      <c r="B132" s="2"/>
      <c r="C132" s="2"/>
    </row>
    <row r="133" spans="1:3">
      <c r="A133" s="2"/>
      <c r="B133" s="2"/>
      <c r="C133" s="2"/>
    </row>
    <row r="134" spans="1:3">
      <c r="A134" s="2"/>
      <c r="B134" s="2"/>
      <c r="C134" s="2"/>
    </row>
    <row r="135" spans="1:3">
      <c r="A135" s="2"/>
      <c r="B135" s="2"/>
      <c r="C135" s="2"/>
    </row>
    <row r="136" spans="1:3">
      <c r="A136" s="2"/>
      <c r="B136" s="2"/>
      <c r="C136" s="2"/>
    </row>
    <row r="137" spans="1:3">
      <c r="A137" s="2"/>
      <c r="B137" s="2"/>
      <c r="C137" s="2"/>
    </row>
    <row r="138" spans="1:3">
      <c r="A138" s="2"/>
      <c r="B138" s="2"/>
      <c r="C138" s="2"/>
    </row>
    <row r="139" spans="1:3">
      <c r="A139" s="2"/>
      <c r="B139" s="2"/>
      <c r="C139" s="2"/>
    </row>
    <row r="140" spans="1:3">
      <c r="A140" s="2"/>
      <c r="B140" s="2"/>
      <c r="C140" s="2"/>
    </row>
    <row r="141" spans="1:3">
      <c r="A141" s="2"/>
      <c r="B141" s="2"/>
      <c r="C141" s="2"/>
    </row>
    <row r="142" spans="1:3">
      <c r="A142" s="2"/>
      <c r="B142" s="2"/>
      <c r="C142" s="2"/>
    </row>
    <row r="143" spans="1:3">
      <c r="A143" s="2"/>
      <c r="B143" s="2"/>
      <c r="C143" s="2"/>
    </row>
    <row r="144" spans="1:3">
      <c r="A144" s="2"/>
      <c r="B144" s="2"/>
      <c r="C144" s="2"/>
    </row>
    <row r="145" spans="1:3">
      <c r="A145" s="2"/>
      <c r="B145" s="2"/>
      <c r="C145" s="2"/>
    </row>
    <row r="146" spans="1:3">
      <c r="A146" s="2"/>
      <c r="B146" s="2"/>
      <c r="C146" s="2"/>
    </row>
    <row r="147" spans="1:3">
      <c r="A147" s="2"/>
      <c r="B147" s="2"/>
      <c r="C147" s="2"/>
    </row>
    <row r="148" spans="1:3">
      <c r="A148" s="2"/>
      <c r="B148" s="2"/>
      <c r="C148" s="2"/>
    </row>
    <row r="149" spans="1:3">
      <c r="A149" s="2"/>
      <c r="B149" s="2"/>
      <c r="C149" s="2"/>
    </row>
    <row r="150" spans="1:3">
      <c r="A150" s="2"/>
      <c r="B150" s="2"/>
      <c r="C150" s="2"/>
    </row>
    <row r="151" spans="1:3">
      <c r="A151" s="2"/>
      <c r="B151" s="2"/>
      <c r="C151" s="2"/>
    </row>
    <row r="152" spans="1:3">
      <c r="A152" s="2"/>
      <c r="B152" s="2"/>
      <c r="C152" s="2"/>
    </row>
    <row r="153" spans="1:3">
      <c r="A153" s="2"/>
      <c r="B153" s="2"/>
      <c r="C153" s="2"/>
    </row>
    <row r="154" spans="1:3">
      <c r="A154" s="2"/>
      <c r="B154" s="2"/>
      <c r="C154" s="2"/>
    </row>
    <row r="155" spans="1:3">
      <c r="A155" s="2"/>
      <c r="B155" s="2"/>
      <c r="C155" s="2"/>
    </row>
    <row r="156" spans="1:3">
      <c r="A156" s="2"/>
      <c r="B156" s="2"/>
      <c r="C156" s="2"/>
    </row>
    <row r="157" spans="1:3">
      <c r="A157" s="2"/>
      <c r="B157" s="2"/>
      <c r="C157" s="2"/>
    </row>
    <row r="158" spans="1:3">
      <c r="A158" s="2"/>
      <c r="B158" s="2"/>
      <c r="C158" s="2"/>
    </row>
    <row r="159" spans="1:3">
      <c r="A159" s="2"/>
      <c r="B159" s="2"/>
      <c r="C159" s="2"/>
    </row>
    <row r="160" spans="1:3">
      <c r="A160" s="2"/>
      <c r="B160" s="2"/>
      <c r="C160" s="2"/>
    </row>
    <row r="161" spans="1:3">
      <c r="A161" s="2"/>
      <c r="B161" s="2"/>
      <c r="C161" s="2"/>
    </row>
    <row r="162" spans="1:3">
      <c r="A162" s="2"/>
      <c r="B162" s="2"/>
      <c r="C162" s="2"/>
    </row>
    <row r="163" spans="1:3">
      <c r="A163" s="2"/>
      <c r="B163" s="2"/>
      <c r="C163" s="2"/>
    </row>
    <row r="164" spans="1:3">
      <c r="A164" s="2"/>
      <c r="B164" s="2"/>
      <c r="C164" s="2"/>
    </row>
    <row r="165" spans="1:3">
      <c r="A165" s="2"/>
      <c r="B165" s="2"/>
      <c r="C165" s="2"/>
    </row>
    <row r="166" spans="1:3">
      <c r="A166" s="2"/>
      <c r="B166" s="2"/>
      <c r="C166" s="2"/>
    </row>
    <row r="167" spans="1:3">
      <c r="A167" s="2"/>
      <c r="B167" s="2"/>
      <c r="C167" s="2"/>
    </row>
    <row r="168" spans="1:3">
      <c r="A168" s="2"/>
      <c r="B168" s="2"/>
      <c r="C168" s="2"/>
    </row>
    <row r="169" spans="1:3">
      <c r="A169" s="2"/>
      <c r="B169" s="2"/>
      <c r="C169" s="2"/>
    </row>
    <row r="170" spans="1:3">
      <c r="A170" s="2"/>
      <c r="B170" s="2"/>
      <c r="C170" s="2"/>
    </row>
    <row r="171" spans="1:3">
      <c r="A171" s="2"/>
      <c r="B171" s="2"/>
      <c r="C171" s="2"/>
    </row>
    <row r="172" spans="1:3">
      <c r="A172" s="2"/>
      <c r="B172" s="2"/>
      <c r="C172" s="2"/>
    </row>
    <row r="173" spans="1:3">
      <c r="A173" s="2"/>
      <c r="B173" s="2"/>
      <c r="C173" s="2"/>
    </row>
    <row r="174" spans="1:3">
      <c r="A174" s="2"/>
      <c r="B174" s="2"/>
      <c r="C174" s="2"/>
    </row>
    <row r="175" spans="1:3">
      <c r="A175" s="2"/>
      <c r="B175" s="2"/>
      <c r="C175" s="2"/>
    </row>
    <row r="176" spans="1:3">
      <c r="A176" s="2"/>
      <c r="B176" s="2"/>
      <c r="C176" s="2"/>
    </row>
    <row r="177" spans="1:3">
      <c r="A177" s="2"/>
      <c r="B177" s="2"/>
      <c r="C177" s="2"/>
    </row>
    <row r="178" spans="1:3">
      <c r="A178" s="2"/>
      <c r="B178" s="2"/>
      <c r="C178" s="2"/>
    </row>
    <row r="179" spans="1:3">
      <c r="A179" s="2"/>
      <c r="B179" s="2"/>
      <c r="C179" s="2"/>
    </row>
    <row r="180" spans="1:3">
      <c r="A180" s="2"/>
      <c r="B180" s="2"/>
      <c r="C180" s="2"/>
    </row>
    <row r="181" spans="1:3">
      <c r="A181" s="2"/>
      <c r="B181" s="2"/>
      <c r="C181" s="2"/>
    </row>
    <row r="182" spans="1:3">
      <c r="A182" s="2"/>
      <c r="B182" s="2"/>
      <c r="C182" s="2"/>
    </row>
    <row r="183" spans="1:3">
      <c r="A183" s="2"/>
      <c r="B183" s="2"/>
      <c r="C183" s="2"/>
    </row>
    <row r="184" spans="1:3">
      <c r="A184" s="2"/>
      <c r="B184" s="2"/>
      <c r="C184" s="2"/>
    </row>
    <row r="185" spans="1:3">
      <c r="A185" s="2"/>
      <c r="B185" s="2"/>
      <c r="C185" s="2"/>
    </row>
    <row r="186" spans="1:3">
      <c r="A186" s="2"/>
      <c r="B186" s="2"/>
      <c r="C186" s="2"/>
    </row>
    <row r="187" spans="1:3">
      <c r="A187" s="2"/>
      <c r="B187" s="2"/>
      <c r="C187" s="2"/>
    </row>
    <row r="188" spans="1:3">
      <c r="A188" s="2"/>
      <c r="B188" s="2"/>
      <c r="C188" s="2"/>
    </row>
    <row r="189" spans="1:3">
      <c r="A189" s="2"/>
      <c r="B189" s="2"/>
      <c r="C189" s="2"/>
    </row>
    <row r="190" spans="1:3">
      <c r="A190" s="2"/>
      <c r="B190" s="2"/>
      <c r="C190" s="2"/>
    </row>
    <row r="191" spans="1:3">
      <c r="A191" s="2"/>
      <c r="B191" s="2"/>
      <c r="C191" s="2"/>
    </row>
    <row r="192" spans="1:3">
      <c r="A192" s="2"/>
      <c r="B192" s="2"/>
      <c r="C192" s="2"/>
    </row>
    <row r="193" spans="1:3">
      <c r="A193" s="2"/>
      <c r="B193" s="2"/>
      <c r="C193" s="2"/>
    </row>
    <row r="194" spans="1:3">
      <c r="A194" s="2"/>
      <c r="B194" s="2"/>
      <c r="C194" s="2"/>
    </row>
    <row r="195" spans="1:3">
      <c r="A195" s="2"/>
      <c r="B195" s="2"/>
      <c r="C195" s="2"/>
    </row>
    <row r="196" spans="1:3">
      <c r="A196" s="2"/>
      <c r="B196" s="2"/>
      <c r="C196" s="2"/>
    </row>
    <row r="197" spans="1:3">
      <c r="A197" s="2"/>
      <c r="B197" s="2"/>
      <c r="C197" s="2"/>
    </row>
    <row r="198" spans="1:3">
      <c r="A198" s="2"/>
      <c r="B198" s="2"/>
      <c r="C198" s="2"/>
    </row>
    <row r="199" spans="1:3">
      <c r="A199" s="2"/>
      <c r="B199" s="2"/>
      <c r="C199" s="2"/>
    </row>
    <row r="200" spans="1:3">
      <c r="A200" s="2"/>
      <c r="B200" s="2"/>
      <c r="C200" s="2"/>
    </row>
    <row r="201" spans="1:3">
      <c r="A201" s="2"/>
      <c r="B201" s="2"/>
      <c r="C201" s="2"/>
    </row>
  </sheetData>
  <pageMargins left="0.75" right="0.75" top="1" bottom="1" header="0.5" footer="0.5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单次交易</vt:lpstr>
      <vt:lpstr>买入理由</vt:lpstr>
      <vt:lpstr>多次统计数据</vt:lpstr>
      <vt:lpstr>账户数据</vt:lpstr>
      <vt:lpstr>目标收益</vt:lpstr>
      <vt:lpstr>技术指标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2026-07-25T08:10:00Z</dcterms:created>
  <dcterms:modified xsi:type="dcterms:W3CDTF">2026-08-15T21:31:27Z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