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353E8415-0D2B-4FE8-9315-395605EC3EC9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B9" i="4" l="1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L200" i="1"/>
  <c r="X200" i="1" s="1"/>
  <c r="Y200" i="1" s="1"/>
  <c r="F200" i="1"/>
  <c r="AA199" i="1"/>
  <c r="V199" i="1"/>
  <c r="U199" i="1"/>
  <c r="L199" i="1"/>
  <c r="X199" i="1" s="1"/>
  <c r="Y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F197" i="1"/>
  <c r="AA196" i="1"/>
  <c r="V196" i="1"/>
  <c r="U196" i="1"/>
  <c r="L196" i="1"/>
  <c r="X196" i="1" s="1"/>
  <c r="F196" i="1"/>
  <c r="AA195" i="1"/>
  <c r="V195" i="1"/>
  <c r="U195" i="1"/>
  <c r="L195" i="1"/>
  <c r="X195" i="1" s="1"/>
  <c r="F195" i="1"/>
  <c r="AA194" i="1"/>
  <c r="X194" i="1"/>
  <c r="AE194" i="1" s="1"/>
  <c r="V194" i="1"/>
  <c r="U194" i="1"/>
  <c r="L194" i="1"/>
  <c r="F194" i="1"/>
  <c r="AA193" i="1"/>
  <c r="V193" i="1"/>
  <c r="U193" i="1"/>
  <c r="L193" i="1"/>
  <c r="X193" i="1" s="1"/>
  <c r="F193" i="1"/>
  <c r="AA192" i="1"/>
  <c r="V192" i="1"/>
  <c r="U192" i="1"/>
  <c r="L192" i="1"/>
  <c r="X192" i="1" s="1"/>
  <c r="F192" i="1"/>
  <c r="AA191" i="1"/>
  <c r="V191" i="1"/>
  <c r="U191" i="1"/>
  <c r="L191" i="1"/>
  <c r="X191" i="1" s="1"/>
  <c r="AE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F189" i="1"/>
  <c r="AA188" i="1"/>
  <c r="V188" i="1"/>
  <c r="U188" i="1"/>
  <c r="L188" i="1"/>
  <c r="X188" i="1" s="1"/>
  <c r="F188" i="1"/>
  <c r="AA187" i="1"/>
  <c r="V187" i="1"/>
  <c r="U187" i="1"/>
  <c r="L187" i="1"/>
  <c r="X187" i="1" s="1"/>
  <c r="F187" i="1"/>
  <c r="AA186" i="1"/>
  <c r="V186" i="1"/>
  <c r="U186" i="1"/>
  <c r="L186" i="1"/>
  <c r="X186" i="1" s="1"/>
  <c r="Y186" i="1" s="1"/>
  <c r="F186" i="1"/>
  <c r="AA185" i="1"/>
  <c r="V185" i="1"/>
  <c r="U185" i="1"/>
  <c r="L185" i="1"/>
  <c r="X185" i="1" s="1"/>
  <c r="F185" i="1"/>
  <c r="AA184" i="1"/>
  <c r="V184" i="1"/>
  <c r="U184" i="1"/>
  <c r="L184" i="1"/>
  <c r="X184" i="1" s="1"/>
  <c r="AE184" i="1" s="1"/>
  <c r="F184" i="1"/>
  <c r="AA183" i="1"/>
  <c r="V183" i="1"/>
  <c r="U183" i="1"/>
  <c r="L183" i="1"/>
  <c r="X183" i="1" s="1"/>
  <c r="F183" i="1"/>
  <c r="AA182" i="1"/>
  <c r="V182" i="1"/>
  <c r="U182" i="1"/>
  <c r="L182" i="1"/>
  <c r="X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F180" i="1"/>
  <c r="AA179" i="1"/>
  <c r="V179" i="1"/>
  <c r="U179" i="1"/>
  <c r="L179" i="1"/>
  <c r="X179" i="1" s="1"/>
  <c r="F179" i="1"/>
  <c r="AA178" i="1"/>
  <c r="V178" i="1"/>
  <c r="U178" i="1"/>
  <c r="L178" i="1"/>
  <c r="X178" i="1" s="1"/>
  <c r="Y178" i="1" s="1"/>
  <c r="F178" i="1"/>
  <c r="AA177" i="1"/>
  <c r="V177" i="1"/>
  <c r="U177" i="1"/>
  <c r="L177" i="1"/>
  <c r="X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AE174" i="1" s="1"/>
  <c r="F174" i="1"/>
  <c r="AA173" i="1"/>
  <c r="V173" i="1"/>
  <c r="U173" i="1"/>
  <c r="L173" i="1"/>
  <c r="X173" i="1" s="1"/>
  <c r="F173" i="1"/>
  <c r="AA172" i="1"/>
  <c r="V172" i="1"/>
  <c r="U172" i="1"/>
  <c r="L172" i="1"/>
  <c r="X172" i="1" s="1"/>
  <c r="Y172" i="1" s="1"/>
  <c r="F172" i="1"/>
  <c r="AA171" i="1"/>
  <c r="V171" i="1"/>
  <c r="U171" i="1"/>
  <c r="L171" i="1"/>
  <c r="X171" i="1" s="1"/>
  <c r="AE171" i="1" s="1"/>
  <c r="F171" i="1"/>
  <c r="AA170" i="1"/>
  <c r="V170" i="1"/>
  <c r="U170" i="1"/>
  <c r="L170" i="1"/>
  <c r="X170" i="1" s="1"/>
  <c r="Y170" i="1" s="1"/>
  <c r="F170" i="1"/>
  <c r="AA169" i="1"/>
  <c r="V169" i="1"/>
  <c r="U169" i="1"/>
  <c r="L169" i="1"/>
  <c r="X169" i="1" s="1"/>
  <c r="F169" i="1"/>
  <c r="AA168" i="1"/>
  <c r="V168" i="1"/>
  <c r="U168" i="1"/>
  <c r="L168" i="1"/>
  <c r="X168" i="1" s="1"/>
  <c r="F168" i="1"/>
  <c r="AA167" i="1"/>
  <c r="V167" i="1"/>
  <c r="U167" i="1"/>
  <c r="L167" i="1"/>
  <c r="X167" i="1" s="1"/>
  <c r="AE167" i="1" s="1"/>
  <c r="F167" i="1"/>
  <c r="AA166" i="1"/>
  <c r="V166" i="1"/>
  <c r="U166" i="1"/>
  <c r="L166" i="1"/>
  <c r="X166" i="1" s="1"/>
  <c r="Y166" i="1" s="1"/>
  <c r="F166" i="1"/>
  <c r="AA165" i="1"/>
  <c r="V165" i="1"/>
  <c r="U165" i="1"/>
  <c r="L165" i="1"/>
  <c r="X165" i="1" s="1"/>
  <c r="AE165" i="1" s="1"/>
  <c r="F165" i="1"/>
  <c r="AA164" i="1"/>
  <c r="V164" i="1"/>
  <c r="U164" i="1"/>
  <c r="L164" i="1"/>
  <c r="X164" i="1" s="1"/>
  <c r="AE164" i="1" s="1"/>
  <c r="F164" i="1"/>
  <c r="AA163" i="1"/>
  <c r="V163" i="1"/>
  <c r="U163" i="1"/>
  <c r="L163" i="1"/>
  <c r="X163" i="1" s="1"/>
  <c r="F163" i="1"/>
  <c r="AA162" i="1"/>
  <c r="V162" i="1"/>
  <c r="U162" i="1"/>
  <c r="L162" i="1"/>
  <c r="X162" i="1" s="1"/>
  <c r="AE162" i="1" s="1"/>
  <c r="F162" i="1"/>
  <c r="AA161" i="1"/>
  <c r="V161" i="1"/>
  <c r="U161" i="1"/>
  <c r="L161" i="1"/>
  <c r="X161" i="1" s="1"/>
  <c r="F161" i="1"/>
  <c r="AA160" i="1"/>
  <c r="V160" i="1"/>
  <c r="U160" i="1"/>
  <c r="L160" i="1"/>
  <c r="X160" i="1" s="1"/>
  <c r="Y160" i="1" s="1"/>
  <c r="F160" i="1"/>
  <c r="AA159" i="1"/>
  <c r="V159" i="1"/>
  <c r="U159" i="1"/>
  <c r="L159" i="1"/>
  <c r="X159" i="1" s="1"/>
  <c r="Y159" i="1" s="1"/>
  <c r="F159" i="1"/>
  <c r="AA158" i="1"/>
  <c r="V158" i="1"/>
  <c r="U158" i="1"/>
  <c r="L158" i="1"/>
  <c r="X158" i="1" s="1"/>
  <c r="Y158" i="1" s="1"/>
  <c r="F158" i="1"/>
  <c r="AA157" i="1"/>
  <c r="V157" i="1"/>
  <c r="U157" i="1"/>
  <c r="L157" i="1"/>
  <c r="X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AE154" i="1" s="1"/>
  <c r="F154" i="1"/>
  <c r="AA153" i="1"/>
  <c r="V153" i="1"/>
  <c r="U153" i="1"/>
  <c r="L153" i="1"/>
  <c r="X153" i="1" s="1"/>
  <c r="F153" i="1"/>
  <c r="AA152" i="1"/>
  <c r="V152" i="1"/>
  <c r="U152" i="1"/>
  <c r="L152" i="1"/>
  <c r="X152" i="1" s="1"/>
  <c r="AE152" i="1" s="1"/>
  <c r="F152" i="1"/>
  <c r="AA151" i="1"/>
  <c r="V151" i="1"/>
  <c r="U151" i="1"/>
  <c r="L151" i="1"/>
  <c r="X151" i="1" s="1"/>
  <c r="F151" i="1"/>
  <c r="AA150" i="1"/>
  <c r="V150" i="1"/>
  <c r="U150" i="1"/>
  <c r="L150" i="1"/>
  <c r="X150" i="1" s="1"/>
  <c r="F150" i="1"/>
  <c r="AA149" i="1"/>
  <c r="V149" i="1"/>
  <c r="U149" i="1"/>
  <c r="L149" i="1"/>
  <c r="X149" i="1" s="1"/>
  <c r="Y149" i="1" s="1"/>
  <c r="F149" i="1"/>
  <c r="AA148" i="1"/>
  <c r="V148" i="1"/>
  <c r="U148" i="1"/>
  <c r="L148" i="1"/>
  <c r="X148" i="1" s="1"/>
  <c r="F148" i="1"/>
  <c r="AA147" i="1"/>
  <c r="V147" i="1"/>
  <c r="U147" i="1"/>
  <c r="L147" i="1"/>
  <c r="X147" i="1" s="1"/>
  <c r="AE147" i="1" s="1"/>
  <c r="F147" i="1"/>
  <c r="AA146" i="1"/>
  <c r="V146" i="1"/>
  <c r="U146" i="1"/>
  <c r="L146" i="1"/>
  <c r="X146" i="1" s="1"/>
  <c r="Y146" i="1" s="1"/>
  <c r="F146" i="1"/>
  <c r="AA145" i="1"/>
  <c r="V145" i="1"/>
  <c r="U145" i="1"/>
  <c r="L145" i="1"/>
  <c r="X145" i="1" s="1"/>
  <c r="AE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F143" i="1"/>
  <c r="AA142" i="1"/>
  <c r="V142" i="1"/>
  <c r="U142" i="1"/>
  <c r="L142" i="1"/>
  <c r="X142" i="1" s="1"/>
  <c r="F142" i="1"/>
  <c r="AA141" i="1"/>
  <c r="V141" i="1"/>
  <c r="U141" i="1"/>
  <c r="L141" i="1"/>
  <c r="X141" i="1" s="1"/>
  <c r="F141" i="1"/>
  <c r="AA140" i="1"/>
  <c r="V140" i="1"/>
  <c r="U140" i="1"/>
  <c r="L140" i="1"/>
  <c r="X140" i="1" s="1"/>
  <c r="AE140" i="1" s="1"/>
  <c r="F140" i="1"/>
  <c r="AA139" i="1"/>
  <c r="V139" i="1"/>
  <c r="U139" i="1"/>
  <c r="L139" i="1"/>
  <c r="X139" i="1" s="1"/>
  <c r="Y139" i="1" s="1"/>
  <c r="F139" i="1"/>
  <c r="AA138" i="1"/>
  <c r="V138" i="1"/>
  <c r="U138" i="1"/>
  <c r="L138" i="1"/>
  <c r="X138" i="1" s="1"/>
  <c r="Y138" i="1" s="1"/>
  <c r="F138" i="1"/>
  <c r="AA137" i="1"/>
  <c r="V137" i="1"/>
  <c r="U137" i="1"/>
  <c r="L137" i="1"/>
  <c r="X137" i="1" s="1"/>
  <c r="Y137" i="1" s="1"/>
  <c r="F137" i="1"/>
  <c r="AA136" i="1"/>
  <c r="V136" i="1"/>
  <c r="U136" i="1"/>
  <c r="L136" i="1"/>
  <c r="X136" i="1" s="1"/>
  <c r="Y136" i="1" s="1"/>
  <c r="F136" i="1"/>
  <c r="AA135" i="1"/>
  <c r="V135" i="1"/>
  <c r="U135" i="1"/>
  <c r="L135" i="1"/>
  <c r="X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Y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AE128" i="1" s="1"/>
  <c r="F128" i="1"/>
  <c r="AA127" i="1"/>
  <c r="V127" i="1"/>
  <c r="U127" i="1"/>
  <c r="L127" i="1"/>
  <c r="X127" i="1" s="1"/>
  <c r="AE127" i="1" s="1"/>
  <c r="F127" i="1"/>
  <c r="AA126" i="1"/>
  <c r="V126" i="1"/>
  <c r="U126" i="1"/>
  <c r="L126" i="1"/>
  <c r="X126" i="1" s="1"/>
  <c r="AE126" i="1" s="1"/>
  <c r="F126" i="1"/>
  <c r="AA125" i="1"/>
  <c r="V125" i="1"/>
  <c r="U125" i="1"/>
  <c r="L125" i="1"/>
  <c r="X125" i="1" s="1"/>
  <c r="AE125" i="1" s="1"/>
  <c r="F125" i="1"/>
  <c r="AA124" i="1"/>
  <c r="V124" i="1"/>
  <c r="U124" i="1"/>
  <c r="L124" i="1"/>
  <c r="X124" i="1" s="1"/>
  <c r="AE124" i="1" s="1"/>
  <c r="F124" i="1"/>
  <c r="AA123" i="1"/>
  <c r="V123" i="1"/>
  <c r="U123" i="1"/>
  <c r="L123" i="1"/>
  <c r="X123" i="1" s="1"/>
  <c r="Y123" i="1" s="1"/>
  <c r="F123" i="1"/>
  <c r="AA122" i="1"/>
  <c r="V122" i="1"/>
  <c r="U122" i="1"/>
  <c r="L122" i="1"/>
  <c r="X122" i="1" s="1"/>
  <c r="Y122" i="1" s="1"/>
  <c r="F122" i="1"/>
  <c r="AA121" i="1"/>
  <c r="V121" i="1"/>
  <c r="U121" i="1"/>
  <c r="L121" i="1"/>
  <c r="X121" i="1" s="1"/>
  <c r="F121" i="1"/>
  <c r="AA120" i="1"/>
  <c r="V120" i="1"/>
  <c r="U120" i="1"/>
  <c r="L120" i="1"/>
  <c r="X120" i="1" s="1"/>
  <c r="Y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F118" i="1"/>
  <c r="AA117" i="1"/>
  <c r="V117" i="1"/>
  <c r="U117" i="1"/>
  <c r="L117" i="1"/>
  <c r="X117" i="1" s="1"/>
  <c r="Y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F115" i="1"/>
  <c r="AA114" i="1"/>
  <c r="V114" i="1"/>
  <c r="U114" i="1"/>
  <c r="L114" i="1"/>
  <c r="X114" i="1" s="1"/>
  <c r="AE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F112" i="1"/>
  <c r="AA111" i="1"/>
  <c r="V111" i="1"/>
  <c r="U111" i="1"/>
  <c r="L111" i="1"/>
  <c r="X111" i="1" s="1"/>
  <c r="AE111" i="1" s="1"/>
  <c r="F111" i="1"/>
  <c r="AA110" i="1"/>
  <c r="V110" i="1"/>
  <c r="U110" i="1"/>
  <c r="L110" i="1"/>
  <c r="X110" i="1" s="1"/>
  <c r="Y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F108" i="1"/>
  <c r="AA107" i="1"/>
  <c r="V107" i="1"/>
  <c r="U107" i="1"/>
  <c r="L107" i="1"/>
  <c r="X107" i="1" s="1"/>
  <c r="AE107" i="1" s="1"/>
  <c r="F107" i="1"/>
  <c r="AA106" i="1"/>
  <c r="V106" i="1"/>
  <c r="U106" i="1"/>
  <c r="L106" i="1"/>
  <c r="X106" i="1" s="1"/>
  <c r="Y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AE104" i="1" s="1"/>
  <c r="F104" i="1"/>
  <c r="AA103" i="1"/>
  <c r="V103" i="1"/>
  <c r="U103" i="1"/>
  <c r="L103" i="1"/>
  <c r="X103" i="1" s="1"/>
  <c r="AE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AE101" i="1" s="1"/>
  <c r="F101" i="1"/>
  <c r="AA100" i="1"/>
  <c r="V100" i="1"/>
  <c r="U100" i="1"/>
  <c r="L100" i="1"/>
  <c r="X100" i="1" s="1"/>
  <c r="Y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F97" i="1"/>
  <c r="AA96" i="1"/>
  <c r="V96" i="1"/>
  <c r="U96" i="1"/>
  <c r="L96" i="1"/>
  <c r="X96" i="1" s="1"/>
  <c r="F96" i="1"/>
  <c r="AA95" i="1"/>
  <c r="V95" i="1"/>
  <c r="U95" i="1"/>
  <c r="L95" i="1"/>
  <c r="X95" i="1" s="1"/>
  <c r="AE95" i="1" s="1"/>
  <c r="F95" i="1"/>
  <c r="AA94" i="1"/>
  <c r="V94" i="1"/>
  <c r="U94" i="1"/>
  <c r="L94" i="1"/>
  <c r="X94" i="1" s="1"/>
  <c r="F94" i="1"/>
  <c r="AA93" i="1"/>
  <c r="V93" i="1"/>
  <c r="U93" i="1"/>
  <c r="L93" i="1"/>
  <c r="X93" i="1" s="1"/>
  <c r="F93" i="1"/>
  <c r="AA92" i="1"/>
  <c r="V92" i="1"/>
  <c r="U92" i="1"/>
  <c r="L92" i="1"/>
  <c r="X92" i="1" s="1"/>
  <c r="AE92" i="1" s="1"/>
  <c r="F92" i="1"/>
  <c r="AA91" i="1"/>
  <c r="V91" i="1"/>
  <c r="U91" i="1"/>
  <c r="L91" i="1"/>
  <c r="X91" i="1" s="1"/>
  <c r="AE91" i="1" s="1"/>
  <c r="F91" i="1"/>
  <c r="AA90" i="1"/>
  <c r="V90" i="1"/>
  <c r="U90" i="1"/>
  <c r="L90" i="1"/>
  <c r="X90" i="1" s="1"/>
  <c r="Y90" i="1" s="1"/>
  <c r="F90" i="1"/>
  <c r="AA89" i="1"/>
  <c r="V89" i="1"/>
  <c r="U89" i="1"/>
  <c r="L89" i="1"/>
  <c r="X89" i="1" s="1"/>
  <c r="F89" i="1"/>
  <c r="AA88" i="1"/>
  <c r="V88" i="1"/>
  <c r="U88" i="1"/>
  <c r="L88" i="1"/>
  <c r="X88" i="1" s="1"/>
  <c r="F88" i="1"/>
  <c r="AA87" i="1"/>
  <c r="V87" i="1"/>
  <c r="U87" i="1"/>
  <c r="L87" i="1"/>
  <c r="X87" i="1" s="1"/>
  <c r="Y87" i="1" s="1"/>
  <c r="F87" i="1"/>
  <c r="AA86" i="1"/>
  <c r="V86" i="1"/>
  <c r="U86" i="1"/>
  <c r="L86" i="1"/>
  <c r="X86" i="1" s="1"/>
  <c r="Y86" i="1" s="1"/>
  <c r="F86" i="1"/>
  <c r="AA85" i="1"/>
  <c r="V85" i="1"/>
  <c r="U85" i="1"/>
  <c r="L85" i="1"/>
  <c r="X85" i="1" s="1"/>
  <c r="AE85" i="1" s="1"/>
  <c r="F85" i="1"/>
  <c r="AA84" i="1"/>
  <c r="V84" i="1"/>
  <c r="U84" i="1"/>
  <c r="L84" i="1"/>
  <c r="X84" i="1" s="1"/>
  <c r="F84" i="1"/>
  <c r="AA83" i="1"/>
  <c r="V83" i="1"/>
  <c r="U83" i="1"/>
  <c r="L83" i="1"/>
  <c r="X83" i="1" s="1"/>
  <c r="AE83" i="1" s="1"/>
  <c r="F83" i="1"/>
  <c r="AA82" i="1"/>
  <c r="V82" i="1"/>
  <c r="U82" i="1"/>
  <c r="L82" i="1"/>
  <c r="X82" i="1" s="1"/>
  <c r="Y82" i="1" s="1"/>
  <c r="F82" i="1"/>
  <c r="AA81" i="1"/>
  <c r="V81" i="1"/>
  <c r="U81" i="1"/>
  <c r="L81" i="1"/>
  <c r="X81" i="1" s="1"/>
  <c r="F81" i="1"/>
  <c r="AA80" i="1"/>
  <c r="V80" i="1"/>
  <c r="U80" i="1"/>
  <c r="L80" i="1"/>
  <c r="X80" i="1" s="1"/>
  <c r="F80" i="1"/>
  <c r="AA79" i="1"/>
  <c r="V79" i="1"/>
  <c r="U79" i="1"/>
  <c r="L79" i="1"/>
  <c r="X79" i="1" s="1"/>
  <c r="Y79" i="1" s="1"/>
  <c r="F79" i="1"/>
  <c r="AA78" i="1"/>
  <c r="V78" i="1"/>
  <c r="U78" i="1"/>
  <c r="L78" i="1"/>
  <c r="X78" i="1" s="1"/>
  <c r="Y78" i="1" s="1"/>
  <c r="F78" i="1"/>
  <c r="AA77" i="1"/>
  <c r="V77" i="1"/>
  <c r="U77" i="1"/>
  <c r="L77" i="1"/>
  <c r="X77" i="1" s="1"/>
  <c r="F77" i="1"/>
  <c r="AA76" i="1"/>
  <c r="V76" i="1"/>
  <c r="U76" i="1"/>
  <c r="L76" i="1"/>
  <c r="X76" i="1" s="1"/>
  <c r="AE76" i="1" s="1"/>
  <c r="F76" i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AE74" i="1" s="1"/>
  <c r="F74" i="1"/>
  <c r="AA73" i="1"/>
  <c r="V73" i="1"/>
  <c r="U73" i="1"/>
  <c r="L73" i="1"/>
  <c r="X73" i="1" s="1"/>
  <c r="AE73" i="1" s="1"/>
  <c r="F73" i="1"/>
  <c r="AA72" i="1"/>
  <c r="V72" i="1"/>
  <c r="U72" i="1"/>
  <c r="L72" i="1"/>
  <c r="X72" i="1" s="1"/>
  <c r="F72" i="1"/>
  <c r="AA71" i="1"/>
  <c r="V71" i="1"/>
  <c r="U71" i="1"/>
  <c r="L71" i="1"/>
  <c r="X71" i="1" s="1"/>
  <c r="F71" i="1"/>
  <c r="AA70" i="1"/>
  <c r="V70" i="1"/>
  <c r="U70" i="1"/>
  <c r="L70" i="1"/>
  <c r="X70" i="1" s="1"/>
  <c r="F70" i="1"/>
  <c r="AA69" i="1"/>
  <c r="V69" i="1"/>
  <c r="U69" i="1"/>
  <c r="L69" i="1"/>
  <c r="X69" i="1" s="1"/>
  <c r="F69" i="1"/>
  <c r="AA68" i="1"/>
  <c r="V68" i="1"/>
  <c r="U68" i="1"/>
  <c r="L68" i="1"/>
  <c r="X68" i="1" s="1"/>
  <c r="F68" i="1"/>
  <c r="AA67" i="1"/>
  <c r="V67" i="1"/>
  <c r="U67" i="1"/>
  <c r="L67" i="1"/>
  <c r="X67" i="1" s="1"/>
  <c r="Y67" i="1" s="1"/>
  <c r="F67" i="1"/>
  <c r="AA66" i="1"/>
  <c r="V66" i="1"/>
  <c r="U66" i="1"/>
  <c r="L66" i="1"/>
  <c r="X66" i="1" s="1"/>
  <c r="F66" i="1"/>
  <c r="AA65" i="1"/>
  <c r="V65" i="1"/>
  <c r="U65" i="1"/>
  <c r="L65" i="1"/>
  <c r="X65" i="1" s="1"/>
  <c r="F65" i="1"/>
  <c r="AA64" i="1"/>
  <c r="V64" i="1"/>
  <c r="U64" i="1"/>
  <c r="L64" i="1"/>
  <c r="X64" i="1" s="1"/>
  <c r="F64" i="1"/>
  <c r="AA63" i="1"/>
  <c r="V63" i="1"/>
  <c r="U63" i="1"/>
  <c r="L63" i="1"/>
  <c r="X63" i="1" s="1"/>
  <c r="Y63" i="1" s="1"/>
  <c r="F63" i="1"/>
  <c r="AA62" i="1"/>
  <c r="V62" i="1"/>
  <c r="U62" i="1"/>
  <c r="L62" i="1"/>
  <c r="X62" i="1" s="1"/>
  <c r="AE62" i="1" s="1"/>
  <c r="F62" i="1"/>
  <c r="AA61" i="1"/>
  <c r="V61" i="1"/>
  <c r="U61" i="1"/>
  <c r="L61" i="1"/>
  <c r="X61" i="1" s="1"/>
  <c r="AE61" i="1" s="1"/>
  <c r="F61" i="1"/>
  <c r="AA60" i="1"/>
  <c r="V60" i="1"/>
  <c r="U60" i="1"/>
  <c r="L60" i="1"/>
  <c r="X60" i="1" s="1"/>
  <c r="AE60" i="1" s="1"/>
  <c r="F60" i="1"/>
  <c r="AA59" i="1"/>
  <c r="V59" i="1"/>
  <c r="U59" i="1"/>
  <c r="L59" i="1"/>
  <c r="X59" i="1" s="1"/>
  <c r="Y59" i="1" s="1"/>
  <c r="F59" i="1"/>
  <c r="AA58" i="1"/>
  <c r="V58" i="1"/>
  <c r="U58" i="1"/>
  <c r="L58" i="1"/>
  <c r="X58" i="1" s="1"/>
  <c r="F58" i="1"/>
  <c r="AA57" i="1"/>
  <c r="V57" i="1"/>
  <c r="U57" i="1"/>
  <c r="L57" i="1"/>
  <c r="X57" i="1" s="1"/>
  <c r="Y57" i="1" s="1"/>
  <c r="F57" i="1"/>
  <c r="AA56" i="1"/>
  <c r="V56" i="1"/>
  <c r="U56" i="1"/>
  <c r="L56" i="1"/>
  <c r="X56" i="1" s="1"/>
  <c r="AE56" i="1" s="1"/>
  <c r="F56" i="1"/>
  <c r="AA55" i="1"/>
  <c r="V55" i="1"/>
  <c r="U55" i="1"/>
  <c r="L55" i="1"/>
  <c r="X55" i="1" s="1"/>
  <c r="Y55" i="1" s="1"/>
  <c r="F55" i="1"/>
  <c r="AA54" i="1"/>
  <c r="V54" i="1"/>
  <c r="U54" i="1"/>
  <c r="L54" i="1"/>
  <c r="X54" i="1" s="1"/>
  <c r="AE54" i="1" s="1"/>
  <c r="F54" i="1"/>
  <c r="AA53" i="1"/>
  <c r="V53" i="1"/>
  <c r="U53" i="1"/>
  <c r="L53" i="1"/>
  <c r="X53" i="1" s="1"/>
  <c r="F53" i="1"/>
  <c r="AA52" i="1"/>
  <c r="V52" i="1"/>
  <c r="U52" i="1"/>
  <c r="L52" i="1"/>
  <c r="X52" i="1" s="1"/>
  <c r="F52" i="1"/>
  <c r="AA51" i="1"/>
  <c r="V51" i="1"/>
  <c r="U51" i="1"/>
  <c r="L51" i="1"/>
  <c r="X51" i="1" s="1"/>
  <c r="Y51" i="1" s="1"/>
  <c r="F51" i="1"/>
  <c r="AA50" i="1"/>
  <c r="V50" i="1"/>
  <c r="U50" i="1"/>
  <c r="L50" i="1"/>
  <c r="X50" i="1" s="1"/>
  <c r="Y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F48" i="1"/>
  <c r="AA47" i="1"/>
  <c r="V47" i="1"/>
  <c r="U47" i="1"/>
  <c r="L47" i="1"/>
  <c r="X47" i="1" s="1"/>
  <c r="AE47" i="1" s="1"/>
  <c r="F47" i="1"/>
  <c r="AA46" i="1"/>
  <c r="V46" i="1"/>
  <c r="U46" i="1"/>
  <c r="L46" i="1"/>
  <c r="X46" i="1" s="1"/>
  <c r="F46" i="1"/>
  <c r="AA45" i="1"/>
  <c r="V45" i="1"/>
  <c r="U45" i="1"/>
  <c r="L45" i="1"/>
  <c r="X45" i="1" s="1"/>
  <c r="F45" i="1"/>
  <c r="AA44" i="1"/>
  <c r="V44" i="1"/>
  <c r="U44" i="1"/>
  <c r="L44" i="1"/>
  <c r="X44" i="1" s="1"/>
  <c r="F44" i="1"/>
  <c r="AA43" i="1"/>
  <c r="V43" i="1"/>
  <c r="U43" i="1"/>
  <c r="L43" i="1"/>
  <c r="X43" i="1" s="1"/>
  <c r="Y43" i="1" s="1"/>
  <c r="F43" i="1"/>
  <c r="AA42" i="1"/>
  <c r="V42" i="1"/>
  <c r="U42" i="1"/>
  <c r="L42" i="1"/>
  <c r="X42" i="1" s="1"/>
  <c r="Y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AE40" i="1" s="1"/>
  <c r="F40" i="1"/>
  <c r="AA39" i="1"/>
  <c r="V39" i="1"/>
  <c r="U39" i="1"/>
  <c r="L39" i="1"/>
  <c r="X39" i="1" s="1"/>
  <c r="F39" i="1"/>
  <c r="AA38" i="1"/>
  <c r="V38" i="1"/>
  <c r="U38" i="1"/>
  <c r="L38" i="1"/>
  <c r="X38" i="1" s="1"/>
  <c r="F38" i="1"/>
  <c r="AA37" i="1"/>
  <c r="V37" i="1"/>
  <c r="U37" i="1"/>
  <c r="L37" i="1"/>
  <c r="X37" i="1" s="1"/>
  <c r="F37" i="1"/>
  <c r="AA36" i="1"/>
  <c r="V36" i="1"/>
  <c r="U36" i="1"/>
  <c r="L36" i="1"/>
  <c r="X36" i="1" s="1"/>
  <c r="Y36" i="1" s="1"/>
  <c r="F36" i="1"/>
  <c r="AA35" i="1"/>
  <c r="V35" i="1"/>
  <c r="U35" i="1"/>
  <c r="L35" i="1"/>
  <c r="X35" i="1" s="1"/>
  <c r="F35" i="1"/>
  <c r="AA34" i="1"/>
  <c r="V34" i="1"/>
  <c r="U34" i="1"/>
  <c r="L34" i="1"/>
  <c r="X34" i="1" s="1"/>
  <c r="Y34" i="1" s="1"/>
  <c r="F34" i="1"/>
  <c r="AA33" i="1"/>
  <c r="V33" i="1"/>
  <c r="U33" i="1"/>
  <c r="L33" i="1"/>
  <c r="X33" i="1" s="1"/>
  <c r="F33" i="1"/>
  <c r="AA32" i="1"/>
  <c r="V32" i="1"/>
  <c r="U32" i="1"/>
  <c r="L32" i="1"/>
  <c r="X32" i="1" s="1"/>
  <c r="AE32" i="1" s="1"/>
  <c r="F32" i="1"/>
  <c r="AA31" i="1"/>
  <c r="V31" i="1"/>
  <c r="U31" i="1"/>
  <c r="L31" i="1"/>
  <c r="X31" i="1" s="1"/>
  <c r="AE31" i="1" s="1"/>
  <c r="F31" i="1"/>
  <c r="AA30" i="1"/>
  <c r="V30" i="1"/>
  <c r="U30" i="1"/>
  <c r="L30" i="1"/>
  <c r="X30" i="1" s="1"/>
  <c r="Y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Y28" i="1" s="1"/>
  <c r="F28" i="1"/>
  <c r="AA27" i="1"/>
  <c r="V27" i="1"/>
  <c r="U27" i="1"/>
  <c r="L27" i="1"/>
  <c r="X27" i="1" s="1"/>
  <c r="Y27" i="1" s="1"/>
  <c r="F27" i="1"/>
  <c r="AA26" i="1"/>
  <c r="V26" i="1"/>
  <c r="U26" i="1"/>
  <c r="L26" i="1"/>
  <c r="X26" i="1" s="1"/>
  <c r="F26" i="1"/>
  <c r="AA25" i="1"/>
  <c r="V25" i="1"/>
  <c r="U25" i="1"/>
  <c r="L25" i="1"/>
  <c r="X25" i="1" s="1"/>
  <c r="F25" i="1"/>
  <c r="AA24" i="1"/>
  <c r="V24" i="1"/>
  <c r="U24" i="1"/>
  <c r="L24" i="1"/>
  <c r="X24" i="1" s="1"/>
  <c r="F24" i="1"/>
  <c r="AA23" i="1"/>
  <c r="V23" i="1"/>
  <c r="U23" i="1"/>
  <c r="L23" i="1"/>
  <c r="X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F21" i="1"/>
  <c r="AA20" i="1"/>
  <c r="V20" i="1"/>
  <c r="U20" i="1"/>
  <c r="L20" i="1"/>
  <c r="X20" i="1" s="1"/>
  <c r="AE20" i="1" s="1"/>
  <c r="F20" i="1"/>
  <c r="AA19" i="1"/>
  <c r="V19" i="1"/>
  <c r="U19" i="1"/>
  <c r="L19" i="1"/>
  <c r="X19" i="1" s="1"/>
  <c r="F19" i="1"/>
  <c r="AA18" i="1"/>
  <c r="V18" i="1"/>
  <c r="U18" i="1"/>
  <c r="L18" i="1"/>
  <c r="X18" i="1" s="1"/>
  <c r="Y18" i="1" s="1"/>
  <c r="F18" i="1"/>
  <c r="AA17" i="1"/>
  <c r="V17" i="1"/>
  <c r="U17" i="1"/>
  <c r="L17" i="1"/>
  <c r="X17" i="1" s="1"/>
  <c r="AE17" i="1" s="1"/>
  <c r="F17" i="1"/>
  <c r="AA16" i="1"/>
  <c r="V16" i="1"/>
  <c r="U16" i="1"/>
  <c r="L16" i="1"/>
  <c r="X16" i="1" s="1"/>
  <c r="F16" i="1"/>
  <c r="AA15" i="1"/>
  <c r="V15" i="1"/>
  <c r="U15" i="1"/>
  <c r="L15" i="1"/>
  <c r="X15" i="1" s="1"/>
  <c r="Y15" i="1" s="1"/>
  <c r="F15" i="1"/>
  <c r="AA14" i="1"/>
  <c r="V14" i="1"/>
  <c r="U14" i="1"/>
  <c r="L14" i="1"/>
  <c r="X14" i="1" s="1"/>
  <c r="AE14" i="1" s="1"/>
  <c r="F14" i="1"/>
  <c r="AA13" i="1"/>
  <c r="V13" i="1"/>
  <c r="U13" i="1"/>
  <c r="L13" i="1"/>
  <c r="X13" i="1" s="1"/>
  <c r="AE13" i="1" s="1"/>
  <c r="F13" i="1"/>
  <c r="AA12" i="1"/>
  <c r="V12" i="1"/>
  <c r="U12" i="1"/>
  <c r="L12" i="1"/>
  <c r="X12" i="1" s="1"/>
  <c r="F12" i="1"/>
  <c r="AA11" i="1"/>
  <c r="V11" i="1"/>
  <c r="U11" i="1"/>
  <c r="L11" i="1"/>
  <c r="X11" i="1" s="1"/>
  <c r="F11" i="1"/>
  <c r="AA10" i="1"/>
  <c r="V10" i="1"/>
  <c r="U10" i="1"/>
  <c r="L10" i="1"/>
  <c r="X10" i="1" s="1"/>
  <c r="Y10" i="1" s="1"/>
  <c r="F10" i="1"/>
  <c r="AA9" i="1"/>
  <c r="V9" i="1"/>
  <c r="U9" i="1"/>
  <c r="L9" i="1"/>
  <c r="X9" i="1" s="1"/>
  <c r="F9" i="1"/>
  <c r="AA8" i="1"/>
  <c r="V8" i="1"/>
  <c r="U8" i="1"/>
  <c r="L8" i="1"/>
  <c r="X8" i="1" s="1"/>
  <c r="AE8" i="1" s="1"/>
  <c r="F8" i="1"/>
  <c r="AA7" i="1"/>
  <c r="V7" i="1"/>
  <c r="U7" i="1"/>
  <c r="L7" i="1"/>
  <c r="X7" i="1" s="1"/>
  <c r="Y7" i="1" s="1"/>
  <c r="F7" i="1"/>
  <c r="AA6" i="1"/>
  <c r="V6" i="1"/>
  <c r="U6" i="1"/>
  <c r="L6" i="1"/>
  <c r="X6" i="1" s="1"/>
  <c r="F6" i="1"/>
  <c r="AA5" i="1"/>
  <c r="V5" i="1"/>
  <c r="U5" i="1"/>
  <c r="L5" i="1"/>
  <c r="X5" i="1" s="1"/>
  <c r="F5" i="1"/>
  <c r="AA4" i="1"/>
  <c r="V4" i="1"/>
  <c r="U4" i="1"/>
  <c r="L4" i="1"/>
  <c r="X4" i="1" s="1"/>
  <c r="F4" i="1"/>
  <c r="AA3" i="1"/>
  <c r="V3" i="1"/>
  <c r="U3" i="1"/>
  <c r="L3" i="1"/>
  <c r="X3" i="1" s="1"/>
  <c r="Y3" i="1" s="1"/>
  <c r="AA2" i="1"/>
  <c r="V2" i="1"/>
  <c r="U2" i="1"/>
  <c r="L2" i="1"/>
  <c r="X2" i="1" s="1"/>
  <c r="F2" i="1"/>
  <c r="W55" i="1" l="1"/>
  <c r="W127" i="1"/>
  <c r="W5" i="1"/>
  <c r="W9" i="1"/>
  <c r="W49" i="1"/>
  <c r="W61" i="1"/>
  <c r="W198" i="1"/>
  <c r="W186" i="1"/>
  <c r="W36" i="1"/>
  <c r="W40" i="1"/>
  <c r="W44" i="1"/>
  <c r="W60" i="1"/>
  <c r="W84" i="1"/>
  <c r="W92" i="1"/>
  <c r="W100" i="1"/>
  <c r="W128" i="1"/>
  <c r="W140" i="1"/>
  <c r="W144" i="1"/>
  <c r="W148" i="1"/>
  <c r="W156" i="1"/>
  <c r="W18" i="1"/>
  <c r="W34" i="1"/>
  <c r="W46" i="1"/>
  <c r="W74" i="1"/>
  <c r="W78" i="1"/>
  <c r="W82" i="1"/>
  <c r="W102" i="1"/>
  <c r="W106" i="1"/>
  <c r="W110" i="1"/>
  <c r="W114" i="1"/>
  <c r="W122" i="1"/>
  <c r="W130" i="1"/>
  <c r="W57" i="1"/>
  <c r="W105" i="1"/>
  <c r="W121" i="1"/>
  <c r="W165" i="1"/>
  <c r="W169" i="1"/>
  <c r="W173" i="1"/>
  <c r="W177" i="1"/>
  <c r="W181" i="1"/>
  <c r="W189" i="1"/>
  <c r="AE139" i="1"/>
  <c r="W10" i="1"/>
  <c r="W14" i="1"/>
  <c r="W65" i="1"/>
  <c r="W188" i="1"/>
  <c r="W192" i="1"/>
  <c r="W141" i="1"/>
  <c r="W161" i="1"/>
  <c r="W15" i="1"/>
  <c r="W135" i="1"/>
  <c r="W197" i="1"/>
  <c r="AE15" i="1"/>
  <c r="W47" i="1"/>
  <c r="W51" i="1"/>
  <c r="W150" i="1"/>
  <c r="W158" i="1"/>
  <c r="W166" i="1"/>
  <c r="W71" i="1"/>
  <c r="W87" i="1"/>
  <c r="W91" i="1"/>
  <c r="W95" i="1"/>
  <c r="W107" i="1"/>
  <c r="W167" i="1"/>
  <c r="W31" i="1"/>
  <c r="W101" i="1"/>
  <c r="AE78" i="1"/>
  <c r="W129" i="1"/>
  <c r="W133" i="1"/>
  <c r="W145" i="1"/>
  <c r="W33" i="1"/>
  <c r="W76" i="1"/>
  <c r="W99" i="1"/>
  <c r="W162" i="1"/>
  <c r="W96" i="1"/>
  <c r="W170" i="1"/>
  <c r="W201" i="1"/>
  <c r="W77" i="1"/>
  <c r="Y127" i="1"/>
  <c r="W50" i="1"/>
  <c r="W104" i="1"/>
  <c r="W116" i="1"/>
  <c r="W120" i="1"/>
  <c r="W143" i="1"/>
  <c r="W147" i="1"/>
  <c r="W182" i="1"/>
  <c r="W54" i="1"/>
  <c r="W81" i="1"/>
  <c r="W159" i="1"/>
  <c r="W62" i="1"/>
  <c r="W85" i="1"/>
  <c r="W89" i="1"/>
  <c r="Y155" i="1"/>
  <c r="AE155" i="1"/>
  <c r="Y47" i="1"/>
  <c r="W6" i="1"/>
  <c r="AE110" i="1"/>
  <c r="W196" i="1"/>
  <c r="AE51" i="1"/>
  <c r="Y107" i="1"/>
  <c r="W66" i="1"/>
  <c r="W126" i="1"/>
  <c r="W137" i="1"/>
  <c r="W3" i="1"/>
  <c r="W93" i="1"/>
  <c r="Y126" i="1"/>
  <c r="W174" i="1"/>
  <c r="W193" i="1"/>
  <c r="W136" i="1"/>
  <c r="AE36" i="1"/>
  <c r="W41" i="1"/>
  <c r="W45" i="1"/>
  <c r="W52" i="1"/>
  <c r="AE137" i="1"/>
  <c r="Y61" i="1"/>
  <c r="AE106" i="1"/>
  <c r="W155" i="1"/>
  <c r="W26" i="1"/>
  <c r="W30" i="1"/>
  <c r="W13" i="1"/>
  <c r="W125" i="1"/>
  <c r="W108" i="1"/>
  <c r="W134" i="1"/>
  <c r="W160" i="1"/>
  <c r="W175" i="1"/>
  <c r="W190" i="1"/>
  <c r="W176" i="1"/>
  <c r="Y95" i="1"/>
  <c r="AE63" i="1"/>
  <c r="W75" i="1"/>
  <c r="W194" i="1"/>
  <c r="W42" i="1"/>
  <c r="W53" i="1"/>
  <c r="W27" i="1"/>
  <c r="W131" i="1"/>
  <c r="W157" i="1"/>
  <c r="W16" i="1"/>
  <c r="W64" i="1"/>
  <c r="W109" i="1"/>
  <c r="W187" i="1"/>
  <c r="AE9" i="1"/>
  <c r="Y9" i="1"/>
  <c r="AE151" i="1"/>
  <c r="Y151" i="1"/>
  <c r="Y118" i="1"/>
  <c r="AE118" i="1"/>
  <c r="AE48" i="1"/>
  <c r="Y48" i="1"/>
  <c r="AE163" i="1"/>
  <c r="Y163" i="1"/>
  <c r="Y182" i="1"/>
  <c r="AE182" i="1"/>
  <c r="AE175" i="1"/>
  <c r="Y175" i="1"/>
  <c r="AE195" i="1"/>
  <c r="Y195" i="1"/>
  <c r="AE188" i="1"/>
  <c r="Y188" i="1"/>
  <c r="Y119" i="1"/>
  <c r="AE119" i="1"/>
  <c r="Y198" i="1"/>
  <c r="AE198" i="1"/>
  <c r="AE142" i="1"/>
  <c r="Y142" i="1"/>
  <c r="Y183" i="1"/>
  <c r="AE183" i="1"/>
  <c r="AE135" i="1"/>
  <c r="Y135" i="1"/>
  <c r="AE115" i="1"/>
  <c r="Y115" i="1"/>
  <c r="Y102" i="1"/>
  <c r="AE102" i="1"/>
  <c r="W67" i="1"/>
  <c r="W98" i="1"/>
  <c r="W117" i="1"/>
  <c r="W146" i="1"/>
  <c r="AE199" i="1"/>
  <c r="W19" i="1"/>
  <c r="Y40" i="1"/>
  <c r="Y74" i="1"/>
  <c r="Y101" i="1"/>
  <c r="Y104" i="1"/>
  <c r="W168" i="1"/>
  <c r="W88" i="1"/>
  <c r="AE146" i="1"/>
  <c r="AE149" i="1"/>
  <c r="W2" i="1"/>
  <c r="W23" i="1"/>
  <c r="W37" i="1"/>
  <c r="W68" i="1"/>
  <c r="W124" i="1"/>
  <c r="AE130" i="1"/>
  <c r="W153" i="1"/>
  <c r="W172" i="1"/>
  <c r="W178" i="1"/>
  <c r="W184" i="1"/>
  <c r="W200" i="1"/>
  <c r="W149" i="1"/>
  <c r="W111" i="1"/>
  <c r="AE178" i="1"/>
  <c r="AE172" i="1"/>
  <c r="W17" i="1"/>
  <c r="Y20" i="1"/>
  <c r="AE34" i="1"/>
  <c r="Y147" i="1"/>
  <c r="W7" i="1"/>
  <c r="W24" i="1"/>
  <c r="W38" i="1"/>
  <c r="W69" i="1"/>
  <c r="W79" i="1"/>
  <c r="W112" i="1"/>
  <c r="W154" i="1"/>
  <c r="AE160" i="1"/>
  <c r="W179" i="1"/>
  <c r="W195" i="1"/>
  <c r="Y194" i="1"/>
  <c r="W86" i="1"/>
  <c r="W138" i="1"/>
  <c r="W151" i="1"/>
  <c r="AE166" i="1"/>
  <c r="W58" i="1"/>
  <c r="W21" i="1"/>
  <c r="W35" i="1"/>
  <c r="AE55" i="1"/>
  <c r="W59" i="1"/>
  <c r="W90" i="1"/>
  <c r="W119" i="1"/>
  <c r="W132" i="1"/>
  <c r="W191" i="1"/>
  <c r="AE30" i="1"/>
  <c r="W48" i="1"/>
  <c r="W115" i="1"/>
  <c r="W4" i="1"/>
  <c r="W28" i="1"/>
  <c r="W39" i="1"/>
  <c r="W73" i="1"/>
  <c r="W83" i="1"/>
  <c r="W20" i="1"/>
  <c r="AE7" i="1"/>
  <c r="W8" i="1"/>
  <c r="W32" i="1"/>
  <c r="W97" i="1"/>
  <c r="W113" i="1"/>
  <c r="AE122" i="1"/>
  <c r="W164" i="1"/>
  <c r="AE170" i="1"/>
  <c r="W180" i="1"/>
  <c r="W25" i="1"/>
  <c r="W43" i="1"/>
  <c r="W56" i="1"/>
  <c r="W70" i="1"/>
  <c r="W80" i="1"/>
  <c r="W183" i="1"/>
  <c r="W118" i="1"/>
  <c r="W22" i="1"/>
  <c r="W29" i="1"/>
  <c r="W94" i="1"/>
  <c r="W139" i="1"/>
  <c r="Y164" i="1"/>
  <c r="AE186" i="1"/>
  <c r="W199" i="1"/>
  <c r="Y21" i="1"/>
  <c r="AE21" i="1"/>
  <c r="AE77" i="1"/>
  <c r="Y77" i="1"/>
  <c r="Y49" i="1"/>
  <c r="AE49" i="1"/>
  <c r="AE80" i="1"/>
  <c r="Y80" i="1"/>
  <c r="Y19" i="1"/>
  <c r="AE19" i="1"/>
  <c r="Y71" i="1"/>
  <c r="AE71" i="1"/>
  <c r="Y157" i="1"/>
  <c r="AE157" i="1"/>
  <c r="Y83" i="1"/>
  <c r="Y114" i="1"/>
  <c r="AE197" i="1"/>
  <c r="Y197" i="1"/>
  <c r="Y11" i="1"/>
  <c r="AE11" i="1"/>
  <c r="Y169" i="1"/>
  <c r="AE169" i="1"/>
  <c r="AE148" i="1"/>
  <c r="Y148" i="1"/>
  <c r="AE6" i="1"/>
  <c r="Y6" i="1"/>
  <c r="Y17" i="1"/>
  <c r="AE23" i="1"/>
  <c r="Y23" i="1"/>
  <c r="AE41" i="1"/>
  <c r="Y41" i="1"/>
  <c r="Y58" i="1"/>
  <c r="AE58" i="1"/>
  <c r="Y81" i="1"/>
  <c r="AE81" i="1"/>
  <c r="Y112" i="1"/>
  <c r="AE112" i="1"/>
  <c r="Y13" i="1"/>
  <c r="AE64" i="1"/>
  <c r="Y64" i="1"/>
  <c r="Y92" i="1"/>
  <c r="AE12" i="1"/>
  <c r="Y12" i="1"/>
  <c r="AE59" i="1"/>
  <c r="AE37" i="1"/>
  <c r="Y37" i="1"/>
  <c r="Y38" i="1"/>
  <c r="AE38" i="1"/>
  <c r="AE35" i="1"/>
  <c r="Y35" i="1"/>
  <c r="AE45" i="1"/>
  <c r="Y45" i="1"/>
  <c r="Y72" i="1"/>
  <c r="AE72" i="1"/>
  <c r="AE97" i="1"/>
  <c r="Y97" i="1"/>
  <c r="AE161" i="1"/>
  <c r="Y161" i="1"/>
  <c r="Y66" i="1"/>
  <c r="AE66" i="1"/>
  <c r="AE88" i="1"/>
  <c r="Y88" i="1"/>
  <c r="Y189" i="1"/>
  <c r="AE189" i="1"/>
  <c r="AE5" i="1"/>
  <c r="Y5" i="1"/>
  <c r="B5" i="3"/>
  <c r="B8" i="4"/>
  <c r="AE2" i="1"/>
  <c r="B11" i="3"/>
  <c r="B10" i="3"/>
  <c r="B3" i="4"/>
  <c r="B4" i="3"/>
  <c r="B3" i="3"/>
  <c r="AE28" i="1"/>
  <c r="AE39" i="1"/>
  <c r="Y39" i="1"/>
  <c r="Y140" i="1"/>
  <c r="AE25" i="1"/>
  <c r="Y25" i="1"/>
  <c r="Y4" i="1"/>
  <c r="AE4" i="1"/>
  <c r="Y143" i="1"/>
  <c r="AE143" i="1"/>
  <c r="Y85" i="1"/>
  <c r="Y180" i="1"/>
  <c r="AE180" i="1"/>
  <c r="Y2" i="1"/>
  <c r="AE42" i="1"/>
  <c r="AE57" i="1"/>
  <c r="Y156" i="1"/>
  <c r="AE156" i="1"/>
  <c r="AE44" i="1"/>
  <c r="Y44" i="1"/>
  <c r="Y29" i="1"/>
  <c r="AE29" i="1"/>
  <c r="Y16" i="1"/>
  <c r="AE16" i="1"/>
  <c r="AE52" i="1"/>
  <c r="Y52" i="1"/>
  <c r="AE177" i="1"/>
  <c r="Y177" i="1"/>
  <c r="AE138" i="1"/>
  <c r="AE141" i="1"/>
  <c r="Y141" i="1"/>
  <c r="AE173" i="1"/>
  <c r="Y173" i="1"/>
  <c r="Y190" i="1"/>
  <c r="AE190" i="1"/>
  <c r="AE68" i="1"/>
  <c r="Y68" i="1"/>
  <c r="Y56" i="1"/>
  <c r="Y75" i="1"/>
  <c r="Y8" i="1"/>
  <c r="Y73" i="1"/>
  <c r="AE84" i="1"/>
  <c r="Y84" i="1"/>
  <c r="AE86" i="1"/>
  <c r="AE100" i="1"/>
  <c r="AE159" i="1"/>
  <c r="AE187" i="1"/>
  <c r="Y187" i="1"/>
  <c r="Y54" i="1"/>
  <c r="Y31" i="1"/>
  <c r="AE43" i="1"/>
  <c r="Y60" i="1"/>
  <c r="Y62" i="1"/>
  <c r="AE93" i="1"/>
  <c r="Y93" i="1"/>
  <c r="AE131" i="1"/>
  <c r="Y131" i="1"/>
  <c r="AE27" i="1"/>
  <c r="AE46" i="1"/>
  <c r="Y46" i="1"/>
  <c r="AE79" i="1"/>
  <c r="AE136" i="1"/>
  <c r="W152" i="1"/>
  <c r="Y89" i="1"/>
  <c r="AE89" i="1"/>
  <c r="Y98" i="1"/>
  <c r="AE98" i="1"/>
  <c r="AE134" i="1"/>
  <c r="Y134" i="1"/>
  <c r="Y167" i="1"/>
  <c r="Y14" i="1"/>
  <c r="Y91" i="1"/>
  <c r="Y103" i="1"/>
  <c r="AE123" i="1"/>
  <c r="AE144" i="1"/>
  <c r="Y144" i="1"/>
  <c r="Y192" i="1"/>
  <c r="AE192" i="1"/>
  <c r="AE105" i="1"/>
  <c r="Y105" i="1"/>
  <c r="AE50" i="1"/>
  <c r="Y96" i="1"/>
  <c r="AE96" i="1"/>
  <c r="Y116" i="1"/>
  <c r="AE116" i="1"/>
  <c r="AE121" i="1"/>
  <c r="Y121" i="1"/>
  <c r="W142" i="1"/>
  <c r="Y179" i="1"/>
  <c r="AE179" i="1"/>
  <c r="AE90" i="1"/>
  <c r="Y69" i="1"/>
  <c r="AE69" i="1"/>
  <c r="AE108" i="1"/>
  <c r="Y108" i="1"/>
  <c r="Y129" i="1"/>
  <c r="AE129" i="1"/>
  <c r="AE120" i="1"/>
  <c r="AE24" i="1"/>
  <c r="Y24" i="1"/>
  <c r="W63" i="1"/>
  <c r="AE82" i="1"/>
  <c r="Y150" i="1"/>
  <c r="AE150" i="1"/>
  <c r="W163" i="1"/>
  <c r="W171" i="1"/>
  <c r="Y125" i="1"/>
  <c r="Y70" i="1"/>
  <c r="AE70" i="1"/>
  <c r="AE117" i="1"/>
  <c r="AE33" i="1"/>
  <c r="Y33" i="1"/>
  <c r="AE10" i="1"/>
  <c r="AE22" i="1"/>
  <c r="Y22" i="1"/>
  <c r="W11" i="1"/>
  <c r="AE26" i="1"/>
  <c r="Y26" i="1"/>
  <c r="Y32" i="1"/>
  <c r="AE65" i="1"/>
  <c r="Y65" i="1"/>
  <c r="AE67" i="1"/>
  <c r="Y76" i="1"/>
  <c r="Y111" i="1"/>
  <c r="Y132" i="1"/>
  <c r="AE132" i="1"/>
  <c r="Y165" i="1"/>
  <c r="AE168" i="1"/>
  <c r="Y168" i="1"/>
  <c r="AE185" i="1"/>
  <c r="Y185" i="1"/>
  <c r="AE18" i="1"/>
  <c r="AE53" i="1"/>
  <c r="Y53" i="1"/>
  <c r="AE87" i="1"/>
  <c r="AE94" i="1"/>
  <c r="Y94" i="1"/>
  <c r="Y99" i="1"/>
  <c r="AE99" i="1"/>
  <c r="Y109" i="1"/>
  <c r="AE109" i="1"/>
  <c r="Y145" i="1"/>
  <c r="Y171" i="1"/>
  <c r="W185" i="1"/>
  <c r="AE200" i="1"/>
  <c r="W103" i="1"/>
  <c r="AE133" i="1"/>
  <c r="Y133" i="1"/>
  <c r="AE193" i="1"/>
  <c r="Y193" i="1"/>
  <c r="AE201" i="1"/>
  <c r="Y201" i="1"/>
  <c r="Y152" i="1"/>
  <c r="Y154" i="1"/>
  <c r="AE181" i="1"/>
  <c r="Y181" i="1"/>
  <c r="Y191" i="1"/>
  <c r="AE113" i="1"/>
  <c r="Y113" i="1"/>
  <c r="Y124" i="1"/>
  <c r="Y162" i="1"/>
  <c r="AE176" i="1"/>
  <c r="Y176" i="1"/>
  <c r="AE196" i="1"/>
  <c r="Y196" i="1"/>
  <c r="W72" i="1"/>
  <c r="AE153" i="1"/>
  <c r="Y153" i="1"/>
  <c r="AE158" i="1"/>
  <c r="Y174" i="1"/>
  <c r="W12" i="1"/>
  <c r="W123" i="1"/>
  <c r="Y128" i="1"/>
  <c r="Y184" i="1"/>
  <c r="B6" i="3" l="1"/>
  <c r="B8" i="3"/>
  <c r="Z7" i="1" s="1"/>
  <c r="C3" i="1"/>
  <c r="B11" i="4"/>
  <c r="B7" i="4"/>
  <c r="B5" i="4"/>
  <c r="B2" i="5"/>
  <c r="B4" i="5" s="1"/>
  <c r="B7" i="3"/>
  <c r="Z147" i="1" l="1"/>
  <c r="AB126" i="1"/>
  <c r="AB13" i="1"/>
  <c r="AB28" i="1"/>
  <c r="Z162" i="1"/>
  <c r="Z21" i="1"/>
  <c r="Z83" i="1"/>
  <c r="Z17" i="1"/>
  <c r="Z121" i="1"/>
  <c r="Z30" i="1"/>
  <c r="AB34" i="1"/>
  <c r="Z90" i="1"/>
  <c r="AB111" i="1"/>
  <c r="AB141" i="1"/>
  <c r="AB132" i="1"/>
  <c r="Z19" i="1"/>
  <c r="AB61" i="1"/>
  <c r="Z101" i="1"/>
  <c r="Z191" i="1"/>
  <c r="Z16" i="1"/>
  <c r="Z92" i="1"/>
  <c r="AB73" i="1"/>
  <c r="Z50" i="1"/>
  <c r="AB121" i="1"/>
  <c r="Z85" i="1"/>
  <c r="AB131" i="1"/>
  <c r="AB115" i="1"/>
  <c r="AB153" i="1"/>
  <c r="Z47" i="1"/>
  <c r="AB71" i="1"/>
  <c r="AB94" i="1"/>
  <c r="AB150" i="1"/>
  <c r="Z156" i="1"/>
  <c r="Z107" i="1"/>
  <c r="Z44" i="1"/>
  <c r="AB192" i="1"/>
  <c r="Z74" i="1"/>
  <c r="AB48" i="1"/>
  <c r="Z29" i="1"/>
  <c r="AB122" i="1"/>
  <c r="AB86" i="1"/>
  <c r="AB99" i="1"/>
  <c r="Z176" i="1"/>
  <c r="AB55" i="1"/>
  <c r="Z193" i="1"/>
  <c r="AB136" i="1"/>
  <c r="AB119" i="1"/>
  <c r="Z171" i="1"/>
  <c r="AB9" i="1"/>
  <c r="Z142" i="1"/>
  <c r="Z160" i="1"/>
  <c r="AB104" i="1"/>
  <c r="AB149" i="1"/>
  <c r="AB139" i="1"/>
  <c r="Z46" i="1"/>
  <c r="AB65" i="1"/>
  <c r="Z97" i="1"/>
  <c r="AB112" i="1"/>
  <c r="AB12" i="1"/>
  <c r="AB159" i="1"/>
  <c r="Z69" i="1"/>
  <c r="Z76" i="1"/>
  <c r="AB140" i="1"/>
  <c r="Z178" i="1"/>
  <c r="Z175" i="1"/>
  <c r="AB179" i="1"/>
  <c r="Z185" i="1"/>
  <c r="Z37" i="1"/>
  <c r="AB142" i="1"/>
  <c r="AB130" i="1"/>
  <c r="Z183" i="1"/>
  <c r="AB199" i="1"/>
  <c r="Z57" i="1"/>
  <c r="AB164" i="1"/>
  <c r="Z84" i="1"/>
  <c r="AB57" i="1"/>
  <c r="Z33" i="1"/>
  <c r="Z138" i="1"/>
  <c r="AB190" i="1"/>
  <c r="Z168" i="1"/>
  <c r="Z115" i="1"/>
  <c r="Z98" i="1"/>
  <c r="AB36" i="1"/>
  <c r="Z26" i="1"/>
  <c r="AB23" i="1"/>
  <c r="AB75" i="1"/>
  <c r="AB14" i="1"/>
  <c r="AB7" i="1"/>
  <c r="Z15" i="1"/>
  <c r="AB160" i="1"/>
  <c r="AB15" i="1"/>
  <c r="Z154" i="1"/>
  <c r="Z136" i="1"/>
  <c r="Z12" i="1"/>
  <c r="Z192" i="1"/>
  <c r="Z195" i="1"/>
  <c r="Z80" i="1"/>
  <c r="Z63" i="1"/>
  <c r="Z89" i="1"/>
  <c r="Z110" i="1"/>
  <c r="AB93" i="1"/>
  <c r="AB181" i="1"/>
  <c r="Z182" i="1"/>
  <c r="Z58" i="1"/>
  <c r="Z41" i="1"/>
  <c r="AB31" i="1"/>
  <c r="AB197" i="1"/>
  <c r="Z140" i="1"/>
  <c r="Z108" i="1"/>
  <c r="Z65" i="1"/>
  <c r="AB33" i="1"/>
  <c r="AB186" i="1"/>
  <c r="AB53" i="1"/>
  <c r="AB77" i="1"/>
  <c r="AB10" i="1"/>
  <c r="AB183" i="1"/>
  <c r="AB18" i="1"/>
  <c r="AB178" i="1"/>
  <c r="Z157" i="1"/>
  <c r="Z31" i="1"/>
  <c r="Z152" i="1"/>
  <c r="Z73" i="1"/>
  <c r="Z119" i="1"/>
  <c r="AB163" i="1"/>
  <c r="AB95" i="1"/>
  <c r="AB2" i="1"/>
  <c r="AB201" i="1"/>
  <c r="AB41" i="1"/>
  <c r="AB198" i="1"/>
  <c r="Z75" i="1"/>
  <c r="Z13" i="1"/>
  <c r="AB40" i="1"/>
  <c r="AB49" i="1"/>
  <c r="AB8" i="1"/>
  <c r="AB103" i="1"/>
  <c r="AB84" i="1"/>
  <c r="AB155" i="1"/>
  <c r="Z112" i="1"/>
  <c r="Z139" i="1"/>
  <c r="AB69" i="1"/>
  <c r="Z149" i="1"/>
  <c r="Z145" i="1"/>
  <c r="Z151" i="1"/>
  <c r="AB16" i="1"/>
  <c r="AB129" i="1"/>
  <c r="AB88" i="1"/>
  <c r="AB175" i="1"/>
  <c r="Z28" i="1"/>
  <c r="Z62" i="1"/>
  <c r="AB166" i="1"/>
  <c r="Z155" i="1"/>
  <c r="AB92" i="1"/>
  <c r="Z129" i="1"/>
  <c r="Z169" i="1"/>
  <c r="Z43" i="1"/>
  <c r="AB124" i="1"/>
  <c r="AB54" i="1"/>
  <c r="AB46" i="1"/>
  <c r="AB144" i="1"/>
  <c r="AB108" i="1"/>
  <c r="AB195" i="1"/>
  <c r="Z131" i="1"/>
  <c r="Z64" i="1"/>
  <c r="Z78" i="1"/>
  <c r="AB172" i="1"/>
  <c r="Z67" i="1"/>
  <c r="Z87" i="1"/>
  <c r="Z88" i="1"/>
  <c r="Z103" i="1"/>
  <c r="Z179" i="1"/>
  <c r="AB38" i="1"/>
  <c r="AB56" i="1"/>
  <c r="AB24" i="1"/>
  <c r="AB146" i="1"/>
  <c r="AB148" i="1"/>
  <c r="AB200" i="1"/>
  <c r="Z39" i="1"/>
  <c r="Z72" i="1"/>
  <c r="Z95" i="1"/>
  <c r="AB6" i="1"/>
  <c r="AB47" i="1"/>
  <c r="AB5" i="1"/>
  <c r="AB158" i="1"/>
  <c r="Z79" i="1"/>
  <c r="Z71" i="1"/>
  <c r="Z184" i="1"/>
  <c r="Z173" i="1"/>
  <c r="Z143" i="1"/>
  <c r="Z94" i="1"/>
  <c r="Z24" i="1"/>
  <c r="Z35" i="1"/>
  <c r="Z9" i="1"/>
  <c r="AB62" i="1"/>
  <c r="Z174" i="1"/>
  <c r="AB152" i="1"/>
  <c r="AB185" i="1"/>
  <c r="Z114" i="1"/>
  <c r="Z180" i="1"/>
  <c r="Z133" i="1"/>
  <c r="Z102" i="1"/>
  <c r="Z125" i="1"/>
  <c r="AB11" i="1"/>
  <c r="AB64" i="1"/>
  <c r="AB43" i="1"/>
  <c r="AB177" i="1"/>
  <c r="AB102" i="1"/>
  <c r="Z81" i="1"/>
  <c r="Z159" i="1"/>
  <c r="Z5" i="1"/>
  <c r="Z48" i="1"/>
  <c r="Z22" i="1"/>
  <c r="Z42" i="1"/>
  <c r="Z127" i="1"/>
  <c r="Z150" i="1"/>
  <c r="Z99" i="1"/>
  <c r="AB114" i="1"/>
  <c r="AB117" i="1"/>
  <c r="Z128" i="1"/>
  <c r="AB20" i="1"/>
  <c r="AB32" i="1"/>
  <c r="AB135" i="1"/>
  <c r="AB128" i="1"/>
  <c r="AB27" i="1"/>
  <c r="Z8" i="1"/>
  <c r="Z36" i="1"/>
  <c r="Z181" i="1"/>
  <c r="Z187" i="1"/>
  <c r="AB70" i="1"/>
  <c r="AB60" i="1"/>
  <c r="Z20" i="1"/>
  <c r="AB90" i="1"/>
  <c r="AB154" i="1"/>
  <c r="AB168" i="1"/>
  <c r="AB67" i="1"/>
  <c r="Z32" i="1"/>
  <c r="Z172" i="1"/>
  <c r="Z6" i="1"/>
  <c r="Z54" i="1"/>
  <c r="AB156" i="1"/>
  <c r="AB188" i="1"/>
  <c r="AB87" i="1"/>
  <c r="Z45" i="1"/>
  <c r="Z10" i="1"/>
  <c r="Z61" i="1"/>
  <c r="AB45" i="1"/>
  <c r="AB110" i="1"/>
  <c r="AB106" i="1"/>
  <c r="AB133" i="1"/>
  <c r="AB96" i="1"/>
  <c r="AB105" i="1"/>
  <c r="AB107" i="1"/>
  <c r="Z170" i="1"/>
  <c r="Z109" i="1"/>
  <c r="Z52" i="1"/>
  <c r="Z96" i="1"/>
  <c r="Z194" i="1"/>
  <c r="Z51" i="1"/>
  <c r="Z163" i="1"/>
  <c r="AB68" i="1"/>
  <c r="Z198" i="1"/>
  <c r="AB116" i="1"/>
  <c r="AB169" i="1"/>
  <c r="AB51" i="1"/>
  <c r="AB125" i="1"/>
  <c r="AB127" i="1"/>
  <c r="Z137" i="1"/>
  <c r="Z106" i="1"/>
  <c r="Z68" i="1"/>
  <c r="Z197" i="1"/>
  <c r="Z66" i="1"/>
  <c r="Z167" i="1"/>
  <c r="Z56" i="1"/>
  <c r="Z93" i="1"/>
  <c r="AB194" i="1"/>
  <c r="AB151" i="1"/>
  <c r="AB72" i="1"/>
  <c r="Z124" i="1"/>
  <c r="AB193" i="1"/>
  <c r="AB82" i="1"/>
  <c r="AB145" i="1"/>
  <c r="AB118" i="1"/>
  <c r="Z190" i="1"/>
  <c r="Z188" i="1"/>
  <c r="Z27" i="1"/>
  <c r="Z23" i="1"/>
  <c r="Z34" i="1"/>
  <c r="Z38" i="1"/>
  <c r="Z134" i="1"/>
  <c r="AB26" i="1"/>
  <c r="AB4" i="1"/>
  <c r="AB173" i="1"/>
  <c r="AB137" i="1"/>
  <c r="AB171" i="1"/>
  <c r="Z164" i="1"/>
  <c r="AB165" i="1"/>
  <c r="AB138" i="1"/>
  <c r="Z100" i="1"/>
  <c r="Z2" i="1"/>
  <c r="Z196" i="1"/>
  <c r="Z116" i="1"/>
  <c r="Z158" i="1"/>
  <c r="Z177" i="1"/>
  <c r="AB109" i="1"/>
  <c r="AB3" i="1"/>
  <c r="AB25" i="1"/>
  <c r="AB101" i="1"/>
  <c r="AB189" i="1"/>
  <c r="AB100" i="1"/>
  <c r="AB162" i="1"/>
  <c r="AB147" i="1"/>
  <c r="Z86" i="1"/>
  <c r="Z166" i="1"/>
  <c r="Z18" i="1"/>
  <c r="Z11" i="1"/>
  <c r="Z141" i="1"/>
  <c r="Z126" i="1"/>
  <c r="AB134" i="1"/>
  <c r="AB22" i="1"/>
  <c r="AB35" i="1"/>
  <c r="Z118" i="1"/>
  <c r="AB191" i="1"/>
  <c r="AB143" i="1"/>
  <c r="AB182" i="1"/>
  <c r="AB167" i="1"/>
  <c r="Z105" i="1"/>
  <c r="Z161" i="1"/>
  <c r="Z25" i="1"/>
  <c r="Z53" i="1"/>
  <c r="Z144" i="1"/>
  <c r="Z153" i="1"/>
  <c r="AB91" i="1"/>
  <c r="AB89" i="1"/>
  <c r="AB50" i="1"/>
  <c r="Z135" i="1"/>
  <c r="AB120" i="1"/>
  <c r="AB170" i="1"/>
  <c r="AB19" i="1"/>
  <c r="AB187" i="1"/>
  <c r="Z82" i="1"/>
  <c r="Z122" i="1"/>
  <c r="Z60" i="1"/>
  <c r="Z70" i="1"/>
  <c r="Z59" i="1"/>
  <c r="Z113" i="1"/>
  <c r="Z104" i="1"/>
  <c r="AB63" i="1"/>
  <c r="AB161" i="1"/>
  <c r="AB113" i="1"/>
  <c r="AB17" i="1"/>
  <c r="AB81" i="1"/>
  <c r="AB37" i="1"/>
  <c r="AB29" i="1"/>
  <c r="AB174" i="1"/>
  <c r="AB39" i="1"/>
  <c r="AB58" i="1"/>
  <c r="Z132" i="1"/>
  <c r="Z165" i="1"/>
  <c r="Z186" i="1"/>
  <c r="Z4" i="1"/>
  <c r="Z130" i="1"/>
  <c r="Z146" i="1"/>
  <c r="AB74" i="1"/>
  <c r="AB76" i="1"/>
  <c r="AB66" i="1"/>
  <c r="AB184" i="1"/>
  <c r="AB97" i="1"/>
  <c r="AB123" i="1"/>
  <c r="AB42" i="1"/>
  <c r="AB44" i="1"/>
  <c r="AB176" i="1"/>
  <c r="AB59" i="1"/>
  <c r="AB78" i="1"/>
  <c r="Z201" i="1"/>
  <c r="Z49" i="1"/>
  <c r="Z199" i="1"/>
  <c r="Z117" i="1"/>
  <c r="Z200" i="1"/>
  <c r="Z123" i="1"/>
  <c r="Z148" i="1"/>
  <c r="AB83" i="1"/>
  <c r="AB30" i="1"/>
  <c r="AB52" i="1"/>
  <c r="AB180" i="1"/>
  <c r="AB21" i="1"/>
  <c r="AB157" i="1"/>
  <c r="AB85" i="1"/>
  <c r="AB80" i="1"/>
  <c r="AB196" i="1"/>
  <c r="AB79" i="1"/>
  <c r="AB98" i="1"/>
  <c r="Z111" i="1"/>
  <c r="Z40" i="1"/>
  <c r="Z189" i="1"/>
  <c r="Z55" i="1"/>
  <c r="Z120" i="1"/>
  <c r="Z77" i="1"/>
  <c r="Z14" i="1"/>
  <c r="Z91" i="1"/>
  <c r="G188" i="1"/>
  <c r="G168" i="1"/>
  <c r="G148" i="1"/>
  <c r="B10" i="4"/>
  <c r="G195" i="1"/>
  <c r="G155" i="1"/>
  <c r="G135" i="1"/>
  <c r="G115" i="1"/>
  <c r="G198" i="1"/>
  <c r="G178" i="1"/>
  <c r="G158" i="1"/>
  <c r="G138" i="1"/>
  <c r="G118" i="1"/>
  <c r="G98" i="1"/>
  <c r="G108" i="1"/>
  <c r="G57" i="1"/>
  <c r="G97" i="1"/>
  <c r="G157" i="1"/>
  <c r="G145" i="1"/>
  <c r="G128" i="1"/>
  <c r="G134" i="1"/>
  <c r="G117" i="1"/>
  <c r="G194" i="1"/>
  <c r="G166" i="1"/>
  <c r="G77" i="1"/>
  <c r="G126" i="1"/>
  <c r="G113" i="1"/>
  <c r="G109" i="1"/>
  <c r="G89" i="1"/>
  <c r="G189" i="1"/>
  <c r="G49" i="1"/>
  <c r="G29" i="1"/>
  <c r="G197" i="1"/>
  <c r="G177" i="1"/>
  <c r="G169" i="1"/>
  <c r="G19" i="1"/>
  <c r="G2" i="1"/>
  <c r="G9" i="1"/>
  <c r="G50" i="1"/>
  <c r="G17" i="1"/>
  <c r="G30" i="1"/>
  <c r="G14" i="1"/>
  <c r="G185" i="1"/>
  <c r="G153" i="1"/>
  <c r="G119" i="1"/>
  <c r="G104" i="1"/>
  <c r="G5" i="1"/>
  <c r="G150" i="1"/>
  <c r="G99" i="1"/>
  <c r="G74" i="1"/>
  <c r="G53" i="1"/>
  <c r="G38" i="1"/>
  <c r="G129" i="1"/>
  <c r="G94" i="1"/>
  <c r="G63" i="1"/>
  <c r="G59" i="1"/>
  <c r="G165" i="1"/>
  <c r="G137" i="1"/>
  <c r="G78" i="1"/>
  <c r="G28" i="1"/>
  <c r="G142" i="1"/>
  <c r="G87" i="1"/>
  <c r="G24" i="1"/>
  <c r="G105" i="1"/>
  <c r="G69" i="1"/>
  <c r="G67" i="1"/>
  <c r="G44" i="1"/>
  <c r="G48" i="1"/>
  <c r="G103" i="1"/>
  <c r="G149" i="1"/>
  <c r="G123" i="1"/>
  <c r="G58" i="1"/>
  <c r="G147" i="1"/>
  <c r="G154" i="1"/>
  <c r="G144" i="1"/>
  <c r="G156" i="1"/>
  <c r="G95" i="1"/>
  <c r="G4" i="1"/>
  <c r="G21" i="1"/>
  <c r="G70" i="1"/>
  <c r="G79" i="1"/>
  <c r="G27" i="1"/>
  <c r="G125" i="1"/>
  <c r="G88" i="1"/>
  <c r="G54" i="1"/>
  <c r="G45" i="1"/>
  <c r="G133" i="1"/>
  <c r="G37" i="1"/>
  <c r="G56" i="1"/>
  <c r="G130" i="1"/>
  <c r="G90" i="1"/>
  <c r="G47" i="1"/>
  <c r="G68" i="1"/>
  <c r="G65" i="1"/>
  <c r="G10" i="1"/>
  <c r="G22" i="1"/>
  <c r="G174" i="1"/>
  <c r="G32" i="1"/>
  <c r="G162" i="1"/>
  <c r="G180" i="1"/>
  <c r="G75" i="1"/>
  <c r="G46" i="1"/>
  <c r="G182" i="1"/>
  <c r="G11" i="1"/>
  <c r="G192" i="1"/>
  <c r="G120" i="1"/>
  <c r="G121" i="1"/>
  <c r="G100" i="1"/>
  <c r="G18" i="1"/>
  <c r="G124" i="1"/>
  <c r="G101" i="1"/>
  <c r="G199" i="1"/>
  <c r="G172" i="1"/>
  <c r="G20" i="1"/>
  <c r="G171" i="1"/>
  <c r="G132" i="1"/>
  <c r="G161" i="1"/>
  <c r="G35" i="1"/>
  <c r="G175" i="1"/>
  <c r="G167" i="1"/>
  <c r="G31" i="1"/>
  <c r="G39" i="1"/>
  <c r="G106" i="1"/>
  <c r="G196" i="1"/>
  <c r="G170" i="1"/>
  <c r="G200" i="1"/>
  <c r="G52" i="1"/>
  <c r="G110" i="1"/>
  <c r="G184" i="1"/>
  <c r="G191" i="1"/>
  <c r="G127" i="1"/>
  <c r="G60" i="1"/>
  <c r="G112" i="1"/>
  <c r="G72" i="1"/>
  <c r="G42" i="1"/>
  <c r="G23" i="1"/>
  <c r="G7" i="1"/>
  <c r="G8" i="1"/>
  <c r="G96" i="1"/>
  <c r="G122" i="1"/>
  <c r="G187" i="1"/>
  <c r="G73" i="1"/>
  <c r="G81" i="1"/>
  <c r="G84" i="1"/>
  <c r="G183" i="1"/>
  <c r="G181" i="1"/>
  <c r="G71" i="1"/>
  <c r="G102" i="1"/>
  <c r="G25" i="1"/>
  <c r="G186" i="1"/>
  <c r="G34" i="1"/>
  <c r="G40" i="1"/>
  <c r="G151" i="1"/>
  <c r="G111" i="1"/>
  <c r="G107" i="1"/>
  <c r="G201" i="1"/>
  <c r="G139" i="1"/>
  <c r="G114" i="1"/>
  <c r="G164" i="1"/>
  <c r="G193" i="1"/>
  <c r="G163" i="1"/>
  <c r="G80" i="1"/>
  <c r="G6" i="1"/>
  <c r="G26" i="1"/>
  <c r="G179" i="1"/>
  <c r="G64" i="1"/>
  <c r="G66" i="1"/>
  <c r="G43" i="1"/>
  <c r="G136" i="1"/>
  <c r="G51" i="1"/>
  <c r="G143" i="1"/>
  <c r="G131" i="1"/>
  <c r="G92" i="1"/>
  <c r="G159" i="1"/>
  <c r="G173" i="1"/>
  <c r="G62" i="1"/>
  <c r="G33" i="1"/>
  <c r="G86" i="1"/>
  <c r="G176" i="1"/>
  <c r="G36" i="1"/>
  <c r="G85" i="1"/>
  <c r="G13" i="1"/>
  <c r="G15" i="1"/>
  <c r="G76" i="1"/>
  <c r="G61" i="1"/>
  <c r="G93" i="1"/>
  <c r="G12" i="1"/>
  <c r="G91" i="1"/>
  <c r="G160" i="1"/>
  <c r="G190" i="1"/>
  <c r="G152" i="1"/>
  <c r="G146" i="1"/>
  <c r="G55" i="1"/>
  <c r="G82" i="1"/>
  <c r="G83" i="1"/>
  <c r="G141" i="1"/>
  <c r="G41" i="1"/>
  <c r="G16" i="1"/>
  <c r="G116" i="1"/>
  <c r="G140" i="1"/>
  <c r="F3" i="1"/>
  <c r="G3" i="1" s="1"/>
  <c r="AE3" i="1"/>
  <c r="Z3" i="1" l="1"/>
  <c r="B9" i="3"/>
  <c r="B14" i="3"/>
  <c r="B13" i="3" l="1"/>
  <c r="B6" i="5" s="1"/>
  <c r="B7" i="5" s="1"/>
  <c r="AC130" i="1"/>
  <c r="AC94" i="1"/>
  <c r="AC38" i="1"/>
  <c r="AC146" i="1"/>
  <c r="AC100" i="1"/>
  <c r="AC137" i="1"/>
  <c r="AC113" i="1"/>
  <c r="AC44" i="1"/>
  <c r="AC73" i="1"/>
  <c r="AC151" i="1"/>
  <c r="AC176" i="1"/>
  <c r="AC104" i="1"/>
  <c r="AC47" i="1"/>
  <c r="AC81" i="1"/>
  <c r="AC103" i="1"/>
  <c r="AC96" i="1"/>
  <c r="AC83" i="1"/>
  <c r="AC88" i="1"/>
  <c r="AC99" i="1"/>
  <c r="AC90" i="1"/>
  <c r="AC112" i="1"/>
  <c r="AC168" i="1"/>
  <c r="AC192" i="1"/>
  <c r="AC15" i="1"/>
  <c r="AC185" i="1"/>
  <c r="AC180" i="1"/>
  <c r="AC53" i="1"/>
  <c r="AC7" i="1"/>
  <c r="AC13" i="1"/>
  <c r="AC62" i="1"/>
  <c r="AC9" i="1"/>
  <c r="AC48" i="1"/>
  <c r="AC124" i="1"/>
  <c r="AC76" i="1"/>
  <c r="AC68" i="1"/>
  <c r="AC122" i="1"/>
  <c r="AC184" i="1"/>
  <c r="AC10" i="1"/>
  <c r="AC116" i="1"/>
  <c r="AC123" i="1"/>
  <c r="AC133" i="1"/>
  <c r="AC105" i="1"/>
  <c r="AC115" i="1"/>
  <c r="AC164" i="1"/>
  <c r="AC131" i="1"/>
  <c r="AC75" i="1"/>
  <c r="AC162" i="1"/>
  <c r="AC126" i="1"/>
  <c r="AC17" i="1"/>
  <c r="AC59" i="1"/>
  <c r="AC110" i="1"/>
  <c r="AC78" i="1"/>
  <c r="AC29" i="1"/>
  <c r="AC21" i="1"/>
  <c r="AC114" i="1"/>
  <c r="AC153" i="1"/>
  <c r="AC109" i="1"/>
  <c r="AC119" i="1"/>
  <c r="AC167" i="1"/>
  <c r="AC128" i="1"/>
  <c r="AC198" i="1"/>
  <c r="AC161" i="1"/>
  <c r="AC194" i="1"/>
  <c r="AC145" i="1"/>
  <c r="AC8" i="1"/>
  <c r="AC93" i="1"/>
  <c r="AC147" i="1"/>
  <c r="AC65" i="1"/>
  <c r="AC111" i="1"/>
  <c r="AC39" i="1"/>
  <c r="AC58" i="1"/>
  <c r="AC67" i="1"/>
  <c r="AC49" i="1"/>
  <c r="AC22" i="1"/>
  <c r="AC182" i="1"/>
  <c r="AC40" i="1"/>
  <c r="AC26" i="1"/>
  <c r="AC27" i="1"/>
  <c r="AC136" i="1"/>
  <c r="AC169" i="1"/>
  <c r="AC148" i="1"/>
  <c r="AC5" i="1"/>
  <c r="AC37" i="1"/>
  <c r="AC174" i="1"/>
  <c r="AC118" i="1"/>
  <c r="AC160" i="1"/>
  <c r="AC34" i="1"/>
  <c r="AC74" i="1"/>
  <c r="AC149" i="1"/>
  <c r="AC80" i="1"/>
  <c r="AC11" i="1"/>
  <c r="AC159" i="1"/>
  <c r="AC139" i="1"/>
  <c r="AC45" i="1"/>
  <c r="AC200" i="1"/>
  <c r="AC150" i="1"/>
  <c r="AC4" i="1"/>
  <c r="AC32" i="1"/>
  <c r="AC36" i="1"/>
  <c r="AC178" i="1"/>
  <c r="AC52" i="1"/>
  <c r="AC18" i="1"/>
  <c r="AC191" i="1"/>
  <c r="AC108" i="1"/>
  <c r="AC82" i="1"/>
  <c r="AC31" i="1"/>
  <c r="AC71" i="1"/>
  <c r="AC87" i="1"/>
  <c r="AC86" i="1"/>
  <c r="AC199" i="1"/>
  <c r="AC91" i="1"/>
  <c r="AC54" i="1"/>
  <c r="AC117" i="1"/>
  <c r="AC141" i="1"/>
  <c r="AC30" i="1"/>
  <c r="AC64" i="1"/>
  <c r="AC188" i="1"/>
  <c r="AC172" i="1"/>
  <c r="AC23" i="1"/>
  <c r="AC186" i="1"/>
  <c r="AC179" i="1"/>
  <c r="AC33" i="1"/>
  <c r="AC16" i="1"/>
  <c r="AC175" i="1"/>
  <c r="AC89" i="1"/>
  <c r="AC177" i="1"/>
  <c r="AC72" i="1"/>
  <c r="AC24" i="1"/>
  <c r="AC35" i="1"/>
  <c r="AC143" i="1"/>
  <c r="AC196" i="1"/>
  <c r="AC43" i="1"/>
  <c r="AC70" i="1"/>
  <c r="AC20" i="1"/>
  <c r="AC171" i="1"/>
  <c r="AC2" i="1"/>
  <c r="AC50" i="1"/>
  <c r="AC57" i="1"/>
  <c r="AC51" i="1"/>
  <c r="AC181" i="1"/>
  <c r="AC79" i="1"/>
  <c r="AC84" i="1"/>
  <c r="AC98" i="1"/>
  <c r="AC92" i="1"/>
  <c r="AC190" i="1"/>
  <c r="AC41" i="1"/>
  <c r="AC102" i="1"/>
  <c r="AC61" i="1"/>
  <c r="AC120" i="1"/>
  <c r="AC14" i="1"/>
  <c r="AC193" i="1"/>
  <c r="AC166" i="1"/>
  <c r="AC56" i="1"/>
  <c r="AC6" i="1"/>
  <c r="AC19" i="1"/>
  <c r="AC129" i="1"/>
  <c r="AC163" i="1"/>
  <c r="AC173" i="1"/>
  <c r="AC157" i="1"/>
  <c r="AC46" i="1"/>
  <c r="AC12" i="1"/>
  <c r="AC154" i="1"/>
  <c r="AC3" i="1"/>
  <c r="AC107" i="1"/>
  <c r="AC97" i="1"/>
  <c r="AC55" i="1"/>
  <c r="AC155" i="1"/>
  <c r="AC127" i="1"/>
  <c r="AC158" i="1"/>
  <c r="AC197" i="1"/>
  <c r="AC165" i="1"/>
  <c r="AC28" i="1"/>
  <c r="AC132" i="1"/>
  <c r="AC140" i="1"/>
  <c r="AC170" i="1"/>
  <c r="AC195" i="1"/>
  <c r="AC106" i="1"/>
  <c r="AC201" i="1"/>
  <c r="AC156" i="1"/>
  <c r="AC25" i="1"/>
  <c r="AC142" i="1"/>
  <c r="AC121" i="1"/>
  <c r="AC69" i="1"/>
  <c r="AC42" i="1"/>
  <c r="AC125" i="1"/>
  <c r="AC135" i="1"/>
  <c r="AC77" i="1"/>
  <c r="AC183" i="1"/>
  <c r="AC134" i="1"/>
  <c r="AC187" i="1"/>
  <c r="AC152" i="1"/>
  <c r="AC85" i="1"/>
  <c r="AC95" i="1"/>
  <c r="AC66" i="1"/>
  <c r="AC144" i="1"/>
  <c r="AC60" i="1"/>
  <c r="AC138" i="1"/>
  <c r="AC101" i="1"/>
  <c r="AC63" i="1"/>
  <c r="AC1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<sst xmlns="http://schemas.openxmlformats.org/spreadsheetml/2006/main" count="445" uniqueCount="313">
  <si>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</si>
  <si>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</si>
  <si>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</si>
  <si>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</si>
  <si>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</si>
  <si>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</si>
  <si>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</si>
  <si>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</si>
  <si>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</si>
  <si>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</si>
  <si>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</si>
  <si>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</si>
  <si>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</si>
  <si>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</si>
  <si>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</si>
  <si>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</si>
  <si>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</si>
  <si>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</si>
  <si>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</si>
  <si>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</si>
  <si>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</si>
  <si>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</si>
  <si>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</si>
  <si>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</si>
  <si>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</si>
  <si>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</si>
  <si>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</si>
  <si>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</si>
  <si>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</si>
  <si>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</si>
  <si>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</si>
  <si>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</si>
  <si>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</si>
  <si>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</si>
  <si>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</si>
  <si>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</si>
  <si>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</si>
  <si>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</si>
  <si>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</si>
  <si>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</si>
  <si>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</si>
  <si>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</si>
  <si>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</si>
  <si>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</si>
  <si>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</si>
  <si>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</si>
  <si>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</si>
  <si>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</si>
  <si>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</si>
  <si>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</si>
  <si>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</si>
  <si>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</si>
  <si>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</si>
  <si>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</si>
  <si>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</si>
  <si>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</si>
  <si>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</si>
  <si>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</si>
  <si>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</si>
  <si>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东方电缆</t>
  </si>
  <si>
    <t>5-优秀</t>
  </si>
  <si>
    <t>完全按照预期来操作</t>
  </si>
  <si>
    <t>神马电力</t>
  </si>
  <si>
    <t>3-一般</t>
  </si>
  <si>
    <t>现象不是那么完美</t>
  </si>
  <si>
    <t>景旺电子</t>
  </si>
  <si>
    <t>1-差</t>
  </si>
  <si>
    <t>1.期待超级上涨，判断正确的情况，后续动力不足没有发现，没有及时止盈</t>
  </si>
  <si>
    <t>爱旭股份</t>
  </si>
  <si>
    <t>完全考虑了后续发展</t>
  </si>
  <si>
    <t>4-良好</t>
  </si>
  <si>
    <t>考虑了后续发展，</t>
  </si>
  <si>
    <t>判断非常好，但是后面的走势判断一般，后面应该仔细思考的每天都要分析</t>
  </si>
  <si>
    <t>鹏鼎控股</t>
  </si>
  <si>
    <t>到达止损位没有抛，止损位置已经放的很低了</t>
  </si>
  <si>
    <t>没有估计到顶，还在期待突破</t>
  </si>
  <si>
    <t>预估了局势</t>
  </si>
  <si>
    <t>完美走人</t>
  </si>
  <si>
    <t>又低谷了压力位</t>
  </si>
  <si>
    <t>华润江中</t>
  </si>
  <si>
    <t>第二天很关键，应该要预测的，有交易量就是继续上涨，没有就是派发</t>
  </si>
  <si>
    <t>2-较差</t>
  </si>
  <si>
    <t>又贪了，没有估计好，总是以为它会大涨，</t>
  </si>
  <si>
    <t>太贪婪</t>
  </si>
  <si>
    <t>完美预测</t>
  </si>
  <si>
    <t>保护了本金</t>
  </si>
  <si>
    <t>不能建立假设要实时分析，还是要一个一个分析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</si>
  <si>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</si>
  <si>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</si>
  <si>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</si>
  <si>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</si>
  <si>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</si>
  <si>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</si>
  <si>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</si>
  <si>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列2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</si>
  <si>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</si>
  <si>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</si>
  <si>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</si>
  <si>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</si>
  <si>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</si>
  <si>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</si>
  <si>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</si>
  <si>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</si>
  <si>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</si>
  <si>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</si>
  <si>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</si>
  <si>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</si>
  <si>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</si>
  <si>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</si>
  <si>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</si>
  <si>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</si>
  <si>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</si>
  <si>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</si>
  <si>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</si>
  <si>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</si>
  <si>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</si>
  <si>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</si>
  <si>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</si>
  <si>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</si>
  <si>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</si>
  <si>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</si>
  <si>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</si>
  <si>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</si>
  <si>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</si>
  <si>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</si>
  <si>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</si>
  <si>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</si>
  <si>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</si>
  <si>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</si>
  <si>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</si>
  <si>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</si>
  <si>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</si>
  <si>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</si>
  <si>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</si>
  <si>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</si>
  <si>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</si>
  <si>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</si>
  <si>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</si>
  <si>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</si>
  <si>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</si>
  <si>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</si>
  <si>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</si>
  <si>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</si>
  <si>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</si>
  <si>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</si>
  <si>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</si>
  <si>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</si>
  <si>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</si>
  <si>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</si>
  <si>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</si>
  <si>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</si>
  <si>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</si>
  <si>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</si>
  <si>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</si>
  <si>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</si>
  <si>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</si>
  <si>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</si>
  <si>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</si>
  <si>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</si>
  <si>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</si>
  <si>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</si>
  <si>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</si>
  <si>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1.整体价格已经抬高，很小的交易量就可以造成大跌，这是有意而为知，价格再上升，成交量也在上升，红的交易量要超过绿的交易量，现在的买入属于埋伏买入偏中期</t>
  </si>
  <si>
    <t>相比之前的改动点：1</t>
  </si>
  <si>
    <t>止损放宽</t>
  </si>
  <si>
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</si>
  <si>
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</si>
  <si>
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</si>
  <si>
    <t>同一波局势，没有下跌，说明下方有供应，持续在吸收，准备继续冲击3，但是交易量下来了，整体还是不低</t>
  </si>
  <si>
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</si>
  <si>
    <t>1。当前需求占优势，没遇到大的阻击，突破了30的压力位，上方没有太多供应，供应集中在40左右，震仓没有太多效果，没有卖盘，必须提高收购价格</t>
  </si>
  <si>
    <t>突破40继续持有，没有突破先撤退，突破不了回回到30这边震荡，到时候可以接近30看有没有支撑，有的话30买入</t>
  </si>
  <si>
    <t>1.又是拉人来突破，吸引人肯定还是要上冲，要突破40，40压力很大，失败就抛成功就把40作为支撑</t>
  </si>
  <si>
    <t>能不能突破40，很关键，主力再想办法，主力吸筹成本大概35，35左右就会吸收，也许会放量突破一下震仓，现在应该不震仓了要拉人突破了</t>
  </si>
  <si>
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</si>
  <si>
    <t>触碰28支撑不破就走，然后转入25～28之间震荡，</t>
  </si>
  <si>
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</si>
  <si>
    <t>1.供应不足跌不动了，买家吸引人来吸收，然后自己超低，到达30就好好分析，看量大是不是足够支撑突破随时准备跑路，也不要贪多，上方供应大，但是30突破可能就去35了，把30作为支撑位置</t>
  </si>
  <si>
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</si>
  <si>
    <t>摇人来突破了一直突破不了，突破4.8也就是5，5快压力大，突破就把5快作为支撑。4.5~5之间震荡，靠近5抛掉</t>
  </si>
  <si>
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</si>
  <si>
    <t>同山，但是第二天如果没跟上就跑，低开还是喊人来突破</t>
  </si>
  <si>
    <t>震仓，绝对的震仓，千万不要抛掉，这个主力擅长震仓，且资金量大，会反复搞心态</t>
  </si>
  <si>
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</si>
  <si>
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</si>
  <si>
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</si>
  <si>
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</si>
  <si>
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</si>
  <si>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</si>
  <si>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</si>
  <si>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</si>
  <si>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</si>
  <si>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</si>
  <si>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</si>
  <si>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</si>
  <si>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</si>
  <si>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</si>
  <si>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</si>
  <si>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</si>
  <si>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</si>
  <si>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</si>
  <si>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</si>
  <si>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</si>
  <si>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</si>
  <si>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</si>
  <si>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</si>
  <si>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</si>
  <si>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</si>
  <si>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</si>
  <si>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</si>
  <si>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</si>
  <si>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</si>
  <si>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</si>
  <si>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</si>
  <si>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</si>
  <si>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</si>
  <si>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</si>
  <si>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</si>
  <si>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</si>
  <si>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</si>
  <si>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</si>
  <si>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</si>
  <si>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</si>
  <si>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</si>
  <si>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</si>
  <si>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</si>
  <si>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</si>
  <si>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</si>
  <si>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</si>
  <si>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</si>
  <si>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</si>
  <si>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</si>
  <si>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</si>
  <si>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</si>
  <si>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</si>
  <si>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</si>
  <si>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</si>
  <si>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</si>
  <si>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</si>
  <si>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</si>
  <si>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</si>
  <si>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</si>
  <si>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</si>
  <si>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</si>
  <si>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</si>
  <si>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</si>
  <si>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</si>
  <si>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</si>
  <si>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</si>
  <si>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</si>
  <si>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</si>
  <si>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</si>
  <si>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</si>
  <si>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</si>
  <si>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</si>
  <si>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</si>
  <si>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</si>
  <si>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</si>
  <si>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</si>
  <si>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</si>
  <si>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</si>
  <si>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</si>
  <si>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</si>
  <si>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</si>
  <si>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</si>
  <si>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</si>
  <si>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</si>
  <si>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</si>
  <si>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</si>
  <si>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</si>
  <si>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</si>
  <si>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</si>
  <si>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</si>
  <si>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</si>
  <si>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</si>
  <si>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</si>
  <si>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</si>
  <si>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</si>
  <si>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</si>
  <si>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</si>
  <si>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</si>
  <si>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</si>
  <si>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</si>
  <si>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</si>
  <si>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</si>
  <si>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</si>
  <si>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</si>
  <si>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</si>
  <si>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</si>
  <si>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</si>
  <si>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</si>
  <si>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</si>
  <si>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</si>
  <si>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</si>
  <si>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</si>
  <si>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</si>
  <si>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</si>
  <si>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</si>
  <si>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</si>
  <si>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</si>
  <si>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豫光金铅</t>
    <phoneticPr fontId="4" type="noConversion"/>
  </si>
  <si>
    <t>又是预期会有大涨幅，没有实时分析</t>
    <phoneticPr fontId="4" type="noConversion"/>
  </si>
  <si>
    <t>实时分析了</t>
    <phoneticPr fontId="4" type="noConversion"/>
  </si>
  <si>
    <t>1.突然大幅下跌，之前都是平稳的，突然大跌，交易量没有那么大，可能是震仓，后面到达支撑开始反弹，交易量开始放大8块压力不大，9块压力大，主力什么样的情况在8~9进行振荡7块多左右应该没有供应了，需要提高收购价格，之前冲刺9.5发现上方抛盘过多，所以震荡，后面反弹就证明这个是震仓，如果继续下跌，则重新开始，如果回到了9，说明主力还在尝试上冲，要密切关注走势，成交量</t>
    <phoneticPr fontId="6" type="noConversion"/>
  </si>
  <si>
    <t>还是觉得会反弹，所以等了，那个可能是假象，失败就失败，尝试失败了而已</t>
    <phoneticPr fontId="4" type="noConversion"/>
  </si>
  <si>
    <t>同样交易量没有太大的跌幅，说明供应都被吸收了，成交量在小幅上涨，说明主力还不想认直到，但是应该已经吸了一些筹码了，整体的成本在这个之上，看有没有量价跟谁，道道关键位置，每天写日志下方6块，上方7块，现在看出来明显趋势，在潜伏</t>
    <phoneticPr fontId="6" type="noConversion"/>
  </si>
  <si>
    <t xml:space="preserve">到达6块，观察是否有反弹，或者震仓，6块是吸筹点，但是主力没有吸，下发出现支撑，但是力度不够，不知道是否有反弹，如果没有就要走人，上方放出大量，但是价格没有怎么下跌，看7块能否守住，如果守住则继续持有，主力用全力收到了之前的压力位直接上到7块
</t>
    <phoneticPr fontId="6" type="noConversion"/>
  </si>
  <si>
    <t>上方还有供应，但是吸收了不少，观察是否供应增加，或者需求减少，更大的交易量，但是小蜡烛，说明需求比较大，供应也大，但是需求更旺盛一点，8块是一个非常大的压力位，主力是震荡通过，还是暴力拉伸，需求变少了，供应也减少了，8块压力有但是没那么多，也被吸收了，小蜡烛，上方没有供应了，</t>
    <phoneticPr fontId="6" type="noConversion"/>
  </si>
  <si>
    <t>列3</t>
    <phoneticPr fontId="6" type="noConversion"/>
  </si>
  <si>
    <t>量价齐升，强势期，突然的放量下跌，警示，供应不足了，也有可能在洗盘，正常要拉到10块，或者准备第二波，因为上方供应多，准备洗一把，观察后续</t>
    <phoneticPr fontId="6" type="noConversion"/>
  </si>
  <si>
    <t>供应被吸收完毕，成交量放大，会不会看到更大的交易量，</t>
    <phoneticPr fontId="6" type="noConversion"/>
  </si>
  <si>
    <t>成交量上走，整数位支撑，舱室一把</t>
    <phoneticPr fontId="6" type="noConversion"/>
  </si>
  <si>
    <t>出现sow然后回调测试，交易量放大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</si>
</sst>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0" fontId="5" fillId="0" borderId="0" xfId="0" applyFont="1" applyAlignment="1">
      <alignment wrapText="1"/>
    </xf>
    <xf numFmtId="178" fontId="5" fillId="3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F201">
  <autoFilter ref="A1:AF201" xr:uid="{00000000-0009-0000-0100-000001000000}"/>
  <tableColumns count="32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L501">
  <autoFilter ref="A1:L501" xr:uid="{00000000-0009-0000-0100-000002000000}"/>
  <tableColumns count="12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00000000-0010-0000-0100-00000A000000}" name="列1"/>
    <tableColumn id="11" xr3:uid="{00000000-0010-0000-0100-00000B000000}" name="列2"/>
    <tableColumn id="12" xr3:uid="{BF145426-7788-4CBE-B507-4A6856889AFC}" name="列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1"/>
  <sheetViews>
    <sheetView tabSelected="1" topLeftCell="A91" zoomScale="115" zoomScaleNormal="115" workbookViewId="0">
      <pane xSplit="2" topLeftCell="C1" activePane="topRight" state="frozen"/>
      <selection pane="topRight" activeCell="P103" sqref="P103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2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spans="1:32" x14ac:dyDescent="0.15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-9.9520986634052511E-2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4.3559956348562801E-2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-4.1200000000000001E-2</v>
      </c>
    </row>
    <row r="3" spans="1:32" x14ac:dyDescent="0.15">
      <c r="A3" s="2">
        <v>2</v>
      </c>
      <c r="B3" s="2" t="s">
        <v>32</v>
      </c>
      <c r="C3" s="5">
        <f>IF(C2="","",C2+SUM(单次交易!Y2:Y201))</f>
        <v>100002.9099872691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3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-9.0250057502155243E-2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4.3559956348562801E-2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-3.1929070868102739E-2</v>
      </c>
    </row>
    <row r="4" spans="1:32" x14ac:dyDescent="0.15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6.5340909090909088E-2</v>
      </c>
      <c r="V4" s="7">
        <f t="shared" si="3"/>
        <v>2.3437500000000003E-2</v>
      </c>
      <c r="W4" s="13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3.3057787159965837E-3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4.3559956348562801E-2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6.1626765350049087E-2</v>
      </c>
    </row>
    <row r="5" spans="1:32" x14ac:dyDescent="0.15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2" t="s">
        <v>36</v>
      </c>
      <c r="T5" s="2"/>
      <c r="U5" s="7">
        <f t="shared" si="2"/>
        <v>0.16369278510473229</v>
      </c>
      <c r="V5" s="7">
        <f t="shared" si="3"/>
        <v>3.0256012412723084E-2</v>
      </c>
      <c r="W5" s="13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-8.6268425124281067E-2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4.3559956348562801E-2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-2.7947438490228561E-2</v>
      </c>
    </row>
    <row r="6" spans="1:32" x14ac:dyDescent="0.15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2" t="s">
        <v>37</v>
      </c>
      <c r="S6" s="2" t="s">
        <v>38</v>
      </c>
      <c r="T6" s="2"/>
      <c r="U6" s="7">
        <f t="shared" si="2"/>
        <v>0.14285714285714285</v>
      </c>
      <c r="V6" s="7">
        <f t="shared" si="3"/>
        <v>5.7142857142857141E-2</v>
      </c>
      <c r="W6" s="13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-8.8054700525467988E-2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4.3559956348562801E-2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-2.9733713891415488E-2</v>
      </c>
    </row>
    <row r="7" spans="1:32" x14ac:dyDescent="0.15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3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-9.7435258494404847E-2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4.3559956348562801E-2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-3.9114271860352351E-2</v>
      </c>
    </row>
    <row r="8" spans="1:32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2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2" ht="27" x14ac:dyDescent="0.15">
      <c r="A10" s="2">
        <v>9</v>
      </c>
      <c r="B10" s="2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2" t="s">
        <v>40</v>
      </c>
      <c r="T10" s="2"/>
      <c r="U10" s="7">
        <f t="shared" si="2"/>
        <v>6.6982809721398875E-2</v>
      </c>
      <c r="V10" s="7">
        <f t="shared" si="3"/>
        <v>2.4896265560166074E-2</v>
      </c>
      <c r="W10" s="13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7.6380443138865911E-2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4.3559956348562801E-2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0.13470142977291841</v>
      </c>
    </row>
    <row r="11" spans="1:32" x14ac:dyDescent="0.15">
      <c r="A11" s="2">
        <v>10</v>
      </c>
      <c r="B11" s="2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3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-8.0023379233892411E-2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4.3559956348562801E-2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-2.1702392599839901E-2</v>
      </c>
    </row>
    <row r="12" spans="1:32" x14ac:dyDescent="0.15">
      <c r="A12" s="2">
        <v>11</v>
      </c>
      <c r="B12" s="2" t="s">
        <v>41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2" t="s">
        <v>42</v>
      </c>
      <c r="S12" s="2" t="s">
        <v>43</v>
      </c>
      <c r="T12" s="2"/>
      <c r="U12" s="7">
        <f t="shared" si="2"/>
        <v>0.15571776155717754</v>
      </c>
      <c r="V12" s="7">
        <f t="shared" si="3"/>
        <v>7.5425790754258024E-2</v>
      </c>
      <c r="W12" s="13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-5.1431471425599243E-2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4.3559956348562801E-2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6.889515208453257E-3</v>
      </c>
    </row>
    <row r="13" spans="1:32" x14ac:dyDescent="0.15">
      <c r="A13" s="2">
        <v>12</v>
      </c>
      <c r="B13" s="2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2" t="s">
        <v>44</v>
      </c>
      <c r="S13" s="2" t="s">
        <v>43</v>
      </c>
      <c r="T13" s="2"/>
      <c r="U13" s="7">
        <f t="shared" si="2"/>
        <v>0.17244701348747582</v>
      </c>
      <c r="V13" s="7">
        <f t="shared" si="3"/>
        <v>8.477842003853571E-2</v>
      </c>
      <c r="W13" s="13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-7.6640892726976356E-2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4.3559956348562801E-2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-1.831990609292386E-2</v>
      </c>
    </row>
    <row r="14" spans="1:32" x14ac:dyDescent="0.15">
      <c r="A14" s="2">
        <v>13</v>
      </c>
      <c r="B14" s="2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2" t="s">
        <v>44</v>
      </c>
      <c r="S14" s="2" t="s">
        <v>45</v>
      </c>
      <c r="T14" s="2"/>
      <c r="U14" s="7">
        <f t="shared" si="2"/>
        <v>0.14394661582459484</v>
      </c>
      <c r="V14" s="7">
        <f t="shared" si="3"/>
        <v>4.671115347950431E-2</v>
      </c>
      <c r="W14" s="13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-4.8755031622657159E-2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4.3559956348562801E-2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9.5659550113953423E-3</v>
      </c>
    </row>
    <row r="15" spans="1:32" x14ac:dyDescent="0.15">
      <c r="A15" s="2">
        <v>14</v>
      </c>
      <c r="B15" s="2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5.3639846743295069E-2</v>
      </c>
      <c r="V15" s="7">
        <f t="shared" si="3"/>
        <v>2.4904214559386954E-2</v>
      </c>
      <c r="W15" s="13">
        <f t="shared" si="4"/>
        <v>2.1538461538461573</v>
      </c>
      <c r="X15" s="5">
        <f t="shared" si="5"/>
        <v>6450</v>
      </c>
      <c r="Y15" s="7">
        <f t="shared" si="6"/>
        <v>8.2375478927203066E-2</v>
      </c>
      <c r="Z15" s="7">
        <f>IF(OR(AE15="",多次统计数据!$B$8=""),"",AE15-多次统计数据!$B$8)</f>
        <v>6.9736490826193889E-3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4.3559956348562801E-2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6.5294635716671892E-2</v>
      </c>
    </row>
    <row r="16" spans="1:32" x14ac:dyDescent="0.15">
      <c r="A16" s="2">
        <v>15</v>
      </c>
      <c r="B16" s="2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0.1134307585247043</v>
      </c>
      <c r="V16" s="7">
        <f t="shared" si="3"/>
        <v>2.5748086290883734E-2</v>
      </c>
      <c r="W16" s="13">
        <f t="shared" si="4"/>
        <v>4.4054054054054168</v>
      </c>
      <c r="X16" s="5">
        <f t="shared" si="5"/>
        <v>-1800</v>
      </c>
      <c r="Y16" s="7">
        <f t="shared" si="6"/>
        <v>-2.5052192066805846E-2</v>
      </c>
      <c r="Z16" s="7">
        <f>IF(OR(AE16="",多次统计数据!$B$8=""),"",AE16-多次统计数据!$B$8)</f>
        <v>-7.542588718806123E-2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4.3559956348562801E-2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-1.7104900554008724E-2</v>
      </c>
    </row>
    <row r="17" spans="1:32" x14ac:dyDescent="0.15">
      <c r="A17" s="2">
        <v>16</v>
      </c>
      <c r="B17" s="2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7.6716016150740279E-2</v>
      </c>
      <c r="V17" s="7">
        <f t="shared" si="3"/>
        <v>5.7873485868102252E-2</v>
      </c>
      <c r="W17" s="13">
        <f t="shared" si="4"/>
        <v>1.3255813953488387</v>
      </c>
      <c r="X17" s="5">
        <f t="shared" si="5"/>
        <v>930</v>
      </c>
      <c r="Y17" s="7">
        <f t="shared" si="6"/>
        <v>2.0861372812920592E-2</v>
      </c>
      <c r="Z17" s="7">
        <f>IF(OR(AE17="",多次统计数据!$B$8=""),"",AE17-多次统计数据!$B$8)</f>
        <v>-4.932965891465927E-2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4.3559956348562801E-2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8.9913277193932311E-3</v>
      </c>
    </row>
    <row r="18" spans="1:32" x14ac:dyDescent="0.15">
      <c r="A18" s="2">
        <v>17</v>
      </c>
      <c r="B18" s="2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8.4430673896204483E-2</v>
      </c>
      <c r="V18" s="7">
        <f t="shared" si="3"/>
        <v>3.1758326878388858E-2</v>
      </c>
      <c r="W18" s="13">
        <f t="shared" si="4"/>
        <v>2.6585365853658525</v>
      </c>
      <c r="X18" s="5">
        <f t="shared" si="5"/>
        <v>8550</v>
      </c>
      <c r="Y18" s="7">
        <f t="shared" si="6"/>
        <v>0.13245546088303642</v>
      </c>
      <c r="Z18" s="7">
        <f>IF(OR(AE18="",多次统计数据!$B$8=""),"",AE18-多次统计数据!$B$8)</f>
        <v>2.3603815021690851E-2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4.3559956348562801E-2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8.1924801655743354E-2</v>
      </c>
    </row>
    <row r="19" spans="1:32" x14ac:dyDescent="0.15">
      <c r="A19" s="2">
        <v>18</v>
      </c>
      <c r="B19" s="2" t="s">
        <v>46</v>
      </c>
      <c r="C19" s="9">
        <v>112913</v>
      </c>
      <c r="D19" s="6">
        <v>0.02</v>
      </c>
      <c r="E19" s="9">
        <v>20.100000000000001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18.899999999999999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0.14427860696517406</v>
      </c>
      <c r="V19" s="7">
        <f t="shared" si="3"/>
        <v>5.472636815920405E-2</v>
      </c>
      <c r="W19" s="13">
        <f t="shared" si="4"/>
        <v>2.6363636363636318</v>
      </c>
      <c r="X19" s="5">
        <f t="shared" si="5"/>
        <v>-2400</v>
      </c>
      <c r="Y19" s="7">
        <f t="shared" si="6"/>
        <v>-5.9701492537313432E-2</v>
      </c>
      <c r="Z19" s="7">
        <f>IF(OR(AE19="",多次统计数据!$B$8=""),"",AE19-多次统计数据!$B$8)</f>
        <v>-7.9576289389271124E-2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4.3559956348562801E-2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-2.1255302755218621E-2</v>
      </c>
    </row>
    <row r="20" spans="1:32" x14ac:dyDescent="0.15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0.12438510189739982</v>
      </c>
      <c r="V20" s="7">
        <f t="shared" si="3"/>
        <v>5.1300070274068896E-2</v>
      </c>
      <c r="W20" s="13">
        <f t="shared" si="4"/>
        <v>2.4246575342465735</v>
      </c>
      <c r="X20" s="5">
        <f t="shared" si="5"/>
        <v>1890</v>
      </c>
      <c r="Y20" s="7">
        <f t="shared" si="6"/>
        <v>4.4272663387210122E-2</v>
      </c>
      <c r="Z20" s="7">
        <f>IF(OR(AE20="",多次统计数据!$B$8=""),"",AE20-多次统计数据!$B$8)</f>
        <v>-4.1218926242967288E-2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4.3559956348562801E-2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1.7102060391085212E-2</v>
      </c>
    </row>
    <row r="21" spans="1:32" x14ac:dyDescent="0.15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0.12219451371571069</v>
      </c>
      <c r="V21" s="7">
        <f t="shared" si="3"/>
        <v>2.7431421446384073E-2</v>
      </c>
      <c r="W21" s="13">
        <f t="shared" si="4"/>
        <v>4.4545454545454479</v>
      </c>
      <c r="X21" s="5">
        <f t="shared" si="5"/>
        <v>20440</v>
      </c>
      <c r="Y21" s="7">
        <f t="shared" si="6"/>
        <v>0.25486284289276806</v>
      </c>
      <c r="Z21" s="7">
        <f>IF(OR(AE21="",多次统计数据!$B$8=""),"",AE21-多次统计数据!$B$8)</f>
        <v>0.12352469364138499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4.3559956348562801E-2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0.18184568027543749</v>
      </c>
    </row>
    <row r="22" spans="1:32" x14ac:dyDescent="0.15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0.14942528735632188</v>
      </c>
      <c r="V22" s="7">
        <f t="shared" si="3"/>
        <v>5.5829228243021327E-2</v>
      </c>
      <c r="W22" s="13">
        <f t="shared" si="4"/>
        <v>2.6764705882352957</v>
      </c>
      <c r="X22" s="5">
        <f t="shared" si="5"/>
        <v>-4275</v>
      </c>
      <c r="Y22" s="7">
        <f t="shared" si="6"/>
        <v>-9.2364532019704432E-2</v>
      </c>
      <c r="Z22" s="7">
        <f>IF(OR(AE22="",多次统计数据!$B$8=""),"",AE22-多次统计数据!$B$8)</f>
        <v>-9.0501831691752188E-2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4.3559956348562801E-2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-3.2180845057699692E-2</v>
      </c>
    </row>
    <row r="23" spans="1:32" x14ac:dyDescent="0.15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0.20967741935483872</v>
      </c>
      <c r="V23" s="7">
        <f t="shared" si="3"/>
        <v>9.2741935483870955E-2</v>
      </c>
      <c r="W23" s="13">
        <f t="shared" si="4"/>
        <v>2.2608695652173916</v>
      </c>
      <c r="X23" s="5">
        <f t="shared" si="5"/>
        <v>-2600</v>
      </c>
      <c r="Y23" s="7">
        <f t="shared" si="6"/>
        <v>-0.10080645161290322</v>
      </c>
      <c r="Z23" s="7">
        <f>IF(OR(AE23="",多次统计数据!$B$8=""),"",AE23-多次统计数据!$B$8)</f>
        <v>-7.8543748129914617E-2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4.3559956348562801E-2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-2.0222761495862111E-2</v>
      </c>
    </row>
    <row r="24" spans="1:32" x14ac:dyDescent="0.15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0.25348189415041789</v>
      </c>
      <c r="V24" s="7">
        <f t="shared" si="3"/>
        <v>3.4354688950789157E-2</v>
      </c>
      <c r="W24" s="13">
        <f t="shared" si="4"/>
        <v>7.3783783783783958</v>
      </c>
      <c r="X24" s="5">
        <f t="shared" si="5"/>
        <v>6460</v>
      </c>
      <c r="Y24" s="7">
        <f t="shared" si="6"/>
        <v>8.8207985143918297E-2</v>
      </c>
      <c r="Z24" s="7">
        <f>IF(OR(AE24="",多次统计数据!$B$8=""),"",AE24-多次统计数据!$B$8)</f>
        <v>-7.0381211444043371E-3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4.3559956348562801E-2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5.1282865489648166E-2</v>
      </c>
    </row>
    <row r="25" spans="1:32" x14ac:dyDescent="0.15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0.11161524500907445</v>
      </c>
      <c r="V25" s="7">
        <f t="shared" si="3"/>
        <v>5.6261343012704107E-2</v>
      </c>
      <c r="W25" s="13">
        <f t="shared" si="4"/>
        <v>1.9838709677419386</v>
      </c>
      <c r="X25" s="5">
        <f t="shared" si="5"/>
        <v>-3213</v>
      </c>
      <c r="Y25" s="7">
        <f t="shared" si="6"/>
        <v>-6.9419237749546281E-2</v>
      </c>
      <c r="Z25" s="7">
        <f>IF(OR(AE25="",多次统计数据!$B$8=""),"",AE25-多次统计数据!$B$8)</f>
        <v>-8.2583227247819982E-2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4.3559956348562801E-2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-2.4262240613767482E-2</v>
      </c>
    </row>
    <row r="26" spans="1:32" x14ac:dyDescent="0.15">
      <c r="A26" s="2">
        <v>25</v>
      </c>
      <c r="B26" s="2" t="s">
        <v>46</v>
      </c>
      <c r="C26" s="9">
        <v>129215</v>
      </c>
      <c r="D26" s="6">
        <v>0.02</v>
      </c>
      <c r="E26" s="9">
        <v>18.920000000000002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0.10993657505285402</v>
      </c>
      <c r="V26" s="7">
        <f t="shared" si="3"/>
        <v>4.8625792811839409E-2</v>
      </c>
      <c r="W26" s="13">
        <f t="shared" si="4"/>
        <v>2.2608695652173854</v>
      </c>
      <c r="X26" s="5">
        <f t="shared" si="5"/>
        <v>16379.999999999993</v>
      </c>
      <c r="Y26" s="7">
        <f t="shared" si="6"/>
        <v>0.30919661733615206</v>
      </c>
      <c r="Z26" s="7">
        <f>IF(OR(AE26="",多次统计数据!$B$8=""),"",AE26-多次统计数据!$B$8)</f>
        <v>6.8444481771318344E-2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4.3559956348562801E-2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0.12676546840537084</v>
      </c>
    </row>
    <row r="27" spans="1:32" x14ac:dyDescent="0.15">
      <c r="A27" s="2">
        <v>26</v>
      </c>
      <c r="B27" s="2" t="s">
        <v>47</v>
      </c>
      <c r="C27" s="9">
        <v>145595</v>
      </c>
      <c r="D27" s="6">
        <v>0.02</v>
      </c>
      <c r="E27" s="9">
        <v>73.349999999999994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0.15882753919563744</v>
      </c>
      <c r="V27" s="7">
        <f t="shared" si="3"/>
        <v>7.2937968643490045E-2</v>
      </c>
      <c r="W27" s="13">
        <f t="shared" si="4"/>
        <v>2.1775700934579474</v>
      </c>
      <c r="X27" s="5">
        <f t="shared" si="5"/>
        <v>9775</v>
      </c>
      <c r="Y27" s="7">
        <f t="shared" si="6"/>
        <v>0.26653033401499659</v>
      </c>
      <c r="Z27" s="7">
        <f>IF(OR(AE27="",多次统计数据!$B$8=""),"",AE27-多次统计数据!$B$8)</f>
        <v>8.8173079502395432E-3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4.3559956348562801E-2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6.7138294584292046E-2</v>
      </c>
    </row>
    <row r="28" spans="1:32" x14ac:dyDescent="0.15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7.9007313271790003E-2</v>
      </c>
      <c r="V28" s="7">
        <f t="shared" si="3"/>
        <v>4.0882388202853337E-2</v>
      </c>
      <c r="W28" s="13">
        <f t="shared" si="4"/>
        <v>1.9325513196480968</v>
      </c>
      <c r="X28" s="5">
        <f t="shared" si="5"/>
        <v>1341</v>
      </c>
      <c r="Y28" s="7">
        <f t="shared" si="6"/>
        <v>1.7863565519721857E-2</v>
      </c>
      <c r="Z28" s="7">
        <f>IF(OR(AE28="",多次统计数据!$B$8=""),"",AE28-多次统计数据!$B$8)</f>
        <v>-4.9689976786591601E-2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4.3559956348562801E-2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8.6310098474609003E-3</v>
      </c>
    </row>
    <row r="29" spans="1:32" x14ac:dyDescent="0.15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78.040000000000006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8.9060987415295251E-2</v>
      </c>
      <c r="V29" s="7">
        <f t="shared" si="3"/>
        <v>3.1945788964182001E-2</v>
      </c>
      <c r="W29" s="13">
        <f t="shared" si="4"/>
        <v>2.7878787878787872</v>
      </c>
      <c r="X29" s="5">
        <f t="shared" si="5"/>
        <v>-5060</v>
      </c>
      <c r="Y29" s="7">
        <f t="shared" si="6"/>
        <v>-5.5663117134559535E-2</v>
      </c>
      <c r="Z29" s="7">
        <f>IF(OR(AE29="",多次统计数据!$B$8=""),"",AE29-多次统计数据!$B$8)</f>
        <v>-9.0609721949378164E-2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4.3559956348562801E-2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-3.228873531532566E-2</v>
      </c>
    </row>
    <row r="30" spans="1:32" x14ac:dyDescent="0.15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7.7844311377245512E-2</v>
      </c>
      <c r="V30" s="7">
        <f t="shared" si="3"/>
        <v>4.1916167664670656E-2</v>
      </c>
      <c r="W30" s="13">
        <f t="shared" si="4"/>
        <v>1.8571428571428574</v>
      </c>
      <c r="X30" s="5">
        <f t="shared" si="5"/>
        <v>-3416</v>
      </c>
      <c r="Y30" s="7">
        <f t="shared" si="6"/>
        <v>-5.1137724550898205E-2</v>
      </c>
      <c r="Z30" s="7">
        <f>IF(OR(AE30="",多次统计数据!$B$8=""),"",AE30-多次统计数据!$B$8)</f>
        <v>-8.0846390357074444E-2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4.3559956348562801E-2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-2.2525403723021937E-2</v>
      </c>
    </row>
    <row r="31" spans="1:32" x14ac:dyDescent="0.15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0.10106629578117755</v>
      </c>
      <c r="V31" s="7">
        <f t="shared" si="3"/>
        <v>2.6425591098748275E-2</v>
      </c>
      <c r="W31" s="13">
        <f t="shared" si="4"/>
        <v>3.8245614035087696</v>
      </c>
      <c r="X31" s="5">
        <f t="shared" si="5"/>
        <v>-9178</v>
      </c>
      <c r="Y31" s="7">
        <f t="shared" si="6"/>
        <v>-8.1826611033843297E-2</v>
      </c>
      <c r="Z31" s="7">
        <f>IF(OR(AE31="",多次统计数据!$B$8=""),"",AE31-多次统计数据!$B$8)</f>
        <v>-0.1202361888467553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4.3559956348562801E-2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-6.1915202212702802E-2</v>
      </c>
      <c r="AF31" t="s">
        <v>48</v>
      </c>
    </row>
    <row r="32" spans="1:32" x14ac:dyDescent="0.15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1.4747666080368062E-2</v>
      </c>
      <c r="V32" s="7">
        <f t="shared" si="3"/>
        <v>5.2902178324989807E-2</v>
      </c>
      <c r="W32" s="13">
        <f t="shared" si="4"/>
        <v>0.27877237851662517</v>
      </c>
      <c r="X32" s="5">
        <f t="shared" si="5"/>
        <v>-3024</v>
      </c>
      <c r="Y32" s="7">
        <f t="shared" si="6"/>
        <v>-5.8449465566229195E-2</v>
      </c>
      <c r="Z32" s="7">
        <f>IF(OR(AE32="",多次统计数据!$B$8=""),"",AE32-多次统计数据!$B$8)</f>
        <v>-8.0067464697005097E-2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4.3559956348562801E-2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-2.1746478062952601E-2</v>
      </c>
    </row>
    <row r="33" spans="1:32" x14ac:dyDescent="0.15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6.9630872483221487E-2</v>
      </c>
      <c r="V33" s="7">
        <f t="shared" si="3"/>
        <v>3.5234899328859051E-2</v>
      </c>
      <c r="W33" s="13">
        <f t="shared" si="4"/>
        <v>1.9761904761904769</v>
      </c>
      <c r="X33" s="5">
        <f t="shared" si="5"/>
        <v>-4352</v>
      </c>
      <c r="Y33" s="7">
        <f t="shared" si="6"/>
        <v>-5.7046979865771813E-2</v>
      </c>
      <c r="Z33" s="7">
        <f>IF(OR(AE33="",多次统计数据!$B$8=""),"",AE33-多次统计数据!$B$8)</f>
        <v>-9.0313223811796142E-2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4.3559956348562801E-2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-3.1992237177743639E-2</v>
      </c>
    </row>
    <row r="34" spans="1:32" x14ac:dyDescent="0.15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7.1723000824402236E-2</v>
      </c>
      <c r="V34" s="7">
        <f t="shared" si="3"/>
        <v>7.6669414674361211E-2</v>
      </c>
      <c r="W34" s="13">
        <f t="shared" si="4"/>
        <v>0.93548387096773955</v>
      </c>
      <c r="X34" s="5">
        <f t="shared" si="5"/>
        <v>-2912</v>
      </c>
      <c r="Y34" s="7">
        <f t="shared" si="6"/>
        <v>-8.5737840065952184E-2</v>
      </c>
      <c r="Z34" s="7">
        <f>IF(OR(AE34="",多次统计数据!$B$8=""),"",AE34-多次统计数据!$B$8)</f>
        <v>-8.0435034978156822E-2</v>
      </c>
      <c r="AA34" s="14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4.3559956348562801E-2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-2.2114048344104312E-2</v>
      </c>
    </row>
    <row r="35" spans="1:32" x14ac:dyDescent="0.15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0.11552346570397105</v>
      </c>
      <c r="V35" s="7">
        <f t="shared" si="3"/>
        <v>5.2346570397111922E-2</v>
      </c>
      <c r="W35" s="13">
        <f t="shared" si="4"/>
        <v>2.2068965517241361</v>
      </c>
      <c r="X35" s="5">
        <f t="shared" si="5"/>
        <v>1232</v>
      </c>
      <c r="Y35" s="7">
        <f t="shared" si="6"/>
        <v>2.5270758122743681E-2</v>
      </c>
      <c r="Z35" s="7">
        <f>IF(OR(AE35="",多次统计数据!$B$8=""),"",AE35-多次统计数据!$B$8)</f>
        <v>-4.8753466501101253E-2</v>
      </c>
      <c r="AA35" s="14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4.3559956348562801E-2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9.5675201329512537E-3</v>
      </c>
    </row>
    <row r="36" spans="1:32" x14ac:dyDescent="0.15">
      <c r="A36" s="2">
        <v>35</v>
      </c>
      <c r="B36" s="2" t="s">
        <v>49</v>
      </c>
      <c r="C36" s="9">
        <v>130001</v>
      </c>
      <c r="D36" s="6">
        <v>0.02</v>
      </c>
      <c r="E36" s="9">
        <v>8.3800000000000008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9.4499999999999993</v>
      </c>
      <c r="K36" s="9">
        <v>9.8000000000000007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0.12768496420047715</v>
      </c>
      <c r="V36" s="7">
        <f t="shared" si="3"/>
        <v>4.5346062052506055E-2</v>
      </c>
      <c r="W36" s="13">
        <f t="shared" si="4"/>
        <v>2.8157894736842013</v>
      </c>
      <c r="X36" s="5">
        <f t="shared" si="5"/>
        <v>9655.9999999999927</v>
      </c>
      <c r="Y36" s="7">
        <f t="shared" si="6"/>
        <v>0.16945107398568005</v>
      </c>
      <c r="Z36" s="7">
        <f>IF(OR(AE36="",多次统计数据!$B$8=""),"",AE36-多次统计数据!$B$8)</f>
        <v>1.5955365086318819E-2</v>
      </c>
      <c r="AA36" s="14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4.3559956348562801E-2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7.4276351720371322E-2</v>
      </c>
    </row>
    <row r="37" spans="1:32" x14ac:dyDescent="0.15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0.18733509234828494</v>
      </c>
      <c r="V37" s="7">
        <f t="shared" si="3"/>
        <v>7.6517150395778374E-2</v>
      </c>
      <c r="W37" s="13">
        <f t="shared" si="4"/>
        <v>2.4482758620689649</v>
      </c>
      <c r="X37" s="5">
        <f t="shared" si="5"/>
        <v>-4224</v>
      </c>
      <c r="Y37" s="7">
        <f t="shared" si="6"/>
        <v>-0.11609498680738786</v>
      </c>
      <c r="Z37" s="7">
        <f>IF(OR(AE37="",多次统计数据!$B$8=""),"",AE37-多次统计数据!$B$8)</f>
        <v>-8.8566516754275626E-2</v>
      </c>
      <c r="AA37" s="14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4.3559956348562801E-2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-3.0245530120223119E-2</v>
      </c>
    </row>
    <row r="38" spans="1:32" x14ac:dyDescent="0.15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0.15036976170912081</v>
      </c>
      <c r="V38" s="7">
        <f t="shared" si="3"/>
        <v>7.9704190632703426E-2</v>
      </c>
      <c r="W38" s="13">
        <f t="shared" si="4"/>
        <v>1.8865979381443287</v>
      </c>
      <c r="X38" s="5">
        <f t="shared" si="5"/>
        <v>-7236</v>
      </c>
      <c r="Y38" s="7">
        <f t="shared" si="6"/>
        <v>-0.22021364009860311</v>
      </c>
      <c r="Z38" s="7">
        <f>IF(OR(AE38="",多次统计数据!$B$8=""),"",AE38-多次统计数据!$B$8)</f>
        <v>-0.11174961924205794</v>
      </c>
      <c r="AA38" s="14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4.3559956348562801E-2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-5.3428632608005434E-2</v>
      </c>
      <c r="AF38" t="s">
        <v>50</v>
      </c>
    </row>
    <row r="39" spans="1:32" x14ac:dyDescent="0.15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9.2799999999999994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0.14832535885167472</v>
      </c>
      <c r="V39" s="7">
        <f t="shared" si="3"/>
        <v>4.3062200956937732E-2</v>
      </c>
      <c r="W39" s="13">
        <f t="shared" si="4"/>
        <v>3.4444444444444517</v>
      </c>
      <c r="X39" s="5">
        <f t="shared" si="5"/>
        <v>-6551.9999999999927</v>
      </c>
      <c r="Y39" s="7">
        <f t="shared" si="6"/>
        <v>-0.11196172248803817</v>
      </c>
      <c r="Z39" s="7">
        <f>IF(OR(AE39="",多次统计数据!$B$8=""),"",AE39-多次统计数据!$B$8)</f>
        <v>-0.10942982693452749</v>
      </c>
      <c r="AA39" s="14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4.3559956348562801E-2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-5.1108840300474995E-2</v>
      </c>
    </row>
    <row r="40" spans="1:32" x14ac:dyDescent="0.15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0.10782865583456433</v>
      </c>
      <c r="V40" s="7">
        <f t="shared" si="3"/>
        <v>3.9881831610044251E-2</v>
      </c>
      <c r="W40" s="13">
        <f t="shared" si="4"/>
        <v>2.7037037037037099</v>
      </c>
      <c r="X40" s="5">
        <f t="shared" si="5"/>
        <v>-3959.9999999999927</v>
      </c>
      <c r="Y40" s="7">
        <f t="shared" si="6"/>
        <v>-6.4992614475627652E-2</v>
      </c>
      <c r="Z40" s="7">
        <f>IF(OR(AE40="",多次统计数据!$B$8=""),"",AE40-多次统计数据!$B$8)</f>
        <v>-9.0874729081337577E-2</v>
      </c>
      <c r="AA40" s="14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4.3559956348562801E-2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-3.2553742447285074E-2</v>
      </c>
    </row>
    <row r="41" spans="1:32" x14ac:dyDescent="0.15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0.28534704370179947</v>
      </c>
      <c r="V41" s="7">
        <f t="shared" si="3"/>
        <v>9.8543273350471319E-2</v>
      </c>
      <c r="W41" s="13">
        <f t="shared" si="4"/>
        <v>2.8956521739130427</v>
      </c>
      <c r="X41" s="5">
        <f t="shared" si="5"/>
        <v>-2880</v>
      </c>
      <c r="Y41" s="7">
        <f t="shared" si="6"/>
        <v>-0.12339331619537275</v>
      </c>
      <c r="Z41" s="7">
        <f>IF(OR(AE41="",多次统计数据!$B$8=""),"",AE41-多次统计数据!$B$8)</f>
        <v>-8.2793094379304655E-2</v>
      </c>
      <c r="AA41" s="14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4.3559956348562801E-2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-2.4472107745252155E-2</v>
      </c>
    </row>
    <row r="42" spans="1:32" x14ac:dyDescent="0.15">
      <c r="A42" s="2">
        <v>41</v>
      </c>
      <c r="B42" s="2" t="s">
        <v>49</v>
      </c>
      <c r="C42" s="9">
        <v>114805</v>
      </c>
      <c r="D42" s="6">
        <v>0.02</v>
      </c>
      <c r="E42" s="9">
        <v>18.239999999999998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16.440000000000001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9.649122807017553E-2</v>
      </c>
      <c r="V42" s="7">
        <f t="shared" si="3"/>
        <v>6.7982456140350797E-2</v>
      </c>
      <c r="W42" s="13">
        <f t="shared" si="4"/>
        <v>1.4193548387096804</v>
      </c>
      <c r="X42" s="5">
        <f t="shared" si="5"/>
        <v>-3239.9999999999964</v>
      </c>
      <c r="Y42" s="7">
        <f t="shared" si="6"/>
        <v>-9.868421052631568E-2</v>
      </c>
      <c r="Z42" s="7">
        <f>IF(OR(AE42="",多次统计数据!$B$8=""),"",AE42-多次统计数据!$B$8)</f>
        <v>-8.6542753978680317E-2</v>
      </c>
      <c r="AA42" s="14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4.3559956348562801E-2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-2.8221767344627814E-2</v>
      </c>
    </row>
    <row r="43" spans="1:32" x14ac:dyDescent="0.15">
      <c r="A43" s="2">
        <v>42</v>
      </c>
      <c r="B43" s="2" t="s">
        <v>49</v>
      </c>
      <c r="C43" s="9">
        <v>111565</v>
      </c>
      <c r="D43" s="6">
        <v>0.02</v>
      </c>
      <c r="E43" s="9">
        <v>20.309999999999999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0.18168389955686862</v>
      </c>
      <c r="V43" s="7">
        <f t="shared" si="3"/>
        <v>6.4500246184145682E-2</v>
      </c>
      <c r="W43" s="13">
        <f t="shared" si="4"/>
        <v>2.8167938931297747</v>
      </c>
      <c r="X43" s="5">
        <f t="shared" si="5"/>
        <v>-3927</v>
      </c>
      <c r="Y43" s="7">
        <f t="shared" si="6"/>
        <v>-0.1137370753323486</v>
      </c>
      <c r="Z43" s="7">
        <f>IF(OR(AE43="",多次统计数据!$B$8=""),"",AE43-多次统计数据!$B$8)</f>
        <v>-9.3520197856209991E-2</v>
      </c>
      <c r="AA43" s="14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4.3559956348562801E-2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-3.5199211222157488E-2</v>
      </c>
    </row>
    <row r="44" spans="1:32" x14ac:dyDescent="0.15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0.17474302496328931</v>
      </c>
      <c r="V44" s="7">
        <f t="shared" si="3"/>
        <v>0.16789035731767007</v>
      </c>
      <c r="W44" s="13">
        <f t="shared" si="4"/>
        <v>1.0408163265306125</v>
      </c>
      <c r="X44" s="5">
        <f t="shared" si="5"/>
        <v>5946</v>
      </c>
      <c r="Y44" s="7">
        <f t="shared" si="6"/>
        <v>0.48507097405775818</v>
      </c>
      <c r="Z44" s="7">
        <f>IF(OR(AE44="",多次统计数据!$B$8=""),"",AE44-多次统计数据!$B$8)</f>
        <v>-3.0802723881542121E-3</v>
      </c>
      <c r="AA44" s="14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4.3559956348562801E-2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5.5240714245898291E-2</v>
      </c>
    </row>
    <row r="45" spans="1:32" x14ac:dyDescent="0.15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6.186518928901194E-2</v>
      </c>
      <c r="V45" s="7">
        <f t="shared" si="3"/>
        <v>3.0470914127423882E-2</v>
      </c>
      <c r="W45" s="13">
        <f t="shared" si="4"/>
        <v>2.0303030303030241</v>
      </c>
      <c r="X45" s="5">
        <f t="shared" si="5"/>
        <v>4631</v>
      </c>
      <c r="Y45" s="7">
        <f t="shared" si="6"/>
        <v>6.4789165897199144E-2</v>
      </c>
      <c r="Z45" s="7">
        <f>IF(OR(AE45="",多次统计数据!$B$8=""),"",AE45-多次统计数据!$B$8)</f>
        <v>-1.7549399086510598E-2</v>
      </c>
      <c r="AA45" s="14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4.3559956348562801E-2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4.0771587547541906E-2</v>
      </c>
    </row>
    <row r="46" spans="1:32" x14ac:dyDescent="0.15">
      <c r="A46" s="2">
        <v>45</v>
      </c>
      <c r="B46" s="2" t="s">
        <v>51</v>
      </c>
      <c r="C46" s="9">
        <v>118215</v>
      </c>
      <c r="D46" s="6">
        <v>0.02</v>
      </c>
      <c r="E46" s="9">
        <v>66.849999999999994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66.069999999999993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3.2161555721765232E-2</v>
      </c>
      <c r="V46" s="7">
        <f t="shared" si="3"/>
        <v>5.235602094240753E-3</v>
      </c>
      <c r="W46" s="13">
        <f t="shared" si="4"/>
        <v>6.1428571428572587</v>
      </c>
      <c r="X46" s="5">
        <f t="shared" si="5"/>
        <v>-5226</v>
      </c>
      <c r="Y46" s="7">
        <f t="shared" si="6"/>
        <v>-1.1667913238593869E-2</v>
      </c>
      <c r="Z46" s="7">
        <f>IF(OR(AE46="",多次统计数据!$B$8=""),"",AE46-多次统计数据!$B$8)</f>
        <v>-0.1025285745036122</v>
      </c>
      <c r="AA46" s="14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4.3559956348562801E-2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-4.4207587869559702E-2</v>
      </c>
    </row>
    <row r="47" spans="1:32" x14ac:dyDescent="0.15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3.8374717832957067E-2</v>
      </c>
      <c r="V47" s="7">
        <f t="shared" si="3"/>
        <v>2.1820917983446243E-2</v>
      </c>
      <c r="W47" s="13">
        <f t="shared" si="4"/>
        <v>1.758620689655167</v>
      </c>
      <c r="X47" s="5">
        <f t="shared" si="5"/>
        <v>-4860</v>
      </c>
      <c r="Y47" s="7">
        <f t="shared" si="6"/>
        <v>-4.8758465011286681E-2</v>
      </c>
      <c r="Z47" s="7">
        <f>IF(OR(AE47="",多次统计数据!$B$8=""),"",AE47-多次统计数据!$B$8)</f>
        <v>-0.1013340233013387</v>
      </c>
      <c r="AA47" s="14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4.3559956348562801E-2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-4.3013036667286196E-2</v>
      </c>
      <c r="AF47" t="s">
        <v>52</v>
      </c>
    </row>
    <row r="48" spans="1:32" x14ac:dyDescent="0.15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6.8168576422606292E-2</v>
      </c>
      <c r="V48" s="7">
        <f t="shared" si="3"/>
        <v>2.8937657797630644E-2</v>
      </c>
      <c r="W48" s="13">
        <f t="shared" si="4"/>
        <v>2.3557046979865728</v>
      </c>
      <c r="X48" s="5">
        <f t="shared" si="5"/>
        <v>6314</v>
      </c>
      <c r="Y48" s="7">
        <f t="shared" si="6"/>
        <v>8.7589823266653724E-2</v>
      </c>
      <c r="Z48" s="7">
        <f>IF(OR(AE48="",多次统计数据!$B$8=""),"",AE48-多次统计数据!$B$8)</f>
        <v>7.2228877049974882E-5</v>
      </c>
      <c r="AA48" s="14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4.3559956348562801E-2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5.8393215511102478E-2</v>
      </c>
    </row>
    <row r="49" spans="1:32" x14ac:dyDescent="0.15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5.3841732132592496E-2</v>
      </c>
      <c r="V49" s="7">
        <f t="shared" si="3"/>
        <v>4.1962061697643188E-2</v>
      </c>
      <c r="W49" s="13">
        <f t="shared" si="4"/>
        <v>1.2831050228310525</v>
      </c>
      <c r="X49" s="5">
        <f t="shared" si="5"/>
        <v>-5740</v>
      </c>
      <c r="Y49" s="7">
        <f t="shared" si="6"/>
        <v>-0.10998275531711056</v>
      </c>
      <c r="Z49" s="7">
        <f>IF(OR(AE49="",多次统计数据!$B$8=""),"",AE49-多次统计数据!$B$8)</f>
        <v>-0.10982713776063739</v>
      </c>
      <c r="AA49" s="14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4.3559956348562801E-2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-5.1506151126584888E-2</v>
      </c>
      <c r="AF49" t="s">
        <v>53</v>
      </c>
    </row>
    <row r="50" spans="1:32" x14ac:dyDescent="0.15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8.6437440305635077E-2</v>
      </c>
      <c r="V50" s="7">
        <f t="shared" si="3"/>
        <v>4.4890162368672458E-2</v>
      </c>
      <c r="W50" s="13">
        <f t="shared" si="4"/>
        <v>1.9255319148936128</v>
      </c>
      <c r="X50" s="5">
        <f t="shared" si="5"/>
        <v>-3355</v>
      </c>
      <c r="Y50" s="7">
        <f t="shared" si="6"/>
        <v>-7.2827125119388728E-2</v>
      </c>
      <c r="Z50" s="7">
        <f>IF(OR(AE50="",多次统计数据!$B$8=""),"",AE50-多次统计数据!$B$8)</f>
        <v>-8.9159367779898288E-2</v>
      </c>
      <c r="AA50" s="14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4.3559956348562801E-2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-3.0838381145845781E-2</v>
      </c>
      <c r="AF50" t="s">
        <v>54</v>
      </c>
    </row>
    <row r="51" spans="1:32" x14ac:dyDescent="0.15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129.80000000000001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2.564102564102564E-2</v>
      </c>
      <c r="V51" s="7">
        <f t="shared" si="3"/>
        <v>2.564102564102564E-2</v>
      </c>
      <c r="W51" s="13">
        <f t="shared" si="4"/>
        <v>1</v>
      </c>
      <c r="X51" s="5">
        <f t="shared" si="5"/>
        <v>25840.000000000015</v>
      </c>
      <c r="Y51" s="7">
        <f t="shared" si="6"/>
        <v>0.33128205128205146</v>
      </c>
      <c r="Z51" s="7">
        <f>IF(OR(AE51="",多次统计数据!$B$8=""),"",AE51-多次统计数据!$B$8)</f>
        <v>0.18696131583016148</v>
      </c>
      <c r="AA51" s="14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4.3559956348562801E-2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0.24528230246421398</v>
      </c>
    </row>
    <row r="52" spans="1:32" x14ac:dyDescent="0.15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7.7741054749245531E-2</v>
      </c>
      <c r="V52" s="7">
        <f t="shared" si="3"/>
        <v>3.0033050725679026E-2</v>
      </c>
      <c r="W52" s="13">
        <f t="shared" si="4"/>
        <v>2.5885167464114773</v>
      </c>
      <c r="X52" s="5">
        <f t="shared" si="5"/>
        <v>22925.999999999985</v>
      </c>
      <c r="Y52" s="7">
        <f t="shared" si="6"/>
        <v>0.27453657134645765</v>
      </c>
      <c r="Z52" s="7">
        <f>IF(OR(AE52="",多次统计数据!$B$8=""),"",AE52-多次统计数据!$B$8)</f>
        <v>0.11643585088157382</v>
      </c>
      <c r="AA52" s="14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4.3559956348562801E-2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0.17475683751562632</v>
      </c>
    </row>
    <row r="53" spans="1:32" x14ac:dyDescent="0.15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8.5383502170766984E-2</v>
      </c>
      <c r="V53" s="7">
        <f t="shared" si="3"/>
        <v>5.9334298118668617E-2</v>
      </c>
      <c r="W53" s="13">
        <f t="shared" si="4"/>
        <v>1.4390243902439015</v>
      </c>
      <c r="X53" s="5">
        <f t="shared" si="5"/>
        <v>-3240</v>
      </c>
      <c r="Y53" s="7">
        <f t="shared" si="6"/>
        <v>-6.5123010130246017E-2</v>
      </c>
      <c r="Z53" s="7">
        <f>IF(OR(AE53="",多次统计数据!$B$8=""),"",AE53-多次统计数据!$B$8)</f>
        <v>-7.9344384897675535E-2</v>
      </c>
      <c r="AA53" s="14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4.3559956348562801E-2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-2.1023398263623032E-2</v>
      </c>
    </row>
    <row r="54" spans="1:32" x14ac:dyDescent="0.15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0.16279069767441856</v>
      </c>
      <c r="V54" s="7">
        <f t="shared" si="3"/>
        <v>8.9147286821705418E-2</v>
      </c>
      <c r="W54" s="13">
        <f t="shared" si="4"/>
        <v>1.8260869565217388</v>
      </c>
      <c r="X54" s="5">
        <f t="shared" si="5"/>
        <v>3408</v>
      </c>
      <c r="Y54" s="7">
        <f t="shared" si="6"/>
        <v>0.10319767441860465</v>
      </c>
      <c r="Z54" s="7">
        <f>IF(OR(AE54="",多次统计数据!$B$8=""),"",AE54-多次统计数据!$B$8)</f>
        <v>-3.5732601624044152E-2</v>
      </c>
      <c r="AA54" s="14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4.3559956348562801E-2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2.2588385010008351E-2</v>
      </c>
    </row>
    <row r="55" spans="1:32" x14ac:dyDescent="0.15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0.11265646731571625</v>
      </c>
      <c r="V55" s="7">
        <f t="shared" si="3"/>
        <v>7.2786277236903119E-2</v>
      </c>
      <c r="W55" s="13">
        <f t="shared" si="4"/>
        <v>1.5477707006369421</v>
      </c>
      <c r="X55" s="5">
        <f t="shared" si="5"/>
        <v>4693</v>
      </c>
      <c r="Y55" s="7">
        <f t="shared" si="6"/>
        <v>0.11451089476124246</v>
      </c>
      <c r="Z55" s="7">
        <f>IF(OR(AE55="",多次统计数据!$B$8=""),"",AE55-多次统计数据!$B$8)</f>
        <v>-2.7902661748453406E-2</v>
      </c>
      <c r="AA55" s="14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4.3559956348562801E-2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3.0418324885599098E-2</v>
      </c>
    </row>
    <row r="56" spans="1:32" x14ac:dyDescent="0.15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0.12676056338028166</v>
      </c>
      <c r="V56" s="7">
        <f t="shared" si="3"/>
        <v>6.1032863849765293E-2</v>
      </c>
      <c r="W56" s="13">
        <f t="shared" si="4"/>
        <v>2.0769230769230753</v>
      </c>
      <c r="X56" s="5">
        <f t="shared" si="5"/>
        <v>-1780</v>
      </c>
      <c r="Y56" s="7">
        <f t="shared" si="6"/>
        <v>-4.1784037558685448E-2</v>
      </c>
      <c r="Z56" s="7">
        <f>IF(OR(AE56="",多次统计数据!$B$8=""),"",AE56-多次统计数据!$B$8)</f>
        <v>-6.9517715679499895E-2</v>
      </c>
      <c r="AA56" s="14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4.3559956348562801E-2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-1.1196729045447397E-2</v>
      </c>
    </row>
    <row r="57" spans="1:32" x14ac:dyDescent="0.15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0.19071244294502876</v>
      </c>
      <c r="V57" s="7">
        <f t="shared" si="3"/>
        <v>5.7352649335185565E-2</v>
      </c>
      <c r="W57" s="13">
        <f t="shared" si="4"/>
        <v>3.325259515570933</v>
      </c>
      <c r="X57" s="5">
        <f t="shared" si="5"/>
        <v>4610</v>
      </c>
      <c r="Y57" s="7">
        <f t="shared" si="6"/>
        <v>9.1486406032943043E-2</v>
      </c>
      <c r="Z57" s="7">
        <f>IF(OR(AE57="",多次统计数据!$B$8=""),"",AE57-多次统计数据!$B$8)</f>
        <v>-2.8994354107572652E-2</v>
      </c>
      <c r="AA57" s="14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4.3559956348562801E-2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2.9326632526479851E-2</v>
      </c>
    </row>
    <row r="58" spans="1:32" x14ac:dyDescent="0.15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0.11012433392539966</v>
      </c>
      <c r="V58" s="7">
        <f t="shared" si="3"/>
        <v>5.6394316163410285E-2</v>
      </c>
      <c r="W58" s="13">
        <f t="shared" si="4"/>
        <v>1.952755905511812</v>
      </c>
      <c r="X58" s="5">
        <f t="shared" si="5"/>
        <v>5520</v>
      </c>
      <c r="Y58" s="7">
        <f t="shared" si="6"/>
        <v>0.10213143872113677</v>
      </c>
      <c r="Z58" s="7">
        <f>IF(OR(AE58="",多次统计数据!$B$8=""),"",AE58-多次统计数据!$B$8)</f>
        <v>-2.4205848041301971E-2</v>
      </c>
      <c r="AA58" s="14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4.3559956348562801E-2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3.4115138592750532E-2</v>
      </c>
    </row>
    <row r="59" spans="1:32" x14ac:dyDescent="0.15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8.1623550401427214E-2</v>
      </c>
      <c r="V59" s="7">
        <f t="shared" si="3"/>
        <v>2.9884032114183837E-2</v>
      </c>
      <c r="W59" s="13">
        <f t="shared" si="4"/>
        <v>2.7313432835820799</v>
      </c>
      <c r="X59" s="5">
        <f t="shared" si="5"/>
        <v>600</v>
      </c>
      <c r="Y59" s="7">
        <f t="shared" si="6"/>
        <v>5.5753791257805527E-3</v>
      </c>
      <c r="Z59" s="7">
        <f>IF(OR(AE59="",多次统计数据!$B$8=""),"",AE59-多次统计数据!$B$8)</f>
        <v>-5.4735150686047125E-2</v>
      </c>
      <c r="AA59" s="14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4.3559956348562801E-2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3.5858359480053789E-3</v>
      </c>
    </row>
    <row r="60" spans="1:32" x14ac:dyDescent="0.15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4.9382716049382713E-2</v>
      </c>
      <c r="V60" s="7">
        <f t="shared" si="3"/>
        <v>4.9382716049382713E-2</v>
      </c>
      <c r="W60" s="13">
        <f t="shared" si="4"/>
        <v>1</v>
      </c>
      <c r="X60" s="5">
        <f t="shared" si="5"/>
        <v>2768</v>
      </c>
      <c r="Y60" s="7">
        <f t="shared" si="6"/>
        <v>4.2716049382716052E-2</v>
      </c>
      <c r="Z60" s="7">
        <f>IF(OR(AE60="",多次统计数据!$B$8=""),"",AE60-多次统计数据!$B$8)</f>
        <v>-4.1837437430539026E-2</v>
      </c>
      <c r="AA60" s="14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4.3559956348562801E-2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1.6483549203513474E-2</v>
      </c>
    </row>
    <row r="61" spans="1:32" x14ac:dyDescent="0.15">
      <c r="A61" s="2">
        <v>60</v>
      </c>
      <c r="B61" s="2" t="s">
        <v>56</v>
      </c>
      <c r="C61" s="9">
        <v>170693</v>
      </c>
      <c r="D61" s="6">
        <v>0.02</v>
      </c>
      <c r="E61" s="9">
        <v>38.090000000000003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5.0144394854292368E-2</v>
      </c>
      <c r="V61" s="7">
        <f t="shared" si="3"/>
        <v>2.8616434759779558E-2</v>
      </c>
      <c r="W61" s="13">
        <f t="shared" si="4"/>
        <v>1.7522935779816426</v>
      </c>
      <c r="X61" s="5">
        <f t="shared" si="5"/>
        <v>-930.00000000000728</v>
      </c>
      <c r="Y61" s="7">
        <f t="shared" si="6"/>
        <v>-1.627723812024166E-2</v>
      </c>
      <c r="Z61" s="7">
        <f>IF(OR(AE61="",多次统计数据!$B$8=""),"",AE61-多次统计数据!$B$8)</f>
        <v>-6.3769364716340635E-2</v>
      </c>
      <c r="AA61" s="14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4.3559956348562801E-2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-5.4483780822881271E-3</v>
      </c>
    </row>
    <row r="62" spans="1:32" x14ac:dyDescent="0.15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0.10305704380712258</v>
      </c>
      <c r="V62" s="7">
        <f t="shared" si="3"/>
        <v>5.4522533879609217E-2</v>
      </c>
      <c r="W62" s="13">
        <f t="shared" si="4"/>
        <v>1.8901734104046235</v>
      </c>
      <c r="X62" s="5">
        <f t="shared" si="5"/>
        <v>-3914</v>
      </c>
      <c r="Y62" s="7">
        <f t="shared" si="6"/>
        <v>-6.4922786006933506E-2</v>
      </c>
      <c r="Z62" s="7">
        <f>IF(OR(AE62="",多次统计数据!$B$8=""),"",AE62-多次统计数据!$B$8)</f>
        <v>-8.1376658364641613E-2</v>
      </c>
      <c r="AA62" s="14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4.3559956348562801E-2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-2.3055671730589117E-2</v>
      </c>
      <c r="AF62" t="s">
        <v>57</v>
      </c>
    </row>
    <row r="63" spans="1:32" x14ac:dyDescent="0.15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35.049999999999997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4.596751995595931E-2</v>
      </c>
      <c r="V63" s="7">
        <f t="shared" si="3"/>
        <v>2.2846132672722223E-2</v>
      </c>
      <c r="W63" s="13">
        <f t="shared" si="4"/>
        <v>2.0120481927710903</v>
      </c>
      <c r="X63" s="5">
        <f t="shared" si="5"/>
        <v>-2432</v>
      </c>
      <c r="Y63" s="7">
        <f t="shared" si="6"/>
        <v>-3.5232590145884944E-2</v>
      </c>
      <c r="Z63" s="7">
        <f>IF(OR(AE63="",多次统计数据!$B$8=""),"",AE63-多次统计数据!$B$8)</f>
        <v>-7.2984927930050666E-2</v>
      </c>
      <c r="AA63" s="14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4.3559956348562801E-2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-1.4663941295998167E-2</v>
      </c>
    </row>
    <row r="64" spans="1:32" x14ac:dyDescent="0.15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5.7142857142857141E-2</v>
      </c>
      <c r="V64" s="7">
        <f t="shared" si="3"/>
        <v>5.7142857142857141E-2</v>
      </c>
      <c r="W64" s="13">
        <f t="shared" si="4"/>
        <v>1</v>
      </c>
      <c r="X64" s="5">
        <f t="shared" si="5"/>
        <v>9904</v>
      </c>
      <c r="Y64" s="7">
        <f t="shared" si="6"/>
        <v>0.17685714285714285</v>
      </c>
      <c r="Z64" s="7">
        <f>IF(OR(AE64="",多次统计数据!$B$8=""),"",AE64-多次统计数据!$B$8)</f>
        <v>2.2847031044691962E-3</v>
      </c>
      <c r="AA64" s="14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4.3559956348562801E-2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6.0605689738521699E-2</v>
      </c>
    </row>
    <row r="65" spans="1:32" x14ac:dyDescent="0.15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9.9700000000000006</v>
      </c>
      <c r="L65" s="8">
        <f t="shared" si="1"/>
        <v>10100</v>
      </c>
      <c r="M65" s="10">
        <v>44414</v>
      </c>
      <c r="N65" s="9">
        <v>9.3000000000000007</v>
      </c>
      <c r="O65" s="9"/>
      <c r="P65" s="9"/>
      <c r="Q65" s="2"/>
      <c r="R65" s="2"/>
      <c r="S65" s="2"/>
      <c r="T65" s="2"/>
      <c r="U65" s="7">
        <f t="shared" si="2"/>
        <v>6.8464730290456438E-2</v>
      </c>
      <c r="V65" s="7">
        <f t="shared" si="3"/>
        <v>3.526970954356845E-2</v>
      </c>
      <c r="W65" s="13">
        <f t="shared" si="4"/>
        <v>1.9411764705882362</v>
      </c>
      <c r="X65" s="5">
        <f t="shared" si="5"/>
        <v>3333</v>
      </c>
      <c r="Y65" s="7">
        <f t="shared" si="6"/>
        <v>3.4232365145228219E-2</v>
      </c>
      <c r="Z65" s="7">
        <f>IF(OR(AE65="",多次统计数据!$B$8=""),"",AE65-多次统计数据!$B$8)</f>
        <v>-3.9090772176485329E-2</v>
      </c>
      <c r="AA65" s="14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4.3559956348562801E-2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1.9230214457567174E-2</v>
      </c>
    </row>
    <row r="66" spans="1:32" x14ac:dyDescent="0.15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0.1323425336164189</v>
      </c>
      <c r="V66" s="7">
        <f t="shared" ref="V66:V129" si="12">IF(OR(E66="",N66="",E66&lt;=0),"",(E66-N66)/E66)</f>
        <v>7.9971691436659637E-2</v>
      </c>
      <c r="W66" s="13">
        <f t="shared" ref="W66:W129" si="13">IF(OR(U66="",V66="",V66&lt;=0),"",U66/V66)</f>
        <v>1.6548672566371663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8.3510261854210899E-2</v>
      </c>
      <c r="Z66" s="7">
        <f>IF(OR(AE66="",多次统计数据!$B$8=""),"",AE66-多次统计数据!$B$8)</f>
        <v>-3.7613841593464689E-2</v>
      </c>
      <c r="AA66" s="14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4.3559956348562801E-2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2.0707145040587814E-2</v>
      </c>
    </row>
    <row r="67" spans="1:32" x14ac:dyDescent="0.15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0.13141862489120973</v>
      </c>
      <c r="V67" s="7">
        <f t="shared" si="12"/>
        <v>8.6161879895561372E-2</v>
      </c>
      <c r="W67" s="13">
        <f t="shared" si="13"/>
        <v>1.5252525252525249</v>
      </c>
      <c r="X67" s="5">
        <f t="shared" si="14"/>
        <v>10800</v>
      </c>
      <c r="Y67" s="7">
        <f t="shared" si="15"/>
        <v>0.26109660574412535</v>
      </c>
      <c r="Z67" s="7">
        <f>IF(OR(AE67="",多次统计数据!$B$8=""),"",AE67-多次统计数据!$B$8)</f>
        <v>1.5751933206926069E-3</v>
      </c>
      <c r="AA67" s="14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4.3559956348562801E-2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5.989617995474511E-2</v>
      </c>
    </row>
    <row r="68" spans="1:32" x14ac:dyDescent="0.15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6.5162907268170367E-2</v>
      </c>
      <c r="V68" s="7">
        <f t="shared" si="12"/>
        <v>2.8822055137844662E-2</v>
      </c>
      <c r="W68" s="13">
        <f t="shared" si="13"/>
        <v>2.2608695652173854</v>
      </c>
      <c r="X68" s="5">
        <f t="shared" si="14"/>
        <v>-9379</v>
      </c>
      <c r="Y68" s="7">
        <f t="shared" si="15"/>
        <v>-7.0802005012531324E-2</v>
      </c>
      <c r="Z68" s="7">
        <f>IF(OR(AE68="",多次统计数据!$B$8=""),"",AE68-多次统计数据!$B$8)</f>
        <v>-0.10739692116458957</v>
      </c>
      <c r="AA68" s="14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4.3559956348562801E-2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-4.9075934530537067E-2</v>
      </c>
    </row>
    <row r="69" spans="1:32" x14ac:dyDescent="0.15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0.17820324005891011</v>
      </c>
      <c r="V69" s="7">
        <f t="shared" si="12"/>
        <v>5.7437407952871951E-2</v>
      </c>
      <c r="W69" s="13">
        <f t="shared" si="13"/>
        <v>3.1025641025640973</v>
      </c>
      <c r="X69" s="5">
        <f t="shared" si="14"/>
        <v>-4929</v>
      </c>
      <c r="Y69" s="7">
        <f t="shared" si="15"/>
        <v>-7.8055964653902798E-2</v>
      </c>
      <c r="Z69" s="7">
        <f>IF(OR(AE69="",多次统计数据!$B$8=""),"",AE69-多次统计数据!$B$8)</f>
        <v>-8.5443193387916685E-2</v>
      </c>
      <c r="AA69" s="14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4.3559956348562801E-2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-2.7122206753864186E-2</v>
      </c>
    </row>
    <row r="70" spans="1:32" x14ac:dyDescent="0.15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0.1134343962362782</v>
      </c>
      <c r="V70" s="7">
        <f t="shared" si="12"/>
        <v>5.9069524307370572E-2</v>
      </c>
      <c r="W70" s="13">
        <f t="shared" si="13"/>
        <v>1.9203539823008884</v>
      </c>
      <c r="X70" s="5">
        <f t="shared" si="14"/>
        <v>-6107</v>
      </c>
      <c r="Y70" s="7">
        <f t="shared" si="15"/>
        <v>-0.10297961317302666</v>
      </c>
      <c r="Z70" s="7">
        <f>IF(OR(AE70="",多次统计数据!$B$8=""),"",AE70-多次统计数据!$B$8)</f>
        <v>-9.2862060365416055E-2</v>
      </c>
      <c r="AA70" s="14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4.3559956348562801E-2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-3.4541073731363545E-2</v>
      </c>
    </row>
    <row r="71" spans="1:32" x14ac:dyDescent="0.15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0.15606936416184966</v>
      </c>
      <c r="V71" s="7">
        <f t="shared" si="12"/>
        <v>4.6242774566474028E-2</v>
      </c>
      <c r="W71" s="13">
        <f t="shared" si="13"/>
        <v>3.374999999999996</v>
      </c>
      <c r="X71" s="5">
        <f t="shared" si="14"/>
        <v>-3486</v>
      </c>
      <c r="Y71" s="7">
        <f t="shared" si="15"/>
        <v>-4.797687861271676E-2</v>
      </c>
      <c r="Z71" s="7">
        <f>IF(OR(AE71="",多次统计数据!$B$8=""),"",AE71-多次统计数据!$B$8)</f>
        <v>-7.8743138165713863E-2</v>
      </c>
      <c r="AA71" s="14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4.3559956348562801E-2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-2.0422151531661364E-2</v>
      </c>
    </row>
    <row r="72" spans="1:32" x14ac:dyDescent="0.15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6.6666666666666666E-2</v>
      </c>
      <c r="V72" s="7">
        <f t="shared" si="12"/>
        <v>6.6666666666666666E-2</v>
      </c>
      <c r="W72" s="13">
        <f t="shared" si="13"/>
        <v>1</v>
      </c>
      <c r="X72" s="5">
        <f t="shared" si="14"/>
        <v>-4125</v>
      </c>
      <c r="Y72" s="7">
        <f t="shared" si="15"/>
        <v>-8.3333333333333329E-2</v>
      </c>
      <c r="Z72" s="7">
        <f>IF(OR(AE72="",多次统计数据!$B$8=""),"",AE72-多次统计数据!$B$8)</f>
        <v>-8.299041627683916E-2</v>
      </c>
      <c r="AA72" s="14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4.3559956348562801E-2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-2.466942964278666E-2</v>
      </c>
    </row>
    <row r="73" spans="1:32" x14ac:dyDescent="0.15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9.0661213360599874E-2</v>
      </c>
      <c r="V73" s="7">
        <f t="shared" si="12"/>
        <v>4.5671438309475114E-2</v>
      </c>
      <c r="W73" s="13">
        <f t="shared" si="13"/>
        <v>1.985074626865672</v>
      </c>
      <c r="X73" s="5">
        <f t="shared" si="14"/>
        <v>-6384</v>
      </c>
      <c r="Y73" s="7">
        <f t="shared" si="15"/>
        <v>-0.10361281526925699</v>
      </c>
      <c r="Z73" s="7">
        <f>IF(OR(AE73="",多次统计数据!$B$8=""),"",AE73-多次统计数据!$B$8)</f>
        <v>-9.7465977620403266E-2</v>
      </c>
      <c r="AA73" s="14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4.3559956348562801E-2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-3.9144990986350763E-2</v>
      </c>
    </row>
    <row r="74" spans="1:32" x14ac:dyDescent="0.15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7.7996195307546007E-2</v>
      </c>
      <c r="V74" s="7">
        <f t="shared" si="12"/>
        <v>4.8826886493341763E-2</v>
      </c>
      <c r="W74" s="13">
        <f t="shared" si="13"/>
        <v>1.5974025974025989</v>
      </c>
      <c r="X74" s="5">
        <f t="shared" si="14"/>
        <v>-960</v>
      </c>
      <c r="Y74" s="7">
        <f t="shared" si="15"/>
        <v>-1.5218769816106531E-2</v>
      </c>
      <c r="Z74" s="7">
        <f>IF(OR(AE74="",多次统计数据!$B$8=""),"",AE74-多次统计数据!$B$8)</f>
        <v>-6.444726453733389E-2</v>
      </c>
      <c r="AA74" s="14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4.3559956348562801E-2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-6.1262779032813875E-3</v>
      </c>
    </row>
    <row r="75" spans="1:32" x14ac:dyDescent="0.15">
      <c r="A75" s="2">
        <v>74</v>
      </c>
      <c r="B75" s="11" t="s">
        <v>59</v>
      </c>
      <c r="C75" s="9">
        <v>155742</v>
      </c>
      <c r="D75" s="6">
        <v>0.02</v>
      </c>
      <c r="E75" s="9">
        <v>4.59</v>
      </c>
      <c r="F75" s="8">
        <f t="shared" si="9"/>
        <v>5200</v>
      </c>
      <c r="G75" s="8" t="str">
        <f>IF(OR(A75="",F75="",E75="",N75="",E75&lt;=N75,账户数据!$B$7=""),"",IF(账户数据!$B$9+IF(H75="",F75*(E75-N75),0)&gt;=账户数据!$B$7,"禁止开仓","允许开仓"))</f>
        <v>允许开仓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10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11"/>
        <v>0.19825708061002181</v>
      </c>
      <c r="V75" s="7">
        <f t="shared" si="12"/>
        <v>0.12854030501089322</v>
      </c>
      <c r="W75" s="13">
        <f t="shared" si="13"/>
        <v>1.5423728813559328</v>
      </c>
      <c r="X75" s="5">
        <f t="shared" si="14"/>
        <v>5876</v>
      </c>
      <c r="Y75" s="7">
        <f t="shared" si="15"/>
        <v>0.24618736383442266</v>
      </c>
      <c r="Z75" s="7">
        <f>IF(OR(AE75="",多次统计数据!$B$8=""),"",AE75-多次统计数据!$B$8)</f>
        <v>-2.0591921898785205E-2</v>
      </c>
      <c r="AA75" s="14">
        <f t="shared" si="16"/>
        <v>166</v>
      </c>
      <c r="AB75" s="7">
        <f>IF(OR(A75="",多次统计数据!$B$8="",多次统计数据!$B$6&lt;=0,多次统计数据!$B$6&gt;=1),"",1-POWER(1+多次统计数据!$B$8,-多次统计数据!$B$6/(1-多次统计数据!$B$6)))</f>
        <v>4.3559956348562801E-2</v>
      </c>
      <c r="AC75" s="8" t="str">
        <f>IF(OR(AB75="",多次统计数据!$B$9=""),"",IF(多次统计数据!$B$9&lt;AB75,"低于上限","达到或超过上限"))</f>
        <v>低于上限</v>
      </c>
      <c r="AD75" s="2" t="s">
        <v>60</v>
      </c>
      <c r="AE75" s="7">
        <f t="shared" si="17"/>
        <v>3.7729064735267298E-2</v>
      </c>
      <c r="AF75" s="12" t="s">
        <v>61</v>
      </c>
    </row>
    <row r="76" spans="1:32" x14ac:dyDescent="0.15">
      <c r="A76" s="2">
        <v>75</v>
      </c>
      <c r="B76" s="11" t="s">
        <v>62</v>
      </c>
      <c r="C76" s="9">
        <v>161618</v>
      </c>
      <c r="D76" s="6">
        <v>0.02</v>
      </c>
      <c r="E76" s="9">
        <v>18.75</v>
      </c>
      <c r="F76" s="8">
        <f t="shared" si="9"/>
        <v>1800</v>
      </c>
      <c r="G76" s="8" t="str">
        <f>IF(OR(A76="",F76="",E76="",N76="",E76&lt;=N76,账户数据!$B$7=""),"",IF(账户数据!$B$9+IF(H76="",F76*(E76-N76),0)&gt;=账户数据!$B$7,"禁止开仓","允许开仓"))</f>
        <v>允许开仓</v>
      </c>
      <c r="H76" s="2">
        <v>1800</v>
      </c>
      <c r="I76" s="10">
        <v>44032</v>
      </c>
      <c r="J76" s="9">
        <v>24</v>
      </c>
      <c r="K76" s="9">
        <v>16.88</v>
      </c>
      <c r="L76" s="8">
        <f t="shared" si="10"/>
        <v>1800</v>
      </c>
      <c r="M76" s="10">
        <v>44299</v>
      </c>
      <c r="N76" s="9">
        <v>17</v>
      </c>
      <c r="O76" s="9"/>
      <c r="P76" s="9"/>
      <c r="Q76" s="2"/>
      <c r="R76" s="2"/>
      <c r="S76" s="2"/>
      <c r="T76" s="2"/>
      <c r="U76" s="7">
        <f t="shared" si="11"/>
        <v>0.28000000000000003</v>
      </c>
      <c r="V76" s="7">
        <f t="shared" si="12"/>
        <v>9.3333333333333338E-2</v>
      </c>
      <c r="W76" s="13">
        <f t="shared" si="13"/>
        <v>3</v>
      </c>
      <c r="X76" s="5">
        <f t="shared" si="14"/>
        <v>-3366</v>
      </c>
      <c r="Y76" s="7">
        <f t="shared" si="15"/>
        <v>-9.9733333333333327E-2</v>
      </c>
      <c r="Z76" s="7">
        <f>IF(OR(AE76="",多次统计数据!$B$8=""),"",AE76-多次统计数据!$B$8)</f>
        <v>-7.9147874728200437E-2</v>
      </c>
      <c r="AA76" s="14">
        <f t="shared" si="16"/>
        <v>267</v>
      </c>
      <c r="AB76" s="7">
        <f>IF(OR(A76="",多次统计数据!$B$8="",多次统计数据!$B$6&lt;=0,多次统计数据!$B$6&gt;=1),"",1-POWER(1+多次统计数据!$B$8,-多次统计数据!$B$6/(1-多次统计数据!$B$6)))</f>
        <v>4.3559956348562801E-2</v>
      </c>
      <c r="AC76" s="8" t="str">
        <f>IF(OR(AB76="",多次统计数据!$B$9=""),"",IF(多次统计数据!$B$9&lt;AB76,"低于上限","达到或超过上限"))</f>
        <v>低于上限</v>
      </c>
      <c r="AD76" s="2" t="s">
        <v>63</v>
      </c>
      <c r="AE76" s="7">
        <f t="shared" si="17"/>
        <v>-2.0826888094147931E-2</v>
      </c>
      <c r="AF76" s="12" t="s">
        <v>64</v>
      </c>
    </row>
    <row r="77" spans="1:32" x14ac:dyDescent="0.15">
      <c r="A77" s="2">
        <v>76</v>
      </c>
      <c r="B77" s="11" t="s">
        <v>65</v>
      </c>
      <c r="C77" s="9">
        <v>158252</v>
      </c>
      <c r="D77" s="6">
        <v>0.02</v>
      </c>
      <c r="E77" s="9">
        <v>26.05</v>
      </c>
      <c r="F77" s="8">
        <f t="shared" si="9"/>
        <v>1500</v>
      </c>
      <c r="G77" s="8" t="str">
        <f>IF(OR(A77="",F77="",E77="",N77="",E77&lt;=N77,账户数据!$B$7=""),"",IF(账户数据!$B$9+IF(H77="",F77*(E77-N77),0)&gt;=账户数据!$B$7,"禁止开仓","允许开仓"))</f>
        <v>允许开仓</v>
      </c>
      <c r="H77" s="2">
        <v>1500</v>
      </c>
      <c r="I77" s="10">
        <v>44399</v>
      </c>
      <c r="J77" s="9">
        <v>30</v>
      </c>
      <c r="K77" s="9">
        <v>23.4</v>
      </c>
      <c r="L77" s="8">
        <f t="shared" si="10"/>
        <v>1500</v>
      </c>
      <c r="M77" s="10">
        <v>44428</v>
      </c>
      <c r="N77" s="9">
        <v>24</v>
      </c>
      <c r="O77" s="9"/>
      <c r="P77" s="9"/>
      <c r="Q77" s="2"/>
      <c r="R77" s="2"/>
      <c r="S77" s="2"/>
      <c r="T77" s="2"/>
      <c r="U77" s="7">
        <f t="shared" si="11"/>
        <v>0.1516314779270633</v>
      </c>
      <c r="V77" s="7">
        <f t="shared" si="12"/>
        <v>7.8694817658349348E-2</v>
      </c>
      <c r="W77" s="13">
        <f t="shared" si="13"/>
        <v>1.926829268292682</v>
      </c>
      <c r="X77" s="5">
        <f t="shared" si="14"/>
        <v>-3975</v>
      </c>
      <c r="Y77" s="7">
        <f t="shared" si="15"/>
        <v>-0.1017274472168906</v>
      </c>
      <c r="Z77" s="7">
        <f>IF(OR(AE77="",多次统计数据!$B$8=""),"",AE77-多次统计数据!$B$8)</f>
        <v>-8.3439152597199889E-2</v>
      </c>
      <c r="AA77" s="14">
        <f t="shared" si="16"/>
        <v>29</v>
      </c>
      <c r="AB77" s="7">
        <f>IF(OR(A77="",多次统计数据!$B$8="",多次统计数据!$B$6&lt;=0,多次统计数据!$B$6&gt;=1),"",1-POWER(1+多次统计数据!$B$8,-多次统计数据!$B$6/(1-多次统计数据!$B$6)))</f>
        <v>4.3559956348562801E-2</v>
      </c>
      <c r="AC77" s="8" t="str">
        <f>IF(OR(AB77="",多次统计数据!$B$9=""),"",IF(多次统计数据!$B$9&lt;AB77,"低于上限","达到或超过上限"))</f>
        <v>低于上限</v>
      </c>
      <c r="AD77" s="2" t="s">
        <v>66</v>
      </c>
      <c r="AE77" s="7">
        <f t="shared" si="17"/>
        <v>-2.5118165963147386E-2</v>
      </c>
      <c r="AF77" s="12" t="s">
        <v>67</v>
      </c>
    </row>
    <row r="78" spans="1:32" x14ac:dyDescent="0.15">
      <c r="A78" s="2">
        <v>77</v>
      </c>
      <c r="B78" s="2" t="s">
        <v>68</v>
      </c>
      <c r="C78" s="9">
        <v>154277</v>
      </c>
      <c r="D78" s="6">
        <v>0.02</v>
      </c>
      <c r="E78" s="9">
        <v>2.75</v>
      </c>
      <c r="F78" s="8">
        <f t="shared" si="9"/>
        <v>12300</v>
      </c>
      <c r="G78" s="8" t="str">
        <f>IF(OR(A78="",F78="",E78="",N78="",E78&lt;=N78,账户数据!$B$7=""),"",IF(账户数据!$B$9+IF(H78="",F78*(E78-N78),0)&gt;=账户数据!$B$7,"禁止开仓","允许开仓"))</f>
        <v>允许开仓</v>
      </c>
      <c r="H78" s="2">
        <v>12300</v>
      </c>
      <c r="I78" s="10">
        <v>43419</v>
      </c>
      <c r="J78" s="9">
        <v>3</v>
      </c>
      <c r="K78" s="9">
        <v>2.81</v>
      </c>
      <c r="L78" s="8">
        <f t="shared" si="10"/>
        <v>12300</v>
      </c>
      <c r="M78" s="10">
        <v>43440</v>
      </c>
      <c r="N78" s="9">
        <v>2.5</v>
      </c>
      <c r="O78" s="9"/>
      <c r="P78" s="9"/>
      <c r="Q78" s="2"/>
      <c r="R78" s="2"/>
      <c r="S78" s="2"/>
      <c r="T78" s="2"/>
      <c r="U78" s="7">
        <f t="shared" si="11"/>
        <v>9.0909090909090912E-2</v>
      </c>
      <c r="V78" s="7">
        <f t="shared" si="12"/>
        <v>9.0909090909090912E-2</v>
      </c>
      <c r="W78" s="13">
        <f t="shared" si="13"/>
        <v>1</v>
      </c>
      <c r="X78" s="5">
        <f t="shared" si="14"/>
        <v>738</v>
      </c>
      <c r="Y78" s="7">
        <f t="shared" si="15"/>
        <v>2.181818181818182E-2</v>
      </c>
      <c r="Z78" s="7">
        <f>IF(OR(AE78="",多次统计数据!$B$8=""),"",AE78-多次统计数据!$B$8)</f>
        <v>-5.3537383115705633E-2</v>
      </c>
      <c r="AA78" s="14">
        <f t="shared" si="16"/>
        <v>21</v>
      </c>
      <c r="AB78" s="7">
        <f>IF(OR(A78="",多次统计数据!$B$8="",多次统计数据!$B$6&lt;=0,多次统计数据!$B$6&gt;=1),"",1-POWER(1+多次统计数据!$B$8,-多次统计数据!$B$6/(1-多次统计数据!$B$6)))</f>
        <v>4.3559956348562801E-2</v>
      </c>
      <c r="AC78" s="8" t="str">
        <f>IF(OR(AB78="",多次统计数据!$B$9=""),"",IF(多次统计数据!$B$9&lt;AB78,"低于上限","达到或超过上限"))</f>
        <v>低于上限</v>
      </c>
      <c r="AD78" s="2" t="s">
        <v>60</v>
      </c>
      <c r="AE78" s="7">
        <f t="shared" si="17"/>
        <v>4.7836035183468698E-3</v>
      </c>
      <c r="AF78" t="s">
        <v>69</v>
      </c>
    </row>
    <row r="79" spans="1:32" x14ac:dyDescent="0.15">
      <c r="A79" s="2">
        <v>78</v>
      </c>
      <c r="B79" s="2" t="s">
        <v>68</v>
      </c>
      <c r="C79" s="9">
        <v>155015</v>
      </c>
      <c r="D79" s="6">
        <v>0.02</v>
      </c>
      <c r="E79" s="9">
        <v>2.73</v>
      </c>
      <c r="F79" s="8">
        <f t="shared" si="9"/>
        <v>13400</v>
      </c>
      <c r="G79" s="8" t="str">
        <f>IF(OR(A79="",F79="",E79="",N79="",E79&lt;=N79,账户数据!$B$7=""),"",IF(账户数据!$B$9+IF(H79="",F79*(E79-N79),0)&gt;=账户数据!$B$7,"禁止开仓","允许开仓"))</f>
        <v>允许开仓</v>
      </c>
      <c r="H79" s="2">
        <v>13400</v>
      </c>
      <c r="I79" s="10">
        <v>43460</v>
      </c>
      <c r="J79" s="9">
        <v>3</v>
      </c>
      <c r="K79" s="9">
        <v>3.31</v>
      </c>
      <c r="L79" s="8">
        <f t="shared" si="10"/>
        <v>13400</v>
      </c>
      <c r="M79" s="10">
        <v>43486</v>
      </c>
      <c r="N79" s="9">
        <v>2.5</v>
      </c>
      <c r="O79" s="9"/>
      <c r="P79" s="9"/>
      <c r="Q79" s="2"/>
      <c r="R79" s="2"/>
      <c r="S79" s="2"/>
      <c r="T79" s="2"/>
      <c r="U79" s="7">
        <f t="shared" si="11"/>
        <v>9.8901098901098911E-2</v>
      </c>
      <c r="V79" s="7">
        <f t="shared" si="12"/>
        <v>8.4249084249084241E-2</v>
      </c>
      <c r="W79" s="13">
        <f t="shared" si="13"/>
        <v>1.1739130434782612</v>
      </c>
      <c r="X79" s="5">
        <f t="shared" si="14"/>
        <v>7772</v>
      </c>
      <c r="Y79" s="7">
        <f t="shared" si="15"/>
        <v>0.21245421245421245</v>
      </c>
      <c r="Z79" s="7">
        <f>IF(OR(AE79="",多次统计数据!$B$8=""),"",AE79-多次统计数据!$B$8)</f>
        <v>-8.1839031260048933E-3</v>
      </c>
      <c r="AA79" s="14">
        <f t="shared" si="16"/>
        <v>26</v>
      </c>
      <c r="AB79" s="7">
        <f>IF(OR(A79="",多次统计数据!$B$8="",多次统计数据!$B$6&lt;=0,多次统计数据!$B$6&gt;=1),"",1-POWER(1+多次统计数据!$B$8,-多次统计数据!$B$6/(1-多次统计数据!$B$6)))</f>
        <v>4.3559956348562801E-2</v>
      </c>
      <c r="AC79" s="8" t="str">
        <f>IF(OR(AB79="",多次统计数据!$B$9=""),"",IF(多次统计数据!$B$9&lt;AB79,"低于上限","达到或超过上限"))</f>
        <v>低于上限</v>
      </c>
      <c r="AD79" s="2" t="s">
        <v>70</v>
      </c>
      <c r="AE79" s="7">
        <f t="shared" si="17"/>
        <v>5.013708350804761E-2</v>
      </c>
      <c r="AF79" t="s">
        <v>71</v>
      </c>
    </row>
    <row r="80" spans="1:32" x14ac:dyDescent="0.15">
      <c r="A80" s="2">
        <v>79</v>
      </c>
      <c r="B80" s="2" t="s">
        <v>68</v>
      </c>
      <c r="C80" s="9">
        <v>162787</v>
      </c>
      <c r="D80" s="6">
        <v>0.02</v>
      </c>
      <c r="E80" s="9">
        <v>3</v>
      </c>
      <c r="F80" s="8">
        <f t="shared" si="9"/>
        <v>8100</v>
      </c>
      <c r="G80" s="8" t="str">
        <f>IF(OR(A80="",F80="",E80="",N80="",E80&lt;=N80,账户数据!$B$7=""),"",IF(账户数据!$B$9+IF(H80="",F80*(E80-N80),0)&gt;=账户数据!$B$7,"禁止开仓","允许开仓"))</f>
        <v>允许开仓</v>
      </c>
      <c r="H80" s="2">
        <v>8100</v>
      </c>
      <c r="I80" s="10">
        <v>43490</v>
      </c>
      <c r="J80" s="9">
        <v>4</v>
      </c>
      <c r="K80" s="9">
        <v>4.4800000000000004</v>
      </c>
      <c r="L80" s="8">
        <f t="shared" si="10"/>
        <v>8100</v>
      </c>
      <c r="M80" s="10">
        <v>43622</v>
      </c>
      <c r="N80" s="9">
        <v>2.6</v>
      </c>
      <c r="O80" s="9"/>
      <c r="P80" s="9"/>
      <c r="Q80" s="2"/>
      <c r="R80" s="2"/>
      <c r="S80" s="2"/>
      <c r="T80" s="2"/>
      <c r="U80" s="7">
        <f t="shared" si="11"/>
        <v>0.33333333333333331</v>
      </c>
      <c r="V80" s="7">
        <f t="shared" si="12"/>
        <v>0.1333333333333333</v>
      </c>
      <c r="W80" s="13">
        <f t="shared" si="13"/>
        <v>2.5000000000000004</v>
      </c>
      <c r="X80" s="5">
        <f t="shared" si="14"/>
        <v>11988</v>
      </c>
      <c r="Y80" s="7">
        <f t="shared" si="15"/>
        <v>0.49333333333333335</v>
      </c>
      <c r="Z80" s="7">
        <f>IF(OR(AE80="",多次统计数据!$B$8=""),"",AE80-多次统计数据!$B$8)</f>
        <v>1.5321257525493411E-2</v>
      </c>
      <c r="AA80" s="14">
        <f t="shared" si="16"/>
        <v>132</v>
      </c>
      <c r="AB80" s="7">
        <f>IF(OR(A80="",多次统计数据!$B$8="",多次统计数据!$B$6&lt;=0,多次统计数据!$B$6&gt;=1),"",1-POWER(1+多次统计数据!$B$8,-多次统计数据!$B$6/(1-多次统计数据!$B$6)))</f>
        <v>4.3559956348562801E-2</v>
      </c>
      <c r="AC80" s="8" t="str">
        <f>IF(OR(AB80="",多次统计数据!$B$9=""),"",IF(多次统计数据!$B$9&lt;AB80,"低于上限","达到或超过上限"))</f>
        <v>低于上限</v>
      </c>
      <c r="AD80" s="2" t="s">
        <v>70</v>
      </c>
      <c r="AE80" s="7">
        <f t="shared" si="17"/>
        <v>7.3642244159545914E-2</v>
      </c>
      <c r="AF80" t="s">
        <v>72</v>
      </c>
    </row>
    <row r="81" spans="1:32" x14ac:dyDescent="0.15">
      <c r="A81" s="2">
        <v>80</v>
      </c>
      <c r="B81" s="2" t="s">
        <v>73</v>
      </c>
      <c r="C81" s="9">
        <v>174775</v>
      </c>
      <c r="D81" s="6">
        <v>0.02</v>
      </c>
      <c r="E81" s="9">
        <v>34.19</v>
      </c>
      <c r="F81" s="8">
        <f t="shared" si="9"/>
        <v>800</v>
      </c>
      <c r="G81" s="8" t="str">
        <f>IF(OR(A81="",F81="",E81="",N81="",E81&lt;=N81,账户数据!$B$7=""),"",IF(账户数据!$B$9+IF(H81="",F81*(E81-N81),0)&gt;=账户数据!$B$7,"禁止开仓","允许开仓"))</f>
        <v>允许开仓</v>
      </c>
      <c r="H81" s="2">
        <v>800</v>
      </c>
      <c r="I81" s="10">
        <v>44404</v>
      </c>
      <c r="J81" s="9">
        <v>40</v>
      </c>
      <c r="K81" s="9">
        <v>28.47</v>
      </c>
      <c r="L81" s="8">
        <f t="shared" si="10"/>
        <v>800</v>
      </c>
      <c r="M81" s="10">
        <v>44434</v>
      </c>
      <c r="N81" s="9">
        <v>30</v>
      </c>
      <c r="O81" s="9"/>
      <c r="P81" s="9"/>
      <c r="Q81" s="2"/>
      <c r="R81" s="2"/>
      <c r="S81" s="2"/>
      <c r="T81" s="2"/>
      <c r="U81" s="7">
        <f t="shared" si="11"/>
        <v>0.16993272886809016</v>
      </c>
      <c r="V81" s="7">
        <f t="shared" si="12"/>
        <v>0.12255045334893237</v>
      </c>
      <c r="W81" s="13">
        <f t="shared" si="13"/>
        <v>1.3866348448687364</v>
      </c>
      <c r="X81" s="5">
        <f t="shared" si="14"/>
        <v>-4576</v>
      </c>
      <c r="Y81" s="7">
        <f t="shared" si="15"/>
        <v>-0.16730038022813687</v>
      </c>
      <c r="Z81" s="7">
        <f>IF(OR(AE81="",多次统计数据!$B$8=""),"",AE81-多次统计数据!$B$8)</f>
        <v>-8.4503220935296969E-2</v>
      </c>
      <c r="AA81" s="14">
        <f t="shared" si="16"/>
        <v>30</v>
      </c>
      <c r="AB81" s="7">
        <f>IF(OR(A81="",多次统计数据!$B$8="",多次统计数据!$B$6&lt;=0,多次统计数据!$B$6&gt;=1),"",1-POWER(1+多次统计数据!$B$8,-多次统计数据!$B$6/(1-多次统计数据!$B$6)))</f>
        <v>4.3559956348562801E-2</v>
      </c>
      <c r="AC81" s="8" t="str">
        <f>IF(OR(AB81="",多次统计数据!$B$9=""),"",IF(多次统计数据!$B$9&lt;AB81,"低于上限","达到或超过上限"))</f>
        <v>低于上限</v>
      </c>
      <c r="AD81" s="2" t="s">
        <v>66</v>
      </c>
      <c r="AE81" s="7">
        <f t="shared" si="17"/>
        <v>-2.6182234301244459E-2</v>
      </c>
      <c r="AF81" t="s">
        <v>74</v>
      </c>
    </row>
    <row r="82" spans="1:32" x14ac:dyDescent="0.15">
      <c r="A82" s="2">
        <v>81</v>
      </c>
      <c r="B82" s="2" t="s">
        <v>73</v>
      </c>
      <c r="C82" s="9">
        <v>170199</v>
      </c>
      <c r="D82" s="6">
        <v>0.02</v>
      </c>
      <c r="E82" s="9">
        <v>37.29</v>
      </c>
      <c r="F82" s="8">
        <f t="shared" si="9"/>
        <v>1400</v>
      </c>
      <c r="G82" s="8" t="str">
        <f>IF(OR(A82="",F82="",E82="",N82="",E82&lt;=N82,账户数据!$B$7=""),"",IF(账户数据!$B$9+IF(H82="",F82*(E82-N82),0)&gt;=账户数据!$B$7,"禁止开仓","允许开仓"))</f>
        <v>允许开仓</v>
      </c>
      <c r="H82" s="2">
        <v>1400</v>
      </c>
      <c r="I82" s="10">
        <v>44545</v>
      </c>
      <c r="J82" s="9">
        <v>40</v>
      </c>
      <c r="K82" s="9">
        <v>34.75</v>
      </c>
      <c r="L82" s="8">
        <f t="shared" si="10"/>
        <v>1400</v>
      </c>
      <c r="M82" s="10">
        <v>44581</v>
      </c>
      <c r="N82" s="9">
        <v>35</v>
      </c>
      <c r="O82" s="9"/>
      <c r="P82" s="9"/>
      <c r="Q82" s="2"/>
      <c r="R82" s="2"/>
      <c r="S82" s="2"/>
      <c r="T82" s="2"/>
      <c r="U82" s="7">
        <f t="shared" si="11"/>
        <v>7.2673639045320482E-2</v>
      </c>
      <c r="V82" s="7">
        <f t="shared" si="12"/>
        <v>6.1410565835344572E-2</v>
      </c>
      <c r="W82" s="13">
        <f t="shared" si="13"/>
        <v>1.1834061135371188</v>
      </c>
      <c r="X82" s="5">
        <f t="shared" si="14"/>
        <v>-3556</v>
      </c>
      <c r="Y82" s="7">
        <f t="shared" si="15"/>
        <v>-6.8114776079377853E-2</v>
      </c>
      <c r="Z82" s="7">
        <f>IF(OR(AE82="",多次统计数据!$B$8=""),"",AE82-多次统计数据!$B$8)</f>
        <v>-7.9214176370772466E-2</v>
      </c>
      <c r="AA82" s="14">
        <f t="shared" si="16"/>
        <v>36</v>
      </c>
      <c r="AB82" s="7">
        <f>IF(OR(A82="",多次统计数据!$B$8="",多次统计数据!$B$6&lt;=0,多次统计数据!$B$6&gt;=1),"",1-POWER(1+多次统计数据!$B$8,-多次统计数据!$B$6/(1-多次统计数据!$B$6)))</f>
        <v>4.3559956348562801E-2</v>
      </c>
      <c r="AC82" s="8" t="str">
        <f>IF(OR(AB82="",多次统计数据!$B$9=""),"",IF(多次统计数据!$B$9&lt;AB82,"低于上限","达到或超过上限"))</f>
        <v>低于上限</v>
      </c>
      <c r="AD82" s="2" t="s">
        <v>63</v>
      </c>
      <c r="AE82" s="7">
        <f t="shared" si="17"/>
        <v>-2.0893189736719959E-2</v>
      </c>
      <c r="AF82" t="s">
        <v>75</v>
      </c>
    </row>
    <row r="83" spans="1:32" x14ac:dyDescent="0.15">
      <c r="A83" s="2">
        <v>82</v>
      </c>
      <c r="B83" s="2" t="s">
        <v>73</v>
      </c>
      <c r="C83" s="9">
        <v>166643</v>
      </c>
      <c r="D83" s="6">
        <v>0.02</v>
      </c>
      <c r="E83" s="9">
        <v>24.67</v>
      </c>
      <c r="F83" s="8">
        <f t="shared" si="9"/>
        <v>1200</v>
      </c>
      <c r="G83" s="8" t="str">
        <f>IF(OR(A83="",F83="",E83="",N83="",E83&lt;=N83,账户数据!$B$7=""),"",IF(账户数据!$B$9+IF(H83="",F83*(E83-N83),0)&gt;=账户数据!$B$7,"禁止开仓","允许开仓"))</f>
        <v>允许开仓</v>
      </c>
      <c r="H83" s="2">
        <v>1200</v>
      </c>
      <c r="I83" s="10">
        <v>44691</v>
      </c>
      <c r="J83" s="9">
        <v>28</v>
      </c>
      <c r="K83" s="9">
        <v>26.03</v>
      </c>
      <c r="L83" s="8">
        <f t="shared" si="10"/>
        <v>1200</v>
      </c>
      <c r="M83" s="10">
        <v>44749</v>
      </c>
      <c r="N83" s="9">
        <v>22</v>
      </c>
      <c r="O83" s="9"/>
      <c r="P83" s="9"/>
      <c r="Q83" s="2"/>
      <c r="R83" s="2"/>
      <c r="S83" s="2"/>
      <c r="T83" s="2"/>
      <c r="U83" s="7">
        <f t="shared" si="11"/>
        <v>0.13498175922172673</v>
      </c>
      <c r="V83" s="7">
        <f t="shared" si="12"/>
        <v>0.10822861775435758</v>
      </c>
      <c r="W83" s="13">
        <f t="shared" si="13"/>
        <v>1.2471910112359539</v>
      </c>
      <c r="X83" s="5">
        <f t="shared" si="14"/>
        <v>1631.9999999999964</v>
      </c>
      <c r="Y83" s="7">
        <f t="shared" si="15"/>
        <v>5.5127685447912314E-2</v>
      </c>
      <c r="Z83" s="7">
        <f>IF(OR(AE83="",多次统计数据!$B$8=""),"",AE83-多次统计数据!$B$8)</f>
        <v>-4.8527595972578594E-2</v>
      </c>
      <c r="AA83" s="14">
        <f t="shared" si="16"/>
        <v>58</v>
      </c>
      <c r="AB83" s="7">
        <f>IF(OR(A83="",多次统计数据!$B$8="",多次统计数据!$B$6&lt;=0,多次统计数据!$B$6&gt;=1),"",1-POWER(1+多次统计数据!$B$8,-多次统计数据!$B$6/(1-多次统计数据!$B$6)))</f>
        <v>4.3559956348562801E-2</v>
      </c>
      <c r="AC83" s="8" t="str">
        <f>IF(OR(AB83="",多次统计数据!$B$9=""),"",IF(多次统计数据!$B$9&lt;AB83,"低于上限","达到或超过上限"))</f>
        <v>低于上限</v>
      </c>
      <c r="AD83" s="2" t="s">
        <v>70</v>
      </c>
      <c r="AE83" s="7">
        <f t="shared" si="17"/>
        <v>9.7933906614739077E-3</v>
      </c>
      <c r="AF83" t="s">
        <v>76</v>
      </c>
    </row>
    <row r="84" spans="1:32" x14ac:dyDescent="0.15">
      <c r="A84" s="2">
        <v>83</v>
      </c>
      <c r="B84" s="2" t="s">
        <v>73</v>
      </c>
      <c r="C84" s="9">
        <v>168275</v>
      </c>
      <c r="D84" s="6">
        <v>0.02</v>
      </c>
      <c r="E84" s="9">
        <v>26.02</v>
      </c>
      <c r="F84" s="8">
        <f t="shared" si="9"/>
        <v>3200</v>
      </c>
      <c r="G84" s="8" t="str">
        <f>IF(OR(A84="",F84="",E84="",N84="",E84&lt;=N84,账户数据!$B$7=""),"",IF(账户数据!$B$9+IF(H84="",F84*(E84-N84),0)&gt;=账户数据!$B$7,"禁止开仓","允许开仓"))</f>
        <v>允许开仓</v>
      </c>
      <c r="H84" s="2">
        <v>3200</v>
      </c>
      <c r="I84" s="10">
        <v>44959</v>
      </c>
      <c r="J84" s="9">
        <v>28</v>
      </c>
      <c r="K84" s="9">
        <v>26.34</v>
      </c>
      <c r="L84" s="8">
        <f t="shared" si="10"/>
        <v>3200</v>
      </c>
      <c r="M84" s="10">
        <v>44973</v>
      </c>
      <c r="N84" s="9">
        <v>25</v>
      </c>
      <c r="O84" s="9"/>
      <c r="P84" s="9"/>
      <c r="Q84" s="2"/>
      <c r="R84" s="2"/>
      <c r="S84" s="2"/>
      <c r="T84" s="2"/>
      <c r="U84" s="7">
        <f t="shared" si="11"/>
        <v>7.6095311299000781E-2</v>
      </c>
      <c r="V84" s="7">
        <f t="shared" si="12"/>
        <v>3.9200614911606438E-2</v>
      </c>
      <c r="W84" s="13">
        <f t="shared" si="13"/>
        <v>1.9411764705882366</v>
      </c>
      <c r="X84" s="5">
        <f t="shared" si="14"/>
        <v>1024</v>
      </c>
      <c r="Y84" s="7">
        <f t="shared" si="15"/>
        <v>1.2298232129131437E-2</v>
      </c>
      <c r="Z84" s="7">
        <f>IF(OR(AE84="",多次统计数据!$B$8=""),"",AE84-多次统计数据!$B$8)</f>
        <v>-5.2235709557837975E-2</v>
      </c>
      <c r="AA84" s="14">
        <f t="shared" si="16"/>
        <v>14</v>
      </c>
      <c r="AB84" s="7">
        <f>IF(OR(A84="",多次统计数据!$B$8="",多次统计数据!$B$6&lt;=0,多次统计数据!$B$6&gt;=1),"",1-POWER(1+多次统计数据!$B$8,-多次统计数据!$B$6/(1-多次统计数据!$B$6)))</f>
        <v>4.3559956348562801E-2</v>
      </c>
      <c r="AC84" s="8" t="str">
        <f>IF(OR(AB84="",多次统计数据!$B$9=""),"",IF(多次统计数据!$B$9&lt;AB84,"低于上限","达到或超过上限"))</f>
        <v>低于上限</v>
      </c>
      <c r="AD84" s="2" t="s">
        <v>70</v>
      </c>
      <c r="AE84" s="7">
        <f t="shared" si="17"/>
        <v>6.0852770762145295E-3</v>
      </c>
      <c r="AF84" t="s">
        <v>76</v>
      </c>
    </row>
    <row r="85" spans="1:32" x14ac:dyDescent="0.15">
      <c r="A85" s="2">
        <v>84</v>
      </c>
      <c r="B85" s="2" t="s">
        <v>73</v>
      </c>
      <c r="C85" s="9">
        <v>169299</v>
      </c>
      <c r="D85" s="6">
        <v>0.02</v>
      </c>
      <c r="E85" s="9">
        <v>25.4</v>
      </c>
      <c r="F85" s="8">
        <f t="shared" si="9"/>
        <v>2900</v>
      </c>
      <c r="G85" s="8" t="str">
        <f>IF(OR(A85="",F85="",E85="",N85="",E85&lt;=N85,账户数据!$B$7=""),"",IF(账户数据!$B$9+IF(H85="",F85*(E85-N85),0)&gt;=账户数据!$B$7,"禁止开仓","允许开仓"))</f>
        <v>允许开仓</v>
      </c>
      <c r="H85" s="2">
        <v>2900</v>
      </c>
      <c r="I85" s="10">
        <v>45006</v>
      </c>
      <c r="J85" s="9">
        <v>28</v>
      </c>
      <c r="K85" s="9">
        <v>30.16</v>
      </c>
      <c r="L85" s="8">
        <f t="shared" si="10"/>
        <v>2900</v>
      </c>
      <c r="M85" s="10">
        <v>45009</v>
      </c>
      <c r="N85" s="9">
        <v>24.25</v>
      </c>
      <c r="O85" s="9"/>
      <c r="P85" s="9"/>
      <c r="Q85" s="2"/>
      <c r="R85" s="2"/>
      <c r="S85" s="2"/>
      <c r="T85" s="2"/>
      <c r="U85" s="7">
        <f t="shared" si="11"/>
        <v>0.10236220472440952</v>
      </c>
      <c r="V85" s="7">
        <f t="shared" si="12"/>
        <v>4.527559055118105E-2</v>
      </c>
      <c r="W85" s="13">
        <f t="shared" si="13"/>
        <v>2.2608695652173956</v>
      </c>
      <c r="X85" s="5">
        <f t="shared" si="14"/>
        <v>13804</v>
      </c>
      <c r="Y85" s="7">
        <f t="shared" si="15"/>
        <v>0.18740157480314962</v>
      </c>
      <c r="Z85" s="7">
        <f>IF(OR(AE85="",多次统计数据!$B$8=""),"",AE85-多次统计数据!$B$8)</f>
        <v>2.3215230354825166E-2</v>
      </c>
      <c r="AA85" s="14">
        <f t="shared" si="16"/>
        <v>3</v>
      </c>
      <c r="AB85" s="7">
        <f>IF(OR(A85="",多次统计数据!$B$8="",多次统计数据!$B$6&lt;=0,多次统计数据!$B$6&gt;=1),"",1-POWER(1+多次统计数据!$B$8,-多次统计数据!$B$6/(1-多次统计数据!$B$6)))</f>
        <v>4.3559956348562801E-2</v>
      </c>
      <c r="AC85" s="8" t="str">
        <f>IF(OR(AB85="",多次统计数据!$B$9=""),"",IF(多次统计数据!$B$9&lt;AB85,"低于上限","达到或超过上限"))</f>
        <v>低于上限</v>
      </c>
      <c r="AD85" s="2" t="s">
        <v>60</v>
      </c>
      <c r="AE85" s="7">
        <f t="shared" si="17"/>
        <v>8.1536216988877669E-2</v>
      </c>
      <c r="AF85" t="s">
        <v>77</v>
      </c>
    </row>
    <row r="86" spans="1:32" x14ac:dyDescent="0.15">
      <c r="A86" s="2">
        <v>85</v>
      </c>
      <c r="B86" s="2" t="s">
        <v>73</v>
      </c>
      <c r="C86" s="9">
        <v>183103</v>
      </c>
      <c r="D86" s="6">
        <v>0.02</v>
      </c>
      <c r="E86" s="9">
        <v>27.82</v>
      </c>
      <c r="F86" s="8">
        <f t="shared" si="9"/>
        <v>2000</v>
      </c>
      <c r="G86" s="8" t="str">
        <f>IF(OR(A86="",F86="",E86="",N86="",E86&lt;=N86,账户数据!$B$7=""),"",IF(账户数据!$B$9+IF(H86="",F86*(E86-N86),0)&gt;=账户数据!$B$7,"禁止开仓","允许开仓"))</f>
        <v>允许开仓</v>
      </c>
      <c r="H86" s="2">
        <v>2000</v>
      </c>
      <c r="I86" s="10">
        <v>45016</v>
      </c>
      <c r="J86" s="9">
        <v>30</v>
      </c>
      <c r="K86" s="9">
        <v>25.74</v>
      </c>
      <c r="L86" s="8">
        <f t="shared" si="10"/>
        <v>2000</v>
      </c>
      <c r="M86" s="10">
        <v>45029</v>
      </c>
      <c r="N86" s="9">
        <v>26</v>
      </c>
      <c r="O86" s="9"/>
      <c r="P86" s="9"/>
      <c r="Q86" s="2"/>
      <c r="R86" s="2"/>
      <c r="S86" s="2"/>
      <c r="T86" s="2"/>
      <c r="U86" s="7">
        <f t="shared" si="11"/>
        <v>7.8360891445003578E-2</v>
      </c>
      <c r="V86" s="7">
        <f t="shared" si="12"/>
        <v>6.5420560747663559E-2</v>
      </c>
      <c r="W86" s="13">
        <f t="shared" si="13"/>
        <v>1.1978021978021973</v>
      </c>
      <c r="X86" s="5">
        <f t="shared" si="14"/>
        <v>-4160</v>
      </c>
      <c r="Y86" s="7">
        <f t="shared" si="15"/>
        <v>-7.476635514018691E-2</v>
      </c>
      <c r="Z86" s="7">
        <f>IF(OR(AE86="",多次统计数据!$B$8=""),"",AE86-多次统计数据!$B$8)</f>
        <v>-8.1040439619530627E-2</v>
      </c>
      <c r="AA86" s="14">
        <f t="shared" si="16"/>
        <v>13</v>
      </c>
      <c r="AB86" s="7">
        <f>IF(OR(A86="",多次统计数据!$B$8="",多次统计数据!$B$6&lt;=0,多次统计数据!$B$6&gt;=1),"",1-POWER(1+多次统计数据!$B$8,-多次统计数据!$B$6/(1-多次统计数据!$B$6)))</f>
        <v>4.3559956348562801E-2</v>
      </c>
      <c r="AC86" s="8" t="str">
        <f>IF(OR(AB86="",多次统计数据!$B$9=""),"",IF(多次统计数据!$B$9&lt;AB86,"低于上限","达到或超过上限"))</f>
        <v>低于上限</v>
      </c>
      <c r="AD86" s="2" t="s">
        <v>63</v>
      </c>
      <c r="AE86" s="7">
        <f t="shared" si="17"/>
        <v>-2.271945298547812E-2</v>
      </c>
      <c r="AF86" t="s">
        <v>78</v>
      </c>
    </row>
    <row r="87" spans="1:32" x14ac:dyDescent="0.15">
      <c r="A87" s="2">
        <v>86</v>
      </c>
      <c r="B87" s="2" t="s">
        <v>79</v>
      </c>
      <c r="C87" s="9">
        <v>178943</v>
      </c>
      <c r="D87" s="6">
        <v>0.02</v>
      </c>
      <c r="E87" s="9">
        <v>4.2</v>
      </c>
      <c r="F87" s="8">
        <f t="shared" si="9"/>
        <v>8900</v>
      </c>
      <c r="G87" s="8" t="str">
        <f>IF(OR(A87="",F87="",E87="",N87="",E87&lt;=N87,账户数据!$B$7=""),"",IF(账户数据!$B$9+IF(H87="",F87*(E87-N87),0)&gt;=账户数据!$B$7,"禁止开仓","允许开仓"))</f>
        <v>允许开仓</v>
      </c>
      <c r="H87" s="2">
        <v>8900</v>
      </c>
      <c r="I87" s="10">
        <v>43748</v>
      </c>
      <c r="J87" s="9">
        <v>4.8</v>
      </c>
      <c r="K87" s="9">
        <v>4.25</v>
      </c>
      <c r="L87" s="8">
        <f t="shared" si="10"/>
        <v>8900</v>
      </c>
      <c r="M87" s="10">
        <v>43756</v>
      </c>
      <c r="N87" s="9">
        <v>3.8</v>
      </c>
      <c r="O87" s="9"/>
      <c r="P87" s="9"/>
      <c r="Q87" s="2"/>
      <c r="R87" s="2"/>
      <c r="S87" s="2"/>
      <c r="T87" s="2"/>
      <c r="U87" s="7">
        <f t="shared" si="11"/>
        <v>0.14285714285714277</v>
      </c>
      <c r="V87" s="7">
        <f t="shared" si="12"/>
        <v>9.5238095238095316E-2</v>
      </c>
      <c r="W87" s="13">
        <f t="shared" si="13"/>
        <v>1.4999999999999978</v>
      </c>
      <c r="X87" s="5">
        <f t="shared" si="14"/>
        <v>445</v>
      </c>
      <c r="Y87" s="7">
        <f t="shared" si="15"/>
        <v>1.1904761904761904E-2</v>
      </c>
      <c r="Z87" s="7">
        <f>IF(OR(AE87="",多次统计数据!$B$8=""),"",AE87-多次统计数据!$B$8)</f>
        <v>-5.5834161220373289E-2</v>
      </c>
      <c r="AA87" s="14">
        <f t="shared" si="16"/>
        <v>8</v>
      </c>
      <c r="AB87" s="7">
        <f>IF(OR(A87="",多次统计数据!$B$8="",多次统计数据!$B$6&lt;=0,多次统计数据!$B$6&gt;=1),"",1-POWER(1+多次统计数据!$B$8,-多次统计数据!$B$6/(1-多次统计数据!$B$6)))</f>
        <v>4.3559956348562801E-2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17"/>
        <v>2.4868254136792161E-3</v>
      </c>
    </row>
    <row r="88" spans="1:32" x14ac:dyDescent="0.15">
      <c r="A88" s="2">
        <v>87</v>
      </c>
      <c r="B88" s="2" t="s">
        <v>79</v>
      </c>
      <c r="C88" s="9">
        <v>179388</v>
      </c>
      <c r="D88" s="6">
        <v>0.02</v>
      </c>
      <c r="E88" s="9">
        <v>4.46</v>
      </c>
      <c r="F88" s="8">
        <f t="shared" si="9"/>
        <v>13700</v>
      </c>
      <c r="G88" s="8" t="str">
        <f>IF(OR(A88="",F88="",E88="",N88="",E88&lt;=N88,账户数据!$B$7=""),"",IF(账户数据!$B$9+IF(H88="",F88*(E88-N88),0)&gt;=账户数据!$B$7,"禁止开仓","允许开仓"))</f>
        <v>允许开仓</v>
      </c>
      <c r="H88" s="2">
        <v>13700</v>
      </c>
      <c r="I88" s="10">
        <v>43753</v>
      </c>
      <c r="J88" s="9">
        <v>5</v>
      </c>
      <c r="K88" s="9">
        <v>4.9000000000000004</v>
      </c>
      <c r="L88" s="8">
        <f t="shared" si="10"/>
        <v>13700</v>
      </c>
      <c r="M88" s="10">
        <v>43767</v>
      </c>
      <c r="N88" s="9">
        <v>4.2</v>
      </c>
      <c r="O88" s="9"/>
      <c r="P88" s="9"/>
      <c r="Q88" s="2"/>
      <c r="R88" s="2"/>
      <c r="S88" s="2"/>
      <c r="T88" s="2"/>
      <c r="U88" s="7">
        <f t="shared" si="11"/>
        <v>0.1210762331838565</v>
      </c>
      <c r="V88" s="7">
        <f t="shared" si="12"/>
        <v>5.8295964125560491E-2</v>
      </c>
      <c r="W88" s="13">
        <f t="shared" si="13"/>
        <v>2.0769230769230784</v>
      </c>
      <c r="X88" s="5">
        <f t="shared" si="14"/>
        <v>6028</v>
      </c>
      <c r="Y88" s="7">
        <f t="shared" si="15"/>
        <v>9.8654708520179366E-2</v>
      </c>
      <c r="Z88" s="7">
        <f>IF(OR(AE88="",多次统计数据!$B$8=""),"",AE88-多次统计数据!$B$8)</f>
        <v>-2.4717847070648037E-2</v>
      </c>
      <c r="AA88" s="14">
        <f t="shared" si="16"/>
        <v>14</v>
      </c>
      <c r="AB88" s="7">
        <f>IF(OR(A88="",多次统计数据!$B$8="",多次统计数据!$B$6&lt;=0,多次统计数据!$B$6&gt;=1),"",1-POWER(1+多次统计数据!$B$8,-多次统计数据!$B$6/(1-多次统计数据!$B$6)))</f>
        <v>4.3559956348562801E-2</v>
      </c>
      <c r="AC88" s="8" t="str">
        <f>IF(OR(AB88="",多次统计数据!$B$9=""),"",IF(多次统计数据!$B$9&lt;AB88,"低于上限","达到或超过上限"))</f>
        <v>低于上限</v>
      </c>
      <c r="AD88" s="2" t="s">
        <v>60</v>
      </c>
      <c r="AE88" s="7">
        <f t="shared" si="17"/>
        <v>3.3603139563404466E-2</v>
      </c>
    </row>
    <row r="89" spans="1:32" x14ac:dyDescent="0.15">
      <c r="A89" s="2">
        <v>88</v>
      </c>
      <c r="B89" s="2" t="s">
        <v>79</v>
      </c>
      <c r="C89" s="9">
        <v>185416</v>
      </c>
      <c r="D89" s="6">
        <v>0.02</v>
      </c>
      <c r="E89" s="9">
        <v>5.19</v>
      </c>
      <c r="F89" s="8">
        <f t="shared" si="9"/>
        <v>19500</v>
      </c>
      <c r="G89" s="8" t="str">
        <f>IF(OR(A89="",F89="",E89="",N89="",E89&lt;=N89,账户数据!$B$7=""),"",IF(账户数据!$B$9+IF(H89="",F89*(E89-N89),0)&gt;=账户数据!$B$7,"禁止开仓","允许开仓"))</f>
        <v>允许开仓</v>
      </c>
      <c r="H89" s="2">
        <v>19500</v>
      </c>
      <c r="I89" s="10">
        <v>43775</v>
      </c>
      <c r="J89" s="9">
        <v>6</v>
      </c>
      <c r="K89" s="9">
        <v>4.63</v>
      </c>
      <c r="L89" s="8">
        <f t="shared" si="10"/>
        <v>19500</v>
      </c>
      <c r="M89" s="10">
        <v>43777</v>
      </c>
      <c r="N89" s="9">
        <v>5</v>
      </c>
      <c r="O89" s="9"/>
      <c r="P89" s="9"/>
      <c r="Q89" s="2"/>
      <c r="R89" s="2"/>
      <c r="S89" s="2"/>
      <c r="T89" s="2"/>
      <c r="U89" s="7">
        <f t="shared" si="11"/>
        <v>0.15606936416184963</v>
      </c>
      <c r="V89" s="7">
        <f t="shared" si="12"/>
        <v>3.6608863198458644E-2</v>
      </c>
      <c r="W89" s="13">
        <f t="shared" si="13"/>
        <v>4.2631578947368318</v>
      </c>
      <c r="X89" s="5">
        <f t="shared" si="14"/>
        <v>-10920.000000000015</v>
      </c>
      <c r="Y89" s="7">
        <f t="shared" si="15"/>
        <v>-0.10789980732177276</v>
      </c>
      <c r="Z89" s="7">
        <f>IF(OR(AE89="",多次统计数据!$B$8=""),"",AE89-多次统计数据!$B$8)</f>
        <v>-0.11721558041236729</v>
      </c>
      <c r="AA89" s="14">
        <f t="shared" si="16"/>
        <v>2</v>
      </c>
      <c r="AB89" s="7">
        <f>IF(OR(A89="",多次统计数据!$B$8="",多次统计数据!$B$6&lt;=0,多次统计数据!$B$6&gt;=1),"",1-POWER(1+多次统计数据!$B$8,-多次统计数据!$B$6/(1-多次统计数据!$B$6)))</f>
        <v>4.3559956348562801E-2</v>
      </c>
      <c r="AC89" s="8" t="str">
        <f>IF(OR(AB89="",多次统计数据!$B$9=""),"",IF(多次统计数据!$B$9&lt;AB89,"低于上限","达到或超过上限"))</f>
        <v>低于上限</v>
      </c>
      <c r="AD89" s="2" t="s">
        <v>66</v>
      </c>
      <c r="AE89" s="7">
        <f t="shared" si="17"/>
        <v>-5.889459377831479E-2</v>
      </c>
      <c r="AF89" t="s">
        <v>80</v>
      </c>
    </row>
    <row r="90" spans="1:32" x14ac:dyDescent="0.15">
      <c r="A90" s="2">
        <v>89</v>
      </c>
      <c r="B90" s="2" t="s">
        <v>79</v>
      </c>
      <c r="C90" s="9">
        <v>174496</v>
      </c>
      <c r="D90" s="6">
        <v>0.02</v>
      </c>
      <c r="E90" s="9">
        <v>4.99</v>
      </c>
      <c r="F90" s="8">
        <f t="shared" si="9"/>
        <v>7100</v>
      </c>
      <c r="G90" s="8" t="str">
        <f>IF(OR(A90="",F90="",E90="",N90="",E90&lt;=N90,账户数据!$B$7=""),"",IF(账户数据!$B$9+IF(H90="",F90*(E90-N90),0)&gt;=账户数据!$B$7,"禁止开仓","允许开仓"))</f>
        <v>允许开仓</v>
      </c>
      <c r="H90" s="2">
        <v>7100</v>
      </c>
      <c r="I90" s="10">
        <v>43851</v>
      </c>
      <c r="J90" s="9">
        <v>6</v>
      </c>
      <c r="K90" s="9">
        <v>4.55</v>
      </c>
      <c r="L90" s="8">
        <f t="shared" si="10"/>
        <v>7100</v>
      </c>
      <c r="M90" s="10">
        <v>43852</v>
      </c>
      <c r="N90" s="9">
        <v>4.5</v>
      </c>
      <c r="O90" s="9"/>
      <c r="P90" s="9"/>
      <c r="Q90" s="2"/>
      <c r="R90" s="2"/>
      <c r="S90" s="2"/>
      <c r="T90" s="2"/>
      <c r="U90" s="7">
        <f t="shared" si="11"/>
        <v>0.20240480961923843</v>
      </c>
      <c r="V90" s="7">
        <f t="shared" si="12"/>
        <v>9.8196392785571185E-2</v>
      </c>
      <c r="W90" s="13">
        <f t="shared" si="13"/>
        <v>2.0612244897959169</v>
      </c>
      <c r="X90" s="5">
        <f t="shared" si="14"/>
        <v>-3124</v>
      </c>
      <c r="Y90" s="7">
        <f t="shared" si="15"/>
        <v>-8.8176352705410826E-2</v>
      </c>
      <c r="Z90" s="7">
        <f>IF(OR(AE90="",多次统计数据!$B$8=""),"",AE90-多次统计数据!$B$8)</f>
        <v>-7.6223975814320249E-2</v>
      </c>
      <c r="AA90" s="14">
        <f t="shared" si="16"/>
        <v>1</v>
      </c>
      <c r="AB90" s="7">
        <f>IF(OR(A90="",多次统计数据!$B$8="",多次统计数据!$B$6&lt;=0,多次统计数据!$B$6&gt;=1),"",1-POWER(1+多次统计数据!$B$8,-多次统计数据!$B$6/(1-多次统计数据!$B$6)))</f>
        <v>4.3559956348562801E-2</v>
      </c>
      <c r="AC90" s="8" t="str">
        <f>IF(OR(AB90="",多次统计数据!$B$9=""),"",IF(多次统计数据!$B$9&lt;AB90,"低于上限","达到或超过上限"))</f>
        <v>低于上限</v>
      </c>
      <c r="AD90" s="2" t="s">
        <v>70</v>
      </c>
      <c r="AE90" s="7">
        <f t="shared" si="17"/>
        <v>-1.7902989180267743E-2</v>
      </c>
    </row>
    <row r="91" spans="1:32" x14ac:dyDescent="0.15">
      <c r="A91" s="2">
        <v>90</v>
      </c>
      <c r="B91" s="2" t="s">
        <v>79</v>
      </c>
      <c r="C91" s="9">
        <v>171372</v>
      </c>
      <c r="D91" s="6">
        <v>0.02</v>
      </c>
      <c r="E91" s="9">
        <v>4.55</v>
      </c>
      <c r="F91" s="8">
        <f t="shared" si="9"/>
        <v>6200</v>
      </c>
      <c r="G91" s="8" t="str">
        <f>IF(OR(A91="",F91="",E91="",N91="",E91&lt;=N91,账户数据!$B$7=""),"",IF(账户数据!$B$9+IF(H91="",F91*(E91-N91),0)&gt;=账户数据!$B$7,"禁止开仓","允许开仓"))</f>
        <v>允许开仓</v>
      </c>
      <c r="H91" s="2">
        <v>6200</v>
      </c>
      <c r="I91" s="10">
        <v>43864</v>
      </c>
      <c r="J91" s="9">
        <v>6</v>
      </c>
      <c r="K91" s="9">
        <v>3.91</v>
      </c>
      <c r="L91" s="8">
        <f t="shared" si="10"/>
        <v>6200</v>
      </c>
      <c r="M91" s="10">
        <v>43889</v>
      </c>
      <c r="N91" s="9">
        <v>4</v>
      </c>
      <c r="O91" s="9"/>
      <c r="P91" s="9"/>
      <c r="Q91" s="2"/>
      <c r="R91" s="2"/>
      <c r="S91" s="2"/>
      <c r="T91" s="2"/>
      <c r="U91" s="7">
        <f t="shared" si="11"/>
        <v>0.31868131868131871</v>
      </c>
      <c r="V91" s="7">
        <f t="shared" si="12"/>
        <v>0.12087912087912084</v>
      </c>
      <c r="W91" s="13">
        <f t="shared" si="13"/>
        <v>2.6363636363636376</v>
      </c>
      <c r="X91" s="5">
        <f t="shared" si="14"/>
        <v>-3968</v>
      </c>
      <c r="Y91" s="7">
        <f t="shared" si="15"/>
        <v>-0.14065934065934066</v>
      </c>
      <c r="Z91" s="7">
        <f>IF(OR(AE91="",多次统计数据!$B$8=""),"",AE91-多次统计数据!$B$8)</f>
        <v>-8.1475294222223271E-2</v>
      </c>
      <c r="AA91" s="14">
        <f t="shared" si="16"/>
        <v>25</v>
      </c>
      <c r="AB91" s="7">
        <f>IF(OR(A91="",多次统计数据!$B$8="",多次统计数据!$B$6&lt;=0,多次统计数据!$B$6&gt;=1),"",1-POWER(1+多次统计数据!$B$8,-多次统计数据!$B$6/(1-多次统计数据!$B$6)))</f>
        <v>4.3559956348562801E-2</v>
      </c>
      <c r="AC91" s="8" t="str">
        <f>IF(OR(AB91="",多次统计数据!$B$9=""),"",IF(多次统计数据!$B$9&lt;AB91,"低于上限","达到或超过上限"))</f>
        <v>低于上限</v>
      </c>
      <c r="AD91" s="2" t="s">
        <v>81</v>
      </c>
      <c r="AE91" s="7">
        <f t="shared" si="17"/>
        <v>-2.3154307588170765E-2</v>
      </c>
      <c r="AF91" t="s">
        <v>82</v>
      </c>
    </row>
    <row r="92" spans="1:32" x14ac:dyDescent="0.15">
      <c r="A92" s="2">
        <v>91</v>
      </c>
      <c r="B92" s="2" t="s">
        <v>79</v>
      </c>
      <c r="C92" s="9">
        <v>167404</v>
      </c>
      <c r="D92" s="6">
        <v>0.02</v>
      </c>
      <c r="E92" s="9">
        <v>4.33</v>
      </c>
      <c r="F92" s="8">
        <f t="shared" si="9"/>
        <v>7700</v>
      </c>
      <c r="G92" s="8" t="str">
        <f>IF(OR(A92="",F92="",E92="",N92="",E92&lt;=N92,账户数据!$B$7=""),"",IF(账户数据!$B$9+IF(H92="",F92*(E92-N92),0)&gt;=账户数据!$B$7,"禁止开仓","允许开仓"))</f>
        <v>允许开仓</v>
      </c>
      <c r="H92" s="2">
        <v>7700</v>
      </c>
      <c r="I92" s="10">
        <v>44235</v>
      </c>
      <c r="J92" s="9">
        <v>5</v>
      </c>
      <c r="K92" s="9">
        <v>9.27</v>
      </c>
      <c r="L92" s="8">
        <f t="shared" si="10"/>
        <v>7700</v>
      </c>
      <c r="M92" s="10">
        <v>44565</v>
      </c>
      <c r="N92" s="9">
        <v>3.9</v>
      </c>
      <c r="O92" s="9"/>
      <c r="P92" s="9"/>
      <c r="Q92" s="2"/>
      <c r="R92" s="2"/>
      <c r="S92" s="2"/>
      <c r="T92" s="2"/>
      <c r="U92" s="7">
        <f t="shared" si="11"/>
        <v>0.15473441108545033</v>
      </c>
      <c r="V92" s="7">
        <f t="shared" si="12"/>
        <v>9.9307159353348759E-2</v>
      </c>
      <c r="W92" s="13">
        <f t="shared" si="13"/>
        <v>1.5581395348837204</v>
      </c>
      <c r="X92" s="5">
        <f t="shared" si="14"/>
        <v>38038</v>
      </c>
      <c r="Y92" s="7">
        <f t="shared" si="15"/>
        <v>1.1408775981524248</v>
      </c>
      <c r="Z92" s="7">
        <f>IF(OR(AE92="",多次统计数据!$B$8=""),"",AE92-多次统计数据!$B$8)</f>
        <v>0.16890177984703517</v>
      </c>
      <c r="AA92" s="14">
        <f t="shared" si="16"/>
        <v>330</v>
      </c>
      <c r="AB92" s="7">
        <f>IF(OR(A92="",多次统计数据!$B$8="",多次统计数据!$B$6&lt;=0,多次统计数据!$B$6&gt;=1),"",1-POWER(1+多次统计数据!$B$8,-多次统计数据!$B$6/(1-多次统计数据!$B$6)))</f>
        <v>4.3559956348562801E-2</v>
      </c>
      <c r="AC92" s="8" t="str">
        <f>IF(OR(AB92="",多次统计数据!$B$9=""),"",IF(多次统计数据!$B$9&lt;AB92,"低于上限","达到或超过上限"))</f>
        <v>低于上限</v>
      </c>
      <c r="AD92" s="2" t="s">
        <v>63</v>
      </c>
      <c r="AE92" s="7">
        <f t="shared" si="17"/>
        <v>0.22722276648108766</v>
      </c>
      <c r="AF92" t="s">
        <v>83</v>
      </c>
    </row>
    <row r="93" spans="1:32" x14ac:dyDescent="0.15">
      <c r="A93" s="2">
        <v>92</v>
      </c>
      <c r="B93" s="2" t="s">
        <v>79</v>
      </c>
      <c r="C93" s="9">
        <v>205442</v>
      </c>
      <c r="D93" s="6">
        <v>0.02</v>
      </c>
      <c r="E93" s="9">
        <v>6.13</v>
      </c>
      <c r="F93" s="8">
        <f t="shared" si="9"/>
        <v>6500</v>
      </c>
      <c r="G93" s="8" t="str">
        <f>IF(OR(A93="",F93="",E93="",N93="",E93&lt;=N93,账户数据!$B$7=""),"",IF(账户数据!$B$9+IF(H93="",F93*(E93-N93),0)&gt;=账户数据!$B$7,"禁止开仓","允许开仓"))</f>
        <v>允许开仓</v>
      </c>
      <c r="H93" s="2">
        <v>6500</v>
      </c>
      <c r="I93" s="10">
        <v>44636</v>
      </c>
      <c r="J93" s="9">
        <v>7</v>
      </c>
      <c r="K93" s="9">
        <v>7.62</v>
      </c>
      <c r="L93" s="8">
        <f t="shared" si="10"/>
        <v>6500</v>
      </c>
      <c r="M93" s="10">
        <v>44644</v>
      </c>
      <c r="N93" s="9">
        <v>5.5</v>
      </c>
      <c r="O93" s="9"/>
      <c r="P93" s="9"/>
      <c r="Q93" s="2"/>
      <c r="R93" s="2"/>
      <c r="S93" s="2"/>
      <c r="T93" s="2"/>
      <c r="U93" s="7">
        <f t="shared" si="11"/>
        <v>0.14192495921696577</v>
      </c>
      <c r="V93" s="7">
        <f t="shared" si="12"/>
        <v>0.1027732463295269</v>
      </c>
      <c r="W93" s="13">
        <f t="shared" si="13"/>
        <v>1.3809523809523814</v>
      </c>
      <c r="X93" s="5">
        <f t="shared" si="14"/>
        <v>9685</v>
      </c>
      <c r="Y93" s="7">
        <f t="shared" si="15"/>
        <v>0.24306688417618272</v>
      </c>
      <c r="Z93" s="7">
        <f>IF(OR(AE93="",多次统计数据!$B$8=""),"",AE93-多次统计数据!$B$8)</f>
        <v>-1.1178727504955237E-2</v>
      </c>
      <c r="AA93" s="14">
        <f t="shared" si="16"/>
        <v>8</v>
      </c>
      <c r="AB93" s="7">
        <f>IF(OR(A93="",多次统计数据!$B$8="",多次统计数据!$B$6&lt;=0,多次统计数据!$B$6&gt;=1),"",1-POWER(1+多次统计数据!$B$8,-多次统计数据!$B$6/(1-多次统计数据!$B$6)))</f>
        <v>4.3559956348562801E-2</v>
      </c>
      <c r="AC93" s="8" t="str">
        <f>IF(OR(AB93="",多次统计数据!$B$9=""),"",IF(多次统计数据!$B$9&lt;AB93,"低于上限","达到或超过上限"))</f>
        <v>低于上限</v>
      </c>
      <c r="AD93" s="2" t="s">
        <v>60</v>
      </c>
      <c r="AE93" s="7">
        <f t="shared" si="17"/>
        <v>4.7142259129097266E-2</v>
      </c>
      <c r="AF93" t="s">
        <v>84</v>
      </c>
    </row>
    <row r="94" spans="1:32" x14ac:dyDescent="0.15">
      <c r="A94" s="2">
        <v>93</v>
      </c>
      <c r="B94" s="2" t="s">
        <v>79</v>
      </c>
      <c r="C94" s="9">
        <v>215127</v>
      </c>
      <c r="D94" s="6">
        <v>0.02</v>
      </c>
      <c r="E94" s="9">
        <v>6.86</v>
      </c>
      <c r="F94" s="8">
        <f t="shared" si="9"/>
        <v>5000</v>
      </c>
      <c r="G94" s="8" t="str">
        <f>IF(OR(A94="",F94="",E94="",N94="",E94&lt;=N94,账户数据!$B$7=""),"",IF(账户数据!$B$9+IF(H94="",F94*(E94-N94),0)&gt;=账户数据!$B$7,"禁止开仓","允许开仓"))</f>
        <v>允许开仓</v>
      </c>
      <c r="H94" s="2">
        <v>5000</v>
      </c>
      <c r="I94" s="10">
        <v>44678</v>
      </c>
      <c r="J94" s="9">
        <v>9</v>
      </c>
      <c r="K94" s="9">
        <v>7.74</v>
      </c>
      <c r="L94" s="8">
        <f t="shared" si="10"/>
        <v>5000</v>
      </c>
      <c r="M94" s="10">
        <v>44692</v>
      </c>
      <c r="N94" s="9">
        <v>6</v>
      </c>
      <c r="O94" s="9"/>
      <c r="P94" s="9"/>
      <c r="Q94" s="2"/>
      <c r="R94" s="2"/>
      <c r="S94" s="2"/>
      <c r="T94" s="2"/>
      <c r="U94" s="7">
        <f t="shared" si="11"/>
        <v>0.31195335276967923</v>
      </c>
      <c r="V94" s="7">
        <f t="shared" si="12"/>
        <v>0.12536443148688051</v>
      </c>
      <c r="W94" s="13">
        <f t="shared" si="13"/>
        <v>2.4883720930232545</v>
      </c>
      <c r="X94" s="5">
        <f t="shared" si="14"/>
        <v>4400</v>
      </c>
      <c r="Y94" s="7">
        <f t="shared" si="15"/>
        <v>0.1282798833819242</v>
      </c>
      <c r="Z94" s="7">
        <f>IF(OR(AE94="",多次统计数据!$B$8=""),"",AE94-多次统计数据!$B$8)</f>
        <v>-3.7867951915026066E-2</v>
      </c>
      <c r="AA94" s="14">
        <f t="shared" si="16"/>
        <v>14</v>
      </c>
      <c r="AB94" s="7">
        <f>IF(OR(A94="",多次统计数据!$B$8="",多次统计数据!$B$6&lt;=0,多次统计数据!$B$6&gt;=1),"",1-POWER(1+多次统计数据!$B$8,-多次统计数据!$B$6/(1-多次统计数据!$B$6)))</f>
        <v>4.3559956348562801E-2</v>
      </c>
      <c r="AC94" s="8" t="str">
        <f>IF(OR(AB94="",多次统计数据!$B$9=""),"",IF(多次统计数据!$B$9&lt;AB94,"低于上限","达到或超过上限"))</f>
        <v>低于上限</v>
      </c>
      <c r="AD94" s="2" t="s">
        <v>70</v>
      </c>
      <c r="AE94" s="7">
        <f t="shared" si="17"/>
        <v>2.0453034719026434E-2</v>
      </c>
      <c r="AF94" t="s">
        <v>85</v>
      </c>
    </row>
    <row r="95" spans="1:32" x14ac:dyDescent="0.15">
      <c r="A95" s="2">
        <v>94</v>
      </c>
      <c r="B95" s="2" t="s">
        <v>79</v>
      </c>
      <c r="C95" s="9">
        <v>219527</v>
      </c>
      <c r="D95" s="6">
        <v>0.02</v>
      </c>
      <c r="E95" s="9">
        <v>12.26</v>
      </c>
      <c r="F95" s="8">
        <f t="shared" si="9"/>
        <v>5700</v>
      </c>
      <c r="G95" s="8" t="str">
        <f>IF(OR(A95="",F95="",E95="",N95="",E95&lt;=N95,账户数据!$B$7=""),"",IF(账户数据!$B$9+IF(H95="",F95*(E95-N95),0)&gt;=账户数据!$B$7,"禁止开仓","允许开仓"))</f>
        <v>允许开仓</v>
      </c>
      <c r="H95" s="2">
        <v>5700</v>
      </c>
      <c r="I95" s="10">
        <v>44992</v>
      </c>
      <c r="J95" s="9">
        <v>14</v>
      </c>
      <c r="K95" s="9">
        <v>18.07</v>
      </c>
      <c r="L95" s="8">
        <f t="shared" si="10"/>
        <v>5700</v>
      </c>
      <c r="M95" s="10">
        <v>45034</v>
      </c>
      <c r="N95" s="9">
        <v>11.5</v>
      </c>
      <c r="O95" s="9"/>
      <c r="P95" s="9"/>
      <c r="Q95" s="2"/>
      <c r="R95" s="2"/>
      <c r="S95" s="2"/>
      <c r="T95" s="2"/>
      <c r="U95" s="7">
        <f t="shared" si="11"/>
        <v>0.14192495921696577</v>
      </c>
      <c r="V95" s="7">
        <f t="shared" si="12"/>
        <v>6.1990212071778121E-2</v>
      </c>
      <c r="W95" s="13">
        <f t="shared" si="13"/>
        <v>2.2894736842105274</v>
      </c>
      <c r="X95" s="5">
        <f t="shared" si="14"/>
        <v>33117</v>
      </c>
      <c r="Y95" s="7">
        <f t="shared" si="15"/>
        <v>0.47389885807504079</v>
      </c>
      <c r="Z95" s="7">
        <f>IF(OR(AE95="",多次统计数据!$B$8=""),"",AE95-多次统计数据!$B$8)</f>
        <v>9.2535172289451212E-2</v>
      </c>
      <c r="AA95" s="14">
        <f t="shared" si="16"/>
        <v>42</v>
      </c>
      <c r="AB95" s="7">
        <f>IF(OR(A95="",多次统计数据!$B$8="",多次统计数据!$B$6&lt;=0,多次统计数据!$B$6&gt;=1),"",1-POWER(1+多次统计数据!$B$8,-多次统计数据!$B$6/(1-多次统计数据!$B$6)))</f>
        <v>4.3559956348562801E-2</v>
      </c>
      <c r="AC95" s="8" t="str">
        <f>IF(OR(AB95="",多次统计数据!$B$9=""),"",IF(多次统计数据!$B$9&lt;AB95,"低于上限","达到或超过上限"))</f>
        <v>低于上限</v>
      </c>
      <c r="AD95" s="2" t="s">
        <v>60</v>
      </c>
      <c r="AE95" s="7">
        <f t="shared" si="17"/>
        <v>0.15085615892350371</v>
      </c>
      <c r="AF95" t="s">
        <v>84</v>
      </c>
    </row>
    <row r="96" spans="1:32" x14ac:dyDescent="0.15">
      <c r="A96" s="2">
        <v>95</v>
      </c>
      <c r="B96" s="2" t="s">
        <v>79</v>
      </c>
      <c r="C96" s="9">
        <v>252644</v>
      </c>
      <c r="D96" s="6">
        <v>0.02</v>
      </c>
      <c r="E96" s="9">
        <v>18.149999999999999</v>
      </c>
      <c r="F96" s="8">
        <f t="shared" si="9"/>
        <v>3800</v>
      </c>
      <c r="G96" s="8" t="str">
        <f>IF(OR(A96="",F96="",E96="",N96="",E96&lt;=N96,账户数据!$B$7=""),"",IF(账户数据!$B$9+IF(H96="",F96*(E96-N96),0)&gt;=账户数据!$B$7,"禁止开仓","允许开仓"))</f>
        <v>允许开仓</v>
      </c>
      <c r="H96" s="2">
        <v>3800</v>
      </c>
      <c r="I96" s="10">
        <v>45306</v>
      </c>
      <c r="J96" s="9">
        <v>20</v>
      </c>
      <c r="K96" s="9">
        <v>16.25</v>
      </c>
      <c r="L96" s="8">
        <f t="shared" si="10"/>
        <v>3800</v>
      </c>
      <c r="M96" s="10">
        <v>45313</v>
      </c>
      <c r="N96" s="9">
        <v>16.829999999999998</v>
      </c>
      <c r="O96" s="9"/>
      <c r="P96" s="9"/>
      <c r="Q96" s="2"/>
      <c r="R96" s="2"/>
      <c r="S96" s="2"/>
      <c r="T96" s="2"/>
      <c r="U96" s="7">
        <f t="shared" si="11"/>
        <v>0.10192837465564747</v>
      </c>
      <c r="V96" s="7">
        <f t="shared" si="12"/>
        <v>7.2727272727272751E-2</v>
      </c>
      <c r="W96" s="13">
        <f t="shared" si="13"/>
        <v>1.4015151515151523</v>
      </c>
      <c r="X96" s="5">
        <f t="shared" si="14"/>
        <v>-7220</v>
      </c>
      <c r="Y96" s="7">
        <f t="shared" si="15"/>
        <v>-0.1046831955922865</v>
      </c>
      <c r="Z96" s="7">
        <f>IF(OR(AE96="",多次统计数据!$B$8=""),"",AE96-多次统计数据!$B$8)</f>
        <v>-8.6898748227440828E-2</v>
      </c>
      <c r="AA96" s="14">
        <f t="shared" si="16"/>
        <v>7</v>
      </c>
      <c r="AB96" s="7">
        <f>IF(OR(A96="",多次统计数据!$B$8="",多次统计数据!$B$6&lt;=0,多次统计数据!$B$6&gt;=1),"",1-POWER(1+多次统计数据!$B$8,-多次统计数据!$B$6/(1-多次统计数据!$B$6)))</f>
        <v>4.3559956348562801E-2</v>
      </c>
      <c r="AC96" s="8" t="str">
        <f>IF(OR(AB96="",多次统计数据!$B$9=""),"",IF(多次统计数据!$B$9&lt;AB96,"低于上限","达到或超过上限"))</f>
        <v>低于上限</v>
      </c>
      <c r="AD96" s="2" t="s">
        <v>81</v>
      </c>
      <c r="AE96" s="7">
        <f t="shared" si="17"/>
        <v>-2.8577761593388325E-2</v>
      </c>
      <c r="AF96" t="s">
        <v>86</v>
      </c>
    </row>
    <row r="97" spans="1:32" x14ac:dyDescent="0.15">
      <c r="A97" s="2">
        <v>96</v>
      </c>
      <c r="B97" s="15" t="s">
        <v>300</v>
      </c>
      <c r="C97" s="9">
        <v>245424</v>
      </c>
      <c r="D97" s="6">
        <v>0.02</v>
      </c>
      <c r="E97" s="9">
        <v>6.94</v>
      </c>
      <c r="F97" s="8">
        <f t="shared" si="9"/>
        <v>5200</v>
      </c>
      <c r="G97" s="8" t="str">
        <f>IF(OR(A97="",F97="",E97="",N97="",E97&lt;=N97,账户数据!$B$7=""),"",IF(账户数据!$B$9+IF(H97="",F97*(E97-N97),0)&gt;=账户数据!$B$7,"禁止开仓","允许开仓"))</f>
        <v>允许开仓</v>
      </c>
      <c r="H97" s="2">
        <v>5200</v>
      </c>
      <c r="I97" s="10">
        <v>42536</v>
      </c>
      <c r="J97" s="9">
        <v>9</v>
      </c>
      <c r="K97" s="9">
        <v>9</v>
      </c>
      <c r="L97" s="8">
        <f t="shared" si="10"/>
        <v>5200</v>
      </c>
      <c r="M97" s="10">
        <v>42615</v>
      </c>
      <c r="N97" s="9">
        <v>6</v>
      </c>
      <c r="O97" s="9"/>
      <c r="P97" s="9"/>
      <c r="Q97" s="2"/>
      <c r="R97" s="2"/>
      <c r="S97" s="2"/>
      <c r="T97" s="2"/>
      <c r="U97" s="7">
        <f t="shared" si="11"/>
        <v>0.29682997118155613</v>
      </c>
      <c r="V97" s="7">
        <f t="shared" si="12"/>
        <v>0.13544668587896258</v>
      </c>
      <c r="W97" s="13">
        <f t="shared" si="13"/>
        <v>2.1914893617021263</v>
      </c>
      <c r="X97" s="5">
        <f t="shared" si="14"/>
        <v>10712</v>
      </c>
      <c r="Y97" s="7">
        <f t="shared" si="15"/>
        <v>0.29682997118155618</v>
      </c>
      <c r="Z97" s="7">
        <f>IF(OR(AE97="",多次统计数据!$B$8=""),"",AE97-多次统计数据!$B$8)</f>
        <v>-1.4674073536718908E-2</v>
      </c>
      <c r="AA97" s="14">
        <f t="shared" si="16"/>
        <v>79</v>
      </c>
      <c r="AB97" s="7">
        <f>IF(OR(A97="",多次统计数据!$B$8="",多次统计数据!$B$6&lt;=0,多次统计数据!$B$6&gt;=1),"",1-POWER(1+多次统计数据!$B$8,-多次统计数据!$B$6/(1-多次统计数据!$B$6)))</f>
        <v>4.3559956348562801E-2</v>
      </c>
      <c r="AC97" s="8" t="str">
        <f>IF(OR(AB97="",多次统计数据!$B$9=""),"",IF(多次统计数据!$B$9&lt;AB97,"低于上限","达到或超过上限"))</f>
        <v>低于上限</v>
      </c>
      <c r="AD97" s="2" t="s">
        <v>81</v>
      </c>
      <c r="AE97" s="7">
        <f t="shared" si="17"/>
        <v>4.3646913097333595E-2</v>
      </c>
      <c r="AF97" s="16" t="s">
        <v>301</v>
      </c>
    </row>
    <row r="98" spans="1:32" x14ac:dyDescent="0.15">
      <c r="A98" s="2">
        <v>97</v>
      </c>
      <c r="B98" s="15" t="s">
        <v>300</v>
      </c>
      <c r="C98" s="9">
        <v>256136</v>
      </c>
      <c r="D98" s="6">
        <v>0.02</v>
      </c>
      <c r="E98" s="9">
        <v>8.99</v>
      </c>
      <c r="F98" s="8">
        <f t="shared" si="9"/>
        <v>5100</v>
      </c>
      <c r="G98" s="8" t="str">
        <f>IF(OR(A98="",F98="",E98="",N98="",E98&lt;=N98,账户数据!$B$7=""),"",IF(账户数据!$B$9+IF(H98="",F98*(E98-N98),0)&gt;=账户数据!$B$7,"禁止开仓","允许开仓"))</f>
        <v>允许开仓</v>
      </c>
      <c r="H98" s="2">
        <v>5100</v>
      </c>
      <c r="I98" s="10">
        <v>42683</v>
      </c>
      <c r="J98" s="9">
        <v>10</v>
      </c>
      <c r="K98" s="9">
        <v>8.4499999999999993</v>
      </c>
      <c r="L98" s="8">
        <f t="shared" si="10"/>
        <v>5100</v>
      </c>
      <c r="M98" s="10">
        <v>42706</v>
      </c>
      <c r="N98" s="9">
        <v>8</v>
      </c>
      <c r="O98" s="9"/>
      <c r="P98" s="9"/>
      <c r="Q98" s="2"/>
      <c r="R98" s="2"/>
      <c r="S98" s="2"/>
      <c r="T98" s="2"/>
      <c r="U98" s="7">
        <f t="shared" si="11"/>
        <v>0.11234705228031143</v>
      </c>
      <c r="V98" s="7">
        <f t="shared" si="12"/>
        <v>0.11012235817575086</v>
      </c>
      <c r="W98" s="13">
        <f t="shared" si="13"/>
        <v>1.0202020202020197</v>
      </c>
      <c r="X98" s="5">
        <f t="shared" si="14"/>
        <v>-2754</v>
      </c>
      <c r="Y98" s="7">
        <f t="shared" si="15"/>
        <v>-6.0066740823136816E-2</v>
      </c>
      <c r="Z98" s="7">
        <f>IF(OR(AE98="",多次统计数据!$B$8=""),"",AE98-多次统计数据!$B$8)</f>
        <v>-6.9073087080690224E-2</v>
      </c>
      <c r="AA98" s="14">
        <f t="shared" si="16"/>
        <v>23</v>
      </c>
      <c r="AB98" s="7">
        <f>IF(OR(A98="",多次统计数据!$B$8="",多次统计数据!$B$6&lt;=0,多次统计数据!$B$6&gt;=1),"",1-POWER(1+多次统计数据!$B$8,-多次统计数据!$B$6/(1-多次统计数据!$B$6)))</f>
        <v>4.3559956348562801E-2</v>
      </c>
      <c r="AC98" s="8" t="str">
        <f>IF(OR(AB98="",多次统计数据!$B$9=""),"",IF(多次统计数据!$B$9&lt;AB98,"低于上限","达到或超过上限"))</f>
        <v>低于上限</v>
      </c>
      <c r="AD98" s="2" t="s">
        <v>70</v>
      </c>
      <c r="AE98" s="7">
        <f t="shared" si="17"/>
        <v>-1.0752100446637724E-2</v>
      </c>
      <c r="AF98" s="16" t="s">
        <v>302</v>
      </c>
    </row>
    <row r="99" spans="1:32" x14ac:dyDescent="0.15">
      <c r="A99" s="2">
        <v>98</v>
      </c>
      <c r="B99" s="15" t="s">
        <v>300</v>
      </c>
      <c r="C99" s="9">
        <v>253382</v>
      </c>
      <c r="D99" s="6">
        <v>0.02</v>
      </c>
      <c r="E99" s="9">
        <v>7.86</v>
      </c>
      <c r="F99" s="8">
        <f t="shared" si="9"/>
        <v>5800</v>
      </c>
      <c r="G99" s="8" t="str">
        <f>IF(OR(A99="",F99="",E99="",N99="",E99&lt;=N99,账户数据!$B$7=""),"",IF(账户数据!$B$9+IF(H99="",F99*(E99-N99),0)&gt;=账户数据!$B$7,"禁止开仓","允许开仓"))</f>
        <v>允许开仓</v>
      </c>
      <c r="H99" s="2">
        <v>5800</v>
      </c>
      <c r="I99" s="10">
        <v>42718</v>
      </c>
      <c r="J99" s="9">
        <v>9</v>
      </c>
      <c r="K99" s="9">
        <v>6.6</v>
      </c>
      <c r="L99" s="8">
        <f t="shared" si="10"/>
        <v>5800</v>
      </c>
      <c r="M99" s="10">
        <v>42845</v>
      </c>
      <c r="N99" s="9">
        <v>7</v>
      </c>
      <c r="O99" s="9"/>
      <c r="P99" s="9"/>
      <c r="Q99" s="2"/>
      <c r="R99" s="2"/>
      <c r="S99" s="2"/>
      <c r="T99" s="2"/>
      <c r="U99" s="7">
        <f t="shared" si="11"/>
        <v>0.14503816793893126</v>
      </c>
      <c r="V99" s="7">
        <f t="shared" si="12"/>
        <v>0.10941475826972014</v>
      </c>
      <c r="W99" s="13">
        <f t="shared" si="13"/>
        <v>1.3255813953488365</v>
      </c>
      <c r="X99" s="5">
        <f t="shared" si="14"/>
        <v>-7308</v>
      </c>
      <c r="Y99" s="7">
        <f t="shared" si="15"/>
        <v>-0.16030534351145037</v>
      </c>
      <c r="Z99" s="7">
        <f>IF(OR(AE99="",多次统计数据!$B$8=""),"",AE99-多次统计数据!$B$8)</f>
        <v>-8.7162814388194468E-2</v>
      </c>
      <c r="AA99" s="14">
        <f t="shared" si="16"/>
        <v>127</v>
      </c>
      <c r="AB99" s="7">
        <f>IF(OR(A99="",多次统计数据!$B$8="",多次统计数据!$B$6&lt;=0,多次统计数据!$B$6&gt;=1),"",1-POWER(1+多次统计数据!$B$8,-多次统计数据!$B$6/(1-多次统计数据!$B$6)))</f>
        <v>4.3559956348562801E-2</v>
      </c>
      <c r="AC99" s="8" t="str">
        <f>IF(OR(AB99="",多次统计数据!$B$9=""),"",IF(多次统计数据!$B$9&lt;AB99,"低于上限","达到或超过上限"))</f>
        <v>低于上限</v>
      </c>
      <c r="AD99" s="2" t="s">
        <v>81</v>
      </c>
      <c r="AE99" s="7">
        <f t="shared" si="17"/>
        <v>-2.8841827754141968E-2</v>
      </c>
      <c r="AF99" s="16" t="s">
        <v>304</v>
      </c>
    </row>
    <row r="100" spans="1:32" x14ac:dyDescent="0.15">
      <c r="A100" s="2">
        <v>99</v>
      </c>
      <c r="B100" s="15" t="s">
        <v>300</v>
      </c>
      <c r="C100" s="9">
        <v>246074</v>
      </c>
      <c r="D100" s="6">
        <v>0.02</v>
      </c>
      <c r="E100" s="9">
        <v>6.27</v>
      </c>
      <c r="F100" s="8">
        <f t="shared" si="9"/>
        <v>10400</v>
      </c>
      <c r="G100" s="8" t="str">
        <f>IF(OR(A100="",F100="",E100="",N100="",E100&lt;=N100,账户数据!$B$7=""),"",IF(账户数据!$B$9+IF(H100="",F100*(E100-N100),0)&gt;=账户数据!$B$7,"禁止开仓","允许开仓"))</f>
        <v>允许开仓</v>
      </c>
      <c r="H100" s="2">
        <v>10400</v>
      </c>
      <c r="I100" s="10">
        <v>42870</v>
      </c>
      <c r="J100" s="9">
        <v>7</v>
      </c>
      <c r="K100" s="9">
        <v>5.46</v>
      </c>
      <c r="L100" s="8">
        <f t="shared" si="10"/>
        <v>10400</v>
      </c>
      <c r="M100" s="10">
        <v>43075</v>
      </c>
      <c r="N100" s="9">
        <v>5.8</v>
      </c>
      <c r="O100" s="9"/>
      <c r="P100" s="9"/>
      <c r="Q100" s="2"/>
      <c r="R100" s="2"/>
      <c r="S100" s="2"/>
      <c r="T100" s="2"/>
      <c r="U100" s="7">
        <f t="shared" si="11"/>
        <v>0.11642743221690598</v>
      </c>
      <c r="V100" s="7">
        <f t="shared" si="12"/>
        <v>7.4960127591706505E-2</v>
      </c>
      <c r="W100" s="13">
        <f t="shared" si="13"/>
        <v>1.5531914893617038</v>
      </c>
      <c r="X100" s="5">
        <f t="shared" si="14"/>
        <v>-8423.9999999999927</v>
      </c>
      <c r="Y100" s="7">
        <f t="shared" si="15"/>
        <v>-0.12918660287081329</v>
      </c>
      <c r="Z100" s="7">
        <f>IF(OR(AE100="",多次统计数据!$B$8=""),"",AE100-多次统计数据!$B$8)</f>
        <v>-9.2554591159520416E-2</v>
      </c>
      <c r="AA100" s="14">
        <f t="shared" si="16"/>
        <v>205</v>
      </c>
      <c r="AB100" s="7">
        <f>IF(OR(A100="",多次统计数据!$B$8="",多次统计数据!$B$6&lt;=0,多次统计数据!$B$6&gt;=1),"",1-POWER(1+多次统计数据!$B$8,-多次统计数据!$B$6/(1-多次统计数据!$B$6)))</f>
        <v>4.3559956348562801E-2</v>
      </c>
      <c r="AC100" s="8" t="str">
        <f>IF(OR(AB100="",多次统计数据!$B$9=""),"",IF(多次统计数据!$B$9&lt;AB100,"低于上限","达到或超过上限"))</f>
        <v>低于上限</v>
      </c>
      <c r="AD100" s="2" t="s">
        <v>66</v>
      </c>
      <c r="AE100" s="7">
        <f t="shared" si="17"/>
        <v>-3.423360452546792E-2</v>
      </c>
    </row>
    <row r="101" spans="1:32" x14ac:dyDescent="0.15">
      <c r="A101" s="2">
        <v>99</v>
      </c>
      <c r="B101" s="15" t="s">
        <v>300</v>
      </c>
      <c r="C101" s="9">
        <v>237650</v>
      </c>
      <c r="D101" s="6">
        <v>0.02</v>
      </c>
      <c r="E101" s="9">
        <v>5.6</v>
      </c>
      <c r="F101" s="8">
        <f t="shared" si="9"/>
        <v>7900</v>
      </c>
      <c r="G101" s="8" t="str">
        <f>IF(OR(A101="",F101="",E101="",N101="",E101&lt;=N101,账户数据!$B$7=""),"",IF(账户数据!$B$9+IF(H101="",F101*(E101-N101),0)&gt;=账户数据!$B$7,"禁止开仓","允许开仓"))</f>
        <v>允许开仓</v>
      </c>
      <c r="H101" s="2">
        <v>7900</v>
      </c>
      <c r="I101" s="10">
        <v>43108</v>
      </c>
      <c r="J101" s="9">
        <v>6</v>
      </c>
      <c r="K101" s="9">
        <v>4.29</v>
      </c>
      <c r="L101" s="8">
        <f t="shared" si="10"/>
        <v>7900</v>
      </c>
      <c r="M101" s="10">
        <v>43266</v>
      </c>
      <c r="N101" s="9">
        <v>5</v>
      </c>
      <c r="O101" s="9"/>
      <c r="P101" s="9"/>
      <c r="Q101" s="2"/>
      <c r="R101" s="2"/>
      <c r="S101" s="2"/>
      <c r="T101" s="2"/>
      <c r="U101" s="7">
        <f t="shared" si="11"/>
        <v>7.1428571428571494E-2</v>
      </c>
      <c r="V101" s="7">
        <f t="shared" si="12"/>
        <v>0.10714285714285708</v>
      </c>
      <c r="W101" s="13">
        <f t="shared" si="13"/>
        <v>0.66666666666666763</v>
      </c>
      <c r="X101" s="5">
        <f t="shared" si="14"/>
        <v>-10349</v>
      </c>
      <c r="Y101" s="7">
        <f t="shared" si="15"/>
        <v>-0.23392857142857143</v>
      </c>
      <c r="Z101" s="7">
        <f>IF(OR(AE101="",多次统计数据!$B$8=""),"",AE101-多次统计数据!$B$8)</f>
        <v>-0.10186821996037272</v>
      </c>
      <c r="AA101" s="14">
        <f t="shared" si="16"/>
        <v>158</v>
      </c>
      <c r="AB101" s="7">
        <f>IF(OR(A101="",多次统计数据!$B$8="",多次统计数据!$B$6&lt;=0,多次统计数据!$B$6&gt;=1),"",1-POWER(1+多次统计数据!$B$8,-多次统计数据!$B$6/(1-多次统计数据!$B$6)))</f>
        <v>4.3559956348562801E-2</v>
      </c>
      <c r="AC101" s="8" t="str">
        <f>IF(OR(AB101="",多次统计数据!$B$9=""),"",IF(多次统计数据!$B$9&lt;AB101,"低于上限","达到或超过上限"))</f>
        <v>低于上限</v>
      </c>
      <c r="AD101" s="2" t="s">
        <v>66</v>
      </c>
      <c r="AE101" s="7">
        <f t="shared" si="17"/>
        <v>-4.3547233326320219E-2</v>
      </c>
    </row>
    <row r="102" spans="1:32" x14ac:dyDescent="0.15">
      <c r="A102" s="2">
        <v>100</v>
      </c>
      <c r="B102" s="15" t="s">
        <v>300</v>
      </c>
      <c r="C102" s="9">
        <v>227301</v>
      </c>
      <c r="D102" s="6">
        <v>0.02</v>
      </c>
      <c r="E102" s="9">
        <v>3.07</v>
      </c>
      <c r="F102" s="8">
        <f t="shared" si="9"/>
        <v>16800</v>
      </c>
      <c r="G102" s="8" t="str">
        <f>IF(OR(A102="",F102="",E102="",N102="",E102&lt;=N102,账户数据!$B$7=""),"",IF(账户数据!$B$9+IF(H102="",F102*(E102-N102),0)&gt;=账户数据!$B$7,"禁止开仓","允许开仓"))</f>
        <v>允许开仓</v>
      </c>
      <c r="H102" s="2">
        <v>16800</v>
      </c>
      <c r="I102" s="10">
        <v>43381</v>
      </c>
      <c r="J102" s="9">
        <v>4</v>
      </c>
      <c r="K102" s="18">
        <v>2.73</v>
      </c>
      <c r="L102" s="8">
        <f t="shared" si="10"/>
        <v>16800</v>
      </c>
      <c r="M102" s="10">
        <v>43384</v>
      </c>
      <c r="N102" s="9">
        <v>2.8</v>
      </c>
      <c r="O102" s="9"/>
      <c r="P102" s="9"/>
      <c r="Q102" s="2"/>
      <c r="R102" s="2"/>
      <c r="S102" s="2"/>
      <c r="T102" s="2"/>
      <c r="U102" s="7">
        <f t="shared" si="11"/>
        <v>0.30293159609120529</v>
      </c>
      <c r="V102" s="7">
        <f t="shared" si="12"/>
        <v>8.7947882736156363E-2</v>
      </c>
      <c r="W102" s="13">
        <f t="shared" si="13"/>
        <v>3.4444444444444451</v>
      </c>
      <c r="X102" s="5">
        <f t="shared" si="14"/>
        <v>-5712</v>
      </c>
      <c r="Y102" s="7">
        <f t="shared" si="15"/>
        <v>-0.11074918566775244</v>
      </c>
      <c r="Z102" s="7">
        <f>IF(OR(AE102="",多次统计数据!$B$8=""),"",AE102-多次统计数据!$B$8)</f>
        <v>-8.3450660502623258E-2</v>
      </c>
      <c r="AA102" s="14">
        <f t="shared" si="16"/>
        <v>3</v>
      </c>
      <c r="AB102" s="7">
        <f>IF(OR(A102="",多次统计数据!$B$8="",多次统计数据!$B$6&lt;=0,多次统计数据!$B$6&gt;=1),"",1-POWER(1+多次统计数据!$B$8,-多次统计数据!$B$6/(1-多次统计数据!$B$6)))</f>
        <v>4.3559956348562801E-2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 t="shared" si="17"/>
        <v>-2.5129673868570748E-2</v>
      </c>
    </row>
    <row r="103" spans="1:32" x14ac:dyDescent="0.15">
      <c r="A103" s="2">
        <v>101</v>
      </c>
      <c r="B103" s="15" t="s">
        <v>300</v>
      </c>
      <c r="C103" s="9">
        <v>221589</v>
      </c>
      <c r="D103" s="6">
        <v>0.02</v>
      </c>
      <c r="E103" s="9">
        <v>2.74</v>
      </c>
      <c r="F103" s="8">
        <f t="shared" si="9"/>
        <v>18400</v>
      </c>
      <c r="G103" s="8" t="str">
        <f>IF(OR(A103="",F103="",E103="",N103="",E103&lt;=N103,账户数据!$B$7=""),"",IF(账户数据!$B$9+IF(H103="",F103*(E103-N103),0)&gt;=账户数据!$B$7,"禁止开仓","允许开仓"))</f>
        <v>允许开仓</v>
      </c>
      <c r="H103" s="2">
        <v>18400</v>
      </c>
      <c r="I103" s="10">
        <v>43404</v>
      </c>
      <c r="J103" s="9">
        <v>3</v>
      </c>
      <c r="K103" s="9">
        <v>2.42</v>
      </c>
      <c r="L103" s="8">
        <f t="shared" si="10"/>
        <v>18400</v>
      </c>
      <c r="M103" s="10">
        <v>43461</v>
      </c>
      <c r="N103" s="9">
        <v>2.5</v>
      </c>
      <c r="O103" s="9"/>
      <c r="P103" s="9"/>
      <c r="Q103" s="2"/>
      <c r="R103" s="2"/>
      <c r="S103" s="2"/>
      <c r="T103" s="2"/>
      <c r="U103" s="7">
        <f t="shared" si="11"/>
        <v>9.4890510948905021E-2</v>
      </c>
      <c r="V103" s="7">
        <f t="shared" si="12"/>
        <v>8.7591240875912482E-2</v>
      </c>
      <c r="W103" s="13">
        <f t="shared" si="13"/>
        <v>1.0833333333333315</v>
      </c>
      <c r="X103" s="5">
        <f t="shared" si="14"/>
        <v>-5888.0000000000073</v>
      </c>
      <c r="Y103" s="7">
        <f t="shared" si="15"/>
        <v>-0.11678832116788333</v>
      </c>
      <c r="Z103" s="7">
        <f>IF(OR(AE103="",多次统计数据!$B$8=""),"",AE103-多次统计数据!$B$8)</f>
        <v>-8.4892702739093856E-2</v>
      </c>
      <c r="AA103" s="14">
        <f t="shared" si="16"/>
        <v>57</v>
      </c>
      <c r="AB103" s="7">
        <f>IF(OR(A103="",多次统计数据!$B$8="",多次统计数据!$B$6&lt;=0,多次统计数据!$B$6&gt;=1),"",1-POWER(1+多次统计数据!$B$8,-多次统计数据!$B$6/(1-多次统计数据!$B$6)))</f>
        <v>4.3559956348562801E-2</v>
      </c>
      <c r="AC103" s="8" t="str">
        <f>IF(OR(AB103="",多次统计数据!$B$9=""),"",IF(多次统计数据!$B$9&lt;AB103,"低于上限","达到或超过上限"))</f>
        <v>低于上限</v>
      </c>
      <c r="AD103" s="2"/>
      <c r="AE103" s="7">
        <f t="shared" si="17"/>
        <v>-2.6571716105041349E-2</v>
      </c>
    </row>
    <row r="104" spans="1:32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2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2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2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2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2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2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2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2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4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实际买入股数无效" error="实际买入股数必须是大于0的100股整数倍" sqref="H2:H201" xr:uid="{00000000-0002-0000-0000-000002000000}">
      <formula1>OR(H2="",AND(ISNUMBER(H2),H2&gt;0,MOD(H2,100)=0))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1"/>
  <sheetViews>
    <sheetView workbookViewId="0">
      <pane ySplit="1" topLeftCell="A96" activePane="bottomLeft" state="frozen"/>
      <selection pane="bottomLeft" activeCell="I104" sqref="I104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87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  <c r="J1" t="s">
        <v>31</v>
      </c>
      <c r="K1" t="s">
        <v>94</v>
      </c>
      <c r="L1" t="s">
        <v>308</v>
      </c>
    </row>
    <row r="2" spans="1:12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95</v>
      </c>
    </row>
    <row r="3" spans="1:12" ht="40.5" x14ac:dyDescent="0.15">
      <c r="A3" s="2"/>
      <c r="B3" s="2"/>
      <c r="C3" s="2"/>
      <c r="D3" s="2"/>
      <c r="E3" s="10"/>
      <c r="F3" s="2"/>
      <c r="G3" s="2"/>
      <c r="H3" s="2"/>
      <c r="I3" s="2" t="s">
        <v>96</v>
      </c>
    </row>
    <row r="4" spans="1:12" ht="27" x14ac:dyDescent="0.15">
      <c r="A4" s="2"/>
      <c r="B4" s="2"/>
      <c r="C4" s="2"/>
      <c r="D4" s="2"/>
      <c r="E4" s="10"/>
      <c r="F4" s="2"/>
      <c r="G4" s="2"/>
      <c r="H4" s="2"/>
      <c r="I4" s="2" t="s">
        <v>97</v>
      </c>
    </row>
    <row r="5" spans="1:12" ht="27" x14ac:dyDescent="0.15">
      <c r="A5" s="2"/>
      <c r="B5" s="2"/>
      <c r="C5" s="2"/>
      <c r="D5" s="2"/>
      <c r="E5" s="10"/>
      <c r="F5" s="2"/>
      <c r="G5" s="2"/>
      <c r="H5" s="2"/>
      <c r="I5" s="2" t="s">
        <v>98</v>
      </c>
    </row>
    <row r="6" spans="1:12" ht="27" x14ac:dyDescent="0.15">
      <c r="A6" s="2"/>
      <c r="B6" s="2"/>
      <c r="C6" s="2"/>
      <c r="D6" s="2"/>
      <c r="E6" s="10"/>
      <c r="F6" s="2"/>
      <c r="G6" s="2"/>
      <c r="H6" s="2"/>
      <c r="I6" s="2" t="s">
        <v>99</v>
      </c>
      <c r="J6" t="s">
        <v>100</v>
      </c>
    </row>
    <row r="7" spans="1:12" x14ac:dyDescent="0.15">
      <c r="A7" s="2"/>
      <c r="B7" s="2"/>
      <c r="C7" s="2"/>
      <c r="D7" s="2"/>
      <c r="E7" s="10"/>
      <c r="F7" s="2"/>
      <c r="G7" s="2"/>
      <c r="H7" s="2"/>
      <c r="I7" s="2" t="s">
        <v>101</v>
      </c>
    </row>
    <row r="8" spans="1:12" x14ac:dyDescent="0.15">
      <c r="A8" s="2"/>
      <c r="B8" s="2"/>
      <c r="C8" s="2"/>
      <c r="D8" s="2"/>
      <c r="E8" s="10"/>
      <c r="F8" s="2"/>
      <c r="G8" s="2"/>
      <c r="H8" s="2"/>
      <c r="I8" s="2"/>
    </row>
    <row r="9" spans="1:12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2" ht="27" x14ac:dyDescent="0.15">
      <c r="A10" s="2">
        <v>9</v>
      </c>
      <c r="B10" s="2"/>
      <c r="C10" s="2"/>
      <c r="D10" s="2"/>
      <c r="E10" s="10"/>
      <c r="F10" s="2"/>
      <c r="G10" s="2"/>
      <c r="H10" s="2"/>
      <c r="I10" s="2" t="s">
        <v>102</v>
      </c>
    </row>
    <row r="11" spans="1:12" ht="27" x14ac:dyDescent="0.15">
      <c r="A11" s="2">
        <v>11</v>
      </c>
      <c r="B11" s="2"/>
      <c r="C11" s="2"/>
      <c r="D11" s="2"/>
      <c r="E11" s="10"/>
      <c r="F11" s="2"/>
      <c r="G11" s="2"/>
      <c r="H11" s="2"/>
      <c r="I11" s="2" t="s">
        <v>103</v>
      </c>
    </row>
    <row r="12" spans="1:12" ht="27" x14ac:dyDescent="0.15">
      <c r="A12" s="2">
        <v>14</v>
      </c>
      <c r="B12" s="2"/>
      <c r="C12" s="2"/>
      <c r="D12" s="2"/>
      <c r="E12" s="10"/>
      <c r="F12" s="2"/>
      <c r="G12" s="2"/>
      <c r="H12" s="2"/>
      <c r="I12" s="2" t="s">
        <v>104</v>
      </c>
    </row>
    <row r="13" spans="1:12" ht="27" x14ac:dyDescent="0.15">
      <c r="A13" s="2">
        <v>15</v>
      </c>
      <c r="B13" s="2"/>
      <c r="C13" s="2"/>
      <c r="D13" s="2"/>
      <c r="E13" s="10"/>
      <c r="F13" s="2"/>
      <c r="G13" s="2"/>
      <c r="H13" s="2"/>
      <c r="I13" s="2" t="s">
        <v>105</v>
      </c>
    </row>
    <row r="14" spans="1:12" ht="27" x14ac:dyDescent="0.15">
      <c r="A14" s="2">
        <v>16</v>
      </c>
      <c r="B14" s="2"/>
      <c r="C14" s="2"/>
      <c r="D14" s="2"/>
      <c r="E14" s="10"/>
      <c r="F14" s="2"/>
      <c r="G14" s="2"/>
      <c r="H14" s="2"/>
      <c r="I14" s="2" t="s">
        <v>106</v>
      </c>
    </row>
    <row r="15" spans="1:12" ht="27" x14ac:dyDescent="0.15">
      <c r="A15" s="2">
        <v>17</v>
      </c>
      <c r="B15" s="2"/>
      <c r="C15" s="2"/>
      <c r="D15" s="2"/>
      <c r="E15" s="10"/>
      <c r="F15" s="2"/>
      <c r="G15" s="2"/>
      <c r="H15" s="2"/>
      <c r="I15" s="2" t="s">
        <v>107</v>
      </c>
    </row>
    <row r="16" spans="1:12" ht="40.5" x14ac:dyDescent="0.15">
      <c r="A16" s="2">
        <v>18</v>
      </c>
      <c r="B16" s="2"/>
      <c r="C16" s="2"/>
      <c r="D16" s="2"/>
      <c r="E16" s="10"/>
      <c r="F16" s="2"/>
      <c r="G16" s="2"/>
      <c r="H16" s="2"/>
      <c r="I16" s="2" t="s">
        <v>108</v>
      </c>
    </row>
    <row r="17" spans="1:9" ht="27" x14ac:dyDescent="0.15">
      <c r="A17" s="2">
        <v>19</v>
      </c>
      <c r="B17" s="2"/>
      <c r="C17" s="2"/>
      <c r="D17" s="2"/>
      <c r="E17" s="10"/>
      <c r="F17" s="2"/>
      <c r="G17" s="2"/>
      <c r="H17" s="2"/>
      <c r="I17" s="2" t="s">
        <v>109</v>
      </c>
    </row>
    <row r="18" spans="1:9" ht="27" x14ac:dyDescent="0.15">
      <c r="A18" s="2">
        <v>20</v>
      </c>
      <c r="B18" s="2"/>
      <c r="C18" s="2"/>
      <c r="D18" s="2"/>
      <c r="E18" s="10"/>
      <c r="F18" s="2"/>
      <c r="G18" s="2"/>
      <c r="H18" s="2"/>
      <c r="I18" s="2" t="s">
        <v>110</v>
      </c>
    </row>
    <row r="19" spans="1:9" ht="27" x14ac:dyDescent="0.15">
      <c r="A19" s="2">
        <v>21</v>
      </c>
      <c r="B19" s="2"/>
      <c r="C19" s="2"/>
      <c r="D19" s="2"/>
      <c r="E19" s="10"/>
      <c r="F19" s="2"/>
      <c r="G19" s="2"/>
      <c r="H19" s="2"/>
      <c r="I19" s="2" t="s">
        <v>111</v>
      </c>
    </row>
    <row r="20" spans="1:9" ht="27" x14ac:dyDescent="0.15">
      <c r="A20" s="2">
        <v>22</v>
      </c>
      <c r="B20" s="2"/>
      <c r="C20" s="2"/>
      <c r="D20" s="2"/>
      <c r="E20" s="10"/>
      <c r="F20" s="2"/>
      <c r="G20" s="2"/>
      <c r="H20" s="2"/>
      <c r="I20" s="2" t="s">
        <v>112</v>
      </c>
    </row>
    <row r="21" spans="1:9" ht="27" x14ac:dyDescent="0.15">
      <c r="A21" s="2">
        <v>23</v>
      </c>
      <c r="B21" s="2"/>
      <c r="C21" s="2"/>
      <c r="D21" s="2"/>
      <c r="E21" s="10"/>
      <c r="F21" s="2"/>
      <c r="G21" s="2"/>
      <c r="H21" s="2"/>
      <c r="I21" s="2" t="s">
        <v>113</v>
      </c>
    </row>
    <row r="22" spans="1:9" ht="27" x14ac:dyDescent="0.15">
      <c r="A22" s="2">
        <v>24</v>
      </c>
      <c r="B22" s="2"/>
      <c r="C22" s="2"/>
      <c r="D22" s="2"/>
      <c r="E22" s="10"/>
      <c r="F22" s="2"/>
      <c r="G22" s="2"/>
      <c r="H22" s="2"/>
      <c r="I22" s="2" t="s">
        <v>114</v>
      </c>
    </row>
    <row r="23" spans="1:9" ht="40.5" x14ac:dyDescent="0.15">
      <c r="A23" s="2">
        <v>25</v>
      </c>
      <c r="B23" s="2"/>
      <c r="C23" s="2"/>
      <c r="D23" s="2"/>
      <c r="E23" s="10"/>
      <c r="F23" s="2"/>
      <c r="G23" s="2"/>
      <c r="H23" s="2"/>
      <c r="I23" s="2" t="s">
        <v>115</v>
      </c>
    </row>
    <row r="24" spans="1:9" ht="27" x14ac:dyDescent="0.15">
      <c r="A24" s="2">
        <v>26</v>
      </c>
      <c r="B24" s="2"/>
      <c r="C24" s="2"/>
      <c r="D24" s="2"/>
      <c r="E24" s="10"/>
      <c r="F24" s="2"/>
      <c r="G24" s="2"/>
      <c r="H24" s="2"/>
      <c r="I24" s="2" t="s">
        <v>116</v>
      </c>
    </row>
    <row r="25" spans="1:9" ht="27" x14ac:dyDescent="0.15">
      <c r="A25" s="2">
        <v>27</v>
      </c>
      <c r="B25" s="2"/>
      <c r="C25" s="2"/>
      <c r="D25" s="2"/>
      <c r="E25" s="10"/>
      <c r="F25" s="2"/>
      <c r="G25" s="2"/>
      <c r="H25" s="2"/>
      <c r="I25" s="2" t="s">
        <v>117</v>
      </c>
    </row>
    <row r="26" spans="1:9" ht="40.5" x14ac:dyDescent="0.15">
      <c r="A26" s="2">
        <v>28</v>
      </c>
      <c r="B26" s="2"/>
      <c r="C26" s="2"/>
      <c r="D26" s="2"/>
      <c r="E26" s="10"/>
      <c r="F26" s="2"/>
      <c r="G26" s="2"/>
      <c r="H26" s="2"/>
      <c r="I26" s="2" t="s">
        <v>118</v>
      </c>
    </row>
    <row r="27" spans="1:9" ht="27" x14ac:dyDescent="0.15">
      <c r="A27" s="2">
        <v>29</v>
      </c>
      <c r="B27" s="2"/>
      <c r="C27" s="2"/>
      <c r="D27" s="2"/>
      <c r="E27" s="10"/>
      <c r="F27" s="2"/>
      <c r="G27" s="2"/>
      <c r="H27" s="2"/>
      <c r="I27" s="2" t="s">
        <v>119</v>
      </c>
    </row>
    <row r="28" spans="1:9" ht="27" x14ac:dyDescent="0.15">
      <c r="A28" s="2">
        <v>30</v>
      </c>
      <c r="B28" s="2"/>
      <c r="C28" s="2"/>
      <c r="D28" s="2"/>
      <c r="E28" s="10"/>
      <c r="F28" s="2"/>
      <c r="G28" s="2"/>
      <c r="H28" s="2"/>
      <c r="I28" s="2" t="s">
        <v>120</v>
      </c>
    </row>
    <row r="29" spans="1:9" ht="27" x14ac:dyDescent="0.15">
      <c r="A29" s="2">
        <v>31</v>
      </c>
      <c r="B29" s="2"/>
      <c r="C29" s="2"/>
      <c r="D29" s="2"/>
      <c r="E29" s="10"/>
      <c r="F29" s="2"/>
      <c r="G29" s="2"/>
      <c r="H29" s="2"/>
      <c r="I29" s="2" t="s">
        <v>121</v>
      </c>
    </row>
    <row r="30" spans="1:9" ht="27" x14ac:dyDescent="0.15">
      <c r="A30" s="2">
        <v>32</v>
      </c>
      <c r="B30" s="2"/>
      <c r="C30" s="2"/>
      <c r="D30" s="2"/>
      <c r="E30" s="10"/>
      <c r="F30" s="2"/>
      <c r="G30" s="2"/>
      <c r="H30" s="2"/>
      <c r="I30" s="2" t="s">
        <v>122</v>
      </c>
    </row>
    <row r="31" spans="1:9" ht="27" x14ac:dyDescent="0.15">
      <c r="A31" s="2">
        <v>33</v>
      </c>
      <c r="B31" s="2"/>
      <c r="C31" s="2"/>
      <c r="D31" s="2"/>
      <c r="E31" s="10"/>
      <c r="F31" s="2"/>
      <c r="G31" s="2"/>
      <c r="H31" s="2"/>
      <c r="I31" s="2" t="s">
        <v>123</v>
      </c>
    </row>
    <row r="32" spans="1:9" ht="27" x14ac:dyDescent="0.15">
      <c r="A32" s="2">
        <v>34</v>
      </c>
      <c r="B32" s="2"/>
      <c r="C32" s="2"/>
      <c r="D32" s="2"/>
      <c r="E32" s="10"/>
      <c r="F32" s="2"/>
      <c r="G32" s="2"/>
      <c r="H32" s="2"/>
      <c r="I32" s="2" t="s">
        <v>124</v>
      </c>
    </row>
    <row r="33" spans="1:9" x14ac:dyDescent="0.15">
      <c r="A33" s="2">
        <v>35</v>
      </c>
      <c r="B33" s="2"/>
      <c r="C33" s="2"/>
      <c r="D33" s="2"/>
      <c r="E33" s="10"/>
      <c r="F33" s="2"/>
      <c r="G33" s="2"/>
      <c r="H33" s="2"/>
      <c r="I33" s="2" t="s">
        <v>125</v>
      </c>
    </row>
    <row r="34" spans="1:9" ht="27" x14ac:dyDescent="0.15">
      <c r="A34" s="2">
        <v>36</v>
      </c>
      <c r="B34" s="2"/>
      <c r="C34" s="2"/>
      <c r="D34" s="2"/>
      <c r="E34" s="10"/>
      <c r="F34" s="2"/>
      <c r="G34" s="2"/>
      <c r="H34" s="2"/>
      <c r="I34" s="2" t="s">
        <v>126</v>
      </c>
    </row>
    <row r="35" spans="1:9" ht="27" x14ac:dyDescent="0.15">
      <c r="A35" s="2">
        <v>37</v>
      </c>
      <c r="B35" s="2"/>
      <c r="C35" s="2"/>
      <c r="D35" s="2"/>
      <c r="E35" s="10"/>
      <c r="F35" s="2"/>
      <c r="G35" s="2"/>
      <c r="H35" s="2"/>
      <c r="I35" s="2" t="s">
        <v>127</v>
      </c>
    </row>
    <row r="36" spans="1:9" ht="40.5" x14ac:dyDescent="0.15">
      <c r="A36" s="2">
        <v>38</v>
      </c>
      <c r="B36" s="2"/>
      <c r="C36" s="2"/>
      <c r="D36" s="2"/>
      <c r="E36" s="10"/>
      <c r="F36" s="2"/>
      <c r="G36" s="2"/>
      <c r="H36" s="2"/>
      <c r="I36" s="2" t="s">
        <v>128</v>
      </c>
    </row>
    <row r="37" spans="1:9" x14ac:dyDescent="0.15">
      <c r="A37" s="2">
        <v>39</v>
      </c>
      <c r="B37" s="2"/>
      <c r="C37" s="2"/>
      <c r="D37" s="2"/>
      <c r="E37" s="10"/>
      <c r="F37" s="2"/>
      <c r="G37" s="2"/>
      <c r="H37" s="2"/>
      <c r="I37" s="2" t="s">
        <v>129</v>
      </c>
    </row>
    <row r="38" spans="1:9" ht="27" x14ac:dyDescent="0.15">
      <c r="A38" s="2">
        <v>40</v>
      </c>
      <c r="B38" s="2"/>
      <c r="C38" s="2"/>
      <c r="D38" s="2"/>
      <c r="E38" s="10"/>
      <c r="F38" s="2"/>
      <c r="G38" s="2"/>
      <c r="H38" s="2"/>
      <c r="I38" s="2" t="s">
        <v>130</v>
      </c>
    </row>
    <row r="39" spans="1:9" x14ac:dyDescent="0.15">
      <c r="A39" s="2">
        <v>41</v>
      </c>
      <c r="B39" s="2"/>
      <c r="C39" s="2"/>
      <c r="D39" s="2"/>
      <c r="E39" s="10"/>
      <c r="F39" s="2"/>
      <c r="G39" s="2"/>
      <c r="H39" s="2"/>
      <c r="I39" s="2" t="s">
        <v>131</v>
      </c>
    </row>
    <row r="40" spans="1:9" x14ac:dyDescent="0.15">
      <c r="A40" s="2">
        <v>42</v>
      </c>
      <c r="B40" s="2"/>
      <c r="C40" s="2"/>
      <c r="D40" s="2"/>
      <c r="E40" s="10"/>
      <c r="F40" s="2"/>
      <c r="G40" s="2"/>
      <c r="H40" s="2"/>
      <c r="I40" s="2" t="s">
        <v>132</v>
      </c>
    </row>
    <row r="41" spans="1:9" x14ac:dyDescent="0.15">
      <c r="A41" s="2">
        <v>43</v>
      </c>
      <c r="B41" s="2"/>
      <c r="C41" s="2"/>
      <c r="D41" s="2"/>
      <c r="E41" s="10"/>
      <c r="F41" s="2"/>
      <c r="G41" s="2"/>
      <c r="H41" s="2"/>
      <c r="I41" s="2" t="s">
        <v>133</v>
      </c>
    </row>
    <row r="42" spans="1:9" ht="27" x14ac:dyDescent="0.15">
      <c r="A42" s="2">
        <v>44</v>
      </c>
      <c r="B42" s="2"/>
      <c r="C42" s="2"/>
      <c r="D42" s="2"/>
      <c r="E42" s="10"/>
      <c r="F42" s="2"/>
      <c r="G42" s="2"/>
      <c r="H42" s="2"/>
      <c r="I42" s="2" t="s">
        <v>134</v>
      </c>
    </row>
    <row r="43" spans="1:9" ht="27" x14ac:dyDescent="0.15">
      <c r="A43" s="2">
        <v>45</v>
      </c>
      <c r="B43" s="2"/>
      <c r="C43" s="2"/>
      <c r="D43" s="2"/>
      <c r="E43" s="10"/>
      <c r="F43" s="2"/>
      <c r="G43" s="2"/>
      <c r="H43" s="2"/>
      <c r="I43" s="2" t="s">
        <v>135</v>
      </c>
    </row>
    <row r="44" spans="1:9" ht="27" x14ac:dyDescent="0.15">
      <c r="A44" s="2">
        <v>46</v>
      </c>
      <c r="B44" s="2"/>
      <c r="C44" s="2"/>
      <c r="D44" s="2"/>
      <c r="E44" s="10"/>
      <c r="F44" s="2"/>
      <c r="G44" s="2"/>
      <c r="H44" s="2"/>
      <c r="I44" s="2" t="s">
        <v>136</v>
      </c>
    </row>
    <row r="45" spans="1:9" x14ac:dyDescent="0.15">
      <c r="A45" s="2">
        <v>47</v>
      </c>
      <c r="B45" s="2"/>
      <c r="C45" s="2"/>
      <c r="D45" s="2"/>
      <c r="E45" s="10"/>
      <c r="F45" s="2"/>
      <c r="G45" s="2"/>
      <c r="H45" s="2"/>
      <c r="I45" s="2" t="s">
        <v>137</v>
      </c>
    </row>
    <row r="46" spans="1:9" x14ac:dyDescent="0.15">
      <c r="A46" s="2">
        <v>48</v>
      </c>
      <c r="B46" s="2"/>
      <c r="C46" s="2"/>
      <c r="D46" s="2"/>
      <c r="E46" s="10"/>
      <c r="F46" s="2"/>
      <c r="G46" s="2"/>
      <c r="H46" s="2"/>
      <c r="I46" s="2" t="s">
        <v>138</v>
      </c>
    </row>
    <row r="47" spans="1:9" x14ac:dyDescent="0.15">
      <c r="A47" s="2">
        <v>49</v>
      </c>
      <c r="B47" s="2"/>
      <c r="C47" s="2"/>
      <c r="D47" s="2"/>
      <c r="E47" s="10"/>
      <c r="F47" s="2"/>
      <c r="G47" s="2"/>
      <c r="H47" s="2"/>
      <c r="I47" s="2" t="s">
        <v>139</v>
      </c>
    </row>
    <row r="48" spans="1:9" x14ac:dyDescent="0.15">
      <c r="A48" s="2">
        <v>50</v>
      </c>
      <c r="B48" s="2"/>
      <c r="C48" s="2"/>
      <c r="D48" s="2"/>
      <c r="E48" s="10"/>
      <c r="F48" s="2"/>
      <c r="G48" s="2"/>
      <c r="H48" s="2"/>
      <c r="I48" s="2" t="s">
        <v>140</v>
      </c>
    </row>
    <row r="49" spans="1:9" x14ac:dyDescent="0.15">
      <c r="A49" s="2">
        <v>51</v>
      </c>
      <c r="B49" s="2"/>
      <c r="C49" s="2"/>
      <c r="D49" s="2"/>
      <c r="E49" s="10"/>
      <c r="F49" s="2"/>
      <c r="G49" s="2"/>
      <c r="H49" s="2"/>
      <c r="I49" s="2" t="s">
        <v>141</v>
      </c>
    </row>
    <row r="50" spans="1:9" ht="27" x14ac:dyDescent="0.15">
      <c r="A50" s="2">
        <v>52</v>
      </c>
      <c r="B50" s="2"/>
      <c r="C50" s="2"/>
      <c r="D50" s="2"/>
      <c r="E50" s="10"/>
      <c r="F50" s="2"/>
      <c r="G50" s="2"/>
      <c r="H50" s="2"/>
      <c r="I50" s="2" t="s">
        <v>142</v>
      </c>
    </row>
    <row r="51" spans="1:9" ht="27" x14ac:dyDescent="0.15">
      <c r="A51" s="2">
        <v>53</v>
      </c>
      <c r="B51" s="2"/>
      <c r="C51" s="2"/>
      <c r="D51" s="2"/>
      <c r="E51" s="10"/>
      <c r="F51" s="2"/>
      <c r="G51" s="2"/>
      <c r="H51" s="2"/>
      <c r="I51" s="2" t="s">
        <v>143</v>
      </c>
    </row>
    <row r="52" spans="1:9" ht="27" x14ac:dyDescent="0.15">
      <c r="A52" s="2">
        <v>54</v>
      </c>
      <c r="B52" s="2"/>
      <c r="C52" s="2"/>
      <c r="D52" s="2"/>
      <c r="E52" s="10"/>
      <c r="F52" s="2"/>
      <c r="G52" s="2"/>
      <c r="H52" s="2"/>
      <c r="I52" s="2" t="s">
        <v>144</v>
      </c>
    </row>
    <row r="53" spans="1:9" ht="27" x14ac:dyDescent="0.15">
      <c r="A53" s="2">
        <v>55</v>
      </c>
      <c r="B53" s="2"/>
      <c r="C53" s="2"/>
      <c r="D53" s="2"/>
      <c r="E53" s="10"/>
      <c r="F53" s="2"/>
      <c r="G53" s="2"/>
      <c r="H53" s="2"/>
      <c r="I53" s="2" t="s">
        <v>145</v>
      </c>
    </row>
    <row r="54" spans="1:9" ht="27" x14ac:dyDescent="0.15">
      <c r="A54" s="2">
        <v>56</v>
      </c>
      <c r="B54" s="2"/>
      <c r="C54" s="2"/>
      <c r="D54" s="2"/>
      <c r="E54" s="10"/>
      <c r="F54" s="2"/>
      <c r="G54" s="2"/>
      <c r="H54" s="2"/>
      <c r="I54" s="2" t="s">
        <v>146</v>
      </c>
    </row>
    <row r="55" spans="1:9" ht="27" x14ac:dyDescent="0.15">
      <c r="A55" s="2">
        <v>57</v>
      </c>
      <c r="B55" s="2"/>
      <c r="C55" s="2"/>
      <c r="D55" s="2"/>
      <c r="E55" s="10"/>
      <c r="F55" s="2"/>
      <c r="G55" s="2"/>
      <c r="H55" s="2"/>
      <c r="I55" s="2" t="s">
        <v>147</v>
      </c>
    </row>
    <row r="56" spans="1:9" ht="27" x14ac:dyDescent="0.15">
      <c r="A56" s="2">
        <v>58</v>
      </c>
      <c r="B56" s="2"/>
      <c r="C56" s="2"/>
      <c r="D56" s="2"/>
      <c r="E56" s="10"/>
      <c r="F56" s="2"/>
      <c r="G56" s="2"/>
      <c r="H56" s="2"/>
      <c r="I56" s="2" t="s">
        <v>148</v>
      </c>
    </row>
    <row r="57" spans="1:9" ht="27" x14ac:dyDescent="0.15">
      <c r="A57" s="2">
        <v>59</v>
      </c>
      <c r="B57" s="2"/>
      <c r="C57" s="2"/>
      <c r="D57" s="2"/>
      <c r="E57" s="10"/>
      <c r="F57" s="2"/>
      <c r="G57" s="2"/>
      <c r="H57" s="2"/>
      <c r="I57" s="2" t="s">
        <v>149</v>
      </c>
    </row>
    <row r="58" spans="1:9" x14ac:dyDescent="0.15">
      <c r="A58" s="2">
        <v>60</v>
      </c>
      <c r="B58" s="2"/>
      <c r="C58" s="2"/>
      <c r="D58" s="2"/>
      <c r="E58" s="10"/>
      <c r="F58" s="2"/>
      <c r="G58" s="2"/>
      <c r="H58" s="2"/>
      <c r="I58" s="2" t="s">
        <v>150</v>
      </c>
    </row>
    <row r="59" spans="1:9" ht="27" x14ac:dyDescent="0.15">
      <c r="A59" s="2">
        <v>61</v>
      </c>
      <c r="B59" s="2"/>
      <c r="C59" s="2"/>
      <c r="D59" s="2"/>
      <c r="E59" s="10"/>
      <c r="F59" s="2"/>
      <c r="G59" s="2"/>
      <c r="H59" s="2"/>
      <c r="I59" s="2" t="s">
        <v>151</v>
      </c>
    </row>
    <row r="60" spans="1:9" ht="27" x14ac:dyDescent="0.15">
      <c r="A60" s="2">
        <v>62</v>
      </c>
      <c r="B60" s="2"/>
      <c r="C60" s="2"/>
      <c r="D60" s="2"/>
      <c r="E60" s="10"/>
      <c r="F60" s="2"/>
      <c r="G60" s="2"/>
      <c r="H60" s="2"/>
      <c r="I60" s="2" t="s">
        <v>152</v>
      </c>
    </row>
    <row r="61" spans="1:9" ht="27" x14ac:dyDescent="0.15">
      <c r="A61" s="2">
        <v>63</v>
      </c>
      <c r="B61" s="2"/>
      <c r="C61" s="2"/>
      <c r="D61" s="2"/>
      <c r="E61" s="10"/>
      <c r="F61" s="2"/>
      <c r="G61" s="2"/>
      <c r="H61" s="2"/>
      <c r="I61" s="2" t="s">
        <v>153</v>
      </c>
    </row>
    <row r="62" spans="1:9" ht="27" x14ac:dyDescent="0.15">
      <c r="A62" s="2">
        <v>64</v>
      </c>
      <c r="B62" s="2"/>
      <c r="C62" s="2"/>
      <c r="D62" s="2"/>
      <c r="E62" s="10"/>
      <c r="F62" s="2"/>
      <c r="G62" s="2"/>
      <c r="H62" s="2"/>
      <c r="I62" s="2" t="s">
        <v>154</v>
      </c>
    </row>
    <row r="63" spans="1:9" ht="27" x14ac:dyDescent="0.15">
      <c r="A63" s="2">
        <v>65</v>
      </c>
      <c r="B63" s="2"/>
      <c r="C63" s="2"/>
      <c r="D63" s="2"/>
      <c r="E63" s="10"/>
      <c r="F63" s="2"/>
      <c r="G63" s="2"/>
      <c r="H63" s="2"/>
      <c r="I63" s="2" t="s">
        <v>155</v>
      </c>
    </row>
    <row r="64" spans="1:9" ht="27" x14ac:dyDescent="0.15">
      <c r="A64" s="2">
        <v>66</v>
      </c>
      <c r="B64" s="2"/>
      <c r="C64" s="2"/>
      <c r="D64" s="2"/>
      <c r="E64" s="10"/>
      <c r="F64" s="2"/>
      <c r="G64" s="2"/>
      <c r="H64" s="2"/>
      <c r="I64" s="2" t="s">
        <v>156</v>
      </c>
    </row>
    <row r="65" spans="1:11" ht="27" x14ac:dyDescent="0.15">
      <c r="A65" s="2">
        <v>67</v>
      </c>
      <c r="B65" s="2"/>
      <c r="C65" s="2"/>
      <c r="D65" s="2"/>
      <c r="E65" s="10"/>
      <c r="F65" s="2"/>
      <c r="G65" s="2"/>
      <c r="H65" s="2"/>
      <c r="I65" s="2" t="s">
        <v>157</v>
      </c>
    </row>
    <row r="66" spans="1:11" x14ac:dyDescent="0.15">
      <c r="A66" s="2">
        <v>68</v>
      </c>
      <c r="B66" s="2"/>
      <c r="C66" s="2"/>
      <c r="D66" s="2"/>
      <c r="E66" s="10"/>
      <c r="F66" s="2"/>
      <c r="G66" s="2"/>
      <c r="H66" s="2"/>
      <c r="I66" s="2" t="s">
        <v>158</v>
      </c>
    </row>
    <row r="67" spans="1:11" x14ac:dyDescent="0.15">
      <c r="A67" s="2">
        <v>69</v>
      </c>
      <c r="B67" s="2"/>
      <c r="C67" s="2"/>
      <c r="D67" s="2"/>
      <c r="E67" s="10"/>
      <c r="F67" s="2"/>
      <c r="G67" s="2"/>
      <c r="H67" s="2"/>
      <c r="I67" s="2" t="s">
        <v>159</v>
      </c>
    </row>
    <row r="68" spans="1:11" ht="27" x14ac:dyDescent="0.15">
      <c r="A68" s="2">
        <v>70</v>
      </c>
      <c r="B68" s="2"/>
      <c r="C68" s="2"/>
      <c r="D68" s="2"/>
      <c r="E68" s="10"/>
      <c r="F68" s="2"/>
      <c r="G68" s="2"/>
      <c r="H68" s="2"/>
      <c r="I68" s="2" t="s">
        <v>160</v>
      </c>
    </row>
    <row r="69" spans="1:11" x14ac:dyDescent="0.15">
      <c r="A69" s="2">
        <v>71</v>
      </c>
      <c r="B69" s="2"/>
      <c r="C69" s="2"/>
      <c r="D69" s="2"/>
      <c r="E69" s="10"/>
      <c r="F69" s="2"/>
      <c r="G69" s="2"/>
      <c r="H69" s="2"/>
      <c r="I69" s="2" t="s">
        <v>161</v>
      </c>
    </row>
    <row r="70" spans="1:11" ht="40.5" x14ac:dyDescent="0.15">
      <c r="A70" s="2">
        <v>72</v>
      </c>
      <c r="B70" s="2"/>
      <c r="C70" s="2"/>
      <c r="D70" s="2"/>
      <c r="E70" s="10"/>
      <c r="F70" s="2"/>
      <c r="G70" s="2"/>
      <c r="H70" s="2"/>
      <c r="I70" s="11" t="s">
        <v>162</v>
      </c>
      <c r="J70" s="12" t="s">
        <v>163</v>
      </c>
      <c r="K70" s="12" t="s">
        <v>164</v>
      </c>
    </row>
    <row r="71" spans="1:11" ht="54" x14ac:dyDescent="0.15">
      <c r="A71" s="2">
        <v>73</v>
      </c>
      <c r="B71" s="2"/>
      <c r="C71" s="2"/>
      <c r="D71" s="2"/>
      <c r="E71" s="10"/>
      <c r="F71" s="2"/>
      <c r="G71" s="2"/>
      <c r="H71" s="2"/>
      <c r="I71" s="11" t="s">
        <v>165</v>
      </c>
    </row>
    <row r="72" spans="1:11" ht="54" x14ac:dyDescent="0.15">
      <c r="A72" s="2">
        <v>74</v>
      </c>
      <c r="B72" s="2"/>
      <c r="C72" s="2"/>
      <c r="D72" s="2"/>
      <c r="E72" s="10"/>
      <c r="F72" s="2"/>
      <c r="G72" s="2"/>
      <c r="H72" s="2"/>
      <c r="I72" s="11" t="s">
        <v>166</v>
      </c>
    </row>
    <row r="73" spans="1:11" ht="67.5" x14ac:dyDescent="0.15">
      <c r="A73" s="2">
        <v>75</v>
      </c>
      <c r="B73" s="2"/>
      <c r="C73" s="2"/>
      <c r="D73" s="2"/>
      <c r="E73" s="10"/>
      <c r="F73" s="2"/>
      <c r="G73" s="2"/>
      <c r="H73" s="2"/>
      <c r="I73" s="2" t="s">
        <v>167</v>
      </c>
    </row>
    <row r="74" spans="1:11" ht="27" x14ac:dyDescent="0.15">
      <c r="A74" s="2">
        <v>76</v>
      </c>
      <c r="B74" s="2"/>
      <c r="C74" s="2"/>
      <c r="D74" s="2"/>
      <c r="E74" s="10"/>
      <c r="F74" s="2"/>
      <c r="G74" s="2"/>
      <c r="H74" s="2"/>
      <c r="I74" s="2" t="s">
        <v>168</v>
      </c>
    </row>
    <row r="75" spans="1:11" ht="94.5" x14ac:dyDescent="0.15">
      <c r="A75" s="2">
        <v>78</v>
      </c>
      <c r="B75" s="2"/>
      <c r="C75" s="2"/>
      <c r="D75" s="2"/>
      <c r="E75" s="10"/>
      <c r="F75" s="2"/>
      <c r="G75" s="2"/>
      <c r="H75" s="2"/>
      <c r="I75" s="2" t="s">
        <v>169</v>
      </c>
    </row>
    <row r="76" spans="1:11" ht="40.5" x14ac:dyDescent="0.15">
      <c r="A76" s="2">
        <v>79</v>
      </c>
      <c r="B76" s="2"/>
      <c r="C76" s="2"/>
      <c r="D76" s="2"/>
      <c r="E76" s="10"/>
      <c r="F76" s="2"/>
      <c r="G76" s="2"/>
      <c r="H76" s="2"/>
      <c r="I76" s="2" t="s">
        <v>170</v>
      </c>
      <c r="J76" t="s">
        <v>171</v>
      </c>
    </row>
    <row r="77" spans="1:11" ht="27" x14ac:dyDescent="0.15">
      <c r="A77" s="2">
        <v>80</v>
      </c>
      <c r="B77" s="2"/>
      <c r="C77" s="2"/>
      <c r="D77" s="2"/>
      <c r="E77" s="10"/>
      <c r="F77" s="2"/>
      <c r="G77" s="2"/>
      <c r="H77" s="2"/>
      <c r="I77" s="2" t="s">
        <v>172</v>
      </c>
      <c r="J77" t="s">
        <v>173</v>
      </c>
    </row>
    <row r="78" spans="1:11" ht="67.5" x14ac:dyDescent="0.15">
      <c r="A78" s="2">
        <v>81</v>
      </c>
      <c r="B78" s="2"/>
      <c r="C78" s="2"/>
      <c r="D78" s="2"/>
      <c r="E78" s="10"/>
      <c r="F78" s="2"/>
      <c r="G78" s="2"/>
      <c r="H78" s="2"/>
      <c r="I78" s="2" t="s">
        <v>174</v>
      </c>
    </row>
    <row r="79" spans="1:11" x14ac:dyDescent="0.15">
      <c r="A79" s="2">
        <v>82</v>
      </c>
      <c r="B79" s="2"/>
      <c r="C79" s="2"/>
      <c r="D79" s="2"/>
      <c r="E79" s="10"/>
      <c r="F79" s="2"/>
      <c r="G79" s="2"/>
      <c r="H79" s="2"/>
      <c r="I79" s="2" t="s">
        <v>175</v>
      </c>
    </row>
    <row r="80" spans="1:11" ht="67.5" x14ac:dyDescent="0.15">
      <c r="A80" s="2">
        <v>83</v>
      </c>
      <c r="B80" s="2"/>
      <c r="C80" s="2"/>
      <c r="D80" s="2"/>
      <c r="E80" s="10"/>
      <c r="F80" s="2"/>
      <c r="G80" s="2"/>
      <c r="H80" s="2"/>
      <c r="I80" s="2" t="s">
        <v>176</v>
      </c>
    </row>
    <row r="81" spans="1:12" ht="54" x14ac:dyDescent="0.15">
      <c r="A81" s="2">
        <v>84</v>
      </c>
      <c r="B81" s="2"/>
      <c r="C81" s="2"/>
      <c r="D81" s="2"/>
      <c r="E81" s="10"/>
      <c r="F81" s="2"/>
      <c r="G81" s="2"/>
      <c r="H81" s="2"/>
      <c r="I81" s="2" t="s">
        <v>177</v>
      </c>
    </row>
    <row r="82" spans="1:12" ht="67.5" x14ac:dyDescent="0.15">
      <c r="A82" s="2">
        <v>85</v>
      </c>
      <c r="B82" s="2"/>
      <c r="C82" s="2"/>
      <c r="D82" s="2"/>
      <c r="E82" s="10"/>
      <c r="F82" s="2"/>
      <c r="G82" s="2"/>
      <c r="H82" s="2"/>
      <c r="I82" s="2" t="s">
        <v>178</v>
      </c>
    </row>
    <row r="83" spans="1:12" ht="27" x14ac:dyDescent="0.15">
      <c r="A83" s="2">
        <v>86</v>
      </c>
      <c r="B83" s="2"/>
      <c r="C83" s="2"/>
      <c r="D83" s="2"/>
      <c r="E83" s="10"/>
      <c r="F83" s="2"/>
      <c r="G83" s="2"/>
      <c r="H83" s="2"/>
      <c r="I83" s="2" t="s">
        <v>179</v>
      </c>
    </row>
    <row r="84" spans="1:12" ht="67.5" x14ac:dyDescent="0.15">
      <c r="A84" s="2">
        <v>87</v>
      </c>
      <c r="B84" s="2"/>
      <c r="C84" s="2"/>
      <c r="D84" s="2"/>
      <c r="E84" s="10"/>
      <c r="F84" s="2"/>
      <c r="G84" s="2"/>
      <c r="H84" s="2"/>
      <c r="I84" s="2" t="s">
        <v>180</v>
      </c>
    </row>
    <row r="85" spans="1:12" x14ac:dyDescent="0.15">
      <c r="A85" s="2">
        <v>89</v>
      </c>
      <c r="B85" s="2"/>
      <c r="C85" s="2"/>
      <c r="D85" s="2"/>
      <c r="E85" s="10"/>
      <c r="F85" s="2"/>
      <c r="G85" s="2"/>
      <c r="H85" s="2"/>
      <c r="I85" s="2" t="s">
        <v>181</v>
      </c>
    </row>
    <row r="86" spans="1:12" ht="27" x14ac:dyDescent="0.15">
      <c r="A86" s="2">
        <v>88</v>
      </c>
      <c r="B86" s="2"/>
      <c r="C86" s="2"/>
      <c r="D86" s="2"/>
      <c r="E86" s="10"/>
      <c r="F86" s="2"/>
      <c r="G86" s="2"/>
      <c r="H86" s="2"/>
      <c r="I86" s="2" t="s">
        <v>182</v>
      </c>
    </row>
    <row r="87" spans="1:12" ht="54" x14ac:dyDescent="0.15">
      <c r="A87" s="2">
        <v>90</v>
      </c>
      <c r="B87" s="2"/>
      <c r="C87" s="2"/>
      <c r="D87" s="2"/>
      <c r="E87" s="10"/>
      <c r="F87" s="2"/>
      <c r="G87" s="2"/>
      <c r="H87" s="2"/>
      <c r="I87" s="2" t="s">
        <v>183</v>
      </c>
    </row>
    <row r="88" spans="1:12" ht="81" x14ac:dyDescent="0.15">
      <c r="A88" s="2">
        <v>91</v>
      </c>
      <c r="B88" s="2"/>
      <c r="C88" s="2"/>
      <c r="D88" s="2"/>
      <c r="E88" s="10"/>
      <c r="F88" s="2"/>
      <c r="G88" s="2"/>
      <c r="H88" s="2"/>
      <c r="I88" s="2" t="s">
        <v>184</v>
      </c>
    </row>
    <row r="89" spans="1:12" ht="94.5" x14ac:dyDescent="0.15">
      <c r="A89" s="2">
        <v>92</v>
      </c>
      <c r="B89" s="2"/>
      <c r="C89" s="2"/>
      <c r="D89" s="2"/>
      <c r="E89" s="10"/>
      <c r="F89" s="2"/>
      <c r="G89" s="2"/>
      <c r="H89" s="2"/>
      <c r="I89" s="2" t="s">
        <v>185</v>
      </c>
    </row>
    <row r="90" spans="1:12" ht="121.5" x14ac:dyDescent="0.15">
      <c r="A90" s="2">
        <v>93</v>
      </c>
      <c r="B90" s="2"/>
      <c r="C90" s="2"/>
      <c r="D90" s="2"/>
      <c r="E90" s="10"/>
      <c r="F90" s="2"/>
      <c r="G90" s="2"/>
      <c r="H90" s="2"/>
      <c r="I90" s="2" t="s">
        <v>186</v>
      </c>
    </row>
    <row r="91" spans="1:12" ht="67.5" x14ac:dyDescent="0.15">
      <c r="A91" s="2">
        <v>94</v>
      </c>
      <c r="B91" s="2"/>
      <c r="C91" s="2"/>
      <c r="D91" s="2"/>
      <c r="E91" s="10"/>
      <c r="F91" s="2"/>
      <c r="G91" s="2"/>
      <c r="H91" s="2"/>
      <c r="I91" s="2" t="s">
        <v>187</v>
      </c>
    </row>
    <row r="92" spans="1:12" ht="108" x14ac:dyDescent="0.15">
      <c r="A92" s="2">
        <v>97</v>
      </c>
      <c r="B92" s="2"/>
      <c r="C92" s="2"/>
      <c r="D92" s="2"/>
      <c r="E92" s="10"/>
      <c r="F92" s="2"/>
      <c r="G92" s="2"/>
      <c r="H92" s="2"/>
      <c r="I92" s="15" t="s">
        <v>303</v>
      </c>
    </row>
    <row r="93" spans="1:12" ht="243" x14ac:dyDescent="0.15">
      <c r="A93" s="2">
        <v>98</v>
      </c>
      <c r="B93" s="2"/>
      <c r="C93" s="2"/>
      <c r="D93" s="2"/>
      <c r="E93" s="10"/>
      <c r="F93" s="2"/>
      <c r="G93" s="2"/>
      <c r="H93" s="2"/>
      <c r="I93" s="15" t="s">
        <v>305</v>
      </c>
      <c r="J93" s="17" t="s">
        <v>306</v>
      </c>
      <c r="K93" s="16" t="s">
        <v>307</v>
      </c>
      <c r="L93" s="16" t="s">
        <v>309</v>
      </c>
    </row>
    <row r="94" spans="1:12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12" ht="27" x14ac:dyDescent="0.15">
      <c r="A96" s="2">
        <v>99</v>
      </c>
      <c r="B96" s="2"/>
      <c r="C96" s="2"/>
      <c r="D96" s="2"/>
      <c r="E96" s="10"/>
      <c r="F96" s="2"/>
      <c r="G96" s="2"/>
      <c r="H96" s="2"/>
      <c r="I96" s="15" t="s">
        <v>310</v>
      </c>
    </row>
    <row r="97" spans="1:9" x14ac:dyDescent="0.15">
      <c r="A97" s="2">
        <v>99</v>
      </c>
      <c r="B97" s="2"/>
      <c r="C97" s="2"/>
      <c r="D97" s="2"/>
      <c r="E97" s="10"/>
      <c r="F97" s="2"/>
      <c r="G97" s="2"/>
      <c r="H97" s="2"/>
      <c r="I97" s="15" t="s">
        <v>311</v>
      </c>
    </row>
    <row r="98" spans="1:9" x14ac:dyDescent="0.15">
      <c r="A98" s="2">
        <v>100</v>
      </c>
      <c r="B98" s="2"/>
      <c r="C98" s="2"/>
      <c r="D98" s="2"/>
      <c r="E98" s="10"/>
      <c r="F98" s="2"/>
      <c r="G98" s="2"/>
      <c r="H98" s="2"/>
      <c r="I98" s="15" t="s">
        <v>312</v>
      </c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6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188</v>
      </c>
      <c r="B1" s="3" t="s">
        <v>189</v>
      </c>
      <c r="C1" s="3" t="s">
        <v>190</v>
      </c>
    </row>
    <row r="2" spans="1:3" x14ac:dyDescent="0.15">
      <c r="A2" s="4" t="s">
        <v>191</v>
      </c>
      <c r="B2" s="8">
        <f>COUNT(单次交易!M2:M201)</f>
        <v>100</v>
      </c>
      <c r="C2" s="4" t="s">
        <v>192</v>
      </c>
    </row>
    <row r="3" spans="1:3" x14ac:dyDescent="0.15">
      <c r="A3" s="4" t="s">
        <v>193</v>
      </c>
      <c r="B3" s="8">
        <f>COUNTIF(单次交易!X2:X201,"&gt;0")</f>
        <v>44</v>
      </c>
      <c r="C3" s="4" t="s">
        <v>194</v>
      </c>
    </row>
    <row r="4" spans="1:3" x14ac:dyDescent="0.15">
      <c r="A4" s="4" t="s">
        <v>195</v>
      </c>
      <c r="B4" s="8">
        <f>COUNTIF(单次交易!X2:X201,"&lt;0")</f>
        <v>56</v>
      </c>
      <c r="C4" s="4" t="s">
        <v>196</v>
      </c>
    </row>
    <row r="5" spans="1:3" x14ac:dyDescent="0.15">
      <c r="A5" s="4" t="s">
        <v>197</v>
      </c>
      <c r="B5" s="8">
        <f>COUNTIFS(单次交易!M2:M201,"&lt;&gt;",单次交易!X2:X201,"=0")</f>
        <v>0</v>
      </c>
      <c r="C5" s="4" t="s">
        <v>198</v>
      </c>
    </row>
    <row r="6" spans="1:3" x14ac:dyDescent="0.15">
      <c r="A6" s="4" t="s">
        <v>199</v>
      </c>
      <c r="B6" s="7">
        <f>IFERROR(B3/(B3+B4),"")</f>
        <v>0.44</v>
      </c>
      <c r="C6" s="4" t="s">
        <v>200</v>
      </c>
    </row>
    <row r="7" spans="1:3" x14ac:dyDescent="0.15">
      <c r="A7" s="4" t="s">
        <v>201</v>
      </c>
      <c r="B7" s="7">
        <f>IFERROR(B4/(B3+B4),"")</f>
        <v>0.56000000000000005</v>
      </c>
      <c r="C7" s="4" t="s">
        <v>202</v>
      </c>
    </row>
    <row r="8" spans="1:3" x14ac:dyDescent="0.15">
      <c r="A8" s="4" t="s">
        <v>203</v>
      </c>
      <c r="B8" s="7">
        <f>IFERROR(AVERAGEIF(单次交易!X2:X201,"&gt;0",单次交易!AE2:AE201),"")</f>
        <v>5.8320986634052503E-2</v>
      </c>
      <c r="C8" s="4" t="s">
        <v>204</v>
      </c>
    </row>
    <row r="9" spans="1:3" x14ac:dyDescent="0.15">
      <c r="A9" s="4" t="s">
        <v>205</v>
      </c>
      <c r="B9" s="7">
        <f>IFERROR(-AVERAGEIF(单次交易!X2:X201,"&lt;0",单次交易!AE2:AE201),"")</f>
        <v>2.9146176079596856E-2</v>
      </c>
      <c r="C9" s="4" t="s">
        <v>206</v>
      </c>
    </row>
    <row r="10" spans="1:3" x14ac:dyDescent="0.15">
      <c r="A10" s="4" t="s">
        <v>207</v>
      </c>
      <c r="B10" s="8">
        <f>SUMIF(单次交易!X2:X201,"&gt;0",单次交易!AA2:AA201)</f>
        <v>1920</v>
      </c>
      <c r="C10" s="4" t="s">
        <v>208</v>
      </c>
    </row>
    <row r="11" spans="1:3" x14ac:dyDescent="0.15">
      <c r="A11" s="4" t="s">
        <v>209</v>
      </c>
      <c r="B11" s="8">
        <f>SUMIF(单次交易!X2:X201,"&lt;0",单次交易!AA2:AA201)</f>
        <v>1497</v>
      </c>
      <c r="C11" s="4" t="s">
        <v>208</v>
      </c>
    </row>
    <row r="12" spans="1:3" x14ac:dyDescent="0.15">
      <c r="A12" s="4" t="s">
        <v>210</v>
      </c>
      <c r="B12" s="5">
        <f>IFERROR(SUMPRODUCT(单次交易!E2:E201,单次交易!H2:H201)/COUNT(单次交易!H2:H201),"")</f>
        <v>60712.19</v>
      </c>
      <c r="C12" s="4" t="s">
        <v>211</v>
      </c>
    </row>
    <row r="13" spans="1:3" x14ac:dyDescent="0.15">
      <c r="A13" s="4" t="s">
        <v>212</v>
      </c>
      <c r="B13" s="7">
        <f>IF(OR(B6="",B7="",B8="",B9=""),"",B6*B8-B7*B9)</f>
        <v>9.3393755144088632E-3</v>
      </c>
      <c r="C13" s="4" t="s">
        <v>213</v>
      </c>
    </row>
    <row r="14" spans="1:3" x14ac:dyDescent="0.15">
      <c r="A14" s="4" t="s">
        <v>214</v>
      </c>
      <c r="B14" s="7">
        <f>IF(COUNT(单次交易!AE2:AE201)=0,"",EXP(SUMPRODUCT(IFERROR(LN(1+单次交易!AE2:AE201),0)))-1)</f>
        <v>9.565955011395344E-3</v>
      </c>
      <c r="C14" s="4" t="s">
        <v>215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pane ySplit="1" topLeftCell="A2" activePane="bottomLeft" state="frozen"/>
      <selection pane="bottomLeft" activeCell="B3" sqref="B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188</v>
      </c>
      <c r="B1" s="3" t="s">
        <v>216</v>
      </c>
      <c r="C1" s="3" t="s">
        <v>217</v>
      </c>
    </row>
    <row r="2" spans="1:3" x14ac:dyDescent="0.15">
      <c r="A2" s="4" t="s">
        <v>218</v>
      </c>
      <c r="B2" s="9">
        <v>100000</v>
      </c>
      <c r="C2" s="4" t="s">
        <v>219</v>
      </c>
    </row>
    <row r="3" spans="1:3" x14ac:dyDescent="0.15">
      <c r="A3" s="4" t="s">
        <v>220</v>
      </c>
      <c r="B3" s="5">
        <f>IF(B2="","",B2+SUM(单次交易!X2:X201))</f>
        <v>215700.99999999994</v>
      </c>
      <c r="C3" s="4" t="s">
        <v>221</v>
      </c>
    </row>
    <row r="4" spans="1:3" x14ac:dyDescent="0.15">
      <c r="A4" s="4" t="s">
        <v>222</v>
      </c>
      <c r="B4" s="6">
        <v>0.02</v>
      </c>
      <c r="C4" s="4" t="s">
        <v>223</v>
      </c>
    </row>
    <row r="5" spans="1:3" x14ac:dyDescent="0.15">
      <c r="A5" s="4" t="s">
        <v>224</v>
      </c>
      <c r="B5" s="5">
        <f>IF(B3="","",B3*B4)</f>
        <v>4314.0199999999986</v>
      </c>
      <c r="C5" s="4" t="s">
        <v>225</v>
      </c>
    </row>
    <row r="6" spans="1:3" x14ac:dyDescent="0.15">
      <c r="A6" s="4" t="s">
        <v>226</v>
      </c>
      <c r="B6" s="6">
        <v>0.06</v>
      </c>
      <c r="C6" s="4" t="s">
        <v>227</v>
      </c>
    </row>
    <row r="7" spans="1:3" x14ac:dyDescent="0.15">
      <c r="A7" s="4" t="s">
        <v>228</v>
      </c>
      <c r="B7" s="5">
        <f>IF(B3="","",B3*B6)</f>
        <v>12942.059999999996</v>
      </c>
      <c r="C7" s="4" t="s">
        <v>229</v>
      </c>
    </row>
    <row r="8" spans="1:3" x14ac:dyDescent="0.15">
      <c r="A8" s="4" t="s">
        <v>230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231</v>
      </c>
    </row>
    <row r="9" spans="1:3" x14ac:dyDescent="0.15">
      <c r="A9" s="4" t="s">
        <v>232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233</v>
      </c>
    </row>
    <row r="10" spans="1:3" x14ac:dyDescent="0.15">
      <c r="A10" s="4" t="s">
        <v>234</v>
      </c>
      <c r="B10" s="5">
        <f>IF(OR(B7="",B9=""),"",B7-B9)</f>
        <v>12942.059999999996</v>
      </c>
      <c r="C10" s="4" t="s">
        <v>235</v>
      </c>
    </row>
    <row r="11" spans="1:3" x14ac:dyDescent="0.15">
      <c r="A11" s="4" t="s">
        <v>236</v>
      </c>
      <c r="B11" s="7">
        <f>IF(OR(B2="",B3="",B2&lt;=0),"",B3/B2-1)</f>
        <v>1.1570099999999992</v>
      </c>
      <c r="C11" s="4" t="s">
        <v>237</v>
      </c>
    </row>
  </sheetData>
  <phoneticPr fontId="6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188</v>
      </c>
      <c r="B1" s="3" t="s">
        <v>216</v>
      </c>
      <c r="C1" s="3" t="s">
        <v>190</v>
      </c>
    </row>
    <row r="2" spans="1:3" x14ac:dyDescent="0.15">
      <c r="A2" s="4" t="s">
        <v>238</v>
      </c>
      <c r="B2" s="5">
        <f>账户数据!B3</f>
        <v>215700.99999999994</v>
      </c>
      <c r="C2" s="4" t="s">
        <v>239</v>
      </c>
    </row>
    <row r="3" spans="1:3" x14ac:dyDescent="0.15">
      <c r="A3" s="4" t="s">
        <v>240</v>
      </c>
      <c r="B3" s="6">
        <v>0.1</v>
      </c>
      <c r="C3" s="4" t="s">
        <v>241</v>
      </c>
    </row>
    <row r="4" spans="1:3" x14ac:dyDescent="0.15">
      <c r="A4" s="4" t="s">
        <v>242</v>
      </c>
      <c r="B4" s="5">
        <f>IF(OR(B2="",B3=""),"",B2*B3)</f>
        <v>21570.099999999995</v>
      </c>
      <c r="C4" s="4" t="s">
        <v>243</v>
      </c>
    </row>
    <row r="5" spans="1:3" x14ac:dyDescent="0.15">
      <c r="A5" s="4" t="s">
        <v>210</v>
      </c>
      <c r="B5" s="5">
        <f>多次统计数据!B12</f>
        <v>60712.19</v>
      </c>
      <c r="C5" s="4" t="s">
        <v>244</v>
      </c>
    </row>
    <row r="6" spans="1:3" x14ac:dyDescent="0.15">
      <c r="A6" s="4" t="s">
        <v>245</v>
      </c>
      <c r="B6" s="7">
        <f>多次统计数据!B13</f>
        <v>9.3393755144088632E-3</v>
      </c>
      <c r="C6" s="4" t="s">
        <v>246</v>
      </c>
    </row>
    <row r="7" spans="1:3" x14ac:dyDescent="0.15">
      <c r="A7" s="4" t="s">
        <v>247</v>
      </c>
      <c r="B7" s="8">
        <f>IF(OR(B3="",B6="",B3&lt;=0,B6&lt;=0),"暂不可计算",ROUNDUP(LN(1+B3)/LN(1+B6),0))</f>
        <v>11</v>
      </c>
      <c r="C7" s="4" t="s">
        <v>248</v>
      </c>
    </row>
  </sheetData>
  <phoneticPr fontId="6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249</v>
      </c>
      <c r="B1" s="1" t="s">
        <v>250</v>
      </c>
      <c r="C1" s="1" t="s">
        <v>251</v>
      </c>
    </row>
    <row r="2" spans="1:3" x14ac:dyDescent="0.15">
      <c r="A2" s="2" t="s">
        <v>252</v>
      </c>
      <c r="B2" s="2" t="s">
        <v>253</v>
      </c>
      <c r="C2" s="2" t="s">
        <v>254</v>
      </c>
    </row>
    <row r="3" spans="1:3" x14ac:dyDescent="0.15">
      <c r="A3" s="2" t="s">
        <v>255</v>
      </c>
      <c r="B3" s="2" t="s">
        <v>256</v>
      </c>
      <c r="C3" s="2" t="s">
        <v>257</v>
      </c>
    </row>
    <row r="4" spans="1:3" x14ac:dyDescent="0.15">
      <c r="A4" s="2" t="s">
        <v>258</v>
      </c>
      <c r="B4" s="2" t="s">
        <v>259</v>
      </c>
      <c r="C4" s="2" t="s">
        <v>260</v>
      </c>
    </row>
    <row r="5" spans="1:3" x14ac:dyDescent="0.15">
      <c r="A5" s="2" t="s">
        <v>261</v>
      </c>
      <c r="B5" s="2" t="s">
        <v>256</v>
      </c>
      <c r="C5" s="2" t="s">
        <v>262</v>
      </c>
    </row>
    <row r="6" spans="1:3" x14ac:dyDescent="0.15">
      <c r="A6" s="2" t="s">
        <v>263</v>
      </c>
      <c r="B6" s="2" t="s">
        <v>264</v>
      </c>
      <c r="C6" s="2" t="s">
        <v>265</v>
      </c>
    </row>
    <row r="7" spans="1:3" x14ac:dyDescent="0.15">
      <c r="A7" s="2" t="s">
        <v>266</v>
      </c>
      <c r="B7" s="2" t="s">
        <v>259</v>
      </c>
      <c r="C7" s="2" t="s">
        <v>267</v>
      </c>
    </row>
    <row r="8" spans="1:3" x14ac:dyDescent="0.15">
      <c r="A8" s="2" t="s">
        <v>268</v>
      </c>
      <c r="B8" s="2" t="s">
        <v>259</v>
      </c>
      <c r="C8" s="2" t="s">
        <v>269</v>
      </c>
    </row>
    <row r="9" spans="1:3" x14ac:dyDescent="0.15">
      <c r="A9" s="2" t="s">
        <v>270</v>
      </c>
      <c r="B9" s="2" t="s">
        <v>271</v>
      </c>
      <c r="C9" s="2" t="s">
        <v>272</v>
      </c>
    </row>
    <row r="10" spans="1:3" x14ac:dyDescent="0.15">
      <c r="A10" s="2" t="s">
        <v>273</v>
      </c>
      <c r="B10" s="2" t="s">
        <v>274</v>
      </c>
      <c r="C10" s="2" t="s">
        <v>275</v>
      </c>
    </row>
    <row r="11" spans="1:3" x14ac:dyDescent="0.15">
      <c r="A11" s="2" t="s">
        <v>276</v>
      </c>
      <c r="B11" s="2" t="s">
        <v>274</v>
      </c>
      <c r="C11" s="2" t="s">
        <v>277</v>
      </c>
    </row>
    <row r="12" spans="1:3" x14ac:dyDescent="0.15">
      <c r="A12" s="2" t="s">
        <v>278</v>
      </c>
      <c r="B12" s="2" t="s">
        <v>253</v>
      </c>
      <c r="C12" s="2" t="s">
        <v>279</v>
      </c>
    </row>
    <row r="13" spans="1:3" x14ac:dyDescent="0.15">
      <c r="A13" s="2" t="s">
        <v>280</v>
      </c>
      <c r="B13" s="2" t="s">
        <v>253</v>
      </c>
      <c r="C13" s="2" t="s">
        <v>281</v>
      </c>
    </row>
    <row r="14" spans="1:3" x14ac:dyDescent="0.15">
      <c r="A14" s="2" t="s">
        <v>282</v>
      </c>
      <c r="B14" s="2" t="s">
        <v>256</v>
      </c>
      <c r="C14" s="2" t="s">
        <v>283</v>
      </c>
    </row>
    <row r="15" spans="1:3" x14ac:dyDescent="0.15">
      <c r="A15" s="2" t="s">
        <v>284</v>
      </c>
      <c r="B15" s="2" t="s">
        <v>256</v>
      </c>
      <c r="C15" s="2" t="s">
        <v>285</v>
      </c>
    </row>
    <row r="16" spans="1:3" x14ac:dyDescent="0.15">
      <c r="A16" s="2" t="s">
        <v>286</v>
      </c>
      <c r="B16" s="2" t="s">
        <v>264</v>
      </c>
      <c r="C16" s="2" t="s">
        <v>287</v>
      </c>
    </row>
    <row r="17" spans="1:3" x14ac:dyDescent="0.15">
      <c r="A17" s="2" t="s">
        <v>288</v>
      </c>
      <c r="B17" s="2" t="s">
        <v>259</v>
      </c>
      <c r="C17" s="2" t="s">
        <v>289</v>
      </c>
    </row>
    <row r="18" spans="1:3" x14ac:dyDescent="0.15">
      <c r="A18" s="2" t="s">
        <v>290</v>
      </c>
      <c r="B18" s="2" t="s">
        <v>271</v>
      </c>
      <c r="C18" s="2" t="s">
        <v>291</v>
      </c>
    </row>
    <row r="19" spans="1:3" x14ac:dyDescent="0.15">
      <c r="A19" s="2" t="s">
        <v>292</v>
      </c>
      <c r="B19" s="2" t="s">
        <v>264</v>
      </c>
      <c r="C19" s="2" t="s">
        <v>293</v>
      </c>
    </row>
    <row r="20" spans="1:3" x14ac:dyDescent="0.15">
      <c r="A20" s="2" t="s">
        <v>294</v>
      </c>
      <c r="B20" s="2" t="s">
        <v>295</v>
      </c>
      <c r="C20" s="2" t="s">
        <v>296</v>
      </c>
    </row>
    <row r="21" spans="1:3" x14ac:dyDescent="0.15">
      <c r="A21" s="2" t="s">
        <v>297</v>
      </c>
      <c r="B21" s="2" t="s">
        <v>298</v>
      </c>
      <c r="C21" s="2" t="s">
        <v>299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6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2026-07-25T08:10:00Z</dcterms:created>
  <dcterms:modified xsi:type="dcterms:W3CDTF">2026-08-18T02:03:10Z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