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31E02C3F-45D2-4A0A-B112-B30D5CDCB1BD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B9" i="4" l="1"/>
  <c r="B12" i="3"/>
  <c r="B5" i="5" s="1"/>
  <c r="B2" i="3"/>
  <c r="AA201" i="1"/>
  <c r="V201" i="1"/>
  <c r="U201" i="1"/>
  <c r="L201" i="1"/>
  <c r="X201" i="1" s="1"/>
  <c r="F201" i="1"/>
  <c r="AA200" i="1"/>
  <c r="V200" i="1"/>
  <c r="U200" i="1"/>
  <c r="W200" i="1" s="1"/>
  <c r="L200" i="1"/>
  <c r="X200" i="1" s="1"/>
  <c r="Y200" i="1" s="1"/>
  <c r="F200" i="1"/>
  <c r="AA199" i="1"/>
  <c r="V199" i="1"/>
  <c r="U199" i="1"/>
  <c r="L199" i="1"/>
  <c r="X199" i="1" s="1"/>
  <c r="AE199" i="1" s="1"/>
  <c r="F199" i="1"/>
  <c r="AA198" i="1"/>
  <c r="V198" i="1"/>
  <c r="U198" i="1"/>
  <c r="L198" i="1"/>
  <c r="X198" i="1" s="1"/>
  <c r="F198" i="1"/>
  <c r="AA197" i="1"/>
  <c r="V197" i="1"/>
  <c r="U197" i="1"/>
  <c r="L197" i="1"/>
  <c r="X197" i="1" s="1"/>
  <c r="AE197" i="1" s="1"/>
  <c r="F197" i="1"/>
  <c r="AA196" i="1"/>
  <c r="V196" i="1"/>
  <c r="U196" i="1"/>
  <c r="W196" i="1" s="1"/>
  <c r="L196" i="1"/>
  <c r="X196" i="1" s="1"/>
  <c r="Y196" i="1" s="1"/>
  <c r="F196" i="1"/>
  <c r="AA195" i="1"/>
  <c r="V195" i="1"/>
  <c r="U195" i="1"/>
  <c r="W195" i="1" s="1"/>
  <c r="L195" i="1"/>
  <c r="X195" i="1" s="1"/>
  <c r="Y195" i="1" s="1"/>
  <c r="F195" i="1"/>
  <c r="AA194" i="1"/>
  <c r="V194" i="1"/>
  <c r="U194" i="1"/>
  <c r="L194" i="1"/>
  <c r="X194" i="1" s="1"/>
  <c r="F194" i="1"/>
  <c r="AA193" i="1"/>
  <c r="V193" i="1"/>
  <c r="U193" i="1"/>
  <c r="L193" i="1"/>
  <c r="X193" i="1" s="1"/>
  <c r="AE193" i="1" s="1"/>
  <c r="F193" i="1"/>
  <c r="AA192" i="1"/>
  <c r="V192" i="1"/>
  <c r="U192" i="1"/>
  <c r="W192" i="1" s="1"/>
  <c r="L192" i="1"/>
  <c r="X192" i="1" s="1"/>
  <c r="Y192" i="1" s="1"/>
  <c r="F192" i="1"/>
  <c r="AA191" i="1"/>
  <c r="V191" i="1"/>
  <c r="U191" i="1"/>
  <c r="L191" i="1"/>
  <c r="X191" i="1" s="1"/>
  <c r="Y191" i="1" s="1"/>
  <c r="F191" i="1"/>
  <c r="AA190" i="1"/>
  <c r="V190" i="1"/>
  <c r="U190" i="1"/>
  <c r="L190" i="1"/>
  <c r="X190" i="1" s="1"/>
  <c r="F190" i="1"/>
  <c r="AA189" i="1"/>
  <c r="V189" i="1"/>
  <c r="U189" i="1"/>
  <c r="L189" i="1"/>
  <c r="X189" i="1" s="1"/>
  <c r="F189" i="1"/>
  <c r="AA188" i="1"/>
  <c r="V188" i="1"/>
  <c r="U188" i="1"/>
  <c r="W188" i="1" s="1"/>
  <c r="L188" i="1"/>
  <c r="X188" i="1" s="1"/>
  <c r="F188" i="1"/>
  <c r="AA187" i="1"/>
  <c r="V187" i="1"/>
  <c r="U187" i="1"/>
  <c r="L187" i="1"/>
  <c r="X187" i="1" s="1"/>
  <c r="F187" i="1"/>
  <c r="AA186" i="1"/>
  <c r="V186" i="1"/>
  <c r="U186" i="1"/>
  <c r="L186" i="1"/>
  <c r="X186" i="1" s="1"/>
  <c r="F186" i="1"/>
  <c r="AA185" i="1"/>
  <c r="V185" i="1"/>
  <c r="U185" i="1"/>
  <c r="L185" i="1"/>
  <c r="X185" i="1" s="1"/>
  <c r="Y185" i="1" s="1"/>
  <c r="F185" i="1"/>
  <c r="AA184" i="1"/>
  <c r="V184" i="1"/>
  <c r="U184" i="1"/>
  <c r="L184" i="1"/>
  <c r="X184" i="1" s="1"/>
  <c r="F184" i="1"/>
  <c r="AA183" i="1"/>
  <c r="V183" i="1"/>
  <c r="U183" i="1"/>
  <c r="L183" i="1"/>
  <c r="X183" i="1" s="1"/>
  <c r="AE183" i="1" s="1"/>
  <c r="F183" i="1"/>
  <c r="AA182" i="1"/>
  <c r="V182" i="1"/>
  <c r="U182" i="1"/>
  <c r="L182" i="1"/>
  <c r="X182" i="1" s="1"/>
  <c r="F182" i="1"/>
  <c r="AA181" i="1"/>
  <c r="V181" i="1"/>
  <c r="U181" i="1"/>
  <c r="L181" i="1"/>
  <c r="X181" i="1" s="1"/>
  <c r="F181" i="1"/>
  <c r="AA180" i="1"/>
  <c r="V180" i="1"/>
  <c r="U180" i="1"/>
  <c r="L180" i="1"/>
  <c r="X180" i="1" s="1"/>
  <c r="Y180" i="1" s="1"/>
  <c r="F180" i="1"/>
  <c r="AA179" i="1"/>
  <c r="V179" i="1"/>
  <c r="U179" i="1"/>
  <c r="L179" i="1"/>
  <c r="X179" i="1" s="1"/>
  <c r="AE179" i="1" s="1"/>
  <c r="F179" i="1"/>
  <c r="AA178" i="1"/>
  <c r="V178" i="1"/>
  <c r="U178" i="1"/>
  <c r="L178" i="1"/>
  <c r="X178" i="1" s="1"/>
  <c r="AE178" i="1" s="1"/>
  <c r="F178" i="1"/>
  <c r="AA177" i="1"/>
  <c r="V177" i="1"/>
  <c r="U177" i="1"/>
  <c r="L177" i="1"/>
  <c r="X177" i="1" s="1"/>
  <c r="Y177" i="1" s="1"/>
  <c r="F177" i="1"/>
  <c r="AA176" i="1"/>
  <c r="V176" i="1"/>
  <c r="U176" i="1"/>
  <c r="L176" i="1"/>
  <c r="X176" i="1" s="1"/>
  <c r="F176" i="1"/>
  <c r="AA175" i="1"/>
  <c r="V175" i="1"/>
  <c r="U175" i="1"/>
  <c r="L175" i="1"/>
  <c r="X175" i="1" s="1"/>
  <c r="F175" i="1"/>
  <c r="AA174" i="1"/>
  <c r="V174" i="1"/>
  <c r="U174" i="1"/>
  <c r="L174" i="1"/>
  <c r="X174" i="1" s="1"/>
  <c r="F174" i="1"/>
  <c r="AA173" i="1"/>
  <c r="V173" i="1"/>
  <c r="U173" i="1"/>
  <c r="L173" i="1"/>
  <c r="X173" i="1" s="1"/>
  <c r="AE173" i="1" s="1"/>
  <c r="F173" i="1"/>
  <c r="AA172" i="1"/>
  <c r="V172" i="1"/>
  <c r="U172" i="1"/>
  <c r="L172" i="1"/>
  <c r="X172" i="1" s="1"/>
  <c r="F172" i="1"/>
  <c r="AA171" i="1"/>
  <c r="V171" i="1"/>
  <c r="U171" i="1"/>
  <c r="L171" i="1"/>
  <c r="X171" i="1" s="1"/>
  <c r="Y171" i="1" s="1"/>
  <c r="F171" i="1"/>
  <c r="AA170" i="1"/>
  <c r="V170" i="1"/>
  <c r="U170" i="1"/>
  <c r="L170" i="1"/>
  <c r="X170" i="1" s="1"/>
  <c r="AE170" i="1" s="1"/>
  <c r="F170" i="1"/>
  <c r="AA169" i="1"/>
  <c r="V169" i="1"/>
  <c r="U169" i="1"/>
  <c r="L169" i="1"/>
  <c r="X169" i="1" s="1"/>
  <c r="AE169" i="1" s="1"/>
  <c r="F169" i="1"/>
  <c r="AA168" i="1"/>
  <c r="V168" i="1"/>
  <c r="U168" i="1"/>
  <c r="L168" i="1"/>
  <c r="X168" i="1" s="1"/>
  <c r="F168" i="1"/>
  <c r="AA167" i="1"/>
  <c r="V167" i="1"/>
  <c r="U167" i="1"/>
  <c r="L167" i="1"/>
  <c r="X167" i="1" s="1"/>
  <c r="Y167" i="1" s="1"/>
  <c r="F167" i="1"/>
  <c r="AA166" i="1"/>
  <c r="V166" i="1"/>
  <c r="U166" i="1"/>
  <c r="L166" i="1"/>
  <c r="X166" i="1" s="1"/>
  <c r="AE166" i="1" s="1"/>
  <c r="F166" i="1"/>
  <c r="AA165" i="1"/>
  <c r="V165" i="1"/>
  <c r="U165" i="1"/>
  <c r="L165" i="1"/>
  <c r="X165" i="1" s="1"/>
  <c r="F165" i="1"/>
  <c r="AA164" i="1"/>
  <c r="V164" i="1"/>
  <c r="U164" i="1"/>
  <c r="W164" i="1" s="1"/>
  <c r="L164" i="1"/>
  <c r="X164" i="1" s="1"/>
  <c r="F164" i="1"/>
  <c r="AA163" i="1"/>
  <c r="V163" i="1"/>
  <c r="U163" i="1"/>
  <c r="L163" i="1"/>
  <c r="X163" i="1" s="1"/>
  <c r="AE163" i="1" s="1"/>
  <c r="F163" i="1"/>
  <c r="AA162" i="1"/>
  <c r="V162" i="1"/>
  <c r="U162" i="1"/>
  <c r="L162" i="1"/>
  <c r="X162" i="1" s="1"/>
  <c r="F162" i="1"/>
  <c r="AA161" i="1"/>
  <c r="V161" i="1"/>
  <c r="U161" i="1"/>
  <c r="L161" i="1"/>
  <c r="X161" i="1" s="1"/>
  <c r="AE161" i="1" s="1"/>
  <c r="F161" i="1"/>
  <c r="AA160" i="1"/>
  <c r="V160" i="1"/>
  <c r="U160" i="1"/>
  <c r="L160" i="1"/>
  <c r="X160" i="1" s="1"/>
  <c r="F160" i="1"/>
  <c r="AA159" i="1"/>
  <c r="V159" i="1"/>
  <c r="U159" i="1"/>
  <c r="L159" i="1"/>
  <c r="X159" i="1" s="1"/>
  <c r="F159" i="1"/>
  <c r="AA158" i="1"/>
  <c r="V158" i="1"/>
  <c r="U158" i="1"/>
  <c r="L158" i="1"/>
  <c r="X158" i="1" s="1"/>
  <c r="F158" i="1"/>
  <c r="AA157" i="1"/>
  <c r="V157" i="1"/>
  <c r="U157" i="1"/>
  <c r="L157" i="1"/>
  <c r="X157" i="1" s="1"/>
  <c r="F157" i="1"/>
  <c r="AA156" i="1"/>
  <c r="V156" i="1"/>
  <c r="U156" i="1"/>
  <c r="L156" i="1"/>
  <c r="X156" i="1" s="1"/>
  <c r="F156" i="1"/>
  <c r="AA155" i="1"/>
  <c r="V155" i="1"/>
  <c r="U155" i="1"/>
  <c r="L155" i="1"/>
  <c r="X155" i="1" s="1"/>
  <c r="F155" i="1"/>
  <c r="AA154" i="1"/>
  <c r="V154" i="1"/>
  <c r="U154" i="1"/>
  <c r="L154" i="1"/>
  <c r="X154" i="1" s="1"/>
  <c r="F154" i="1"/>
  <c r="AA153" i="1"/>
  <c r="V153" i="1"/>
  <c r="U153" i="1"/>
  <c r="L153" i="1"/>
  <c r="X153" i="1" s="1"/>
  <c r="F153" i="1"/>
  <c r="AA152" i="1"/>
  <c r="V152" i="1"/>
  <c r="U152" i="1"/>
  <c r="L152" i="1"/>
  <c r="X152" i="1" s="1"/>
  <c r="AE152" i="1" s="1"/>
  <c r="F152" i="1"/>
  <c r="AA151" i="1"/>
  <c r="V151" i="1"/>
  <c r="U151" i="1"/>
  <c r="L151" i="1"/>
  <c r="X151" i="1" s="1"/>
  <c r="Y151" i="1" s="1"/>
  <c r="F151" i="1"/>
  <c r="AA150" i="1"/>
  <c r="V150" i="1"/>
  <c r="U150" i="1"/>
  <c r="L150" i="1"/>
  <c r="X150" i="1" s="1"/>
  <c r="AE150" i="1" s="1"/>
  <c r="F150" i="1"/>
  <c r="AA149" i="1"/>
  <c r="V149" i="1"/>
  <c r="U149" i="1"/>
  <c r="L149" i="1"/>
  <c r="X149" i="1" s="1"/>
  <c r="AE149" i="1" s="1"/>
  <c r="F149" i="1"/>
  <c r="AA148" i="1"/>
  <c r="V148" i="1"/>
  <c r="U148" i="1"/>
  <c r="L148" i="1"/>
  <c r="X148" i="1" s="1"/>
  <c r="F148" i="1"/>
  <c r="AA147" i="1"/>
  <c r="V147" i="1"/>
  <c r="U147" i="1"/>
  <c r="L147" i="1"/>
  <c r="X147" i="1" s="1"/>
  <c r="AE147" i="1" s="1"/>
  <c r="F147" i="1"/>
  <c r="AA146" i="1"/>
  <c r="V146" i="1"/>
  <c r="U146" i="1"/>
  <c r="L146" i="1"/>
  <c r="X146" i="1" s="1"/>
  <c r="F146" i="1"/>
  <c r="AA145" i="1"/>
  <c r="V145" i="1"/>
  <c r="U145" i="1"/>
  <c r="L145" i="1"/>
  <c r="X145" i="1" s="1"/>
  <c r="F145" i="1"/>
  <c r="AA144" i="1"/>
  <c r="V144" i="1"/>
  <c r="U144" i="1"/>
  <c r="L144" i="1"/>
  <c r="X144" i="1" s="1"/>
  <c r="F144" i="1"/>
  <c r="AA143" i="1"/>
  <c r="V143" i="1"/>
  <c r="U143" i="1"/>
  <c r="L143" i="1"/>
  <c r="X143" i="1" s="1"/>
  <c r="F143" i="1"/>
  <c r="AA142" i="1"/>
  <c r="V142" i="1"/>
  <c r="U142" i="1"/>
  <c r="L142" i="1"/>
  <c r="X142" i="1" s="1"/>
  <c r="AE142" i="1" s="1"/>
  <c r="F142" i="1"/>
  <c r="AA141" i="1"/>
  <c r="V141" i="1"/>
  <c r="U141" i="1"/>
  <c r="L141" i="1"/>
  <c r="X141" i="1" s="1"/>
  <c r="AE141" i="1" s="1"/>
  <c r="F141" i="1"/>
  <c r="AA140" i="1"/>
  <c r="V140" i="1"/>
  <c r="U140" i="1"/>
  <c r="L140" i="1"/>
  <c r="X140" i="1" s="1"/>
  <c r="F140" i="1"/>
  <c r="AA139" i="1"/>
  <c r="V139" i="1"/>
  <c r="U139" i="1"/>
  <c r="L139" i="1"/>
  <c r="X139" i="1" s="1"/>
  <c r="F139" i="1"/>
  <c r="AA138" i="1"/>
  <c r="V138" i="1"/>
  <c r="U138" i="1"/>
  <c r="L138" i="1"/>
  <c r="X138" i="1" s="1"/>
  <c r="AE138" i="1" s="1"/>
  <c r="F138" i="1"/>
  <c r="AA137" i="1"/>
  <c r="V137" i="1"/>
  <c r="U137" i="1"/>
  <c r="L137" i="1"/>
  <c r="X137" i="1" s="1"/>
  <c r="F137" i="1"/>
  <c r="AA136" i="1"/>
  <c r="V136" i="1"/>
  <c r="U136" i="1"/>
  <c r="L136" i="1"/>
  <c r="X136" i="1" s="1"/>
  <c r="F136" i="1"/>
  <c r="AA135" i="1"/>
  <c r="V135" i="1"/>
  <c r="U135" i="1"/>
  <c r="L135" i="1"/>
  <c r="X135" i="1" s="1"/>
  <c r="F135" i="1"/>
  <c r="AA134" i="1"/>
  <c r="V134" i="1"/>
  <c r="U134" i="1"/>
  <c r="L134" i="1"/>
  <c r="X134" i="1" s="1"/>
  <c r="F134" i="1"/>
  <c r="AA133" i="1"/>
  <c r="V133" i="1"/>
  <c r="U133" i="1"/>
  <c r="L133" i="1"/>
  <c r="X133" i="1" s="1"/>
  <c r="F133" i="1"/>
  <c r="AA132" i="1"/>
  <c r="V132" i="1"/>
  <c r="U132" i="1"/>
  <c r="L132" i="1"/>
  <c r="X132" i="1" s="1"/>
  <c r="Y132" i="1" s="1"/>
  <c r="F132" i="1"/>
  <c r="AA131" i="1"/>
  <c r="V131" i="1"/>
  <c r="U131" i="1"/>
  <c r="L131" i="1"/>
  <c r="X131" i="1" s="1"/>
  <c r="F131" i="1"/>
  <c r="AA130" i="1"/>
  <c r="V130" i="1"/>
  <c r="U130" i="1"/>
  <c r="L130" i="1"/>
  <c r="X130" i="1" s="1"/>
  <c r="F130" i="1"/>
  <c r="AA129" i="1"/>
  <c r="V129" i="1"/>
  <c r="U129" i="1"/>
  <c r="L129" i="1"/>
  <c r="X129" i="1" s="1"/>
  <c r="F129" i="1"/>
  <c r="AA128" i="1"/>
  <c r="V128" i="1"/>
  <c r="U128" i="1"/>
  <c r="L128" i="1"/>
  <c r="X128" i="1" s="1"/>
  <c r="AE128" i="1" s="1"/>
  <c r="F128" i="1"/>
  <c r="AA127" i="1"/>
  <c r="V127" i="1"/>
  <c r="U127" i="1"/>
  <c r="L127" i="1"/>
  <c r="X127" i="1" s="1"/>
  <c r="F127" i="1"/>
  <c r="AA126" i="1"/>
  <c r="V126" i="1"/>
  <c r="U126" i="1"/>
  <c r="L126" i="1"/>
  <c r="X126" i="1" s="1"/>
  <c r="F126" i="1"/>
  <c r="AA125" i="1"/>
  <c r="V125" i="1"/>
  <c r="U125" i="1"/>
  <c r="L125" i="1"/>
  <c r="X125" i="1" s="1"/>
  <c r="Y125" i="1" s="1"/>
  <c r="F125" i="1"/>
  <c r="AA124" i="1"/>
  <c r="V124" i="1"/>
  <c r="U124" i="1"/>
  <c r="L124" i="1"/>
  <c r="X124" i="1" s="1"/>
  <c r="AE124" i="1" s="1"/>
  <c r="F124" i="1"/>
  <c r="AA123" i="1"/>
  <c r="V123" i="1"/>
  <c r="U123" i="1"/>
  <c r="L123" i="1"/>
  <c r="X123" i="1" s="1"/>
  <c r="Y123" i="1" s="1"/>
  <c r="F123" i="1"/>
  <c r="AA122" i="1"/>
  <c r="V122" i="1"/>
  <c r="U122" i="1"/>
  <c r="L122" i="1"/>
  <c r="X122" i="1" s="1"/>
  <c r="Y122" i="1" s="1"/>
  <c r="F122" i="1"/>
  <c r="AA121" i="1"/>
  <c r="V121" i="1"/>
  <c r="U121" i="1"/>
  <c r="L121" i="1"/>
  <c r="X121" i="1" s="1"/>
  <c r="F121" i="1"/>
  <c r="AA120" i="1"/>
  <c r="V120" i="1"/>
  <c r="U120" i="1"/>
  <c r="L120" i="1"/>
  <c r="X120" i="1" s="1"/>
  <c r="F120" i="1"/>
  <c r="AA119" i="1"/>
  <c r="V119" i="1"/>
  <c r="U119" i="1"/>
  <c r="L119" i="1"/>
  <c r="X119" i="1" s="1"/>
  <c r="F119" i="1"/>
  <c r="AA118" i="1"/>
  <c r="V118" i="1"/>
  <c r="U118" i="1"/>
  <c r="L118" i="1"/>
  <c r="X118" i="1" s="1"/>
  <c r="Y118" i="1" s="1"/>
  <c r="F118" i="1"/>
  <c r="AA117" i="1"/>
  <c r="V117" i="1"/>
  <c r="U117" i="1"/>
  <c r="L117" i="1"/>
  <c r="X117" i="1" s="1"/>
  <c r="AE117" i="1" s="1"/>
  <c r="F117" i="1"/>
  <c r="AA116" i="1"/>
  <c r="V116" i="1"/>
  <c r="U116" i="1"/>
  <c r="L116" i="1"/>
  <c r="X116" i="1" s="1"/>
  <c r="F116" i="1"/>
  <c r="AA115" i="1"/>
  <c r="V115" i="1"/>
  <c r="U115" i="1"/>
  <c r="L115" i="1"/>
  <c r="X115" i="1" s="1"/>
  <c r="Y115" i="1" s="1"/>
  <c r="F115" i="1"/>
  <c r="AA114" i="1"/>
  <c r="V114" i="1"/>
  <c r="U114" i="1"/>
  <c r="L114" i="1"/>
  <c r="X114" i="1" s="1"/>
  <c r="F114" i="1"/>
  <c r="AA113" i="1"/>
  <c r="V113" i="1"/>
  <c r="U113" i="1"/>
  <c r="L113" i="1"/>
  <c r="X113" i="1" s="1"/>
  <c r="F113" i="1"/>
  <c r="AA112" i="1"/>
  <c r="V112" i="1"/>
  <c r="U112" i="1"/>
  <c r="L112" i="1"/>
  <c r="X112" i="1" s="1"/>
  <c r="Y112" i="1" s="1"/>
  <c r="F112" i="1"/>
  <c r="AA111" i="1"/>
  <c r="V111" i="1"/>
  <c r="U111" i="1"/>
  <c r="L111" i="1"/>
  <c r="X111" i="1" s="1"/>
  <c r="F111" i="1"/>
  <c r="AA110" i="1"/>
  <c r="V110" i="1"/>
  <c r="U110" i="1"/>
  <c r="L110" i="1"/>
  <c r="X110" i="1" s="1"/>
  <c r="AE110" i="1" s="1"/>
  <c r="F110" i="1"/>
  <c r="AA109" i="1"/>
  <c r="V109" i="1"/>
  <c r="U109" i="1"/>
  <c r="L109" i="1"/>
  <c r="X109" i="1" s="1"/>
  <c r="F109" i="1"/>
  <c r="AA108" i="1"/>
  <c r="V108" i="1"/>
  <c r="U108" i="1"/>
  <c r="L108" i="1"/>
  <c r="X108" i="1" s="1"/>
  <c r="AE108" i="1" s="1"/>
  <c r="F108" i="1"/>
  <c r="AA107" i="1"/>
  <c r="V107" i="1"/>
  <c r="U107" i="1"/>
  <c r="W107" i="1" s="1"/>
  <c r="L107" i="1"/>
  <c r="X107" i="1" s="1"/>
  <c r="F107" i="1"/>
  <c r="AA106" i="1"/>
  <c r="V106" i="1"/>
  <c r="U106" i="1"/>
  <c r="L106" i="1"/>
  <c r="X106" i="1" s="1"/>
  <c r="F106" i="1"/>
  <c r="AA105" i="1"/>
  <c r="V105" i="1"/>
  <c r="U105" i="1"/>
  <c r="L105" i="1"/>
  <c r="X105" i="1" s="1"/>
  <c r="F105" i="1"/>
  <c r="AA104" i="1"/>
  <c r="V104" i="1"/>
  <c r="U104" i="1"/>
  <c r="L104" i="1"/>
  <c r="X104" i="1" s="1"/>
  <c r="F104" i="1"/>
  <c r="AA103" i="1"/>
  <c r="V103" i="1"/>
  <c r="U103" i="1"/>
  <c r="W103" i="1" s="1"/>
  <c r="L103" i="1"/>
  <c r="X103" i="1" s="1"/>
  <c r="AE103" i="1" s="1"/>
  <c r="F103" i="1"/>
  <c r="AA102" i="1"/>
  <c r="V102" i="1"/>
  <c r="U102" i="1"/>
  <c r="L102" i="1"/>
  <c r="X102" i="1" s="1"/>
  <c r="F102" i="1"/>
  <c r="AA101" i="1"/>
  <c r="V101" i="1"/>
  <c r="U101" i="1"/>
  <c r="L101" i="1"/>
  <c r="X101" i="1" s="1"/>
  <c r="F101" i="1"/>
  <c r="AA100" i="1"/>
  <c r="V100" i="1"/>
  <c r="U100" i="1"/>
  <c r="L100" i="1"/>
  <c r="X100" i="1" s="1"/>
  <c r="AE100" i="1" s="1"/>
  <c r="F100" i="1"/>
  <c r="AA99" i="1"/>
  <c r="V99" i="1"/>
  <c r="U99" i="1"/>
  <c r="L99" i="1"/>
  <c r="X99" i="1" s="1"/>
  <c r="F99" i="1"/>
  <c r="AA98" i="1"/>
  <c r="V98" i="1"/>
  <c r="U98" i="1"/>
  <c r="L98" i="1"/>
  <c r="X98" i="1" s="1"/>
  <c r="F98" i="1"/>
  <c r="AA97" i="1"/>
  <c r="V97" i="1"/>
  <c r="U97" i="1"/>
  <c r="L97" i="1"/>
  <c r="X97" i="1" s="1"/>
  <c r="F97" i="1"/>
  <c r="AA96" i="1"/>
  <c r="V96" i="1"/>
  <c r="U96" i="1"/>
  <c r="L96" i="1"/>
  <c r="X96" i="1" s="1"/>
  <c r="F96" i="1"/>
  <c r="AA95" i="1"/>
  <c r="V95" i="1"/>
  <c r="U95" i="1"/>
  <c r="L95" i="1"/>
  <c r="X95" i="1" s="1"/>
  <c r="F95" i="1"/>
  <c r="AA94" i="1"/>
  <c r="V94" i="1"/>
  <c r="U94" i="1"/>
  <c r="L94" i="1"/>
  <c r="X94" i="1" s="1"/>
  <c r="Y94" i="1" s="1"/>
  <c r="F94" i="1"/>
  <c r="AA93" i="1"/>
  <c r="V93" i="1"/>
  <c r="U93" i="1"/>
  <c r="L93" i="1"/>
  <c r="X93" i="1" s="1"/>
  <c r="F93" i="1"/>
  <c r="AA92" i="1"/>
  <c r="V92" i="1"/>
  <c r="U92" i="1"/>
  <c r="L92" i="1"/>
  <c r="X92" i="1" s="1"/>
  <c r="AE92" i="1" s="1"/>
  <c r="F92" i="1"/>
  <c r="AA91" i="1"/>
  <c r="V91" i="1"/>
  <c r="U91" i="1"/>
  <c r="W91" i="1" s="1"/>
  <c r="L91" i="1"/>
  <c r="X91" i="1" s="1"/>
  <c r="F91" i="1"/>
  <c r="AA90" i="1"/>
  <c r="V90" i="1"/>
  <c r="U90" i="1"/>
  <c r="L90" i="1"/>
  <c r="X90" i="1" s="1"/>
  <c r="AE90" i="1" s="1"/>
  <c r="F90" i="1"/>
  <c r="AA89" i="1"/>
  <c r="V89" i="1"/>
  <c r="U89" i="1"/>
  <c r="L89" i="1"/>
  <c r="X89" i="1" s="1"/>
  <c r="AE89" i="1" s="1"/>
  <c r="F89" i="1"/>
  <c r="AA88" i="1"/>
  <c r="V88" i="1"/>
  <c r="U88" i="1"/>
  <c r="L88" i="1"/>
  <c r="X88" i="1" s="1"/>
  <c r="AE88" i="1" s="1"/>
  <c r="F88" i="1"/>
  <c r="AA87" i="1"/>
  <c r="V87" i="1"/>
  <c r="U87" i="1"/>
  <c r="W87" i="1" s="1"/>
  <c r="L87" i="1"/>
  <c r="X87" i="1" s="1"/>
  <c r="F87" i="1"/>
  <c r="AA86" i="1"/>
  <c r="V86" i="1"/>
  <c r="U86" i="1"/>
  <c r="L86" i="1"/>
  <c r="X86" i="1" s="1"/>
  <c r="AE86" i="1" s="1"/>
  <c r="F86" i="1"/>
  <c r="AA85" i="1"/>
  <c r="V85" i="1"/>
  <c r="U85" i="1"/>
  <c r="L85" i="1"/>
  <c r="X85" i="1" s="1"/>
  <c r="AE85" i="1" s="1"/>
  <c r="F85" i="1"/>
  <c r="AA84" i="1"/>
  <c r="V84" i="1"/>
  <c r="U84" i="1"/>
  <c r="L84" i="1"/>
  <c r="X84" i="1" s="1"/>
  <c r="Y84" i="1" s="1"/>
  <c r="F84" i="1"/>
  <c r="AA83" i="1"/>
  <c r="V83" i="1"/>
  <c r="U83" i="1"/>
  <c r="L83" i="1"/>
  <c r="X83" i="1" s="1"/>
  <c r="F83" i="1"/>
  <c r="AA82" i="1"/>
  <c r="V82" i="1"/>
  <c r="U82" i="1"/>
  <c r="L82" i="1"/>
  <c r="X82" i="1" s="1"/>
  <c r="AE82" i="1" s="1"/>
  <c r="F82" i="1"/>
  <c r="AA81" i="1"/>
  <c r="V81" i="1"/>
  <c r="U81" i="1"/>
  <c r="L81" i="1"/>
  <c r="X81" i="1" s="1"/>
  <c r="Y81" i="1" s="1"/>
  <c r="F81" i="1"/>
  <c r="AA80" i="1"/>
  <c r="V80" i="1"/>
  <c r="U80" i="1"/>
  <c r="L80" i="1"/>
  <c r="X80" i="1" s="1"/>
  <c r="Y80" i="1" s="1"/>
  <c r="F80" i="1"/>
  <c r="AA79" i="1"/>
  <c r="V79" i="1"/>
  <c r="U79" i="1"/>
  <c r="L79" i="1"/>
  <c r="X79" i="1" s="1"/>
  <c r="AE79" i="1" s="1"/>
  <c r="F79" i="1"/>
  <c r="AA78" i="1"/>
  <c r="V78" i="1"/>
  <c r="U78" i="1"/>
  <c r="L78" i="1"/>
  <c r="X78" i="1" s="1"/>
  <c r="Y78" i="1" s="1"/>
  <c r="F78" i="1"/>
  <c r="AA77" i="1"/>
  <c r="V77" i="1"/>
  <c r="U77" i="1"/>
  <c r="L77" i="1"/>
  <c r="X77" i="1" s="1"/>
  <c r="F77" i="1"/>
  <c r="AA76" i="1"/>
  <c r="V76" i="1"/>
  <c r="U76" i="1"/>
  <c r="L76" i="1"/>
  <c r="X76" i="1" s="1"/>
  <c r="F76" i="1"/>
  <c r="AA75" i="1"/>
  <c r="V75" i="1"/>
  <c r="U75" i="1"/>
  <c r="L75" i="1"/>
  <c r="X75" i="1" s="1"/>
  <c r="AE75" i="1" s="1"/>
  <c r="F75" i="1"/>
  <c r="AA74" i="1"/>
  <c r="V74" i="1"/>
  <c r="U74" i="1"/>
  <c r="L74" i="1"/>
  <c r="X74" i="1" s="1"/>
  <c r="F74" i="1"/>
  <c r="AA73" i="1"/>
  <c r="V73" i="1"/>
  <c r="U73" i="1"/>
  <c r="L73" i="1"/>
  <c r="X73" i="1" s="1"/>
  <c r="Y73" i="1" s="1"/>
  <c r="F73" i="1"/>
  <c r="AA72" i="1"/>
  <c r="V72" i="1"/>
  <c r="U72" i="1"/>
  <c r="L72" i="1"/>
  <c r="X72" i="1" s="1"/>
  <c r="AE72" i="1" s="1"/>
  <c r="F72" i="1"/>
  <c r="AA71" i="1"/>
  <c r="V71" i="1"/>
  <c r="U71" i="1"/>
  <c r="L71" i="1"/>
  <c r="X71" i="1" s="1"/>
  <c r="Y71" i="1" s="1"/>
  <c r="F71" i="1"/>
  <c r="AA70" i="1"/>
  <c r="V70" i="1"/>
  <c r="U70" i="1"/>
  <c r="L70" i="1"/>
  <c r="X70" i="1" s="1"/>
  <c r="Y70" i="1" s="1"/>
  <c r="F70" i="1"/>
  <c r="AA69" i="1"/>
  <c r="V69" i="1"/>
  <c r="U69" i="1"/>
  <c r="L69" i="1"/>
  <c r="X69" i="1" s="1"/>
  <c r="F69" i="1"/>
  <c r="AA68" i="1"/>
  <c r="V68" i="1"/>
  <c r="U68" i="1"/>
  <c r="L68" i="1"/>
  <c r="X68" i="1" s="1"/>
  <c r="AE68" i="1" s="1"/>
  <c r="F68" i="1"/>
  <c r="AA67" i="1"/>
  <c r="V67" i="1"/>
  <c r="U67" i="1"/>
  <c r="L67" i="1"/>
  <c r="X67" i="1" s="1"/>
  <c r="Y67" i="1" s="1"/>
  <c r="F67" i="1"/>
  <c r="AA66" i="1"/>
  <c r="V66" i="1"/>
  <c r="U66" i="1"/>
  <c r="L66" i="1"/>
  <c r="X66" i="1" s="1"/>
  <c r="AE66" i="1" s="1"/>
  <c r="F66" i="1"/>
  <c r="AA65" i="1"/>
  <c r="V65" i="1"/>
  <c r="U65" i="1"/>
  <c r="L65" i="1"/>
  <c r="X65" i="1" s="1"/>
  <c r="AE65" i="1" s="1"/>
  <c r="F65" i="1"/>
  <c r="AA64" i="1"/>
  <c r="V64" i="1"/>
  <c r="U64" i="1"/>
  <c r="L64" i="1"/>
  <c r="X64" i="1" s="1"/>
  <c r="AE64" i="1" s="1"/>
  <c r="F64" i="1"/>
  <c r="AA63" i="1"/>
  <c r="V63" i="1"/>
  <c r="U63" i="1"/>
  <c r="L63" i="1"/>
  <c r="X63" i="1" s="1"/>
  <c r="Y63" i="1" s="1"/>
  <c r="F63" i="1"/>
  <c r="AA62" i="1"/>
  <c r="V62" i="1"/>
  <c r="U62" i="1"/>
  <c r="L62" i="1"/>
  <c r="X62" i="1" s="1"/>
  <c r="F62" i="1"/>
  <c r="AA61" i="1"/>
  <c r="V61" i="1"/>
  <c r="U61" i="1"/>
  <c r="L61" i="1"/>
  <c r="X61" i="1" s="1"/>
  <c r="F61" i="1"/>
  <c r="AA60" i="1"/>
  <c r="V60" i="1"/>
  <c r="U60" i="1"/>
  <c r="L60" i="1"/>
  <c r="X60" i="1" s="1"/>
  <c r="F60" i="1"/>
  <c r="AA59" i="1"/>
  <c r="V59" i="1"/>
  <c r="U59" i="1"/>
  <c r="L59" i="1"/>
  <c r="X59" i="1" s="1"/>
  <c r="Y59" i="1" s="1"/>
  <c r="F59" i="1"/>
  <c r="AA58" i="1"/>
  <c r="V58" i="1"/>
  <c r="U58" i="1"/>
  <c r="L58" i="1"/>
  <c r="X58" i="1" s="1"/>
  <c r="AE58" i="1" s="1"/>
  <c r="F58" i="1"/>
  <c r="AA57" i="1"/>
  <c r="V57" i="1"/>
  <c r="U57" i="1"/>
  <c r="L57" i="1"/>
  <c r="X57" i="1" s="1"/>
  <c r="F57" i="1"/>
  <c r="AA56" i="1"/>
  <c r="V56" i="1"/>
  <c r="U56" i="1"/>
  <c r="L56" i="1"/>
  <c r="X56" i="1" s="1"/>
  <c r="Y56" i="1" s="1"/>
  <c r="F56" i="1"/>
  <c r="AA55" i="1"/>
  <c r="V55" i="1"/>
  <c r="U55" i="1"/>
  <c r="W55" i="1" s="1"/>
  <c r="L55" i="1"/>
  <c r="X55" i="1" s="1"/>
  <c r="AE55" i="1" s="1"/>
  <c r="F55" i="1"/>
  <c r="AA54" i="1"/>
  <c r="V54" i="1"/>
  <c r="U54" i="1"/>
  <c r="L54" i="1"/>
  <c r="X54" i="1" s="1"/>
  <c r="AE54" i="1" s="1"/>
  <c r="F54" i="1"/>
  <c r="AA53" i="1"/>
  <c r="V53" i="1"/>
  <c r="U53" i="1"/>
  <c r="L53" i="1"/>
  <c r="X53" i="1" s="1"/>
  <c r="Y53" i="1" s="1"/>
  <c r="F53" i="1"/>
  <c r="AA52" i="1"/>
  <c r="V52" i="1"/>
  <c r="U52" i="1"/>
  <c r="L52" i="1"/>
  <c r="X52" i="1" s="1"/>
  <c r="Y52" i="1" s="1"/>
  <c r="F52" i="1"/>
  <c r="AA51" i="1"/>
  <c r="V51" i="1"/>
  <c r="U51" i="1"/>
  <c r="W51" i="1" s="1"/>
  <c r="L51" i="1"/>
  <c r="X51" i="1" s="1"/>
  <c r="F51" i="1"/>
  <c r="AA50" i="1"/>
  <c r="V50" i="1"/>
  <c r="U50" i="1"/>
  <c r="L50" i="1"/>
  <c r="X50" i="1" s="1"/>
  <c r="AE50" i="1" s="1"/>
  <c r="F50" i="1"/>
  <c r="AA49" i="1"/>
  <c r="V49" i="1"/>
  <c r="U49" i="1"/>
  <c r="L49" i="1"/>
  <c r="X49" i="1" s="1"/>
  <c r="F49" i="1"/>
  <c r="AA48" i="1"/>
  <c r="V48" i="1"/>
  <c r="U48" i="1"/>
  <c r="L48" i="1"/>
  <c r="X48" i="1" s="1"/>
  <c r="F48" i="1"/>
  <c r="AA47" i="1"/>
  <c r="V47" i="1"/>
  <c r="U47" i="1"/>
  <c r="L47" i="1"/>
  <c r="X47" i="1" s="1"/>
  <c r="AE47" i="1" s="1"/>
  <c r="F47" i="1"/>
  <c r="AA46" i="1"/>
  <c r="V46" i="1"/>
  <c r="U46" i="1"/>
  <c r="L46" i="1"/>
  <c r="X46" i="1" s="1"/>
  <c r="F46" i="1"/>
  <c r="AA45" i="1"/>
  <c r="V45" i="1"/>
  <c r="U45" i="1"/>
  <c r="L45" i="1"/>
  <c r="X45" i="1" s="1"/>
  <c r="F45" i="1"/>
  <c r="AA44" i="1"/>
  <c r="V44" i="1"/>
  <c r="U44" i="1"/>
  <c r="L44" i="1"/>
  <c r="X44" i="1" s="1"/>
  <c r="AE44" i="1" s="1"/>
  <c r="F44" i="1"/>
  <c r="AA43" i="1"/>
  <c r="V43" i="1"/>
  <c r="U43" i="1"/>
  <c r="L43" i="1"/>
  <c r="X43" i="1" s="1"/>
  <c r="F43" i="1"/>
  <c r="AA42" i="1"/>
  <c r="V42" i="1"/>
  <c r="U42" i="1"/>
  <c r="L42" i="1"/>
  <c r="X42" i="1" s="1"/>
  <c r="F42" i="1"/>
  <c r="AA41" i="1"/>
  <c r="V41" i="1"/>
  <c r="U41" i="1"/>
  <c r="L41" i="1"/>
  <c r="X41" i="1" s="1"/>
  <c r="F41" i="1"/>
  <c r="AA40" i="1"/>
  <c r="V40" i="1"/>
  <c r="U40" i="1"/>
  <c r="L40" i="1"/>
  <c r="X40" i="1" s="1"/>
  <c r="AE40" i="1" s="1"/>
  <c r="F40" i="1"/>
  <c r="AA39" i="1"/>
  <c r="V39" i="1"/>
  <c r="U39" i="1"/>
  <c r="W39" i="1" s="1"/>
  <c r="L39" i="1"/>
  <c r="X39" i="1" s="1"/>
  <c r="AE39" i="1" s="1"/>
  <c r="F39" i="1"/>
  <c r="AA38" i="1"/>
  <c r="V38" i="1"/>
  <c r="U38" i="1"/>
  <c r="L38" i="1"/>
  <c r="X38" i="1" s="1"/>
  <c r="Y38" i="1" s="1"/>
  <c r="F38" i="1"/>
  <c r="AA37" i="1"/>
  <c r="V37" i="1"/>
  <c r="U37" i="1"/>
  <c r="L37" i="1"/>
  <c r="X37" i="1" s="1"/>
  <c r="AE37" i="1" s="1"/>
  <c r="F37" i="1"/>
  <c r="AA36" i="1"/>
  <c r="V36" i="1"/>
  <c r="U36" i="1"/>
  <c r="L36" i="1"/>
  <c r="X36" i="1" s="1"/>
  <c r="F36" i="1"/>
  <c r="AA35" i="1"/>
  <c r="V35" i="1"/>
  <c r="U35" i="1"/>
  <c r="W35" i="1" s="1"/>
  <c r="L35" i="1"/>
  <c r="X35" i="1" s="1"/>
  <c r="Y35" i="1" s="1"/>
  <c r="F35" i="1"/>
  <c r="AA34" i="1"/>
  <c r="V34" i="1"/>
  <c r="U34" i="1"/>
  <c r="L34" i="1"/>
  <c r="X34" i="1" s="1"/>
  <c r="AE34" i="1" s="1"/>
  <c r="F34" i="1"/>
  <c r="AA33" i="1"/>
  <c r="V33" i="1"/>
  <c r="U33" i="1"/>
  <c r="L33" i="1"/>
  <c r="X33" i="1" s="1"/>
  <c r="F33" i="1"/>
  <c r="AA32" i="1"/>
  <c r="V32" i="1"/>
  <c r="U32" i="1"/>
  <c r="L32" i="1"/>
  <c r="X32" i="1" s="1"/>
  <c r="F32" i="1"/>
  <c r="AA31" i="1"/>
  <c r="V31" i="1"/>
  <c r="U31" i="1"/>
  <c r="L31" i="1"/>
  <c r="X31" i="1" s="1"/>
  <c r="F31" i="1"/>
  <c r="AA30" i="1"/>
  <c r="V30" i="1"/>
  <c r="U30" i="1"/>
  <c r="L30" i="1"/>
  <c r="X30" i="1" s="1"/>
  <c r="F30" i="1"/>
  <c r="AA29" i="1"/>
  <c r="V29" i="1"/>
  <c r="U29" i="1"/>
  <c r="L29" i="1"/>
  <c r="X29" i="1" s="1"/>
  <c r="F29" i="1"/>
  <c r="AA28" i="1"/>
  <c r="V28" i="1"/>
  <c r="U28" i="1"/>
  <c r="L28" i="1"/>
  <c r="X28" i="1" s="1"/>
  <c r="F28" i="1"/>
  <c r="AA27" i="1"/>
  <c r="V27" i="1"/>
  <c r="U27" i="1"/>
  <c r="W27" i="1" s="1"/>
  <c r="L27" i="1"/>
  <c r="X27" i="1" s="1"/>
  <c r="F27" i="1"/>
  <c r="AA26" i="1"/>
  <c r="V26" i="1"/>
  <c r="U26" i="1"/>
  <c r="L26" i="1"/>
  <c r="X26" i="1" s="1"/>
  <c r="F26" i="1"/>
  <c r="AA25" i="1"/>
  <c r="V25" i="1"/>
  <c r="U25" i="1"/>
  <c r="L25" i="1"/>
  <c r="X25" i="1" s="1"/>
  <c r="Y25" i="1" s="1"/>
  <c r="F25" i="1"/>
  <c r="AA24" i="1"/>
  <c r="V24" i="1"/>
  <c r="U24" i="1"/>
  <c r="L24" i="1"/>
  <c r="X24" i="1" s="1"/>
  <c r="Y24" i="1" s="1"/>
  <c r="F24" i="1"/>
  <c r="AA23" i="1"/>
  <c r="V23" i="1"/>
  <c r="U23" i="1"/>
  <c r="W23" i="1" s="1"/>
  <c r="L23" i="1"/>
  <c r="X23" i="1" s="1"/>
  <c r="F23" i="1"/>
  <c r="AA22" i="1"/>
  <c r="V22" i="1"/>
  <c r="U22" i="1"/>
  <c r="L22" i="1"/>
  <c r="X22" i="1" s="1"/>
  <c r="F22" i="1"/>
  <c r="AA21" i="1"/>
  <c r="V21" i="1"/>
  <c r="U21" i="1"/>
  <c r="L21" i="1"/>
  <c r="X21" i="1" s="1"/>
  <c r="F21" i="1"/>
  <c r="AA20" i="1"/>
  <c r="V20" i="1"/>
  <c r="U20" i="1"/>
  <c r="L20" i="1"/>
  <c r="X20" i="1" s="1"/>
  <c r="F20" i="1"/>
  <c r="AA19" i="1"/>
  <c r="V19" i="1"/>
  <c r="U19" i="1"/>
  <c r="L19" i="1"/>
  <c r="X19" i="1" s="1"/>
  <c r="F19" i="1"/>
  <c r="AA18" i="1"/>
  <c r="X18" i="1"/>
  <c r="Y18" i="1" s="1"/>
  <c r="V18" i="1"/>
  <c r="U18" i="1"/>
  <c r="L18" i="1"/>
  <c r="F18" i="1"/>
  <c r="AA17" i="1"/>
  <c r="V17" i="1"/>
  <c r="U17" i="1"/>
  <c r="L17" i="1"/>
  <c r="X17" i="1" s="1"/>
  <c r="Y17" i="1" s="1"/>
  <c r="F17" i="1"/>
  <c r="AA16" i="1"/>
  <c r="V16" i="1"/>
  <c r="U16" i="1"/>
  <c r="L16" i="1"/>
  <c r="X16" i="1" s="1"/>
  <c r="F16" i="1"/>
  <c r="AA15" i="1"/>
  <c r="V15" i="1"/>
  <c r="U15" i="1"/>
  <c r="L15" i="1"/>
  <c r="X15" i="1" s="1"/>
  <c r="AE15" i="1" s="1"/>
  <c r="F15" i="1"/>
  <c r="AA14" i="1"/>
  <c r="V14" i="1"/>
  <c r="U14" i="1"/>
  <c r="L14" i="1"/>
  <c r="X14" i="1" s="1"/>
  <c r="AE14" i="1" s="1"/>
  <c r="F14" i="1"/>
  <c r="AA13" i="1"/>
  <c r="V13" i="1"/>
  <c r="U13" i="1"/>
  <c r="L13" i="1"/>
  <c r="X13" i="1" s="1"/>
  <c r="Y13" i="1" s="1"/>
  <c r="F13" i="1"/>
  <c r="AA12" i="1"/>
  <c r="V12" i="1"/>
  <c r="U12" i="1"/>
  <c r="L12" i="1"/>
  <c r="X12" i="1" s="1"/>
  <c r="Y12" i="1" s="1"/>
  <c r="F12" i="1"/>
  <c r="AA11" i="1"/>
  <c r="V11" i="1"/>
  <c r="U11" i="1"/>
  <c r="W11" i="1" s="1"/>
  <c r="L11" i="1"/>
  <c r="X11" i="1" s="1"/>
  <c r="F11" i="1"/>
  <c r="AA10" i="1"/>
  <c r="V10" i="1"/>
  <c r="U10" i="1"/>
  <c r="L10" i="1"/>
  <c r="X10" i="1" s="1"/>
  <c r="Y10" i="1" s="1"/>
  <c r="F10" i="1"/>
  <c r="AA9" i="1"/>
  <c r="V9" i="1"/>
  <c r="U9" i="1"/>
  <c r="L9" i="1"/>
  <c r="X9" i="1" s="1"/>
  <c r="AE9" i="1" s="1"/>
  <c r="F9" i="1"/>
  <c r="AA8" i="1"/>
  <c r="V8" i="1"/>
  <c r="U8" i="1"/>
  <c r="L8" i="1"/>
  <c r="X8" i="1" s="1"/>
  <c r="AE8" i="1" s="1"/>
  <c r="F8" i="1"/>
  <c r="AA7" i="1"/>
  <c r="V7" i="1"/>
  <c r="U7" i="1"/>
  <c r="W7" i="1" s="1"/>
  <c r="L7" i="1"/>
  <c r="X7" i="1" s="1"/>
  <c r="F7" i="1"/>
  <c r="AA6" i="1"/>
  <c r="V6" i="1"/>
  <c r="U6" i="1"/>
  <c r="L6" i="1"/>
  <c r="X6" i="1" s="1"/>
  <c r="F6" i="1"/>
  <c r="AA5" i="1"/>
  <c r="V5" i="1"/>
  <c r="U5" i="1"/>
  <c r="L5" i="1"/>
  <c r="X5" i="1" s="1"/>
  <c r="F5" i="1"/>
  <c r="AA4" i="1"/>
  <c r="V4" i="1"/>
  <c r="U4" i="1"/>
  <c r="L4" i="1"/>
  <c r="X4" i="1" s="1"/>
  <c r="F4" i="1"/>
  <c r="AA3" i="1"/>
  <c r="V3" i="1"/>
  <c r="U3" i="1"/>
  <c r="L3" i="1"/>
  <c r="X3" i="1" s="1"/>
  <c r="AA2" i="1"/>
  <c r="V2" i="1"/>
  <c r="U2" i="1"/>
  <c r="L2" i="1"/>
  <c r="X2" i="1" s="1"/>
  <c r="F2" i="1"/>
  <c r="W24" i="1" l="1"/>
  <c r="W28" i="1"/>
  <c r="W32" i="1"/>
  <c r="W36" i="1"/>
  <c r="W48" i="1"/>
  <c r="W112" i="1"/>
  <c r="W120" i="1"/>
  <c r="W132" i="1"/>
  <c r="W136" i="1"/>
  <c r="W140" i="1"/>
  <c r="W148" i="1"/>
  <c r="W177" i="1"/>
  <c r="W93" i="1"/>
  <c r="W141" i="1"/>
  <c r="W61" i="1"/>
  <c r="W181" i="1"/>
  <c r="W189" i="1"/>
  <c r="W25" i="1"/>
  <c r="W125" i="1"/>
  <c r="W117" i="1"/>
  <c r="W13" i="1"/>
  <c r="W153" i="1"/>
  <c r="W29" i="1"/>
  <c r="W65" i="1"/>
  <c r="W129" i="1"/>
  <c r="W67" i="1"/>
  <c r="W145" i="1"/>
  <c r="W201" i="1"/>
  <c r="W69" i="1"/>
  <c r="W33" i="1"/>
  <c r="W38" i="1"/>
  <c r="W42" i="1"/>
  <c r="W8" i="1"/>
  <c r="W16" i="1"/>
  <c r="W123" i="1"/>
  <c r="W53" i="1"/>
  <c r="W96" i="1"/>
  <c r="W108" i="1"/>
  <c r="Y108" i="1"/>
  <c r="W54" i="1"/>
  <c r="W58" i="1"/>
  <c r="W62" i="1"/>
  <c r="W74" i="1"/>
  <c r="W106" i="1"/>
  <c r="W110" i="1"/>
  <c r="W122" i="1"/>
  <c r="W158" i="1"/>
  <c r="W162" i="1"/>
  <c r="Y176" i="1"/>
  <c r="AE176" i="1"/>
  <c r="Y60" i="1"/>
  <c r="AE60" i="1"/>
  <c r="W160" i="1"/>
  <c r="Y8" i="1"/>
  <c r="AE67" i="1"/>
  <c r="AE112" i="1"/>
  <c r="W70" i="1"/>
  <c r="W111" i="1"/>
  <c r="W178" i="1"/>
  <c r="W89" i="1"/>
  <c r="W176" i="1"/>
  <c r="W49" i="1"/>
  <c r="W80" i="1"/>
  <c r="W119" i="1"/>
  <c r="W135" i="1"/>
  <c r="W182" i="1"/>
  <c r="W180" i="1"/>
  <c r="W10" i="1"/>
  <c r="W139" i="1"/>
  <c r="W143" i="1"/>
  <c r="W151" i="1"/>
  <c r="W155" i="1"/>
  <c r="W163" i="1"/>
  <c r="W190" i="1"/>
  <c r="W18" i="1"/>
  <c r="W88" i="1"/>
  <c r="W171" i="1"/>
  <c r="Y144" i="1"/>
  <c r="AE144" i="1"/>
  <c r="AE102" i="1"/>
  <c r="Y102" i="1"/>
  <c r="Y99" i="1"/>
  <c r="AE99" i="1"/>
  <c r="Y76" i="1"/>
  <c r="AE76" i="1"/>
  <c r="W57" i="1"/>
  <c r="W199" i="1"/>
  <c r="W72" i="1"/>
  <c r="Y128" i="1"/>
  <c r="W95" i="1"/>
  <c r="W2" i="1"/>
  <c r="W6" i="1"/>
  <c r="W77" i="1"/>
  <c r="W81" i="1"/>
  <c r="W114" i="1"/>
  <c r="W118" i="1"/>
  <c r="W133" i="1"/>
  <c r="W137" i="1"/>
  <c r="W152" i="1"/>
  <c r="W156" i="1"/>
  <c r="Y92" i="1"/>
  <c r="W175" i="1"/>
  <c r="Y170" i="1"/>
  <c r="W3" i="1"/>
  <c r="W14" i="1"/>
  <c r="W37" i="1"/>
  <c r="W100" i="1"/>
  <c r="W115" i="1"/>
  <c r="W130" i="1"/>
  <c r="W149" i="1"/>
  <c r="W168" i="1"/>
  <c r="Y89" i="1"/>
  <c r="W179" i="1"/>
  <c r="W22" i="1"/>
  <c r="W41" i="1"/>
  <c r="W60" i="1"/>
  <c r="W78" i="1"/>
  <c r="W104" i="1"/>
  <c r="W142" i="1"/>
  <c r="W161" i="1"/>
  <c r="W172" i="1"/>
  <c r="W183" i="1"/>
  <c r="AE180" i="1"/>
  <c r="W50" i="1"/>
  <c r="W45" i="1"/>
  <c r="W86" i="1"/>
  <c r="W97" i="1"/>
  <c r="W187" i="1"/>
  <c r="W198" i="1"/>
  <c r="W99" i="1"/>
  <c r="W165" i="1"/>
  <c r="W191" i="1"/>
  <c r="Y124" i="1"/>
  <c r="AE195" i="1"/>
  <c r="Y147" i="1"/>
  <c r="AE151" i="1"/>
  <c r="W4" i="1"/>
  <c r="W15" i="1"/>
  <c r="W30" i="1"/>
  <c r="W90" i="1"/>
  <c r="W101" i="1"/>
  <c r="W169" i="1"/>
  <c r="AE19" i="1"/>
  <c r="Y19" i="1"/>
  <c r="Y42" i="1"/>
  <c r="AE42" i="1"/>
  <c r="AE139" i="1"/>
  <c r="Y139" i="1"/>
  <c r="Y162" i="1"/>
  <c r="AE162" i="1"/>
  <c r="Y184" i="1"/>
  <c r="AE184" i="1"/>
  <c r="AE27" i="1"/>
  <c r="Y27" i="1"/>
  <c r="Y113" i="1"/>
  <c r="AE113" i="1"/>
  <c r="Y16" i="1"/>
  <c r="AE16" i="1"/>
  <c r="Y136" i="1"/>
  <c r="AE136" i="1"/>
  <c r="Y155" i="1"/>
  <c r="AE155" i="1"/>
  <c r="AE159" i="1"/>
  <c r="Y159" i="1"/>
  <c r="Y23" i="1"/>
  <c r="AE23" i="1"/>
  <c r="Y32" i="1"/>
  <c r="AE32" i="1"/>
  <c r="AE62" i="1"/>
  <c r="Y62" i="1"/>
  <c r="Y77" i="1"/>
  <c r="AE77" i="1"/>
  <c r="AE107" i="1"/>
  <c r="Y107" i="1"/>
  <c r="Y182" i="1"/>
  <c r="AE182" i="1"/>
  <c r="AE74" i="1"/>
  <c r="Y74" i="1"/>
  <c r="Y145" i="1"/>
  <c r="AE145" i="1"/>
  <c r="Y164" i="1"/>
  <c r="AE164" i="1"/>
  <c r="Y7" i="1"/>
  <c r="AE7" i="1"/>
  <c r="Y194" i="1"/>
  <c r="AE194" i="1"/>
  <c r="Y104" i="1"/>
  <c r="AE104" i="1"/>
  <c r="Y172" i="1"/>
  <c r="AE172" i="1"/>
  <c r="Y190" i="1"/>
  <c r="AE190" i="1"/>
  <c r="AE45" i="1"/>
  <c r="Y45" i="1"/>
  <c r="Y97" i="1"/>
  <c r="AE97" i="1"/>
  <c r="AE187" i="1"/>
  <c r="Y187" i="1"/>
  <c r="Y49" i="1"/>
  <c r="AE49" i="1"/>
  <c r="AE4" i="1"/>
  <c r="B8" i="3" s="1"/>
  <c r="Z40" i="1" s="1"/>
  <c r="Y4" i="1"/>
  <c r="AE33" i="1"/>
  <c r="Y33" i="1"/>
  <c r="Y116" i="1"/>
  <c r="AE116" i="1"/>
  <c r="Y120" i="1"/>
  <c r="AE120" i="1"/>
  <c r="AE115" i="1"/>
  <c r="W59" i="1"/>
  <c r="W94" i="1"/>
  <c r="AE52" i="1"/>
  <c r="AE59" i="1"/>
  <c r="AE84" i="1"/>
  <c r="W159" i="1"/>
  <c r="Y65" i="1"/>
  <c r="Y68" i="1"/>
  <c r="AE200" i="1"/>
  <c r="W20" i="1"/>
  <c r="W43" i="1"/>
  <c r="W46" i="1"/>
  <c r="W75" i="1"/>
  <c r="Y88" i="1"/>
  <c r="W98" i="1"/>
  <c r="W146" i="1"/>
  <c r="W185" i="1"/>
  <c r="AE191" i="1"/>
  <c r="W17" i="1"/>
  <c r="W40" i="1"/>
  <c r="AE70" i="1"/>
  <c r="W113" i="1"/>
  <c r="W71" i="1"/>
  <c r="W194" i="1"/>
  <c r="W9" i="1"/>
  <c r="W109" i="1"/>
  <c r="AE25" i="1"/>
  <c r="W174" i="1"/>
  <c r="Y90" i="1"/>
  <c r="AE132" i="1"/>
  <c r="W127" i="1"/>
  <c r="AE185" i="1"/>
  <c r="Y199" i="1"/>
  <c r="W26" i="1"/>
  <c r="W63" i="1"/>
  <c r="W66" i="1"/>
  <c r="W82" i="1"/>
  <c r="W102" i="1"/>
  <c r="W131" i="1"/>
  <c r="W134" i="1"/>
  <c r="W166" i="1"/>
  <c r="Y103" i="1"/>
  <c r="AE167" i="1"/>
  <c r="W184" i="1"/>
  <c r="W197" i="1"/>
  <c r="W5" i="1"/>
  <c r="W31" i="1"/>
  <c r="W34" i="1"/>
  <c r="Y150" i="1"/>
  <c r="W83" i="1"/>
  <c r="W44" i="1"/>
  <c r="W73" i="1"/>
  <c r="W154" i="1"/>
  <c r="W157" i="1"/>
  <c r="W173" i="1"/>
  <c r="W186" i="1"/>
  <c r="Y54" i="1"/>
  <c r="W64" i="1"/>
  <c r="W19" i="1"/>
  <c r="W12" i="1"/>
  <c r="Y34" i="1"/>
  <c r="AE63" i="1"/>
  <c r="W79" i="1"/>
  <c r="W121" i="1"/>
  <c r="W138" i="1"/>
  <c r="W170" i="1"/>
  <c r="AE192" i="1"/>
  <c r="Y93" i="1"/>
  <c r="AE93" i="1"/>
  <c r="AE130" i="1"/>
  <c r="Y130" i="1"/>
  <c r="Y29" i="1"/>
  <c r="AE29" i="1"/>
  <c r="Y91" i="1"/>
  <c r="AE91" i="1"/>
  <c r="AE20" i="1"/>
  <c r="Y20" i="1"/>
  <c r="AE153" i="1"/>
  <c r="Y153" i="1"/>
  <c r="Y137" i="1"/>
  <c r="AE137" i="1"/>
  <c r="AE83" i="1"/>
  <c r="Y83" i="1"/>
  <c r="Y41" i="1"/>
  <c r="AE41" i="1"/>
  <c r="Y31" i="1"/>
  <c r="AE31" i="1"/>
  <c r="Y50" i="1"/>
  <c r="Y119" i="1"/>
  <c r="AE119" i="1"/>
  <c r="Y55" i="1"/>
  <c r="Y95" i="1"/>
  <c r="AE95" i="1"/>
  <c r="AE157" i="1"/>
  <c r="Y157" i="1"/>
  <c r="Y37" i="1"/>
  <c r="Y66" i="1"/>
  <c r="Y14" i="1"/>
  <c r="Y21" i="1"/>
  <c r="AE21" i="1"/>
  <c r="AE73" i="1"/>
  <c r="Y82" i="1"/>
  <c r="Y117" i="1"/>
  <c r="AE18" i="1"/>
  <c r="W21" i="1"/>
  <c r="Y64" i="1"/>
  <c r="AE69" i="1"/>
  <c r="Y69" i="1"/>
  <c r="W76" i="1"/>
  <c r="Y138" i="1"/>
  <c r="AE196" i="1"/>
  <c r="AE165" i="1"/>
  <c r="Y165" i="1"/>
  <c r="Y44" i="1"/>
  <c r="Y110" i="1"/>
  <c r="Y152" i="1"/>
  <c r="AE35" i="1"/>
  <c r="Y51" i="1"/>
  <c r="AE51" i="1"/>
  <c r="Y141" i="1"/>
  <c r="AE158" i="1"/>
  <c r="Y158" i="1"/>
  <c r="Y174" i="1"/>
  <c r="AE174" i="1"/>
  <c r="AE186" i="1"/>
  <c r="Y186" i="1"/>
  <c r="AE189" i="1"/>
  <c r="Y189" i="1"/>
  <c r="Y40" i="1"/>
  <c r="W47" i="1"/>
  <c r="AE53" i="1"/>
  <c r="W56" i="1"/>
  <c r="Y58" i="1"/>
  <c r="AE71" i="1"/>
  <c r="AE78" i="1"/>
  <c r="AE98" i="1"/>
  <c r="Y98" i="1"/>
  <c r="AE125" i="1"/>
  <c r="W144" i="1"/>
  <c r="AE177" i="1"/>
  <c r="Y168" i="1"/>
  <c r="AE168" i="1"/>
  <c r="B5" i="3"/>
  <c r="B11" i="3"/>
  <c r="B10" i="3"/>
  <c r="B8" i="4"/>
  <c r="B3" i="4"/>
  <c r="B3" i="3"/>
  <c r="AE2" i="1"/>
  <c r="B4" i="3"/>
  <c r="AE10" i="1"/>
  <c r="Y22" i="1"/>
  <c r="AE22" i="1"/>
  <c r="AE26" i="1"/>
  <c r="Y26" i="1"/>
  <c r="W147" i="1"/>
  <c r="W150" i="1"/>
  <c r="Y134" i="1"/>
  <c r="AE134" i="1"/>
  <c r="Y201" i="1"/>
  <c r="AE201" i="1"/>
  <c r="AE6" i="1"/>
  <c r="Y6" i="1"/>
  <c r="AE12" i="1"/>
  <c r="Y47" i="1"/>
  <c r="AE96" i="1"/>
  <c r="Y96" i="1"/>
  <c r="AE101" i="1"/>
  <c r="Y101" i="1"/>
  <c r="AE106" i="1"/>
  <c r="Y106" i="1"/>
  <c r="AE175" i="1"/>
  <c r="Y175" i="1"/>
  <c r="AE198" i="1"/>
  <c r="Y198" i="1"/>
  <c r="Y5" i="1"/>
  <c r="AE5" i="1"/>
  <c r="AE146" i="1"/>
  <c r="Y146" i="1"/>
  <c r="Y105" i="1"/>
  <c r="AE105" i="1"/>
  <c r="Y131" i="1"/>
  <c r="AE131" i="1"/>
  <c r="Y11" i="1"/>
  <c r="AE11" i="1"/>
  <c r="AE61" i="1"/>
  <c r="Y61" i="1"/>
  <c r="AE118" i="1"/>
  <c r="AE129" i="1"/>
  <c r="Y129" i="1"/>
  <c r="Y166" i="1"/>
  <c r="AE17" i="1"/>
  <c r="AE36" i="1"/>
  <c r="Y36" i="1"/>
  <c r="AE38" i="1"/>
  <c r="W52" i="1"/>
  <c r="Y178" i="1"/>
  <c r="AE46" i="1"/>
  <c r="Y46" i="1"/>
  <c r="AE56" i="1"/>
  <c r="Y72" i="1"/>
  <c r="Y79" i="1"/>
  <c r="Y114" i="1"/>
  <c r="AE114" i="1"/>
  <c r="AE123" i="1"/>
  <c r="Y161" i="1"/>
  <c r="AE181" i="1"/>
  <c r="Y181" i="1"/>
  <c r="Y3" i="1"/>
  <c r="AE143" i="1"/>
  <c r="Y143" i="1"/>
  <c r="Y85" i="1"/>
  <c r="AE133" i="1"/>
  <c r="Y133" i="1"/>
  <c r="AE13" i="1"/>
  <c r="AE81" i="1"/>
  <c r="AE148" i="1"/>
  <c r="Y148" i="1"/>
  <c r="Y100" i="1"/>
  <c r="Y43" i="1"/>
  <c r="AE43" i="1"/>
  <c r="AE48" i="1"/>
  <c r="Y48" i="1"/>
  <c r="AE109" i="1"/>
  <c r="Y109" i="1"/>
  <c r="AE121" i="1"/>
  <c r="Y121" i="1"/>
  <c r="AE127" i="1"/>
  <c r="Y127" i="1"/>
  <c r="Y142" i="1"/>
  <c r="AE156" i="1"/>
  <c r="Y156" i="1"/>
  <c r="AE28" i="1"/>
  <c r="Y28" i="1"/>
  <c r="AE80" i="1"/>
  <c r="AE122" i="1"/>
  <c r="Y2" i="1"/>
  <c r="Y9" i="1"/>
  <c r="W68" i="1"/>
  <c r="Y75" i="1"/>
  <c r="AE87" i="1"/>
  <c r="Y87" i="1"/>
  <c r="W124" i="1"/>
  <c r="AE135" i="1"/>
  <c r="Y135" i="1"/>
  <c r="AE140" i="1"/>
  <c r="Y140" i="1"/>
  <c r="Y154" i="1"/>
  <c r="AE154" i="1"/>
  <c r="W167" i="1"/>
  <c r="Y188" i="1"/>
  <c r="AE188" i="1"/>
  <c r="Y39" i="1"/>
  <c r="Y15" i="1"/>
  <c r="Y57" i="1"/>
  <c r="AE57" i="1"/>
  <c r="W85" i="1"/>
  <c r="W92" i="1"/>
  <c r="Y163" i="1"/>
  <c r="Y169" i="1"/>
  <c r="Y173" i="1"/>
  <c r="Y179" i="1"/>
  <c r="AE94" i="1"/>
  <c r="W105" i="1"/>
  <c r="W116" i="1"/>
  <c r="W193" i="1"/>
  <c r="Y160" i="1"/>
  <c r="AE160" i="1"/>
  <c r="AE171" i="1"/>
  <c r="Y193" i="1"/>
  <c r="Y197" i="1"/>
  <c r="W84" i="1"/>
  <c r="Y183" i="1"/>
  <c r="Y30" i="1"/>
  <c r="AE30" i="1"/>
  <c r="AE126" i="1"/>
  <c r="Y126" i="1"/>
  <c r="Y111" i="1"/>
  <c r="AE111" i="1"/>
  <c r="AE24" i="1"/>
  <c r="Y86" i="1"/>
  <c r="W126" i="1"/>
  <c r="Y149" i="1"/>
  <c r="W128" i="1"/>
  <c r="Z79" i="1" l="1"/>
  <c r="Z141" i="1"/>
  <c r="Z144" i="1"/>
  <c r="Z139" i="1"/>
  <c r="Z120" i="1"/>
  <c r="Z125" i="1"/>
  <c r="Z143" i="1"/>
  <c r="Z150" i="1"/>
  <c r="Z102" i="1"/>
  <c r="Z142" i="1"/>
  <c r="Z172" i="1"/>
  <c r="Z34" i="1"/>
  <c r="Z45" i="1"/>
  <c r="Z14" i="1"/>
  <c r="Z46" i="1"/>
  <c r="Z52" i="1"/>
  <c r="Z179" i="1"/>
  <c r="Z41" i="1"/>
  <c r="B7" i="3"/>
  <c r="Z20" i="1"/>
  <c r="Z152" i="1"/>
  <c r="Z82" i="1"/>
  <c r="B6" i="3"/>
  <c r="AB60" i="1" s="1"/>
  <c r="Z115" i="1"/>
  <c r="Z88" i="1"/>
  <c r="Z24" i="1"/>
  <c r="Z156" i="1"/>
  <c r="Z37" i="1"/>
  <c r="Z72" i="1"/>
  <c r="Z127" i="1"/>
  <c r="Z175" i="1"/>
  <c r="Z153" i="1"/>
  <c r="Z114" i="1"/>
  <c r="Z67" i="1"/>
  <c r="Z163" i="1"/>
  <c r="Z160" i="1"/>
  <c r="Z162" i="1"/>
  <c r="Z121" i="1"/>
  <c r="Z54" i="1"/>
  <c r="Z6" i="1"/>
  <c r="Z53" i="1"/>
  <c r="Z7" i="1"/>
  <c r="Z90" i="1"/>
  <c r="Z2" i="1"/>
  <c r="Z158" i="1"/>
  <c r="B2" i="5"/>
  <c r="B4" i="5" s="1"/>
  <c r="B11" i="4"/>
  <c r="B7" i="4"/>
  <c r="B5" i="4"/>
  <c r="Z97" i="1"/>
  <c r="Z91" i="1"/>
  <c r="Z185" i="1"/>
  <c r="Z39" i="1"/>
  <c r="Z98" i="1"/>
  <c r="Z187" i="1"/>
  <c r="Z181" i="1"/>
  <c r="Z78" i="1"/>
  <c r="Z73" i="1"/>
  <c r="Z180" i="1"/>
  <c r="Z198" i="1"/>
  <c r="Z71" i="1"/>
  <c r="Z111" i="1"/>
  <c r="Z171" i="1"/>
  <c r="Z148" i="1"/>
  <c r="Z84" i="1"/>
  <c r="Z167" i="1"/>
  <c r="Z11" i="1"/>
  <c r="Z103" i="1"/>
  <c r="Z57" i="1"/>
  <c r="Z140" i="1"/>
  <c r="Z80" i="1"/>
  <c r="Z168" i="1"/>
  <c r="Z60" i="1"/>
  <c r="Z32" i="1"/>
  <c r="Z4" i="1"/>
  <c r="Z29" i="1"/>
  <c r="Z123" i="1"/>
  <c r="Z89" i="1"/>
  <c r="Z38" i="1"/>
  <c r="Z131" i="1"/>
  <c r="Z201" i="1"/>
  <c r="Z76" i="1"/>
  <c r="Z64" i="1"/>
  <c r="Z188" i="1"/>
  <c r="Z129" i="1"/>
  <c r="Z137" i="1"/>
  <c r="C3" i="1"/>
  <c r="Z21" i="1"/>
  <c r="Z35" i="1"/>
  <c r="Z28" i="1"/>
  <c r="Z13" i="1"/>
  <c r="Z113" i="1"/>
  <c r="Z18" i="1"/>
  <c r="Z44" i="1"/>
  <c r="Z166" i="1"/>
  <c r="Z130" i="1"/>
  <c r="Z62" i="1"/>
  <c r="Z5" i="1"/>
  <c r="Z118" i="1"/>
  <c r="Z182" i="1"/>
  <c r="Z192" i="1"/>
  <c r="Z119" i="1"/>
  <c r="Z154" i="1"/>
  <c r="Z109" i="1"/>
  <c r="Z135" i="1"/>
  <c r="Z16" i="1"/>
  <c r="Z107" i="1"/>
  <c r="Z75" i="1"/>
  <c r="Z36" i="1"/>
  <c r="Z191" i="1"/>
  <c r="Z190" i="1"/>
  <c r="Z165" i="1"/>
  <c r="Z47" i="1"/>
  <c r="Z108" i="1"/>
  <c r="Z100" i="1"/>
  <c r="Z68" i="1"/>
  <c r="Z106" i="1"/>
  <c r="Z178" i="1"/>
  <c r="Z26" i="1"/>
  <c r="Z200" i="1"/>
  <c r="Z173" i="1"/>
  <c r="Z161" i="1"/>
  <c r="Z59" i="1"/>
  <c r="Z199" i="1"/>
  <c r="Z51" i="1"/>
  <c r="Z126" i="1"/>
  <c r="Z94" i="1"/>
  <c r="Z145" i="1"/>
  <c r="Z133" i="1"/>
  <c r="Z56" i="1"/>
  <c r="Z17" i="1"/>
  <c r="Z105" i="1"/>
  <c r="Z155" i="1"/>
  <c r="Z22" i="1"/>
  <c r="Z197" i="1"/>
  <c r="Z189" i="1"/>
  <c r="Z23" i="1"/>
  <c r="Z151" i="1"/>
  <c r="Z85" i="1"/>
  <c r="Z183" i="1"/>
  <c r="Z110" i="1"/>
  <c r="Z70" i="1"/>
  <c r="Z55" i="1"/>
  <c r="Z30" i="1"/>
  <c r="Z195" i="1"/>
  <c r="Z87" i="1"/>
  <c r="Z132" i="1"/>
  <c r="Z101" i="1"/>
  <c r="Z136" i="1"/>
  <c r="Z194" i="1"/>
  <c r="Z66" i="1"/>
  <c r="Z157" i="1"/>
  <c r="Z31" i="1"/>
  <c r="Z138" i="1"/>
  <c r="Z12" i="1"/>
  <c r="Z104" i="1"/>
  <c r="Z74" i="1"/>
  <c r="Z169" i="1"/>
  <c r="Z50" i="1"/>
  <c r="Z122" i="1"/>
  <c r="Z49" i="1"/>
  <c r="Z81" i="1"/>
  <c r="Z48" i="1"/>
  <c r="Z42" i="1"/>
  <c r="Z149" i="1"/>
  <c r="Z134" i="1"/>
  <c r="Z10" i="1"/>
  <c r="Z177" i="1"/>
  <c r="Z186" i="1"/>
  <c r="Z196" i="1"/>
  <c r="Z184" i="1"/>
  <c r="Z95" i="1"/>
  <c r="Z93" i="1"/>
  <c r="AB200" i="1"/>
  <c r="AB180" i="1"/>
  <c r="AB160" i="1"/>
  <c r="AB140" i="1"/>
  <c r="AB120" i="1"/>
  <c r="AB100" i="1"/>
  <c r="AB80" i="1"/>
  <c r="AB77" i="1"/>
  <c r="AB9" i="1"/>
  <c r="AB189" i="1"/>
  <c r="AB185" i="1"/>
  <c r="Z116" i="1"/>
  <c r="AB103" i="1"/>
  <c r="AB201" i="1"/>
  <c r="Z193" i="1"/>
  <c r="AB125" i="1"/>
  <c r="AB179" i="1"/>
  <c r="AB169" i="1"/>
  <c r="AB148" i="1"/>
  <c r="AB96" i="1"/>
  <c r="AB36" i="1"/>
  <c r="AB138" i="1"/>
  <c r="AB99" i="1"/>
  <c r="AB92" i="1"/>
  <c r="AB83" i="1"/>
  <c r="AB78" i="1"/>
  <c r="AB10" i="1"/>
  <c r="AB161" i="1"/>
  <c r="AB190" i="1"/>
  <c r="AB97" i="1"/>
  <c r="AB67" i="1"/>
  <c r="AB37" i="1"/>
  <c r="AB30" i="1"/>
  <c r="AB88" i="1"/>
  <c r="AB74" i="1"/>
  <c r="AB13" i="1"/>
  <c r="AB166" i="1"/>
  <c r="AB149" i="1"/>
  <c r="Z147" i="1"/>
  <c r="AB126" i="1"/>
  <c r="Z124" i="1"/>
  <c r="AB72" i="1"/>
  <c r="AB58" i="1"/>
  <c r="AB178" i="1"/>
  <c r="AB59" i="1"/>
  <c r="AB45" i="1"/>
  <c r="AB24" i="1"/>
  <c r="AB15" i="1"/>
  <c r="AB26" i="1"/>
  <c r="AB53" i="1"/>
  <c r="AB55" i="1"/>
  <c r="AB94" i="1"/>
  <c r="AB156" i="1"/>
  <c r="AB79" i="1"/>
  <c r="AB2" i="1"/>
  <c r="AB64" i="1"/>
  <c r="Z33" i="1"/>
  <c r="Z19" i="1"/>
  <c r="Z176" i="1"/>
  <c r="AB75" i="1"/>
  <c r="AB134" i="1"/>
  <c r="AB95" i="1"/>
  <c r="AB192" i="1"/>
  <c r="Z86" i="1"/>
  <c r="AB81" i="1"/>
  <c r="Z65" i="1"/>
  <c r="AB17" i="1"/>
  <c r="AB117" i="1"/>
  <c r="AB56" i="1"/>
  <c r="Z15" i="1"/>
  <c r="AB51" i="1"/>
  <c r="AB28" i="1"/>
  <c r="AB6" i="1"/>
  <c r="AB62" i="1"/>
  <c r="AB136" i="1"/>
  <c r="AB110" i="1"/>
  <c r="AB69" i="1"/>
  <c r="Z128" i="1"/>
  <c r="AB76" i="1"/>
  <c r="AB146" i="1"/>
  <c r="AB34" i="1"/>
  <c r="AB182" i="1"/>
  <c r="Z92" i="1"/>
  <c r="Z27" i="1"/>
  <c r="AB70" i="1"/>
  <c r="AB16" i="1"/>
  <c r="AB48" i="1"/>
  <c r="AB39" i="1"/>
  <c r="AB32" i="1"/>
  <c r="Z25" i="1"/>
  <c r="AB121" i="1"/>
  <c r="AB43" i="1"/>
  <c r="Z9" i="1"/>
  <c r="Z170" i="1"/>
  <c r="AB154" i="1"/>
  <c r="Z112" i="1"/>
  <c r="Z164" i="1"/>
  <c r="Z159" i="1"/>
  <c r="Z99" i="1"/>
  <c r="AB84" i="1"/>
  <c r="AB7" i="1"/>
  <c r="Z83" i="1"/>
  <c r="Z61" i="1"/>
  <c r="Z69" i="1"/>
  <c r="Z63" i="1"/>
  <c r="Z77" i="1"/>
  <c r="Z43" i="1"/>
  <c r="Z146" i="1"/>
  <c r="Z96" i="1"/>
  <c r="Z8" i="1"/>
  <c r="Z174" i="1"/>
  <c r="Z117" i="1"/>
  <c r="Z58" i="1"/>
  <c r="AB4" i="1" l="1"/>
  <c r="AB162" i="1"/>
  <c r="AB142" i="1"/>
  <c r="AB107" i="1"/>
  <c r="AB133" i="1"/>
  <c r="AB128" i="1"/>
  <c r="AB57" i="1"/>
  <c r="AB152" i="1"/>
  <c r="AB119" i="1"/>
  <c r="AB42" i="1"/>
  <c r="AB141" i="1"/>
  <c r="AB85" i="1"/>
  <c r="AB157" i="1"/>
  <c r="AB129" i="1"/>
  <c r="AB165" i="1"/>
  <c r="AB170" i="1"/>
  <c r="AB104" i="1"/>
  <c r="AB38" i="1"/>
  <c r="AB21" i="1"/>
  <c r="AB102" i="1"/>
  <c r="AB195" i="1"/>
  <c r="AB19" i="1"/>
  <c r="AB112" i="1"/>
  <c r="AB35" i="1"/>
  <c r="AB181" i="1"/>
  <c r="AB82" i="1"/>
  <c r="AB33" i="1"/>
  <c r="AB101" i="1"/>
  <c r="AB197" i="1"/>
  <c r="AB18" i="1"/>
  <c r="AB131" i="1"/>
  <c r="AB61" i="1"/>
  <c r="AB109" i="1"/>
  <c r="AB113" i="1"/>
  <c r="AB167" i="1"/>
  <c r="AB199" i="1"/>
  <c r="AB46" i="1"/>
  <c r="AB50" i="1"/>
  <c r="AB93" i="1"/>
  <c r="AB86" i="1"/>
  <c r="AB111" i="1"/>
  <c r="AB130" i="1"/>
  <c r="AB171" i="1"/>
  <c r="AB158" i="1"/>
  <c r="AB198" i="1"/>
  <c r="AB186" i="1"/>
  <c r="AB106" i="1"/>
  <c r="AB164" i="1"/>
  <c r="AB151" i="1"/>
  <c r="AB12" i="1"/>
  <c r="AB187" i="1"/>
  <c r="AB139" i="1"/>
  <c r="AB3" i="1"/>
  <c r="AB68" i="1"/>
  <c r="AB66" i="1"/>
  <c r="AB172" i="1"/>
  <c r="AB174" i="1"/>
  <c r="AB153" i="1"/>
  <c r="AB22" i="1"/>
  <c r="AB116" i="1"/>
  <c r="AB71" i="1"/>
  <c r="AB5" i="1"/>
  <c r="AB31" i="1"/>
  <c r="AB184" i="1"/>
  <c r="AB176" i="1"/>
  <c r="AB194" i="1"/>
  <c r="AB29" i="1"/>
  <c r="AB135" i="1"/>
  <c r="AB114" i="1"/>
  <c r="AB159" i="1"/>
  <c r="AB115" i="1"/>
  <c r="AB41" i="1"/>
  <c r="AB11" i="1"/>
  <c r="AB65" i="1"/>
  <c r="AB23" i="1"/>
  <c r="AB144" i="1"/>
  <c r="AB47" i="1"/>
  <c r="AB90" i="1"/>
  <c r="AB91" i="1"/>
  <c r="AB44" i="1"/>
  <c r="AB52" i="1"/>
  <c r="AB188" i="1"/>
  <c r="AB63" i="1"/>
  <c r="AB98" i="1"/>
  <c r="AB122" i="1"/>
  <c r="AB127" i="1"/>
  <c r="AB132" i="1"/>
  <c r="AB124" i="1"/>
  <c r="AB137" i="1"/>
  <c r="AB8" i="1"/>
  <c r="AB145" i="1"/>
  <c r="AB27" i="1"/>
  <c r="AB150" i="1"/>
  <c r="AB155" i="1"/>
  <c r="AB108" i="1"/>
  <c r="AB173" i="1"/>
  <c r="AB49" i="1"/>
  <c r="AB89" i="1"/>
  <c r="AB196" i="1"/>
  <c r="AB123" i="1"/>
  <c r="AB143" i="1"/>
  <c r="AB168" i="1"/>
  <c r="AB163" i="1"/>
  <c r="AB177" i="1"/>
  <c r="AB105" i="1"/>
  <c r="AB147" i="1"/>
  <c r="AB191" i="1"/>
  <c r="AB183" i="1"/>
  <c r="AB73" i="1"/>
  <c r="AB118" i="1"/>
  <c r="AB175" i="1"/>
  <c r="AB14" i="1"/>
  <c r="AB20" i="1"/>
  <c r="AB87" i="1"/>
  <c r="AB54" i="1"/>
  <c r="AB193" i="1"/>
  <c r="AB25" i="1"/>
  <c r="AB40" i="1"/>
  <c r="G190" i="1"/>
  <c r="B10" i="4"/>
  <c r="G161" i="1"/>
  <c r="G120" i="1"/>
  <c r="G104" i="1"/>
  <c r="G30" i="1"/>
  <c r="G170" i="1"/>
  <c r="G184" i="1"/>
  <c r="G130" i="1"/>
  <c r="G178" i="1"/>
  <c r="G166" i="1"/>
  <c r="G139" i="1"/>
  <c r="G21" i="1"/>
  <c r="G191" i="1"/>
  <c r="G77" i="1"/>
  <c r="G40" i="1"/>
  <c r="G189" i="1"/>
  <c r="G112" i="1"/>
  <c r="G29" i="1"/>
  <c r="G57" i="1"/>
  <c r="G110" i="1"/>
  <c r="G71" i="1"/>
  <c r="G50" i="1"/>
  <c r="G66" i="1"/>
  <c r="G62" i="1"/>
  <c r="G55" i="1"/>
  <c r="G37" i="1"/>
  <c r="G23" i="1"/>
  <c r="G49" i="1"/>
  <c r="G135" i="1"/>
  <c r="G25" i="1"/>
  <c r="G74" i="1"/>
  <c r="G48" i="1"/>
  <c r="G16" i="1"/>
  <c r="G122" i="1"/>
  <c r="G148" i="1"/>
  <c r="G119" i="1"/>
  <c r="G11" i="1"/>
  <c r="G159" i="1"/>
  <c r="G160" i="1"/>
  <c r="G98" i="1"/>
  <c r="G58" i="1"/>
  <c r="G132" i="1"/>
  <c r="G70" i="1"/>
  <c r="G52" i="1"/>
  <c r="G175" i="1"/>
  <c r="G111" i="1"/>
  <c r="G79" i="1"/>
  <c r="G72" i="1"/>
  <c r="G134" i="1"/>
  <c r="G63" i="1"/>
  <c r="G45" i="1"/>
  <c r="G150" i="1"/>
  <c r="G56" i="1"/>
  <c r="G165" i="1"/>
  <c r="G155" i="1"/>
  <c r="G28" i="1"/>
  <c r="G90" i="1"/>
  <c r="G10" i="1"/>
  <c r="G157" i="1"/>
  <c r="G125" i="1"/>
  <c r="G100" i="1"/>
  <c r="G42" i="1"/>
  <c r="G143" i="1"/>
  <c r="G102" i="1"/>
  <c r="G117" i="1"/>
  <c r="G34" i="1"/>
  <c r="G171" i="1"/>
  <c r="G33" i="1"/>
  <c r="G81" i="1"/>
  <c r="G73" i="1"/>
  <c r="G96" i="1"/>
  <c r="G185" i="1"/>
  <c r="G174" i="1"/>
  <c r="G179" i="1"/>
  <c r="G67" i="1"/>
  <c r="G61" i="1"/>
  <c r="G145" i="1"/>
  <c r="G149" i="1"/>
  <c r="G6" i="1"/>
  <c r="G15" i="1"/>
  <c r="G115" i="1"/>
  <c r="G167" i="1"/>
  <c r="G193" i="1"/>
  <c r="G136" i="1"/>
  <c r="G113" i="1"/>
  <c r="G187" i="1"/>
  <c r="G154" i="1"/>
  <c r="G9" i="1"/>
  <c r="G201" i="1"/>
  <c r="G146" i="1"/>
  <c r="G200" i="1"/>
  <c r="G103" i="1"/>
  <c r="G47" i="1"/>
  <c r="G85" i="1"/>
  <c r="G144" i="1"/>
  <c r="G5" i="1"/>
  <c r="G173" i="1"/>
  <c r="G93" i="1"/>
  <c r="G151" i="1"/>
  <c r="G41" i="1"/>
  <c r="G7" i="1"/>
  <c r="G24" i="1"/>
  <c r="G17" i="1"/>
  <c r="G88" i="1"/>
  <c r="G164" i="1"/>
  <c r="G18" i="1"/>
  <c r="G195" i="1"/>
  <c r="G192" i="1"/>
  <c r="G20" i="1"/>
  <c r="G94" i="1"/>
  <c r="G181" i="1"/>
  <c r="G142" i="1"/>
  <c r="G2" i="1"/>
  <c r="G26" i="1"/>
  <c r="G162" i="1"/>
  <c r="G108" i="1"/>
  <c r="G199" i="1"/>
  <c r="G89" i="1"/>
  <c r="G38" i="1"/>
  <c r="G35" i="1"/>
  <c r="G105" i="1"/>
  <c r="G131" i="1"/>
  <c r="G27" i="1"/>
  <c r="G4" i="1"/>
  <c r="G107" i="1"/>
  <c r="G114" i="1"/>
  <c r="G180" i="1"/>
  <c r="G76" i="1"/>
  <c r="G22" i="1"/>
  <c r="G198" i="1"/>
  <c r="G82" i="1"/>
  <c r="G43" i="1"/>
  <c r="G87" i="1"/>
  <c r="G116" i="1"/>
  <c r="G172" i="1"/>
  <c r="G123" i="1"/>
  <c r="G68" i="1"/>
  <c r="G194" i="1"/>
  <c r="G36" i="1"/>
  <c r="G60" i="1"/>
  <c r="G54" i="1"/>
  <c r="G118" i="1"/>
  <c r="G176" i="1"/>
  <c r="G39" i="1"/>
  <c r="G141" i="1"/>
  <c r="G128" i="1"/>
  <c r="G188" i="1"/>
  <c r="G83" i="1"/>
  <c r="G133" i="1"/>
  <c r="G121" i="1"/>
  <c r="G158" i="1"/>
  <c r="G44" i="1"/>
  <c r="G138" i="1"/>
  <c r="G8" i="1"/>
  <c r="G86" i="1"/>
  <c r="G95" i="1"/>
  <c r="G137" i="1"/>
  <c r="G186" i="1"/>
  <c r="G97" i="1"/>
  <c r="G109" i="1"/>
  <c r="G127" i="1"/>
  <c r="G163" i="1"/>
  <c r="G75" i="1"/>
  <c r="G197" i="1"/>
  <c r="G84" i="1"/>
  <c r="G177" i="1"/>
  <c r="G152" i="1"/>
  <c r="G140" i="1"/>
  <c r="G126" i="1"/>
  <c r="G65" i="1"/>
  <c r="G169" i="1"/>
  <c r="G182" i="1"/>
  <c r="G147" i="1"/>
  <c r="G32" i="1"/>
  <c r="G78" i="1"/>
  <c r="G64" i="1"/>
  <c r="G69" i="1"/>
  <c r="G153" i="1"/>
  <c r="G99" i="1"/>
  <c r="G46" i="1"/>
  <c r="G51" i="1"/>
  <c r="G183" i="1"/>
  <c r="G91" i="1"/>
  <c r="G156" i="1"/>
  <c r="G124" i="1"/>
  <c r="G80" i="1"/>
  <c r="G196" i="1"/>
  <c r="G53" i="1"/>
  <c r="G129" i="1"/>
  <c r="G12" i="1"/>
  <c r="G101" i="1"/>
  <c r="G13" i="1"/>
  <c r="G14" i="1"/>
  <c r="G106" i="1"/>
  <c r="G59" i="1"/>
  <c r="G31" i="1"/>
  <c r="G168" i="1"/>
  <c r="G19" i="1"/>
  <c r="G92" i="1"/>
  <c r="F3" i="1"/>
  <c r="G3" i="1" s="1"/>
  <c r="AE3" i="1"/>
  <c r="Z3" i="1" l="1"/>
  <c r="B9" i="3"/>
  <c r="B14" i="3"/>
  <c r="AC156" i="1" l="1"/>
  <c r="AC200" i="1"/>
  <c r="AC78" i="1"/>
  <c r="AC102" i="1"/>
  <c r="AC125" i="1"/>
  <c r="AC152" i="1"/>
  <c r="AC199" i="1"/>
  <c r="AC58" i="1"/>
  <c r="AC14" i="1"/>
  <c r="AC151" i="1"/>
  <c r="AC25" i="1"/>
  <c r="AC181" i="1"/>
  <c r="AC157" i="1"/>
  <c r="AC20" i="1"/>
  <c r="AC185" i="1"/>
  <c r="AC40" i="1"/>
  <c r="AC123" i="1"/>
  <c r="AC36" i="1"/>
  <c r="AC97" i="1"/>
  <c r="AC66" i="1"/>
  <c r="B13" i="3"/>
  <c r="B6" i="5" s="1"/>
  <c r="B7" i="5" s="1"/>
  <c r="AC187" i="1"/>
  <c r="AC60" i="1"/>
  <c r="AC182" i="1"/>
  <c r="AC116" i="1"/>
  <c r="AC90" i="1"/>
  <c r="AC154" i="1"/>
  <c r="AC42" i="1"/>
  <c r="AC183" i="1"/>
  <c r="AC135" i="1"/>
  <c r="AC155" i="1"/>
  <c r="AC59" i="1"/>
  <c r="AC124" i="1"/>
  <c r="AC24" i="1"/>
  <c r="AC201" i="1"/>
  <c r="AC132" i="1"/>
  <c r="AC190" i="1"/>
  <c r="AC74" i="1"/>
  <c r="AC51" i="1"/>
  <c r="AC194" i="1"/>
  <c r="AC19" i="1"/>
  <c r="AC197" i="1"/>
  <c r="AC161" i="1"/>
  <c r="AC6" i="1"/>
  <c r="AC26" i="1"/>
  <c r="AC57" i="1"/>
  <c r="AC91" i="1"/>
  <c r="AC37" i="1"/>
  <c r="AC143" i="1"/>
  <c r="AC33" i="1"/>
  <c r="AC170" i="1"/>
  <c r="AC126" i="1"/>
  <c r="AC69" i="1"/>
  <c r="AC65" i="1"/>
  <c r="AC120" i="1"/>
  <c r="AC28" i="1"/>
  <c r="AC195" i="1"/>
  <c r="AC103" i="1"/>
  <c r="AC50" i="1"/>
  <c r="AC191" i="1"/>
  <c r="AC119" i="1"/>
  <c r="AC52" i="1"/>
  <c r="AC80" i="1"/>
  <c r="AC148" i="1"/>
  <c r="AC63" i="1"/>
  <c r="AC92" i="1"/>
  <c r="AC159" i="1"/>
  <c r="AC62" i="1"/>
  <c r="AC83" i="1"/>
  <c r="AC84" i="1"/>
  <c r="AC16" i="1"/>
  <c r="AC38" i="1"/>
  <c r="AC81" i="1"/>
  <c r="AC184" i="1"/>
  <c r="AC118" i="1"/>
  <c r="AC186" i="1"/>
  <c r="AC8" i="1"/>
  <c r="AC107" i="1"/>
  <c r="AC15" i="1"/>
  <c r="AC18" i="1"/>
  <c r="AC93" i="1"/>
  <c r="AC23" i="1"/>
  <c r="AC162" i="1"/>
  <c r="AC99" i="1"/>
  <c r="AC43" i="1"/>
  <c r="AC196" i="1"/>
  <c r="AC176" i="1"/>
  <c r="AC193" i="1"/>
  <c r="AC192" i="1"/>
  <c r="AC145" i="1"/>
  <c r="AC46" i="1"/>
  <c r="AC131" i="1"/>
  <c r="AC86" i="1"/>
  <c r="AC9" i="1"/>
  <c r="AC171" i="1"/>
  <c r="AC166" i="1"/>
  <c r="AC163" i="1"/>
  <c r="AC47" i="1"/>
  <c r="AC17" i="1"/>
  <c r="AC75" i="1"/>
  <c r="AC61" i="1"/>
  <c r="AC111" i="1"/>
  <c r="AC70" i="1"/>
  <c r="AC79" i="1"/>
  <c r="AC67" i="1"/>
  <c r="AC73" i="1"/>
  <c r="AC27" i="1"/>
  <c r="AC144" i="1"/>
  <c r="AC108" i="1"/>
  <c r="AC109" i="1"/>
  <c r="AC130" i="1"/>
  <c r="AC121" i="1"/>
  <c r="AC34" i="1"/>
  <c r="AC3" i="1"/>
  <c r="AC96" i="1"/>
  <c r="AC147" i="1"/>
  <c r="AC72" i="1"/>
  <c r="AC89" i="1"/>
  <c r="AC12" i="1"/>
  <c r="AC5" i="1"/>
  <c r="AC101" i="1"/>
  <c r="AC22" i="1"/>
  <c r="AC98" i="1"/>
  <c r="AC133" i="1"/>
  <c r="AC7" i="1"/>
  <c r="AC113" i="1"/>
  <c r="AC167" i="1"/>
  <c r="AC100" i="1"/>
  <c r="AC179" i="1"/>
  <c r="AC56" i="1"/>
  <c r="AC146" i="1"/>
  <c r="AC117" i="1"/>
  <c r="AC129" i="1"/>
  <c r="AC158" i="1"/>
  <c r="AC140" i="1"/>
  <c r="AC10" i="1"/>
  <c r="AC45" i="1"/>
  <c r="AC85" i="1"/>
  <c r="AC142" i="1"/>
  <c r="AC128" i="1"/>
  <c r="AC160" i="1"/>
  <c r="AC49" i="1"/>
  <c r="AC82" i="1"/>
  <c r="AC53" i="1"/>
  <c r="AC4" i="1"/>
  <c r="AC48" i="1"/>
  <c r="AC138" i="1"/>
  <c r="AC105" i="1"/>
  <c r="AC114" i="1"/>
  <c r="AC39" i="1"/>
  <c r="AC77" i="1"/>
  <c r="AC169" i="1"/>
  <c r="AC110" i="1"/>
  <c r="AC41" i="1"/>
  <c r="AC112" i="1"/>
  <c r="AC164" i="1"/>
  <c r="AC149" i="1"/>
  <c r="AC11" i="1"/>
  <c r="AC122" i="1"/>
  <c r="AC71" i="1"/>
  <c r="AC64" i="1"/>
  <c r="AC134" i="1"/>
  <c r="AC139" i="1"/>
  <c r="AC106" i="1"/>
  <c r="AC44" i="1"/>
  <c r="AC29" i="1"/>
  <c r="AC177" i="1"/>
  <c r="AC172" i="1"/>
  <c r="AC115" i="1"/>
  <c r="AC141" i="1"/>
  <c r="AC165" i="1"/>
  <c r="AC21" i="1"/>
  <c r="AC87" i="1"/>
  <c r="AC104" i="1"/>
  <c r="AC175" i="1"/>
  <c r="AC35" i="1"/>
  <c r="AC13" i="1"/>
  <c r="AC198" i="1"/>
  <c r="AC188" i="1"/>
  <c r="AC173" i="1"/>
  <c r="AC95" i="1"/>
  <c r="AC88" i="1"/>
  <c r="AC137" i="1"/>
  <c r="AC168" i="1"/>
  <c r="AC180" i="1"/>
  <c r="AC178" i="1"/>
  <c r="AC76" i="1"/>
  <c r="AC30" i="1"/>
  <c r="AC150" i="1"/>
  <c r="AC68" i="1"/>
  <c r="AC127" i="1"/>
  <c r="AC55" i="1"/>
  <c r="AC31" i="1"/>
  <c r="AC94" i="1"/>
  <c r="AC174" i="1"/>
  <c r="AC32" i="1"/>
  <c r="AC153" i="1"/>
  <c r="AC189" i="1"/>
  <c r="AC54" i="1"/>
  <c r="AC136" i="1"/>
  <c r="AC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 shapeId="0" xr:uid="{00000000-0006-0000-0000-000005000000}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 shapeId="0" xr:uid="{00000000-0006-0000-0000-000007000000}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500-000001000000}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<sst xmlns="http://schemas.openxmlformats.org/spreadsheetml/2006/main" count="192" uniqueCount="167">
  <si>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</si>
  <si>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</si>
  <si>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</si>
  <si>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</si>
  <si>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</si>
  <si>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</si>
  <si>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</si>
  <si>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</si>
  <si>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</si>
  <si>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</si>
  <si>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</si>
  <si>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</si>
  <si>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</si>
  <si>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</si>
  <si>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</si>
  <si>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</si>
  <si>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</si>
  <si>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</si>
  <si>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</si>
  <si>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</si>
  <si>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</si>
  <si>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</si>
  <si>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</si>
  <si>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</si>
  <si>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</si>
  <si>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</si>
  <si>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</si>
  <si>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</si>
  <si>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</si>
  <si>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</si>
  <si>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</si>
  <si>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长电科技</t>
  </si>
  <si>
    <t>之前的支撑位</t>
  </si>
  <si>
    <t>之前的压力位</t>
  </si>
  <si>
    <t>下方支撑位</t>
  </si>
  <si>
    <t>前高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</si>
  <si>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</si>
  <si>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</si>
  <si>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</si>
  <si>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</si>
  <si>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</si>
  <si>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</si>
  <si>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</si>
  <si>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</si>
  <si>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</si>
  <si>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</si>
  <si>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</si>
  <si>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</si>
  <si>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</si>
  <si>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</si>
  <si>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</si>
  <si>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</si>
  <si>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</si>
  <si>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</si>
  <si>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</si>
  <si>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</si>
  <si>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</si>
  <si>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</si>
  <si>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</si>
  <si>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</si>
  <si>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</si>
  <si>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</si>
  <si>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</si>
  <si>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</si>
  <si>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</si>
  <si>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</si>
  <si>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</si>
  <si>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</si>
  <si>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</si>
  <si>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</si>
  <si>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</si>
  <si>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</si>
  <si>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</si>
  <si>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</si>
  <si>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</si>
  <si>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</si>
  <si>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</si>
  <si>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</si>
  <si>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</si>
  <si>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</si>
  <si>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</si>
  <si>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</si>
  <si>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</si>
  <si>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</si>
  <si>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</si>
  <si>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</si>
  <si>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</si>
  <si>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</si>
  <si>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</si>
  <si>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</si>
  <si>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</si>
  <si>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</si>
  <si>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</si>
  <si>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</si>
  <si>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</si>
  <si>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</si>
  <si>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</si>
  <si>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</si>
  <si>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</si>
  <si>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</si>
  <si>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</si>
  <si>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</si>
  <si>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</si>
  <si>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</si>
  <si>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</si>
  <si>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</si>
  <si>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</si>
  <si>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</si>
  <si>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</si>
  <si>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</si>
  <si>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</si>
  <si>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</si>
  <si>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</si>
  <si>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</si>
  <si>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</si>
  <si>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</si>
  <si>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</si>
  <si>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</si>
  <si>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</si>
  <si>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</si>
  <si>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</si>
  <si>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</si>
  <si>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</si>
  <si>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</si>
  <si>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</si>
  <si>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</si>
  <si>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</si>
  <si>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</si>
  <si>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</si>
  <si>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</si>
  <si>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</si>
  <si>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</si>
  <si>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</si>
  <si>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</si>
  <si>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</si>
  <si>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</si>
  <si>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</si>
  <si>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</si>
  <si>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</si>
  <si>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</si>
  <si>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</si>
  <si>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</si>
  <si>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</si>
  <si>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</si>
  <si>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</si>
  <si>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</si>
  <si>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</si>
  <si>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</si>
  <si>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</si>
  <si>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</si>
  <si>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</si>
  <si>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</si>
  <si>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</si>
  <si>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</si>
  <si>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</si>
  <si>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</si>
  <si>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</si>
  <si>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</si>
  <si>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下方支撑位</t>
    <phoneticPr fontId="3" type="noConversion"/>
  </si>
  <si>
    <t>前高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</si>
  <si>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.前面十字星多空平衡，接看涨吞没状态 2.站上均线，3MACD在变大</t>
    </r>
    <phoneticPr fontId="3" type="noConversion"/>
  </si>
  <si>
    <t>下发支撑位</t>
    <phoneticPr fontId="3" type="noConversion"/>
  </si>
  <si>
    <t>从收益率的角度推断</t>
    <phoneticPr fontId="3" type="noConversion"/>
  </si>
  <si>
    <t>但是处于高点</t>
    <phoneticPr fontId="3" type="noConversion"/>
  </si>
  <si>
    <t>列1</t>
    <phoneticPr fontId="3" type="noConversion"/>
  </si>
  <si>
    <t>1.刺透形态，触碰前方支撑不破，2高交易量，3均线有效支撑</t>
    <phoneticPr fontId="3" type="noConversion"/>
  </si>
  <si>
    <t>1.突破箱体 2.回踩支撑不破 3.跳空支撑4.均线支撑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</si>
</sst>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\¥#,##0.00;[Red]\-\¥#,##0.00"/>
    <numFmt numFmtId="179" formatCode="yyyy\-mm\-dd"/>
  </numFmts>
  <fonts count="5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"/>
      <name val="宋体"/>
      <charset val="134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8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8" fontId="0" fillId="3" borderId="1" xfId="0" applyNumberFormat="1" applyFill="1" applyBorder="1" applyAlignment="1">
      <alignment vertical="top" wrapText="1"/>
    </xf>
    <xf numFmtId="179" fontId="0" fillId="3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0" borderId="0" xfId="0" applyFont="1"/>
  </cellXfs>
  <cellStyles count="1">
    <cellStyle name="常规" xfId="0" builtinId="0"/>
  </cellStyles>
  <dxfs count="13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E201">
  <autoFilter ref="A1:AE201" xr:uid="{00000000-0009-0000-0100-000001000000}"/>
  <tableColumns count="31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实际买入股数"/>
    <tableColumn id="9" xr3:uid="{00000000-0010-0000-0000-000009000000}" name="买入日期"/>
    <tableColumn id="10" xr3:uid="{00000000-0010-0000-0000-00000A000000}" name="期望卖出价"/>
    <tableColumn id="11" xr3:uid="{00000000-0010-0000-0000-00000B000000}" name="实际卖出价"/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/>
    <tableColumn id="14" xr3:uid="{00000000-0010-0000-0000-00000E000000}" name="止损价"/>
    <tableColumn id="15" xr3:uid="{00000000-0010-0000-0000-00000F000000}" name="买入费用"/>
    <tableColumn id="16" xr3:uid="{00000000-0010-0000-0000-000010000000}" name="卖出费用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radeReasonLog" displayName="TradeReasonLog" ref="A1:J501">
  <autoFilter ref="A1:J501" xr:uid="{00000000-0009-0000-0100-000002000000}"/>
  <tableColumns count="10">
    <tableColumn id="1" xr3:uid="{00000000-0010-0000-0100-000001000000}" name="交易编号"/>
    <tableColumn id="2" xr3:uid="{00000000-0010-0000-0100-000002000000}" name="股票代码"/>
    <tableColumn id="3" xr3:uid="{00000000-0010-0000-0100-000003000000}" name="所属板块"/>
    <tableColumn id="4" xr3:uid="{00000000-0010-0000-0100-000004000000}" name="阶段"/>
    <tableColumn id="5" xr3:uid="{00000000-0010-0000-0100-000005000000}" name="记录日期"/>
    <tableColumn id="6" xr3:uid="{00000000-0010-0000-0100-000006000000}" name="技术指标1"/>
    <tableColumn id="7" xr3:uid="{00000000-0010-0000-0100-000007000000}" name="技术指标2"/>
    <tableColumn id="8" xr3:uid="{00000000-0010-0000-0100-000008000000}" name="技术指标3"/>
    <tableColumn id="9" xr3:uid="{00000000-0010-0000-0100-000009000000}" name="综述"/>
    <tableColumn id="10" xr3:uid="{BD5334A6-192B-4213-8534-5D051117A63C}" name="列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echnicalIndicatorCatalog" displayName="TechnicalIndicatorCatalog" ref="A1:C201">
  <autoFilter ref="A1:C201" xr:uid="{00000000-0009-0000-0100-000003000000}"/>
  <tableColumns count="3">
    <tableColumn id="1" xr3:uid="{00000000-0010-0000-0200-000001000000}" name="技术指标"/>
    <tableColumn id="2" xr3:uid="{00000000-0010-0000-0200-000002000000}" name="分类"/>
    <tableColumn id="3" xr3:uid="{00000000-0010-0000-02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01"/>
  <sheetViews>
    <sheetView tabSelected="1" topLeftCell="P1" workbookViewId="0">
      <pane ySplit="1" topLeftCell="A2" activePane="bottomLeft" state="frozen"/>
      <selection pane="bottomLeft" activeCell="X11" sqref="X11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spans="1:31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15">
      <c r="A2" s="2">
        <v>1</v>
      </c>
      <c r="B2" s="2" t="s">
        <v>31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32</v>
      </c>
      <c r="S2" s="2" t="s">
        <v>33</v>
      </c>
      <c r="T2" s="2"/>
      <c r="U2" s="7">
        <f t="shared" ref="U2:U65" si="2">IF(OR(E2="",J2="",E2&lt;=0),"",(J2-E2)/E2)</f>
        <v>4.1666666666666664E-2</v>
      </c>
      <c r="V2" s="7">
        <f t="shared" ref="V2:V65" si="3">IF(OR(E2="",N2="",E2&lt;=0),"",(E2-N2)/E2)</f>
        <v>2.0833333333333332E-2</v>
      </c>
      <c r="W2" s="11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-4.2916666666666665E-2</v>
      </c>
      <c r="Z2" s="7">
        <f>IF(OR(AE2="",多次统计数据!$B$8=""),"",AE2-多次统计数据!$B$8)</f>
        <v>-0.10282676535004909</v>
      </c>
      <c r="AA2" s="12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1.1889240932741907E-2</v>
      </c>
      <c r="AC2" s="8" t="str">
        <f>IF(OR(AB2="",多次统计数据!$B$9=""),"",IF(多次统计数据!$B$9&lt;AB2,"低于上限","达到或超过上限"))</f>
        <v>达到或超过上限</v>
      </c>
      <c r="AD2" s="2"/>
      <c r="AE2" s="7">
        <f t="shared" ref="AE2:AE65" si="8">IF(OR(X2="",C2="",C2&lt;=0),"",X2/C2)</f>
        <v>-4.1200000000000001E-2</v>
      </c>
    </row>
    <row r="3" spans="1:31" x14ac:dyDescent="0.15">
      <c r="A3" s="2">
        <v>2</v>
      </c>
      <c r="B3" s="2" t="s">
        <v>31</v>
      </c>
      <c r="C3" s="5">
        <f>IF(C2="","",C2+SUM(单次交易!Y2:Y201))</f>
        <v>99999.847613672624</v>
      </c>
      <c r="D3" s="6">
        <v>0.02</v>
      </c>
      <c r="E3" s="9">
        <v>33.130000000000003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8.6628433444008363E-2</v>
      </c>
      <c r="V3" s="7">
        <f t="shared" si="3"/>
        <v>1.9015997585270224E-2</v>
      </c>
      <c r="W3" s="11">
        <f t="shared" si="4"/>
        <v>4.5555555555555323</v>
      </c>
      <c r="X3" s="5">
        <f t="shared" si="5"/>
        <v>-3193.0000000000146</v>
      </c>
      <c r="Y3" s="7">
        <f t="shared" si="6"/>
        <v>-3.1089646845759267E-2</v>
      </c>
      <c r="Z3" s="7">
        <f>IF(OR(AE3="",多次统计数据!$B$8=""),"",AE3-多次统计数据!$B$8)</f>
        <v>-9.3556814007077715E-2</v>
      </c>
      <c r="AA3" s="12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1.1889240932741907E-2</v>
      </c>
      <c r="AC3" s="8" t="str">
        <f>IF(OR(AB3="",多次统计数据!$B$9=""),"",IF(多次统计数据!$B$9&lt;AB3,"低于上限","达到或超过上限"))</f>
        <v>达到或超过上限</v>
      </c>
      <c r="AD3" s="2"/>
      <c r="AE3" s="7">
        <f t="shared" si="8"/>
        <v>-3.1930048657028622E-2</v>
      </c>
    </row>
    <row r="4" spans="1:31" x14ac:dyDescent="0.15">
      <c r="A4" s="2">
        <v>3</v>
      </c>
      <c r="B4" s="2" t="s">
        <v>31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34</v>
      </c>
      <c r="S4" s="2" t="s">
        <v>35</v>
      </c>
      <c r="T4" s="2"/>
      <c r="U4" s="7">
        <f t="shared" si="2"/>
        <v>6.5340909090909088E-2</v>
      </c>
      <c r="V4" s="7">
        <f t="shared" si="3"/>
        <v>2.3437500000000003E-2</v>
      </c>
      <c r="W4" s="11">
        <f t="shared" si="4"/>
        <v>2.7878787878787872</v>
      </c>
      <c r="X4" s="5">
        <f t="shared" si="5"/>
        <v>5712</v>
      </c>
      <c r="Y4" s="7">
        <f t="shared" si="6"/>
        <v>7.2443181818181823E-2</v>
      </c>
      <c r="Z4" s="7">
        <f>IF(OR(AE4="",多次统计数据!$B$8=""),"",AE4-多次统计数据!$B$8)</f>
        <v>0</v>
      </c>
      <c r="AA4" s="12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1.1889240932741907E-2</v>
      </c>
      <c r="AC4" s="8" t="str">
        <f>IF(OR(AB4="",多次统计数据!$B$9=""),"",IF(多次统计数据!$B$9&lt;AB4,"低于上限","达到或超过上限"))</f>
        <v>达到或超过上限</v>
      </c>
      <c r="AD4" s="2"/>
      <c r="AE4" s="7">
        <f t="shared" si="8"/>
        <v>6.1626765350049087E-2</v>
      </c>
    </row>
    <row r="5" spans="1:31" x14ac:dyDescent="0.15">
      <c r="A5" s="2">
        <v>4</v>
      </c>
      <c r="B5" s="2" t="s">
        <v>31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IF(OR(A5="",F5="",E5="",N5="",E5&lt;=N5,账户数据!$B$7=""),"",IF(账户数据!$B$9+IF(H5="",F5*(E5-N5),0)&gt;=账户数据!$B$7,"禁止开仓","允许开仓"))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158</v>
      </c>
      <c r="S5" s="13" t="s">
        <v>159</v>
      </c>
      <c r="T5" s="2"/>
      <c r="U5" s="7">
        <f t="shared" si="2"/>
        <v>0.16369278510473229</v>
      </c>
      <c r="V5" s="7">
        <f t="shared" si="3"/>
        <v>3.0256012412723084E-2</v>
      </c>
      <c r="W5" s="11">
        <f t="shared" si="4"/>
        <v>5.4102564102564008</v>
      </c>
      <c r="X5" s="5">
        <f t="shared" si="5"/>
        <v>-2750</v>
      </c>
      <c r="Y5" s="7">
        <f t="shared" si="6"/>
        <v>-4.2668735453840187E-2</v>
      </c>
      <c r="Z5" s="7">
        <f>IF(OR(AE5="",多次统计数据!$B$8=""),"",AE5-多次统计数据!$B$8)</f>
        <v>-8.9574203840277644E-2</v>
      </c>
      <c r="AA5" s="12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1.1889240932741907E-2</v>
      </c>
      <c r="AC5" s="8" t="str">
        <f>IF(OR(AB5="",多次统计数据!$B$9=""),"",IF(多次统计数据!$B$9&lt;AB5,"低于上限","达到或超过上限"))</f>
        <v>达到或超过上限</v>
      </c>
      <c r="AD5" s="2"/>
      <c r="AE5" s="7">
        <f t="shared" si="8"/>
        <v>-2.7947438490228561E-2</v>
      </c>
    </row>
    <row r="6" spans="1:31" x14ac:dyDescent="0.15">
      <c r="A6" s="2">
        <v>5</v>
      </c>
      <c r="B6" s="2" t="s">
        <v>31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IF(OR(A6="",F6="",E6="",N6="",E6&lt;=N6,账户数据!$B$7=""),"",IF(账户数据!$B$9+IF(H6="",F6*(E6-N6),0)&gt;=账户数据!$B$7,"禁止开仓","允许开仓"))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13" t="s">
        <v>161</v>
      </c>
      <c r="S6" s="13" t="s">
        <v>162</v>
      </c>
      <c r="T6" s="2"/>
      <c r="U6" s="7">
        <f t="shared" si="2"/>
        <v>0.14285714285714285</v>
      </c>
      <c r="V6" s="7">
        <f t="shared" si="3"/>
        <v>5.7142857142857141E-2</v>
      </c>
      <c r="W6" s="11">
        <f t="shared" si="4"/>
        <v>2.5</v>
      </c>
      <c r="X6" s="5">
        <f t="shared" si="5"/>
        <v>-2844</v>
      </c>
      <c r="Y6" s="7">
        <f t="shared" si="6"/>
        <v>-9.0285714285714289E-2</v>
      </c>
      <c r="Z6" s="7">
        <f>IF(OR(AE6="",多次统计数据!$B$8=""),"",AE6-多次统计数据!$B$8)</f>
        <v>-9.1360479241464579E-2</v>
      </c>
      <c r="AA6" s="12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1.1889240932741907E-2</v>
      </c>
      <c r="AC6" s="8" t="str">
        <f>IF(OR(AB6="",多次统计数据!$B$9=""),"",IF(多次统计数据!$B$9&lt;AB6,"低于上限","达到或超过上限"))</f>
        <v>达到或超过上限</v>
      </c>
      <c r="AD6" s="2"/>
      <c r="AE6" s="7">
        <f t="shared" si="8"/>
        <v>-2.9733713891415488E-2</v>
      </c>
    </row>
    <row r="7" spans="1:31" x14ac:dyDescent="0.15">
      <c r="A7" s="2">
        <v>6</v>
      </c>
      <c r="B7" s="2" t="s">
        <v>31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IF(OR(A7="",F7="",E7="",N7="",E7&lt;=N7,账户数据!$B$7=""),"",IF(账户数据!$B$9+IF(H7="",F7*(E7-N7),0)&gt;=账户数据!$B$7,"禁止开仓","允许开仓"))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0.10461338531513965</v>
      </c>
      <c r="V7" s="7">
        <f t="shared" si="3"/>
        <v>9.0968161143600099E-3</v>
      </c>
      <c r="W7" s="11">
        <f t="shared" si="4"/>
        <v>11.499999999999948</v>
      </c>
      <c r="X7" s="5">
        <f t="shared" si="5"/>
        <v>-3630</v>
      </c>
      <c r="Y7" s="7">
        <f t="shared" si="6"/>
        <v>-1.7868745938921377E-2</v>
      </c>
      <c r="Z7" s="7">
        <f>IF(OR(AE7="",多次统计数据!$B$8=""),"",AE7-多次统计数据!$B$8)</f>
        <v>-0.10074103721040144</v>
      </c>
      <c r="AA7" s="12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1.1889240932741907E-2</v>
      </c>
      <c r="AC7" s="8" t="str">
        <f>IF(OR(AB7="",多次统计数据!$B$9=""),"",IF(多次统计数据!$B$9&lt;AB7,"低于上限","达到或超过上限"))</f>
        <v>达到或超过上限</v>
      </c>
      <c r="AD7" s="2"/>
      <c r="AE7" s="7">
        <f t="shared" si="8"/>
        <v>-3.9114271860352351E-2</v>
      </c>
    </row>
    <row r="8" spans="1:31" x14ac:dyDescent="0.15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1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2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spans="1:31" x14ac:dyDescent="0.15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1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2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spans="1:31" x14ac:dyDescent="0.15">
      <c r="A10" s="2"/>
      <c r="B10" s="2"/>
      <c r="C10" s="9"/>
      <c r="D10" s="6"/>
      <c r="E10" s="9"/>
      <c r="F10" s="8" t="str">
        <f t="shared" si="0"/>
        <v/>
      </c>
      <c r="G10" s="8" t="str">
        <f>IF(OR(A10="",F10="",E10="",N10="",E10&lt;=N10,账户数据!$B$7=""),"",IF(账户数据!$B$9+IF(H10="",F10*(E10-N10),0)&gt;=账户数据!$B$7,"禁止开仓","允许开仓"))</f>
        <v/>
      </c>
      <c r="H10" s="2"/>
      <c r="I10" s="10"/>
      <c r="J10" s="9"/>
      <c r="K10" s="9"/>
      <c r="L10" s="8" t="str">
        <f t="shared" si="1"/>
        <v/>
      </c>
      <c r="M10" s="10"/>
      <c r="N10" s="9"/>
      <c r="O10" s="9"/>
      <c r="P10" s="9"/>
      <c r="Q10" s="2"/>
      <c r="R10" s="2"/>
      <c r="S10" s="2"/>
      <c r="T10" s="2"/>
      <c r="U10" s="7" t="str">
        <f t="shared" si="2"/>
        <v/>
      </c>
      <c r="V10" s="7" t="str">
        <f t="shared" si="3"/>
        <v/>
      </c>
      <c r="W10" s="11" t="str">
        <f t="shared" si="4"/>
        <v/>
      </c>
      <c r="X10" s="5" t="str">
        <f t="shared" si="5"/>
        <v/>
      </c>
      <c r="Y10" s="7" t="str">
        <f t="shared" si="6"/>
        <v/>
      </c>
      <c r="Z10" s="7" t="str">
        <f>IF(OR(AE10="",多次统计数据!$B$8=""),"",AE10-多次统计数据!$B$8)</f>
        <v/>
      </c>
      <c r="AA10" s="12" t="str">
        <f t="shared" si="7"/>
        <v/>
      </c>
      <c r="AB10" s="7" t="str">
        <f>IF(OR(A10="",多次统计数据!$B$8="",多次统计数据!$B$6&lt;=0,多次统计数据!$B$6&gt;=1),"",1-POWER(1+多次统计数据!$B$8,-多次统计数据!$B$6/(1-多次统计数据!$B$6)))</f>
        <v/>
      </c>
      <c r="AC10" s="8" t="str">
        <f>IF(OR(AB10="",多次统计数据!$B$9=""),"",IF(多次统计数据!$B$9&lt;AB10,"低于上限","达到或超过上限"))</f>
        <v/>
      </c>
      <c r="AD10" s="2"/>
      <c r="AE10" s="7" t="str">
        <f t="shared" si="8"/>
        <v/>
      </c>
    </row>
    <row r="11" spans="1:31" x14ac:dyDescent="0.15">
      <c r="A11" s="2"/>
      <c r="B11" s="2"/>
      <c r="C11" s="9"/>
      <c r="D11" s="6"/>
      <c r="E11" s="9"/>
      <c r="F11" s="8" t="str">
        <f t="shared" si="0"/>
        <v/>
      </c>
      <c r="G11" s="8" t="str">
        <f>IF(OR(A11="",F11="",E11="",N11="",E11&lt;=N11,账户数据!$B$7=""),"",IF(账户数据!$B$9+IF(H11="",F11*(E11-N11),0)&gt;=账户数据!$B$7,"禁止开仓","允许开仓"))</f>
        <v/>
      </c>
      <c r="H11" s="2"/>
      <c r="I11" s="10"/>
      <c r="J11" s="9"/>
      <c r="K11" s="9"/>
      <c r="L11" s="8" t="str">
        <f t="shared" si="1"/>
        <v/>
      </c>
      <c r="M11" s="10"/>
      <c r="N11" s="9"/>
      <c r="O11" s="9"/>
      <c r="P11" s="9"/>
      <c r="Q11" s="2"/>
      <c r="R11" s="2"/>
      <c r="S11" s="2"/>
      <c r="T11" s="2"/>
      <c r="U11" s="7" t="str">
        <f t="shared" si="2"/>
        <v/>
      </c>
      <c r="V11" s="7" t="str">
        <f t="shared" si="3"/>
        <v/>
      </c>
      <c r="W11" s="11" t="str">
        <f t="shared" si="4"/>
        <v/>
      </c>
      <c r="X11" s="5" t="str">
        <f t="shared" si="5"/>
        <v/>
      </c>
      <c r="Y11" s="7" t="str">
        <f t="shared" si="6"/>
        <v/>
      </c>
      <c r="Z11" s="7" t="str">
        <f>IF(OR(AE11="",多次统计数据!$B$8=""),"",AE11-多次统计数据!$B$8)</f>
        <v/>
      </c>
      <c r="AA11" s="12" t="str">
        <f t="shared" si="7"/>
        <v/>
      </c>
      <c r="AB11" s="7" t="str">
        <f>IF(OR(A11="",多次统计数据!$B$8="",多次统计数据!$B$6&lt;=0,多次统计数据!$B$6&gt;=1),"",1-POWER(1+多次统计数据!$B$8,-多次统计数据!$B$6/(1-多次统计数据!$B$6)))</f>
        <v/>
      </c>
      <c r="AC11" s="8" t="str">
        <f>IF(OR(AB11="",多次统计数据!$B$9=""),"",IF(多次统计数据!$B$9&lt;AB11,"低于上限","达到或超过上限"))</f>
        <v/>
      </c>
      <c r="AD11" s="2"/>
      <c r="AE11" s="7" t="str">
        <f t="shared" si="8"/>
        <v/>
      </c>
    </row>
    <row r="12" spans="1:31" x14ac:dyDescent="0.15">
      <c r="A12" s="2"/>
      <c r="B12" s="2"/>
      <c r="C12" s="9"/>
      <c r="D12" s="6"/>
      <c r="E12" s="9"/>
      <c r="F12" s="8" t="str">
        <f t="shared" si="0"/>
        <v/>
      </c>
      <c r="G12" s="8" t="str">
        <f>IF(OR(A12="",F12="",E12="",N12="",E12&lt;=N12,账户数据!$B$7=""),"",IF(账户数据!$B$9+IF(H12="",F12*(E12-N12),0)&gt;=账户数据!$B$7,"禁止开仓","允许开仓"))</f>
        <v/>
      </c>
      <c r="H12" s="2"/>
      <c r="I12" s="10"/>
      <c r="J12" s="9"/>
      <c r="K12" s="9"/>
      <c r="L12" s="8" t="str">
        <f t="shared" si="1"/>
        <v/>
      </c>
      <c r="M12" s="10"/>
      <c r="N12" s="9"/>
      <c r="O12" s="9"/>
      <c r="P12" s="9"/>
      <c r="Q12" s="2"/>
      <c r="R12" s="2"/>
      <c r="S12" s="2"/>
      <c r="T12" s="2"/>
      <c r="U12" s="7" t="str">
        <f t="shared" si="2"/>
        <v/>
      </c>
      <c r="V12" s="7" t="str">
        <f t="shared" si="3"/>
        <v/>
      </c>
      <c r="W12" s="11" t="str">
        <f t="shared" si="4"/>
        <v/>
      </c>
      <c r="X12" s="5" t="str">
        <f t="shared" si="5"/>
        <v/>
      </c>
      <c r="Y12" s="7" t="str">
        <f t="shared" si="6"/>
        <v/>
      </c>
      <c r="Z12" s="7" t="str">
        <f>IF(OR(AE12="",多次统计数据!$B$8=""),"",AE12-多次统计数据!$B$8)</f>
        <v/>
      </c>
      <c r="AA12" s="12" t="str">
        <f t="shared" si="7"/>
        <v/>
      </c>
      <c r="AB12" s="7" t="str">
        <f>IF(OR(A12="",多次统计数据!$B$8="",多次统计数据!$B$6&lt;=0,多次统计数据!$B$6&gt;=1),"",1-POWER(1+多次统计数据!$B$8,-多次统计数据!$B$6/(1-多次统计数据!$B$6)))</f>
        <v/>
      </c>
      <c r="AC12" s="8" t="str">
        <f>IF(OR(AB12="",多次统计数据!$B$9=""),"",IF(多次统计数据!$B$9&lt;AB12,"低于上限","达到或超过上限"))</f>
        <v/>
      </c>
      <c r="AD12" s="2"/>
      <c r="AE12" s="7" t="str">
        <f t="shared" si="8"/>
        <v/>
      </c>
    </row>
    <row r="13" spans="1:31" x14ac:dyDescent="0.15">
      <c r="A13" s="2"/>
      <c r="B13" s="2"/>
      <c r="C13" s="9"/>
      <c r="D13" s="6"/>
      <c r="E13" s="9"/>
      <c r="F13" s="8" t="str">
        <f t="shared" si="0"/>
        <v/>
      </c>
      <c r="G13" s="8" t="str">
        <f>IF(OR(A13="",F13="",E13="",N13="",E13&lt;=N13,账户数据!$B$7=""),"",IF(账户数据!$B$9+IF(H13="",F13*(E13-N13),0)&gt;=账户数据!$B$7,"禁止开仓","允许开仓"))</f>
        <v/>
      </c>
      <c r="H13" s="2"/>
      <c r="I13" s="10"/>
      <c r="J13" s="9"/>
      <c r="K13" s="9"/>
      <c r="L13" s="8" t="str">
        <f t="shared" si="1"/>
        <v/>
      </c>
      <c r="M13" s="10"/>
      <c r="N13" s="9"/>
      <c r="O13" s="9"/>
      <c r="P13" s="9"/>
      <c r="Q13" s="2"/>
      <c r="R13" s="2"/>
      <c r="S13" s="2"/>
      <c r="T13" s="2"/>
      <c r="U13" s="7" t="str">
        <f t="shared" si="2"/>
        <v/>
      </c>
      <c r="V13" s="7" t="str">
        <f t="shared" si="3"/>
        <v/>
      </c>
      <c r="W13" s="11" t="str">
        <f t="shared" si="4"/>
        <v/>
      </c>
      <c r="X13" s="5" t="str">
        <f t="shared" si="5"/>
        <v/>
      </c>
      <c r="Y13" s="7" t="str">
        <f t="shared" si="6"/>
        <v/>
      </c>
      <c r="Z13" s="7" t="str">
        <f>IF(OR(AE13="",多次统计数据!$B$8=""),"",AE13-多次统计数据!$B$8)</f>
        <v/>
      </c>
      <c r="AA13" s="12" t="str">
        <f t="shared" si="7"/>
        <v/>
      </c>
      <c r="AB13" s="7" t="str">
        <f>IF(OR(A13="",多次统计数据!$B$8="",多次统计数据!$B$6&lt;=0,多次统计数据!$B$6&gt;=1),"",1-POWER(1+多次统计数据!$B$8,-多次统计数据!$B$6/(1-多次统计数据!$B$6)))</f>
        <v/>
      </c>
      <c r="AC13" s="8" t="str">
        <f>IF(OR(AB13="",多次统计数据!$B$9=""),"",IF(多次统计数据!$B$9&lt;AB13,"低于上限","达到或超过上限"))</f>
        <v/>
      </c>
      <c r="AD13" s="2"/>
      <c r="AE13" s="7" t="str">
        <f t="shared" si="8"/>
        <v/>
      </c>
    </row>
    <row r="14" spans="1:31" x14ac:dyDescent="0.15">
      <c r="A14" s="2"/>
      <c r="B14" s="2"/>
      <c r="C14" s="9"/>
      <c r="D14" s="6"/>
      <c r="E14" s="9"/>
      <c r="F14" s="8" t="str">
        <f t="shared" si="0"/>
        <v/>
      </c>
      <c r="G14" s="8" t="str">
        <f>IF(OR(A14="",F14="",E14="",N14="",E14&lt;=N14,账户数据!$B$7=""),"",IF(账户数据!$B$9+IF(H14="",F14*(E14-N14),0)&gt;=账户数据!$B$7,"禁止开仓","允许开仓"))</f>
        <v/>
      </c>
      <c r="H14" s="2"/>
      <c r="I14" s="10"/>
      <c r="J14" s="9"/>
      <c r="K14" s="9"/>
      <c r="L14" s="8" t="str">
        <f t="shared" si="1"/>
        <v/>
      </c>
      <c r="M14" s="10"/>
      <c r="N14" s="9"/>
      <c r="O14" s="9"/>
      <c r="P14" s="9"/>
      <c r="Q14" s="2"/>
      <c r="R14" s="2"/>
      <c r="S14" s="2"/>
      <c r="T14" s="2"/>
      <c r="U14" s="7" t="str">
        <f t="shared" si="2"/>
        <v/>
      </c>
      <c r="V14" s="7" t="str">
        <f t="shared" si="3"/>
        <v/>
      </c>
      <c r="W14" s="11" t="str">
        <f t="shared" si="4"/>
        <v/>
      </c>
      <c r="X14" s="5" t="str">
        <f t="shared" si="5"/>
        <v/>
      </c>
      <c r="Y14" s="7" t="str">
        <f t="shared" si="6"/>
        <v/>
      </c>
      <c r="Z14" s="7" t="str">
        <f>IF(OR(AE14="",多次统计数据!$B$8=""),"",AE14-多次统计数据!$B$8)</f>
        <v/>
      </c>
      <c r="AA14" s="12" t="str">
        <f t="shared" si="7"/>
        <v/>
      </c>
      <c r="AB14" s="7" t="str">
        <f>IF(OR(A14="",多次统计数据!$B$8="",多次统计数据!$B$6&lt;=0,多次统计数据!$B$6&gt;=1),"",1-POWER(1+多次统计数据!$B$8,-多次统计数据!$B$6/(1-多次统计数据!$B$6)))</f>
        <v/>
      </c>
      <c r="AC14" s="8" t="str">
        <f>IF(OR(AB14="",多次统计数据!$B$9=""),"",IF(多次统计数据!$B$9&lt;AB14,"低于上限","达到或超过上限"))</f>
        <v/>
      </c>
      <c r="AD14" s="2"/>
      <c r="AE14" s="7" t="str">
        <f t="shared" si="8"/>
        <v/>
      </c>
    </row>
    <row r="15" spans="1:31" x14ac:dyDescent="0.15">
      <c r="A15" s="2"/>
      <c r="B15" s="2"/>
      <c r="C15" s="9"/>
      <c r="D15" s="6"/>
      <c r="E15" s="9"/>
      <c r="F15" s="8" t="str">
        <f t="shared" si="0"/>
        <v/>
      </c>
      <c r="G15" s="8" t="str">
        <f>IF(OR(A15="",F15="",E15="",N15="",E15&lt;=N15,账户数据!$B$7=""),"",IF(账户数据!$B$9+IF(H15="",F15*(E15-N15),0)&gt;=账户数据!$B$7,"禁止开仓","允许开仓"))</f>
        <v/>
      </c>
      <c r="H15" s="2"/>
      <c r="I15" s="10"/>
      <c r="J15" s="9"/>
      <c r="K15" s="9"/>
      <c r="L15" s="8" t="str">
        <f t="shared" si="1"/>
        <v/>
      </c>
      <c r="M15" s="10"/>
      <c r="N15" s="9"/>
      <c r="O15" s="9"/>
      <c r="P15" s="9"/>
      <c r="Q15" s="2"/>
      <c r="R15" s="2"/>
      <c r="S15" s="2"/>
      <c r="T15" s="2"/>
      <c r="U15" s="7" t="str">
        <f t="shared" si="2"/>
        <v/>
      </c>
      <c r="V15" s="7" t="str">
        <f t="shared" si="3"/>
        <v/>
      </c>
      <c r="W15" s="11" t="str">
        <f t="shared" si="4"/>
        <v/>
      </c>
      <c r="X15" s="5" t="str">
        <f t="shared" si="5"/>
        <v/>
      </c>
      <c r="Y15" s="7" t="str">
        <f t="shared" si="6"/>
        <v/>
      </c>
      <c r="Z15" s="7" t="str">
        <f>IF(OR(AE15="",多次统计数据!$B$8=""),"",AE15-多次统计数据!$B$8)</f>
        <v/>
      </c>
      <c r="AA15" s="12" t="str">
        <f t="shared" si="7"/>
        <v/>
      </c>
      <c r="AB15" s="7" t="str">
        <f>IF(OR(A15="",多次统计数据!$B$8="",多次统计数据!$B$6&lt;=0,多次统计数据!$B$6&gt;=1),"",1-POWER(1+多次统计数据!$B$8,-多次统计数据!$B$6/(1-多次统计数据!$B$6)))</f>
        <v/>
      </c>
      <c r="AC15" s="8" t="str">
        <f>IF(OR(AB15="",多次统计数据!$B$9=""),"",IF(多次统计数据!$B$9&lt;AB15,"低于上限","达到或超过上限"))</f>
        <v/>
      </c>
      <c r="AD15" s="2"/>
      <c r="AE15" s="7" t="str">
        <f t="shared" si="8"/>
        <v/>
      </c>
    </row>
    <row r="16" spans="1:31" x14ac:dyDescent="0.15">
      <c r="A16" s="2"/>
      <c r="B16" s="2"/>
      <c r="C16" s="9"/>
      <c r="D16" s="6"/>
      <c r="E16" s="9"/>
      <c r="F16" s="8" t="str">
        <f t="shared" si="0"/>
        <v/>
      </c>
      <c r="G16" s="8" t="str">
        <f>IF(OR(A16="",F16="",E16="",N16="",E16&lt;=N16,账户数据!$B$7=""),"",IF(账户数据!$B$9+IF(H16="",F16*(E16-N16),0)&gt;=账户数据!$B$7,"禁止开仓","允许开仓"))</f>
        <v/>
      </c>
      <c r="H16" s="2"/>
      <c r="I16" s="10"/>
      <c r="J16" s="9"/>
      <c r="K16" s="9"/>
      <c r="L16" s="8" t="str">
        <f t="shared" si="1"/>
        <v/>
      </c>
      <c r="M16" s="10"/>
      <c r="N16" s="9"/>
      <c r="O16" s="9"/>
      <c r="P16" s="9"/>
      <c r="Q16" s="2"/>
      <c r="R16" s="2"/>
      <c r="S16" s="2"/>
      <c r="T16" s="2"/>
      <c r="U16" s="7" t="str">
        <f t="shared" si="2"/>
        <v/>
      </c>
      <c r="V16" s="7" t="str">
        <f t="shared" si="3"/>
        <v/>
      </c>
      <c r="W16" s="11" t="str">
        <f t="shared" si="4"/>
        <v/>
      </c>
      <c r="X16" s="5" t="str">
        <f t="shared" si="5"/>
        <v/>
      </c>
      <c r="Y16" s="7" t="str">
        <f t="shared" si="6"/>
        <v/>
      </c>
      <c r="Z16" s="7" t="str">
        <f>IF(OR(AE16="",多次统计数据!$B$8=""),"",AE16-多次统计数据!$B$8)</f>
        <v/>
      </c>
      <c r="AA16" s="12" t="str">
        <f t="shared" si="7"/>
        <v/>
      </c>
      <c r="AB16" s="7" t="str">
        <f>IF(OR(A16="",多次统计数据!$B$8="",多次统计数据!$B$6&lt;=0,多次统计数据!$B$6&gt;=1),"",1-POWER(1+多次统计数据!$B$8,-多次统计数据!$B$6/(1-多次统计数据!$B$6)))</f>
        <v/>
      </c>
      <c r="AC16" s="8" t="str">
        <f>IF(OR(AB16="",多次统计数据!$B$9=""),"",IF(多次统计数据!$B$9&lt;AB16,"低于上限","达到或超过上限"))</f>
        <v/>
      </c>
      <c r="AD16" s="2"/>
      <c r="AE16" s="7" t="str">
        <f t="shared" si="8"/>
        <v/>
      </c>
    </row>
    <row r="17" spans="1:31" x14ac:dyDescent="0.15">
      <c r="A17" s="2"/>
      <c r="B17" s="2"/>
      <c r="C17" s="9"/>
      <c r="D17" s="6"/>
      <c r="E17" s="9"/>
      <c r="F17" s="8" t="str">
        <f t="shared" si="0"/>
        <v/>
      </c>
      <c r="G17" s="8" t="str">
        <f>IF(OR(A17="",F17="",E17="",N17="",E17&lt;=N17,账户数据!$B$7=""),"",IF(账户数据!$B$9+IF(H17="",F17*(E17-N17),0)&gt;=账户数据!$B$7,"禁止开仓","允许开仓"))</f>
        <v/>
      </c>
      <c r="H17" s="2"/>
      <c r="I17" s="10"/>
      <c r="J17" s="9"/>
      <c r="K17" s="9"/>
      <c r="L17" s="8" t="str">
        <f t="shared" si="1"/>
        <v/>
      </c>
      <c r="M17" s="10"/>
      <c r="N17" s="9"/>
      <c r="O17" s="9"/>
      <c r="P17" s="9"/>
      <c r="Q17" s="2"/>
      <c r="R17" s="2"/>
      <c r="S17" s="2"/>
      <c r="T17" s="2"/>
      <c r="U17" s="7" t="str">
        <f t="shared" si="2"/>
        <v/>
      </c>
      <c r="V17" s="7" t="str">
        <f t="shared" si="3"/>
        <v/>
      </c>
      <c r="W17" s="11" t="str">
        <f t="shared" si="4"/>
        <v/>
      </c>
      <c r="X17" s="5" t="str">
        <f t="shared" si="5"/>
        <v/>
      </c>
      <c r="Y17" s="7" t="str">
        <f t="shared" si="6"/>
        <v/>
      </c>
      <c r="Z17" s="7" t="str">
        <f>IF(OR(AE17="",多次统计数据!$B$8=""),"",AE17-多次统计数据!$B$8)</f>
        <v/>
      </c>
      <c r="AA17" s="12" t="str">
        <f t="shared" si="7"/>
        <v/>
      </c>
      <c r="AB17" s="7" t="str">
        <f>IF(OR(A17="",多次统计数据!$B$8="",多次统计数据!$B$6&lt;=0,多次统计数据!$B$6&gt;=1),"",1-POWER(1+多次统计数据!$B$8,-多次统计数据!$B$6/(1-多次统计数据!$B$6)))</f>
        <v/>
      </c>
      <c r="AC17" s="8" t="str">
        <f>IF(OR(AB17="",多次统计数据!$B$9=""),"",IF(多次统计数据!$B$9&lt;AB17,"低于上限","达到或超过上限"))</f>
        <v/>
      </c>
      <c r="AD17" s="2"/>
      <c r="AE17" s="7" t="str">
        <f t="shared" si="8"/>
        <v/>
      </c>
    </row>
    <row r="18" spans="1:31" x14ac:dyDescent="0.15">
      <c r="A18" s="2"/>
      <c r="B18" s="2"/>
      <c r="C18" s="9"/>
      <c r="D18" s="6"/>
      <c r="E18" s="9"/>
      <c r="F18" s="8" t="str">
        <f t="shared" si="0"/>
        <v/>
      </c>
      <c r="G18" s="8" t="str">
        <f>IF(OR(A18="",F18="",E18="",N18="",E18&lt;=N18,账户数据!$B$7=""),"",IF(账户数据!$B$9+IF(H18="",F18*(E18-N18),0)&gt;=账户数据!$B$7,"禁止开仓","允许开仓"))</f>
        <v/>
      </c>
      <c r="H18" s="2"/>
      <c r="I18" s="10"/>
      <c r="J18" s="9"/>
      <c r="K18" s="9"/>
      <c r="L18" s="8" t="str">
        <f t="shared" si="1"/>
        <v/>
      </c>
      <c r="M18" s="10"/>
      <c r="N18" s="9"/>
      <c r="O18" s="9"/>
      <c r="P18" s="9"/>
      <c r="Q18" s="2"/>
      <c r="R18" s="2"/>
      <c r="S18" s="2"/>
      <c r="T18" s="2"/>
      <c r="U18" s="7" t="str">
        <f t="shared" si="2"/>
        <v/>
      </c>
      <c r="V18" s="7" t="str">
        <f t="shared" si="3"/>
        <v/>
      </c>
      <c r="W18" s="11" t="str">
        <f t="shared" si="4"/>
        <v/>
      </c>
      <c r="X18" s="5" t="str">
        <f t="shared" si="5"/>
        <v/>
      </c>
      <c r="Y18" s="7" t="str">
        <f t="shared" si="6"/>
        <v/>
      </c>
      <c r="Z18" s="7" t="str">
        <f>IF(OR(AE18="",多次统计数据!$B$8=""),"",AE18-多次统计数据!$B$8)</f>
        <v/>
      </c>
      <c r="AA18" s="12" t="str">
        <f t="shared" si="7"/>
        <v/>
      </c>
      <c r="AB18" s="7" t="str">
        <f>IF(OR(A18="",多次统计数据!$B$8="",多次统计数据!$B$6&lt;=0,多次统计数据!$B$6&gt;=1),"",1-POWER(1+多次统计数据!$B$8,-多次统计数据!$B$6/(1-多次统计数据!$B$6)))</f>
        <v/>
      </c>
      <c r="AC18" s="8" t="str">
        <f>IF(OR(AB18="",多次统计数据!$B$9=""),"",IF(多次统计数据!$B$9&lt;AB18,"低于上限","达到或超过上限"))</f>
        <v/>
      </c>
      <c r="AD18" s="2"/>
      <c r="AE18" s="7" t="str">
        <f t="shared" si="8"/>
        <v/>
      </c>
    </row>
    <row r="19" spans="1:31" x14ac:dyDescent="0.15">
      <c r="A19" s="2"/>
      <c r="B19" s="2"/>
      <c r="C19" s="9"/>
      <c r="D19" s="6"/>
      <c r="E19" s="9"/>
      <c r="F19" s="8" t="str">
        <f t="shared" si="0"/>
        <v/>
      </c>
      <c r="G19" s="8" t="str">
        <f>IF(OR(A19="",F19="",E19="",N19="",E19&lt;=N19,账户数据!$B$7=""),"",IF(账户数据!$B$9+IF(H19="",F19*(E19-N19),0)&gt;=账户数据!$B$7,"禁止开仓","允许开仓"))</f>
        <v/>
      </c>
      <c r="H19" s="2"/>
      <c r="I19" s="10"/>
      <c r="J19" s="9"/>
      <c r="K19" s="9"/>
      <c r="L19" s="8" t="str">
        <f t="shared" si="1"/>
        <v/>
      </c>
      <c r="M19" s="10"/>
      <c r="N19" s="9"/>
      <c r="O19" s="9"/>
      <c r="P19" s="9"/>
      <c r="Q19" s="2"/>
      <c r="R19" s="2"/>
      <c r="S19" s="2"/>
      <c r="T19" s="2"/>
      <c r="U19" s="7" t="str">
        <f t="shared" si="2"/>
        <v/>
      </c>
      <c r="V19" s="7" t="str">
        <f t="shared" si="3"/>
        <v/>
      </c>
      <c r="W19" s="11" t="str">
        <f t="shared" si="4"/>
        <v/>
      </c>
      <c r="X19" s="5" t="str">
        <f t="shared" si="5"/>
        <v/>
      </c>
      <c r="Y19" s="7" t="str">
        <f t="shared" si="6"/>
        <v/>
      </c>
      <c r="Z19" s="7" t="str">
        <f>IF(OR(AE19="",多次统计数据!$B$8=""),"",AE19-多次统计数据!$B$8)</f>
        <v/>
      </c>
      <c r="AA19" s="12" t="str">
        <f t="shared" si="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8"/>
        <v/>
      </c>
    </row>
    <row r="20" spans="1:31" x14ac:dyDescent="0.15">
      <c r="A20" s="2"/>
      <c r="B20" s="2"/>
      <c r="C20" s="9"/>
      <c r="D20" s="6"/>
      <c r="E20" s="9"/>
      <c r="F20" s="8" t="str">
        <f t="shared" si="0"/>
        <v/>
      </c>
      <c r="G20" s="8" t="str">
        <f>IF(OR(A20="",F20="",E20="",N20="",E20&lt;=N20,账户数据!$B$7=""),"",IF(账户数据!$B$9+IF(H20="",F20*(E20-N20),0)&gt;=账户数据!$B$7,"禁止开仓","允许开仓"))</f>
        <v/>
      </c>
      <c r="H20" s="2"/>
      <c r="I20" s="10"/>
      <c r="J20" s="9"/>
      <c r="K20" s="9"/>
      <c r="L20" s="8" t="str">
        <f t="shared" si="1"/>
        <v/>
      </c>
      <c r="M20" s="10"/>
      <c r="N20" s="9"/>
      <c r="O20" s="9"/>
      <c r="P20" s="9"/>
      <c r="Q20" s="2"/>
      <c r="R20" s="2"/>
      <c r="S20" s="2"/>
      <c r="T20" s="2"/>
      <c r="U20" s="7" t="str">
        <f t="shared" si="2"/>
        <v/>
      </c>
      <c r="V20" s="7" t="str">
        <f t="shared" si="3"/>
        <v/>
      </c>
      <c r="W20" s="11" t="str">
        <f t="shared" si="4"/>
        <v/>
      </c>
      <c r="X20" s="5" t="str">
        <f t="shared" si="5"/>
        <v/>
      </c>
      <c r="Y20" s="7" t="str">
        <f t="shared" si="6"/>
        <v/>
      </c>
      <c r="Z20" s="7" t="str">
        <f>IF(OR(AE20="",多次统计数据!$B$8=""),"",AE20-多次统计数据!$B$8)</f>
        <v/>
      </c>
      <c r="AA20" s="12" t="str">
        <f t="shared" si="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8"/>
        <v/>
      </c>
    </row>
    <row r="21" spans="1:31" x14ac:dyDescent="0.15">
      <c r="A21" s="2"/>
      <c r="B21" s="2"/>
      <c r="C21" s="9"/>
      <c r="D21" s="6"/>
      <c r="E21" s="9"/>
      <c r="F21" s="8" t="str">
        <f t="shared" si="0"/>
        <v/>
      </c>
      <c r="G21" s="8" t="str">
        <f>IF(OR(A21="",F21="",E21="",N21="",E21&lt;=N21,账户数据!$B$7=""),"",IF(账户数据!$B$9+IF(H21="",F21*(E21-N21),0)&gt;=账户数据!$B$7,"禁止开仓","允许开仓"))</f>
        <v/>
      </c>
      <c r="H21" s="2"/>
      <c r="I21" s="10"/>
      <c r="J21" s="9"/>
      <c r="K21" s="9"/>
      <c r="L21" s="8" t="str">
        <f t="shared" si="1"/>
        <v/>
      </c>
      <c r="M21" s="10"/>
      <c r="N21" s="9"/>
      <c r="O21" s="9"/>
      <c r="P21" s="9"/>
      <c r="Q21" s="2"/>
      <c r="R21" s="2"/>
      <c r="S21" s="2"/>
      <c r="T21" s="2"/>
      <c r="U21" s="7" t="str">
        <f t="shared" si="2"/>
        <v/>
      </c>
      <c r="V21" s="7" t="str">
        <f t="shared" si="3"/>
        <v/>
      </c>
      <c r="W21" s="11" t="str">
        <f t="shared" si="4"/>
        <v/>
      </c>
      <c r="X21" s="5" t="str">
        <f t="shared" si="5"/>
        <v/>
      </c>
      <c r="Y21" s="7" t="str">
        <f t="shared" si="6"/>
        <v/>
      </c>
      <c r="Z21" s="7" t="str">
        <f>IF(OR(AE21="",多次统计数据!$B$8=""),"",AE21-多次统计数据!$B$8)</f>
        <v/>
      </c>
      <c r="AA21" s="12" t="str">
        <f t="shared" si="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8"/>
        <v/>
      </c>
    </row>
    <row r="22" spans="1:31" x14ac:dyDescent="0.15">
      <c r="A22" s="2"/>
      <c r="B22" s="2"/>
      <c r="C22" s="9"/>
      <c r="D22" s="6"/>
      <c r="E22" s="9"/>
      <c r="F22" s="8" t="str">
        <f t="shared" si="0"/>
        <v/>
      </c>
      <c r="G22" s="8" t="str">
        <f>IF(OR(A22="",F22="",E22="",N22="",E22&lt;=N22,账户数据!$B$7=""),"",IF(账户数据!$B$9+IF(H22="",F22*(E22-N22),0)&gt;=账户数据!$B$7,"禁止开仓","允许开仓"))</f>
        <v/>
      </c>
      <c r="H22" s="2"/>
      <c r="I22" s="10"/>
      <c r="J22" s="9"/>
      <c r="K22" s="9"/>
      <c r="L22" s="8" t="str">
        <f t="shared" si="1"/>
        <v/>
      </c>
      <c r="M22" s="10"/>
      <c r="N22" s="9"/>
      <c r="O22" s="9"/>
      <c r="P22" s="9"/>
      <c r="Q22" s="2"/>
      <c r="R22" s="2"/>
      <c r="S22" s="2"/>
      <c r="T22" s="2"/>
      <c r="U22" s="7" t="str">
        <f t="shared" si="2"/>
        <v/>
      </c>
      <c r="V22" s="7" t="str">
        <f t="shared" si="3"/>
        <v/>
      </c>
      <c r="W22" s="11" t="str">
        <f t="shared" si="4"/>
        <v/>
      </c>
      <c r="X22" s="5" t="str">
        <f t="shared" si="5"/>
        <v/>
      </c>
      <c r="Y22" s="7" t="str">
        <f t="shared" si="6"/>
        <v/>
      </c>
      <c r="Z22" s="7" t="str">
        <f>IF(OR(AE22="",多次统计数据!$B$8=""),"",AE22-多次统计数据!$B$8)</f>
        <v/>
      </c>
      <c r="AA22" s="12" t="str">
        <f t="shared" si="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8"/>
        <v/>
      </c>
    </row>
    <row r="23" spans="1:31" x14ac:dyDescent="0.15">
      <c r="A23" s="2"/>
      <c r="B23" s="2"/>
      <c r="C23" s="9"/>
      <c r="D23" s="6"/>
      <c r="E23" s="9"/>
      <c r="F23" s="8" t="str">
        <f t="shared" si="0"/>
        <v/>
      </c>
      <c r="G23" s="8" t="str">
        <f>IF(OR(A23="",F23="",E23="",N23="",E23&lt;=N23,账户数据!$B$7=""),"",IF(账户数据!$B$9+IF(H23="",F23*(E23-N23),0)&gt;=账户数据!$B$7,"禁止开仓","允许开仓"))</f>
        <v/>
      </c>
      <c r="H23" s="2"/>
      <c r="I23" s="10"/>
      <c r="J23" s="9"/>
      <c r="K23" s="9"/>
      <c r="L23" s="8" t="str">
        <f t="shared" si="1"/>
        <v/>
      </c>
      <c r="M23" s="10"/>
      <c r="N23" s="9"/>
      <c r="O23" s="9"/>
      <c r="P23" s="9"/>
      <c r="Q23" s="2"/>
      <c r="R23" s="2"/>
      <c r="S23" s="2"/>
      <c r="T23" s="2"/>
      <c r="U23" s="7" t="str">
        <f t="shared" si="2"/>
        <v/>
      </c>
      <c r="V23" s="7" t="str">
        <f t="shared" si="3"/>
        <v/>
      </c>
      <c r="W23" s="11" t="str">
        <f t="shared" si="4"/>
        <v/>
      </c>
      <c r="X23" s="5" t="str">
        <f t="shared" si="5"/>
        <v/>
      </c>
      <c r="Y23" s="7" t="str">
        <f t="shared" si="6"/>
        <v/>
      </c>
      <c r="Z23" s="7" t="str">
        <f>IF(OR(AE23="",多次统计数据!$B$8=""),"",AE23-多次统计数据!$B$8)</f>
        <v/>
      </c>
      <c r="AA23" s="12" t="str">
        <f t="shared" si="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8"/>
        <v/>
      </c>
    </row>
    <row r="24" spans="1:31" x14ac:dyDescent="0.15">
      <c r="A24" s="2"/>
      <c r="B24" s="2"/>
      <c r="C24" s="9"/>
      <c r="D24" s="6"/>
      <c r="E24" s="9"/>
      <c r="F24" s="8" t="str">
        <f t="shared" si="0"/>
        <v/>
      </c>
      <c r="G24" s="8" t="str">
        <f>IF(OR(A24="",F24="",E24="",N24="",E24&lt;=N24,账户数据!$B$7=""),"",IF(账户数据!$B$9+IF(H24="",F24*(E24-N24),0)&gt;=账户数据!$B$7,"禁止开仓","允许开仓"))</f>
        <v/>
      </c>
      <c r="H24" s="2"/>
      <c r="I24" s="10"/>
      <c r="J24" s="9"/>
      <c r="K24" s="9"/>
      <c r="L24" s="8" t="str">
        <f t="shared" si="1"/>
        <v/>
      </c>
      <c r="M24" s="10"/>
      <c r="N24" s="9"/>
      <c r="O24" s="9"/>
      <c r="P24" s="9"/>
      <c r="Q24" s="2"/>
      <c r="R24" s="2"/>
      <c r="S24" s="2"/>
      <c r="T24" s="2"/>
      <c r="U24" s="7" t="str">
        <f t="shared" si="2"/>
        <v/>
      </c>
      <c r="V24" s="7" t="str">
        <f t="shared" si="3"/>
        <v/>
      </c>
      <c r="W24" s="11" t="str">
        <f t="shared" si="4"/>
        <v/>
      </c>
      <c r="X24" s="5" t="str">
        <f t="shared" si="5"/>
        <v/>
      </c>
      <c r="Y24" s="7" t="str">
        <f t="shared" si="6"/>
        <v/>
      </c>
      <c r="Z24" s="7" t="str">
        <f>IF(OR(AE24="",多次统计数据!$B$8=""),"",AE24-多次统计数据!$B$8)</f>
        <v/>
      </c>
      <c r="AA24" s="12" t="str">
        <f t="shared" si="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8"/>
        <v/>
      </c>
    </row>
    <row r="25" spans="1:31" x14ac:dyDescent="0.15">
      <c r="A25" s="2"/>
      <c r="B25" s="2"/>
      <c r="C25" s="9"/>
      <c r="D25" s="6"/>
      <c r="E25" s="9"/>
      <c r="F25" s="8" t="str">
        <f t="shared" si="0"/>
        <v/>
      </c>
      <c r="G25" s="8" t="str">
        <f>IF(OR(A25="",F25="",E25="",N25="",E25&lt;=N25,账户数据!$B$7=""),"",IF(账户数据!$B$9+IF(H25="",F25*(E25-N25),0)&gt;=账户数据!$B$7,"禁止开仓","允许开仓"))</f>
        <v/>
      </c>
      <c r="H25" s="2"/>
      <c r="I25" s="10"/>
      <c r="J25" s="9"/>
      <c r="K25" s="9"/>
      <c r="L25" s="8" t="str">
        <f t="shared" si="1"/>
        <v/>
      </c>
      <c r="M25" s="10"/>
      <c r="N25" s="9"/>
      <c r="O25" s="9"/>
      <c r="P25" s="9"/>
      <c r="Q25" s="2"/>
      <c r="R25" s="2"/>
      <c r="S25" s="2"/>
      <c r="T25" s="2"/>
      <c r="U25" s="7" t="str">
        <f t="shared" si="2"/>
        <v/>
      </c>
      <c r="V25" s="7" t="str">
        <f t="shared" si="3"/>
        <v/>
      </c>
      <c r="W25" s="11" t="str">
        <f t="shared" si="4"/>
        <v/>
      </c>
      <c r="X25" s="5" t="str">
        <f t="shared" si="5"/>
        <v/>
      </c>
      <c r="Y25" s="7" t="str">
        <f t="shared" si="6"/>
        <v/>
      </c>
      <c r="Z25" s="7" t="str">
        <f>IF(OR(AE25="",多次统计数据!$B$8=""),"",AE25-多次统计数据!$B$8)</f>
        <v/>
      </c>
      <c r="AA25" s="12" t="str">
        <f t="shared" si="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8"/>
        <v/>
      </c>
    </row>
    <row r="26" spans="1:31" x14ac:dyDescent="0.15">
      <c r="A26" s="2"/>
      <c r="B26" s="2"/>
      <c r="C26" s="9"/>
      <c r="D26" s="6"/>
      <c r="E26" s="9"/>
      <c r="F26" s="8" t="str">
        <f t="shared" si="0"/>
        <v/>
      </c>
      <c r="G26" s="8" t="str">
        <f>IF(OR(A26="",F26="",E26="",N26="",E26&lt;=N26,账户数据!$B$7=""),"",IF(账户数据!$B$9+IF(H26="",F26*(E26-N26),0)&gt;=账户数据!$B$7,"禁止开仓","允许开仓"))</f>
        <v/>
      </c>
      <c r="H26" s="2"/>
      <c r="I26" s="10"/>
      <c r="J26" s="9"/>
      <c r="K26" s="9"/>
      <c r="L26" s="8" t="str">
        <f t="shared" si="1"/>
        <v/>
      </c>
      <c r="M26" s="10"/>
      <c r="N26" s="9"/>
      <c r="O26" s="9"/>
      <c r="P26" s="9"/>
      <c r="Q26" s="2"/>
      <c r="R26" s="2"/>
      <c r="S26" s="2"/>
      <c r="T26" s="2"/>
      <c r="U26" s="7" t="str">
        <f t="shared" si="2"/>
        <v/>
      </c>
      <c r="V26" s="7" t="str">
        <f t="shared" si="3"/>
        <v/>
      </c>
      <c r="W26" s="11" t="str">
        <f t="shared" si="4"/>
        <v/>
      </c>
      <c r="X26" s="5" t="str">
        <f t="shared" si="5"/>
        <v/>
      </c>
      <c r="Y26" s="7" t="str">
        <f t="shared" si="6"/>
        <v/>
      </c>
      <c r="Z26" s="7" t="str">
        <f>IF(OR(AE26="",多次统计数据!$B$8=""),"",AE26-多次统计数据!$B$8)</f>
        <v/>
      </c>
      <c r="AA26" s="12" t="str">
        <f t="shared" si="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8"/>
        <v/>
      </c>
    </row>
    <row r="27" spans="1:31" x14ac:dyDescent="0.15">
      <c r="A27" s="2"/>
      <c r="B27" s="2"/>
      <c r="C27" s="9"/>
      <c r="D27" s="6"/>
      <c r="E27" s="9"/>
      <c r="F27" s="8" t="str">
        <f t="shared" si="0"/>
        <v/>
      </c>
      <c r="G27" s="8" t="str">
        <f>IF(OR(A27="",F27="",E27="",N27="",E27&lt;=N27,账户数据!$B$7=""),"",IF(账户数据!$B$9+IF(H27="",F27*(E27-N27),0)&gt;=账户数据!$B$7,"禁止开仓","允许开仓"))</f>
        <v/>
      </c>
      <c r="H27" s="2"/>
      <c r="I27" s="10"/>
      <c r="J27" s="9"/>
      <c r="K27" s="9"/>
      <c r="L27" s="8" t="str">
        <f t="shared" si="1"/>
        <v/>
      </c>
      <c r="M27" s="10"/>
      <c r="N27" s="9"/>
      <c r="O27" s="9"/>
      <c r="P27" s="9"/>
      <c r="Q27" s="2"/>
      <c r="R27" s="2"/>
      <c r="S27" s="2"/>
      <c r="T27" s="2"/>
      <c r="U27" s="7" t="str">
        <f t="shared" si="2"/>
        <v/>
      </c>
      <c r="V27" s="7" t="str">
        <f t="shared" si="3"/>
        <v/>
      </c>
      <c r="W27" s="11" t="str">
        <f t="shared" si="4"/>
        <v/>
      </c>
      <c r="X27" s="5" t="str">
        <f t="shared" si="5"/>
        <v/>
      </c>
      <c r="Y27" s="7" t="str">
        <f t="shared" si="6"/>
        <v/>
      </c>
      <c r="Z27" s="7" t="str">
        <f>IF(OR(AE27="",多次统计数据!$B$8=""),"",AE27-多次统计数据!$B$8)</f>
        <v/>
      </c>
      <c r="AA27" s="12" t="str">
        <f t="shared" si="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8"/>
        <v/>
      </c>
    </row>
    <row r="28" spans="1:31" x14ac:dyDescent="0.15">
      <c r="A28" s="2"/>
      <c r="B28" s="2"/>
      <c r="C28" s="9"/>
      <c r="D28" s="6"/>
      <c r="E28" s="9"/>
      <c r="F28" s="8" t="str">
        <f t="shared" si="0"/>
        <v/>
      </c>
      <c r="G28" s="8" t="str">
        <f>IF(OR(A28="",F28="",E28="",N28="",E28&lt;=N28,账户数据!$B$7=""),"",IF(账户数据!$B$9+IF(H28="",F28*(E28-N28),0)&gt;=账户数据!$B$7,"禁止开仓","允许开仓"))</f>
        <v/>
      </c>
      <c r="H28" s="2"/>
      <c r="I28" s="10"/>
      <c r="J28" s="9"/>
      <c r="K28" s="9"/>
      <c r="L28" s="8" t="str">
        <f t="shared" si="1"/>
        <v/>
      </c>
      <c r="M28" s="10"/>
      <c r="N28" s="9"/>
      <c r="O28" s="9"/>
      <c r="P28" s="9"/>
      <c r="Q28" s="2"/>
      <c r="R28" s="2"/>
      <c r="S28" s="2"/>
      <c r="T28" s="2"/>
      <c r="U28" s="7" t="str">
        <f t="shared" si="2"/>
        <v/>
      </c>
      <c r="V28" s="7" t="str">
        <f t="shared" si="3"/>
        <v/>
      </c>
      <c r="W28" s="11" t="str">
        <f t="shared" si="4"/>
        <v/>
      </c>
      <c r="X28" s="5" t="str">
        <f t="shared" si="5"/>
        <v/>
      </c>
      <c r="Y28" s="7" t="str">
        <f t="shared" si="6"/>
        <v/>
      </c>
      <c r="Z28" s="7" t="str">
        <f>IF(OR(AE28="",多次统计数据!$B$8=""),"",AE28-多次统计数据!$B$8)</f>
        <v/>
      </c>
      <c r="AA28" s="12" t="str">
        <f t="shared" si="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8"/>
        <v/>
      </c>
    </row>
    <row r="29" spans="1:31" x14ac:dyDescent="0.15">
      <c r="A29" s="2"/>
      <c r="B29" s="2"/>
      <c r="C29" s="9"/>
      <c r="D29" s="6"/>
      <c r="E29" s="9"/>
      <c r="F29" s="8" t="str">
        <f t="shared" si="0"/>
        <v/>
      </c>
      <c r="G29" s="8" t="str">
        <f>IF(OR(A29="",F29="",E29="",N29="",E29&lt;=N29,账户数据!$B$7=""),"",IF(账户数据!$B$9+IF(H29="",F29*(E29-N29),0)&gt;=账户数据!$B$7,"禁止开仓","允许开仓"))</f>
        <v/>
      </c>
      <c r="H29" s="2"/>
      <c r="I29" s="10"/>
      <c r="J29" s="9"/>
      <c r="K29" s="9"/>
      <c r="L29" s="8" t="str">
        <f t="shared" si="1"/>
        <v/>
      </c>
      <c r="M29" s="10"/>
      <c r="N29" s="9"/>
      <c r="O29" s="9"/>
      <c r="P29" s="9"/>
      <c r="Q29" s="2"/>
      <c r="R29" s="2"/>
      <c r="S29" s="2"/>
      <c r="T29" s="2"/>
      <c r="U29" s="7" t="str">
        <f t="shared" si="2"/>
        <v/>
      </c>
      <c r="V29" s="7" t="str">
        <f t="shared" si="3"/>
        <v/>
      </c>
      <c r="W29" s="11" t="str">
        <f t="shared" si="4"/>
        <v/>
      </c>
      <c r="X29" s="5" t="str">
        <f t="shared" si="5"/>
        <v/>
      </c>
      <c r="Y29" s="7" t="str">
        <f t="shared" si="6"/>
        <v/>
      </c>
      <c r="Z29" s="7" t="str">
        <f>IF(OR(AE29="",多次统计数据!$B$8=""),"",AE29-多次统计数据!$B$8)</f>
        <v/>
      </c>
      <c r="AA29" s="12" t="str">
        <f t="shared" si="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8"/>
        <v/>
      </c>
    </row>
    <row r="30" spans="1:31" x14ac:dyDescent="0.15">
      <c r="A30" s="2"/>
      <c r="B30" s="2"/>
      <c r="C30" s="9"/>
      <c r="D30" s="6"/>
      <c r="E30" s="9"/>
      <c r="F30" s="8" t="str">
        <f t="shared" si="0"/>
        <v/>
      </c>
      <c r="G30" s="8" t="str">
        <f>IF(OR(A30="",F30="",E30="",N30="",E30&lt;=N30,账户数据!$B$7=""),"",IF(账户数据!$B$9+IF(H30="",F30*(E30-N30),0)&gt;=账户数据!$B$7,"禁止开仓","允许开仓"))</f>
        <v/>
      </c>
      <c r="H30" s="2"/>
      <c r="I30" s="10"/>
      <c r="J30" s="9"/>
      <c r="K30" s="9"/>
      <c r="L30" s="8" t="str">
        <f t="shared" si="1"/>
        <v/>
      </c>
      <c r="M30" s="10"/>
      <c r="N30" s="9"/>
      <c r="O30" s="9"/>
      <c r="P30" s="9"/>
      <c r="Q30" s="2"/>
      <c r="R30" s="2"/>
      <c r="S30" s="2"/>
      <c r="T30" s="2"/>
      <c r="U30" s="7" t="str">
        <f t="shared" si="2"/>
        <v/>
      </c>
      <c r="V30" s="7" t="str">
        <f t="shared" si="3"/>
        <v/>
      </c>
      <c r="W30" s="11" t="str">
        <f t="shared" si="4"/>
        <v/>
      </c>
      <c r="X30" s="5" t="str">
        <f t="shared" si="5"/>
        <v/>
      </c>
      <c r="Y30" s="7" t="str">
        <f t="shared" si="6"/>
        <v/>
      </c>
      <c r="Z30" s="7" t="str">
        <f>IF(OR(AE30="",多次统计数据!$B$8=""),"",AE30-多次统计数据!$B$8)</f>
        <v/>
      </c>
      <c r="AA30" s="12" t="str">
        <f t="shared" si="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8"/>
        <v/>
      </c>
    </row>
    <row r="31" spans="1:31" x14ac:dyDescent="0.15">
      <c r="A31" s="2"/>
      <c r="B31" s="2"/>
      <c r="C31" s="9"/>
      <c r="D31" s="6"/>
      <c r="E31" s="9"/>
      <c r="F31" s="8" t="str">
        <f t="shared" si="0"/>
        <v/>
      </c>
      <c r="G31" s="8" t="str">
        <f>IF(OR(A31="",F31="",E31="",N31="",E31&lt;=N31,账户数据!$B$7=""),"",IF(账户数据!$B$9+IF(H31="",F31*(E31-N31),0)&gt;=账户数据!$B$7,"禁止开仓","允许开仓"))</f>
        <v/>
      </c>
      <c r="H31" s="2"/>
      <c r="I31" s="10"/>
      <c r="J31" s="9"/>
      <c r="K31" s="9"/>
      <c r="L31" s="8" t="str">
        <f t="shared" si="1"/>
        <v/>
      </c>
      <c r="M31" s="10"/>
      <c r="N31" s="9"/>
      <c r="O31" s="9"/>
      <c r="P31" s="9"/>
      <c r="Q31" s="2"/>
      <c r="R31" s="2"/>
      <c r="S31" s="2"/>
      <c r="T31" s="2"/>
      <c r="U31" s="7" t="str">
        <f t="shared" si="2"/>
        <v/>
      </c>
      <c r="V31" s="7" t="str">
        <f t="shared" si="3"/>
        <v/>
      </c>
      <c r="W31" s="11" t="str">
        <f t="shared" si="4"/>
        <v/>
      </c>
      <c r="X31" s="5" t="str">
        <f t="shared" si="5"/>
        <v/>
      </c>
      <c r="Y31" s="7" t="str">
        <f t="shared" si="6"/>
        <v/>
      </c>
      <c r="Z31" s="7" t="str">
        <f>IF(OR(AE31="",多次统计数据!$B$8=""),"",AE31-多次统计数据!$B$8)</f>
        <v/>
      </c>
      <c r="AA31" s="12" t="str">
        <f t="shared" si="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8"/>
        <v/>
      </c>
    </row>
    <row r="32" spans="1:31" x14ac:dyDescent="0.15">
      <c r="A32" s="2"/>
      <c r="B32" s="2"/>
      <c r="C32" s="9"/>
      <c r="D32" s="6"/>
      <c r="E32" s="9"/>
      <c r="F32" s="8" t="str">
        <f t="shared" si="0"/>
        <v/>
      </c>
      <c r="G32" s="8" t="str">
        <f>IF(OR(A32="",F32="",E32="",N32="",E32&lt;=N32,账户数据!$B$7=""),"",IF(账户数据!$B$9+IF(H32="",F32*(E32-N32),0)&gt;=账户数据!$B$7,"禁止开仓","允许开仓"))</f>
        <v/>
      </c>
      <c r="H32" s="2"/>
      <c r="I32" s="10"/>
      <c r="J32" s="9"/>
      <c r="K32" s="9"/>
      <c r="L32" s="8" t="str">
        <f t="shared" si="1"/>
        <v/>
      </c>
      <c r="M32" s="10"/>
      <c r="N32" s="9"/>
      <c r="O32" s="9"/>
      <c r="P32" s="9"/>
      <c r="Q32" s="2"/>
      <c r="R32" s="2"/>
      <c r="S32" s="2"/>
      <c r="T32" s="2"/>
      <c r="U32" s="7" t="str">
        <f t="shared" si="2"/>
        <v/>
      </c>
      <c r="V32" s="7" t="str">
        <f t="shared" si="3"/>
        <v/>
      </c>
      <c r="W32" s="11" t="str">
        <f t="shared" si="4"/>
        <v/>
      </c>
      <c r="X32" s="5" t="str">
        <f t="shared" si="5"/>
        <v/>
      </c>
      <c r="Y32" s="7" t="str">
        <f t="shared" si="6"/>
        <v/>
      </c>
      <c r="Z32" s="7" t="str">
        <f>IF(OR(AE32="",多次统计数据!$B$8=""),"",AE32-多次统计数据!$B$8)</f>
        <v/>
      </c>
      <c r="AA32" s="12" t="str">
        <f t="shared" si="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8"/>
        <v/>
      </c>
    </row>
    <row r="33" spans="1:31" x14ac:dyDescent="0.15">
      <c r="A33" s="2"/>
      <c r="B33" s="2"/>
      <c r="C33" s="9"/>
      <c r="D33" s="6"/>
      <c r="E33" s="9"/>
      <c r="F33" s="8" t="str">
        <f t="shared" si="0"/>
        <v/>
      </c>
      <c r="G33" s="8" t="str">
        <f>IF(OR(A33="",F33="",E33="",N33="",E33&lt;=N33,账户数据!$B$7=""),"",IF(账户数据!$B$9+IF(H33="",F33*(E33-N33),0)&gt;=账户数据!$B$7,"禁止开仓","允许开仓"))</f>
        <v/>
      </c>
      <c r="H33" s="2"/>
      <c r="I33" s="10"/>
      <c r="J33" s="9"/>
      <c r="K33" s="9"/>
      <c r="L33" s="8" t="str">
        <f t="shared" si="1"/>
        <v/>
      </c>
      <c r="M33" s="10"/>
      <c r="N33" s="9"/>
      <c r="O33" s="9"/>
      <c r="P33" s="9"/>
      <c r="Q33" s="2"/>
      <c r="R33" s="2"/>
      <c r="S33" s="2"/>
      <c r="T33" s="2"/>
      <c r="U33" s="7" t="str">
        <f t="shared" si="2"/>
        <v/>
      </c>
      <c r="V33" s="7" t="str">
        <f t="shared" si="3"/>
        <v/>
      </c>
      <c r="W33" s="11" t="str">
        <f t="shared" si="4"/>
        <v/>
      </c>
      <c r="X33" s="5" t="str">
        <f t="shared" si="5"/>
        <v/>
      </c>
      <c r="Y33" s="7" t="str">
        <f t="shared" si="6"/>
        <v/>
      </c>
      <c r="Z33" s="7" t="str">
        <f>IF(OR(AE33="",多次统计数据!$B$8=""),"",AE33-多次统计数据!$B$8)</f>
        <v/>
      </c>
      <c r="AA33" s="12" t="str">
        <f t="shared" si="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8"/>
        <v/>
      </c>
    </row>
    <row r="34" spans="1:31" x14ac:dyDescent="0.15">
      <c r="A34" s="2"/>
      <c r="B34" s="2"/>
      <c r="C34" s="9"/>
      <c r="D34" s="6"/>
      <c r="E34" s="9"/>
      <c r="F34" s="8" t="str">
        <f t="shared" si="0"/>
        <v/>
      </c>
      <c r="G34" s="8" t="str">
        <f>IF(OR(A34="",F34="",E34="",N34="",E34&lt;=N34,账户数据!$B$7=""),"",IF(账户数据!$B$9+IF(H34="",F34*(E34-N34),0)&gt;=账户数据!$B$7,"禁止开仓","允许开仓"))</f>
        <v/>
      </c>
      <c r="H34" s="2"/>
      <c r="I34" s="10"/>
      <c r="J34" s="9"/>
      <c r="K34" s="9"/>
      <c r="L34" s="8" t="str">
        <f t="shared" si="1"/>
        <v/>
      </c>
      <c r="M34" s="10"/>
      <c r="N34" s="9"/>
      <c r="O34" s="9"/>
      <c r="P34" s="9"/>
      <c r="Q34" s="2"/>
      <c r="R34" s="2"/>
      <c r="S34" s="2"/>
      <c r="T34" s="2"/>
      <c r="U34" s="7" t="str">
        <f t="shared" si="2"/>
        <v/>
      </c>
      <c r="V34" s="7" t="str">
        <f t="shared" si="3"/>
        <v/>
      </c>
      <c r="W34" s="11" t="str">
        <f t="shared" si="4"/>
        <v/>
      </c>
      <c r="X34" s="5" t="str">
        <f t="shared" si="5"/>
        <v/>
      </c>
      <c r="Y34" s="7" t="str">
        <f t="shared" si="6"/>
        <v/>
      </c>
      <c r="Z34" s="7" t="str">
        <f>IF(OR(AE34="",多次统计数据!$B$8=""),"",AE34-多次统计数据!$B$8)</f>
        <v/>
      </c>
      <c r="AA34" s="12" t="str">
        <f t="shared" si="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8"/>
        <v/>
      </c>
    </row>
    <row r="35" spans="1:31" x14ac:dyDescent="0.15">
      <c r="A35" s="2"/>
      <c r="B35" s="2"/>
      <c r="C35" s="9"/>
      <c r="D35" s="6"/>
      <c r="E35" s="9"/>
      <c r="F35" s="8" t="str">
        <f t="shared" si="0"/>
        <v/>
      </c>
      <c r="G35" s="8" t="str">
        <f>IF(OR(A35="",F35="",E35="",N35="",E35&lt;=N35,账户数据!$B$7=""),"",IF(账户数据!$B$9+IF(H35="",F35*(E35-N35),0)&gt;=账户数据!$B$7,"禁止开仓","允许开仓"))</f>
        <v/>
      </c>
      <c r="H35" s="2"/>
      <c r="I35" s="10"/>
      <c r="J35" s="9"/>
      <c r="K35" s="9"/>
      <c r="L35" s="8" t="str">
        <f t="shared" si="1"/>
        <v/>
      </c>
      <c r="M35" s="10"/>
      <c r="N35" s="9"/>
      <c r="O35" s="9"/>
      <c r="P35" s="9"/>
      <c r="Q35" s="2"/>
      <c r="R35" s="2"/>
      <c r="S35" s="2"/>
      <c r="T35" s="2"/>
      <c r="U35" s="7" t="str">
        <f t="shared" si="2"/>
        <v/>
      </c>
      <c r="V35" s="7" t="str">
        <f t="shared" si="3"/>
        <v/>
      </c>
      <c r="W35" s="11" t="str">
        <f t="shared" si="4"/>
        <v/>
      </c>
      <c r="X35" s="5" t="str">
        <f t="shared" si="5"/>
        <v/>
      </c>
      <c r="Y35" s="7" t="str">
        <f t="shared" si="6"/>
        <v/>
      </c>
      <c r="Z35" s="7" t="str">
        <f>IF(OR(AE35="",多次统计数据!$B$8=""),"",AE35-多次统计数据!$B$8)</f>
        <v/>
      </c>
      <c r="AA35" s="12" t="str">
        <f t="shared" si="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8"/>
        <v/>
      </c>
    </row>
    <row r="36" spans="1:31" x14ac:dyDescent="0.15">
      <c r="A36" s="2"/>
      <c r="B36" s="2"/>
      <c r="C36" s="9"/>
      <c r="D36" s="6"/>
      <c r="E36" s="9"/>
      <c r="F36" s="8" t="str">
        <f t="shared" si="0"/>
        <v/>
      </c>
      <c r="G36" s="8" t="str">
        <f>IF(OR(A36="",F36="",E36="",N36="",E36&lt;=N36,账户数据!$B$7=""),"",IF(账户数据!$B$9+IF(H36="",F36*(E36-N36),0)&gt;=账户数据!$B$7,"禁止开仓","允许开仓"))</f>
        <v/>
      </c>
      <c r="H36" s="2"/>
      <c r="I36" s="10"/>
      <c r="J36" s="9"/>
      <c r="K36" s="9"/>
      <c r="L36" s="8" t="str">
        <f t="shared" si="1"/>
        <v/>
      </c>
      <c r="M36" s="10"/>
      <c r="N36" s="9"/>
      <c r="O36" s="9"/>
      <c r="P36" s="9"/>
      <c r="Q36" s="2"/>
      <c r="R36" s="2"/>
      <c r="S36" s="2"/>
      <c r="T36" s="2"/>
      <c r="U36" s="7" t="str">
        <f t="shared" si="2"/>
        <v/>
      </c>
      <c r="V36" s="7" t="str">
        <f t="shared" si="3"/>
        <v/>
      </c>
      <c r="W36" s="11" t="str">
        <f t="shared" si="4"/>
        <v/>
      </c>
      <c r="X36" s="5" t="str">
        <f t="shared" si="5"/>
        <v/>
      </c>
      <c r="Y36" s="7" t="str">
        <f t="shared" si="6"/>
        <v/>
      </c>
      <c r="Z36" s="7" t="str">
        <f>IF(OR(AE36="",多次统计数据!$B$8=""),"",AE36-多次统计数据!$B$8)</f>
        <v/>
      </c>
      <c r="AA36" s="12" t="str">
        <f t="shared" si="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8"/>
        <v/>
      </c>
    </row>
    <row r="37" spans="1:31" x14ac:dyDescent="0.15">
      <c r="A37" s="2"/>
      <c r="B37" s="2"/>
      <c r="C37" s="9"/>
      <c r="D37" s="6"/>
      <c r="E37" s="9"/>
      <c r="F37" s="8" t="str">
        <f t="shared" si="0"/>
        <v/>
      </c>
      <c r="G37" s="8" t="str">
        <f>IF(OR(A37="",F37="",E37="",N37="",E37&lt;=N37,账户数据!$B$7=""),"",IF(账户数据!$B$9+IF(H37="",F37*(E37-N37),0)&gt;=账户数据!$B$7,"禁止开仓","允许开仓"))</f>
        <v/>
      </c>
      <c r="H37" s="2"/>
      <c r="I37" s="10"/>
      <c r="J37" s="9"/>
      <c r="K37" s="9"/>
      <c r="L37" s="8" t="str">
        <f t="shared" si="1"/>
        <v/>
      </c>
      <c r="M37" s="10"/>
      <c r="N37" s="9"/>
      <c r="O37" s="9"/>
      <c r="P37" s="9"/>
      <c r="Q37" s="2"/>
      <c r="R37" s="2"/>
      <c r="S37" s="2"/>
      <c r="T37" s="2"/>
      <c r="U37" s="7" t="str">
        <f t="shared" si="2"/>
        <v/>
      </c>
      <c r="V37" s="7" t="str">
        <f t="shared" si="3"/>
        <v/>
      </c>
      <c r="W37" s="11" t="str">
        <f t="shared" si="4"/>
        <v/>
      </c>
      <c r="X37" s="5" t="str">
        <f t="shared" si="5"/>
        <v/>
      </c>
      <c r="Y37" s="7" t="str">
        <f t="shared" si="6"/>
        <v/>
      </c>
      <c r="Z37" s="7" t="str">
        <f>IF(OR(AE37="",多次统计数据!$B$8=""),"",AE37-多次统计数据!$B$8)</f>
        <v/>
      </c>
      <c r="AA37" s="12" t="str">
        <f t="shared" si="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8"/>
        <v/>
      </c>
    </row>
    <row r="38" spans="1:31" x14ac:dyDescent="0.15">
      <c r="A38" s="2"/>
      <c r="B38" s="2"/>
      <c r="C38" s="9"/>
      <c r="D38" s="6"/>
      <c r="E38" s="9"/>
      <c r="F38" s="8" t="str">
        <f t="shared" si="0"/>
        <v/>
      </c>
      <c r="G38" s="8" t="str">
        <f>IF(OR(A38="",F38="",E38="",N38="",E38&lt;=N38,账户数据!$B$7=""),"",IF(账户数据!$B$9+IF(H38="",F38*(E38-N38),0)&gt;=账户数据!$B$7,"禁止开仓","允许开仓"))</f>
        <v/>
      </c>
      <c r="H38" s="2"/>
      <c r="I38" s="10"/>
      <c r="J38" s="9"/>
      <c r="K38" s="9"/>
      <c r="L38" s="8" t="str">
        <f t="shared" si="1"/>
        <v/>
      </c>
      <c r="M38" s="10"/>
      <c r="N38" s="9"/>
      <c r="O38" s="9"/>
      <c r="P38" s="9"/>
      <c r="Q38" s="2"/>
      <c r="R38" s="2"/>
      <c r="S38" s="2"/>
      <c r="T38" s="2"/>
      <c r="U38" s="7" t="str">
        <f t="shared" si="2"/>
        <v/>
      </c>
      <c r="V38" s="7" t="str">
        <f t="shared" si="3"/>
        <v/>
      </c>
      <c r="W38" s="11" t="str">
        <f t="shared" si="4"/>
        <v/>
      </c>
      <c r="X38" s="5" t="str">
        <f t="shared" si="5"/>
        <v/>
      </c>
      <c r="Y38" s="7" t="str">
        <f t="shared" si="6"/>
        <v/>
      </c>
      <c r="Z38" s="7" t="str">
        <f>IF(OR(AE38="",多次统计数据!$B$8=""),"",AE38-多次统计数据!$B$8)</f>
        <v/>
      </c>
      <c r="AA38" s="12" t="str">
        <f t="shared" si="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8"/>
        <v/>
      </c>
    </row>
    <row r="39" spans="1:31" x14ac:dyDescent="0.15">
      <c r="A39" s="2"/>
      <c r="B39" s="2"/>
      <c r="C39" s="9"/>
      <c r="D39" s="6"/>
      <c r="E39" s="9"/>
      <c r="F39" s="8" t="str">
        <f t="shared" si="0"/>
        <v/>
      </c>
      <c r="G39" s="8" t="str">
        <f>IF(OR(A39="",F39="",E39="",N39="",E39&lt;=N39,账户数据!$B$7=""),"",IF(账户数据!$B$9+IF(H39="",F39*(E39-N39),0)&gt;=账户数据!$B$7,"禁止开仓","允许开仓"))</f>
        <v/>
      </c>
      <c r="H39" s="2"/>
      <c r="I39" s="10"/>
      <c r="J39" s="9"/>
      <c r="K39" s="9"/>
      <c r="L39" s="8" t="str">
        <f t="shared" si="1"/>
        <v/>
      </c>
      <c r="M39" s="10"/>
      <c r="N39" s="9"/>
      <c r="O39" s="9"/>
      <c r="P39" s="9"/>
      <c r="Q39" s="2"/>
      <c r="R39" s="2"/>
      <c r="S39" s="2"/>
      <c r="T39" s="2"/>
      <c r="U39" s="7" t="str">
        <f t="shared" si="2"/>
        <v/>
      </c>
      <c r="V39" s="7" t="str">
        <f t="shared" si="3"/>
        <v/>
      </c>
      <c r="W39" s="11" t="str">
        <f t="shared" si="4"/>
        <v/>
      </c>
      <c r="X39" s="5" t="str">
        <f t="shared" si="5"/>
        <v/>
      </c>
      <c r="Y39" s="7" t="str">
        <f t="shared" si="6"/>
        <v/>
      </c>
      <c r="Z39" s="7" t="str">
        <f>IF(OR(AE39="",多次统计数据!$B$8=""),"",AE39-多次统计数据!$B$8)</f>
        <v/>
      </c>
      <c r="AA39" s="12" t="str">
        <f t="shared" si="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8"/>
        <v/>
      </c>
    </row>
    <row r="40" spans="1:31" x14ac:dyDescent="0.15">
      <c r="A40" s="2"/>
      <c r="B40" s="2"/>
      <c r="C40" s="9"/>
      <c r="D40" s="6"/>
      <c r="E40" s="9"/>
      <c r="F40" s="8" t="str">
        <f t="shared" si="0"/>
        <v/>
      </c>
      <c r="G40" s="8" t="str">
        <f>IF(OR(A40="",F40="",E40="",N40="",E40&lt;=N40,账户数据!$B$7=""),"",IF(账户数据!$B$9+IF(H40="",F40*(E40-N40),0)&gt;=账户数据!$B$7,"禁止开仓","允许开仓"))</f>
        <v/>
      </c>
      <c r="H40" s="2"/>
      <c r="I40" s="10"/>
      <c r="J40" s="9"/>
      <c r="K40" s="9"/>
      <c r="L40" s="8" t="str">
        <f t="shared" si="1"/>
        <v/>
      </c>
      <c r="M40" s="10"/>
      <c r="N40" s="9"/>
      <c r="O40" s="9"/>
      <c r="P40" s="9"/>
      <c r="Q40" s="2"/>
      <c r="R40" s="2"/>
      <c r="S40" s="2"/>
      <c r="T40" s="2"/>
      <c r="U40" s="7" t="str">
        <f t="shared" si="2"/>
        <v/>
      </c>
      <c r="V40" s="7" t="str">
        <f t="shared" si="3"/>
        <v/>
      </c>
      <c r="W40" s="11" t="str">
        <f t="shared" si="4"/>
        <v/>
      </c>
      <c r="X40" s="5" t="str">
        <f t="shared" si="5"/>
        <v/>
      </c>
      <c r="Y40" s="7" t="str">
        <f t="shared" si="6"/>
        <v/>
      </c>
      <c r="Z40" s="7" t="str">
        <f>IF(OR(AE40="",多次统计数据!$B$8=""),"",AE40-多次统计数据!$B$8)</f>
        <v/>
      </c>
      <c r="AA40" s="12" t="str">
        <f t="shared" si="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8"/>
        <v/>
      </c>
    </row>
    <row r="41" spans="1:31" x14ac:dyDescent="0.15">
      <c r="A41" s="2"/>
      <c r="B41" s="2"/>
      <c r="C41" s="9"/>
      <c r="D41" s="6"/>
      <c r="E41" s="9"/>
      <c r="F41" s="8" t="str">
        <f t="shared" si="0"/>
        <v/>
      </c>
      <c r="G41" s="8" t="str">
        <f>IF(OR(A41="",F41="",E41="",N41="",E41&lt;=N41,账户数据!$B$7=""),"",IF(账户数据!$B$9+IF(H41="",F41*(E41-N41),0)&gt;=账户数据!$B$7,"禁止开仓","允许开仓"))</f>
        <v/>
      </c>
      <c r="H41" s="2"/>
      <c r="I41" s="10"/>
      <c r="J41" s="9"/>
      <c r="K41" s="9"/>
      <c r="L41" s="8" t="str">
        <f t="shared" si="1"/>
        <v/>
      </c>
      <c r="M41" s="10"/>
      <c r="N41" s="9"/>
      <c r="O41" s="9"/>
      <c r="P41" s="9"/>
      <c r="Q41" s="2"/>
      <c r="R41" s="2"/>
      <c r="S41" s="2"/>
      <c r="T41" s="2"/>
      <c r="U41" s="7" t="str">
        <f t="shared" si="2"/>
        <v/>
      </c>
      <c r="V41" s="7" t="str">
        <f t="shared" si="3"/>
        <v/>
      </c>
      <c r="W41" s="11" t="str">
        <f t="shared" si="4"/>
        <v/>
      </c>
      <c r="X41" s="5" t="str">
        <f t="shared" si="5"/>
        <v/>
      </c>
      <c r="Y41" s="7" t="str">
        <f t="shared" si="6"/>
        <v/>
      </c>
      <c r="Z41" s="7" t="str">
        <f>IF(OR(AE41="",多次统计数据!$B$8=""),"",AE41-多次统计数据!$B$8)</f>
        <v/>
      </c>
      <c r="AA41" s="12" t="str">
        <f t="shared" si="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8"/>
        <v/>
      </c>
    </row>
    <row r="42" spans="1:31" x14ac:dyDescent="0.15">
      <c r="A42" s="2"/>
      <c r="B42" s="2"/>
      <c r="C42" s="9"/>
      <c r="D42" s="6"/>
      <c r="E42" s="9"/>
      <c r="F42" s="8" t="str">
        <f t="shared" si="0"/>
        <v/>
      </c>
      <c r="G42" s="8" t="str">
        <f>IF(OR(A42="",F42="",E42="",N42="",E42&lt;=N42,账户数据!$B$7=""),"",IF(账户数据!$B$9+IF(H42="",F42*(E42-N42),0)&gt;=账户数据!$B$7,"禁止开仓","允许开仓"))</f>
        <v/>
      </c>
      <c r="H42" s="2"/>
      <c r="I42" s="10"/>
      <c r="J42" s="9"/>
      <c r="K42" s="9"/>
      <c r="L42" s="8" t="str">
        <f t="shared" si="1"/>
        <v/>
      </c>
      <c r="M42" s="10"/>
      <c r="N42" s="9"/>
      <c r="O42" s="9"/>
      <c r="P42" s="9"/>
      <c r="Q42" s="2"/>
      <c r="R42" s="2"/>
      <c r="S42" s="2"/>
      <c r="T42" s="2"/>
      <c r="U42" s="7" t="str">
        <f t="shared" si="2"/>
        <v/>
      </c>
      <c r="V42" s="7" t="str">
        <f t="shared" si="3"/>
        <v/>
      </c>
      <c r="W42" s="11" t="str">
        <f t="shared" si="4"/>
        <v/>
      </c>
      <c r="X42" s="5" t="str">
        <f t="shared" si="5"/>
        <v/>
      </c>
      <c r="Y42" s="7" t="str">
        <f t="shared" si="6"/>
        <v/>
      </c>
      <c r="Z42" s="7" t="str">
        <f>IF(OR(AE42="",多次统计数据!$B$8=""),"",AE42-多次统计数据!$B$8)</f>
        <v/>
      </c>
      <c r="AA42" s="12" t="str">
        <f t="shared" si="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8"/>
        <v/>
      </c>
    </row>
    <row r="43" spans="1:31" x14ac:dyDescent="0.15">
      <c r="A43" s="2"/>
      <c r="B43" s="2"/>
      <c r="C43" s="9"/>
      <c r="D43" s="6"/>
      <c r="E43" s="9"/>
      <c r="F43" s="8" t="str">
        <f t="shared" si="0"/>
        <v/>
      </c>
      <c r="G43" s="8" t="str">
        <f>IF(OR(A43="",F43="",E43="",N43="",E43&lt;=N43,账户数据!$B$7=""),"",IF(账户数据!$B$9+IF(H43="",F43*(E43-N43),0)&gt;=账户数据!$B$7,"禁止开仓","允许开仓"))</f>
        <v/>
      </c>
      <c r="H43" s="2"/>
      <c r="I43" s="10"/>
      <c r="J43" s="9"/>
      <c r="K43" s="9"/>
      <c r="L43" s="8" t="str">
        <f t="shared" si="1"/>
        <v/>
      </c>
      <c r="M43" s="10"/>
      <c r="N43" s="9"/>
      <c r="O43" s="9"/>
      <c r="P43" s="9"/>
      <c r="Q43" s="2"/>
      <c r="R43" s="2"/>
      <c r="S43" s="2"/>
      <c r="T43" s="2"/>
      <c r="U43" s="7" t="str">
        <f t="shared" si="2"/>
        <v/>
      </c>
      <c r="V43" s="7" t="str">
        <f t="shared" si="3"/>
        <v/>
      </c>
      <c r="W43" s="11" t="str">
        <f t="shared" si="4"/>
        <v/>
      </c>
      <c r="X43" s="5" t="str">
        <f t="shared" si="5"/>
        <v/>
      </c>
      <c r="Y43" s="7" t="str">
        <f t="shared" si="6"/>
        <v/>
      </c>
      <c r="Z43" s="7" t="str">
        <f>IF(OR(AE43="",多次统计数据!$B$8=""),"",AE43-多次统计数据!$B$8)</f>
        <v/>
      </c>
      <c r="AA43" s="12" t="str">
        <f t="shared" si="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8"/>
        <v/>
      </c>
    </row>
    <row r="44" spans="1:31" x14ac:dyDescent="0.15">
      <c r="A44" s="2"/>
      <c r="B44" s="2"/>
      <c r="C44" s="9"/>
      <c r="D44" s="6"/>
      <c r="E44" s="9"/>
      <c r="F44" s="8" t="str">
        <f t="shared" si="0"/>
        <v/>
      </c>
      <c r="G44" s="8" t="str">
        <f>IF(OR(A44="",F44="",E44="",N44="",E44&lt;=N44,账户数据!$B$7=""),"",IF(账户数据!$B$9+IF(H44="",F44*(E44-N44),0)&gt;=账户数据!$B$7,"禁止开仓","允许开仓"))</f>
        <v/>
      </c>
      <c r="H44" s="2"/>
      <c r="I44" s="10"/>
      <c r="J44" s="9"/>
      <c r="K44" s="9"/>
      <c r="L44" s="8" t="str">
        <f t="shared" si="1"/>
        <v/>
      </c>
      <c r="M44" s="10"/>
      <c r="N44" s="9"/>
      <c r="O44" s="9"/>
      <c r="P44" s="9"/>
      <c r="Q44" s="2"/>
      <c r="R44" s="2"/>
      <c r="S44" s="2"/>
      <c r="T44" s="2"/>
      <c r="U44" s="7" t="str">
        <f t="shared" si="2"/>
        <v/>
      </c>
      <c r="V44" s="7" t="str">
        <f t="shared" si="3"/>
        <v/>
      </c>
      <c r="W44" s="11" t="str">
        <f t="shared" si="4"/>
        <v/>
      </c>
      <c r="X44" s="5" t="str">
        <f t="shared" si="5"/>
        <v/>
      </c>
      <c r="Y44" s="7" t="str">
        <f t="shared" si="6"/>
        <v/>
      </c>
      <c r="Z44" s="7" t="str">
        <f>IF(OR(AE44="",多次统计数据!$B$8=""),"",AE44-多次统计数据!$B$8)</f>
        <v/>
      </c>
      <c r="AA44" s="12" t="str">
        <f t="shared" si="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8"/>
        <v/>
      </c>
    </row>
    <row r="45" spans="1:31" x14ac:dyDescent="0.15">
      <c r="A45" s="2"/>
      <c r="B45" s="2"/>
      <c r="C45" s="9"/>
      <c r="D45" s="6"/>
      <c r="E45" s="9"/>
      <c r="F45" s="8" t="str">
        <f t="shared" si="0"/>
        <v/>
      </c>
      <c r="G45" s="8" t="str">
        <f>IF(OR(A45="",F45="",E45="",N45="",E45&lt;=N45,账户数据!$B$7=""),"",IF(账户数据!$B$9+IF(H45="",F45*(E45-N45),0)&gt;=账户数据!$B$7,"禁止开仓","允许开仓"))</f>
        <v/>
      </c>
      <c r="H45" s="2"/>
      <c r="I45" s="10"/>
      <c r="J45" s="9"/>
      <c r="K45" s="9"/>
      <c r="L45" s="8" t="str">
        <f t="shared" si="1"/>
        <v/>
      </c>
      <c r="M45" s="10"/>
      <c r="N45" s="9"/>
      <c r="O45" s="9"/>
      <c r="P45" s="9"/>
      <c r="Q45" s="2"/>
      <c r="R45" s="2"/>
      <c r="S45" s="2"/>
      <c r="T45" s="2"/>
      <c r="U45" s="7" t="str">
        <f t="shared" si="2"/>
        <v/>
      </c>
      <c r="V45" s="7" t="str">
        <f t="shared" si="3"/>
        <v/>
      </c>
      <c r="W45" s="11" t="str">
        <f t="shared" si="4"/>
        <v/>
      </c>
      <c r="X45" s="5" t="str">
        <f t="shared" si="5"/>
        <v/>
      </c>
      <c r="Y45" s="7" t="str">
        <f t="shared" si="6"/>
        <v/>
      </c>
      <c r="Z45" s="7" t="str">
        <f>IF(OR(AE45="",多次统计数据!$B$8=""),"",AE45-多次统计数据!$B$8)</f>
        <v/>
      </c>
      <c r="AA45" s="12" t="str">
        <f t="shared" si="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8"/>
        <v/>
      </c>
    </row>
    <row r="46" spans="1:31" x14ac:dyDescent="0.15">
      <c r="A46" s="2"/>
      <c r="B46" s="2"/>
      <c r="C46" s="9"/>
      <c r="D46" s="6"/>
      <c r="E46" s="9"/>
      <c r="F46" s="8" t="str">
        <f t="shared" si="0"/>
        <v/>
      </c>
      <c r="G46" s="8" t="str">
        <f>IF(OR(A46="",F46="",E46="",N46="",E46&lt;=N46,账户数据!$B$7=""),"",IF(账户数据!$B$9+IF(H46="",F46*(E46-N46),0)&gt;=账户数据!$B$7,"禁止开仓","允许开仓"))</f>
        <v/>
      </c>
      <c r="H46" s="2"/>
      <c r="I46" s="10"/>
      <c r="J46" s="9"/>
      <c r="K46" s="9"/>
      <c r="L46" s="8" t="str">
        <f t="shared" si="1"/>
        <v/>
      </c>
      <c r="M46" s="10"/>
      <c r="N46" s="9"/>
      <c r="O46" s="9"/>
      <c r="P46" s="9"/>
      <c r="Q46" s="2"/>
      <c r="R46" s="2"/>
      <c r="S46" s="2"/>
      <c r="T46" s="2"/>
      <c r="U46" s="7" t="str">
        <f t="shared" si="2"/>
        <v/>
      </c>
      <c r="V46" s="7" t="str">
        <f t="shared" si="3"/>
        <v/>
      </c>
      <c r="W46" s="11" t="str">
        <f t="shared" si="4"/>
        <v/>
      </c>
      <c r="X46" s="5" t="str">
        <f t="shared" si="5"/>
        <v/>
      </c>
      <c r="Y46" s="7" t="str">
        <f t="shared" si="6"/>
        <v/>
      </c>
      <c r="Z46" s="7" t="str">
        <f>IF(OR(AE46="",多次统计数据!$B$8=""),"",AE46-多次统计数据!$B$8)</f>
        <v/>
      </c>
      <c r="AA46" s="12" t="str">
        <f t="shared" si="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8"/>
        <v/>
      </c>
    </row>
    <row r="47" spans="1:31" x14ac:dyDescent="0.15">
      <c r="A47" s="2"/>
      <c r="B47" s="2"/>
      <c r="C47" s="9"/>
      <c r="D47" s="6"/>
      <c r="E47" s="9"/>
      <c r="F47" s="8" t="str">
        <f t="shared" si="0"/>
        <v/>
      </c>
      <c r="G47" s="8" t="str">
        <f>IF(OR(A47="",F47="",E47="",N47="",E47&lt;=N47,账户数据!$B$7=""),"",IF(账户数据!$B$9+IF(H47="",F47*(E47-N47),0)&gt;=账户数据!$B$7,"禁止开仓","允许开仓"))</f>
        <v/>
      </c>
      <c r="H47" s="2"/>
      <c r="I47" s="10"/>
      <c r="J47" s="9"/>
      <c r="K47" s="9"/>
      <c r="L47" s="8" t="str">
        <f t="shared" si="1"/>
        <v/>
      </c>
      <c r="M47" s="10"/>
      <c r="N47" s="9"/>
      <c r="O47" s="9"/>
      <c r="P47" s="9"/>
      <c r="Q47" s="2"/>
      <c r="R47" s="2"/>
      <c r="S47" s="2"/>
      <c r="T47" s="2"/>
      <c r="U47" s="7" t="str">
        <f t="shared" si="2"/>
        <v/>
      </c>
      <c r="V47" s="7" t="str">
        <f t="shared" si="3"/>
        <v/>
      </c>
      <c r="W47" s="11" t="str">
        <f t="shared" si="4"/>
        <v/>
      </c>
      <c r="X47" s="5" t="str">
        <f t="shared" si="5"/>
        <v/>
      </c>
      <c r="Y47" s="7" t="str">
        <f t="shared" si="6"/>
        <v/>
      </c>
      <c r="Z47" s="7" t="str">
        <f>IF(OR(AE47="",多次统计数据!$B$8=""),"",AE47-多次统计数据!$B$8)</f>
        <v/>
      </c>
      <c r="AA47" s="12" t="str">
        <f t="shared" si="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8"/>
        <v/>
      </c>
    </row>
    <row r="48" spans="1:31" x14ac:dyDescent="0.15">
      <c r="A48" s="2"/>
      <c r="B48" s="2"/>
      <c r="C48" s="9"/>
      <c r="D48" s="6"/>
      <c r="E48" s="9"/>
      <c r="F48" s="8" t="str">
        <f t="shared" si="0"/>
        <v/>
      </c>
      <c r="G48" s="8" t="str">
        <f>IF(OR(A48="",F48="",E48="",N48="",E48&lt;=N48,账户数据!$B$7=""),"",IF(账户数据!$B$9+IF(H48="",F48*(E48-N48),0)&gt;=账户数据!$B$7,"禁止开仓","允许开仓"))</f>
        <v/>
      </c>
      <c r="H48" s="2"/>
      <c r="I48" s="10"/>
      <c r="J48" s="9"/>
      <c r="K48" s="9"/>
      <c r="L48" s="8" t="str">
        <f t="shared" si="1"/>
        <v/>
      </c>
      <c r="M48" s="10"/>
      <c r="N48" s="9"/>
      <c r="O48" s="9"/>
      <c r="P48" s="9"/>
      <c r="Q48" s="2"/>
      <c r="R48" s="2"/>
      <c r="S48" s="2"/>
      <c r="T48" s="2"/>
      <c r="U48" s="7" t="str">
        <f t="shared" si="2"/>
        <v/>
      </c>
      <c r="V48" s="7" t="str">
        <f t="shared" si="3"/>
        <v/>
      </c>
      <c r="W48" s="11" t="str">
        <f t="shared" si="4"/>
        <v/>
      </c>
      <c r="X48" s="5" t="str">
        <f t="shared" si="5"/>
        <v/>
      </c>
      <c r="Y48" s="7" t="str">
        <f t="shared" si="6"/>
        <v/>
      </c>
      <c r="Z48" s="7" t="str">
        <f>IF(OR(AE48="",多次统计数据!$B$8=""),"",AE48-多次统计数据!$B$8)</f>
        <v/>
      </c>
      <c r="AA48" s="12" t="str">
        <f t="shared" si="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8"/>
        <v/>
      </c>
    </row>
    <row r="49" spans="1:31" x14ac:dyDescent="0.15">
      <c r="A49" s="2"/>
      <c r="B49" s="2"/>
      <c r="C49" s="9"/>
      <c r="D49" s="6"/>
      <c r="E49" s="9"/>
      <c r="F49" s="8" t="str">
        <f t="shared" si="0"/>
        <v/>
      </c>
      <c r="G49" s="8" t="str">
        <f>IF(OR(A49="",F49="",E49="",N49="",E49&lt;=N49,账户数据!$B$7=""),"",IF(账户数据!$B$9+IF(H49="",F49*(E49-N49),0)&gt;=账户数据!$B$7,"禁止开仓","允许开仓"))</f>
        <v/>
      </c>
      <c r="H49" s="2"/>
      <c r="I49" s="10"/>
      <c r="J49" s="9"/>
      <c r="K49" s="9"/>
      <c r="L49" s="8" t="str">
        <f t="shared" si="1"/>
        <v/>
      </c>
      <c r="M49" s="10"/>
      <c r="N49" s="9"/>
      <c r="O49" s="9"/>
      <c r="P49" s="9"/>
      <c r="Q49" s="2"/>
      <c r="R49" s="2"/>
      <c r="S49" s="2"/>
      <c r="T49" s="2"/>
      <c r="U49" s="7" t="str">
        <f t="shared" si="2"/>
        <v/>
      </c>
      <c r="V49" s="7" t="str">
        <f t="shared" si="3"/>
        <v/>
      </c>
      <c r="W49" s="11" t="str">
        <f t="shared" si="4"/>
        <v/>
      </c>
      <c r="X49" s="5" t="str">
        <f t="shared" si="5"/>
        <v/>
      </c>
      <c r="Y49" s="7" t="str">
        <f t="shared" si="6"/>
        <v/>
      </c>
      <c r="Z49" s="7" t="str">
        <f>IF(OR(AE49="",多次统计数据!$B$8=""),"",AE49-多次统计数据!$B$8)</f>
        <v/>
      </c>
      <c r="AA49" s="12" t="str">
        <f t="shared" si="7"/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si="8"/>
        <v/>
      </c>
    </row>
    <row r="50" spans="1:31" x14ac:dyDescent="0.15">
      <c r="A50" s="2"/>
      <c r="B50" s="2"/>
      <c r="C50" s="9"/>
      <c r="D50" s="6"/>
      <c r="E50" s="9"/>
      <c r="F50" s="8" t="str">
        <f t="shared" si="0"/>
        <v/>
      </c>
      <c r="G50" s="8" t="str">
        <f>IF(OR(A50="",F50="",E50="",N50="",E50&lt;=N50,账户数据!$B$7=""),"",IF(账户数据!$B$9+IF(H50="",F50*(E50-N50),0)&gt;=账户数据!$B$7,"禁止开仓","允许开仓"))</f>
        <v/>
      </c>
      <c r="H50" s="2"/>
      <c r="I50" s="10"/>
      <c r="J50" s="9"/>
      <c r="K50" s="9"/>
      <c r="L50" s="8" t="str">
        <f t="shared" si="1"/>
        <v/>
      </c>
      <c r="M50" s="10"/>
      <c r="N50" s="9"/>
      <c r="O50" s="9"/>
      <c r="P50" s="9"/>
      <c r="Q50" s="2"/>
      <c r="R50" s="2"/>
      <c r="S50" s="2"/>
      <c r="T50" s="2"/>
      <c r="U50" s="7" t="str">
        <f t="shared" si="2"/>
        <v/>
      </c>
      <c r="V50" s="7" t="str">
        <f t="shared" si="3"/>
        <v/>
      </c>
      <c r="W50" s="11" t="str">
        <f t="shared" si="4"/>
        <v/>
      </c>
      <c r="X50" s="5" t="str">
        <f t="shared" si="5"/>
        <v/>
      </c>
      <c r="Y50" s="7" t="str">
        <f t="shared" si="6"/>
        <v/>
      </c>
      <c r="Z50" s="7" t="str">
        <f>IF(OR(AE50="",多次统计数据!$B$8=""),"",AE50-多次统计数据!$B$8)</f>
        <v/>
      </c>
      <c r="AA50" s="12" t="str">
        <f t="shared" si="7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8"/>
        <v/>
      </c>
    </row>
    <row r="51" spans="1:31" x14ac:dyDescent="0.15">
      <c r="A51" s="2"/>
      <c r="B51" s="2"/>
      <c r="C51" s="9"/>
      <c r="D51" s="6"/>
      <c r="E51" s="9"/>
      <c r="F51" s="8" t="str">
        <f t="shared" si="0"/>
        <v/>
      </c>
      <c r="G51" s="8" t="str">
        <f>IF(OR(A51="",F51="",E51="",N51="",E51&lt;=N51,账户数据!$B$7=""),"",IF(账户数据!$B$9+IF(H51="",F51*(E51-N51),0)&gt;=账户数据!$B$7,"禁止开仓","允许开仓"))</f>
        <v/>
      </c>
      <c r="H51" s="2"/>
      <c r="I51" s="10"/>
      <c r="J51" s="9"/>
      <c r="K51" s="9"/>
      <c r="L51" s="8" t="str">
        <f t="shared" si="1"/>
        <v/>
      </c>
      <c r="M51" s="10"/>
      <c r="N51" s="9"/>
      <c r="O51" s="9"/>
      <c r="P51" s="9"/>
      <c r="Q51" s="2"/>
      <c r="R51" s="2"/>
      <c r="S51" s="2"/>
      <c r="T51" s="2"/>
      <c r="U51" s="7" t="str">
        <f t="shared" si="2"/>
        <v/>
      </c>
      <c r="V51" s="7" t="str">
        <f t="shared" si="3"/>
        <v/>
      </c>
      <c r="W51" s="11" t="str">
        <f t="shared" si="4"/>
        <v/>
      </c>
      <c r="X51" s="5" t="str">
        <f t="shared" si="5"/>
        <v/>
      </c>
      <c r="Y51" s="7" t="str">
        <f t="shared" si="6"/>
        <v/>
      </c>
      <c r="Z51" s="7" t="str">
        <f>IF(OR(AE51="",多次统计数据!$B$8=""),"",AE51-多次统计数据!$B$8)</f>
        <v/>
      </c>
      <c r="AA51" s="12" t="str">
        <f t="shared" si="7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8"/>
        <v/>
      </c>
    </row>
    <row r="52" spans="1:31" x14ac:dyDescent="0.15">
      <c r="A52" s="2"/>
      <c r="B52" s="2"/>
      <c r="C52" s="9"/>
      <c r="D52" s="6"/>
      <c r="E52" s="9"/>
      <c r="F52" s="8" t="str">
        <f t="shared" si="0"/>
        <v/>
      </c>
      <c r="G52" s="8" t="str">
        <f>IF(OR(A52="",F52="",E52="",N52="",E52&lt;=N52,账户数据!$B$7=""),"",IF(账户数据!$B$9+IF(H52="",F52*(E52-N52),0)&gt;=账户数据!$B$7,"禁止开仓","允许开仓"))</f>
        <v/>
      </c>
      <c r="H52" s="2"/>
      <c r="I52" s="10"/>
      <c r="J52" s="9"/>
      <c r="K52" s="9"/>
      <c r="L52" s="8" t="str">
        <f t="shared" si="1"/>
        <v/>
      </c>
      <c r="M52" s="10"/>
      <c r="N52" s="9"/>
      <c r="O52" s="9"/>
      <c r="P52" s="9"/>
      <c r="Q52" s="2"/>
      <c r="R52" s="2"/>
      <c r="S52" s="2"/>
      <c r="T52" s="2"/>
      <c r="U52" s="7" t="str">
        <f t="shared" si="2"/>
        <v/>
      </c>
      <c r="V52" s="7" t="str">
        <f t="shared" si="3"/>
        <v/>
      </c>
      <c r="W52" s="11" t="str">
        <f t="shared" si="4"/>
        <v/>
      </c>
      <c r="X52" s="5" t="str">
        <f t="shared" si="5"/>
        <v/>
      </c>
      <c r="Y52" s="7" t="str">
        <f t="shared" si="6"/>
        <v/>
      </c>
      <c r="Z52" s="7" t="str">
        <f>IF(OR(AE52="",多次统计数据!$B$8=""),"",AE52-多次统计数据!$B$8)</f>
        <v/>
      </c>
      <c r="AA52" s="12" t="str">
        <f t="shared" si="7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8"/>
        <v/>
      </c>
    </row>
    <row r="53" spans="1:31" x14ac:dyDescent="0.15">
      <c r="A53" s="2"/>
      <c r="B53" s="2"/>
      <c r="C53" s="9"/>
      <c r="D53" s="6"/>
      <c r="E53" s="9"/>
      <c r="F53" s="8" t="str">
        <f t="shared" si="0"/>
        <v/>
      </c>
      <c r="G53" s="8" t="str">
        <f>IF(OR(A53="",F53="",E53="",N53="",E53&lt;=N53,账户数据!$B$7=""),"",IF(账户数据!$B$9+IF(H53="",F53*(E53-N53),0)&gt;=账户数据!$B$7,"禁止开仓","允许开仓"))</f>
        <v/>
      </c>
      <c r="H53" s="2"/>
      <c r="I53" s="10"/>
      <c r="J53" s="9"/>
      <c r="K53" s="9"/>
      <c r="L53" s="8" t="str">
        <f t="shared" si="1"/>
        <v/>
      </c>
      <c r="M53" s="10"/>
      <c r="N53" s="9"/>
      <c r="O53" s="9"/>
      <c r="P53" s="9"/>
      <c r="Q53" s="2"/>
      <c r="R53" s="2"/>
      <c r="S53" s="2"/>
      <c r="T53" s="2"/>
      <c r="U53" s="7" t="str">
        <f t="shared" si="2"/>
        <v/>
      </c>
      <c r="V53" s="7" t="str">
        <f t="shared" si="3"/>
        <v/>
      </c>
      <c r="W53" s="11" t="str">
        <f t="shared" si="4"/>
        <v/>
      </c>
      <c r="X53" s="5" t="str">
        <f t="shared" si="5"/>
        <v/>
      </c>
      <c r="Y53" s="7" t="str">
        <f t="shared" si="6"/>
        <v/>
      </c>
      <c r="Z53" s="7" t="str">
        <f>IF(OR(AE53="",多次统计数据!$B$8=""),"",AE53-多次统计数据!$B$8)</f>
        <v/>
      </c>
      <c r="AA53" s="12" t="str">
        <f t="shared" si="7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8"/>
        <v/>
      </c>
    </row>
    <row r="54" spans="1:31" x14ac:dyDescent="0.15">
      <c r="A54" s="2"/>
      <c r="B54" s="2"/>
      <c r="C54" s="9"/>
      <c r="D54" s="6"/>
      <c r="E54" s="9"/>
      <c r="F54" s="8" t="str">
        <f t="shared" si="0"/>
        <v/>
      </c>
      <c r="G54" s="8" t="str">
        <f>IF(OR(A54="",F54="",E54="",N54="",E54&lt;=N54,账户数据!$B$7=""),"",IF(账户数据!$B$9+IF(H54="",F54*(E54-N54),0)&gt;=账户数据!$B$7,"禁止开仓","允许开仓"))</f>
        <v/>
      </c>
      <c r="H54" s="2"/>
      <c r="I54" s="10"/>
      <c r="J54" s="9"/>
      <c r="K54" s="9"/>
      <c r="L54" s="8" t="str">
        <f t="shared" si="1"/>
        <v/>
      </c>
      <c r="M54" s="10"/>
      <c r="N54" s="9"/>
      <c r="O54" s="9"/>
      <c r="P54" s="9"/>
      <c r="Q54" s="2"/>
      <c r="R54" s="2"/>
      <c r="S54" s="2"/>
      <c r="T54" s="2"/>
      <c r="U54" s="7" t="str">
        <f t="shared" si="2"/>
        <v/>
      </c>
      <c r="V54" s="7" t="str">
        <f t="shared" si="3"/>
        <v/>
      </c>
      <c r="W54" s="11" t="str">
        <f t="shared" si="4"/>
        <v/>
      </c>
      <c r="X54" s="5" t="str">
        <f t="shared" si="5"/>
        <v/>
      </c>
      <c r="Y54" s="7" t="str">
        <f t="shared" si="6"/>
        <v/>
      </c>
      <c r="Z54" s="7" t="str">
        <f>IF(OR(AE54="",多次统计数据!$B$8=""),"",AE54-多次统计数据!$B$8)</f>
        <v/>
      </c>
      <c r="AA54" s="12" t="str">
        <f t="shared" si="7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8"/>
        <v/>
      </c>
    </row>
    <row r="55" spans="1:31" x14ac:dyDescent="0.15">
      <c r="A55" s="2"/>
      <c r="B55" s="2"/>
      <c r="C55" s="9"/>
      <c r="D55" s="6"/>
      <c r="E55" s="9"/>
      <c r="F55" s="8" t="str">
        <f t="shared" si="0"/>
        <v/>
      </c>
      <c r="G55" s="8" t="str">
        <f>IF(OR(A55="",F55="",E55="",N55="",E55&lt;=N55,账户数据!$B$7=""),"",IF(账户数据!$B$9+IF(H55="",F55*(E55-N55),0)&gt;=账户数据!$B$7,"禁止开仓","允许开仓"))</f>
        <v/>
      </c>
      <c r="H55" s="2"/>
      <c r="I55" s="10"/>
      <c r="J55" s="9"/>
      <c r="K55" s="9"/>
      <c r="L55" s="8" t="str">
        <f t="shared" si="1"/>
        <v/>
      </c>
      <c r="M55" s="10"/>
      <c r="N55" s="9"/>
      <c r="O55" s="9"/>
      <c r="P55" s="9"/>
      <c r="Q55" s="2"/>
      <c r="R55" s="2"/>
      <c r="S55" s="2"/>
      <c r="T55" s="2"/>
      <c r="U55" s="7" t="str">
        <f t="shared" si="2"/>
        <v/>
      </c>
      <c r="V55" s="7" t="str">
        <f t="shared" si="3"/>
        <v/>
      </c>
      <c r="W55" s="11" t="str">
        <f t="shared" si="4"/>
        <v/>
      </c>
      <c r="X55" s="5" t="str">
        <f t="shared" si="5"/>
        <v/>
      </c>
      <c r="Y55" s="7" t="str">
        <f t="shared" si="6"/>
        <v/>
      </c>
      <c r="Z55" s="7" t="str">
        <f>IF(OR(AE55="",多次统计数据!$B$8=""),"",AE55-多次统计数据!$B$8)</f>
        <v/>
      </c>
      <c r="AA55" s="12" t="str">
        <f t="shared" si="7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8"/>
        <v/>
      </c>
    </row>
    <row r="56" spans="1:31" x14ac:dyDescent="0.15">
      <c r="A56" s="2"/>
      <c r="B56" s="2"/>
      <c r="C56" s="9"/>
      <c r="D56" s="6"/>
      <c r="E56" s="9"/>
      <c r="F56" s="8" t="str">
        <f t="shared" si="0"/>
        <v/>
      </c>
      <c r="G56" s="8" t="str">
        <f>IF(OR(A56="",F56="",E56="",N56="",E56&lt;=N56,账户数据!$B$7=""),"",IF(账户数据!$B$9+IF(H56="",F56*(E56-N56),0)&gt;=账户数据!$B$7,"禁止开仓","允许开仓"))</f>
        <v/>
      </c>
      <c r="H56" s="2"/>
      <c r="I56" s="10"/>
      <c r="J56" s="9"/>
      <c r="K56" s="9"/>
      <c r="L56" s="8" t="str">
        <f t="shared" si="1"/>
        <v/>
      </c>
      <c r="M56" s="10"/>
      <c r="N56" s="9"/>
      <c r="O56" s="9"/>
      <c r="P56" s="9"/>
      <c r="Q56" s="2"/>
      <c r="R56" s="2"/>
      <c r="S56" s="2"/>
      <c r="T56" s="2"/>
      <c r="U56" s="7" t="str">
        <f t="shared" si="2"/>
        <v/>
      </c>
      <c r="V56" s="7" t="str">
        <f t="shared" si="3"/>
        <v/>
      </c>
      <c r="W56" s="11" t="str">
        <f t="shared" si="4"/>
        <v/>
      </c>
      <c r="X56" s="5" t="str">
        <f t="shared" si="5"/>
        <v/>
      </c>
      <c r="Y56" s="7" t="str">
        <f t="shared" si="6"/>
        <v/>
      </c>
      <c r="Z56" s="7" t="str">
        <f>IF(OR(AE56="",多次统计数据!$B$8=""),"",AE56-多次统计数据!$B$8)</f>
        <v/>
      </c>
      <c r="AA56" s="12" t="str">
        <f t="shared" si="7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8"/>
        <v/>
      </c>
    </row>
    <row r="57" spans="1:31" x14ac:dyDescent="0.15">
      <c r="A57" s="2"/>
      <c r="B57" s="2"/>
      <c r="C57" s="9"/>
      <c r="D57" s="6"/>
      <c r="E57" s="9"/>
      <c r="F57" s="8" t="str">
        <f t="shared" si="0"/>
        <v/>
      </c>
      <c r="G57" s="8" t="str">
        <f>IF(OR(A57="",F57="",E57="",N57="",E57&lt;=N57,账户数据!$B$7=""),"",IF(账户数据!$B$9+IF(H57="",F57*(E57-N57),0)&gt;=账户数据!$B$7,"禁止开仓","允许开仓"))</f>
        <v/>
      </c>
      <c r="H57" s="2"/>
      <c r="I57" s="10"/>
      <c r="J57" s="9"/>
      <c r="K57" s="9"/>
      <c r="L57" s="8" t="str">
        <f t="shared" si="1"/>
        <v/>
      </c>
      <c r="M57" s="10"/>
      <c r="N57" s="9"/>
      <c r="O57" s="9"/>
      <c r="P57" s="9"/>
      <c r="Q57" s="2"/>
      <c r="R57" s="2"/>
      <c r="S57" s="2"/>
      <c r="T57" s="2"/>
      <c r="U57" s="7" t="str">
        <f t="shared" si="2"/>
        <v/>
      </c>
      <c r="V57" s="7" t="str">
        <f t="shared" si="3"/>
        <v/>
      </c>
      <c r="W57" s="11" t="str">
        <f t="shared" si="4"/>
        <v/>
      </c>
      <c r="X57" s="5" t="str">
        <f t="shared" si="5"/>
        <v/>
      </c>
      <c r="Y57" s="7" t="str">
        <f t="shared" si="6"/>
        <v/>
      </c>
      <c r="Z57" s="7" t="str">
        <f>IF(OR(AE57="",多次统计数据!$B$8=""),"",AE57-多次统计数据!$B$8)</f>
        <v/>
      </c>
      <c r="AA57" s="12" t="str">
        <f t="shared" si="7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8"/>
        <v/>
      </c>
    </row>
    <row r="58" spans="1:31" x14ac:dyDescent="0.15">
      <c r="A58" s="2"/>
      <c r="B58" s="2"/>
      <c r="C58" s="9"/>
      <c r="D58" s="6"/>
      <c r="E58" s="9"/>
      <c r="F58" s="8" t="str">
        <f t="shared" si="0"/>
        <v/>
      </c>
      <c r="G58" s="8" t="str">
        <f>IF(OR(A58="",F58="",E58="",N58="",E58&lt;=N58,账户数据!$B$7=""),"",IF(账户数据!$B$9+IF(H58="",F58*(E58-N58),0)&gt;=账户数据!$B$7,"禁止开仓","允许开仓"))</f>
        <v/>
      </c>
      <c r="H58" s="2"/>
      <c r="I58" s="10"/>
      <c r="J58" s="9"/>
      <c r="K58" s="9"/>
      <c r="L58" s="8" t="str">
        <f t="shared" si="1"/>
        <v/>
      </c>
      <c r="M58" s="10"/>
      <c r="N58" s="9"/>
      <c r="O58" s="9"/>
      <c r="P58" s="9"/>
      <c r="Q58" s="2"/>
      <c r="R58" s="2"/>
      <c r="S58" s="2"/>
      <c r="T58" s="2"/>
      <c r="U58" s="7" t="str">
        <f t="shared" si="2"/>
        <v/>
      </c>
      <c r="V58" s="7" t="str">
        <f t="shared" si="3"/>
        <v/>
      </c>
      <c r="W58" s="11" t="str">
        <f t="shared" si="4"/>
        <v/>
      </c>
      <c r="X58" s="5" t="str">
        <f t="shared" si="5"/>
        <v/>
      </c>
      <c r="Y58" s="7" t="str">
        <f t="shared" si="6"/>
        <v/>
      </c>
      <c r="Z58" s="7" t="str">
        <f>IF(OR(AE58="",多次统计数据!$B$8=""),"",AE58-多次统计数据!$B$8)</f>
        <v/>
      </c>
      <c r="AA58" s="12" t="str">
        <f t="shared" si="7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8"/>
        <v/>
      </c>
    </row>
    <row r="59" spans="1:31" x14ac:dyDescent="0.15">
      <c r="A59" s="2"/>
      <c r="B59" s="2"/>
      <c r="C59" s="9"/>
      <c r="D59" s="6"/>
      <c r="E59" s="9"/>
      <c r="F59" s="8" t="str">
        <f t="shared" si="0"/>
        <v/>
      </c>
      <c r="G59" s="8" t="str">
        <f>IF(OR(A59="",F59="",E59="",N59="",E59&lt;=N59,账户数据!$B$7=""),"",IF(账户数据!$B$9+IF(H59="",F59*(E59-N59),0)&gt;=账户数据!$B$7,"禁止开仓","允许开仓"))</f>
        <v/>
      </c>
      <c r="H59" s="2"/>
      <c r="I59" s="10"/>
      <c r="J59" s="9"/>
      <c r="K59" s="9"/>
      <c r="L59" s="8" t="str">
        <f t="shared" si="1"/>
        <v/>
      </c>
      <c r="M59" s="10"/>
      <c r="N59" s="9"/>
      <c r="O59" s="9"/>
      <c r="P59" s="9"/>
      <c r="Q59" s="2"/>
      <c r="R59" s="2"/>
      <c r="S59" s="2"/>
      <c r="T59" s="2"/>
      <c r="U59" s="7" t="str">
        <f t="shared" si="2"/>
        <v/>
      </c>
      <c r="V59" s="7" t="str">
        <f t="shared" si="3"/>
        <v/>
      </c>
      <c r="W59" s="11" t="str">
        <f t="shared" si="4"/>
        <v/>
      </c>
      <c r="X59" s="5" t="str">
        <f t="shared" si="5"/>
        <v/>
      </c>
      <c r="Y59" s="7" t="str">
        <f t="shared" si="6"/>
        <v/>
      </c>
      <c r="Z59" s="7" t="str">
        <f>IF(OR(AE59="",多次统计数据!$B$8=""),"",AE59-多次统计数据!$B$8)</f>
        <v/>
      </c>
      <c r="AA59" s="12" t="str">
        <f t="shared" si="7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8"/>
        <v/>
      </c>
    </row>
    <row r="60" spans="1:31" x14ac:dyDescent="0.15">
      <c r="A60" s="2"/>
      <c r="B60" s="2"/>
      <c r="C60" s="9"/>
      <c r="D60" s="6"/>
      <c r="E60" s="9"/>
      <c r="F60" s="8" t="str">
        <f t="shared" si="0"/>
        <v/>
      </c>
      <c r="G60" s="8" t="str">
        <f>IF(OR(A60="",F60="",E60="",N60="",E60&lt;=N60,账户数据!$B$7=""),"",IF(账户数据!$B$9+IF(H60="",F60*(E60-N60),0)&gt;=账户数据!$B$7,"禁止开仓","允许开仓"))</f>
        <v/>
      </c>
      <c r="H60" s="2"/>
      <c r="I60" s="10"/>
      <c r="J60" s="9"/>
      <c r="K60" s="9"/>
      <c r="L60" s="8" t="str">
        <f t="shared" si="1"/>
        <v/>
      </c>
      <c r="M60" s="10"/>
      <c r="N60" s="9"/>
      <c r="O60" s="9"/>
      <c r="P60" s="9"/>
      <c r="Q60" s="2"/>
      <c r="R60" s="2"/>
      <c r="S60" s="2"/>
      <c r="T60" s="2"/>
      <c r="U60" s="7" t="str">
        <f t="shared" si="2"/>
        <v/>
      </c>
      <c r="V60" s="7" t="str">
        <f t="shared" si="3"/>
        <v/>
      </c>
      <c r="W60" s="11" t="str">
        <f t="shared" si="4"/>
        <v/>
      </c>
      <c r="X60" s="5" t="str">
        <f t="shared" si="5"/>
        <v/>
      </c>
      <c r="Y60" s="7" t="str">
        <f t="shared" si="6"/>
        <v/>
      </c>
      <c r="Z60" s="7" t="str">
        <f>IF(OR(AE60="",多次统计数据!$B$8=""),"",AE60-多次统计数据!$B$8)</f>
        <v/>
      </c>
      <c r="AA60" s="12" t="str">
        <f t="shared" si="7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8"/>
        <v/>
      </c>
    </row>
    <row r="61" spans="1:31" x14ac:dyDescent="0.15">
      <c r="A61" s="2"/>
      <c r="B61" s="2"/>
      <c r="C61" s="9"/>
      <c r="D61" s="6"/>
      <c r="E61" s="9"/>
      <c r="F61" s="8" t="str">
        <f t="shared" si="0"/>
        <v/>
      </c>
      <c r="G61" s="8" t="str">
        <f>IF(OR(A61="",F61="",E61="",N61="",E61&lt;=N61,账户数据!$B$7=""),"",IF(账户数据!$B$9+IF(H61="",F61*(E61-N61),0)&gt;=账户数据!$B$7,"禁止开仓","允许开仓"))</f>
        <v/>
      </c>
      <c r="H61" s="2"/>
      <c r="I61" s="10"/>
      <c r="J61" s="9"/>
      <c r="K61" s="9"/>
      <c r="L61" s="8" t="str">
        <f t="shared" si="1"/>
        <v/>
      </c>
      <c r="M61" s="10"/>
      <c r="N61" s="9"/>
      <c r="O61" s="9"/>
      <c r="P61" s="9"/>
      <c r="Q61" s="2"/>
      <c r="R61" s="2"/>
      <c r="S61" s="2"/>
      <c r="T61" s="2"/>
      <c r="U61" s="7" t="str">
        <f t="shared" si="2"/>
        <v/>
      </c>
      <c r="V61" s="7" t="str">
        <f t="shared" si="3"/>
        <v/>
      </c>
      <c r="W61" s="11" t="str">
        <f t="shared" si="4"/>
        <v/>
      </c>
      <c r="X61" s="5" t="str">
        <f t="shared" si="5"/>
        <v/>
      </c>
      <c r="Y61" s="7" t="str">
        <f t="shared" si="6"/>
        <v/>
      </c>
      <c r="Z61" s="7" t="str">
        <f>IF(OR(AE61="",多次统计数据!$B$8=""),"",AE61-多次统计数据!$B$8)</f>
        <v/>
      </c>
      <c r="AA61" s="12" t="str">
        <f t="shared" si="7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8"/>
        <v/>
      </c>
    </row>
    <row r="62" spans="1:31" x14ac:dyDescent="0.15">
      <c r="A62" s="2"/>
      <c r="B62" s="2"/>
      <c r="C62" s="9"/>
      <c r="D62" s="6"/>
      <c r="E62" s="9"/>
      <c r="F62" s="8" t="str">
        <f t="shared" si="0"/>
        <v/>
      </c>
      <c r="G62" s="8" t="str">
        <f>IF(OR(A62="",F62="",E62="",N62="",E62&lt;=N62,账户数据!$B$7=""),"",IF(账户数据!$B$9+IF(H62="",F62*(E62-N62),0)&gt;=账户数据!$B$7,"禁止开仓","允许开仓"))</f>
        <v/>
      </c>
      <c r="H62" s="2"/>
      <c r="I62" s="10"/>
      <c r="J62" s="9"/>
      <c r="K62" s="9"/>
      <c r="L62" s="8" t="str">
        <f t="shared" si="1"/>
        <v/>
      </c>
      <c r="M62" s="10"/>
      <c r="N62" s="9"/>
      <c r="O62" s="9"/>
      <c r="P62" s="9"/>
      <c r="Q62" s="2"/>
      <c r="R62" s="2"/>
      <c r="S62" s="2"/>
      <c r="T62" s="2"/>
      <c r="U62" s="7" t="str">
        <f t="shared" si="2"/>
        <v/>
      </c>
      <c r="V62" s="7" t="str">
        <f t="shared" si="3"/>
        <v/>
      </c>
      <c r="W62" s="11" t="str">
        <f t="shared" si="4"/>
        <v/>
      </c>
      <c r="X62" s="5" t="str">
        <f t="shared" si="5"/>
        <v/>
      </c>
      <c r="Y62" s="7" t="str">
        <f t="shared" si="6"/>
        <v/>
      </c>
      <c r="Z62" s="7" t="str">
        <f>IF(OR(AE62="",多次统计数据!$B$8=""),"",AE62-多次统计数据!$B$8)</f>
        <v/>
      </c>
      <c r="AA62" s="12" t="str">
        <f t="shared" si="7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8"/>
        <v/>
      </c>
    </row>
    <row r="63" spans="1:31" x14ac:dyDescent="0.15">
      <c r="A63" s="2"/>
      <c r="B63" s="2"/>
      <c r="C63" s="9"/>
      <c r="D63" s="6"/>
      <c r="E63" s="9"/>
      <c r="F63" s="8" t="str">
        <f t="shared" si="0"/>
        <v/>
      </c>
      <c r="G63" s="8" t="str">
        <f>IF(OR(A63="",F63="",E63="",N63="",E63&lt;=N63,账户数据!$B$7=""),"",IF(账户数据!$B$9+IF(H63="",F63*(E63-N63),0)&gt;=账户数据!$B$7,"禁止开仓","允许开仓"))</f>
        <v/>
      </c>
      <c r="H63" s="2"/>
      <c r="I63" s="10"/>
      <c r="J63" s="9"/>
      <c r="K63" s="9"/>
      <c r="L63" s="8" t="str">
        <f t="shared" si="1"/>
        <v/>
      </c>
      <c r="M63" s="10"/>
      <c r="N63" s="9"/>
      <c r="O63" s="9"/>
      <c r="P63" s="9"/>
      <c r="Q63" s="2"/>
      <c r="R63" s="2"/>
      <c r="S63" s="2"/>
      <c r="T63" s="2"/>
      <c r="U63" s="7" t="str">
        <f t="shared" si="2"/>
        <v/>
      </c>
      <c r="V63" s="7" t="str">
        <f t="shared" si="3"/>
        <v/>
      </c>
      <c r="W63" s="11" t="str">
        <f t="shared" si="4"/>
        <v/>
      </c>
      <c r="X63" s="5" t="str">
        <f t="shared" si="5"/>
        <v/>
      </c>
      <c r="Y63" s="7" t="str">
        <f t="shared" si="6"/>
        <v/>
      </c>
      <c r="Z63" s="7" t="str">
        <f>IF(OR(AE63="",多次统计数据!$B$8=""),"",AE63-多次统计数据!$B$8)</f>
        <v/>
      </c>
      <c r="AA63" s="12" t="str">
        <f t="shared" si="7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8"/>
        <v/>
      </c>
    </row>
    <row r="64" spans="1:31" x14ac:dyDescent="0.15">
      <c r="A64" s="2"/>
      <c r="B64" s="2"/>
      <c r="C64" s="9"/>
      <c r="D64" s="6"/>
      <c r="E64" s="9"/>
      <c r="F64" s="8" t="str">
        <f t="shared" si="0"/>
        <v/>
      </c>
      <c r="G64" s="8" t="str">
        <f>IF(OR(A64="",F64="",E64="",N64="",E64&lt;=N64,账户数据!$B$7=""),"",IF(账户数据!$B$9+IF(H64="",F64*(E64-N64),0)&gt;=账户数据!$B$7,"禁止开仓","允许开仓"))</f>
        <v/>
      </c>
      <c r="H64" s="2"/>
      <c r="I64" s="10"/>
      <c r="J64" s="9"/>
      <c r="K64" s="9"/>
      <c r="L64" s="8" t="str">
        <f t="shared" si="1"/>
        <v/>
      </c>
      <c r="M64" s="10"/>
      <c r="N64" s="9"/>
      <c r="O64" s="9"/>
      <c r="P64" s="9"/>
      <c r="Q64" s="2"/>
      <c r="R64" s="2"/>
      <c r="S64" s="2"/>
      <c r="T64" s="2"/>
      <c r="U64" s="7" t="str">
        <f t="shared" si="2"/>
        <v/>
      </c>
      <c r="V64" s="7" t="str">
        <f t="shared" si="3"/>
        <v/>
      </c>
      <c r="W64" s="11" t="str">
        <f t="shared" si="4"/>
        <v/>
      </c>
      <c r="X64" s="5" t="str">
        <f t="shared" si="5"/>
        <v/>
      </c>
      <c r="Y64" s="7" t="str">
        <f t="shared" si="6"/>
        <v/>
      </c>
      <c r="Z64" s="7" t="str">
        <f>IF(OR(AE64="",多次统计数据!$B$8=""),"",AE64-多次统计数据!$B$8)</f>
        <v/>
      </c>
      <c r="AA64" s="12" t="str">
        <f t="shared" si="7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8"/>
        <v/>
      </c>
    </row>
    <row r="65" spans="1:31" x14ac:dyDescent="0.15">
      <c r="A65" s="2"/>
      <c r="B65" s="2"/>
      <c r="C65" s="9"/>
      <c r="D65" s="6"/>
      <c r="E65" s="9"/>
      <c r="F65" s="8" t="str">
        <f t="shared" si="0"/>
        <v/>
      </c>
      <c r="G65" s="8" t="str">
        <f>IF(OR(A65="",F65="",E65="",N65="",E65&lt;=N65,账户数据!$B$7=""),"",IF(账户数据!$B$9+IF(H65="",F65*(E65-N65),0)&gt;=账户数据!$B$7,"禁止开仓","允许开仓"))</f>
        <v/>
      </c>
      <c r="H65" s="2"/>
      <c r="I65" s="10"/>
      <c r="J65" s="9"/>
      <c r="K65" s="9"/>
      <c r="L65" s="8" t="str">
        <f t="shared" si="1"/>
        <v/>
      </c>
      <c r="M65" s="10"/>
      <c r="N65" s="9"/>
      <c r="O65" s="9"/>
      <c r="P65" s="9"/>
      <c r="Q65" s="2"/>
      <c r="R65" s="2"/>
      <c r="S65" s="2"/>
      <c r="T65" s="2"/>
      <c r="U65" s="7" t="str">
        <f t="shared" si="2"/>
        <v/>
      </c>
      <c r="V65" s="7" t="str">
        <f t="shared" si="3"/>
        <v/>
      </c>
      <c r="W65" s="11" t="str">
        <f t="shared" si="4"/>
        <v/>
      </c>
      <c r="X65" s="5" t="str">
        <f t="shared" si="5"/>
        <v/>
      </c>
      <c r="Y65" s="7" t="str">
        <f t="shared" si="6"/>
        <v/>
      </c>
      <c r="Z65" s="7" t="str">
        <f>IF(OR(AE65="",多次统计数据!$B$8=""),"",AE65-多次统计数据!$B$8)</f>
        <v/>
      </c>
      <c r="AA65" s="12" t="str">
        <f t="shared" si="7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8"/>
        <v/>
      </c>
    </row>
    <row r="66" spans="1:31" x14ac:dyDescent="0.15">
      <c r="A66" s="2"/>
      <c r="B66" s="2"/>
      <c r="C66" s="9"/>
      <c r="D66" s="6"/>
      <c r="E66" s="9"/>
      <c r="F66" s="8" t="str">
        <f t="shared" ref="F66:F129" si="9">IF(OR(C66="",D66="",E66="",N66="",C66&lt;=0,D66&lt;=0,E66&lt;=N66),"",ROUNDDOWN((C66*D66)/(E66-N66)/100,0)*100)</f>
        <v/>
      </c>
      <c r="G66" s="8" t="str">
        <f>IF(OR(A66="",F66="",E66="",N66="",E66&lt;=N66,账户数据!$B$7=""),"",IF(账户数据!$B$9+IF(H66="",F66*(E66-N66),0)&gt;=账户数据!$B$7,"禁止开仓","允许开仓"))</f>
        <v/>
      </c>
      <c r="H66" s="2"/>
      <c r="I66" s="10"/>
      <c r="J66" s="9"/>
      <c r="K66" s="9"/>
      <c r="L66" s="8" t="str">
        <f t="shared" ref="L66:L129" si="10">IF(K66="","",H66)</f>
        <v/>
      </c>
      <c r="M66" s="10"/>
      <c r="N66" s="9"/>
      <c r="O66" s="9"/>
      <c r="P66" s="9"/>
      <c r="Q66" s="2"/>
      <c r="R66" s="2"/>
      <c r="S66" s="2"/>
      <c r="T66" s="2"/>
      <c r="U66" s="7" t="str">
        <f t="shared" ref="U66:U129" si="11">IF(OR(E66="",J66="",E66&lt;=0),"",(J66-E66)/E66)</f>
        <v/>
      </c>
      <c r="V66" s="7" t="str">
        <f t="shared" ref="V66:V129" si="12">IF(OR(E66="",N66="",E66&lt;=0),"",(E66-N66)/E66)</f>
        <v/>
      </c>
      <c r="W66" s="11" t="str">
        <f t="shared" ref="W66:W129" si="13">IF(OR(U66="",V66="",V66&lt;=0),"",U66/V66)</f>
        <v/>
      </c>
      <c r="X66" s="5" t="str">
        <f t="shared" ref="X66:X129" si="14">IF(OR(K66="",L66="",E66="",H66=""),"",K66*L66-E66*H66-IF(O66="",0,O66)-IF(P66="",0,P66))</f>
        <v/>
      </c>
      <c r="Y66" s="7" t="str">
        <f t="shared" ref="Y66:Y129" si="15">IF(OR(X66="",E66="",H66=""),"",IF(E66*H66+IF(O66="",0,O66)&lt;=0,"",X66/(E66*H66+IF(O66="",0,O66))))</f>
        <v/>
      </c>
      <c r="Z66" s="7" t="str">
        <f>IF(OR(AE66="",多次统计数据!$B$8=""),"",AE66-多次统计数据!$B$8)</f>
        <v/>
      </c>
      <c r="AA66" s="12" t="str">
        <f t="shared" ref="AA66:AA129" si="16">IF(OR(I66="",M66="",M66&lt;I66),"",M66-I66)</f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ref="AE66:AE129" si="17">IF(OR(X66="",C66="",C66&lt;=0),"",X66/C66)</f>
        <v/>
      </c>
    </row>
    <row r="67" spans="1:31" x14ac:dyDescent="0.15">
      <c r="A67" s="2"/>
      <c r="B67" s="2"/>
      <c r="C67" s="9"/>
      <c r="D67" s="6"/>
      <c r="E67" s="9"/>
      <c r="F67" s="8" t="str">
        <f t="shared" si="9"/>
        <v/>
      </c>
      <c r="G67" s="8" t="str">
        <f>IF(OR(A67="",F67="",E67="",N67="",E67&lt;=N67,账户数据!$B$7=""),"",IF(账户数据!$B$9+IF(H67="",F67*(E67-N67),0)&gt;=账户数据!$B$7,"禁止开仓","允许开仓"))</f>
        <v/>
      </c>
      <c r="H67" s="2"/>
      <c r="I67" s="10"/>
      <c r="J67" s="9"/>
      <c r="K67" s="9"/>
      <c r="L67" s="8" t="str">
        <f t="shared" si="10"/>
        <v/>
      </c>
      <c r="M67" s="10"/>
      <c r="N67" s="9"/>
      <c r="O67" s="9"/>
      <c r="P67" s="9"/>
      <c r="Q67" s="2"/>
      <c r="R67" s="2"/>
      <c r="S67" s="2"/>
      <c r="T67" s="2"/>
      <c r="U67" s="7" t="str">
        <f t="shared" si="11"/>
        <v/>
      </c>
      <c r="V67" s="7" t="str">
        <f t="shared" si="12"/>
        <v/>
      </c>
      <c r="W67" s="11" t="str">
        <f t="shared" si="13"/>
        <v/>
      </c>
      <c r="X67" s="5" t="str">
        <f t="shared" si="14"/>
        <v/>
      </c>
      <c r="Y67" s="7" t="str">
        <f t="shared" si="15"/>
        <v/>
      </c>
      <c r="Z67" s="7" t="str">
        <f>IF(OR(AE67="",多次统计数据!$B$8=""),"",AE67-多次统计数据!$B$8)</f>
        <v/>
      </c>
      <c r="AA67" s="12" t="str">
        <f t="shared" si="16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17"/>
        <v/>
      </c>
    </row>
    <row r="68" spans="1:31" x14ac:dyDescent="0.15">
      <c r="A68" s="2"/>
      <c r="B68" s="2"/>
      <c r="C68" s="9"/>
      <c r="D68" s="6"/>
      <c r="E68" s="9"/>
      <c r="F68" s="8" t="str">
        <f t="shared" si="9"/>
        <v/>
      </c>
      <c r="G68" s="8" t="str">
        <f>IF(OR(A68="",F68="",E68="",N68="",E68&lt;=N68,账户数据!$B$7=""),"",IF(账户数据!$B$9+IF(H68="",F68*(E68-N68),0)&gt;=账户数据!$B$7,"禁止开仓","允许开仓"))</f>
        <v/>
      </c>
      <c r="H68" s="2"/>
      <c r="I68" s="10"/>
      <c r="J68" s="9"/>
      <c r="K68" s="9"/>
      <c r="L68" s="8" t="str">
        <f t="shared" si="10"/>
        <v/>
      </c>
      <c r="M68" s="10"/>
      <c r="N68" s="9"/>
      <c r="O68" s="9"/>
      <c r="P68" s="9"/>
      <c r="Q68" s="2"/>
      <c r="R68" s="2"/>
      <c r="S68" s="2"/>
      <c r="T68" s="2"/>
      <c r="U68" s="7" t="str">
        <f t="shared" si="11"/>
        <v/>
      </c>
      <c r="V68" s="7" t="str">
        <f t="shared" si="12"/>
        <v/>
      </c>
      <c r="W68" s="11" t="str">
        <f t="shared" si="13"/>
        <v/>
      </c>
      <c r="X68" s="5" t="str">
        <f t="shared" si="14"/>
        <v/>
      </c>
      <c r="Y68" s="7" t="str">
        <f t="shared" si="15"/>
        <v/>
      </c>
      <c r="Z68" s="7" t="str">
        <f>IF(OR(AE68="",多次统计数据!$B$8=""),"",AE68-多次统计数据!$B$8)</f>
        <v/>
      </c>
      <c r="AA68" s="12" t="str">
        <f t="shared" si="16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17"/>
        <v/>
      </c>
    </row>
    <row r="69" spans="1:31" x14ac:dyDescent="0.15">
      <c r="A69" s="2"/>
      <c r="B69" s="2"/>
      <c r="C69" s="9"/>
      <c r="D69" s="6"/>
      <c r="E69" s="9"/>
      <c r="F69" s="8" t="str">
        <f t="shared" si="9"/>
        <v/>
      </c>
      <c r="G69" s="8" t="str">
        <f>IF(OR(A69="",F69="",E69="",N69="",E69&lt;=N69,账户数据!$B$7=""),"",IF(账户数据!$B$9+IF(H69="",F69*(E69-N69),0)&gt;=账户数据!$B$7,"禁止开仓","允许开仓"))</f>
        <v/>
      </c>
      <c r="H69" s="2"/>
      <c r="I69" s="10"/>
      <c r="J69" s="9"/>
      <c r="K69" s="9"/>
      <c r="L69" s="8" t="str">
        <f t="shared" si="10"/>
        <v/>
      </c>
      <c r="M69" s="10"/>
      <c r="N69" s="9"/>
      <c r="O69" s="9"/>
      <c r="P69" s="9"/>
      <c r="Q69" s="2"/>
      <c r="R69" s="2"/>
      <c r="S69" s="2"/>
      <c r="T69" s="2"/>
      <c r="U69" s="7" t="str">
        <f t="shared" si="11"/>
        <v/>
      </c>
      <c r="V69" s="7" t="str">
        <f t="shared" si="12"/>
        <v/>
      </c>
      <c r="W69" s="11" t="str">
        <f t="shared" si="13"/>
        <v/>
      </c>
      <c r="X69" s="5" t="str">
        <f t="shared" si="14"/>
        <v/>
      </c>
      <c r="Y69" s="7" t="str">
        <f t="shared" si="15"/>
        <v/>
      </c>
      <c r="Z69" s="7" t="str">
        <f>IF(OR(AE69="",多次统计数据!$B$8=""),"",AE69-多次统计数据!$B$8)</f>
        <v/>
      </c>
      <c r="AA69" s="12" t="str">
        <f t="shared" si="16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17"/>
        <v/>
      </c>
    </row>
    <row r="70" spans="1:31" x14ac:dyDescent="0.15">
      <c r="A70" s="2"/>
      <c r="B70" s="2"/>
      <c r="C70" s="9"/>
      <c r="D70" s="6"/>
      <c r="E70" s="9"/>
      <c r="F70" s="8" t="str">
        <f t="shared" si="9"/>
        <v/>
      </c>
      <c r="G70" s="8" t="str">
        <f>IF(OR(A70="",F70="",E70="",N70="",E70&lt;=N70,账户数据!$B$7=""),"",IF(账户数据!$B$9+IF(H70="",F70*(E70-N70),0)&gt;=账户数据!$B$7,"禁止开仓","允许开仓"))</f>
        <v/>
      </c>
      <c r="H70" s="2"/>
      <c r="I70" s="10"/>
      <c r="J70" s="9"/>
      <c r="K70" s="9"/>
      <c r="L70" s="8" t="str">
        <f t="shared" si="10"/>
        <v/>
      </c>
      <c r="M70" s="10"/>
      <c r="N70" s="9"/>
      <c r="O70" s="9"/>
      <c r="P70" s="9"/>
      <c r="Q70" s="2"/>
      <c r="R70" s="2"/>
      <c r="S70" s="2"/>
      <c r="T70" s="2"/>
      <c r="U70" s="7" t="str">
        <f t="shared" si="11"/>
        <v/>
      </c>
      <c r="V70" s="7" t="str">
        <f t="shared" si="12"/>
        <v/>
      </c>
      <c r="W70" s="11" t="str">
        <f t="shared" si="13"/>
        <v/>
      </c>
      <c r="X70" s="5" t="str">
        <f t="shared" si="14"/>
        <v/>
      </c>
      <c r="Y70" s="7" t="str">
        <f t="shared" si="15"/>
        <v/>
      </c>
      <c r="Z70" s="7" t="str">
        <f>IF(OR(AE70="",多次统计数据!$B$8=""),"",AE70-多次统计数据!$B$8)</f>
        <v/>
      </c>
      <c r="AA70" s="12" t="str">
        <f t="shared" si="16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17"/>
        <v/>
      </c>
    </row>
    <row r="71" spans="1:31" x14ac:dyDescent="0.15">
      <c r="A71" s="2"/>
      <c r="B71" s="2"/>
      <c r="C71" s="9"/>
      <c r="D71" s="6"/>
      <c r="E71" s="9"/>
      <c r="F71" s="8" t="str">
        <f t="shared" si="9"/>
        <v/>
      </c>
      <c r="G71" s="8" t="str">
        <f>IF(OR(A71="",F71="",E71="",N71="",E71&lt;=N71,账户数据!$B$7=""),"",IF(账户数据!$B$9+IF(H71="",F71*(E71-N71),0)&gt;=账户数据!$B$7,"禁止开仓","允许开仓"))</f>
        <v/>
      </c>
      <c r="H71" s="2"/>
      <c r="I71" s="10"/>
      <c r="J71" s="9"/>
      <c r="K71" s="9"/>
      <c r="L71" s="8" t="str">
        <f t="shared" si="10"/>
        <v/>
      </c>
      <c r="M71" s="10"/>
      <c r="N71" s="9"/>
      <c r="O71" s="9"/>
      <c r="P71" s="9"/>
      <c r="Q71" s="2"/>
      <c r="R71" s="2"/>
      <c r="S71" s="2"/>
      <c r="T71" s="2"/>
      <c r="U71" s="7" t="str">
        <f t="shared" si="11"/>
        <v/>
      </c>
      <c r="V71" s="7" t="str">
        <f t="shared" si="12"/>
        <v/>
      </c>
      <c r="W71" s="11" t="str">
        <f t="shared" si="13"/>
        <v/>
      </c>
      <c r="X71" s="5" t="str">
        <f t="shared" si="14"/>
        <v/>
      </c>
      <c r="Y71" s="7" t="str">
        <f t="shared" si="15"/>
        <v/>
      </c>
      <c r="Z71" s="7" t="str">
        <f>IF(OR(AE71="",多次统计数据!$B$8=""),"",AE71-多次统计数据!$B$8)</f>
        <v/>
      </c>
      <c r="AA71" s="12" t="str">
        <f t="shared" si="16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17"/>
        <v/>
      </c>
    </row>
    <row r="72" spans="1:31" x14ac:dyDescent="0.15">
      <c r="A72" s="2"/>
      <c r="B72" s="2"/>
      <c r="C72" s="9"/>
      <c r="D72" s="6"/>
      <c r="E72" s="9"/>
      <c r="F72" s="8" t="str">
        <f t="shared" si="9"/>
        <v/>
      </c>
      <c r="G72" s="8" t="str">
        <f>IF(OR(A72="",F72="",E72="",N72="",E72&lt;=N72,账户数据!$B$7=""),"",IF(账户数据!$B$9+IF(H72="",F72*(E72-N72),0)&gt;=账户数据!$B$7,"禁止开仓","允许开仓"))</f>
        <v/>
      </c>
      <c r="H72" s="2"/>
      <c r="I72" s="10"/>
      <c r="J72" s="9"/>
      <c r="K72" s="9"/>
      <c r="L72" s="8" t="str">
        <f t="shared" si="10"/>
        <v/>
      </c>
      <c r="M72" s="10"/>
      <c r="N72" s="9"/>
      <c r="O72" s="9"/>
      <c r="P72" s="9"/>
      <c r="Q72" s="2"/>
      <c r="R72" s="2"/>
      <c r="S72" s="2"/>
      <c r="T72" s="2"/>
      <c r="U72" s="7" t="str">
        <f t="shared" si="11"/>
        <v/>
      </c>
      <c r="V72" s="7" t="str">
        <f t="shared" si="12"/>
        <v/>
      </c>
      <c r="W72" s="11" t="str">
        <f t="shared" si="13"/>
        <v/>
      </c>
      <c r="X72" s="5" t="str">
        <f t="shared" si="14"/>
        <v/>
      </c>
      <c r="Y72" s="7" t="str">
        <f t="shared" si="15"/>
        <v/>
      </c>
      <c r="Z72" s="7" t="str">
        <f>IF(OR(AE72="",多次统计数据!$B$8=""),"",AE72-多次统计数据!$B$8)</f>
        <v/>
      </c>
      <c r="AA72" s="12" t="str">
        <f t="shared" si="16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17"/>
        <v/>
      </c>
    </row>
    <row r="73" spans="1:31" x14ac:dyDescent="0.15">
      <c r="A73" s="2"/>
      <c r="B73" s="2"/>
      <c r="C73" s="9"/>
      <c r="D73" s="6"/>
      <c r="E73" s="9"/>
      <c r="F73" s="8" t="str">
        <f t="shared" si="9"/>
        <v/>
      </c>
      <c r="G73" s="8" t="str">
        <f>IF(OR(A73="",F73="",E73="",N73="",E73&lt;=N73,账户数据!$B$7=""),"",IF(账户数据!$B$9+IF(H73="",F73*(E73-N73),0)&gt;=账户数据!$B$7,"禁止开仓","允许开仓"))</f>
        <v/>
      </c>
      <c r="H73" s="2"/>
      <c r="I73" s="10"/>
      <c r="J73" s="9"/>
      <c r="K73" s="9"/>
      <c r="L73" s="8" t="str">
        <f t="shared" si="10"/>
        <v/>
      </c>
      <c r="M73" s="10"/>
      <c r="N73" s="9"/>
      <c r="O73" s="9"/>
      <c r="P73" s="9"/>
      <c r="Q73" s="2"/>
      <c r="R73" s="2"/>
      <c r="S73" s="2"/>
      <c r="T73" s="2"/>
      <c r="U73" s="7" t="str">
        <f t="shared" si="11"/>
        <v/>
      </c>
      <c r="V73" s="7" t="str">
        <f t="shared" si="12"/>
        <v/>
      </c>
      <c r="W73" s="11" t="str">
        <f t="shared" si="13"/>
        <v/>
      </c>
      <c r="X73" s="5" t="str">
        <f t="shared" si="14"/>
        <v/>
      </c>
      <c r="Y73" s="7" t="str">
        <f t="shared" si="15"/>
        <v/>
      </c>
      <c r="Z73" s="7" t="str">
        <f>IF(OR(AE73="",多次统计数据!$B$8=""),"",AE73-多次统计数据!$B$8)</f>
        <v/>
      </c>
      <c r="AA73" s="12" t="str">
        <f t="shared" si="16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17"/>
        <v/>
      </c>
    </row>
    <row r="74" spans="1:31" x14ac:dyDescent="0.15">
      <c r="A74" s="2"/>
      <c r="B74" s="2"/>
      <c r="C74" s="9"/>
      <c r="D74" s="6"/>
      <c r="E74" s="9"/>
      <c r="F74" s="8" t="str">
        <f t="shared" si="9"/>
        <v/>
      </c>
      <c r="G74" s="8" t="str">
        <f>IF(OR(A74="",F74="",E74="",N74="",E74&lt;=N74,账户数据!$B$7=""),"",IF(账户数据!$B$9+IF(H74="",F74*(E74-N74),0)&gt;=账户数据!$B$7,"禁止开仓","允许开仓"))</f>
        <v/>
      </c>
      <c r="H74" s="2"/>
      <c r="I74" s="10"/>
      <c r="J74" s="9"/>
      <c r="K74" s="9"/>
      <c r="L74" s="8" t="str">
        <f t="shared" si="10"/>
        <v/>
      </c>
      <c r="M74" s="10"/>
      <c r="N74" s="9"/>
      <c r="O74" s="9"/>
      <c r="P74" s="9"/>
      <c r="Q74" s="2"/>
      <c r="R74" s="2"/>
      <c r="S74" s="2"/>
      <c r="T74" s="2"/>
      <c r="U74" s="7" t="str">
        <f t="shared" si="11"/>
        <v/>
      </c>
      <c r="V74" s="7" t="str">
        <f t="shared" si="12"/>
        <v/>
      </c>
      <c r="W74" s="11" t="str">
        <f t="shared" si="13"/>
        <v/>
      </c>
      <c r="X74" s="5" t="str">
        <f t="shared" si="14"/>
        <v/>
      </c>
      <c r="Y74" s="7" t="str">
        <f t="shared" si="15"/>
        <v/>
      </c>
      <c r="Z74" s="7" t="str">
        <f>IF(OR(AE74="",多次统计数据!$B$8=""),"",AE74-多次统计数据!$B$8)</f>
        <v/>
      </c>
      <c r="AA74" s="12" t="str">
        <f t="shared" si="16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17"/>
        <v/>
      </c>
    </row>
    <row r="75" spans="1:31" x14ac:dyDescent="0.15">
      <c r="A75" s="2"/>
      <c r="B75" s="2"/>
      <c r="C75" s="9"/>
      <c r="D75" s="6"/>
      <c r="E75" s="9"/>
      <c r="F75" s="8" t="str">
        <f t="shared" si="9"/>
        <v/>
      </c>
      <c r="G75" s="8" t="str">
        <f>IF(OR(A75="",F75="",E75="",N75="",E75&lt;=N75,账户数据!$B$7=""),"",IF(账户数据!$B$9+IF(H75="",F75*(E75-N75),0)&gt;=账户数据!$B$7,"禁止开仓","允许开仓"))</f>
        <v/>
      </c>
      <c r="H75" s="2"/>
      <c r="I75" s="10"/>
      <c r="J75" s="9"/>
      <c r="K75" s="9"/>
      <c r="L75" s="8" t="str">
        <f t="shared" si="10"/>
        <v/>
      </c>
      <c r="M75" s="10"/>
      <c r="N75" s="9"/>
      <c r="O75" s="9"/>
      <c r="P75" s="9"/>
      <c r="Q75" s="2"/>
      <c r="R75" s="2"/>
      <c r="S75" s="2"/>
      <c r="T75" s="2"/>
      <c r="U75" s="7" t="str">
        <f t="shared" si="11"/>
        <v/>
      </c>
      <c r="V75" s="7" t="str">
        <f t="shared" si="12"/>
        <v/>
      </c>
      <c r="W75" s="11" t="str">
        <f t="shared" si="13"/>
        <v/>
      </c>
      <c r="X75" s="5" t="str">
        <f t="shared" si="14"/>
        <v/>
      </c>
      <c r="Y75" s="7" t="str">
        <f t="shared" si="15"/>
        <v/>
      </c>
      <c r="Z75" s="7" t="str">
        <f>IF(OR(AE75="",多次统计数据!$B$8=""),"",AE75-多次统计数据!$B$8)</f>
        <v/>
      </c>
      <c r="AA75" s="12" t="str">
        <f t="shared" si="16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17"/>
        <v/>
      </c>
    </row>
    <row r="76" spans="1:31" x14ac:dyDescent="0.15">
      <c r="A76" s="2"/>
      <c r="B76" s="2"/>
      <c r="C76" s="9"/>
      <c r="D76" s="6"/>
      <c r="E76" s="9"/>
      <c r="F76" s="8" t="str">
        <f t="shared" si="9"/>
        <v/>
      </c>
      <c r="G76" s="8" t="str">
        <f>IF(OR(A76="",F76="",E76="",N76="",E76&lt;=N76,账户数据!$B$7=""),"",IF(账户数据!$B$9+IF(H76="",F76*(E76-N76),0)&gt;=账户数据!$B$7,"禁止开仓","允许开仓"))</f>
        <v/>
      </c>
      <c r="H76" s="2"/>
      <c r="I76" s="10"/>
      <c r="J76" s="9"/>
      <c r="K76" s="9"/>
      <c r="L76" s="8" t="str">
        <f t="shared" si="10"/>
        <v/>
      </c>
      <c r="M76" s="10"/>
      <c r="N76" s="9"/>
      <c r="O76" s="9"/>
      <c r="P76" s="9"/>
      <c r="Q76" s="2"/>
      <c r="R76" s="2"/>
      <c r="S76" s="2"/>
      <c r="T76" s="2"/>
      <c r="U76" s="7" t="str">
        <f t="shared" si="11"/>
        <v/>
      </c>
      <c r="V76" s="7" t="str">
        <f t="shared" si="12"/>
        <v/>
      </c>
      <c r="W76" s="11" t="str">
        <f t="shared" si="13"/>
        <v/>
      </c>
      <c r="X76" s="5" t="str">
        <f t="shared" si="14"/>
        <v/>
      </c>
      <c r="Y76" s="7" t="str">
        <f t="shared" si="15"/>
        <v/>
      </c>
      <c r="Z76" s="7" t="str">
        <f>IF(OR(AE76="",多次统计数据!$B$8=""),"",AE76-多次统计数据!$B$8)</f>
        <v/>
      </c>
      <c r="AA76" s="12" t="str">
        <f t="shared" si="16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17"/>
        <v/>
      </c>
    </row>
    <row r="77" spans="1:31" x14ac:dyDescent="0.15">
      <c r="A77" s="2"/>
      <c r="B77" s="2"/>
      <c r="C77" s="9"/>
      <c r="D77" s="6"/>
      <c r="E77" s="9"/>
      <c r="F77" s="8" t="str">
        <f t="shared" si="9"/>
        <v/>
      </c>
      <c r="G77" s="8" t="str">
        <f>IF(OR(A77="",F77="",E77="",N77="",E77&lt;=N77,账户数据!$B$7=""),"",IF(账户数据!$B$9+IF(H77="",F77*(E77-N77),0)&gt;=账户数据!$B$7,"禁止开仓","允许开仓"))</f>
        <v/>
      </c>
      <c r="H77" s="2"/>
      <c r="I77" s="10"/>
      <c r="J77" s="9"/>
      <c r="K77" s="9"/>
      <c r="L77" s="8" t="str">
        <f t="shared" si="10"/>
        <v/>
      </c>
      <c r="M77" s="10"/>
      <c r="N77" s="9"/>
      <c r="O77" s="9"/>
      <c r="P77" s="9"/>
      <c r="Q77" s="2"/>
      <c r="R77" s="2"/>
      <c r="S77" s="2"/>
      <c r="T77" s="2"/>
      <c r="U77" s="7" t="str">
        <f t="shared" si="11"/>
        <v/>
      </c>
      <c r="V77" s="7" t="str">
        <f t="shared" si="12"/>
        <v/>
      </c>
      <c r="W77" s="11" t="str">
        <f t="shared" si="13"/>
        <v/>
      </c>
      <c r="X77" s="5" t="str">
        <f t="shared" si="14"/>
        <v/>
      </c>
      <c r="Y77" s="7" t="str">
        <f t="shared" si="15"/>
        <v/>
      </c>
      <c r="Z77" s="7" t="str">
        <f>IF(OR(AE77="",多次统计数据!$B$8=""),"",AE77-多次统计数据!$B$8)</f>
        <v/>
      </c>
      <c r="AA77" s="12" t="str">
        <f t="shared" si="16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17"/>
        <v/>
      </c>
    </row>
    <row r="78" spans="1:31" x14ac:dyDescent="0.15">
      <c r="A78" s="2"/>
      <c r="B78" s="2"/>
      <c r="C78" s="9"/>
      <c r="D78" s="6"/>
      <c r="E78" s="9"/>
      <c r="F78" s="8" t="str">
        <f t="shared" si="9"/>
        <v/>
      </c>
      <c r="G78" s="8" t="str">
        <f>IF(OR(A78="",F78="",E78="",N78="",E78&lt;=N78,账户数据!$B$7=""),"",IF(账户数据!$B$9+IF(H78="",F78*(E78-N78),0)&gt;=账户数据!$B$7,"禁止开仓","允许开仓"))</f>
        <v/>
      </c>
      <c r="H78" s="2"/>
      <c r="I78" s="10"/>
      <c r="J78" s="9"/>
      <c r="K78" s="9"/>
      <c r="L78" s="8" t="str">
        <f t="shared" si="10"/>
        <v/>
      </c>
      <c r="M78" s="10"/>
      <c r="N78" s="9"/>
      <c r="O78" s="9"/>
      <c r="P78" s="9"/>
      <c r="Q78" s="2"/>
      <c r="R78" s="2"/>
      <c r="S78" s="2"/>
      <c r="T78" s="2"/>
      <c r="U78" s="7" t="str">
        <f t="shared" si="11"/>
        <v/>
      </c>
      <c r="V78" s="7" t="str">
        <f t="shared" si="12"/>
        <v/>
      </c>
      <c r="W78" s="11" t="str">
        <f t="shared" si="13"/>
        <v/>
      </c>
      <c r="X78" s="5" t="str">
        <f t="shared" si="14"/>
        <v/>
      </c>
      <c r="Y78" s="7" t="str">
        <f t="shared" si="15"/>
        <v/>
      </c>
      <c r="Z78" s="7" t="str">
        <f>IF(OR(AE78="",多次统计数据!$B$8=""),"",AE78-多次统计数据!$B$8)</f>
        <v/>
      </c>
      <c r="AA78" s="12" t="str">
        <f t="shared" si="16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17"/>
        <v/>
      </c>
    </row>
    <row r="79" spans="1:31" x14ac:dyDescent="0.15">
      <c r="A79" s="2"/>
      <c r="B79" s="2"/>
      <c r="C79" s="9"/>
      <c r="D79" s="6"/>
      <c r="E79" s="9"/>
      <c r="F79" s="8" t="str">
        <f t="shared" si="9"/>
        <v/>
      </c>
      <c r="G79" s="8" t="str">
        <f>IF(OR(A79="",F79="",E79="",N79="",E79&lt;=N79,账户数据!$B$7=""),"",IF(账户数据!$B$9+IF(H79="",F79*(E79-N79),0)&gt;=账户数据!$B$7,"禁止开仓","允许开仓"))</f>
        <v/>
      </c>
      <c r="H79" s="2"/>
      <c r="I79" s="10"/>
      <c r="J79" s="9"/>
      <c r="K79" s="9"/>
      <c r="L79" s="8" t="str">
        <f t="shared" si="10"/>
        <v/>
      </c>
      <c r="M79" s="10"/>
      <c r="N79" s="9"/>
      <c r="O79" s="9"/>
      <c r="P79" s="9"/>
      <c r="Q79" s="2"/>
      <c r="R79" s="2"/>
      <c r="S79" s="2"/>
      <c r="T79" s="2"/>
      <c r="U79" s="7" t="str">
        <f t="shared" si="11"/>
        <v/>
      </c>
      <c r="V79" s="7" t="str">
        <f t="shared" si="12"/>
        <v/>
      </c>
      <c r="W79" s="11" t="str">
        <f t="shared" si="13"/>
        <v/>
      </c>
      <c r="X79" s="5" t="str">
        <f t="shared" si="14"/>
        <v/>
      </c>
      <c r="Y79" s="7" t="str">
        <f t="shared" si="15"/>
        <v/>
      </c>
      <c r="Z79" s="7" t="str">
        <f>IF(OR(AE79="",多次统计数据!$B$8=""),"",AE79-多次统计数据!$B$8)</f>
        <v/>
      </c>
      <c r="AA79" s="12" t="str">
        <f t="shared" si="16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17"/>
        <v/>
      </c>
    </row>
    <row r="80" spans="1:31" x14ac:dyDescent="0.15">
      <c r="A80" s="2"/>
      <c r="B80" s="2"/>
      <c r="C80" s="9"/>
      <c r="D80" s="6"/>
      <c r="E80" s="9"/>
      <c r="F80" s="8" t="str">
        <f t="shared" si="9"/>
        <v/>
      </c>
      <c r="G80" s="8" t="str">
        <f>IF(OR(A80="",F80="",E80="",N80="",E80&lt;=N80,账户数据!$B$7=""),"",IF(账户数据!$B$9+IF(H80="",F80*(E80-N80),0)&gt;=账户数据!$B$7,"禁止开仓","允许开仓"))</f>
        <v/>
      </c>
      <c r="H80" s="2"/>
      <c r="I80" s="10"/>
      <c r="J80" s="9"/>
      <c r="K80" s="9"/>
      <c r="L80" s="8" t="str">
        <f t="shared" si="10"/>
        <v/>
      </c>
      <c r="M80" s="10"/>
      <c r="N80" s="9"/>
      <c r="O80" s="9"/>
      <c r="P80" s="9"/>
      <c r="Q80" s="2"/>
      <c r="R80" s="2"/>
      <c r="S80" s="2"/>
      <c r="T80" s="2"/>
      <c r="U80" s="7" t="str">
        <f t="shared" si="11"/>
        <v/>
      </c>
      <c r="V80" s="7" t="str">
        <f t="shared" si="12"/>
        <v/>
      </c>
      <c r="W80" s="11" t="str">
        <f t="shared" si="13"/>
        <v/>
      </c>
      <c r="X80" s="5" t="str">
        <f t="shared" si="14"/>
        <v/>
      </c>
      <c r="Y80" s="7" t="str">
        <f t="shared" si="15"/>
        <v/>
      </c>
      <c r="Z80" s="7" t="str">
        <f>IF(OR(AE80="",多次统计数据!$B$8=""),"",AE80-多次统计数据!$B$8)</f>
        <v/>
      </c>
      <c r="AA80" s="12" t="str">
        <f t="shared" si="16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17"/>
        <v/>
      </c>
    </row>
    <row r="81" spans="1:31" x14ac:dyDescent="0.15">
      <c r="A81" s="2"/>
      <c r="B81" s="2"/>
      <c r="C81" s="9"/>
      <c r="D81" s="6"/>
      <c r="E81" s="9"/>
      <c r="F81" s="8" t="str">
        <f t="shared" si="9"/>
        <v/>
      </c>
      <c r="G81" s="8" t="str">
        <f>IF(OR(A81="",F81="",E81="",N81="",E81&lt;=N81,账户数据!$B$7=""),"",IF(账户数据!$B$9+IF(H81="",F81*(E81-N81),0)&gt;=账户数据!$B$7,"禁止开仓","允许开仓"))</f>
        <v/>
      </c>
      <c r="H81" s="2"/>
      <c r="I81" s="10"/>
      <c r="J81" s="9"/>
      <c r="K81" s="9"/>
      <c r="L81" s="8" t="str">
        <f t="shared" si="10"/>
        <v/>
      </c>
      <c r="M81" s="10"/>
      <c r="N81" s="9"/>
      <c r="O81" s="9"/>
      <c r="P81" s="9"/>
      <c r="Q81" s="2"/>
      <c r="R81" s="2"/>
      <c r="S81" s="2"/>
      <c r="T81" s="2"/>
      <c r="U81" s="7" t="str">
        <f t="shared" si="11"/>
        <v/>
      </c>
      <c r="V81" s="7" t="str">
        <f t="shared" si="12"/>
        <v/>
      </c>
      <c r="W81" s="11" t="str">
        <f t="shared" si="13"/>
        <v/>
      </c>
      <c r="X81" s="5" t="str">
        <f t="shared" si="14"/>
        <v/>
      </c>
      <c r="Y81" s="7" t="str">
        <f t="shared" si="15"/>
        <v/>
      </c>
      <c r="Z81" s="7" t="str">
        <f>IF(OR(AE81="",多次统计数据!$B$8=""),"",AE81-多次统计数据!$B$8)</f>
        <v/>
      </c>
      <c r="AA81" s="12" t="str">
        <f t="shared" si="16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17"/>
        <v/>
      </c>
    </row>
    <row r="82" spans="1:31" x14ac:dyDescent="0.15">
      <c r="A82" s="2"/>
      <c r="B82" s="2"/>
      <c r="C82" s="9"/>
      <c r="D82" s="6"/>
      <c r="E82" s="9"/>
      <c r="F82" s="8" t="str">
        <f t="shared" si="9"/>
        <v/>
      </c>
      <c r="G82" s="8" t="str">
        <f>IF(OR(A82="",F82="",E82="",N82="",E82&lt;=N82,账户数据!$B$7=""),"",IF(账户数据!$B$9+IF(H82="",F82*(E82-N82),0)&gt;=账户数据!$B$7,"禁止开仓","允许开仓"))</f>
        <v/>
      </c>
      <c r="H82" s="2"/>
      <c r="I82" s="10"/>
      <c r="J82" s="9"/>
      <c r="K82" s="9"/>
      <c r="L82" s="8" t="str">
        <f t="shared" si="10"/>
        <v/>
      </c>
      <c r="M82" s="10"/>
      <c r="N82" s="9"/>
      <c r="O82" s="9"/>
      <c r="P82" s="9"/>
      <c r="Q82" s="2"/>
      <c r="R82" s="2"/>
      <c r="S82" s="2"/>
      <c r="T82" s="2"/>
      <c r="U82" s="7" t="str">
        <f t="shared" si="11"/>
        <v/>
      </c>
      <c r="V82" s="7" t="str">
        <f t="shared" si="12"/>
        <v/>
      </c>
      <c r="W82" s="11" t="str">
        <f t="shared" si="13"/>
        <v/>
      </c>
      <c r="X82" s="5" t="str">
        <f t="shared" si="14"/>
        <v/>
      </c>
      <c r="Y82" s="7" t="str">
        <f t="shared" si="15"/>
        <v/>
      </c>
      <c r="Z82" s="7" t="str">
        <f>IF(OR(AE82="",多次统计数据!$B$8=""),"",AE82-多次统计数据!$B$8)</f>
        <v/>
      </c>
      <c r="AA82" s="12" t="str">
        <f t="shared" si="16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17"/>
        <v/>
      </c>
    </row>
    <row r="83" spans="1:31" x14ac:dyDescent="0.15">
      <c r="A83" s="2"/>
      <c r="B83" s="2"/>
      <c r="C83" s="9"/>
      <c r="D83" s="6"/>
      <c r="E83" s="9"/>
      <c r="F83" s="8" t="str">
        <f t="shared" si="9"/>
        <v/>
      </c>
      <c r="G83" s="8" t="str">
        <f>IF(OR(A83="",F83="",E83="",N83="",E83&lt;=N83,账户数据!$B$7=""),"",IF(账户数据!$B$9+IF(H83="",F83*(E83-N83),0)&gt;=账户数据!$B$7,"禁止开仓","允许开仓"))</f>
        <v/>
      </c>
      <c r="H83" s="2"/>
      <c r="I83" s="10"/>
      <c r="J83" s="9"/>
      <c r="K83" s="9"/>
      <c r="L83" s="8" t="str">
        <f t="shared" si="10"/>
        <v/>
      </c>
      <c r="M83" s="10"/>
      <c r="N83" s="9"/>
      <c r="O83" s="9"/>
      <c r="P83" s="9"/>
      <c r="Q83" s="2"/>
      <c r="R83" s="2"/>
      <c r="S83" s="2"/>
      <c r="T83" s="2"/>
      <c r="U83" s="7" t="str">
        <f t="shared" si="11"/>
        <v/>
      </c>
      <c r="V83" s="7" t="str">
        <f t="shared" si="12"/>
        <v/>
      </c>
      <c r="W83" s="11" t="str">
        <f t="shared" si="13"/>
        <v/>
      </c>
      <c r="X83" s="5" t="str">
        <f t="shared" si="14"/>
        <v/>
      </c>
      <c r="Y83" s="7" t="str">
        <f t="shared" si="15"/>
        <v/>
      </c>
      <c r="Z83" s="7" t="str">
        <f>IF(OR(AE83="",多次统计数据!$B$8=""),"",AE83-多次统计数据!$B$8)</f>
        <v/>
      </c>
      <c r="AA83" s="12" t="str">
        <f t="shared" si="16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17"/>
        <v/>
      </c>
    </row>
    <row r="84" spans="1:31" x14ac:dyDescent="0.15">
      <c r="A84" s="2"/>
      <c r="B84" s="2"/>
      <c r="C84" s="9"/>
      <c r="D84" s="6"/>
      <c r="E84" s="9"/>
      <c r="F84" s="8" t="str">
        <f t="shared" si="9"/>
        <v/>
      </c>
      <c r="G84" s="8" t="str">
        <f>IF(OR(A84="",F84="",E84="",N84="",E84&lt;=N84,账户数据!$B$7=""),"",IF(账户数据!$B$9+IF(H84="",F84*(E84-N84),0)&gt;=账户数据!$B$7,"禁止开仓","允许开仓"))</f>
        <v/>
      </c>
      <c r="H84" s="2"/>
      <c r="I84" s="10"/>
      <c r="J84" s="9"/>
      <c r="K84" s="9"/>
      <c r="L84" s="8" t="str">
        <f t="shared" si="10"/>
        <v/>
      </c>
      <c r="M84" s="10"/>
      <c r="N84" s="9"/>
      <c r="O84" s="9"/>
      <c r="P84" s="9"/>
      <c r="Q84" s="2"/>
      <c r="R84" s="2"/>
      <c r="S84" s="2"/>
      <c r="T84" s="2"/>
      <c r="U84" s="7" t="str">
        <f t="shared" si="11"/>
        <v/>
      </c>
      <c r="V84" s="7" t="str">
        <f t="shared" si="12"/>
        <v/>
      </c>
      <c r="W84" s="11" t="str">
        <f t="shared" si="13"/>
        <v/>
      </c>
      <c r="X84" s="5" t="str">
        <f t="shared" si="14"/>
        <v/>
      </c>
      <c r="Y84" s="7" t="str">
        <f t="shared" si="15"/>
        <v/>
      </c>
      <c r="Z84" s="7" t="str">
        <f>IF(OR(AE84="",多次统计数据!$B$8=""),"",AE84-多次统计数据!$B$8)</f>
        <v/>
      </c>
      <c r="AA84" s="12" t="str">
        <f t="shared" si="16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17"/>
        <v/>
      </c>
    </row>
    <row r="85" spans="1:31" x14ac:dyDescent="0.15">
      <c r="A85" s="2"/>
      <c r="B85" s="2"/>
      <c r="C85" s="9"/>
      <c r="D85" s="6"/>
      <c r="E85" s="9"/>
      <c r="F85" s="8" t="str">
        <f t="shared" si="9"/>
        <v/>
      </c>
      <c r="G85" s="8" t="str">
        <f>IF(OR(A85="",F85="",E85="",N85="",E85&lt;=N85,账户数据!$B$7=""),"",IF(账户数据!$B$9+IF(H85="",F85*(E85-N85),0)&gt;=账户数据!$B$7,"禁止开仓","允许开仓"))</f>
        <v/>
      </c>
      <c r="H85" s="2"/>
      <c r="I85" s="10"/>
      <c r="J85" s="9"/>
      <c r="K85" s="9"/>
      <c r="L85" s="8" t="str">
        <f t="shared" si="10"/>
        <v/>
      </c>
      <c r="M85" s="10"/>
      <c r="N85" s="9"/>
      <c r="O85" s="9"/>
      <c r="P85" s="9"/>
      <c r="Q85" s="2"/>
      <c r="R85" s="2"/>
      <c r="S85" s="2"/>
      <c r="T85" s="2"/>
      <c r="U85" s="7" t="str">
        <f t="shared" si="11"/>
        <v/>
      </c>
      <c r="V85" s="7" t="str">
        <f t="shared" si="12"/>
        <v/>
      </c>
      <c r="W85" s="11" t="str">
        <f t="shared" si="13"/>
        <v/>
      </c>
      <c r="X85" s="5" t="str">
        <f t="shared" si="14"/>
        <v/>
      </c>
      <c r="Y85" s="7" t="str">
        <f t="shared" si="15"/>
        <v/>
      </c>
      <c r="Z85" s="7" t="str">
        <f>IF(OR(AE85="",多次统计数据!$B$8=""),"",AE85-多次统计数据!$B$8)</f>
        <v/>
      </c>
      <c r="AA85" s="12" t="str">
        <f t="shared" si="16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17"/>
        <v/>
      </c>
    </row>
    <row r="86" spans="1:31" x14ac:dyDescent="0.15">
      <c r="A86" s="2"/>
      <c r="B86" s="2"/>
      <c r="C86" s="9"/>
      <c r="D86" s="6"/>
      <c r="E86" s="9"/>
      <c r="F86" s="8" t="str">
        <f t="shared" si="9"/>
        <v/>
      </c>
      <c r="G86" s="8" t="str">
        <f>IF(OR(A86="",F86="",E86="",N86="",E86&lt;=N86,账户数据!$B$7=""),"",IF(账户数据!$B$9+IF(H86="",F86*(E86-N86),0)&gt;=账户数据!$B$7,"禁止开仓","允许开仓"))</f>
        <v/>
      </c>
      <c r="H86" s="2"/>
      <c r="I86" s="10"/>
      <c r="J86" s="9"/>
      <c r="K86" s="9"/>
      <c r="L86" s="8" t="str">
        <f t="shared" si="10"/>
        <v/>
      </c>
      <c r="M86" s="10"/>
      <c r="N86" s="9"/>
      <c r="O86" s="9"/>
      <c r="P86" s="9"/>
      <c r="Q86" s="2"/>
      <c r="R86" s="2"/>
      <c r="S86" s="2"/>
      <c r="T86" s="2"/>
      <c r="U86" s="7" t="str">
        <f t="shared" si="11"/>
        <v/>
      </c>
      <c r="V86" s="7" t="str">
        <f t="shared" si="12"/>
        <v/>
      </c>
      <c r="W86" s="11" t="str">
        <f t="shared" si="13"/>
        <v/>
      </c>
      <c r="X86" s="5" t="str">
        <f t="shared" si="14"/>
        <v/>
      </c>
      <c r="Y86" s="7" t="str">
        <f t="shared" si="15"/>
        <v/>
      </c>
      <c r="Z86" s="7" t="str">
        <f>IF(OR(AE86="",多次统计数据!$B$8=""),"",AE86-多次统计数据!$B$8)</f>
        <v/>
      </c>
      <c r="AA86" s="12" t="str">
        <f t="shared" si="16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17"/>
        <v/>
      </c>
    </row>
    <row r="87" spans="1:31" x14ac:dyDescent="0.15">
      <c r="A87" s="2"/>
      <c r="B87" s="2"/>
      <c r="C87" s="9"/>
      <c r="D87" s="6"/>
      <c r="E87" s="9"/>
      <c r="F87" s="8" t="str">
        <f t="shared" si="9"/>
        <v/>
      </c>
      <c r="G87" s="8" t="str">
        <f>IF(OR(A87="",F87="",E87="",N87="",E87&lt;=N87,账户数据!$B$7=""),"",IF(账户数据!$B$9+IF(H87="",F87*(E87-N87),0)&gt;=账户数据!$B$7,"禁止开仓","允许开仓"))</f>
        <v/>
      </c>
      <c r="H87" s="2"/>
      <c r="I87" s="10"/>
      <c r="J87" s="9"/>
      <c r="K87" s="9"/>
      <c r="L87" s="8" t="str">
        <f t="shared" si="10"/>
        <v/>
      </c>
      <c r="M87" s="10"/>
      <c r="N87" s="9"/>
      <c r="O87" s="9"/>
      <c r="P87" s="9"/>
      <c r="Q87" s="2"/>
      <c r="R87" s="2"/>
      <c r="S87" s="2"/>
      <c r="T87" s="2"/>
      <c r="U87" s="7" t="str">
        <f t="shared" si="11"/>
        <v/>
      </c>
      <c r="V87" s="7" t="str">
        <f t="shared" si="12"/>
        <v/>
      </c>
      <c r="W87" s="11" t="str">
        <f t="shared" si="13"/>
        <v/>
      </c>
      <c r="X87" s="5" t="str">
        <f t="shared" si="14"/>
        <v/>
      </c>
      <c r="Y87" s="7" t="str">
        <f t="shared" si="15"/>
        <v/>
      </c>
      <c r="Z87" s="7" t="str">
        <f>IF(OR(AE87="",多次统计数据!$B$8=""),"",AE87-多次统计数据!$B$8)</f>
        <v/>
      </c>
      <c r="AA87" s="12" t="str">
        <f t="shared" si="16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17"/>
        <v/>
      </c>
    </row>
    <row r="88" spans="1:31" x14ac:dyDescent="0.15">
      <c r="A88" s="2"/>
      <c r="B88" s="2"/>
      <c r="C88" s="9"/>
      <c r="D88" s="6"/>
      <c r="E88" s="9"/>
      <c r="F88" s="8" t="str">
        <f t="shared" si="9"/>
        <v/>
      </c>
      <c r="G88" s="8" t="str">
        <f>IF(OR(A88="",F88="",E88="",N88="",E88&lt;=N88,账户数据!$B$7=""),"",IF(账户数据!$B$9+IF(H88="",F88*(E88-N88),0)&gt;=账户数据!$B$7,"禁止开仓","允许开仓"))</f>
        <v/>
      </c>
      <c r="H88" s="2"/>
      <c r="I88" s="10"/>
      <c r="J88" s="9"/>
      <c r="K88" s="9"/>
      <c r="L88" s="8" t="str">
        <f t="shared" si="10"/>
        <v/>
      </c>
      <c r="M88" s="10"/>
      <c r="N88" s="9"/>
      <c r="O88" s="9"/>
      <c r="P88" s="9"/>
      <c r="Q88" s="2"/>
      <c r="R88" s="2"/>
      <c r="S88" s="2"/>
      <c r="T88" s="2"/>
      <c r="U88" s="7" t="str">
        <f t="shared" si="11"/>
        <v/>
      </c>
      <c r="V88" s="7" t="str">
        <f t="shared" si="12"/>
        <v/>
      </c>
      <c r="W88" s="11" t="str">
        <f t="shared" si="13"/>
        <v/>
      </c>
      <c r="X88" s="5" t="str">
        <f t="shared" si="14"/>
        <v/>
      </c>
      <c r="Y88" s="7" t="str">
        <f t="shared" si="15"/>
        <v/>
      </c>
      <c r="Z88" s="7" t="str">
        <f>IF(OR(AE88="",多次统计数据!$B$8=""),"",AE88-多次统计数据!$B$8)</f>
        <v/>
      </c>
      <c r="AA88" s="12" t="str">
        <f t="shared" si="16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17"/>
        <v/>
      </c>
    </row>
    <row r="89" spans="1:31" x14ac:dyDescent="0.15">
      <c r="A89" s="2"/>
      <c r="B89" s="2"/>
      <c r="C89" s="9"/>
      <c r="D89" s="6"/>
      <c r="E89" s="9"/>
      <c r="F89" s="8" t="str">
        <f t="shared" si="9"/>
        <v/>
      </c>
      <c r="G89" s="8" t="str">
        <f>IF(OR(A89="",F89="",E89="",N89="",E89&lt;=N89,账户数据!$B$7=""),"",IF(账户数据!$B$9+IF(H89="",F89*(E89-N89),0)&gt;=账户数据!$B$7,"禁止开仓","允许开仓"))</f>
        <v/>
      </c>
      <c r="H89" s="2"/>
      <c r="I89" s="10"/>
      <c r="J89" s="9"/>
      <c r="K89" s="9"/>
      <c r="L89" s="8" t="str">
        <f t="shared" si="10"/>
        <v/>
      </c>
      <c r="M89" s="10"/>
      <c r="N89" s="9"/>
      <c r="O89" s="9"/>
      <c r="P89" s="9"/>
      <c r="Q89" s="2"/>
      <c r="R89" s="2"/>
      <c r="S89" s="2"/>
      <c r="T89" s="2"/>
      <c r="U89" s="7" t="str">
        <f t="shared" si="11"/>
        <v/>
      </c>
      <c r="V89" s="7" t="str">
        <f t="shared" si="12"/>
        <v/>
      </c>
      <c r="W89" s="11" t="str">
        <f t="shared" si="13"/>
        <v/>
      </c>
      <c r="X89" s="5" t="str">
        <f t="shared" si="14"/>
        <v/>
      </c>
      <c r="Y89" s="7" t="str">
        <f t="shared" si="15"/>
        <v/>
      </c>
      <c r="Z89" s="7" t="str">
        <f>IF(OR(AE89="",多次统计数据!$B$8=""),"",AE89-多次统计数据!$B$8)</f>
        <v/>
      </c>
      <c r="AA89" s="12" t="str">
        <f t="shared" si="16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17"/>
        <v/>
      </c>
    </row>
    <row r="90" spans="1:31" x14ac:dyDescent="0.15">
      <c r="A90" s="2"/>
      <c r="B90" s="2"/>
      <c r="C90" s="9"/>
      <c r="D90" s="6"/>
      <c r="E90" s="9"/>
      <c r="F90" s="8" t="str">
        <f t="shared" si="9"/>
        <v/>
      </c>
      <c r="G90" s="8" t="str">
        <f>IF(OR(A90="",F90="",E90="",N90="",E90&lt;=N90,账户数据!$B$7=""),"",IF(账户数据!$B$9+IF(H90="",F90*(E90-N90),0)&gt;=账户数据!$B$7,"禁止开仓","允许开仓"))</f>
        <v/>
      </c>
      <c r="H90" s="2"/>
      <c r="I90" s="10"/>
      <c r="J90" s="9"/>
      <c r="K90" s="9"/>
      <c r="L90" s="8" t="str">
        <f t="shared" si="10"/>
        <v/>
      </c>
      <c r="M90" s="10"/>
      <c r="N90" s="9"/>
      <c r="O90" s="9"/>
      <c r="P90" s="9"/>
      <c r="Q90" s="2"/>
      <c r="R90" s="2"/>
      <c r="S90" s="2"/>
      <c r="T90" s="2"/>
      <c r="U90" s="7" t="str">
        <f t="shared" si="11"/>
        <v/>
      </c>
      <c r="V90" s="7" t="str">
        <f t="shared" si="12"/>
        <v/>
      </c>
      <c r="W90" s="11" t="str">
        <f t="shared" si="13"/>
        <v/>
      </c>
      <c r="X90" s="5" t="str">
        <f t="shared" si="14"/>
        <v/>
      </c>
      <c r="Y90" s="7" t="str">
        <f t="shared" si="15"/>
        <v/>
      </c>
      <c r="Z90" s="7" t="str">
        <f>IF(OR(AE90="",多次统计数据!$B$8=""),"",AE90-多次统计数据!$B$8)</f>
        <v/>
      </c>
      <c r="AA90" s="12" t="str">
        <f t="shared" si="16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17"/>
        <v/>
      </c>
    </row>
    <row r="91" spans="1:31" x14ac:dyDescent="0.15">
      <c r="A91" s="2"/>
      <c r="B91" s="2"/>
      <c r="C91" s="9"/>
      <c r="D91" s="6"/>
      <c r="E91" s="9"/>
      <c r="F91" s="8" t="str">
        <f t="shared" si="9"/>
        <v/>
      </c>
      <c r="G91" s="8" t="str">
        <f>IF(OR(A91="",F91="",E91="",N91="",E91&lt;=N91,账户数据!$B$7=""),"",IF(账户数据!$B$9+IF(H91="",F91*(E91-N91),0)&gt;=账户数据!$B$7,"禁止开仓","允许开仓"))</f>
        <v/>
      </c>
      <c r="H91" s="2"/>
      <c r="I91" s="10"/>
      <c r="J91" s="9"/>
      <c r="K91" s="9"/>
      <c r="L91" s="8" t="str">
        <f t="shared" si="10"/>
        <v/>
      </c>
      <c r="M91" s="10"/>
      <c r="N91" s="9"/>
      <c r="O91" s="9"/>
      <c r="P91" s="9"/>
      <c r="Q91" s="2"/>
      <c r="R91" s="2"/>
      <c r="S91" s="2"/>
      <c r="T91" s="2"/>
      <c r="U91" s="7" t="str">
        <f t="shared" si="11"/>
        <v/>
      </c>
      <c r="V91" s="7" t="str">
        <f t="shared" si="12"/>
        <v/>
      </c>
      <c r="W91" s="11" t="str">
        <f t="shared" si="13"/>
        <v/>
      </c>
      <c r="X91" s="5" t="str">
        <f t="shared" si="14"/>
        <v/>
      </c>
      <c r="Y91" s="7" t="str">
        <f t="shared" si="15"/>
        <v/>
      </c>
      <c r="Z91" s="7" t="str">
        <f>IF(OR(AE91="",多次统计数据!$B$8=""),"",AE91-多次统计数据!$B$8)</f>
        <v/>
      </c>
      <c r="AA91" s="12" t="str">
        <f t="shared" si="16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17"/>
        <v/>
      </c>
    </row>
    <row r="92" spans="1:31" x14ac:dyDescent="0.15">
      <c r="A92" s="2"/>
      <c r="B92" s="2"/>
      <c r="C92" s="9"/>
      <c r="D92" s="6"/>
      <c r="E92" s="9"/>
      <c r="F92" s="8" t="str">
        <f t="shared" si="9"/>
        <v/>
      </c>
      <c r="G92" s="8" t="str">
        <f>IF(OR(A92="",F92="",E92="",N92="",E92&lt;=N92,账户数据!$B$7=""),"",IF(账户数据!$B$9+IF(H92="",F92*(E92-N92),0)&gt;=账户数据!$B$7,"禁止开仓","允许开仓"))</f>
        <v/>
      </c>
      <c r="H92" s="2"/>
      <c r="I92" s="10"/>
      <c r="J92" s="9"/>
      <c r="K92" s="9"/>
      <c r="L92" s="8" t="str">
        <f t="shared" si="10"/>
        <v/>
      </c>
      <c r="M92" s="10"/>
      <c r="N92" s="9"/>
      <c r="O92" s="9"/>
      <c r="P92" s="9"/>
      <c r="Q92" s="2"/>
      <c r="R92" s="2"/>
      <c r="S92" s="2"/>
      <c r="T92" s="2"/>
      <c r="U92" s="7" t="str">
        <f t="shared" si="11"/>
        <v/>
      </c>
      <c r="V92" s="7" t="str">
        <f t="shared" si="12"/>
        <v/>
      </c>
      <c r="W92" s="11" t="str">
        <f t="shared" si="13"/>
        <v/>
      </c>
      <c r="X92" s="5" t="str">
        <f t="shared" si="14"/>
        <v/>
      </c>
      <c r="Y92" s="7" t="str">
        <f t="shared" si="15"/>
        <v/>
      </c>
      <c r="Z92" s="7" t="str">
        <f>IF(OR(AE92="",多次统计数据!$B$8=""),"",AE92-多次统计数据!$B$8)</f>
        <v/>
      </c>
      <c r="AA92" s="12" t="str">
        <f t="shared" si="16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17"/>
        <v/>
      </c>
    </row>
    <row r="93" spans="1:31" x14ac:dyDescent="0.15">
      <c r="A93" s="2"/>
      <c r="B93" s="2"/>
      <c r="C93" s="9"/>
      <c r="D93" s="6"/>
      <c r="E93" s="9"/>
      <c r="F93" s="8" t="str">
        <f t="shared" si="9"/>
        <v/>
      </c>
      <c r="G93" s="8" t="str">
        <f>IF(OR(A93="",F93="",E93="",N93="",E93&lt;=N93,账户数据!$B$7=""),"",IF(账户数据!$B$9+IF(H93="",F93*(E93-N93),0)&gt;=账户数据!$B$7,"禁止开仓","允许开仓"))</f>
        <v/>
      </c>
      <c r="H93" s="2"/>
      <c r="I93" s="10"/>
      <c r="J93" s="9"/>
      <c r="K93" s="9"/>
      <c r="L93" s="8" t="str">
        <f t="shared" si="10"/>
        <v/>
      </c>
      <c r="M93" s="10"/>
      <c r="N93" s="9"/>
      <c r="O93" s="9"/>
      <c r="P93" s="9"/>
      <c r="Q93" s="2"/>
      <c r="R93" s="2"/>
      <c r="S93" s="2"/>
      <c r="T93" s="2"/>
      <c r="U93" s="7" t="str">
        <f t="shared" si="11"/>
        <v/>
      </c>
      <c r="V93" s="7" t="str">
        <f t="shared" si="12"/>
        <v/>
      </c>
      <c r="W93" s="11" t="str">
        <f t="shared" si="13"/>
        <v/>
      </c>
      <c r="X93" s="5" t="str">
        <f t="shared" si="14"/>
        <v/>
      </c>
      <c r="Y93" s="7" t="str">
        <f t="shared" si="15"/>
        <v/>
      </c>
      <c r="Z93" s="7" t="str">
        <f>IF(OR(AE93="",多次统计数据!$B$8=""),"",AE93-多次统计数据!$B$8)</f>
        <v/>
      </c>
      <c r="AA93" s="12" t="str">
        <f t="shared" si="16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17"/>
        <v/>
      </c>
    </row>
    <row r="94" spans="1:31" x14ac:dyDescent="0.15">
      <c r="A94" s="2"/>
      <c r="B94" s="2"/>
      <c r="C94" s="9"/>
      <c r="D94" s="6"/>
      <c r="E94" s="9"/>
      <c r="F94" s="8" t="str">
        <f t="shared" si="9"/>
        <v/>
      </c>
      <c r="G94" s="8" t="str">
        <f>IF(OR(A94="",F94="",E94="",N94="",E94&lt;=N94,账户数据!$B$7=""),"",IF(账户数据!$B$9+IF(H94="",F94*(E94-N94),0)&gt;=账户数据!$B$7,"禁止开仓","允许开仓"))</f>
        <v/>
      </c>
      <c r="H94" s="2"/>
      <c r="I94" s="10"/>
      <c r="J94" s="9"/>
      <c r="K94" s="9"/>
      <c r="L94" s="8" t="str">
        <f t="shared" si="10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11"/>
        <v/>
      </c>
      <c r="V94" s="7" t="str">
        <f t="shared" si="12"/>
        <v/>
      </c>
      <c r="W94" s="11" t="str">
        <f t="shared" si="13"/>
        <v/>
      </c>
      <c r="X94" s="5" t="str">
        <f t="shared" si="14"/>
        <v/>
      </c>
      <c r="Y94" s="7" t="str">
        <f t="shared" si="15"/>
        <v/>
      </c>
      <c r="Z94" s="7" t="str">
        <f>IF(OR(AE94="",多次统计数据!$B$8=""),"",AE94-多次统计数据!$B$8)</f>
        <v/>
      </c>
      <c r="AA94" s="12" t="str">
        <f t="shared" si="16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17"/>
        <v/>
      </c>
    </row>
    <row r="95" spans="1:31" x14ac:dyDescent="0.15">
      <c r="A95" s="2"/>
      <c r="B95" s="2"/>
      <c r="C95" s="9"/>
      <c r="D95" s="6"/>
      <c r="E95" s="9"/>
      <c r="F95" s="8" t="str">
        <f t="shared" si="9"/>
        <v/>
      </c>
      <c r="G95" s="8" t="str">
        <f>IF(OR(A95="",F95="",E95="",N95="",E95&lt;=N95,账户数据!$B$7=""),"",IF(账户数据!$B$9+IF(H95="",F95*(E95-N95),0)&gt;=账户数据!$B$7,"禁止开仓","允许开仓"))</f>
        <v/>
      </c>
      <c r="H95" s="2"/>
      <c r="I95" s="10"/>
      <c r="J95" s="9"/>
      <c r="K95" s="9"/>
      <c r="L95" s="8" t="str">
        <f t="shared" si="10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11"/>
        <v/>
      </c>
      <c r="V95" s="7" t="str">
        <f t="shared" si="12"/>
        <v/>
      </c>
      <c r="W95" s="11" t="str">
        <f t="shared" si="13"/>
        <v/>
      </c>
      <c r="X95" s="5" t="str">
        <f t="shared" si="14"/>
        <v/>
      </c>
      <c r="Y95" s="7" t="str">
        <f t="shared" si="15"/>
        <v/>
      </c>
      <c r="Z95" s="7" t="str">
        <f>IF(OR(AE95="",多次统计数据!$B$8=""),"",AE95-多次统计数据!$B$8)</f>
        <v/>
      </c>
      <c r="AA95" s="12" t="str">
        <f t="shared" si="16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17"/>
        <v/>
      </c>
    </row>
    <row r="96" spans="1:31" x14ac:dyDescent="0.15">
      <c r="A96" s="2"/>
      <c r="B96" s="2"/>
      <c r="C96" s="9"/>
      <c r="D96" s="6"/>
      <c r="E96" s="9"/>
      <c r="F96" s="8" t="str">
        <f t="shared" si="9"/>
        <v/>
      </c>
      <c r="G96" s="8" t="str">
        <f>IF(OR(A96="",F96="",E96="",N96="",E96&lt;=N96,账户数据!$B$7=""),"",IF(账户数据!$B$9+IF(H96="",F96*(E96-N96),0)&gt;=账户数据!$B$7,"禁止开仓","允许开仓"))</f>
        <v/>
      </c>
      <c r="H96" s="2"/>
      <c r="I96" s="10"/>
      <c r="J96" s="9"/>
      <c r="K96" s="9"/>
      <c r="L96" s="8" t="str">
        <f t="shared" si="10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11"/>
        <v/>
      </c>
      <c r="V96" s="7" t="str">
        <f t="shared" si="12"/>
        <v/>
      </c>
      <c r="W96" s="11" t="str">
        <f t="shared" si="13"/>
        <v/>
      </c>
      <c r="X96" s="5" t="str">
        <f t="shared" si="14"/>
        <v/>
      </c>
      <c r="Y96" s="7" t="str">
        <f t="shared" si="15"/>
        <v/>
      </c>
      <c r="Z96" s="7" t="str">
        <f>IF(OR(AE96="",多次统计数据!$B$8=""),"",AE96-多次统计数据!$B$8)</f>
        <v/>
      </c>
      <c r="AA96" s="12" t="str">
        <f t="shared" si="16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17"/>
        <v/>
      </c>
    </row>
    <row r="97" spans="1:31" x14ac:dyDescent="0.15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1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2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spans="1:31" x14ac:dyDescent="0.15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1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2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spans="1:31" x14ac:dyDescent="0.15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1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2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spans="1:31" x14ac:dyDescent="0.15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1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2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spans="1:31" x14ac:dyDescent="0.15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1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2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spans="1:31" x14ac:dyDescent="0.15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1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2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spans="1:31" x14ac:dyDescent="0.15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1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2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spans="1:31" x14ac:dyDescent="0.15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1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2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spans="1:31" x14ac:dyDescent="0.15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1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2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spans="1:31" x14ac:dyDescent="0.15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1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2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spans="1:31" x14ac:dyDescent="0.15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1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2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spans="1:31" x14ac:dyDescent="0.15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1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2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spans="1:31" x14ac:dyDescent="0.15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1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2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spans="1:31" x14ac:dyDescent="0.15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1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2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spans="1:31" x14ac:dyDescent="0.15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1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2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spans="1:31" x14ac:dyDescent="0.15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1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2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spans="1:31" x14ac:dyDescent="0.15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1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2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spans="1:31" x14ac:dyDescent="0.15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1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2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spans="1:31" x14ac:dyDescent="0.15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1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2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spans="1:31" x14ac:dyDescent="0.15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1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2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spans="1:31" x14ac:dyDescent="0.15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1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2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spans="1:31" x14ac:dyDescent="0.15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1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2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spans="1:31" x14ac:dyDescent="0.15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1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2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spans="1:31" x14ac:dyDescent="0.15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1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2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spans="1:31" x14ac:dyDescent="0.15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1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2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spans="1:31" x14ac:dyDescent="0.15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1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2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spans="1:31" x14ac:dyDescent="0.15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1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2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spans="1:31" x14ac:dyDescent="0.15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1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2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spans="1:31" x14ac:dyDescent="0.15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1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2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spans="1:31" x14ac:dyDescent="0.15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1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2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spans="1:31" x14ac:dyDescent="0.15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1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2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spans="1:31" x14ac:dyDescent="0.15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1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2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spans="1:31" x14ac:dyDescent="0.15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1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2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spans="1:31" x14ac:dyDescent="0.15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1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2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spans="1:31" x14ac:dyDescent="0.15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1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2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spans="1:31" x14ac:dyDescent="0.15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1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2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spans="1:31" x14ac:dyDescent="0.15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1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2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spans="1:31" x14ac:dyDescent="0.15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1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2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spans="1:31" x14ac:dyDescent="0.15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1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2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spans="1:31" x14ac:dyDescent="0.15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1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2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spans="1:31" x14ac:dyDescent="0.15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1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2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spans="1:31" x14ac:dyDescent="0.15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1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2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spans="1:31" x14ac:dyDescent="0.15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1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2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spans="1:31" x14ac:dyDescent="0.15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1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2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spans="1:31" x14ac:dyDescent="0.15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1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2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spans="1:31" x14ac:dyDescent="0.15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1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2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spans="1:31" x14ac:dyDescent="0.15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1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2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spans="1:31" x14ac:dyDescent="0.15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1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2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spans="1:31" x14ac:dyDescent="0.15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1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2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spans="1:31" x14ac:dyDescent="0.15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1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2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spans="1:31" x14ac:dyDescent="0.15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1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2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spans="1:31" x14ac:dyDescent="0.15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1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2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spans="1:31" x14ac:dyDescent="0.15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1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2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spans="1:31" x14ac:dyDescent="0.15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1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2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spans="1:31" x14ac:dyDescent="0.15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1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2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spans="1:31" x14ac:dyDescent="0.15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1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2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spans="1:31" x14ac:dyDescent="0.15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1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2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spans="1:31" x14ac:dyDescent="0.15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1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2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spans="1:31" x14ac:dyDescent="0.15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1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2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spans="1:31" x14ac:dyDescent="0.15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1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2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spans="1:31" x14ac:dyDescent="0.15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1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2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spans="1:31" x14ac:dyDescent="0.15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1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2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spans="1:31" x14ac:dyDescent="0.15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1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2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spans="1:31" x14ac:dyDescent="0.15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1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2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spans="1:31" x14ac:dyDescent="0.15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1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2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spans="1:31" x14ac:dyDescent="0.15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1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2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spans="1:31" x14ac:dyDescent="0.15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1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2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spans="1:31" x14ac:dyDescent="0.15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1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2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spans="1:31" x14ac:dyDescent="0.15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1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2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spans="1:31" x14ac:dyDescent="0.15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1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2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spans="1:31" x14ac:dyDescent="0.15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1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2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spans="1:31" x14ac:dyDescent="0.15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1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2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spans="1:31" x14ac:dyDescent="0.15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1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2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spans="1:31" x14ac:dyDescent="0.15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1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2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spans="1:31" x14ac:dyDescent="0.15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1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2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spans="1:31" x14ac:dyDescent="0.15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1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2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spans="1:31" x14ac:dyDescent="0.15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1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2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spans="1:31" x14ac:dyDescent="0.15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1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2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spans="1:31" x14ac:dyDescent="0.15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1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2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spans="1:31" x14ac:dyDescent="0.15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1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2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spans="1:31" x14ac:dyDescent="0.15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1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2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spans="1:31" x14ac:dyDescent="0.15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1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2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spans="1:31" x14ac:dyDescent="0.15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1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2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spans="1:31" x14ac:dyDescent="0.15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1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2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spans="1:31" x14ac:dyDescent="0.15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1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2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spans="1:31" x14ac:dyDescent="0.15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1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2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spans="1:31" x14ac:dyDescent="0.15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1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2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spans="1:31" x14ac:dyDescent="0.15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1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2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spans="1:31" x14ac:dyDescent="0.15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1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2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spans="1:31" x14ac:dyDescent="0.15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1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2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spans="1:31" x14ac:dyDescent="0.15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1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2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spans="1:31" x14ac:dyDescent="0.15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1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2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spans="1:31" x14ac:dyDescent="0.15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1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2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spans="1:31" x14ac:dyDescent="0.15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1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2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spans="1:31" x14ac:dyDescent="0.15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1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2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spans="1:31" x14ac:dyDescent="0.15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1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2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spans="1:31" x14ac:dyDescent="0.15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1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2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spans="1:31" x14ac:dyDescent="0.15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1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2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spans="1:31" x14ac:dyDescent="0.15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1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2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spans="1:31" x14ac:dyDescent="0.15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1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2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spans="1:31" x14ac:dyDescent="0.15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1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2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spans="1:31" x14ac:dyDescent="0.15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1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2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spans="1:31" x14ac:dyDescent="0.15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1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2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spans="1:31" x14ac:dyDescent="0.15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1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2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spans="1:31" x14ac:dyDescent="0.15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1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2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phoneticPr fontId="3" type="noConversion"/>
  <conditionalFormatting sqref="G2:G201">
    <cfRule type="expression" dxfId="12" priority="10">
      <formula>$G2="禁止开仓"</formula>
    </cfRule>
    <cfRule type="expression" dxfId="11" priority="11">
      <formula>$G2="允许开仓"</formula>
    </cfRule>
  </conditionalFormatting>
  <conditionalFormatting sqref="W2:W201">
    <cfRule type="cellIs" dxfId="10" priority="3" operator="lessThan">
      <formula>2</formula>
    </cfRule>
  </conditionalFormatting>
  <conditionalFormatting sqref="X2:X201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Y2:Y201">
    <cfRule type="cellIs" dxfId="7" priority="6" operator="greaterThan">
      <formula>0</formula>
    </cfRule>
    <cfRule type="cellIs" dxfId="6" priority="7" operator="lessThan">
      <formula>0</formula>
    </cfRule>
  </conditionalFormatting>
  <conditionalFormatting sqref="AC2:AC201">
    <cfRule type="expression" dxfId="5" priority="4">
      <formula>$AC2="达到或超过上限"</formula>
    </cfRule>
    <cfRule type="expression" dxfId="4" priority="5">
      <formula>$AC2="低于上限"</formula>
    </cfRule>
  </conditionalFormatting>
  <conditionalFormatting sqref="AE2:AE201">
    <cfRule type="cellIs" dxfId="3" priority="8" operator="greaterThan">
      <formula>0</formula>
    </cfRule>
    <cfRule type="cellIs" dxfId="2" priority="9" operator="lessThan">
      <formula>0</formula>
    </cfRule>
  </conditionalFormatting>
  <dataValidations count="8">
    <dataValidation type="decimal" operator="greaterThan" allowBlank="1" sqref="C2 C4:C201 E2:E201 N2:N201 J2:K201" xr:uid="{00000000-0002-0000-0000-000000000000}">
      <formula1>0</formula1>
    </dataValidation>
    <dataValidation type="decimal" allowBlank="1" sqref="D2:D201" xr:uid="{00000000-0002-0000-0000-000001000000}">
      <formula1>0</formula1>
      <formula2>1</formula2>
    </dataValidation>
    <dataValidation type="custom" allowBlank="1" showErrorMessage="1" errorTitle="实际买入股数无效" error="实际买入股数必须是大于0的100股整数倍" sqref="H2:H201" xr:uid="{00000000-0002-0000-0000-000002000000}">
      <formula1>OR(H2="",AND(ISNUMBER(H2),H2&gt;0,MOD(H2,100)=0))</formula1>
    </dataValidation>
    <dataValidation type="date" allowBlank="1" sqref="I2:I201" xr:uid="{00000000-0002-0000-0000-000003000000}">
      <formula1>DATE(2000,1,1)</formula1>
      <formula2>DATE(2100,12,31)</formula2>
    </dataValidation>
    <dataValidation type="custom" allowBlank="1" sqref="L2:L201" xr:uid="{00000000-0002-0000-0000-000004000000}">
      <formula1>OR(L2="",L2=H2)</formula1>
    </dataValidation>
    <dataValidation type="custom" allowBlank="1" sqref="M2:M201" xr:uid="{00000000-0002-0000-0000-000005000000}">
      <formula1>OR(M2="",AND(ISNUMBER(M2),M2&gt;=I2))</formula1>
    </dataValidation>
    <dataValidation type="list" allowBlank="1" sqref="AD2:AD201" xr:uid="{00000000-0002-0000-0000-000006000000}">
      <formula1>"1-差,2-较差,3-一般,4-良好,5-优秀"</formula1>
    </dataValidation>
    <dataValidation type="decimal" operator="greaterThanOrEqual" allowBlank="1" sqref="O2:P201" xr:uid="{00000000-0002-0000-00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01"/>
  <sheetViews>
    <sheetView workbookViewId="0">
      <pane ySplit="1" topLeftCell="A5" activePane="bottomLeft" state="frozen"/>
      <selection pane="bottomLeft" activeCell="G7" sqref="G7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0" ht="42" customHeight="1" x14ac:dyDescent="0.15">
      <c r="A1" s="1" t="s">
        <v>0</v>
      </c>
      <c r="B1" s="1" t="s">
        <v>1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t="s">
        <v>164</v>
      </c>
    </row>
    <row r="2" spans="1:10" ht="27" x14ac:dyDescent="0.15">
      <c r="A2" s="2">
        <v>1</v>
      </c>
      <c r="B2" s="2"/>
      <c r="C2" s="2"/>
      <c r="D2" s="2"/>
      <c r="E2" s="10"/>
      <c r="F2" s="2"/>
      <c r="G2" s="2"/>
      <c r="H2" s="2"/>
      <c r="I2" s="2" t="s">
        <v>43</v>
      </c>
    </row>
    <row r="3" spans="1:10" ht="40.5" x14ac:dyDescent="0.15">
      <c r="A3" s="2"/>
      <c r="B3" s="2"/>
      <c r="C3" s="2"/>
      <c r="D3" s="2"/>
      <c r="E3" s="10"/>
      <c r="F3" s="2"/>
      <c r="G3" s="2"/>
      <c r="H3" s="2"/>
      <c r="I3" s="2" t="s">
        <v>44</v>
      </c>
    </row>
    <row r="4" spans="1:10" ht="27" x14ac:dyDescent="0.15">
      <c r="A4" s="2"/>
      <c r="B4" s="2"/>
      <c r="C4" s="2"/>
      <c r="D4" s="2"/>
      <c r="E4" s="10"/>
      <c r="F4" s="2"/>
      <c r="G4" s="2"/>
      <c r="H4" s="2"/>
      <c r="I4" s="2" t="s">
        <v>45</v>
      </c>
    </row>
    <row r="5" spans="1:10" ht="27" x14ac:dyDescent="0.15">
      <c r="A5" s="2"/>
      <c r="B5" s="2"/>
      <c r="C5" s="2"/>
      <c r="D5" s="2"/>
      <c r="E5" s="10"/>
      <c r="F5" s="2"/>
      <c r="G5" s="2"/>
      <c r="H5" s="2"/>
      <c r="I5" s="13" t="s">
        <v>160</v>
      </c>
    </row>
    <row r="6" spans="1:10" ht="27" x14ac:dyDescent="0.15">
      <c r="A6" s="2"/>
      <c r="B6" s="2"/>
      <c r="C6" s="2"/>
      <c r="D6" s="2"/>
      <c r="E6" s="10"/>
      <c r="F6" s="2"/>
      <c r="G6" s="2"/>
      <c r="H6" s="2"/>
      <c r="I6" s="13" t="s">
        <v>165</v>
      </c>
      <c r="J6" s="14" t="s">
        <v>163</v>
      </c>
    </row>
    <row r="7" spans="1:10" x14ac:dyDescent="0.15">
      <c r="A7" s="2"/>
      <c r="B7" s="2"/>
      <c r="C7" s="2"/>
      <c r="D7" s="2"/>
      <c r="E7" s="10"/>
      <c r="F7" s="2"/>
      <c r="G7" s="2"/>
      <c r="H7" s="2"/>
      <c r="I7" s="13" t="s">
        <v>166</v>
      </c>
    </row>
    <row r="8" spans="1:10" x14ac:dyDescent="0.15">
      <c r="A8" s="2"/>
      <c r="B8" s="2"/>
      <c r="C8" s="2"/>
      <c r="D8" s="2"/>
      <c r="E8" s="10"/>
      <c r="F8" s="2"/>
      <c r="G8" s="2"/>
      <c r="H8" s="2"/>
      <c r="I8" s="2"/>
    </row>
    <row r="9" spans="1:10" x14ac:dyDescent="0.15">
      <c r="A9" s="2"/>
      <c r="B9" s="2"/>
      <c r="C9" s="2"/>
      <c r="D9" s="2"/>
      <c r="E9" s="10"/>
      <c r="F9" s="2"/>
      <c r="G9" s="2"/>
      <c r="H9" s="2"/>
      <c r="I9" s="2"/>
    </row>
    <row r="10" spans="1:10" x14ac:dyDescent="0.15">
      <c r="A10" s="2"/>
      <c r="B10" s="2"/>
      <c r="C10" s="2"/>
      <c r="D10" s="2"/>
      <c r="E10" s="10"/>
      <c r="F10" s="2"/>
      <c r="G10" s="2"/>
      <c r="H10" s="2"/>
      <c r="I10" s="2"/>
    </row>
    <row r="11" spans="1:10" x14ac:dyDescent="0.15">
      <c r="A11" s="2"/>
      <c r="B11" s="2"/>
      <c r="C11" s="2"/>
      <c r="D11" s="2"/>
      <c r="E11" s="10"/>
      <c r="F11" s="2"/>
      <c r="G11" s="2"/>
      <c r="H11" s="2"/>
      <c r="I11" s="2"/>
    </row>
    <row r="12" spans="1:10" x14ac:dyDescent="0.15">
      <c r="A12" s="2"/>
      <c r="B12" s="2"/>
      <c r="C12" s="2"/>
      <c r="D12" s="2"/>
      <c r="E12" s="10"/>
      <c r="F12" s="2"/>
      <c r="G12" s="2"/>
      <c r="H12" s="2"/>
      <c r="I12" s="2"/>
    </row>
    <row r="13" spans="1:10" x14ac:dyDescent="0.15">
      <c r="A13" s="2"/>
      <c r="B13" s="2"/>
      <c r="C13" s="2"/>
      <c r="D13" s="2"/>
      <c r="E13" s="10"/>
      <c r="F13" s="2"/>
      <c r="G13" s="2"/>
      <c r="H13" s="2"/>
      <c r="I13" s="2"/>
    </row>
    <row r="14" spans="1:10" x14ac:dyDescent="0.15">
      <c r="A14" s="2"/>
      <c r="B14" s="2"/>
      <c r="C14" s="2"/>
      <c r="D14" s="2"/>
      <c r="E14" s="10"/>
      <c r="F14" s="2"/>
      <c r="G14" s="2"/>
      <c r="H14" s="2"/>
      <c r="I14" s="2"/>
    </row>
    <row r="15" spans="1:10" x14ac:dyDescent="0.15">
      <c r="A15" s="2"/>
      <c r="B15" s="2"/>
      <c r="C15" s="2"/>
      <c r="D15" s="2"/>
      <c r="E15" s="10"/>
      <c r="F15" s="2"/>
      <c r="G15" s="2"/>
      <c r="H15" s="2"/>
      <c r="I15" s="2"/>
    </row>
    <row r="16" spans="1:10" x14ac:dyDescent="0.15">
      <c r="A16" s="2"/>
      <c r="B16" s="2"/>
      <c r="C16" s="2"/>
      <c r="D16" s="2"/>
      <c r="E16" s="10"/>
      <c r="F16" s="2"/>
      <c r="G16" s="2"/>
      <c r="H16" s="2"/>
      <c r="I16" s="2"/>
    </row>
    <row r="17" spans="1:9" x14ac:dyDescent="0.15">
      <c r="A17" s="2"/>
      <c r="B17" s="2"/>
      <c r="C17" s="2"/>
      <c r="D17" s="2"/>
      <c r="E17" s="10"/>
      <c r="F17" s="2"/>
      <c r="G17" s="2"/>
      <c r="H17" s="2"/>
      <c r="I17" s="2"/>
    </row>
    <row r="18" spans="1:9" x14ac:dyDescent="0.15">
      <c r="A18" s="2"/>
      <c r="B18" s="2"/>
      <c r="C18" s="2"/>
      <c r="D18" s="2"/>
      <c r="E18" s="10"/>
      <c r="F18" s="2"/>
      <c r="G18" s="2"/>
      <c r="H18" s="2"/>
      <c r="I18" s="2"/>
    </row>
    <row r="19" spans="1:9" x14ac:dyDescent="0.15">
      <c r="A19" s="2"/>
      <c r="B19" s="2"/>
      <c r="C19" s="2"/>
      <c r="D19" s="2"/>
      <c r="E19" s="10"/>
      <c r="F19" s="2"/>
      <c r="G19" s="2"/>
      <c r="H19" s="2"/>
      <c r="I19" s="2"/>
    </row>
    <row r="20" spans="1:9" x14ac:dyDescent="0.15">
      <c r="A20" s="2"/>
      <c r="B20" s="2"/>
      <c r="C20" s="2"/>
      <c r="D20" s="2"/>
      <c r="E20" s="10"/>
      <c r="F20" s="2"/>
      <c r="G20" s="2"/>
      <c r="H20" s="2"/>
      <c r="I20" s="2"/>
    </row>
    <row r="21" spans="1:9" x14ac:dyDescent="0.15">
      <c r="A21" s="2"/>
      <c r="B21" s="2"/>
      <c r="C21" s="2"/>
      <c r="D21" s="2"/>
      <c r="E21" s="10"/>
      <c r="F21" s="2"/>
      <c r="G21" s="2"/>
      <c r="H21" s="2"/>
      <c r="I21" s="2"/>
    </row>
    <row r="22" spans="1:9" x14ac:dyDescent="0.15">
      <c r="A22" s="2"/>
      <c r="B22" s="2"/>
      <c r="C22" s="2"/>
      <c r="D22" s="2"/>
      <c r="E22" s="10"/>
      <c r="F22" s="2"/>
      <c r="G22" s="2"/>
      <c r="H22" s="2"/>
      <c r="I22" s="2"/>
    </row>
    <row r="23" spans="1:9" x14ac:dyDescent="0.15">
      <c r="A23" s="2"/>
      <c r="B23" s="2"/>
      <c r="C23" s="2"/>
      <c r="D23" s="2"/>
      <c r="E23" s="10"/>
      <c r="F23" s="2"/>
      <c r="G23" s="2"/>
      <c r="H23" s="2"/>
      <c r="I23" s="2"/>
    </row>
    <row r="24" spans="1:9" x14ac:dyDescent="0.15">
      <c r="A24" s="2"/>
      <c r="B24" s="2"/>
      <c r="C24" s="2"/>
      <c r="D24" s="2"/>
      <c r="E24" s="10"/>
      <c r="F24" s="2"/>
      <c r="G24" s="2"/>
      <c r="H24" s="2"/>
      <c r="I24" s="2"/>
    </row>
    <row r="25" spans="1:9" x14ac:dyDescent="0.15">
      <c r="A25" s="2"/>
      <c r="B25" s="2"/>
      <c r="C25" s="2"/>
      <c r="D25" s="2"/>
      <c r="E25" s="10"/>
      <c r="F25" s="2"/>
      <c r="G25" s="2"/>
      <c r="H25" s="2"/>
      <c r="I25" s="2"/>
    </row>
    <row r="26" spans="1:9" x14ac:dyDescent="0.15">
      <c r="A26" s="2"/>
      <c r="B26" s="2"/>
      <c r="C26" s="2"/>
      <c r="D26" s="2"/>
      <c r="E26" s="10"/>
      <c r="F26" s="2"/>
      <c r="G26" s="2"/>
      <c r="H26" s="2"/>
      <c r="I26" s="2"/>
    </row>
    <row r="27" spans="1:9" x14ac:dyDescent="0.15">
      <c r="A27" s="2"/>
      <c r="B27" s="2"/>
      <c r="C27" s="2"/>
      <c r="D27" s="2"/>
      <c r="E27" s="10"/>
      <c r="F27" s="2"/>
      <c r="G27" s="2"/>
      <c r="H27" s="2"/>
      <c r="I27" s="2"/>
    </row>
    <row r="28" spans="1:9" x14ac:dyDescent="0.15">
      <c r="A28" s="2"/>
      <c r="B28" s="2"/>
      <c r="C28" s="2"/>
      <c r="D28" s="2"/>
      <c r="E28" s="10"/>
      <c r="F28" s="2"/>
      <c r="G28" s="2"/>
      <c r="H28" s="2"/>
      <c r="I28" s="2"/>
    </row>
    <row r="29" spans="1:9" x14ac:dyDescent="0.15">
      <c r="A29" s="2"/>
      <c r="B29" s="2"/>
      <c r="C29" s="2"/>
      <c r="D29" s="2"/>
      <c r="E29" s="10"/>
      <c r="F29" s="2"/>
      <c r="G29" s="2"/>
      <c r="H29" s="2"/>
      <c r="I29" s="2"/>
    </row>
    <row r="30" spans="1:9" x14ac:dyDescent="0.15">
      <c r="A30" s="2"/>
      <c r="B30" s="2"/>
      <c r="C30" s="2"/>
      <c r="D30" s="2"/>
      <c r="E30" s="10"/>
      <c r="F30" s="2"/>
      <c r="G30" s="2"/>
      <c r="H30" s="2"/>
      <c r="I30" s="2"/>
    </row>
    <row r="31" spans="1:9" x14ac:dyDescent="0.15">
      <c r="A31" s="2"/>
      <c r="B31" s="2"/>
      <c r="C31" s="2"/>
      <c r="D31" s="2"/>
      <c r="E31" s="10"/>
      <c r="F31" s="2"/>
      <c r="G31" s="2"/>
      <c r="H31" s="2"/>
      <c r="I31" s="2"/>
    </row>
    <row r="32" spans="1:9" x14ac:dyDescent="0.15">
      <c r="A32" s="2"/>
      <c r="B32" s="2"/>
      <c r="C32" s="2"/>
      <c r="D32" s="2"/>
      <c r="E32" s="10"/>
      <c r="F32" s="2"/>
      <c r="G32" s="2"/>
      <c r="H32" s="2"/>
      <c r="I32" s="2"/>
    </row>
    <row r="33" spans="1:9" x14ac:dyDescent="0.15">
      <c r="A33" s="2"/>
      <c r="B33" s="2"/>
      <c r="C33" s="2"/>
      <c r="D33" s="2"/>
      <c r="E33" s="10"/>
      <c r="F33" s="2"/>
      <c r="G33" s="2"/>
      <c r="H33" s="2"/>
      <c r="I33" s="2"/>
    </row>
    <row r="34" spans="1:9" x14ac:dyDescent="0.15">
      <c r="A34" s="2"/>
      <c r="B34" s="2"/>
      <c r="C34" s="2"/>
      <c r="D34" s="2"/>
      <c r="E34" s="10"/>
      <c r="F34" s="2"/>
      <c r="G34" s="2"/>
      <c r="H34" s="2"/>
      <c r="I34" s="2"/>
    </row>
    <row r="35" spans="1:9" x14ac:dyDescent="0.15">
      <c r="A35" s="2"/>
      <c r="B35" s="2"/>
      <c r="C35" s="2"/>
      <c r="D35" s="2"/>
      <c r="E35" s="10"/>
      <c r="F35" s="2"/>
      <c r="G35" s="2"/>
      <c r="H35" s="2"/>
      <c r="I35" s="2"/>
    </row>
    <row r="36" spans="1:9" x14ac:dyDescent="0.15">
      <c r="A36" s="2"/>
      <c r="B36" s="2"/>
      <c r="C36" s="2"/>
      <c r="D36" s="2"/>
      <c r="E36" s="10"/>
      <c r="F36" s="2"/>
      <c r="G36" s="2"/>
      <c r="H36" s="2"/>
      <c r="I36" s="2"/>
    </row>
    <row r="37" spans="1:9" x14ac:dyDescent="0.15">
      <c r="A37" s="2"/>
      <c r="B37" s="2"/>
      <c r="C37" s="2"/>
      <c r="D37" s="2"/>
      <c r="E37" s="10"/>
      <c r="F37" s="2"/>
      <c r="G37" s="2"/>
      <c r="H37" s="2"/>
      <c r="I37" s="2"/>
    </row>
    <row r="38" spans="1:9" x14ac:dyDescent="0.15">
      <c r="A38" s="2"/>
      <c r="B38" s="2"/>
      <c r="C38" s="2"/>
      <c r="D38" s="2"/>
      <c r="E38" s="10"/>
      <c r="F38" s="2"/>
      <c r="G38" s="2"/>
      <c r="H38" s="2"/>
      <c r="I38" s="2"/>
    </row>
    <row r="39" spans="1:9" x14ac:dyDescent="0.15">
      <c r="A39" s="2"/>
      <c r="B39" s="2"/>
      <c r="C39" s="2"/>
      <c r="D39" s="2"/>
      <c r="E39" s="10"/>
      <c r="F39" s="2"/>
      <c r="G39" s="2"/>
      <c r="H39" s="2"/>
      <c r="I39" s="2"/>
    </row>
    <row r="40" spans="1:9" x14ac:dyDescent="0.15">
      <c r="A40" s="2"/>
      <c r="B40" s="2"/>
      <c r="C40" s="2"/>
      <c r="D40" s="2"/>
      <c r="E40" s="10"/>
      <c r="F40" s="2"/>
      <c r="G40" s="2"/>
      <c r="H40" s="2"/>
      <c r="I40" s="2"/>
    </row>
    <row r="41" spans="1:9" x14ac:dyDescent="0.15">
      <c r="A41" s="2"/>
      <c r="B41" s="2"/>
      <c r="C41" s="2"/>
      <c r="D41" s="2"/>
      <c r="E41" s="10"/>
      <c r="F41" s="2"/>
      <c r="G41" s="2"/>
      <c r="H41" s="2"/>
      <c r="I41" s="2"/>
    </row>
    <row r="42" spans="1:9" x14ac:dyDescent="0.15">
      <c r="A42" s="2"/>
      <c r="B42" s="2"/>
      <c r="C42" s="2"/>
      <c r="D42" s="2"/>
      <c r="E42" s="10"/>
      <c r="F42" s="2"/>
      <c r="G42" s="2"/>
      <c r="H42" s="2"/>
      <c r="I42" s="2"/>
    </row>
    <row r="43" spans="1:9" x14ac:dyDescent="0.15">
      <c r="A43" s="2"/>
      <c r="B43" s="2"/>
      <c r="C43" s="2"/>
      <c r="D43" s="2"/>
      <c r="E43" s="10"/>
      <c r="F43" s="2"/>
      <c r="G43" s="2"/>
      <c r="H43" s="2"/>
      <c r="I43" s="2"/>
    </row>
    <row r="44" spans="1:9" x14ac:dyDescent="0.15">
      <c r="A44" s="2"/>
      <c r="B44" s="2"/>
      <c r="C44" s="2"/>
      <c r="D44" s="2"/>
      <c r="E44" s="10"/>
      <c r="F44" s="2"/>
      <c r="G44" s="2"/>
      <c r="H44" s="2"/>
      <c r="I44" s="2"/>
    </row>
    <row r="45" spans="1:9" x14ac:dyDescent="0.15">
      <c r="A45" s="2"/>
      <c r="B45" s="2"/>
      <c r="C45" s="2"/>
      <c r="D45" s="2"/>
      <c r="E45" s="10"/>
      <c r="F45" s="2"/>
      <c r="G45" s="2"/>
      <c r="H45" s="2"/>
      <c r="I45" s="2"/>
    </row>
    <row r="46" spans="1:9" x14ac:dyDescent="0.15">
      <c r="A46" s="2"/>
      <c r="B46" s="2"/>
      <c r="C46" s="2"/>
      <c r="D46" s="2"/>
      <c r="E46" s="10"/>
      <c r="F46" s="2"/>
      <c r="G46" s="2"/>
      <c r="H46" s="2"/>
      <c r="I46" s="2"/>
    </row>
    <row r="47" spans="1:9" x14ac:dyDescent="0.15">
      <c r="A47" s="2"/>
      <c r="B47" s="2"/>
      <c r="C47" s="2"/>
      <c r="D47" s="2"/>
      <c r="E47" s="10"/>
      <c r="F47" s="2"/>
      <c r="G47" s="2"/>
      <c r="H47" s="2"/>
      <c r="I47" s="2"/>
    </row>
    <row r="48" spans="1:9" x14ac:dyDescent="0.15">
      <c r="A48" s="2"/>
      <c r="B48" s="2"/>
      <c r="C48" s="2"/>
      <c r="D48" s="2"/>
      <c r="E48" s="10"/>
      <c r="F48" s="2"/>
      <c r="G48" s="2"/>
      <c r="H48" s="2"/>
      <c r="I48" s="2"/>
    </row>
    <row r="49" spans="1:9" x14ac:dyDescent="0.15">
      <c r="A49" s="2"/>
      <c r="B49" s="2"/>
      <c r="C49" s="2"/>
      <c r="D49" s="2"/>
      <c r="E49" s="10"/>
      <c r="F49" s="2"/>
      <c r="G49" s="2"/>
      <c r="H49" s="2"/>
      <c r="I49" s="2"/>
    </row>
    <row r="50" spans="1:9" x14ac:dyDescent="0.15">
      <c r="A50" s="2"/>
      <c r="B50" s="2"/>
      <c r="C50" s="2"/>
      <c r="D50" s="2"/>
      <c r="E50" s="10"/>
      <c r="F50" s="2"/>
      <c r="G50" s="2"/>
      <c r="H50" s="2"/>
      <c r="I50" s="2"/>
    </row>
    <row r="51" spans="1:9" x14ac:dyDescent="0.15">
      <c r="A51" s="2"/>
      <c r="B51" s="2"/>
      <c r="C51" s="2"/>
      <c r="D51" s="2"/>
      <c r="E51" s="10"/>
      <c r="F51" s="2"/>
      <c r="G51" s="2"/>
      <c r="H51" s="2"/>
      <c r="I51" s="2"/>
    </row>
    <row r="52" spans="1:9" x14ac:dyDescent="0.15">
      <c r="A52" s="2"/>
      <c r="B52" s="2"/>
      <c r="C52" s="2"/>
      <c r="D52" s="2"/>
      <c r="E52" s="10"/>
      <c r="F52" s="2"/>
      <c r="G52" s="2"/>
      <c r="H52" s="2"/>
      <c r="I52" s="2"/>
    </row>
    <row r="53" spans="1:9" x14ac:dyDescent="0.15">
      <c r="A53" s="2"/>
      <c r="B53" s="2"/>
      <c r="C53" s="2"/>
      <c r="D53" s="2"/>
      <c r="E53" s="10"/>
      <c r="F53" s="2"/>
      <c r="G53" s="2"/>
      <c r="H53" s="2"/>
      <c r="I53" s="2"/>
    </row>
    <row r="54" spans="1:9" x14ac:dyDescent="0.15">
      <c r="A54" s="2"/>
      <c r="B54" s="2"/>
      <c r="C54" s="2"/>
      <c r="D54" s="2"/>
      <c r="E54" s="10"/>
      <c r="F54" s="2"/>
      <c r="G54" s="2"/>
      <c r="H54" s="2"/>
      <c r="I54" s="2"/>
    </row>
    <row r="55" spans="1:9" x14ac:dyDescent="0.15">
      <c r="A55" s="2"/>
      <c r="B55" s="2"/>
      <c r="C55" s="2"/>
      <c r="D55" s="2"/>
      <c r="E55" s="10"/>
      <c r="F55" s="2"/>
      <c r="G55" s="2"/>
      <c r="H55" s="2"/>
      <c r="I55" s="2"/>
    </row>
    <row r="56" spans="1:9" x14ac:dyDescent="0.15">
      <c r="A56" s="2"/>
      <c r="B56" s="2"/>
      <c r="C56" s="2"/>
      <c r="D56" s="2"/>
      <c r="E56" s="10"/>
      <c r="F56" s="2"/>
      <c r="G56" s="2"/>
      <c r="H56" s="2"/>
      <c r="I56" s="2"/>
    </row>
    <row r="57" spans="1:9" x14ac:dyDescent="0.15">
      <c r="A57" s="2"/>
      <c r="B57" s="2"/>
      <c r="C57" s="2"/>
      <c r="D57" s="2"/>
      <c r="E57" s="10"/>
      <c r="F57" s="2"/>
      <c r="G57" s="2"/>
      <c r="H57" s="2"/>
      <c r="I57" s="2"/>
    </row>
    <row r="58" spans="1:9" x14ac:dyDescent="0.15">
      <c r="A58" s="2"/>
      <c r="B58" s="2"/>
      <c r="C58" s="2"/>
      <c r="D58" s="2"/>
      <c r="E58" s="10"/>
      <c r="F58" s="2"/>
      <c r="G58" s="2"/>
      <c r="H58" s="2"/>
      <c r="I58" s="2"/>
    </row>
    <row r="59" spans="1:9" x14ac:dyDescent="0.15">
      <c r="A59" s="2"/>
      <c r="B59" s="2"/>
      <c r="C59" s="2"/>
      <c r="D59" s="2"/>
      <c r="E59" s="10"/>
      <c r="F59" s="2"/>
      <c r="G59" s="2"/>
      <c r="H59" s="2"/>
      <c r="I59" s="2"/>
    </row>
    <row r="60" spans="1:9" x14ac:dyDescent="0.15">
      <c r="A60" s="2"/>
      <c r="B60" s="2"/>
      <c r="C60" s="2"/>
      <c r="D60" s="2"/>
      <c r="E60" s="10"/>
      <c r="F60" s="2"/>
      <c r="G60" s="2"/>
      <c r="H60" s="2"/>
      <c r="I60" s="2"/>
    </row>
    <row r="61" spans="1:9" x14ac:dyDescent="0.15">
      <c r="A61" s="2"/>
      <c r="B61" s="2"/>
      <c r="C61" s="2"/>
      <c r="D61" s="2"/>
      <c r="E61" s="10"/>
      <c r="F61" s="2"/>
      <c r="G61" s="2"/>
      <c r="H61" s="2"/>
      <c r="I61" s="2"/>
    </row>
    <row r="62" spans="1:9" x14ac:dyDescent="0.15">
      <c r="A62" s="2"/>
      <c r="B62" s="2"/>
      <c r="C62" s="2"/>
      <c r="D62" s="2"/>
      <c r="E62" s="10"/>
      <c r="F62" s="2"/>
      <c r="G62" s="2"/>
      <c r="H62" s="2"/>
      <c r="I62" s="2"/>
    </row>
    <row r="63" spans="1:9" x14ac:dyDescent="0.15">
      <c r="A63" s="2"/>
      <c r="B63" s="2"/>
      <c r="C63" s="2"/>
      <c r="D63" s="2"/>
      <c r="E63" s="10"/>
      <c r="F63" s="2"/>
      <c r="G63" s="2"/>
      <c r="H63" s="2"/>
      <c r="I63" s="2"/>
    </row>
    <row r="64" spans="1:9" x14ac:dyDescent="0.15">
      <c r="A64" s="2"/>
      <c r="B64" s="2"/>
      <c r="C64" s="2"/>
      <c r="D64" s="2"/>
      <c r="E64" s="10"/>
      <c r="F64" s="2"/>
      <c r="G64" s="2"/>
      <c r="H64" s="2"/>
      <c r="I64" s="2"/>
    </row>
    <row r="65" spans="1:9" x14ac:dyDescent="0.15">
      <c r="A65" s="2"/>
      <c r="B65" s="2"/>
      <c r="C65" s="2"/>
      <c r="D65" s="2"/>
      <c r="E65" s="10"/>
      <c r="F65" s="2"/>
      <c r="G65" s="2"/>
      <c r="H65" s="2"/>
      <c r="I65" s="2"/>
    </row>
    <row r="66" spans="1:9" x14ac:dyDescent="0.15">
      <c r="A66" s="2"/>
      <c r="B66" s="2"/>
      <c r="C66" s="2"/>
      <c r="D66" s="2"/>
      <c r="E66" s="10"/>
      <c r="F66" s="2"/>
      <c r="G66" s="2"/>
      <c r="H66" s="2"/>
      <c r="I66" s="2"/>
    </row>
    <row r="67" spans="1:9" x14ac:dyDescent="0.15">
      <c r="A67" s="2"/>
      <c r="B67" s="2"/>
      <c r="C67" s="2"/>
      <c r="D67" s="2"/>
      <c r="E67" s="10"/>
      <c r="F67" s="2"/>
      <c r="G67" s="2"/>
      <c r="H67" s="2"/>
      <c r="I67" s="2"/>
    </row>
    <row r="68" spans="1:9" x14ac:dyDescent="0.15">
      <c r="A68" s="2"/>
      <c r="B68" s="2"/>
      <c r="C68" s="2"/>
      <c r="D68" s="2"/>
      <c r="E68" s="10"/>
      <c r="F68" s="2"/>
      <c r="G68" s="2"/>
      <c r="H68" s="2"/>
      <c r="I68" s="2"/>
    </row>
    <row r="69" spans="1:9" x14ac:dyDescent="0.15">
      <c r="A69" s="2"/>
      <c r="B69" s="2"/>
      <c r="C69" s="2"/>
      <c r="D69" s="2"/>
      <c r="E69" s="10"/>
      <c r="F69" s="2"/>
      <c r="G69" s="2"/>
      <c r="H69" s="2"/>
      <c r="I69" s="2"/>
    </row>
    <row r="70" spans="1:9" x14ac:dyDescent="0.15">
      <c r="A70" s="2"/>
      <c r="B70" s="2"/>
      <c r="C70" s="2"/>
      <c r="D70" s="2"/>
      <c r="E70" s="10"/>
      <c r="F70" s="2"/>
      <c r="G70" s="2"/>
      <c r="H70" s="2"/>
      <c r="I70" s="2"/>
    </row>
    <row r="71" spans="1:9" x14ac:dyDescent="0.15">
      <c r="A71" s="2"/>
      <c r="B71" s="2"/>
      <c r="C71" s="2"/>
      <c r="D71" s="2"/>
      <c r="E71" s="10"/>
      <c r="F71" s="2"/>
      <c r="G71" s="2"/>
      <c r="H71" s="2"/>
      <c r="I71" s="2"/>
    </row>
    <row r="72" spans="1:9" x14ac:dyDescent="0.15">
      <c r="A72" s="2"/>
      <c r="B72" s="2"/>
      <c r="C72" s="2"/>
      <c r="D72" s="2"/>
      <c r="E72" s="10"/>
      <c r="F72" s="2"/>
      <c r="G72" s="2"/>
      <c r="H72" s="2"/>
      <c r="I72" s="2"/>
    </row>
    <row r="73" spans="1:9" x14ac:dyDescent="0.15">
      <c r="A73" s="2"/>
      <c r="B73" s="2"/>
      <c r="C73" s="2"/>
      <c r="D73" s="2"/>
      <c r="E73" s="10"/>
      <c r="F73" s="2"/>
      <c r="G73" s="2"/>
      <c r="H73" s="2"/>
      <c r="I73" s="2"/>
    </row>
    <row r="74" spans="1:9" x14ac:dyDescent="0.15">
      <c r="A74" s="2"/>
      <c r="B74" s="2"/>
      <c r="C74" s="2"/>
      <c r="D74" s="2"/>
      <c r="E74" s="10"/>
      <c r="F74" s="2"/>
      <c r="G74" s="2"/>
      <c r="H74" s="2"/>
      <c r="I74" s="2"/>
    </row>
    <row r="75" spans="1:9" x14ac:dyDescent="0.15">
      <c r="A75" s="2"/>
      <c r="B75" s="2"/>
      <c r="C75" s="2"/>
      <c r="D75" s="2"/>
      <c r="E75" s="10"/>
      <c r="F75" s="2"/>
      <c r="G75" s="2"/>
      <c r="H75" s="2"/>
      <c r="I75" s="2"/>
    </row>
    <row r="76" spans="1:9" x14ac:dyDescent="0.15">
      <c r="A76" s="2"/>
      <c r="B76" s="2"/>
      <c r="C76" s="2"/>
      <c r="D76" s="2"/>
      <c r="E76" s="10"/>
      <c r="F76" s="2"/>
      <c r="G76" s="2"/>
      <c r="H76" s="2"/>
      <c r="I76" s="2"/>
    </row>
    <row r="77" spans="1:9" x14ac:dyDescent="0.15">
      <c r="A77" s="2"/>
      <c r="B77" s="2"/>
      <c r="C77" s="2"/>
      <c r="D77" s="2"/>
      <c r="E77" s="10"/>
      <c r="F77" s="2"/>
      <c r="G77" s="2"/>
      <c r="H77" s="2"/>
      <c r="I77" s="2"/>
    </row>
    <row r="78" spans="1:9" x14ac:dyDescent="0.15">
      <c r="A78" s="2"/>
      <c r="B78" s="2"/>
      <c r="C78" s="2"/>
      <c r="D78" s="2"/>
      <c r="E78" s="10"/>
      <c r="F78" s="2"/>
      <c r="G78" s="2"/>
      <c r="H78" s="2"/>
      <c r="I78" s="2"/>
    </row>
    <row r="79" spans="1:9" x14ac:dyDescent="0.15">
      <c r="A79" s="2"/>
      <c r="B79" s="2"/>
      <c r="C79" s="2"/>
      <c r="D79" s="2"/>
      <c r="E79" s="10"/>
      <c r="F79" s="2"/>
      <c r="G79" s="2"/>
      <c r="H79" s="2"/>
      <c r="I79" s="2"/>
    </row>
    <row r="80" spans="1:9" x14ac:dyDescent="0.15">
      <c r="A80" s="2"/>
      <c r="B80" s="2"/>
      <c r="C80" s="2"/>
      <c r="D80" s="2"/>
      <c r="E80" s="10"/>
      <c r="F80" s="2"/>
      <c r="G80" s="2"/>
      <c r="H80" s="2"/>
      <c r="I80" s="2"/>
    </row>
    <row r="81" spans="1:9" x14ac:dyDescent="0.15">
      <c r="A81" s="2"/>
      <c r="B81" s="2"/>
      <c r="C81" s="2"/>
      <c r="D81" s="2"/>
      <c r="E81" s="10"/>
      <c r="F81" s="2"/>
      <c r="G81" s="2"/>
      <c r="H81" s="2"/>
      <c r="I81" s="2"/>
    </row>
    <row r="82" spans="1:9" x14ac:dyDescent="0.15">
      <c r="A82" s="2"/>
      <c r="B82" s="2"/>
      <c r="C82" s="2"/>
      <c r="D82" s="2"/>
      <c r="E82" s="10"/>
      <c r="F82" s="2"/>
      <c r="G82" s="2"/>
      <c r="H82" s="2"/>
      <c r="I82" s="2"/>
    </row>
    <row r="83" spans="1:9" x14ac:dyDescent="0.15">
      <c r="A83" s="2"/>
      <c r="B83" s="2"/>
      <c r="C83" s="2"/>
      <c r="D83" s="2"/>
      <c r="E83" s="10"/>
      <c r="F83" s="2"/>
      <c r="G83" s="2"/>
      <c r="H83" s="2"/>
      <c r="I83" s="2"/>
    </row>
    <row r="84" spans="1:9" x14ac:dyDescent="0.15">
      <c r="A84" s="2"/>
      <c r="B84" s="2"/>
      <c r="C84" s="2"/>
      <c r="D84" s="2"/>
      <c r="E84" s="10"/>
      <c r="F84" s="2"/>
      <c r="G84" s="2"/>
      <c r="H84" s="2"/>
      <c r="I84" s="2"/>
    </row>
    <row r="85" spans="1:9" x14ac:dyDescent="0.15">
      <c r="A85" s="2"/>
      <c r="B85" s="2"/>
      <c r="C85" s="2"/>
      <c r="D85" s="2"/>
      <c r="E85" s="10"/>
      <c r="F85" s="2"/>
      <c r="G85" s="2"/>
      <c r="H85" s="2"/>
      <c r="I85" s="2"/>
    </row>
    <row r="86" spans="1:9" x14ac:dyDescent="0.15">
      <c r="A86" s="2"/>
      <c r="B86" s="2"/>
      <c r="C86" s="2"/>
      <c r="D86" s="2"/>
      <c r="E86" s="10"/>
      <c r="F86" s="2"/>
      <c r="G86" s="2"/>
      <c r="H86" s="2"/>
      <c r="I86" s="2"/>
    </row>
    <row r="87" spans="1:9" x14ac:dyDescent="0.15">
      <c r="A87" s="2"/>
      <c r="B87" s="2"/>
      <c r="C87" s="2"/>
      <c r="D87" s="2"/>
      <c r="E87" s="10"/>
      <c r="F87" s="2"/>
      <c r="G87" s="2"/>
      <c r="H87" s="2"/>
      <c r="I87" s="2"/>
    </row>
    <row r="88" spans="1:9" x14ac:dyDescent="0.15">
      <c r="A88" s="2"/>
      <c r="B88" s="2"/>
      <c r="C88" s="2"/>
      <c r="D88" s="2"/>
      <c r="E88" s="10"/>
      <c r="F88" s="2"/>
      <c r="G88" s="2"/>
      <c r="H88" s="2"/>
      <c r="I88" s="2"/>
    </row>
    <row r="89" spans="1:9" x14ac:dyDescent="0.15">
      <c r="A89" s="2"/>
      <c r="B89" s="2"/>
      <c r="C89" s="2"/>
      <c r="D89" s="2"/>
      <c r="E89" s="10"/>
      <c r="F89" s="2"/>
      <c r="G89" s="2"/>
      <c r="H89" s="2"/>
      <c r="I89" s="2"/>
    </row>
    <row r="90" spans="1:9" x14ac:dyDescent="0.15">
      <c r="A90" s="2"/>
      <c r="B90" s="2"/>
      <c r="C90" s="2"/>
      <c r="D90" s="2"/>
      <c r="E90" s="10"/>
      <c r="F90" s="2"/>
      <c r="G90" s="2"/>
      <c r="H90" s="2"/>
      <c r="I90" s="2"/>
    </row>
    <row r="91" spans="1:9" x14ac:dyDescent="0.15">
      <c r="A91" s="2"/>
      <c r="B91" s="2"/>
      <c r="C91" s="2"/>
      <c r="D91" s="2"/>
      <c r="E91" s="10"/>
      <c r="F91" s="2"/>
      <c r="G91" s="2"/>
      <c r="H91" s="2"/>
      <c r="I91" s="2"/>
    </row>
    <row r="92" spans="1:9" x14ac:dyDescent="0.15">
      <c r="A92" s="2"/>
      <c r="B92" s="2"/>
      <c r="C92" s="2"/>
      <c r="D92" s="2"/>
      <c r="E92" s="10"/>
      <c r="F92" s="2"/>
      <c r="G92" s="2"/>
      <c r="H92" s="2"/>
      <c r="I92" s="2"/>
    </row>
    <row r="93" spans="1:9" x14ac:dyDescent="0.15">
      <c r="A93" s="2"/>
      <c r="B93" s="2"/>
      <c r="C93" s="2"/>
      <c r="D93" s="2"/>
      <c r="E93" s="10"/>
      <c r="F93" s="2"/>
      <c r="G93" s="2"/>
      <c r="H93" s="2"/>
      <c r="I93" s="2"/>
    </row>
    <row r="94" spans="1:9" x14ac:dyDescent="0.15">
      <c r="A94" s="2"/>
      <c r="B94" s="2"/>
      <c r="C94" s="2"/>
      <c r="D94" s="2"/>
      <c r="E94" s="10"/>
      <c r="F94" s="2"/>
      <c r="G94" s="2"/>
      <c r="H94" s="2"/>
      <c r="I94" s="2"/>
    </row>
    <row r="95" spans="1:9" x14ac:dyDescent="0.15">
      <c r="A95" s="2"/>
      <c r="B95" s="2"/>
      <c r="C95" s="2"/>
      <c r="D95" s="2"/>
      <c r="E95" s="10"/>
      <c r="F95" s="2"/>
      <c r="G95" s="2"/>
      <c r="H95" s="2"/>
      <c r="I95" s="2"/>
    </row>
    <row r="96" spans="1:9" x14ac:dyDescent="0.15">
      <c r="A96" s="2"/>
      <c r="B96" s="2"/>
      <c r="C96" s="2"/>
      <c r="D96" s="2"/>
      <c r="E96" s="10"/>
      <c r="F96" s="2"/>
      <c r="G96" s="2"/>
      <c r="H96" s="2"/>
      <c r="I96" s="2"/>
    </row>
    <row r="97" spans="1:9" x14ac:dyDescent="0.15">
      <c r="A97" s="2"/>
      <c r="B97" s="2"/>
      <c r="C97" s="2"/>
      <c r="D97" s="2"/>
      <c r="E97" s="10"/>
      <c r="F97" s="2"/>
      <c r="G97" s="2"/>
      <c r="H97" s="2"/>
      <c r="I97" s="2"/>
    </row>
    <row r="98" spans="1:9" x14ac:dyDescent="0.15">
      <c r="A98" s="2"/>
      <c r="B98" s="2"/>
      <c r="C98" s="2"/>
      <c r="D98" s="2"/>
      <c r="E98" s="10"/>
      <c r="F98" s="2"/>
      <c r="G98" s="2"/>
      <c r="H98" s="2"/>
      <c r="I98" s="2"/>
    </row>
    <row r="99" spans="1:9" x14ac:dyDescent="0.15">
      <c r="A99" s="2"/>
      <c r="B99" s="2"/>
      <c r="C99" s="2"/>
      <c r="D99" s="2"/>
      <c r="E99" s="10"/>
      <c r="F99" s="2"/>
      <c r="G99" s="2"/>
      <c r="H99" s="2"/>
      <c r="I99" s="2"/>
    </row>
    <row r="100" spans="1:9" x14ac:dyDescent="0.15">
      <c r="A100" s="2"/>
      <c r="B100" s="2"/>
      <c r="C100" s="2"/>
      <c r="D100" s="2"/>
      <c r="E100" s="10"/>
      <c r="F100" s="2"/>
      <c r="G100" s="2"/>
      <c r="H100" s="2"/>
      <c r="I100" s="2"/>
    </row>
    <row r="101" spans="1:9" x14ac:dyDescent="0.15">
      <c r="A101" s="2"/>
      <c r="B101" s="2"/>
      <c r="C101" s="2"/>
      <c r="D101" s="2"/>
      <c r="E101" s="10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0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0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0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0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0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0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0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0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0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0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0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0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0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0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0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0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0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0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0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0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0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0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0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0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0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0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0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0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0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0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0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0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0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0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0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0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0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0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0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0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0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0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0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0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0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0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0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0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0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0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0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0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0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0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0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0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0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0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0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0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0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0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0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0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0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0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0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0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0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0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0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0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0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0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0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0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0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0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0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0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0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0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0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0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0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0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0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0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0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0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0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0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0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0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0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0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0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0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0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0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0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0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0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0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0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0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0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0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0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0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0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0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0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0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0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0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0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0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0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0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0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0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0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0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0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0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0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0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0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0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0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0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0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0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0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0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0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0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0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0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0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0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0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0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0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0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0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0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0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0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0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0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0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0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0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0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0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0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0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0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0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0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0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0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0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0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0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0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0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0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0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0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0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0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0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0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0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0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0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0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0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0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0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0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0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0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0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0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0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0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0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0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0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0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0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0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0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0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0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0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0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0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0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0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0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0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0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0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0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0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0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0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0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0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0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0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0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0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0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0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0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0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0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0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0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0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0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0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0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0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0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0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0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0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0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0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0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0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0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0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0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0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0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0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0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0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0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0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0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0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0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0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0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0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0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0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0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0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0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0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0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0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0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0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0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0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0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0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0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0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0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0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0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0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0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0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0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0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0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0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0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0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0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0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0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0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0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0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0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0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0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0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0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0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0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0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0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0"/>
      <c r="F399" s="2"/>
      <c r="G399" s="2"/>
      <c r="H399" s="2"/>
      <c r="I399" s="2"/>
    </row>
    <row r="400" spans="1:9" x14ac:dyDescent="0.15">
      <c r="A400" s="2"/>
      <c r="B400" s="2"/>
      <c r="C400" s="2"/>
      <c r="D400" s="2"/>
      <c r="E400" s="10"/>
      <c r="F400" s="2"/>
      <c r="G400" s="2"/>
      <c r="H400" s="2"/>
      <c r="I400" s="2"/>
    </row>
    <row r="401" spans="1:9" x14ac:dyDescent="0.15">
      <c r="A401" s="2"/>
      <c r="B401" s="2"/>
      <c r="C401" s="2"/>
      <c r="D401" s="2"/>
      <c r="E401" s="10"/>
      <c r="F401" s="2"/>
      <c r="G401" s="2"/>
      <c r="H401" s="2"/>
      <c r="I401" s="2"/>
    </row>
    <row r="402" spans="1:9" x14ac:dyDescent="0.15">
      <c r="A402" s="2"/>
      <c r="B402" s="2"/>
      <c r="C402" s="2"/>
      <c r="D402" s="2"/>
      <c r="E402" s="10"/>
      <c r="F402" s="2"/>
      <c r="G402" s="2"/>
      <c r="H402" s="2"/>
      <c r="I402" s="2"/>
    </row>
    <row r="403" spans="1:9" x14ac:dyDescent="0.15">
      <c r="A403" s="2"/>
      <c r="B403" s="2"/>
      <c r="C403" s="2"/>
      <c r="D403" s="2"/>
      <c r="E403" s="10"/>
      <c r="F403" s="2"/>
      <c r="G403" s="2"/>
      <c r="H403" s="2"/>
      <c r="I403" s="2"/>
    </row>
    <row r="404" spans="1:9" x14ac:dyDescent="0.15">
      <c r="A404" s="2"/>
      <c r="B404" s="2"/>
      <c r="C404" s="2"/>
      <c r="D404" s="2"/>
      <c r="E404" s="10"/>
      <c r="F404" s="2"/>
      <c r="G404" s="2"/>
      <c r="H404" s="2"/>
      <c r="I404" s="2"/>
    </row>
    <row r="405" spans="1:9" x14ac:dyDescent="0.15">
      <c r="A405" s="2"/>
      <c r="B405" s="2"/>
      <c r="C405" s="2"/>
      <c r="D405" s="2"/>
      <c r="E405" s="10"/>
      <c r="F405" s="2"/>
      <c r="G405" s="2"/>
      <c r="H405" s="2"/>
      <c r="I405" s="2"/>
    </row>
    <row r="406" spans="1:9" x14ac:dyDescent="0.15">
      <c r="A406" s="2"/>
      <c r="B406" s="2"/>
      <c r="C406" s="2"/>
      <c r="D406" s="2"/>
      <c r="E406" s="10"/>
      <c r="F406" s="2"/>
      <c r="G406" s="2"/>
      <c r="H406" s="2"/>
      <c r="I406" s="2"/>
    </row>
    <row r="407" spans="1:9" x14ac:dyDescent="0.15">
      <c r="A407" s="2"/>
      <c r="B407" s="2"/>
      <c r="C407" s="2"/>
      <c r="D407" s="2"/>
      <c r="E407" s="10"/>
      <c r="F407" s="2"/>
      <c r="G407" s="2"/>
      <c r="H407" s="2"/>
      <c r="I407" s="2"/>
    </row>
    <row r="408" spans="1:9" x14ac:dyDescent="0.15">
      <c r="A408" s="2"/>
      <c r="B408" s="2"/>
      <c r="C408" s="2"/>
      <c r="D408" s="2"/>
      <c r="E408" s="10"/>
      <c r="F408" s="2"/>
      <c r="G408" s="2"/>
      <c r="H408" s="2"/>
      <c r="I408" s="2"/>
    </row>
    <row r="409" spans="1:9" x14ac:dyDescent="0.15">
      <c r="A409" s="2"/>
      <c r="B409" s="2"/>
      <c r="C409" s="2"/>
      <c r="D409" s="2"/>
      <c r="E409" s="10"/>
      <c r="F409" s="2"/>
      <c r="G409" s="2"/>
      <c r="H409" s="2"/>
      <c r="I409" s="2"/>
    </row>
    <row r="410" spans="1:9" x14ac:dyDescent="0.15">
      <c r="A410" s="2"/>
      <c r="B410" s="2"/>
      <c r="C410" s="2"/>
      <c r="D410" s="2"/>
      <c r="E410" s="10"/>
      <c r="F410" s="2"/>
      <c r="G410" s="2"/>
      <c r="H410" s="2"/>
      <c r="I410" s="2"/>
    </row>
    <row r="411" spans="1:9" x14ac:dyDescent="0.15">
      <c r="A411" s="2"/>
      <c r="B411" s="2"/>
      <c r="C411" s="2"/>
      <c r="D411" s="2"/>
      <c r="E411" s="10"/>
      <c r="F411" s="2"/>
      <c r="G411" s="2"/>
      <c r="H411" s="2"/>
      <c r="I411" s="2"/>
    </row>
    <row r="412" spans="1:9" x14ac:dyDescent="0.15">
      <c r="A412" s="2"/>
      <c r="B412" s="2"/>
      <c r="C412" s="2"/>
      <c r="D412" s="2"/>
      <c r="E412" s="10"/>
      <c r="F412" s="2"/>
      <c r="G412" s="2"/>
      <c r="H412" s="2"/>
      <c r="I412" s="2"/>
    </row>
    <row r="413" spans="1:9" x14ac:dyDescent="0.15">
      <c r="A413" s="2"/>
      <c r="B413" s="2"/>
      <c r="C413" s="2"/>
      <c r="D413" s="2"/>
      <c r="E413" s="10"/>
      <c r="F413" s="2"/>
      <c r="G413" s="2"/>
      <c r="H413" s="2"/>
      <c r="I413" s="2"/>
    </row>
    <row r="414" spans="1:9" x14ac:dyDescent="0.15">
      <c r="A414" s="2"/>
      <c r="B414" s="2"/>
      <c r="C414" s="2"/>
      <c r="D414" s="2"/>
      <c r="E414" s="10"/>
      <c r="F414" s="2"/>
      <c r="G414" s="2"/>
      <c r="H414" s="2"/>
      <c r="I414" s="2"/>
    </row>
    <row r="415" spans="1:9" x14ac:dyDescent="0.15">
      <c r="A415" s="2"/>
      <c r="B415" s="2"/>
      <c r="C415" s="2"/>
      <c r="D415" s="2"/>
      <c r="E415" s="10"/>
      <c r="F415" s="2"/>
      <c r="G415" s="2"/>
      <c r="H415" s="2"/>
      <c r="I415" s="2"/>
    </row>
    <row r="416" spans="1:9" x14ac:dyDescent="0.15">
      <c r="A416" s="2"/>
      <c r="B416" s="2"/>
      <c r="C416" s="2"/>
      <c r="D416" s="2"/>
      <c r="E416" s="10"/>
      <c r="F416" s="2"/>
      <c r="G416" s="2"/>
      <c r="H416" s="2"/>
      <c r="I416" s="2"/>
    </row>
    <row r="417" spans="1:9" x14ac:dyDescent="0.15">
      <c r="A417" s="2"/>
      <c r="B417" s="2"/>
      <c r="C417" s="2"/>
      <c r="D417" s="2"/>
      <c r="E417" s="10"/>
      <c r="F417" s="2"/>
      <c r="G417" s="2"/>
      <c r="H417" s="2"/>
      <c r="I417" s="2"/>
    </row>
    <row r="418" spans="1:9" x14ac:dyDescent="0.15">
      <c r="A418" s="2"/>
      <c r="B418" s="2"/>
      <c r="C418" s="2"/>
      <c r="D418" s="2"/>
      <c r="E418" s="10"/>
      <c r="F418" s="2"/>
      <c r="G418" s="2"/>
      <c r="H418" s="2"/>
      <c r="I418" s="2"/>
    </row>
    <row r="419" spans="1:9" x14ac:dyDescent="0.15">
      <c r="A419" s="2"/>
      <c r="B419" s="2"/>
      <c r="C419" s="2"/>
      <c r="D419" s="2"/>
      <c r="E419" s="10"/>
      <c r="F419" s="2"/>
      <c r="G419" s="2"/>
      <c r="H419" s="2"/>
      <c r="I419" s="2"/>
    </row>
    <row r="420" spans="1:9" x14ac:dyDescent="0.15">
      <c r="A420" s="2"/>
      <c r="B420" s="2"/>
      <c r="C420" s="2"/>
      <c r="D420" s="2"/>
      <c r="E420" s="10"/>
      <c r="F420" s="2"/>
      <c r="G420" s="2"/>
      <c r="H420" s="2"/>
      <c r="I420" s="2"/>
    </row>
    <row r="421" spans="1:9" x14ac:dyDescent="0.15">
      <c r="A421" s="2"/>
      <c r="B421" s="2"/>
      <c r="C421" s="2"/>
      <c r="D421" s="2"/>
      <c r="E421" s="10"/>
      <c r="F421" s="2"/>
      <c r="G421" s="2"/>
      <c r="H421" s="2"/>
      <c r="I421" s="2"/>
    </row>
    <row r="422" spans="1:9" x14ac:dyDescent="0.15">
      <c r="A422" s="2"/>
      <c r="B422" s="2"/>
      <c r="C422" s="2"/>
      <c r="D422" s="2"/>
      <c r="E422" s="10"/>
      <c r="F422" s="2"/>
      <c r="G422" s="2"/>
      <c r="H422" s="2"/>
      <c r="I422" s="2"/>
    </row>
    <row r="423" spans="1:9" x14ac:dyDescent="0.15">
      <c r="A423" s="2"/>
      <c r="B423" s="2"/>
      <c r="C423" s="2"/>
      <c r="D423" s="2"/>
      <c r="E423" s="10"/>
      <c r="F423" s="2"/>
      <c r="G423" s="2"/>
      <c r="H423" s="2"/>
      <c r="I423" s="2"/>
    </row>
    <row r="424" spans="1:9" x14ac:dyDescent="0.15">
      <c r="A424" s="2"/>
      <c r="B424" s="2"/>
      <c r="C424" s="2"/>
      <c r="D424" s="2"/>
      <c r="E424" s="10"/>
      <c r="F424" s="2"/>
      <c r="G424" s="2"/>
      <c r="H424" s="2"/>
      <c r="I424" s="2"/>
    </row>
    <row r="425" spans="1:9" x14ac:dyDescent="0.15">
      <c r="A425" s="2"/>
      <c r="B425" s="2"/>
      <c r="C425" s="2"/>
      <c r="D425" s="2"/>
      <c r="E425" s="10"/>
      <c r="F425" s="2"/>
      <c r="G425" s="2"/>
      <c r="H425" s="2"/>
      <c r="I425" s="2"/>
    </row>
    <row r="426" spans="1:9" x14ac:dyDescent="0.15">
      <c r="A426" s="2"/>
      <c r="B426" s="2"/>
      <c r="C426" s="2"/>
      <c r="D426" s="2"/>
      <c r="E426" s="10"/>
      <c r="F426" s="2"/>
      <c r="G426" s="2"/>
      <c r="H426" s="2"/>
      <c r="I426" s="2"/>
    </row>
    <row r="427" spans="1:9" x14ac:dyDescent="0.15">
      <c r="A427" s="2"/>
      <c r="B427" s="2"/>
      <c r="C427" s="2"/>
      <c r="D427" s="2"/>
      <c r="E427" s="10"/>
      <c r="F427" s="2"/>
      <c r="G427" s="2"/>
      <c r="H427" s="2"/>
      <c r="I427" s="2"/>
    </row>
    <row r="428" spans="1:9" x14ac:dyDescent="0.15">
      <c r="A428" s="2"/>
      <c r="B428" s="2"/>
      <c r="C428" s="2"/>
      <c r="D428" s="2"/>
      <c r="E428" s="10"/>
      <c r="F428" s="2"/>
      <c r="G428" s="2"/>
      <c r="H428" s="2"/>
      <c r="I428" s="2"/>
    </row>
    <row r="429" spans="1:9" x14ac:dyDescent="0.15">
      <c r="A429" s="2"/>
      <c r="B429" s="2"/>
      <c r="C429" s="2"/>
      <c r="D429" s="2"/>
      <c r="E429" s="10"/>
      <c r="F429" s="2"/>
      <c r="G429" s="2"/>
      <c r="H429" s="2"/>
      <c r="I429" s="2"/>
    </row>
    <row r="430" spans="1:9" x14ac:dyDescent="0.15">
      <c r="A430" s="2"/>
      <c r="B430" s="2"/>
      <c r="C430" s="2"/>
      <c r="D430" s="2"/>
      <c r="E430" s="10"/>
      <c r="F430" s="2"/>
      <c r="G430" s="2"/>
      <c r="H430" s="2"/>
      <c r="I430" s="2"/>
    </row>
    <row r="431" spans="1:9" x14ac:dyDescent="0.15">
      <c r="A431" s="2"/>
      <c r="B431" s="2"/>
      <c r="C431" s="2"/>
      <c r="D431" s="2"/>
      <c r="E431" s="10"/>
      <c r="F431" s="2"/>
      <c r="G431" s="2"/>
      <c r="H431" s="2"/>
      <c r="I431" s="2"/>
    </row>
    <row r="432" spans="1:9" x14ac:dyDescent="0.15">
      <c r="A432" s="2"/>
      <c r="B432" s="2"/>
      <c r="C432" s="2"/>
      <c r="D432" s="2"/>
      <c r="E432" s="10"/>
      <c r="F432" s="2"/>
      <c r="G432" s="2"/>
      <c r="H432" s="2"/>
      <c r="I432" s="2"/>
    </row>
    <row r="433" spans="1:9" x14ac:dyDescent="0.15">
      <c r="A433" s="2"/>
      <c r="B433" s="2"/>
      <c r="C433" s="2"/>
      <c r="D433" s="2"/>
      <c r="E433" s="10"/>
      <c r="F433" s="2"/>
      <c r="G433" s="2"/>
      <c r="H433" s="2"/>
      <c r="I433" s="2"/>
    </row>
    <row r="434" spans="1:9" x14ac:dyDescent="0.15">
      <c r="A434" s="2"/>
      <c r="B434" s="2"/>
      <c r="C434" s="2"/>
      <c r="D434" s="2"/>
      <c r="E434" s="10"/>
      <c r="F434" s="2"/>
      <c r="G434" s="2"/>
      <c r="H434" s="2"/>
      <c r="I434" s="2"/>
    </row>
    <row r="435" spans="1:9" x14ac:dyDescent="0.15">
      <c r="A435" s="2"/>
      <c r="B435" s="2"/>
      <c r="C435" s="2"/>
      <c r="D435" s="2"/>
      <c r="E435" s="10"/>
      <c r="F435" s="2"/>
      <c r="G435" s="2"/>
      <c r="H435" s="2"/>
      <c r="I435" s="2"/>
    </row>
    <row r="436" spans="1:9" x14ac:dyDescent="0.15">
      <c r="A436" s="2"/>
      <c r="B436" s="2"/>
      <c r="C436" s="2"/>
      <c r="D436" s="2"/>
      <c r="E436" s="10"/>
      <c r="F436" s="2"/>
      <c r="G436" s="2"/>
      <c r="H436" s="2"/>
      <c r="I436" s="2"/>
    </row>
    <row r="437" spans="1:9" x14ac:dyDescent="0.15">
      <c r="A437" s="2"/>
      <c r="B437" s="2"/>
      <c r="C437" s="2"/>
      <c r="D437" s="2"/>
      <c r="E437" s="10"/>
      <c r="F437" s="2"/>
      <c r="G437" s="2"/>
      <c r="H437" s="2"/>
      <c r="I437" s="2"/>
    </row>
    <row r="438" spans="1:9" x14ac:dyDescent="0.15">
      <c r="A438" s="2"/>
      <c r="B438" s="2"/>
      <c r="C438" s="2"/>
      <c r="D438" s="2"/>
      <c r="E438" s="10"/>
      <c r="F438" s="2"/>
      <c r="G438" s="2"/>
      <c r="H438" s="2"/>
      <c r="I438" s="2"/>
    </row>
    <row r="439" spans="1:9" x14ac:dyDescent="0.15">
      <c r="A439" s="2"/>
      <c r="B439" s="2"/>
      <c r="C439" s="2"/>
      <c r="D439" s="2"/>
      <c r="E439" s="10"/>
      <c r="F439" s="2"/>
      <c r="G439" s="2"/>
      <c r="H439" s="2"/>
      <c r="I439" s="2"/>
    </row>
    <row r="440" spans="1:9" x14ac:dyDescent="0.15">
      <c r="A440" s="2"/>
      <c r="B440" s="2"/>
      <c r="C440" s="2"/>
      <c r="D440" s="2"/>
      <c r="E440" s="10"/>
      <c r="F440" s="2"/>
      <c r="G440" s="2"/>
      <c r="H440" s="2"/>
      <c r="I440" s="2"/>
    </row>
    <row r="441" spans="1:9" x14ac:dyDescent="0.15">
      <c r="A441" s="2"/>
      <c r="B441" s="2"/>
      <c r="C441" s="2"/>
      <c r="D441" s="2"/>
      <c r="E441" s="10"/>
      <c r="F441" s="2"/>
      <c r="G441" s="2"/>
      <c r="H441" s="2"/>
      <c r="I441" s="2"/>
    </row>
    <row r="442" spans="1:9" x14ac:dyDescent="0.15">
      <c r="A442" s="2"/>
      <c r="B442" s="2"/>
      <c r="C442" s="2"/>
      <c r="D442" s="2"/>
      <c r="E442" s="10"/>
      <c r="F442" s="2"/>
      <c r="G442" s="2"/>
      <c r="H442" s="2"/>
      <c r="I442" s="2"/>
    </row>
    <row r="443" spans="1:9" x14ac:dyDescent="0.15">
      <c r="A443" s="2"/>
      <c r="B443" s="2"/>
      <c r="C443" s="2"/>
      <c r="D443" s="2"/>
      <c r="E443" s="10"/>
      <c r="F443" s="2"/>
      <c r="G443" s="2"/>
      <c r="H443" s="2"/>
      <c r="I443" s="2"/>
    </row>
    <row r="444" spans="1:9" x14ac:dyDescent="0.15">
      <c r="A444" s="2"/>
      <c r="B444" s="2"/>
      <c r="C444" s="2"/>
      <c r="D444" s="2"/>
      <c r="E444" s="10"/>
      <c r="F444" s="2"/>
      <c r="G444" s="2"/>
      <c r="H444" s="2"/>
      <c r="I444" s="2"/>
    </row>
    <row r="445" spans="1:9" x14ac:dyDescent="0.15">
      <c r="A445" s="2"/>
      <c r="B445" s="2"/>
      <c r="C445" s="2"/>
      <c r="D445" s="2"/>
      <c r="E445" s="10"/>
      <c r="F445" s="2"/>
      <c r="G445" s="2"/>
      <c r="H445" s="2"/>
      <c r="I445" s="2"/>
    </row>
    <row r="446" spans="1:9" x14ac:dyDescent="0.15">
      <c r="A446" s="2"/>
      <c r="B446" s="2"/>
      <c r="C446" s="2"/>
      <c r="D446" s="2"/>
      <c r="E446" s="10"/>
      <c r="F446" s="2"/>
      <c r="G446" s="2"/>
      <c r="H446" s="2"/>
      <c r="I446" s="2"/>
    </row>
    <row r="447" spans="1:9" x14ac:dyDescent="0.15">
      <c r="A447" s="2"/>
      <c r="B447" s="2"/>
      <c r="C447" s="2"/>
      <c r="D447" s="2"/>
      <c r="E447" s="10"/>
      <c r="F447" s="2"/>
      <c r="G447" s="2"/>
      <c r="H447" s="2"/>
      <c r="I447" s="2"/>
    </row>
    <row r="448" spans="1:9" x14ac:dyDescent="0.15">
      <c r="A448" s="2"/>
      <c r="B448" s="2"/>
      <c r="C448" s="2"/>
      <c r="D448" s="2"/>
      <c r="E448" s="10"/>
      <c r="F448" s="2"/>
      <c r="G448" s="2"/>
      <c r="H448" s="2"/>
      <c r="I448" s="2"/>
    </row>
    <row r="449" spans="1:9" x14ac:dyDescent="0.15">
      <c r="A449" s="2"/>
      <c r="B449" s="2"/>
      <c r="C449" s="2"/>
      <c r="D449" s="2"/>
      <c r="E449" s="10"/>
      <c r="F449" s="2"/>
      <c r="G449" s="2"/>
      <c r="H449" s="2"/>
      <c r="I449" s="2"/>
    </row>
    <row r="450" spans="1:9" x14ac:dyDescent="0.15">
      <c r="A450" s="2"/>
      <c r="B450" s="2"/>
      <c r="C450" s="2"/>
      <c r="D450" s="2"/>
      <c r="E450" s="10"/>
      <c r="F450" s="2"/>
      <c r="G450" s="2"/>
      <c r="H450" s="2"/>
      <c r="I450" s="2"/>
    </row>
    <row r="451" spans="1:9" x14ac:dyDescent="0.15">
      <c r="A451" s="2"/>
      <c r="B451" s="2"/>
      <c r="C451" s="2"/>
      <c r="D451" s="2"/>
      <c r="E451" s="10"/>
      <c r="F451" s="2"/>
      <c r="G451" s="2"/>
      <c r="H451" s="2"/>
      <c r="I451" s="2"/>
    </row>
    <row r="452" spans="1:9" x14ac:dyDescent="0.15">
      <c r="A452" s="2"/>
      <c r="B452" s="2"/>
      <c r="C452" s="2"/>
      <c r="D452" s="2"/>
      <c r="E452" s="10"/>
      <c r="F452" s="2"/>
      <c r="G452" s="2"/>
      <c r="H452" s="2"/>
      <c r="I452" s="2"/>
    </row>
    <row r="453" spans="1:9" x14ac:dyDescent="0.15">
      <c r="A453" s="2"/>
      <c r="B453" s="2"/>
      <c r="C453" s="2"/>
      <c r="D453" s="2"/>
      <c r="E453" s="10"/>
      <c r="F453" s="2"/>
      <c r="G453" s="2"/>
      <c r="H453" s="2"/>
      <c r="I453" s="2"/>
    </row>
    <row r="454" spans="1:9" x14ac:dyDescent="0.15">
      <c r="A454" s="2"/>
      <c r="B454" s="2"/>
      <c r="C454" s="2"/>
      <c r="D454" s="2"/>
      <c r="E454" s="10"/>
      <c r="F454" s="2"/>
      <c r="G454" s="2"/>
      <c r="H454" s="2"/>
      <c r="I454" s="2"/>
    </row>
    <row r="455" spans="1:9" x14ac:dyDescent="0.15">
      <c r="A455" s="2"/>
      <c r="B455" s="2"/>
      <c r="C455" s="2"/>
      <c r="D455" s="2"/>
      <c r="E455" s="10"/>
      <c r="F455" s="2"/>
      <c r="G455" s="2"/>
      <c r="H455" s="2"/>
      <c r="I455" s="2"/>
    </row>
    <row r="456" spans="1:9" x14ac:dyDescent="0.15">
      <c r="A456" s="2"/>
      <c r="B456" s="2"/>
      <c r="C456" s="2"/>
      <c r="D456" s="2"/>
      <c r="E456" s="10"/>
      <c r="F456" s="2"/>
      <c r="G456" s="2"/>
      <c r="H456" s="2"/>
      <c r="I456" s="2"/>
    </row>
    <row r="457" spans="1:9" x14ac:dyDescent="0.15">
      <c r="A457" s="2"/>
      <c r="B457" s="2"/>
      <c r="C457" s="2"/>
      <c r="D457" s="2"/>
      <c r="E457" s="10"/>
      <c r="F457" s="2"/>
      <c r="G457" s="2"/>
      <c r="H457" s="2"/>
      <c r="I457" s="2"/>
    </row>
    <row r="458" spans="1:9" x14ac:dyDescent="0.15">
      <c r="A458" s="2"/>
      <c r="B458" s="2"/>
      <c r="C458" s="2"/>
      <c r="D458" s="2"/>
      <c r="E458" s="10"/>
      <c r="F458" s="2"/>
      <c r="G458" s="2"/>
      <c r="H458" s="2"/>
      <c r="I458" s="2"/>
    </row>
    <row r="459" spans="1:9" x14ac:dyDescent="0.15">
      <c r="A459" s="2"/>
      <c r="B459" s="2"/>
      <c r="C459" s="2"/>
      <c r="D459" s="2"/>
      <c r="E459" s="10"/>
      <c r="F459" s="2"/>
      <c r="G459" s="2"/>
      <c r="H459" s="2"/>
      <c r="I459" s="2"/>
    </row>
    <row r="460" spans="1:9" x14ac:dyDescent="0.15">
      <c r="A460" s="2"/>
      <c r="B460" s="2"/>
      <c r="C460" s="2"/>
      <c r="D460" s="2"/>
      <c r="E460" s="10"/>
      <c r="F460" s="2"/>
      <c r="G460" s="2"/>
      <c r="H460" s="2"/>
      <c r="I460" s="2"/>
    </row>
    <row r="461" spans="1:9" x14ac:dyDescent="0.15">
      <c r="A461" s="2"/>
      <c r="B461" s="2"/>
      <c r="C461" s="2"/>
      <c r="D461" s="2"/>
      <c r="E461" s="10"/>
      <c r="F461" s="2"/>
      <c r="G461" s="2"/>
      <c r="H461" s="2"/>
      <c r="I461" s="2"/>
    </row>
    <row r="462" spans="1:9" x14ac:dyDescent="0.15">
      <c r="A462" s="2"/>
      <c r="B462" s="2"/>
      <c r="C462" s="2"/>
      <c r="D462" s="2"/>
      <c r="E462" s="10"/>
      <c r="F462" s="2"/>
      <c r="G462" s="2"/>
      <c r="H462" s="2"/>
      <c r="I462" s="2"/>
    </row>
    <row r="463" spans="1:9" x14ac:dyDescent="0.15">
      <c r="A463" s="2"/>
      <c r="B463" s="2"/>
      <c r="C463" s="2"/>
      <c r="D463" s="2"/>
      <c r="E463" s="10"/>
      <c r="F463" s="2"/>
      <c r="G463" s="2"/>
      <c r="H463" s="2"/>
      <c r="I463" s="2"/>
    </row>
    <row r="464" spans="1:9" x14ac:dyDescent="0.15">
      <c r="A464" s="2"/>
      <c r="B464" s="2"/>
      <c r="C464" s="2"/>
      <c r="D464" s="2"/>
      <c r="E464" s="10"/>
      <c r="F464" s="2"/>
      <c r="G464" s="2"/>
      <c r="H464" s="2"/>
      <c r="I464" s="2"/>
    </row>
    <row r="465" spans="1:9" x14ac:dyDescent="0.15">
      <c r="A465" s="2"/>
      <c r="B465" s="2"/>
      <c r="C465" s="2"/>
      <c r="D465" s="2"/>
      <c r="E465" s="10"/>
      <c r="F465" s="2"/>
      <c r="G465" s="2"/>
      <c r="H465" s="2"/>
      <c r="I465" s="2"/>
    </row>
    <row r="466" spans="1:9" x14ac:dyDescent="0.15">
      <c r="A466" s="2"/>
      <c r="B466" s="2"/>
      <c r="C466" s="2"/>
      <c r="D466" s="2"/>
      <c r="E466" s="10"/>
      <c r="F466" s="2"/>
      <c r="G466" s="2"/>
      <c r="H466" s="2"/>
      <c r="I466" s="2"/>
    </row>
    <row r="467" spans="1:9" x14ac:dyDescent="0.15">
      <c r="A467" s="2"/>
      <c r="B467" s="2"/>
      <c r="C467" s="2"/>
      <c r="D467" s="2"/>
      <c r="E467" s="10"/>
      <c r="F467" s="2"/>
      <c r="G467" s="2"/>
      <c r="H467" s="2"/>
      <c r="I467" s="2"/>
    </row>
    <row r="468" spans="1:9" x14ac:dyDescent="0.15">
      <c r="A468" s="2"/>
      <c r="B468" s="2"/>
      <c r="C468" s="2"/>
      <c r="D468" s="2"/>
      <c r="E468" s="10"/>
      <c r="F468" s="2"/>
      <c r="G468" s="2"/>
      <c r="H468" s="2"/>
      <c r="I468" s="2"/>
    </row>
    <row r="469" spans="1:9" x14ac:dyDescent="0.15">
      <c r="A469" s="2"/>
      <c r="B469" s="2"/>
      <c r="C469" s="2"/>
      <c r="D469" s="2"/>
      <c r="E469" s="10"/>
      <c r="F469" s="2"/>
      <c r="G469" s="2"/>
      <c r="H469" s="2"/>
      <c r="I469" s="2"/>
    </row>
    <row r="470" spans="1:9" x14ac:dyDescent="0.15">
      <c r="A470" s="2"/>
      <c r="B470" s="2"/>
      <c r="C470" s="2"/>
      <c r="D470" s="2"/>
      <c r="E470" s="10"/>
      <c r="F470" s="2"/>
      <c r="G470" s="2"/>
      <c r="H470" s="2"/>
      <c r="I470" s="2"/>
    </row>
    <row r="471" spans="1:9" x14ac:dyDescent="0.15">
      <c r="A471" s="2"/>
      <c r="B471" s="2"/>
      <c r="C471" s="2"/>
      <c r="D471" s="2"/>
      <c r="E471" s="10"/>
      <c r="F471" s="2"/>
      <c r="G471" s="2"/>
      <c r="H471" s="2"/>
      <c r="I471" s="2"/>
    </row>
    <row r="472" spans="1:9" x14ac:dyDescent="0.15">
      <c r="A472" s="2"/>
      <c r="B472" s="2"/>
      <c r="C472" s="2"/>
      <c r="D472" s="2"/>
      <c r="E472" s="10"/>
      <c r="F472" s="2"/>
      <c r="G472" s="2"/>
      <c r="H472" s="2"/>
      <c r="I472" s="2"/>
    </row>
    <row r="473" spans="1:9" x14ac:dyDescent="0.15">
      <c r="A473" s="2"/>
      <c r="B473" s="2"/>
      <c r="C473" s="2"/>
      <c r="D473" s="2"/>
      <c r="E473" s="10"/>
      <c r="F473" s="2"/>
      <c r="G473" s="2"/>
      <c r="H473" s="2"/>
      <c r="I473" s="2"/>
    </row>
    <row r="474" spans="1:9" x14ac:dyDescent="0.15">
      <c r="A474" s="2"/>
      <c r="B474" s="2"/>
      <c r="C474" s="2"/>
      <c r="D474" s="2"/>
      <c r="E474" s="10"/>
      <c r="F474" s="2"/>
      <c r="G474" s="2"/>
      <c r="H474" s="2"/>
      <c r="I474" s="2"/>
    </row>
    <row r="475" spans="1:9" x14ac:dyDescent="0.15">
      <c r="A475" s="2"/>
      <c r="B475" s="2"/>
      <c r="C475" s="2"/>
      <c r="D475" s="2"/>
      <c r="E475" s="10"/>
      <c r="F475" s="2"/>
      <c r="G475" s="2"/>
      <c r="H475" s="2"/>
      <c r="I475" s="2"/>
    </row>
    <row r="476" spans="1:9" x14ac:dyDescent="0.15">
      <c r="A476" s="2"/>
      <c r="B476" s="2"/>
      <c r="C476" s="2"/>
      <c r="D476" s="2"/>
      <c r="E476" s="10"/>
      <c r="F476" s="2"/>
      <c r="G476" s="2"/>
      <c r="H476" s="2"/>
      <c r="I476" s="2"/>
    </row>
    <row r="477" spans="1:9" x14ac:dyDescent="0.15">
      <c r="A477" s="2"/>
      <c r="B477" s="2"/>
      <c r="C477" s="2"/>
      <c r="D477" s="2"/>
      <c r="E477" s="10"/>
      <c r="F477" s="2"/>
      <c r="G477" s="2"/>
      <c r="H477" s="2"/>
      <c r="I477" s="2"/>
    </row>
    <row r="478" spans="1:9" x14ac:dyDescent="0.15">
      <c r="A478" s="2"/>
      <c r="B478" s="2"/>
      <c r="C478" s="2"/>
      <c r="D478" s="2"/>
      <c r="E478" s="10"/>
      <c r="F478" s="2"/>
      <c r="G478" s="2"/>
      <c r="H478" s="2"/>
      <c r="I478" s="2"/>
    </row>
    <row r="479" spans="1:9" x14ac:dyDescent="0.15">
      <c r="A479" s="2"/>
      <c r="B479" s="2"/>
      <c r="C479" s="2"/>
      <c r="D479" s="2"/>
      <c r="E479" s="10"/>
      <c r="F479" s="2"/>
      <c r="G479" s="2"/>
      <c r="H479" s="2"/>
      <c r="I479" s="2"/>
    </row>
    <row r="480" spans="1:9" x14ac:dyDescent="0.15">
      <c r="A480" s="2"/>
      <c r="B480" s="2"/>
      <c r="C480" s="2"/>
      <c r="D480" s="2"/>
      <c r="E480" s="10"/>
      <c r="F480" s="2"/>
      <c r="G480" s="2"/>
      <c r="H480" s="2"/>
      <c r="I480" s="2"/>
    </row>
    <row r="481" spans="1:9" x14ac:dyDescent="0.15">
      <c r="A481" s="2"/>
      <c r="B481" s="2"/>
      <c r="C481" s="2"/>
      <c r="D481" s="2"/>
      <c r="E481" s="10"/>
      <c r="F481" s="2"/>
      <c r="G481" s="2"/>
      <c r="H481" s="2"/>
      <c r="I481" s="2"/>
    </row>
    <row r="482" spans="1:9" x14ac:dyDescent="0.15">
      <c r="A482" s="2"/>
      <c r="B482" s="2"/>
      <c r="C482" s="2"/>
      <c r="D482" s="2"/>
      <c r="E482" s="10"/>
      <c r="F482" s="2"/>
      <c r="G482" s="2"/>
      <c r="H482" s="2"/>
      <c r="I482" s="2"/>
    </row>
    <row r="483" spans="1:9" x14ac:dyDescent="0.15">
      <c r="A483" s="2"/>
      <c r="B483" s="2"/>
      <c r="C483" s="2"/>
      <c r="D483" s="2"/>
      <c r="E483" s="10"/>
      <c r="F483" s="2"/>
      <c r="G483" s="2"/>
      <c r="H483" s="2"/>
      <c r="I483" s="2"/>
    </row>
    <row r="484" spans="1:9" x14ac:dyDescent="0.15">
      <c r="A484" s="2"/>
      <c r="B484" s="2"/>
      <c r="C484" s="2"/>
      <c r="D484" s="2"/>
      <c r="E484" s="10"/>
      <c r="F484" s="2"/>
      <c r="G484" s="2"/>
      <c r="H484" s="2"/>
      <c r="I484" s="2"/>
    </row>
    <row r="485" spans="1:9" x14ac:dyDescent="0.15">
      <c r="A485" s="2"/>
      <c r="B485" s="2"/>
      <c r="C485" s="2"/>
      <c r="D485" s="2"/>
      <c r="E485" s="10"/>
      <c r="F485" s="2"/>
      <c r="G485" s="2"/>
      <c r="H485" s="2"/>
      <c r="I485" s="2"/>
    </row>
    <row r="486" spans="1:9" x14ac:dyDescent="0.15">
      <c r="A486" s="2"/>
      <c r="B486" s="2"/>
      <c r="C486" s="2"/>
      <c r="D486" s="2"/>
      <c r="E486" s="10"/>
      <c r="F486" s="2"/>
      <c r="G486" s="2"/>
      <c r="H486" s="2"/>
      <c r="I486" s="2"/>
    </row>
    <row r="487" spans="1:9" x14ac:dyDescent="0.15">
      <c r="A487" s="2"/>
      <c r="B487" s="2"/>
      <c r="C487" s="2"/>
      <c r="D487" s="2"/>
      <c r="E487" s="10"/>
      <c r="F487" s="2"/>
      <c r="G487" s="2"/>
      <c r="H487" s="2"/>
      <c r="I487" s="2"/>
    </row>
    <row r="488" spans="1:9" x14ac:dyDescent="0.15">
      <c r="A488" s="2"/>
      <c r="B488" s="2"/>
      <c r="C488" s="2"/>
      <c r="D488" s="2"/>
      <c r="E488" s="10"/>
      <c r="F488" s="2"/>
      <c r="G488" s="2"/>
      <c r="H488" s="2"/>
      <c r="I488" s="2"/>
    </row>
    <row r="489" spans="1:9" x14ac:dyDescent="0.15">
      <c r="A489" s="2"/>
      <c r="B489" s="2"/>
      <c r="C489" s="2"/>
      <c r="D489" s="2"/>
      <c r="E489" s="10"/>
      <c r="F489" s="2"/>
      <c r="G489" s="2"/>
      <c r="H489" s="2"/>
      <c r="I489" s="2"/>
    </row>
    <row r="490" spans="1:9" x14ac:dyDescent="0.15">
      <c r="A490" s="2"/>
      <c r="B490" s="2"/>
      <c r="C490" s="2"/>
      <c r="D490" s="2"/>
      <c r="E490" s="10"/>
      <c r="F490" s="2"/>
      <c r="G490" s="2"/>
      <c r="H490" s="2"/>
      <c r="I490" s="2"/>
    </row>
    <row r="491" spans="1:9" x14ac:dyDescent="0.15">
      <c r="A491" s="2"/>
      <c r="B491" s="2"/>
      <c r="C491" s="2"/>
      <c r="D491" s="2"/>
      <c r="E491" s="10"/>
      <c r="F491" s="2"/>
      <c r="G491" s="2"/>
      <c r="H491" s="2"/>
      <c r="I491" s="2"/>
    </row>
    <row r="492" spans="1:9" x14ac:dyDescent="0.15">
      <c r="A492" s="2"/>
      <c r="B492" s="2"/>
      <c r="C492" s="2"/>
      <c r="D492" s="2"/>
      <c r="E492" s="10"/>
      <c r="F492" s="2"/>
      <c r="G492" s="2"/>
      <c r="H492" s="2"/>
      <c r="I492" s="2"/>
    </row>
    <row r="493" spans="1:9" x14ac:dyDescent="0.15">
      <c r="A493" s="2"/>
      <c r="B493" s="2"/>
      <c r="C493" s="2"/>
      <c r="D493" s="2"/>
      <c r="E493" s="10"/>
      <c r="F493" s="2"/>
      <c r="G493" s="2"/>
      <c r="H493" s="2"/>
      <c r="I493" s="2"/>
    </row>
    <row r="494" spans="1:9" x14ac:dyDescent="0.15">
      <c r="A494" s="2"/>
      <c r="B494" s="2"/>
      <c r="C494" s="2"/>
      <c r="D494" s="2"/>
      <c r="E494" s="10"/>
      <c r="F494" s="2"/>
      <c r="G494" s="2"/>
      <c r="H494" s="2"/>
      <c r="I494" s="2"/>
    </row>
    <row r="495" spans="1:9" x14ac:dyDescent="0.15">
      <c r="A495" s="2"/>
      <c r="B495" s="2"/>
      <c r="C495" s="2"/>
      <c r="D495" s="2"/>
      <c r="E495" s="10"/>
      <c r="F495" s="2"/>
      <c r="G495" s="2"/>
      <c r="H495" s="2"/>
      <c r="I495" s="2"/>
    </row>
    <row r="496" spans="1:9" x14ac:dyDescent="0.15">
      <c r="A496" s="2"/>
      <c r="B496" s="2"/>
      <c r="C496" s="2"/>
      <c r="D496" s="2"/>
      <c r="E496" s="10"/>
      <c r="F496" s="2"/>
      <c r="G496" s="2"/>
      <c r="H496" s="2"/>
      <c r="I496" s="2"/>
    </row>
    <row r="497" spans="1:9" x14ac:dyDescent="0.15">
      <c r="A497" s="2"/>
      <c r="B497" s="2"/>
      <c r="C497" s="2"/>
      <c r="D497" s="2"/>
      <c r="E497" s="10"/>
      <c r="F497" s="2"/>
      <c r="G497" s="2"/>
      <c r="H497" s="2"/>
      <c r="I497" s="2"/>
    </row>
    <row r="498" spans="1:9" x14ac:dyDescent="0.15">
      <c r="A498" s="2"/>
      <c r="B498" s="2"/>
      <c r="C498" s="2"/>
      <c r="D498" s="2"/>
      <c r="E498" s="10"/>
      <c r="F498" s="2"/>
      <c r="G498" s="2"/>
      <c r="H498" s="2"/>
      <c r="I498" s="2"/>
    </row>
    <row r="499" spans="1:9" x14ac:dyDescent="0.15">
      <c r="A499" s="2"/>
      <c r="B499" s="2"/>
      <c r="C499" s="2"/>
      <c r="D499" s="2"/>
      <c r="E499" s="10"/>
      <c r="F499" s="2"/>
      <c r="G499" s="2"/>
      <c r="H499" s="2"/>
      <c r="I499" s="2"/>
    </row>
    <row r="500" spans="1:9" x14ac:dyDescent="0.15">
      <c r="A500" s="2"/>
      <c r="B500" s="2"/>
      <c r="C500" s="2"/>
      <c r="D500" s="2"/>
      <c r="E500" s="10"/>
      <c r="F500" s="2"/>
      <c r="G500" s="2"/>
      <c r="H500" s="2"/>
      <c r="I500" s="2"/>
    </row>
    <row r="501" spans="1:9" x14ac:dyDescent="0.15">
      <c r="A501" s="2"/>
      <c r="B501" s="2"/>
      <c r="C501" s="2"/>
      <c r="D501" s="2"/>
      <c r="E501" s="10"/>
      <c r="F501" s="2"/>
      <c r="G501" s="2"/>
      <c r="H501" s="2"/>
      <c r="I501" s="2"/>
    </row>
  </sheetData>
  <phoneticPr fontId="3" type="noConversion"/>
  <dataValidations count="3">
    <dataValidation type="list" allowBlank="1" sqref="D2:D501" xr:uid="{00000000-0002-0000-0100-000000000000}">
      <formula1>"买入,持续追踪,卖出"</formula1>
    </dataValidation>
    <dataValidation type="date" allowBlank="1" sqref="E2:E501" xr:uid="{00000000-0002-0000-01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 xr:uid="{00000000-0002-0000-01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46</v>
      </c>
      <c r="B1" s="3" t="s">
        <v>47</v>
      </c>
      <c r="C1" s="3" t="s">
        <v>48</v>
      </c>
    </row>
    <row r="2" spans="1:3" x14ac:dyDescent="0.15">
      <c r="A2" s="4" t="s">
        <v>49</v>
      </c>
      <c r="B2" s="8">
        <f>COUNT(单次交易!M2:M201)</f>
        <v>6</v>
      </c>
      <c r="C2" s="4" t="s">
        <v>50</v>
      </c>
    </row>
    <row r="3" spans="1:3" x14ac:dyDescent="0.15">
      <c r="A3" s="4" t="s">
        <v>51</v>
      </c>
      <c r="B3" s="8">
        <f>COUNTIF(单次交易!X2:X201,"&gt;0")</f>
        <v>1</v>
      </c>
      <c r="C3" s="4" t="s">
        <v>52</v>
      </c>
    </row>
    <row r="4" spans="1:3" x14ac:dyDescent="0.15">
      <c r="A4" s="4" t="s">
        <v>53</v>
      </c>
      <c r="B4" s="8">
        <f>COUNTIF(单次交易!X2:X201,"&lt;0")</f>
        <v>5</v>
      </c>
      <c r="C4" s="4" t="s">
        <v>54</v>
      </c>
    </row>
    <row r="5" spans="1:3" x14ac:dyDescent="0.15">
      <c r="A5" s="4" t="s">
        <v>55</v>
      </c>
      <c r="B5" s="8">
        <f>COUNTIFS(单次交易!M2:M201,"&lt;&gt;",单次交易!X2:X201,"=0")</f>
        <v>0</v>
      </c>
      <c r="C5" s="4" t="s">
        <v>56</v>
      </c>
    </row>
    <row r="6" spans="1:3" x14ac:dyDescent="0.15">
      <c r="A6" s="4" t="s">
        <v>57</v>
      </c>
      <c r="B6" s="7">
        <f>IFERROR(B3/(B3+B4),"")</f>
        <v>0.16666666666666666</v>
      </c>
      <c r="C6" s="4" t="s">
        <v>58</v>
      </c>
    </row>
    <row r="7" spans="1:3" x14ac:dyDescent="0.15">
      <c r="A7" s="4" t="s">
        <v>59</v>
      </c>
      <c r="B7" s="7">
        <f>IFERROR(B4/(B3+B4),"")</f>
        <v>0.83333333333333337</v>
      </c>
      <c r="C7" s="4" t="s">
        <v>60</v>
      </c>
    </row>
    <row r="8" spans="1:3" x14ac:dyDescent="0.15">
      <c r="A8" s="4" t="s">
        <v>61</v>
      </c>
      <c r="B8" s="7">
        <f>IFERROR(AVERAGEIF(单次交易!X2:X201,"&gt;0",单次交易!AE2:AE201),"")</f>
        <v>6.1626765350049087E-2</v>
      </c>
      <c r="C8" s="4" t="s">
        <v>62</v>
      </c>
    </row>
    <row r="9" spans="1:3" x14ac:dyDescent="0.15">
      <c r="A9" s="4" t="s">
        <v>63</v>
      </c>
      <c r="B9" s="7">
        <f>IFERROR(-AVERAGEIF(单次交易!X2:X201,"&lt;0",单次交易!AE2:AE201),"")</f>
        <v>3.3985094579805003E-2</v>
      </c>
      <c r="C9" s="4" t="s">
        <v>64</v>
      </c>
    </row>
    <row r="10" spans="1:3" x14ac:dyDescent="0.15">
      <c r="A10" s="4" t="s">
        <v>65</v>
      </c>
      <c r="B10" s="8">
        <f>SUMIF(单次交易!X2:X201,"&gt;0",单次交易!AA2:AA201)</f>
        <v>5</v>
      </c>
      <c r="C10" s="4" t="s">
        <v>66</v>
      </c>
    </row>
    <row r="11" spans="1:3" x14ac:dyDescent="0.15">
      <c r="A11" s="4" t="s">
        <v>67</v>
      </c>
      <c r="B11" s="8">
        <f>SUMIF(单次交易!X2:X201,"&lt;0",单次交易!AA2:AA201)</f>
        <v>47</v>
      </c>
      <c r="C11" s="4" t="s">
        <v>66</v>
      </c>
    </row>
    <row r="12" spans="1:3" x14ac:dyDescent="0.15">
      <c r="A12" s="4" t="s">
        <v>68</v>
      </c>
      <c r="B12" s="5">
        <f>IFERROR(SUMPRODUCT(单次交易!E2:E201,单次交易!H2:H201)/COUNT(单次交易!H2:H201),"")</f>
        <v>96108.166666666672</v>
      </c>
      <c r="C12" s="4" t="s">
        <v>69</v>
      </c>
    </row>
    <row r="13" spans="1:3" x14ac:dyDescent="0.15">
      <c r="A13" s="4" t="s">
        <v>70</v>
      </c>
      <c r="B13" s="7">
        <f>IF(OR(B6="",B7="",B8="",B9=""),"",B6*B8-B7*B9)</f>
        <v>-1.804978459149599E-2</v>
      </c>
      <c r="C13" s="4" t="s">
        <v>71</v>
      </c>
    </row>
    <row r="14" spans="1:3" x14ac:dyDescent="0.15">
      <c r="A14" s="4" t="s">
        <v>72</v>
      </c>
      <c r="B14" s="7">
        <f>IF(COUNT(单次交易!AE2:AE201)=0,"",EXP(SUMPRODUCT(IFERROR(LN(1+单次交易!AE2:AE201),0)))-1)</f>
        <v>0</v>
      </c>
      <c r="C14" s="4" t="s">
        <v>73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pane ySplit="1" topLeftCell="A2" activePane="bottomLeft" state="frozen"/>
      <selection pane="bottomLeft" activeCell="C13" sqref="C13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46</v>
      </c>
      <c r="B1" s="3" t="s">
        <v>74</v>
      </c>
      <c r="C1" s="3" t="s">
        <v>75</v>
      </c>
    </row>
    <row r="2" spans="1:3" x14ac:dyDescent="0.15">
      <c r="A2" s="4" t="s">
        <v>76</v>
      </c>
      <c r="B2" s="9">
        <v>100000</v>
      </c>
      <c r="C2" s="4" t="s">
        <v>77</v>
      </c>
    </row>
    <row r="3" spans="1:3" x14ac:dyDescent="0.15">
      <c r="A3" s="4" t="s">
        <v>78</v>
      </c>
      <c r="B3" s="5">
        <f>IF(B2="","",B2+SUM(单次交易!X2:X201))</f>
        <v>89174.999999999985</v>
      </c>
      <c r="C3" s="4" t="s">
        <v>79</v>
      </c>
    </row>
    <row r="4" spans="1:3" x14ac:dyDescent="0.15">
      <c r="A4" s="4" t="s">
        <v>80</v>
      </c>
      <c r="B4" s="6">
        <v>0.02</v>
      </c>
      <c r="C4" s="4" t="s">
        <v>81</v>
      </c>
    </row>
    <row r="5" spans="1:3" x14ac:dyDescent="0.15">
      <c r="A5" s="4" t="s">
        <v>82</v>
      </c>
      <c r="B5" s="5">
        <f>IF(B3="","",B3*B4)</f>
        <v>1783.4999999999998</v>
      </c>
      <c r="C5" s="4" t="s">
        <v>83</v>
      </c>
    </row>
    <row r="6" spans="1:3" x14ac:dyDescent="0.15">
      <c r="A6" s="4" t="s">
        <v>84</v>
      </c>
      <c r="B6" s="6">
        <v>0.06</v>
      </c>
      <c r="C6" s="4" t="s">
        <v>85</v>
      </c>
    </row>
    <row r="7" spans="1:3" x14ac:dyDescent="0.15">
      <c r="A7" s="4" t="s">
        <v>86</v>
      </c>
      <c r="B7" s="5">
        <f>IF(B3="","",B3*B6)</f>
        <v>5350.4999999999991</v>
      </c>
      <c r="C7" s="4" t="s">
        <v>87</v>
      </c>
    </row>
    <row r="8" spans="1:3" x14ac:dyDescent="0.15">
      <c r="A8" s="4" t="s">
        <v>88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89</v>
      </c>
    </row>
    <row r="9" spans="1:3" x14ac:dyDescent="0.15">
      <c r="A9" s="4" t="s">
        <v>90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91</v>
      </c>
    </row>
    <row r="10" spans="1:3" x14ac:dyDescent="0.15">
      <c r="A10" s="4" t="s">
        <v>92</v>
      </c>
      <c r="B10" s="5">
        <f>IF(OR(B7="",B9=""),"",B7-B9)</f>
        <v>5350.4999999999991</v>
      </c>
      <c r="C10" s="4" t="s">
        <v>93</v>
      </c>
    </row>
    <row r="11" spans="1:3" x14ac:dyDescent="0.15">
      <c r="A11" s="4" t="s">
        <v>94</v>
      </c>
      <c r="B11" s="7">
        <f>IF(OR(B2="",B3="",B2&lt;=0),"",B3/B2-1)</f>
        <v>-0.10825000000000018</v>
      </c>
      <c r="C11" s="4" t="s">
        <v>95</v>
      </c>
    </row>
  </sheetData>
  <phoneticPr fontId="3" type="noConversion"/>
  <conditionalFormatting sqref="B8">
    <cfRule type="cellIs" dxfId="1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 xr:uid="{00000000-0002-0000-0300-000000000000}">
      <formula1>0</formula1>
    </dataValidation>
    <dataValidation type="decimal" sqref="B4 B6" xr:uid="{00000000-0002-0000-0300-000001000000}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46</v>
      </c>
      <c r="B1" s="3" t="s">
        <v>74</v>
      </c>
      <c r="C1" s="3" t="s">
        <v>48</v>
      </c>
    </row>
    <row r="2" spans="1:3" x14ac:dyDescent="0.15">
      <c r="A2" s="4" t="s">
        <v>96</v>
      </c>
      <c r="B2" s="5">
        <f>账户数据!B3</f>
        <v>89174.999999999985</v>
      </c>
      <c r="C2" s="4" t="s">
        <v>97</v>
      </c>
    </row>
    <row r="3" spans="1:3" x14ac:dyDescent="0.15">
      <c r="A3" s="4" t="s">
        <v>98</v>
      </c>
      <c r="B3" s="6">
        <v>0.1</v>
      </c>
      <c r="C3" s="4" t="s">
        <v>99</v>
      </c>
    </row>
    <row r="4" spans="1:3" x14ac:dyDescent="0.15">
      <c r="A4" s="4" t="s">
        <v>100</v>
      </c>
      <c r="B4" s="5">
        <f>IF(OR(B2="",B3=""),"",B2*B3)</f>
        <v>8917.4999999999982</v>
      </c>
      <c r="C4" s="4" t="s">
        <v>101</v>
      </c>
    </row>
    <row r="5" spans="1:3" x14ac:dyDescent="0.15">
      <c r="A5" s="4" t="s">
        <v>68</v>
      </c>
      <c r="B5" s="5">
        <f>多次统计数据!B12</f>
        <v>96108.166666666672</v>
      </c>
      <c r="C5" s="4" t="s">
        <v>102</v>
      </c>
    </row>
    <row r="6" spans="1:3" x14ac:dyDescent="0.15">
      <c r="A6" s="4" t="s">
        <v>103</v>
      </c>
      <c r="B6" s="7">
        <f>多次统计数据!B13</f>
        <v>-1.804978459149599E-2</v>
      </c>
      <c r="C6" s="4" t="s">
        <v>104</v>
      </c>
    </row>
    <row r="7" spans="1:3" x14ac:dyDescent="0.15">
      <c r="A7" s="4" t="s">
        <v>105</v>
      </c>
      <c r="B7" s="8" t="str">
        <f>IF(OR(B3="",B6="",B3&lt;=0,B6&lt;=0),"暂不可计算",ROUNDUP(LN(1+B3)/LN(1+B6),0))</f>
        <v>暂不可计算</v>
      </c>
      <c r="C7" s="4" t="s">
        <v>106</v>
      </c>
    </row>
  </sheetData>
  <phoneticPr fontId="3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1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107</v>
      </c>
      <c r="B1" s="1" t="s">
        <v>108</v>
      </c>
      <c r="C1" s="1" t="s">
        <v>109</v>
      </c>
    </row>
    <row r="2" spans="1:3" x14ac:dyDescent="0.15">
      <c r="A2" s="2" t="s">
        <v>110</v>
      </c>
      <c r="B2" s="2" t="s">
        <v>111</v>
      </c>
      <c r="C2" s="2" t="s">
        <v>112</v>
      </c>
    </row>
    <row r="3" spans="1:3" x14ac:dyDescent="0.15">
      <c r="A3" s="2" t="s">
        <v>113</v>
      </c>
      <c r="B3" s="2" t="s">
        <v>114</v>
      </c>
      <c r="C3" s="2" t="s">
        <v>115</v>
      </c>
    </row>
    <row r="4" spans="1:3" x14ac:dyDescent="0.15">
      <c r="A4" s="2" t="s">
        <v>116</v>
      </c>
      <c r="B4" s="2" t="s">
        <v>117</v>
      </c>
      <c r="C4" s="2" t="s">
        <v>118</v>
      </c>
    </row>
    <row r="5" spans="1:3" x14ac:dyDescent="0.15">
      <c r="A5" s="2" t="s">
        <v>119</v>
      </c>
      <c r="B5" s="2" t="s">
        <v>114</v>
      </c>
      <c r="C5" s="2" t="s">
        <v>120</v>
      </c>
    </row>
    <row r="6" spans="1:3" x14ac:dyDescent="0.15">
      <c r="A6" s="2" t="s">
        <v>121</v>
      </c>
      <c r="B6" s="2" t="s">
        <v>122</v>
      </c>
      <c r="C6" s="2" t="s">
        <v>123</v>
      </c>
    </row>
    <row r="7" spans="1:3" x14ac:dyDescent="0.15">
      <c r="A7" s="2" t="s">
        <v>124</v>
      </c>
      <c r="B7" s="2" t="s">
        <v>117</v>
      </c>
      <c r="C7" s="2" t="s">
        <v>125</v>
      </c>
    </row>
    <row r="8" spans="1:3" x14ac:dyDescent="0.15">
      <c r="A8" s="2" t="s">
        <v>126</v>
      </c>
      <c r="B8" s="2" t="s">
        <v>117</v>
      </c>
      <c r="C8" s="2" t="s">
        <v>127</v>
      </c>
    </row>
    <row r="9" spans="1:3" x14ac:dyDescent="0.15">
      <c r="A9" s="2" t="s">
        <v>128</v>
      </c>
      <c r="B9" s="2" t="s">
        <v>129</v>
      </c>
      <c r="C9" s="2" t="s">
        <v>130</v>
      </c>
    </row>
    <row r="10" spans="1:3" x14ac:dyDescent="0.15">
      <c r="A10" s="2" t="s">
        <v>131</v>
      </c>
      <c r="B10" s="2" t="s">
        <v>132</v>
      </c>
      <c r="C10" s="2" t="s">
        <v>133</v>
      </c>
    </row>
    <row r="11" spans="1:3" x14ac:dyDescent="0.15">
      <c r="A11" s="2" t="s">
        <v>134</v>
      </c>
      <c r="B11" s="2" t="s">
        <v>132</v>
      </c>
      <c r="C11" s="2" t="s">
        <v>135</v>
      </c>
    </row>
    <row r="12" spans="1:3" x14ac:dyDescent="0.15">
      <c r="A12" s="2" t="s">
        <v>136</v>
      </c>
      <c r="B12" s="2" t="s">
        <v>111</v>
      </c>
      <c r="C12" s="2" t="s">
        <v>137</v>
      </c>
    </row>
    <row r="13" spans="1:3" x14ac:dyDescent="0.15">
      <c r="A13" s="2" t="s">
        <v>138</v>
      </c>
      <c r="B13" s="2" t="s">
        <v>111</v>
      </c>
      <c r="C13" s="2" t="s">
        <v>139</v>
      </c>
    </row>
    <row r="14" spans="1:3" x14ac:dyDescent="0.15">
      <c r="A14" s="2" t="s">
        <v>140</v>
      </c>
      <c r="B14" s="2" t="s">
        <v>114</v>
      </c>
      <c r="C14" s="2" t="s">
        <v>141</v>
      </c>
    </row>
    <row r="15" spans="1:3" x14ac:dyDescent="0.15">
      <c r="A15" s="2" t="s">
        <v>142</v>
      </c>
      <c r="B15" s="2" t="s">
        <v>114</v>
      </c>
      <c r="C15" s="2" t="s">
        <v>143</v>
      </c>
    </row>
    <row r="16" spans="1:3" x14ac:dyDescent="0.15">
      <c r="A16" s="2" t="s">
        <v>144</v>
      </c>
      <c r="B16" s="2" t="s">
        <v>122</v>
      </c>
      <c r="C16" s="2" t="s">
        <v>145</v>
      </c>
    </row>
    <row r="17" spans="1:3" x14ac:dyDescent="0.15">
      <c r="A17" s="2" t="s">
        <v>146</v>
      </c>
      <c r="B17" s="2" t="s">
        <v>117</v>
      </c>
      <c r="C17" s="2" t="s">
        <v>147</v>
      </c>
    </row>
    <row r="18" spans="1:3" x14ac:dyDescent="0.15">
      <c r="A18" s="2" t="s">
        <v>148</v>
      </c>
      <c r="B18" s="2" t="s">
        <v>129</v>
      </c>
      <c r="C18" s="2" t="s">
        <v>149</v>
      </c>
    </row>
    <row r="19" spans="1:3" x14ac:dyDescent="0.15">
      <c r="A19" s="2" t="s">
        <v>150</v>
      </c>
      <c r="B19" s="2" t="s">
        <v>122</v>
      </c>
      <c r="C19" s="2" t="s">
        <v>151</v>
      </c>
    </row>
    <row r="20" spans="1:3" x14ac:dyDescent="0.15">
      <c r="A20" s="2" t="s">
        <v>152</v>
      </c>
      <c r="B20" s="2" t="s">
        <v>153</v>
      </c>
      <c r="C20" s="2" t="s">
        <v>154</v>
      </c>
    </row>
    <row r="21" spans="1:3" x14ac:dyDescent="0.15">
      <c r="A21" s="2" t="s">
        <v>155</v>
      </c>
      <c r="B21" s="2" t="s">
        <v>156</v>
      </c>
      <c r="C21" s="2" t="s">
        <v>157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3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单次交易</vt:lpstr>
      <vt:lpstr>买入理由</vt:lpstr>
      <vt:lpstr>多次统计数据</vt:lpstr>
      <vt:lpstr>账户数据</vt:lpstr>
      <vt:lpstr>目标收益</vt:lpstr>
      <vt:lpstr>技术指标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2026-07-24T16:10:00Z</dcterms:created>
  <dcterms:modified xsi:type="dcterms:W3CDTF">2026-08-03T01:27:07Z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