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 activeTab="3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<sst xmlns="http://schemas.openxmlformats.org/spreadsheetml/2006/main" count="231" uniqueCount="187">
  <si>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</si>
  <si>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</si>
  <si>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</si>
  <si>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</si>
  <si>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</si>
  <si>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</si>
  <si>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</si>
  <si>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</si>
  <si>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</si>
  <si>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</si>
  <si>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</si>
  <si>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</si>
  <si>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</si>
  <si>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</si>
  <si>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</si>
  <si>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</si>
  <si>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</si>
  <si>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</si>
  <si>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</si>
  <si>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</si>
  <si>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</si>
  <si>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</si>
  <si>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</si>
  <si>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</si>
  <si>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</si>
  <si>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</si>
  <si>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</si>
  <si>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</si>
  <si>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</si>
  <si>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</si>
  <si>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</si>
  <si>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</si>
  <si>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</si>
  <si>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</si>
  <si>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</si>
  <si>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</si>
  <si>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</si>
  <si>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</si>
  <si>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</si>
  <si>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</si>
  <si>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</si>
  <si>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</si>
  <si>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</si>
  <si>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</si>
  <si>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</si>
  <si>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</si>
  <si>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</si>
  <si>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</si>
  <si>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</si>
  <si>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</si>
  <si>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</si>
  <si>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</si>
  <si>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</si>
  <si>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列1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</si>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</sst>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E201">
  <autoFilter xmlns:etc="http://www.wps.cn/officeDocument/2017/etCustomData" ref="A1:AE201" etc:filterBottomFollowUsedRange="0"/>
  <tableColumns count="31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实际买入股数"/>
    <tableColumn id="9" name="买入日期"/>
    <tableColumn id="10" name="期望卖出价"/>
    <tableColumn id="11" name="实际卖出价"/>
    <tableColumn id="12" name="卖出股数">
      <calculatedColumnFormula>IF(K2="","",H2)</calculatedColumnFormula>
    </tableColumn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J501">
  <autoFilter xmlns:etc="http://www.wps.cn/officeDocument/2017/etCustomData" ref="A1:J501" etc:filterBottomFollowUsedRange="0"/>
  <tableColumns count="10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1"/>
  <sheetViews>
    <sheetView topLeftCell="T1" workbookViewId="0">
      <pane ySplit="1" topLeftCell="A2" activePane="bottomLeft" state="frozen"/>
      <selection/>
      <selection pane="bottomLeft" activeCell="Q23" sqref="Q23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ht="17" spans="1:31">
      <c r="A2" s="2">
        <v>1</v>
      </c>
      <c r="B2" s="2" t="s">
        <v>31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32</v>
      </c>
      <c r="S2" s="2" t="s">
        <v>33</v>
      </c>
      <c r="T2" s="2"/>
      <c r="U2" s="7">
        <f t="shared" ref="U2:U65" si="2">IF(OR(E2="",J2="",E2&lt;=0),"",(J2-E2)/E2)</f>
        <v>0.0416666666666667</v>
      </c>
      <c r="V2" s="7">
        <f t="shared" ref="V2:V65" si="3">IF(OR(E2="",N2="",E2&lt;=0),"",(E2-N2)/E2)</f>
        <v>0.0208333333333333</v>
      </c>
      <c r="W2" s="13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-0.0429166666666667</v>
      </c>
      <c r="Z2" s="7">
        <f>IF(OR(AE2="",多次统计数据!$B$8=""),"",AE2-多次统计数据!$B$8)</f>
        <v>-0.109017318636015</v>
      </c>
      <c r="AA2" s="14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0.0583754206956539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8">IF(OR(X2="",C2="",C2&lt;=0),"",X2/C2)</f>
        <v>-0.0412</v>
      </c>
    </row>
    <row r="3" ht="17" spans="1:31">
      <c r="A3" s="2">
        <v>2</v>
      </c>
      <c r="B3" s="2" t="s">
        <v>31</v>
      </c>
      <c r="C3" s="5">
        <f>IF(C2="","",C2+SUM(单次交易!Y2:Y201))</f>
        <v>100000.521735843</v>
      </c>
      <c r="D3" s="6">
        <v>0.02</v>
      </c>
      <c r="E3" s="9">
        <v>33.13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3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>
        <f>IF(OR(AE3="",多次统计数据!$B$8=""),"",AE3-多次统计数据!$B$8)</f>
        <v>-0.0997471520466298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0.0583754206956539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-0.0319298334106147</v>
      </c>
    </row>
    <row r="4" ht="17" spans="1:31">
      <c r="A4" s="2">
        <v>3</v>
      </c>
      <c r="B4" s="2" t="s">
        <v>31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34</v>
      </c>
      <c r="S4" s="2" t="s">
        <v>35</v>
      </c>
      <c r="T4" s="2"/>
      <c r="U4" s="7">
        <f t="shared" si="2"/>
        <v>0.0653409090909091</v>
      </c>
      <c r="V4" s="7">
        <f t="shared" si="3"/>
        <v>0.0234375</v>
      </c>
      <c r="W4" s="13">
        <f t="shared" si="4"/>
        <v>2.78787878787879</v>
      </c>
      <c r="X4" s="5">
        <f t="shared" si="5"/>
        <v>5712</v>
      </c>
      <c r="Y4" s="7">
        <f t="shared" si="6"/>
        <v>0.0724431818181818</v>
      </c>
      <c r="Z4" s="7">
        <f>IF(OR(AE4="",多次统计数据!$B$8=""),"",AE4-多次统计数据!$B$8)</f>
        <v>-0.00619055328596603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0.0583754206956539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0.0616267653500491</v>
      </c>
    </row>
    <row r="5" ht="17" spans="1:31">
      <c r="A5" s="2">
        <v>4</v>
      </c>
      <c r="B5" s="2" t="s">
        <v>31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34</v>
      </c>
      <c r="S5" s="11" t="s">
        <v>35</v>
      </c>
      <c r="T5" s="2"/>
      <c r="U5" s="7">
        <f t="shared" si="2"/>
        <v>0.163692785104732</v>
      </c>
      <c r="V5" s="7">
        <f t="shared" si="3"/>
        <v>0.0302560124127231</v>
      </c>
      <c r="W5" s="13">
        <f t="shared" si="4"/>
        <v>5.4102564102564</v>
      </c>
      <c r="X5" s="5">
        <f t="shared" si="5"/>
        <v>-2750</v>
      </c>
      <c r="Y5" s="7">
        <f t="shared" si="6"/>
        <v>-0.0426687354538402</v>
      </c>
      <c r="Z5" s="7">
        <f>IF(OR(AE5="",多次统计数据!$B$8=""),"",AE5-多次统计数据!$B$8)</f>
        <v>-0.0957647571262437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0.0583754206956539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-0.0279474384902286</v>
      </c>
    </row>
    <row r="6" ht="17" spans="1:31">
      <c r="A6" s="2">
        <v>5</v>
      </c>
      <c r="B6" s="2" t="s">
        <v>31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36</v>
      </c>
      <c r="S6" s="11" t="s">
        <v>37</v>
      </c>
      <c r="T6" s="2"/>
      <c r="U6" s="7">
        <f t="shared" si="2"/>
        <v>0.142857142857143</v>
      </c>
      <c r="V6" s="7">
        <f t="shared" si="3"/>
        <v>0.0571428571428571</v>
      </c>
      <c r="W6" s="13">
        <f t="shared" si="4"/>
        <v>2.5</v>
      </c>
      <c r="X6" s="5">
        <f t="shared" si="5"/>
        <v>-2844</v>
      </c>
      <c r="Y6" s="7">
        <f t="shared" si="6"/>
        <v>-0.0902857142857143</v>
      </c>
      <c r="Z6" s="7">
        <f>IF(OR(AE6="",多次统计数据!$B$8=""),"",AE6-多次统计数据!$B$8)</f>
        <v>-0.0975510325274306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0.0583754206956539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-0.0297337138914155</v>
      </c>
    </row>
    <row r="7" ht="17" spans="1:31">
      <c r="A7" s="2">
        <v>6</v>
      </c>
      <c r="B7" s="2" t="s">
        <v>31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0.10461338531514</v>
      </c>
      <c r="V7" s="7">
        <f t="shared" si="3"/>
        <v>0.00909681611436001</v>
      </c>
      <c r="W7" s="13">
        <f t="shared" si="4"/>
        <v>11.4999999999999</v>
      </c>
      <c r="X7" s="5">
        <f t="shared" si="5"/>
        <v>-3630</v>
      </c>
      <c r="Y7" s="7">
        <f t="shared" si="6"/>
        <v>-0.0178687459389214</v>
      </c>
      <c r="Z7" s="7">
        <f>IF(OR(AE7="",多次统计数据!$B$8=""),"",AE7-多次统计数据!$B$8)</f>
        <v>-0.106931590496367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0.0583754206956539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-0.0391142718603524</v>
      </c>
    </row>
    <row r="8" ht="17" spans="1:31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3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4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ht="17" spans="1:31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3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4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ht="34" spans="1:31">
      <c r="A10" s="2">
        <v>9</v>
      </c>
      <c r="B10" s="11" t="s">
        <v>38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34</v>
      </c>
      <c r="S10" s="11" t="s">
        <v>39</v>
      </c>
      <c r="T10" s="2"/>
      <c r="U10" s="7">
        <f t="shared" si="2"/>
        <v>0.0669828097213989</v>
      </c>
      <c r="V10" s="7">
        <f t="shared" si="3"/>
        <v>0.0248962655601661</v>
      </c>
      <c r="W10" s="13">
        <f t="shared" si="4"/>
        <v>2.69047619047618</v>
      </c>
      <c r="X10" s="5">
        <f t="shared" si="5"/>
        <v>12012</v>
      </c>
      <c r="Y10" s="7">
        <f t="shared" si="6"/>
        <v>0.169531713100178</v>
      </c>
      <c r="Z10" s="7">
        <f>IF(OR(AE10="",多次统计数据!$B$8=""),"",AE10-多次统计数据!$B$8)</f>
        <v>0.0668841111369033</v>
      </c>
      <c r="AA10" s="14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0.0583754206956539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</v>
      </c>
    </row>
    <row r="11" ht="17" spans="1:31">
      <c r="A11" s="2">
        <v>10</v>
      </c>
      <c r="B11" s="11" t="s">
        <v>38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0.0979106923392053</v>
      </c>
      <c r="V11" s="7">
        <f t="shared" si="3"/>
        <v>0.0454731667349447</v>
      </c>
      <c r="W11" s="13">
        <f t="shared" si="4"/>
        <v>2.15315315315315</v>
      </c>
      <c r="X11" s="5">
        <f t="shared" si="5"/>
        <v>-2196</v>
      </c>
      <c r="Y11" s="7">
        <f t="shared" si="6"/>
        <v>-0.0499795165915608</v>
      </c>
      <c r="Z11" s="7">
        <f>IF(OR(AE11="",多次统计数据!$B$8=""),"",AE11-多次统计数据!$B$8)</f>
        <v>-0.089519711235855</v>
      </c>
      <c r="AA11" s="14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0.0583754206956539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-0.0217023925998399</v>
      </c>
    </row>
    <row r="12" ht="17" spans="1:31">
      <c r="A12" s="2">
        <v>11</v>
      </c>
      <c r="B12" s="11" t="s">
        <v>40</v>
      </c>
      <c r="C12" s="9">
        <v>98991</v>
      </c>
      <c r="D12" s="6">
        <v>0.02</v>
      </c>
      <c r="E12" s="9">
        <v>8.22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11" t="s">
        <v>41</v>
      </c>
      <c r="S12" s="11" t="s">
        <v>42</v>
      </c>
      <c r="T12" s="2"/>
      <c r="U12" s="7">
        <f t="shared" si="2"/>
        <v>0.155717761557178</v>
      </c>
      <c r="V12" s="7">
        <f t="shared" si="3"/>
        <v>0.075425790754258</v>
      </c>
      <c r="W12" s="13">
        <f t="shared" si="4"/>
        <v>2.06451612903225</v>
      </c>
      <c r="X12" s="5">
        <f t="shared" si="5"/>
        <v>681.999999999996</v>
      </c>
      <c r="Y12" s="7">
        <f t="shared" si="6"/>
        <v>0.0267639902676398</v>
      </c>
      <c r="Z12" s="7">
        <f>IF(OR(AE12="",多次统计数据!$B$8=""),"",AE12-多次统计数据!$B$8)</f>
        <v>-0.0609278034275619</v>
      </c>
      <c r="AA12" s="14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0.0583754206956539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0.00688951520845326</v>
      </c>
    </row>
    <row r="13" ht="17" spans="1:31">
      <c r="A13" s="2">
        <v>12</v>
      </c>
      <c r="B13" s="11" t="s">
        <v>40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11" t="s">
        <v>43</v>
      </c>
      <c r="S13" s="11" t="s">
        <v>42</v>
      </c>
      <c r="T13" s="2"/>
      <c r="U13" s="7">
        <f t="shared" si="2"/>
        <v>0.172447013487476</v>
      </c>
      <c r="V13" s="7">
        <f t="shared" si="3"/>
        <v>0.0847784200385357</v>
      </c>
      <c r="W13" s="13">
        <f t="shared" si="4"/>
        <v>2.03409090909091</v>
      </c>
      <c r="X13" s="5">
        <f t="shared" si="5"/>
        <v>-1826</v>
      </c>
      <c r="Y13" s="7">
        <f t="shared" si="6"/>
        <v>-0.0799614643545279</v>
      </c>
      <c r="Z13" s="7">
        <f>IF(OR(AE13="",多次统计数据!$B$8=""),"",AE13-多次统计数据!$B$8)</f>
        <v>-0.086137224728939</v>
      </c>
      <c r="AA13" s="14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0.0583754206956539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-0.0183199060929239</v>
      </c>
    </row>
    <row r="14" ht="17" spans="1:31">
      <c r="A14" s="2">
        <v>13</v>
      </c>
      <c r="B14" s="11" t="s">
        <v>40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11" t="s">
        <v>43</v>
      </c>
      <c r="S14" s="2" t="s">
        <v>44</v>
      </c>
      <c r="T14" s="2"/>
      <c r="U14" s="7">
        <f t="shared" si="2"/>
        <v>0.143946615824595</v>
      </c>
      <c r="V14" s="7">
        <f t="shared" si="3"/>
        <v>0.0467111534795043</v>
      </c>
      <c r="W14" s="13">
        <f t="shared" si="4"/>
        <v>3.08163265306122</v>
      </c>
      <c r="X14" s="5">
        <f t="shared" si="5"/>
        <v>936</v>
      </c>
      <c r="Y14" s="7">
        <f t="shared" si="6"/>
        <v>0.0228789323164919</v>
      </c>
      <c r="Z14" s="7">
        <f>IF(OR(AE14="",多次统计数据!$B$8=""),"",AE14-多次统计数据!$B$8)</f>
        <v>-0.0582513636246198</v>
      </c>
      <c r="AA14" s="14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0.0583754206956539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0.00956595501139534</v>
      </c>
    </row>
    <row r="15" ht="17" spans="1:31">
      <c r="A15" s="2">
        <v>14</v>
      </c>
      <c r="B15" s="11" t="s">
        <v>40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IF(OR(A15="",F15="",E15="",N15="",E15&lt;=N15,账户数据!$B$7=""),"",IF(账户数据!$B$9+IF(H15="",F15*(E15-N15),0)&gt;=账户数据!$B$7,"禁止开仓","允许开仓"))</f>
        <v>允许开仓</v>
      </c>
      <c r="H15" s="2">
        <v>7500</v>
      </c>
      <c r="I15" s="10">
        <v>45216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0.0536398467432951</v>
      </c>
      <c r="V15" s="7">
        <f t="shared" si="3"/>
        <v>0.024904214559387</v>
      </c>
      <c r="W15" s="13">
        <f t="shared" si="4"/>
        <v>2.15384615384616</v>
      </c>
      <c r="X15" s="5">
        <f t="shared" si="5"/>
        <v>6450</v>
      </c>
      <c r="Y15" s="7">
        <f t="shared" si="6"/>
        <v>0.0823754789272031</v>
      </c>
      <c r="Z15" s="7">
        <f>IF(OR(AE15="",多次统计数据!$B$8=""),"",AE15-多次统计数据!$B$8)</f>
        <v>-0.00252268291934322</v>
      </c>
      <c r="AA15" s="14">
        <f t="shared" si="7"/>
        <v>107</v>
      </c>
      <c r="AB15" s="7">
        <f>IF(OR(A15="",多次统计数据!$B$8="",多次统计数据!$B$6&lt;=0,多次统计数据!$B$6&gt;=1),"",1-POWER(1+多次统计数据!$B$8,-多次统计数据!$B$6/(1-多次统计数据!$B$6)))</f>
        <v>0.0583754206956539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0.0652946357166719</v>
      </c>
    </row>
    <row r="16" ht="17" spans="1:31">
      <c r="A16" s="2">
        <v>15</v>
      </c>
      <c r="B16" s="11" t="s">
        <v>40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IF(OR(A16="",F16="",E16="",N16="",E16&lt;=N16,账户数据!$B$7=""),"",IF(账户数据!$B$9+IF(H16="",F16*(E16-N16),0)&gt;=账户数据!$B$7,"禁止开仓","允许开仓"))</f>
        <v>允许开仓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</v>
      </c>
      <c r="V16" s="7">
        <f t="shared" si="3"/>
        <v>0.0257480862908837</v>
      </c>
      <c r="W16" s="13">
        <f t="shared" si="4"/>
        <v>4.40540540540542</v>
      </c>
      <c r="X16" s="5">
        <f t="shared" si="5"/>
        <v>-1800</v>
      </c>
      <c r="Y16" s="7">
        <f t="shared" si="6"/>
        <v>-0.0250521920668058</v>
      </c>
      <c r="Z16" s="7">
        <f>IF(OR(AE16="",多次统计数据!$B$8=""),"",AE16-多次统计数据!$B$8)</f>
        <v>-0.0849222191900238</v>
      </c>
      <c r="AA16" s="14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0.0583754206956539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-0.0171049005540087</v>
      </c>
    </row>
    <row r="17" ht="17" spans="1:31">
      <c r="A17" s="2">
        <v>16</v>
      </c>
      <c r="B17" s="11" t="s">
        <v>40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IF(OR(A17="",F17="",E17="",N17="",E17&lt;=N17,账户数据!$B$7=""),"",IF(账户数据!$B$9+IF(H17="",F17*(E17-N17),0)&gt;=账户数据!$B$7,"禁止开仓","允许开仓"))</f>
        <v>允许开仓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0.0767160161507403</v>
      </c>
      <c r="V17" s="7">
        <f t="shared" si="3"/>
        <v>0.0578734858681023</v>
      </c>
      <c r="W17" s="13">
        <f t="shared" si="4"/>
        <v>1.32558139534884</v>
      </c>
      <c r="X17" s="5">
        <f t="shared" si="5"/>
        <v>930</v>
      </c>
      <c r="Y17" s="7">
        <f t="shared" si="6"/>
        <v>0.0208613728129206</v>
      </c>
      <c r="Z17" s="7">
        <f>IF(OR(AE17="",多次统计数据!$B$8=""),"",AE17-多次统计数据!$B$8)</f>
        <v>-0.0588259909166219</v>
      </c>
      <c r="AA17" s="14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0.0583754206956539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0.00899132771939323</v>
      </c>
    </row>
    <row r="18" ht="17" spans="1:31">
      <c r="A18" s="2">
        <v>17</v>
      </c>
      <c r="B18" s="11" t="s">
        <v>40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IF(OR(A18="",F18="",E18="",N18="",E18&lt;=N18,账户数据!$B$7=""),"",IF(账户数据!$B$9+IF(H18="",F18*(E18-N18),0)&gt;=账户数据!$B$7,"禁止开仓","允许开仓"))</f>
        <v>允许开仓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0.0844306738962045</v>
      </c>
      <c r="V18" s="7">
        <f t="shared" si="3"/>
        <v>0.0317583268783889</v>
      </c>
      <c r="W18" s="13">
        <f t="shared" si="4"/>
        <v>2.65853658536585</v>
      </c>
      <c r="X18" s="5">
        <f t="shared" si="5"/>
        <v>8550</v>
      </c>
      <c r="Y18" s="7">
        <f t="shared" si="6"/>
        <v>0.132455460883036</v>
      </c>
      <c r="Z18" s="7">
        <f>IF(OR(AE18="",多次统计数据!$B$8=""),"",AE18-多次统计数据!$B$8)</f>
        <v>0.0141074830197282</v>
      </c>
      <c r="AA18" s="14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0.0583754206956539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0.0819248016557434</v>
      </c>
    </row>
    <row r="19" ht="17" spans="1:31">
      <c r="A19" s="2">
        <v>18</v>
      </c>
      <c r="B19" s="2" t="s">
        <v>45</v>
      </c>
      <c r="C19" s="9">
        <v>112913</v>
      </c>
      <c r="D19" s="6">
        <v>0.02</v>
      </c>
      <c r="E19" s="9">
        <v>20.1</v>
      </c>
      <c r="F19" s="8">
        <f t="shared" si="0"/>
        <v>2000</v>
      </c>
      <c r="G19" s="8" t="str">
        <f>IF(OR(A19="",F19="",E19="",N19="",E19&lt;=N19,账户数据!$B$7=""),"",IF(账户数据!$B$9+IF(H19="",F19*(E19-N19),0)&gt;=账户数据!$B$7,"禁止开仓","允许开仓"))</f>
        <v>允许开仓</v>
      </c>
      <c r="H19" s="2">
        <v>2000</v>
      </c>
      <c r="I19" s="10">
        <v>44540</v>
      </c>
      <c r="J19" s="9">
        <v>23</v>
      </c>
      <c r="K19" s="9">
        <v>18.9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</v>
      </c>
      <c r="V19" s="7">
        <f t="shared" si="3"/>
        <v>0.0547263681592041</v>
      </c>
      <c r="W19" s="13">
        <f t="shared" si="4"/>
        <v>2.63636363636363</v>
      </c>
      <c r="X19" s="5">
        <f t="shared" si="5"/>
        <v>-2400</v>
      </c>
      <c r="Y19" s="7">
        <f t="shared" si="6"/>
        <v>-0.0597014925373134</v>
      </c>
      <c r="Z19" s="7">
        <f>IF(OR(AE19="",多次统计数据!$B$8=""),"",AE19-多次统计数据!$B$8)</f>
        <v>-0.0890726213912337</v>
      </c>
      <c r="AA19" s="14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0.0583754206956539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-0.0212553027552186</v>
      </c>
    </row>
    <row r="20" ht="17" spans="1:31">
      <c r="A20" s="2">
        <v>19</v>
      </c>
      <c r="B20" s="2" t="s">
        <v>45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IF(OR(A20="",F20="",E20="",N20="",E20&lt;=N20,账户数据!$B$7=""),"",IF(账户数据!$B$9+IF(H20="",F20*(E20-N20),0)&gt;=账户数据!$B$7,"禁止开仓","允许开仓"))</f>
        <v>允许开仓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0.1243851018974</v>
      </c>
      <c r="V20" s="7">
        <f t="shared" si="3"/>
        <v>0.0513000702740689</v>
      </c>
      <c r="W20" s="13">
        <f t="shared" si="4"/>
        <v>2.42465753424657</v>
      </c>
      <c r="X20" s="5">
        <f t="shared" si="5"/>
        <v>1890</v>
      </c>
      <c r="Y20" s="7">
        <f t="shared" si="6"/>
        <v>0.0442726633872101</v>
      </c>
      <c r="Z20" s="7">
        <f>IF(OR(AE20="",多次统计数据!$B$8=""),"",AE20-多次统计数据!$B$8)</f>
        <v>-0.0507152582449299</v>
      </c>
      <c r="AA20" s="14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0.0583754206956539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0.0171020603910852</v>
      </c>
    </row>
    <row r="21" ht="17" spans="1:31">
      <c r="A21" s="2">
        <v>20</v>
      </c>
      <c r="B21" s="2" t="s">
        <v>45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IF(OR(A21="",F21="",E21="",N21="",E21&lt;=N21,账户数据!$B$7=""),"",IF(账户数据!$B$9+IF(H21="",F21*(E21-N21),0)&gt;=账户数据!$B$7,"禁止开仓","允许开仓"))</f>
        <v>允许开仓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0.122194513715711</v>
      </c>
      <c r="V21" s="7">
        <f t="shared" si="3"/>
        <v>0.0274314214463841</v>
      </c>
      <c r="W21" s="13">
        <f t="shared" si="4"/>
        <v>4.45454545454545</v>
      </c>
      <c r="X21" s="5">
        <f t="shared" si="5"/>
        <v>20440</v>
      </c>
      <c r="Y21" s="7">
        <f t="shared" si="6"/>
        <v>0.254862842892768</v>
      </c>
      <c r="Z21" s="7">
        <f>IF(OR(AE21="",多次统计数据!$B$8=""),"",AE21-多次统计数据!$B$8)</f>
        <v>0.114028361639422</v>
      </c>
      <c r="AA21" s="14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0.0583754206956539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</v>
      </c>
    </row>
    <row r="22" ht="17" spans="1:31">
      <c r="A22" s="2">
        <v>21</v>
      </c>
      <c r="B22" s="2" t="s">
        <v>45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IF(OR(A22="",F22="",E22="",N22="",E22&lt;=N22,账户数据!$B$7=""),"",IF(账户数据!$B$9+IF(H22="",F22*(E22-N22),0)&gt;=账户数据!$B$7,"禁止开仓","允许开仓"))</f>
        <v>允许开仓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0.149425287356322</v>
      </c>
      <c r="V22" s="7">
        <f t="shared" si="3"/>
        <v>0.0558292282430213</v>
      </c>
      <c r="W22" s="13">
        <f t="shared" si="4"/>
        <v>2.6764705882353</v>
      </c>
      <c r="X22" s="5">
        <f t="shared" si="5"/>
        <v>-4275</v>
      </c>
      <c r="Y22" s="7">
        <f t="shared" si="6"/>
        <v>-0.0923645320197044</v>
      </c>
      <c r="Z22" s="7">
        <f>IF(OR(AE22="",多次统计数据!$B$8=""),"",AE22-多次统计数据!$B$8)</f>
        <v>-0.0999981636937148</v>
      </c>
      <c r="AA22" s="14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0.0583754206956539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-0.0321808450576997</v>
      </c>
    </row>
    <row r="23" ht="17" spans="1:31">
      <c r="A23" s="2">
        <v>22</v>
      </c>
      <c r="B23" s="2" t="s">
        <v>45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IF(OR(A23="",F23="",E23="",N23="",E23&lt;=N23,账户数据!$B$7=""),"",IF(账户数据!$B$9+IF(H23="",F23*(E23-N23),0)&gt;=账户数据!$B$7,"禁止开仓","允许开仓"))</f>
        <v>允许开仓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0.209677419354839</v>
      </c>
      <c r="V23" s="7">
        <f t="shared" si="3"/>
        <v>0.092741935483871</v>
      </c>
      <c r="W23" s="13">
        <f t="shared" si="4"/>
        <v>2.26086956521739</v>
      </c>
      <c r="X23" s="5">
        <f t="shared" si="5"/>
        <v>-2600</v>
      </c>
      <c r="Y23" s="7">
        <f t="shared" si="6"/>
        <v>-0.100806451612903</v>
      </c>
      <c r="Z23" s="7">
        <f>IF(OR(AE23="",多次统计数据!$B$8=""),"",AE23-多次统计数据!$B$8)</f>
        <v>-0.0880400801318772</v>
      </c>
      <c r="AA23" s="14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0.0583754206956539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-0.0202227614958621</v>
      </c>
    </row>
    <row r="24" ht="17" spans="1:31">
      <c r="A24" s="2">
        <v>23</v>
      </c>
      <c r="B24" s="2" t="s">
        <v>45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IF(OR(A24="",F24="",E24="",N24="",E24&lt;=N24,账户数据!$B$7=""),"",IF(账户数据!$B$9+IF(H24="",F24*(E24-N24),0)&gt;=账户数据!$B$7,"禁止开仓","允许开仓"))</f>
        <v>允许开仓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0.253481894150418</v>
      </c>
      <c r="V24" s="7">
        <f t="shared" si="3"/>
        <v>0.0343546889507892</v>
      </c>
      <c r="W24" s="13">
        <f t="shared" si="4"/>
        <v>7.3783783783784</v>
      </c>
      <c r="X24" s="5">
        <f t="shared" si="5"/>
        <v>6460</v>
      </c>
      <c r="Y24" s="7">
        <f t="shared" si="6"/>
        <v>0.0882079851439183</v>
      </c>
      <c r="Z24" s="7">
        <f>IF(OR(AE24="",多次统计数据!$B$8=""),"",AE24-多次统计数据!$B$8)</f>
        <v>-0.016534453146367</v>
      </c>
      <c r="AA24" s="14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0.0583754206956539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0.0512828654896482</v>
      </c>
    </row>
    <row r="25" ht="17" spans="1:31">
      <c r="A25" s="2">
        <v>24</v>
      </c>
      <c r="B25" s="2" t="s">
        <v>45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IF(OR(A25="",F25="",E25="",N25="",E25&lt;=N25,账户数据!$B$7=""),"",IF(账户数据!$B$9+IF(H25="",F25*(E25-N25),0)&gt;=账户数据!$B$7,"禁止开仓","允许开仓"))</f>
        <v>允许开仓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</v>
      </c>
      <c r="V25" s="7">
        <f t="shared" si="3"/>
        <v>0.0562613430127041</v>
      </c>
      <c r="W25" s="13">
        <f t="shared" si="4"/>
        <v>1.98387096774194</v>
      </c>
      <c r="X25" s="5">
        <f t="shared" si="5"/>
        <v>-3213</v>
      </c>
      <c r="Y25" s="7">
        <f t="shared" si="6"/>
        <v>-0.0694192377495463</v>
      </c>
      <c r="Z25" s="7">
        <f>IF(OR(AE25="",多次统计数据!$B$8=""),"",AE25-多次统计数据!$B$8)</f>
        <v>-0.0920795592497826</v>
      </c>
      <c r="AA25" s="14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0.0583754206956539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-0.0242622406137675</v>
      </c>
    </row>
    <row r="26" ht="17" spans="1:31">
      <c r="A26" s="2">
        <v>25</v>
      </c>
      <c r="B26" s="2" t="s">
        <v>45</v>
      </c>
      <c r="C26" s="9">
        <v>129215</v>
      </c>
      <c r="D26" s="6">
        <v>0.02</v>
      </c>
      <c r="E26" s="9">
        <v>18.92</v>
      </c>
      <c r="F26" s="8">
        <f t="shared" si="0"/>
        <v>2800</v>
      </c>
      <c r="G26" s="8" t="str">
        <f>IF(OR(A26="",F26="",E26="",N26="",E26&lt;=N26,账户数据!$B$7=""),"",IF(账户数据!$B$9+IF(H26="",F26*(E26-N26),0)&gt;=账户数据!$B$7,"禁止开仓","允许开仓"))</f>
        <v>允许开仓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</v>
      </c>
      <c r="V26" s="7">
        <f t="shared" si="3"/>
        <v>0.0486257928118394</v>
      </c>
      <c r="W26" s="13">
        <f t="shared" si="4"/>
        <v>2.26086956521739</v>
      </c>
      <c r="X26" s="5">
        <f t="shared" si="5"/>
        <v>16380</v>
      </c>
      <c r="Y26" s="7">
        <f t="shared" si="6"/>
        <v>0.309196617336152</v>
      </c>
      <c r="Z26" s="7">
        <f>IF(OR(AE26="",多次统计数据!$B$8=""),"",AE26-多次统计数据!$B$8)</f>
        <v>0.0589481497693557</v>
      </c>
      <c r="AA26" s="14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0.0583754206956539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0.126765468405371</v>
      </c>
    </row>
    <row r="27" ht="17" spans="1:31">
      <c r="A27" s="2"/>
      <c r="B27" s="2"/>
      <c r="C27" s="9"/>
      <c r="D27" s="6"/>
      <c r="E27" s="9"/>
      <c r="F27" s="8" t="str">
        <f t="shared" si="0"/>
        <v/>
      </c>
      <c r="G27" s="8" t="str">
        <f>IF(OR(A27="",F27="",E27="",N27="",E27&lt;=N27,账户数据!$B$7=""),"",IF(账户数据!$B$9+IF(H27="",F27*(E27-N27),0)&gt;=账户数据!$B$7,"禁止开仓","允许开仓"))</f>
        <v/>
      </c>
      <c r="H27" s="2"/>
      <c r="I27" s="10"/>
      <c r="J27" s="9"/>
      <c r="K27" s="9"/>
      <c r="L27" s="8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3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4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</row>
    <row r="28" ht="17" spans="1:31">
      <c r="A28" s="2"/>
      <c r="B28" s="2"/>
      <c r="C28" s="9"/>
      <c r="D28" s="6"/>
      <c r="E28" s="9"/>
      <c r="F28" s="8" t="str">
        <f t="shared" si="0"/>
        <v/>
      </c>
      <c r="G28" s="8" t="str">
        <f>IF(OR(A28="",F28="",E28="",N28="",E28&lt;=N28,账户数据!$B$7=""),"",IF(账户数据!$B$9+IF(H28="",F28*(E28-N28),0)&gt;=账户数据!$B$7,"禁止开仓","允许开仓"))</f>
        <v/>
      </c>
      <c r="H28" s="2"/>
      <c r="I28" s="10"/>
      <c r="J28" s="9"/>
      <c r="K28" s="9"/>
      <c r="L28" s="8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3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4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</row>
    <row r="29" ht="17" spans="1:31">
      <c r="A29" s="2"/>
      <c r="B29" s="2"/>
      <c r="C29" s="9"/>
      <c r="D29" s="6"/>
      <c r="E29" s="9"/>
      <c r="F29" s="8" t="str">
        <f t="shared" si="0"/>
        <v/>
      </c>
      <c r="G29" s="8" t="str">
        <f>IF(OR(A29="",F29="",E29="",N29="",E29&lt;=N29,账户数据!$B$7=""),"",IF(账户数据!$B$9+IF(H29="",F29*(E29-N29),0)&gt;=账户数据!$B$7,"禁止开仓","允许开仓"))</f>
        <v/>
      </c>
      <c r="H29" s="2"/>
      <c r="I29" s="10"/>
      <c r="J29" s="9"/>
      <c r="K29" s="9"/>
      <c r="L29" s="8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3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4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</row>
    <row r="30" ht="17" spans="1:31">
      <c r="A30" s="2"/>
      <c r="B30" s="2"/>
      <c r="C30" s="9"/>
      <c r="D30" s="6"/>
      <c r="E30" s="9"/>
      <c r="F30" s="8" t="str">
        <f t="shared" si="0"/>
        <v/>
      </c>
      <c r="G30" s="8" t="str">
        <f>IF(OR(A30="",F30="",E30="",N30="",E30&lt;=N30,账户数据!$B$7=""),"",IF(账户数据!$B$9+IF(H30="",F30*(E30-N30),0)&gt;=账户数据!$B$7,"禁止开仓","允许开仓"))</f>
        <v/>
      </c>
      <c r="H30" s="2"/>
      <c r="I30" s="10"/>
      <c r="J30" s="9"/>
      <c r="K30" s="9"/>
      <c r="L30" s="8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3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4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</row>
    <row r="31" ht="17" spans="1:31">
      <c r="A31" s="2"/>
      <c r="B31" s="2"/>
      <c r="C31" s="9"/>
      <c r="D31" s="6"/>
      <c r="E31" s="9"/>
      <c r="F31" s="8" t="str">
        <f t="shared" si="0"/>
        <v/>
      </c>
      <c r="G31" s="8" t="str">
        <f>IF(OR(A31="",F31="",E31="",N31="",E31&lt;=N31,账户数据!$B$7=""),"",IF(账户数据!$B$9+IF(H31="",F31*(E31-N31),0)&gt;=账户数据!$B$7,"禁止开仓","允许开仓"))</f>
        <v/>
      </c>
      <c r="H31" s="2"/>
      <c r="I31" s="10"/>
      <c r="J31" s="9"/>
      <c r="K31" s="9"/>
      <c r="L31" s="8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3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4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</row>
    <row r="32" ht="17" spans="1:31">
      <c r="A32" s="2"/>
      <c r="B32" s="2"/>
      <c r="C32" s="9"/>
      <c r="D32" s="6"/>
      <c r="E32" s="9"/>
      <c r="F32" s="8" t="str">
        <f t="shared" si="0"/>
        <v/>
      </c>
      <c r="G32" s="8" t="str">
        <f>IF(OR(A32="",F32="",E32="",N32="",E32&lt;=N32,账户数据!$B$7=""),"",IF(账户数据!$B$9+IF(H32="",F32*(E32-N32),0)&gt;=账户数据!$B$7,"禁止开仓","允许开仓"))</f>
        <v/>
      </c>
      <c r="H32" s="2"/>
      <c r="I32" s="10"/>
      <c r="J32" s="9"/>
      <c r="K32" s="9"/>
      <c r="L32" s="8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3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4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</row>
    <row r="33" ht="17" spans="1:31">
      <c r="A33" s="2"/>
      <c r="B33" s="2"/>
      <c r="C33" s="9"/>
      <c r="D33" s="6"/>
      <c r="E33" s="9"/>
      <c r="F33" s="8" t="str">
        <f t="shared" si="0"/>
        <v/>
      </c>
      <c r="G33" s="8" t="str">
        <f>IF(OR(A33="",F33="",E33="",N33="",E33&lt;=N33,账户数据!$B$7=""),"",IF(账户数据!$B$9+IF(H33="",F33*(E33-N33),0)&gt;=账户数据!$B$7,"禁止开仓","允许开仓"))</f>
        <v/>
      </c>
      <c r="H33" s="2"/>
      <c r="I33" s="10"/>
      <c r="J33" s="9"/>
      <c r="K33" s="9"/>
      <c r="L33" s="8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3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4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</row>
    <row r="34" ht="17" spans="1:31">
      <c r="A34" s="2"/>
      <c r="B34" s="2"/>
      <c r="C34" s="9"/>
      <c r="D34" s="6"/>
      <c r="E34" s="9"/>
      <c r="F34" s="8" t="str">
        <f t="shared" si="0"/>
        <v/>
      </c>
      <c r="G34" s="8" t="str">
        <f>IF(OR(A34="",F34="",E34="",N34="",E34&lt;=N34,账户数据!$B$7=""),"",IF(账户数据!$B$9+IF(H34="",F34*(E34-N34),0)&gt;=账户数据!$B$7,"禁止开仓","允许开仓"))</f>
        <v/>
      </c>
      <c r="H34" s="2"/>
      <c r="I34" s="10"/>
      <c r="J34" s="9"/>
      <c r="K34" s="9"/>
      <c r="L34" s="8" t="str">
        <f t="shared" si="1"/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si="2"/>
        <v/>
      </c>
      <c r="V34" s="7" t="str">
        <f t="shared" si="3"/>
        <v/>
      </c>
      <c r="W34" s="13" t="str">
        <f t="shared" si="4"/>
        <v/>
      </c>
      <c r="X34" s="5" t="str">
        <f t="shared" si="5"/>
        <v/>
      </c>
      <c r="Y34" s="7" t="str">
        <f t="shared" si="6"/>
        <v/>
      </c>
      <c r="Z34" s="7" t="str">
        <f>IF(OR(AE34="",多次统计数据!$B$8=""),"",AE34-多次统计数据!$B$8)</f>
        <v/>
      </c>
      <c r="AA34" s="14" t="str">
        <f t="shared" si="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8"/>
        <v/>
      </c>
    </row>
    <row r="35" ht="17" spans="1:31">
      <c r="A35" s="2"/>
      <c r="B35" s="2"/>
      <c r="C35" s="9"/>
      <c r="D35" s="6"/>
      <c r="E35" s="9"/>
      <c r="F35" s="8" t="str">
        <f t="shared" si="0"/>
        <v/>
      </c>
      <c r="G35" s="8" t="str">
        <f>IF(OR(A35="",F35="",E35="",N35="",E35&lt;=N35,账户数据!$B$7=""),"",IF(账户数据!$B$9+IF(H35="",F35*(E35-N35),0)&gt;=账户数据!$B$7,"禁止开仓","允许开仓"))</f>
        <v/>
      </c>
      <c r="H35" s="2"/>
      <c r="I35" s="10"/>
      <c r="J35" s="9"/>
      <c r="K35" s="9"/>
      <c r="L35" s="8" t="str">
        <f t="shared" si="1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2"/>
        <v/>
      </c>
      <c r="V35" s="7" t="str">
        <f t="shared" si="3"/>
        <v/>
      </c>
      <c r="W35" s="13" t="str">
        <f t="shared" si="4"/>
        <v/>
      </c>
      <c r="X35" s="5" t="str">
        <f t="shared" si="5"/>
        <v/>
      </c>
      <c r="Y35" s="7" t="str">
        <f t="shared" si="6"/>
        <v/>
      </c>
      <c r="Z35" s="7" t="str">
        <f>IF(OR(AE35="",多次统计数据!$B$8=""),"",AE35-多次统计数据!$B$8)</f>
        <v/>
      </c>
      <c r="AA35" s="14" t="str">
        <f t="shared" si="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8"/>
        <v/>
      </c>
    </row>
    <row r="36" ht="17" spans="1:31">
      <c r="A36" s="2"/>
      <c r="B36" s="2"/>
      <c r="C36" s="9"/>
      <c r="D36" s="6"/>
      <c r="E36" s="9"/>
      <c r="F36" s="8" t="str">
        <f t="shared" si="0"/>
        <v/>
      </c>
      <c r="G36" s="8" t="str">
        <f>IF(OR(A36="",F36="",E36="",N36="",E36&lt;=N36,账户数据!$B$7=""),"",IF(账户数据!$B$9+IF(H36="",F36*(E36-N36),0)&gt;=账户数据!$B$7,"禁止开仓","允许开仓"))</f>
        <v/>
      </c>
      <c r="H36" s="2"/>
      <c r="I36" s="10"/>
      <c r="J36" s="9"/>
      <c r="K36" s="9"/>
      <c r="L36" s="8" t="str">
        <f t="shared" si="1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2"/>
        <v/>
      </c>
      <c r="V36" s="7" t="str">
        <f t="shared" si="3"/>
        <v/>
      </c>
      <c r="W36" s="13" t="str">
        <f t="shared" si="4"/>
        <v/>
      </c>
      <c r="X36" s="5" t="str">
        <f t="shared" si="5"/>
        <v/>
      </c>
      <c r="Y36" s="7" t="str">
        <f t="shared" si="6"/>
        <v/>
      </c>
      <c r="Z36" s="7" t="str">
        <f>IF(OR(AE36="",多次统计数据!$B$8=""),"",AE36-多次统计数据!$B$8)</f>
        <v/>
      </c>
      <c r="AA36" s="14" t="str">
        <f t="shared" si="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8"/>
        <v/>
      </c>
    </row>
    <row r="37" ht="17" spans="1:31">
      <c r="A37" s="2"/>
      <c r="B37" s="2"/>
      <c r="C37" s="9"/>
      <c r="D37" s="6"/>
      <c r="E37" s="9"/>
      <c r="F37" s="8" t="str">
        <f t="shared" si="0"/>
        <v/>
      </c>
      <c r="G37" s="8" t="str">
        <f>IF(OR(A37="",F37="",E37="",N37="",E37&lt;=N37,账户数据!$B$7=""),"",IF(账户数据!$B$9+IF(H37="",F37*(E37-N37),0)&gt;=账户数据!$B$7,"禁止开仓","允许开仓"))</f>
        <v/>
      </c>
      <c r="H37" s="2"/>
      <c r="I37" s="10"/>
      <c r="J37" s="9"/>
      <c r="K37" s="9"/>
      <c r="L37" s="8" t="str">
        <f t="shared" si="1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2"/>
        <v/>
      </c>
      <c r="V37" s="7" t="str">
        <f t="shared" si="3"/>
        <v/>
      </c>
      <c r="W37" s="13" t="str">
        <f t="shared" si="4"/>
        <v/>
      </c>
      <c r="X37" s="5" t="str">
        <f t="shared" si="5"/>
        <v/>
      </c>
      <c r="Y37" s="7" t="str">
        <f t="shared" si="6"/>
        <v/>
      </c>
      <c r="Z37" s="7" t="str">
        <f>IF(OR(AE37="",多次统计数据!$B$8=""),"",AE37-多次统计数据!$B$8)</f>
        <v/>
      </c>
      <c r="AA37" s="14" t="str">
        <f t="shared" si="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8"/>
        <v/>
      </c>
    </row>
    <row r="38" ht="17" spans="1:31">
      <c r="A38" s="2"/>
      <c r="B38" s="2"/>
      <c r="C38" s="9"/>
      <c r="D38" s="6"/>
      <c r="E38" s="9"/>
      <c r="F38" s="8" t="str">
        <f t="shared" si="0"/>
        <v/>
      </c>
      <c r="G38" s="8" t="str">
        <f>IF(OR(A38="",F38="",E38="",N38="",E38&lt;=N38,账户数据!$B$7=""),"",IF(账户数据!$B$9+IF(H38="",F38*(E38-N38),0)&gt;=账户数据!$B$7,"禁止开仓","允许开仓"))</f>
        <v/>
      </c>
      <c r="H38" s="2"/>
      <c r="I38" s="10"/>
      <c r="J38" s="9"/>
      <c r="K38" s="9"/>
      <c r="L38" s="8" t="str">
        <f t="shared" si="1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2"/>
        <v/>
      </c>
      <c r="V38" s="7" t="str">
        <f t="shared" si="3"/>
        <v/>
      </c>
      <c r="W38" s="13" t="str">
        <f t="shared" si="4"/>
        <v/>
      </c>
      <c r="X38" s="5" t="str">
        <f t="shared" si="5"/>
        <v/>
      </c>
      <c r="Y38" s="7" t="str">
        <f t="shared" si="6"/>
        <v/>
      </c>
      <c r="Z38" s="7" t="str">
        <f>IF(OR(AE38="",多次统计数据!$B$8=""),"",AE38-多次统计数据!$B$8)</f>
        <v/>
      </c>
      <c r="AA38" s="14" t="str">
        <f t="shared" si="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8"/>
        <v/>
      </c>
    </row>
    <row r="39" ht="17" spans="1:31">
      <c r="A39" s="2"/>
      <c r="B39" s="2"/>
      <c r="C39" s="9"/>
      <c r="D39" s="6"/>
      <c r="E39" s="9"/>
      <c r="F39" s="8" t="str">
        <f t="shared" si="0"/>
        <v/>
      </c>
      <c r="G39" s="8" t="str">
        <f>IF(OR(A39="",F39="",E39="",N39="",E39&lt;=N39,账户数据!$B$7=""),"",IF(账户数据!$B$9+IF(H39="",F39*(E39-N39),0)&gt;=账户数据!$B$7,"禁止开仓","允许开仓"))</f>
        <v/>
      </c>
      <c r="H39" s="2"/>
      <c r="I39" s="10"/>
      <c r="J39" s="9"/>
      <c r="K39" s="9"/>
      <c r="L39" s="8" t="str">
        <f t="shared" si="1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2"/>
        <v/>
      </c>
      <c r="V39" s="7" t="str">
        <f t="shared" si="3"/>
        <v/>
      </c>
      <c r="W39" s="13" t="str">
        <f t="shared" si="4"/>
        <v/>
      </c>
      <c r="X39" s="5" t="str">
        <f t="shared" si="5"/>
        <v/>
      </c>
      <c r="Y39" s="7" t="str">
        <f t="shared" si="6"/>
        <v/>
      </c>
      <c r="Z39" s="7" t="str">
        <f>IF(OR(AE39="",多次统计数据!$B$8=""),"",AE39-多次统计数据!$B$8)</f>
        <v/>
      </c>
      <c r="AA39" s="14" t="str">
        <f t="shared" si="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8"/>
        <v/>
      </c>
    </row>
    <row r="40" ht="17" spans="1:31">
      <c r="A40" s="2"/>
      <c r="B40" s="2"/>
      <c r="C40" s="9"/>
      <c r="D40" s="6"/>
      <c r="E40" s="9"/>
      <c r="F40" s="8" t="str">
        <f t="shared" si="0"/>
        <v/>
      </c>
      <c r="G40" s="8" t="str">
        <f>IF(OR(A40="",F40="",E40="",N40="",E40&lt;=N40,账户数据!$B$7=""),"",IF(账户数据!$B$9+IF(H40="",F40*(E40-N40),0)&gt;=账户数据!$B$7,"禁止开仓","允许开仓"))</f>
        <v/>
      </c>
      <c r="H40" s="2"/>
      <c r="I40" s="10"/>
      <c r="J40" s="9"/>
      <c r="K40" s="9"/>
      <c r="L40" s="8" t="str">
        <f t="shared" si="1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2"/>
        <v/>
      </c>
      <c r="V40" s="7" t="str">
        <f t="shared" si="3"/>
        <v/>
      </c>
      <c r="W40" s="13" t="str">
        <f t="shared" si="4"/>
        <v/>
      </c>
      <c r="X40" s="5" t="str">
        <f t="shared" si="5"/>
        <v/>
      </c>
      <c r="Y40" s="7" t="str">
        <f t="shared" si="6"/>
        <v/>
      </c>
      <c r="Z40" s="7" t="str">
        <f>IF(OR(AE40="",多次统计数据!$B$8=""),"",AE40-多次统计数据!$B$8)</f>
        <v/>
      </c>
      <c r="AA40" s="14" t="str">
        <f t="shared" si="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8"/>
        <v/>
      </c>
    </row>
    <row r="41" ht="17" spans="1:31">
      <c r="A41" s="2"/>
      <c r="B41" s="2"/>
      <c r="C41" s="9"/>
      <c r="D41" s="6"/>
      <c r="E41" s="9"/>
      <c r="F41" s="8" t="str">
        <f t="shared" si="0"/>
        <v/>
      </c>
      <c r="G41" s="8" t="str">
        <f>IF(OR(A41="",F41="",E41="",N41="",E41&lt;=N41,账户数据!$B$7=""),"",IF(账户数据!$B$9+IF(H41="",F41*(E41-N41),0)&gt;=账户数据!$B$7,"禁止开仓","允许开仓"))</f>
        <v/>
      </c>
      <c r="H41" s="2"/>
      <c r="I41" s="10"/>
      <c r="J41" s="9"/>
      <c r="K41" s="9"/>
      <c r="L41" s="8" t="str">
        <f t="shared" si="1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2"/>
        <v/>
      </c>
      <c r="V41" s="7" t="str">
        <f t="shared" si="3"/>
        <v/>
      </c>
      <c r="W41" s="13" t="str">
        <f t="shared" si="4"/>
        <v/>
      </c>
      <c r="X41" s="5" t="str">
        <f t="shared" si="5"/>
        <v/>
      </c>
      <c r="Y41" s="7" t="str">
        <f t="shared" si="6"/>
        <v/>
      </c>
      <c r="Z41" s="7" t="str">
        <f>IF(OR(AE41="",多次统计数据!$B$8=""),"",AE41-多次统计数据!$B$8)</f>
        <v/>
      </c>
      <c r="AA41" s="14" t="str">
        <f t="shared" si="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8"/>
        <v/>
      </c>
    </row>
    <row r="42" ht="17" spans="1:31">
      <c r="A42" s="2"/>
      <c r="B42" s="2"/>
      <c r="C42" s="9"/>
      <c r="D42" s="6"/>
      <c r="E42" s="9"/>
      <c r="F42" s="8" t="str">
        <f t="shared" si="0"/>
        <v/>
      </c>
      <c r="G42" s="8" t="str">
        <f>IF(OR(A42="",F42="",E42="",N42="",E42&lt;=N42,账户数据!$B$7=""),"",IF(账户数据!$B$9+IF(H42="",F42*(E42-N42),0)&gt;=账户数据!$B$7,"禁止开仓","允许开仓"))</f>
        <v/>
      </c>
      <c r="H42" s="2"/>
      <c r="I42" s="10"/>
      <c r="J42" s="9"/>
      <c r="K42" s="9"/>
      <c r="L42" s="8" t="str">
        <f t="shared" si="1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2"/>
        <v/>
      </c>
      <c r="V42" s="7" t="str">
        <f t="shared" si="3"/>
        <v/>
      </c>
      <c r="W42" s="13" t="str">
        <f t="shared" si="4"/>
        <v/>
      </c>
      <c r="X42" s="5" t="str">
        <f t="shared" si="5"/>
        <v/>
      </c>
      <c r="Y42" s="7" t="str">
        <f t="shared" si="6"/>
        <v/>
      </c>
      <c r="Z42" s="7" t="str">
        <f>IF(OR(AE42="",多次统计数据!$B$8=""),"",AE42-多次统计数据!$B$8)</f>
        <v/>
      </c>
      <c r="AA42" s="14" t="str">
        <f t="shared" si="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8"/>
        <v/>
      </c>
    </row>
    <row r="43" ht="17" spans="1:31">
      <c r="A43" s="2"/>
      <c r="B43" s="2"/>
      <c r="C43" s="9"/>
      <c r="D43" s="6"/>
      <c r="E43" s="9"/>
      <c r="F43" s="8" t="str">
        <f t="shared" si="0"/>
        <v/>
      </c>
      <c r="G43" s="8" t="str">
        <f>IF(OR(A43="",F43="",E43="",N43="",E43&lt;=N43,账户数据!$B$7=""),"",IF(账户数据!$B$9+IF(H43="",F43*(E43-N43),0)&gt;=账户数据!$B$7,"禁止开仓","允许开仓"))</f>
        <v/>
      </c>
      <c r="H43" s="2"/>
      <c r="I43" s="10"/>
      <c r="J43" s="9"/>
      <c r="K43" s="9"/>
      <c r="L43" s="8" t="str">
        <f t="shared" si="1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2"/>
        <v/>
      </c>
      <c r="V43" s="7" t="str">
        <f t="shared" si="3"/>
        <v/>
      </c>
      <c r="W43" s="13" t="str">
        <f t="shared" si="4"/>
        <v/>
      </c>
      <c r="X43" s="5" t="str">
        <f t="shared" si="5"/>
        <v/>
      </c>
      <c r="Y43" s="7" t="str">
        <f t="shared" si="6"/>
        <v/>
      </c>
      <c r="Z43" s="7" t="str">
        <f>IF(OR(AE43="",多次统计数据!$B$8=""),"",AE43-多次统计数据!$B$8)</f>
        <v/>
      </c>
      <c r="AA43" s="14" t="str">
        <f t="shared" si="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8"/>
        <v/>
      </c>
    </row>
    <row r="44" ht="17" spans="1:31">
      <c r="A44" s="2"/>
      <c r="B44" s="2"/>
      <c r="C44" s="9"/>
      <c r="D44" s="6"/>
      <c r="E44" s="9"/>
      <c r="F44" s="8" t="str">
        <f t="shared" si="0"/>
        <v/>
      </c>
      <c r="G44" s="8" t="str">
        <f>IF(OR(A44="",F44="",E44="",N44="",E44&lt;=N44,账户数据!$B$7=""),"",IF(账户数据!$B$9+IF(H44="",F44*(E44-N44),0)&gt;=账户数据!$B$7,"禁止开仓","允许开仓"))</f>
        <v/>
      </c>
      <c r="H44" s="2"/>
      <c r="I44" s="10"/>
      <c r="J44" s="9"/>
      <c r="K44" s="9"/>
      <c r="L44" s="8" t="str">
        <f t="shared" si="1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2"/>
        <v/>
      </c>
      <c r="V44" s="7" t="str">
        <f t="shared" si="3"/>
        <v/>
      </c>
      <c r="W44" s="13" t="str">
        <f t="shared" si="4"/>
        <v/>
      </c>
      <c r="X44" s="5" t="str">
        <f t="shared" si="5"/>
        <v/>
      </c>
      <c r="Y44" s="7" t="str">
        <f t="shared" si="6"/>
        <v/>
      </c>
      <c r="Z44" s="7" t="str">
        <f>IF(OR(AE44="",多次统计数据!$B$8=""),"",AE44-多次统计数据!$B$8)</f>
        <v/>
      </c>
      <c r="AA44" s="14" t="str">
        <f t="shared" si="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8"/>
        <v/>
      </c>
    </row>
    <row r="45" ht="17" spans="1:31">
      <c r="A45" s="2"/>
      <c r="B45" s="2"/>
      <c r="C45" s="9"/>
      <c r="D45" s="6"/>
      <c r="E45" s="9"/>
      <c r="F45" s="8" t="str">
        <f t="shared" si="0"/>
        <v/>
      </c>
      <c r="G45" s="8" t="str">
        <f>IF(OR(A45="",F45="",E45="",N45="",E45&lt;=N45,账户数据!$B$7=""),"",IF(账户数据!$B$9+IF(H45="",F45*(E45-N45),0)&gt;=账户数据!$B$7,"禁止开仓","允许开仓"))</f>
        <v/>
      </c>
      <c r="H45" s="2"/>
      <c r="I45" s="10"/>
      <c r="J45" s="9"/>
      <c r="K45" s="9"/>
      <c r="L45" s="8" t="str">
        <f t="shared" si="1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2"/>
        <v/>
      </c>
      <c r="V45" s="7" t="str">
        <f t="shared" si="3"/>
        <v/>
      </c>
      <c r="W45" s="13" t="str">
        <f t="shared" si="4"/>
        <v/>
      </c>
      <c r="X45" s="5" t="str">
        <f t="shared" si="5"/>
        <v/>
      </c>
      <c r="Y45" s="7" t="str">
        <f t="shared" si="6"/>
        <v/>
      </c>
      <c r="Z45" s="7" t="str">
        <f>IF(OR(AE45="",多次统计数据!$B$8=""),"",AE45-多次统计数据!$B$8)</f>
        <v/>
      </c>
      <c r="AA45" s="14" t="str">
        <f t="shared" si="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8"/>
        <v/>
      </c>
    </row>
    <row r="46" ht="17" spans="1:31">
      <c r="A46" s="2"/>
      <c r="B46" s="2"/>
      <c r="C46" s="9"/>
      <c r="D46" s="6"/>
      <c r="E46" s="9"/>
      <c r="F46" s="8" t="str">
        <f t="shared" si="0"/>
        <v/>
      </c>
      <c r="G46" s="8" t="str">
        <f>IF(OR(A46="",F46="",E46="",N46="",E46&lt;=N46,账户数据!$B$7=""),"",IF(账户数据!$B$9+IF(H46="",F46*(E46-N46),0)&gt;=账户数据!$B$7,"禁止开仓","允许开仓"))</f>
        <v/>
      </c>
      <c r="H46" s="2"/>
      <c r="I46" s="10"/>
      <c r="J46" s="9"/>
      <c r="K46" s="9"/>
      <c r="L46" s="8" t="str">
        <f t="shared" si="1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2"/>
        <v/>
      </c>
      <c r="V46" s="7" t="str">
        <f t="shared" si="3"/>
        <v/>
      </c>
      <c r="W46" s="13" t="str">
        <f t="shared" si="4"/>
        <v/>
      </c>
      <c r="X46" s="5" t="str">
        <f t="shared" si="5"/>
        <v/>
      </c>
      <c r="Y46" s="7" t="str">
        <f t="shared" si="6"/>
        <v/>
      </c>
      <c r="Z46" s="7" t="str">
        <f>IF(OR(AE46="",多次统计数据!$B$8=""),"",AE46-多次统计数据!$B$8)</f>
        <v/>
      </c>
      <c r="AA46" s="14" t="str">
        <f t="shared" si="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8"/>
        <v/>
      </c>
    </row>
    <row r="47" ht="17" spans="1:31">
      <c r="A47" s="2"/>
      <c r="B47" s="2"/>
      <c r="C47" s="9"/>
      <c r="D47" s="6"/>
      <c r="E47" s="9"/>
      <c r="F47" s="8" t="str">
        <f t="shared" si="0"/>
        <v/>
      </c>
      <c r="G47" s="8" t="str">
        <f>IF(OR(A47="",F47="",E47="",N47="",E47&lt;=N47,账户数据!$B$7=""),"",IF(账户数据!$B$9+IF(H47="",F47*(E47-N47),0)&gt;=账户数据!$B$7,"禁止开仓","允许开仓"))</f>
        <v/>
      </c>
      <c r="H47" s="2"/>
      <c r="I47" s="10"/>
      <c r="J47" s="9"/>
      <c r="K47" s="9"/>
      <c r="L47" s="8" t="str">
        <f t="shared" si="1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2"/>
        <v/>
      </c>
      <c r="V47" s="7" t="str">
        <f t="shared" si="3"/>
        <v/>
      </c>
      <c r="W47" s="13" t="str">
        <f t="shared" si="4"/>
        <v/>
      </c>
      <c r="X47" s="5" t="str">
        <f t="shared" si="5"/>
        <v/>
      </c>
      <c r="Y47" s="7" t="str">
        <f t="shared" si="6"/>
        <v/>
      </c>
      <c r="Z47" s="7" t="str">
        <f>IF(OR(AE47="",多次统计数据!$B$8=""),"",AE47-多次统计数据!$B$8)</f>
        <v/>
      </c>
      <c r="AA47" s="14" t="str">
        <f t="shared" si="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8"/>
        <v/>
      </c>
    </row>
    <row r="48" ht="17" spans="1:31">
      <c r="A48" s="2"/>
      <c r="B48" s="2"/>
      <c r="C48" s="9"/>
      <c r="D48" s="6"/>
      <c r="E48" s="9"/>
      <c r="F48" s="8" t="str">
        <f t="shared" si="0"/>
        <v/>
      </c>
      <c r="G48" s="8" t="str">
        <f>IF(OR(A48="",F48="",E48="",N48="",E48&lt;=N48,账户数据!$B$7=""),"",IF(账户数据!$B$9+IF(H48="",F48*(E48-N48),0)&gt;=账户数据!$B$7,"禁止开仓","允许开仓"))</f>
        <v/>
      </c>
      <c r="H48" s="2"/>
      <c r="I48" s="10"/>
      <c r="J48" s="9"/>
      <c r="K48" s="9"/>
      <c r="L48" s="8" t="str">
        <f t="shared" si="1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2"/>
        <v/>
      </c>
      <c r="V48" s="7" t="str">
        <f t="shared" si="3"/>
        <v/>
      </c>
      <c r="W48" s="13" t="str">
        <f t="shared" si="4"/>
        <v/>
      </c>
      <c r="X48" s="5" t="str">
        <f t="shared" si="5"/>
        <v/>
      </c>
      <c r="Y48" s="7" t="str">
        <f t="shared" si="6"/>
        <v/>
      </c>
      <c r="Z48" s="7" t="str">
        <f>IF(OR(AE48="",多次统计数据!$B$8=""),"",AE48-多次统计数据!$B$8)</f>
        <v/>
      </c>
      <c r="AA48" s="14" t="str">
        <f t="shared" si="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8"/>
        <v/>
      </c>
    </row>
    <row r="49" ht="17" spans="1:31">
      <c r="A49" s="2"/>
      <c r="B49" s="2"/>
      <c r="C49" s="9"/>
      <c r="D49" s="6"/>
      <c r="E49" s="9"/>
      <c r="F49" s="8" t="str">
        <f t="shared" si="0"/>
        <v/>
      </c>
      <c r="G49" s="8" t="str">
        <f>IF(OR(A49="",F49="",E49="",N49="",E49&lt;=N49,账户数据!$B$7=""),"",IF(账户数据!$B$9+IF(H49="",F49*(E49-N49),0)&gt;=账户数据!$B$7,"禁止开仓","允许开仓"))</f>
        <v/>
      </c>
      <c r="H49" s="2"/>
      <c r="I49" s="10"/>
      <c r="J49" s="9"/>
      <c r="K49" s="9"/>
      <c r="L49" s="8" t="str">
        <f t="shared" si="1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2"/>
        <v/>
      </c>
      <c r="V49" s="7" t="str">
        <f t="shared" si="3"/>
        <v/>
      </c>
      <c r="W49" s="13" t="str">
        <f t="shared" si="4"/>
        <v/>
      </c>
      <c r="X49" s="5" t="str">
        <f t="shared" si="5"/>
        <v/>
      </c>
      <c r="Y49" s="7" t="str">
        <f t="shared" si="6"/>
        <v/>
      </c>
      <c r="Z49" s="7" t="str">
        <f>IF(OR(AE49="",多次统计数据!$B$8=""),"",AE49-多次统计数据!$B$8)</f>
        <v/>
      </c>
      <c r="AA49" s="14" t="str">
        <f t="shared" si="7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8"/>
        <v/>
      </c>
    </row>
    <row r="50" ht="17" spans="1:31">
      <c r="A50" s="2"/>
      <c r="B50" s="2"/>
      <c r="C50" s="9"/>
      <c r="D50" s="6"/>
      <c r="E50" s="9"/>
      <c r="F50" s="8" t="str">
        <f t="shared" si="0"/>
        <v/>
      </c>
      <c r="G50" s="8" t="str">
        <f>IF(OR(A50="",F50="",E50="",N50="",E50&lt;=N50,账户数据!$B$7=""),"",IF(账户数据!$B$9+IF(H50="",F50*(E50-N50),0)&gt;=账户数据!$B$7,"禁止开仓","允许开仓"))</f>
        <v/>
      </c>
      <c r="H50" s="2"/>
      <c r="I50" s="10"/>
      <c r="J50" s="9"/>
      <c r="K50" s="9"/>
      <c r="L50" s="8" t="str">
        <f t="shared" si="1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2"/>
        <v/>
      </c>
      <c r="V50" s="7" t="str">
        <f t="shared" si="3"/>
        <v/>
      </c>
      <c r="W50" s="13" t="str">
        <f t="shared" si="4"/>
        <v/>
      </c>
      <c r="X50" s="5" t="str">
        <f t="shared" si="5"/>
        <v/>
      </c>
      <c r="Y50" s="7" t="str">
        <f t="shared" si="6"/>
        <v/>
      </c>
      <c r="Z50" s="7" t="str">
        <f>IF(OR(AE50="",多次统计数据!$B$8=""),"",AE50-多次统计数据!$B$8)</f>
        <v/>
      </c>
      <c r="AA50" s="14" t="str">
        <f t="shared" si="7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8"/>
        <v/>
      </c>
    </row>
    <row r="51" ht="17" spans="1:31">
      <c r="A51" s="2"/>
      <c r="B51" s="2"/>
      <c r="C51" s="9"/>
      <c r="D51" s="6"/>
      <c r="E51" s="9"/>
      <c r="F51" s="8" t="str">
        <f t="shared" si="0"/>
        <v/>
      </c>
      <c r="G51" s="8" t="str">
        <f>IF(OR(A51="",F51="",E51="",N51="",E51&lt;=N51,账户数据!$B$7=""),"",IF(账户数据!$B$9+IF(H51="",F51*(E51-N51),0)&gt;=账户数据!$B$7,"禁止开仓","允许开仓"))</f>
        <v/>
      </c>
      <c r="H51" s="2"/>
      <c r="I51" s="10"/>
      <c r="J51" s="9"/>
      <c r="K51" s="9"/>
      <c r="L51" s="8" t="str">
        <f t="shared" si="1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2"/>
        <v/>
      </c>
      <c r="V51" s="7" t="str">
        <f t="shared" si="3"/>
        <v/>
      </c>
      <c r="W51" s="13" t="str">
        <f t="shared" si="4"/>
        <v/>
      </c>
      <c r="X51" s="5" t="str">
        <f t="shared" si="5"/>
        <v/>
      </c>
      <c r="Y51" s="7" t="str">
        <f t="shared" si="6"/>
        <v/>
      </c>
      <c r="Z51" s="7" t="str">
        <f>IF(OR(AE51="",多次统计数据!$B$8=""),"",AE51-多次统计数据!$B$8)</f>
        <v/>
      </c>
      <c r="AA51" s="14" t="str">
        <f t="shared" si="7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8"/>
        <v/>
      </c>
    </row>
    <row r="52" ht="17" spans="1:31">
      <c r="A52" s="2"/>
      <c r="B52" s="2"/>
      <c r="C52" s="9"/>
      <c r="D52" s="6"/>
      <c r="E52" s="9"/>
      <c r="F52" s="8" t="str">
        <f t="shared" si="0"/>
        <v/>
      </c>
      <c r="G52" s="8" t="str">
        <f>IF(OR(A52="",F52="",E52="",N52="",E52&lt;=N52,账户数据!$B$7=""),"",IF(账户数据!$B$9+IF(H52="",F52*(E52-N52),0)&gt;=账户数据!$B$7,"禁止开仓","允许开仓"))</f>
        <v/>
      </c>
      <c r="H52" s="2"/>
      <c r="I52" s="10"/>
      <c r="J52" s="9"/>
      <c r="K52" s="9"/>
      <c r="L52" s="8" t="str">
        <f t="shared" si="1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2"/>
        <v/>
      </c>
      <c r="V52" s="7" t="str">
        <f t="shared" si="3"/>
        <v/>
      </c>
      <c r="W52" s="13" t="str">
        <f t="shared" si="4"/>
        <v/>
      </c>
      <c r="X52" s="5" t="str">
        <f t="shared" si="5"/>
        <v/>
      </c>
      <c r="Y52" s="7" t="str">
        <f t="shared" si="6"/>
        <v/>
      </c>
      <c r="Z52" s="7" t="str">
        <f>IF(OR(AE52="",多次统计数据!$B$8=""),"",AE52-多次统计数据!$B$8)</f>
        <v/>
      </c>
      <c r="AA52" s="14" t="str">
        <f t="shared" si="7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8"/>
        <v/>
      </c>
    </row>
    <row r="53" ht="17" spans="1:31">
      <c r="A53" s="2"/>
      <c r="B53" s="2"/>
      <c r="C53" s="9"/>
      <c r="D53" s="6"/>
      <c r="E53" s="9"/>
      <c r="F53" s="8" t="str">
        <f t="shared" si="0"/>
        <v/>
      </c>
      <c r="G53" s="8" t="str">
        <f>IF(OR(A53="",F53="",E53="",N53="",E53&lt;=N53,账户数据!$B$7=""),"",IF(账户数据!$B$9+IF(H53="",F53*(E53-N53),0)&gt;=账户数据!$B$7,"禁止开仓","允许开仓"))</f>
        <v/>
      </c>
      <c r="H53" s="2"/>
      <c r="I53" s="10"/>
      <c r="J53" s="9"/>
      <c r="K53" s="9"/>
      <c r="L53" s="8" t="str">
        <f t="shared" si="1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2"/>
        <v/>
      </c>
      <c r="V53" s="7" t="str">
        <f t="shared" si="3"/>
        <v/>
      </c>
      <c r="W53" s="13" t="str">
        <f t="shared" si="4"/>
        <v/>
      </c>
      <c r="X53" s="5" t="str">
        <f t="shared" si="5"/>
        <v/>
      </c>
      <c r="Y53" s="7" t="str">
        <f t="shared" si="6"/>
        <v/>
      </c>
      <c r="Z53" s="7" t="str">
        <f>IF(OR(AE53="",多次统计数据!$B$8=""),"",AE53-多次统计数据!$B$8)</f>
        <v/>
      </c>
      <c r="AA53" s="14" t="str">
        <f t="shared" si="7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8"/>
        <v/>
      </c>
    </row>
    <row r="54" ht="17" spans="1:31">
      <c r="A54" s="2"/>
      <c r="B54" s="2"/>
      <c r="C54" s="9"/>
      <c r="D54" s="6"/>
      <c r="E54" s="9"/>
      <c r="F54" s="8" t="str">
        <f t="shared" si="0"/>
        <v/>
      </c>
      <c r="G54" s="8" t="str">
        <f>IF(OR(A54="",F54="",E54="",N54="",E54&lt;=N54,账户数据!$B$7=""),"",IF(账户数据!$B$9+IF(H54="",F54*(E54-N54),0)&gt;=账户数据!$B$7,"禁止开仓","允许开仓"))</f>
        <v/>
      </c>
      <c r="H54" s="2"/>
      <c r="I54" s="10"/>
      <c r="J54" s="9"/>
      <c r="K54" s="9"/>
      <c r="L54" s="8" t="str">
        <f t="shared" si="1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2"/>
        <v/>
      </c>
      <c r="V54" s="7" t="str">
        <f t="shared" si="3"/>
        <v/>
      </c>
      <c r="W54" s="13" t="str">
        <f t="shared" si="4"/>
        <v/>
      </c>
      <c r="X54" s="5" t="str">
        <f t="shared" si="5"/>
        <v/>
      </c>
      <c r="Y54" s="7" t="str">
        <f t="shared" si="6"/>
        <v/>
      </c>
      <c r="Z54" s="7" t="str">
        <f>IF(OR(AE54="",多次统计数据!$B$8=""),"",AE54-多次统计数据!$B$8)</f>
        <v/>
      </c>
      <c r="AA54" s="14" t="str">
        <f t="shared" si="7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8"/>
        <v/>
      </c>
    </row>
    <row r="55" ht="17" spans="1:31">
      <c r="A55" s="2"/>
      <c r="B55" s="2"/>
      <c r="C55" s="9"/>
      <c r="D55" s="6"/>
      <c r="E55" s="9"/>
      <c r="F55" s="8" t="str">
        <f t="shared" si="0"/>
        <v/>
      </c>
      <c r="G55" s="8" t="str">
        <f>IF(OR(A55="",F55="",E55="",N55="",E55&lt;=N55,账户数据!$B$7=""),"",IF(账户数据!$B$9+IF(H55="",F55*(E55-N55),0)&gt;=账户数据!$B$7,"禁止开仓","允许开仓"))</f>
        <v/>
      </c>
      <c r="H55" s="2"/>
      <c r="I55" s="10"/>
      <c r="J55" s="9"/>
      <c r="K55" s="9"/>
      <c r="L55" s="8" t="str">
        <f t="shared" si="1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2"/>
        <v/>
      </c>
      <c r="V55" s="7" t="str">
        <f t="shared" si="3"/>
        <v/>
      </c>
      <c r="W55" s="13" t="str">
        <f t="shared" si="4"/>
        <v/>
      </c>
      <c r="X55" s="5" t="str">
        <f t="shared" si="5"/>
        <v/>
      </c>
      <c r="Y55" s="7" t="str">
        <f t="shared" si="6"/>
        <v/>
      </c>
      <c r="Z55" s="7" t="str">
        <f>IF(OR(AE55="",多次统计数据!$B$8=""),"",AE55-多次统计数据!$B$8)</f>
        <v/>
      </c>
      <c r="AA55" s="14" t="str">
        <f t="shared" si="7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8"/>
        <v/>
      </c>
    </row>
    <row r="56" ht="17" spans="1:31">
      <c r="A56" s="2"/>
      <c r="B56" s="2"/>
      <c r="C56" s="9"/>
      <c r="D56" s="6"/>
      <c r="E56" s="9"/>
      <c r="F56" s="8" t="str">
        <f t="shared" si="0"/>
        <v/>
      </c>
      <c r="G56" s="8" t="str">
        <f>IF(OR(A56="",F56="",E56="",N56="",E56&lt;=N56,账户数据!$B$7=""),"",IF(账户数据!$B$9+IF(H56="",F56*(E56-N56),0)&gt;=账户数据!$B$7,"禁止开仓","允许开仓"))</f>
        <v/>
      </c>
      <c r="H56" s="2"/>
      <c r="I56" s="10"/>
      <c r="J56" s="9"/>
      <c r="K56" s="9"/>
      <c r="L56" s="8" t="str">
        <f t="shared" si="1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2"/>
        <v/>
      </c>
      <c r="V56" s="7" t="str">
        <f t="shared" si="3"/>
        <v/>
      </c>
      <c r="W56" s="13" t="str">
        <f t="shared" si="4"/>
        <v/>
      </c>
      <c r="X56" s="5" t="str">
        <f t="shared" si="5"/>
        <v/>
      </c>
      <c r="Y56" s="7" t="str">
        <f t="shared" si="6"/>
        <v/>
      </c>
      <c r="Z56" s="7" t="str">
        <f>IF(OR(AE56="",多次统计数据!$B$8=""),"",AE56-多次统计数据!$B$8)</f>
        <v/>
      </c>
      <c r="AA56" s="14" t="str">
        <f t="shared" si="7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8"/>
        <v/>
      </c>
    </row>
    <row r="57" ht="17" spans="1:31">
      <c r="A57" s="2"/>
      <c r="B57" s="2"/>
      <c r="C57" s="9"/>
      <c r="D57" s="6"/>
      <c r="E57" s="9"/>
      <c r="F57" s="8" t="str">
        <f t="shared" si="0"/>
        <v/>
      </c>
      <c r="G57" s="8" t="str">
        <f>IF(OR(A57="",F57="",E57="",N57="",E57&lt;=N57,账户数据!$B$7=""),"",IF(账户数据!$B$9+IF(H57="",F57*(E57-N57),0)&gt;=账户数据!$B$7,"禁止开仓","允许开仓"))</f>
        <v/>
      </c>
      <c r="H57" s="2"/>
      <c r="I57" s="10"/>
      <c r="J57" s="9"/>
      <c r="K57" s="9"/>
      <c r="L57" s="8" t="str">
        <f t="shared" si="1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2"/>
        <v/>
      </c>
      <c r="V57" s="7" t="str">
        <f t="shared" si="3"/>
        <v/>
      </c>
      <c r="W57" s="13" t="str">
        <f t="shared" si="4"/>
        <v/>
      </c>
      <c r="X57" s="5" t="str">
        <f t="shared" si="5"/>
        <v/>
      </c>
      <c r="Y57" s="7" t="str">
        <f t="shared" si="6"/>
        <v/>
      </c>
      <c r="Z57" s="7" t="str">
        <f>IF(OR(AE57="",多次统计数据!$B$8=""),"",AE57-多次统计数据!$B$8)</f>
        <v/>
      </c>
      <c r="AA57" s="14" t="str">
        <f t="shared" si="7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8"/>
        <v/>
      </c>
    </row>
    <row r="58" ht="17" spans="1:31">
      <c r="A58" s="2"/>
      <c r="B58" s="2"/>
      <c r="C58" s="9"/>
      <c r="D58" s="6"/>
      <c r="E58" s="9"/>
      <c r="F58" s="8" t="str">
        <f t="shared" si="0"/>
        <v/>
      </c>
      <c r="G58" s="8" t="str">
        <f>IF(OR(A58="",F58="",E58="",N58="",E58&lt;=N58,账户数据!$B$7=""),"",IF(账户数据!$B$9+IF(H58="",F58*(E58-N58),0)&gt;=账户数据!$B$7,"禁止开仓","允许开仓"))</f>
        <v/>
      </c>
      <c r="H58" s="2"/>
      <c r="I58" s="10"/>
      <c r="J58" s="9"/>
      <c r="K58" s="9"/>
      <c r="L58" s="8" t="str">
        <f t="shared" si="1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2"/>
        <v/>
      </c>
      <c r="V58" s="7" t="str">
        <f t="shared" si="3"/>
        <v/>
      </c>
      <c r="W58" s="13" t="str">
        <f t="shared" si="4"/>
        <v/>
      </c>
      <c r="X58" s="5" t="str">
        <f t="shared" si="5"/>
        <v/>
      </c>
      <c r="Y58" s="7" t="str">
        <f t="shared" si="6"/>
        <v/>
      </c>
      <c r="Z58" s="7" t="str">
        <f>IF(OR(AE58="",多次统计数据!$B$8=""),"",AE58-多次统计数据!$B$8)</f>
        <v/>
      </c>
      <c r="AA58" s="14" t="str">
        <f t="shared" si="7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8"/>
        <v/>
      </c>
    </row>
    <row r="59" ht="17" spans="1:31">
      <c r="A59" s="2"/>
      <c r="B59" s="2"/>
      <c r="C59" s="9"/>
      <c r="D59" s="6"/>
      <c r="E59" s="9"/>
      <c r="F59" s="8" t="str">
        <f t="shared" si="0"/>
        <v/>
      </c>
      <c r="G59" s="8" t="str">
        <f>IF(OR(A59="",F59="",E59="",N59="",E59&lt;=N59,账户数据!$B$7=""),"",IF(账户数据!$B$9+IF(H59="",F59*(E59-N59),0)&gt;=账户数据!$B$7,"禁止开仓","允许开仓"))</f>
        <v/>
      </c>
      <c r="H59" s="2"/>
      <c r="I59" s="10"/>
      <c r="J59" s="9"/>
      <c r="K59" s="9"/>
      <c r="L59" s="8" t="str">
        <f t="shared" si="1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2"/>
        <v/>
      </c>
      <c r="V59" s="7" t="str">
        <f t="shared" si="3"/>
        <v/>
      </c>
      <c r="W59" s="13" t="str">
        <f t="shared" si="4"/>
        <v/>
      </c>
      <c r="X59" s="5" t="str">
        <f t="shared" si="5"/>
        <v/>
      </c>
      <c r="Y59" s="7" t="str">
        <f t="shared" si="6"/>
        <v/>
      </c>
      <c r="Z59" s="7" t="str">
        <f>IF(OR(AE59="",多次统计数据!$B$8=""),"",AE59-多次统计数据!$B$8)</f>
        <v/>
      </c>
      <c r="AA59" s="14" t="str">
        <f t="shared" si="7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8"/>
        <v/>
      </c>
    </row>
    <row r="60" ht="17" spans="1:31">
      <c r="A60" s="2"/>
      <c r="B60" s="2"/>
      <c r="C60" s="9"/>
      <c r="D60" s="6"/>
      <c r="E60" s="9"/>
      <c r="F60" s="8" t="str">
        <f t="shared" si="0"/>
        <v/>
      </c>
      <c r="G60" s="8" t="str">
        <f>IF(OR(A60="",F60="",E60="",N60="",E60&lt;=N60,账户数据!$B$7=""),"",IF(账户数据!$B$9+IF(H60="",F60*(E60-N60),0)&gt;=账户数据!$B$7,"禁止开仓","允许开仓"))</f>
        <v/>
      </c>
      <c r="H60" s="2"/>
      <c r="I60" s="10"/>
      <c r="J60" s="9"/>
      <c r="K60" s="9"/>
      <c r="L60" s="8" t="str">
        <f t="shared" si="1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2"/>
        <v/>
      </c>
      <c r="V60" s="7" t="str">
        <f t="shared" si="3"/>
        <v/>
      </c>
      <c r="W60" s="13" t="str">
        <f t="shared" si="4"/>
        <v/>
      </c>
      <c r="X60" s="5" t="str">
        <f t="shared" si="5"/>
        <v/>
      </c>
      <c r="Y60" s="7" t="str">
        <f t="shared" si="6"/>
        <v/>
      </c>
      <c r="Z60" s="7" t="str">
        <f>IF(OR(AE60="",多次统计数据!$B$8=""),"",AE60-多次统计数据!$B$8)</f>
        <v/>
      </c>
      <c r="AA60" s="14" t="str">
        <f t="shared" si="7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8"/>
        <v/>
      </c>
    </row>
    <row r="61" ht="17" spans="1:31">
      <c r="A61" s="2"/>
      <c r="B61" s="2"/>
      <c r="C61" s="9"/>
      <c r="D61" s="6"/>
      <c r="E61" s="9"/>
      <c r="F61" s="8" t="str">
        <f t="shared" si="0"/>
        <v/>
      </c>
      <c r="G61" s="8" t="str">
        <f>IF(OR(A61="",F61="",E61="",N61="",E61&lt;=N61,账户数据!$B$7=""),"",IF(账户数据!$B$9+IF(H61="",F61*(E61-N61),0)&gt;=账户数据!$B$7,"禁止开仓","允许开仓"))</f>
        <v/>
      </c>
      <c r="H61" s="2"/>
      <c r="I61" s="10"/>
      <c r="J61" s="9"/>
      <c r="K61" s="9"/>
      <c r="L61" s="8" t="str">
        <f t="shared" si="1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2"/>
        <v/>
      </c>
      <c r="V61" s="7" t="str">
        <f t="shared" si="3"/>
        <v/>
      </c>
      <c r="W61" s="13" t="str">
        <f t="shared" si="4"/>
        <v/>
      </c>
      <c r="X61" s="5" t="str">
        <f t="shared" si="5"/>
        <v/>
      </c>
      <c r="Y61" s="7" t="str">
        <f t="shared" si="6"/>
        <v/>
      </c>
      <c r="Z61" s="7" t="str">
        <f>IF(OR(AE61="",多次统计数据!$B$8=""),"",AE61-多次统计数据!$B$8)</f>
        <v/>
      </c>
      <c r="AA61" s="14" t="str">
        <f t="shared" si="7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8"/>
        <v/>
      </c>
    </row>
    <row r="62" ht="17" spans="1:31">
      <c r="A62" s="2"/>
      <c r="B62" s="2"/>
      <c r="C62" s="9"/>
      <c r="D62" s="6"/>
      <c r="E62" s="9"/>
      <c r="F62" s="8" t="str">
        <f t="shared" si="0"/>
        <v/>
      </c>
      <c r="G62" s="8" t="str">
        <f>IF(OR(A62="",F62="",E62="",N62="",E62&lt;=N62,账户数据!$B$7=""),"",IF(账户数据!$B$9+IF(H62="",F62*(E62-N62),0)&gt;=账户数据!$B$7,"禁止开仓","允许开仓"))</f>
        <v/>
      </c>
      <c r="H62" s="2"/>
      <c r="I62" s="10"/>
      <c r="J62" s="9"/>
      <c r="K62" s="9"/>
      <c r="L62" s="8" t="str">
        <f t="shared" si="1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2"/>
        <v/>
      </c>
      <c r="V62" s="7" t="str">
        <f t="shared" si="3"/>
        <v/>
      </c>
      <c r="W62" s="13" t="str">
        <f t="shared" si="4"/>
        <v/>
      </c>
      <c r="X62" s="5" t="str">
        <f t="shared" si="5"/>
        <v/>
      </c>
      <c r="Y62" s="7" t="str">
        <f t="shared" si="6"/>
        <v/>
      </c>
      <c r="Z62" s="7" t="str">
        <f>IF(OR(AE62="",多次统计数据!$B$8=""),"",AE62-多次统计数据!$B$8)</f>
        <v/>
      </c>
      <c r="AA62" s="14" t="str">
        <f t="shared" si="7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8"/>
        <v/>
      </c>
    </row>
    <row r="63" ht="17" spans="1:31">
      <c r="A63" s="2"/>
      <c r="B63" s="2"/>
      <c r="C63" s="9"/>
      <c r="D63" s="6"/>
      <c r="E63" s="9"/>
      <c r="F63" s="8" t="str">
        <f t="shared" si="0"/>
        <v/>
      </c>
      <c r="G63" s="8" t="str">
        <f>IF(OR(A63="",F63="",E63="",N63="",E63&lt;=N63,账户数据!$B$7=""),"",IF(账户数据!$B$9+IF(H63="",F63*(E63-N63),0)&gt;=账户数据!$B$7,"禁止开仓","允许开仓"))</f>
        <v/>
      </c>
      <c r="H63" s="2"/>
      <c r="I63" s="10"/>
      <c r="J63" s="9"/>
      <c r="K63" s="9"/>
      <c r="L63" s="8" t="str">
        <f t="shared" si="1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2"/>
        <v/>
      </c>
      <c r="V63" s="7" t="str">
        <f t="shared" si="3"/>
        <v/>
      </c>
      <c r="W63" s="13" t="str">
        <f t="shared" si="4"/>
        <v/>
      </c>
      <c r="X63" s="5" t="str">
        <f t="shared" si="5"/>
        <v/>
      </c>
      <c r="Y63" s="7" t="str">
        <f t="shared" si="6"/>
        <v/>
      </c>
      <c r="Z63" s="7" t="str">
        <f>IF(OR(AE63="",多次统计数据!$B$8=""),"",AE63-多次统计数据!$B$8)</f>
        <v/>
      </c>
      <c r="AA63" s="14" t="str">
        <f t="shared" si="7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8"/>
        <v/>
      </c>
    </row>
    <row r="64" ht="17" spans="1:31">
      <c r="A64" s="2"/>
      <c r="B64" s="2"/>
      <c r="C64" s="9"/>
      <c r="D64" s="6"/>
      <c r="E64" s="9"/>
      <c r="F64" s="8" t="str">
        <f t="shared" si="0"/>
        <v/>
      </c>
      <c r="G64" s="8" t="str">
        <f>IF(OR(A64="",F64="",E64="",N64="",E64&lt;=N64,账户数据!$B$7=""),"",IF(账户数据!$B$9+IF(H64="",F64*(E64-N64),0)&gt;=账户数据!$B$7,"禁止开仓","允许开仓"))</f>
        <v/>
      </c>
      <c r="H64" s="2"/>
      <c r="I64" s="10"/>
      <c r="J64" s="9"/>
      <c r="K64" s="9"/>
      <c r="L64" s="8" t="str">
        <f t="shared" si="1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2"/>
        <v/>
      </c>
      <c r="V64" s="7" t="str">
        <f t="shared" si="3"/>
        <v/>
      </c>
      <c r="W64" s="13" t="str">
        <f t="shared" si="4"/>
        <v/>
      </c>
      <c r="X64" s="5" t="str">
        <f t="shared" si="5"/>
        <v/>
      </c>
      <c r="Y64" s="7" t="str">
        <f t="shared" si="6"/>
        <v/>
      </c>
      <c r="Z64" s="7" t="str">
        <f>IF(OR(AE64="",多次统计数据!$B$8=""),"",AE64-多次统计数据!$B$8)</f>
        <v/>
      </c>
      <c r="AA64" s="14" t="str">
        <f t="shared" si="7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8"/>
        <v/>
      </c>
    </row>
    <row r="65" ht="17" spans="1:31">
      <c r="A65" s="2"/>
      <c r="B65" s="2"/>
      <c r="C65" s="9"/>
      <c r="D65" s="6"/>
      <c r="E65" s="9"/>
      <c r="F65" s="8" t="str">
        <f t="shared" si="0"/>
        <v/>
      </c>
      <c r="G65" s="8" t="str">
        <f>IF(OR(A65="",F65="",E65="",N65="",E65&lt;=N65,账户数据!$B$7=""),"",IF(账户数据!$B$9+IF(H65="",F65*(E65-N65),0)&gt;=账户数据!$B$7,"禁止开仓","允许开仓"))</f>
        <v/>
      </c>
      <c r="H65" s="2"/>
      <c r="I65" s="10"/>
      <c r="J65" s="9"/>
      <c r="K65" s="9"/>
      <c r="L65" s="8" t="str">
        <f t="shared" si="1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2"/>
        <v/>
      </c>
      <c r="V65" s="7" t="str">
        <f t="shared" si="3"/>
        <v/>
      </c>
      <c r="W65" s="13" t="str">
        <f t="shared" si="4"/>
        <v/>
      </c>
      <c r="X65" s="5" t="str">
        <f t="shared" si="5"/>
        <v/>
      </c>
      <c r="Y65" s="7" t="str">
        <f t="shared" si="6"/>
        <v/>
      </c>
      <c r="Z65" s="7" t="str">
        <f>IF(OR(AE65="",多次统计数据!$B$8=""),"",AE65-多次统计数据!$B$8)</f>
        <v/>
      </c>
      <c r="AA65" s="14" t="str">
        <f t="shared" si="7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8"/>
        <v/>
      </c>
    </row>
    <row r="66" ht="17" spans="1:31">
      <c r="A66" s="2"/>
      <c r="B66" s="2"/>
      <c r="C66" s="9"/>
      <c r="D66" s="6"/>
      <c r="E66" s="9"/>
      <c r="F66" s="8" t="str">
        <f t="shared" ref="F66:F129" si="9">IF(OR(C66="",D66="",E66="",N66="",C66&lt;=0,D66&lt;=0,E66&lt;=N66),"",ROUNDDOWN((C66*D66)/(E66-N66)/100,0)*100)</f>
        <v/>
      </c>
      <c r="G66" s="8" t="str">
        <f>IF(OR(A66="",F66="",E66="",N66="",E66&lt;=N66,账户数据!$B$7=""),"",IF(账户数据!$B$9+IF(H66="",F66*(E66-N66),0)&gt;=账户数据!$B$7,"禁止开仓","允许开仓"))</f>
        <v/>
      </c>
      <c r="H66" s="2"/>
      <c r="I66" s="10"/>
      <c r="J66" s="9"/>
      <c r="K66" s="9"/>
      <c r="L66" s="8" t="str">
        <f t="shared" ref="L66:L129" si="10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129" si="11">IF(OR(E66="",J66="",E66&lt;=0),"",(J66-E66)/E66)</f>
        <v/>
      </c>
      <c r="V66" s="7" t="str">
        <f t="shared" ref="V66:V129" si="12">IF(OR(E66="",N66="",E66&lt;=0),"",(E66-N66)/E66)</f>
        <v/>
      </c>
      <c r="W66" s="13" t="str">
        <f t="shared" ref="W66:W129" si="13">IF(OR(U66="",V66="",V66&lt;=0),"",U66/V66)</f>
        <v/>
      </c>
      <c r="X66" s="5" t="str">
        <f t="shared" ref="X66:X129" si="14">IF(OR(K66="",L66="",E66="",H66=""),"",K66*L66-E66*H66-IF(O66="",0,O66)-IF(P66="",0,P66))</f>
        <v/>
      </c>
      <c r="Y66" s="7" t="str">
        <f t="shared" ref="Y66:Y129" si="15">IF(OR(X66="",E66="",H66=""),"",IF(E66*H66+IF(O66="",0,O66)&lt;=0,"",X66/(E66*H66+IF(O66="",0,O66))))</f>
        <v/>
      </c>
      <c r="Z66" s="7" t="str">
        <f>IF(OR(AE66="",多次统计数据!$B$8=""),"",AE66-多次统计数据!$B$8)</f>
        <v/>
      </c>
      <c r="AA66" s="14" t="str">
        <f t="shared" ref="AA66:AA129" si="16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129" si="17">IF(OR(X66="",C66="",C66&lt;=0),"",X66/C66)</f>
        <v/>
      </c>
    </row>
    <row r="67" ht="17" spans="1:31">
      <c r="A67" s="2"/>
      <c r="B67" s="2"/>
      <c r="C67" s="9"/>
      <c r="D67" s="6"/>
      <c r="E67" s="9"/>
      <c r="F67" s="8" t="str">
        <f t="shared" si="9"/>
        <v/>
      </c>
      <c r="G67" s="8" t="str">
        <f>IF(OR(A67="",F67="",E67="",N67="",E67&lt;=N67,账户数据!$B$7=""),"",IF(账户数据!$B$9+IF(H67="",F67*(E67-N67),0)&gt;=账户数据!$B$7,"禁止开仓","允许开仓"))</f>
        <v/>
      </c>
      <c r="H67" s="2"/>
      <c r="I67" s="10"/>
      <c r="J67" s="9"/>
      <c r="K67" s="9"/>
      <c r="L67" s="8" t="str">
        <f t="shared" si="10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11"/>
        <v/>
      </c>
      <c r="V67" s="7" t="str">
        <f t="shared" si="12"/>
        <v/>
      </c>
      <c r="W67" s="13" t="str">
        <f t="shared" si="13"/>
        <v/>
      </c>
      <c r="X67" s="5" t="str">
        <f t="shared" si="14"/>
        <v/>
      </c>
      <c r="Y67" s="7" t="str">
        <f t="shared" si="15"/>
        <v/>
      </c>
      <c r="Z67" s="7" t="str">
        <f>IF(OR(AE67="",多次统计数据!$B$8=""),"",AE67-多次统计数据!$B$8)</f>
        <v/>
      </c>
      <c r="AA67" s="14" t="str">
        <f t="shared" si="16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17"/>
        <v/>
      </c>
    </row>
    <row r="68" ht="17" spans="1:31">
      <c r="A68" s="2"/>
      <c r="B68" s="2"/>
      <c r="C68" s="9"/>
      <c r="D68" s="6"/>
      <c r="E68" s="9"/>
      <c r="F68" s="8" t="str">
        <f t="shared" si="9"/>
        <v/>
      </c>
      <c r="G68" s="8" t="str">
        <f>IF(OR(A68="",F68="",E68="",N68="",E68&lt;=N68,账户数据!$B$7=""),"",IF(账户数据!$B$9+IF(H68="",F68*(E68-N68),0)&gt;=账户数据!$B$7,"禁止开仓","允许开仓"))</f>
        <v/>
      </c>
      <c r="H68" s="2"/>
      <c r="I68" s="10"/>
      <c r="J68" s="9"/>
      <c r="K68" s="9"/>
      <c r="L68" s="8" t="str">
        <f t="shared" si="10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11"/>
        <v/>
      </c>
      <c r="V68" s="7" t="str">
        <f t="shared" si="12"/>
        <v/>
      </c>
      <c r="W68" s="13" t="str">
        <f t="shared" si="13"/>
        <v/>
      </c>
      <c r="X68" s="5" t="str">
        <f t="shared" si="14"/>
        <v/>
      </c>
      <c r="Y68" s="7" t="str">
        <f t="shared" si="15"/>
        <v/>
      </c>
      <c r="Z68" s="7" t="str">
        <f>IF(OR(AE68="",多次统计数据!$B$8=""),"",AE68-多次统计数据!$B$8)</f>
        <v/>
      </c>
      <c r="AA68" s="14" t="str">
        <f t="shared" si="16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17"/>
        <v/>
      </c>
    </row>
    <row r="69" ht="17" spans="1:31">
      <c r="A69" s="2"/>
      <c r="B69" s="2"/>
      <c r="C69" s="9"/>
      <c r="D69" s="6"/>
      <c r="E69" s="9"/>
      <c r="F69" s="8" t="str">
        <f t="shared" si="9"/>
        <v/>
      </c>
      <c r="G69" s="8" t="str">
        <f>IF(OR(A69="",F69="",E69="",N69="",E69&lt;=N69,账户数据!$B$7=""),"",IF(账户数据!$B$9+IF(H69="",F69*(E69-N69),0)&gt;=账户数据!$B$7,"禁止开仓","允许开仓"))</f>
        <v/>
      </c>
      <c r="H69" s="2"/>
      <c r="I69" s="10"/>
      <c r="J69" s="9"/>
      <c r="K69" s="9"/>
      <c r="L69" s="8" t="str">
        <f t="shared" si="10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11"/>
        <v/>
      </c>
      <c r="V69" s="7" t="str">
        <f t="shared" si="12"/>
        <v/>
      </c>
      <c r="W69" s="13" t="str">
        <f t="shared" si="13"/>
        <v/>
      </c>
      <c r="X69" s="5" t="str">
        <f t="shared" si="14"/>
        <v/>
      </c>
      <c r="Y69" s="7" t="str">
        <f t="shared" si="15"/>
        <v/>
      </c>
      <c r="Z69" s="7" t="str">
        <f>IF(OR(AE69="",多次统计数据!$B$8=""),"",AE69-多次统计数据!$B$8)</f>
        <v/>
      </c>
      <c r="AA69" s="14" t="str">
        <f t="shared" si="16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17"/>
        <v/>
      </c>
    </row>
    <row r="70" ht="17" spans="1:31">
      <c r="A70" s="2"/>
      <c r="B70" s="2"/>
      <c r="C70" s="9"/>
      <c r="D70" s="6"/>
      <c r="E70" s="9"/>
      <c r="F70" s="8" t="str">
        <f t="shared" si="9"/>
        <v/>
      </c>
      <c r="G70" s="8" t="str">
        <f>IF(OR(A70="",F70="",E70="",N70="",E70&lt;=N70,账户数据!$B$7=""),"",IF(账户数据!$B$9+IF(H70="",F70*(E70-N70),0)&gt;=账户数据!$B$7,"禁止开仓","允许开仓"))</f>
        <v/>
      </c>
      <c r="H70" s="2"/>
      <c r="I70" s="10"/>
      <c r="J70" s="9"/>
      <c r="K70" s="9"/>
      <c r="L70" s="8" t="str">
        <f t="shared" si="10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11"/>
        <v/>
      </c>
      <c r="V70" s="7" t="str">
        <f t="shared" si="12"/>
        <v/>
      </c>
      <c r="W70" s="13" t="str">
        <f t="shared" si="13"/>
        <v/>
      </c>
      <c r="X70" s="5" t="str">
        <f t="shared" si="14"/>
        <v/>
      </c>
      <c r="Y70" s="7" t="str">
        <f t="shared" si="15"/>
        <v/>
      </c>
      <c r="Z70" s="7" t="str">
        <f>IF(OR(AE70="",多次统计数据!$B$8=""),"",AE70-多次统计数据!$B$8)</f>
        <v/>
      </c>
      <c r="AA70" s="14" t="str">
        <f t="shared" si="16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17"/>
        <v/>
      </c>
    </row>
    <row r="71" ht="17" spans="1:31">
      <c r="A71" s="2"/>
      <c r="B71" s="2"/>
      <c r="C71" s="9"/>
      <c r="D71" s="6"/>
      <c r="E71" s="9"/>
      <c r="F71" s="8" t="str">
        <f t="shared" si="9"/>
        <v/>
      </c>
      <c r="G71" s="8" t="str">
        <f>IF(OR(A71="",F71="",E71="",N71="",E71&lt;=N71,账户数据!$B$7=""),"",IF(账户数据!$B$9+IF(H71="",F71*(E71-N71),0)&gt;=账户数据!$B$7,"禁止开仓","允许开仓"))</f>
        <v/>
      </c>
      <c r="H71" s="2"/>
      <c r="I71" s="10"/>
      <c r="J71" s="9"/>
      <c r="K71" s="9"/>
      <c r="L71" s="8" t="str">
        <f t="shared" si="10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11"/>
        <v/>
      </c>
      <c r="V71" s="7" t="str">
        <f t="shared" si="12"/>
        <v/>
      </c>
      <c r="W71" s="13" t="str">
        <f t="shared" si="13"/>
        <v/>
      </c>
      <c r="X71" s="5" t="str">
        <f t="shared" si="14"/>
        <v/>
      </c>
      <c r="Y71" s="7" t="str">
        <f t="shared" si="15"/>
        <v/>
      </c>
      <c r="Z71" s="7" t="str">
        <f>IF(OR(AE71="",多次统计数据!$B$8=""),"",AE71-多次统计数据!$B$8)</f>
        <v/>
      </c>
      <c r="AA71" s="14" t="str">
        <f t="shared" si="16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17"/>
        <v/>
      </c>
    </row>
    <row r="72" ht="17" spans="1:31">
      <c r="A72" s="2"/>
      <c r="B72" s="2"/>
      <c r="C72" s="9"/>
      <c r="D72" s="6"/>
      <c r="E72" s="9"/>
      <c r="F72" s="8" t="str">
        <f t="shared" si="9"/>
        <v/>
      </c>
      <c r="G72" s="8" t="str">
        <f>IF(OR(A72="",F72="",E72="",N72="",E72&lt;=N72,账户数据!$B$7=""),"",IF(账户数据!$B$9+IF(H72="",F72*(E72-N72),0)&gt;=账户数据!$B$7,"禁止开仓","允许开仓"))</f>
        <v/>
      </c>
      <c r="H72" s="2"/>
      <c r="I72" s="10"/>
      <c r="J72" s="9"/>
      <c r="K72" s="9"/>
      <c r="L72" s="8" t="str">
        <f t="shared" si="10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11"/>
        <v/>
      </c>
      <c r="V72" s="7" t="str">
        <f t="shared" si="12"/>
        <v/>
      </c>
      <c r="W72" s="13" t="str">
        <f t="shared" si="13"/>
        <v/>
      </c>
      <c r="X72" s="5" t="str">
        <f t="shared" si="14"/>
        <v/>
      </c>
      <c r="Y72" s="7" t="str">
        <f t="shared" si="15"/>
        <v/>
      </c>
      <c r="Z72" s="7" t="str">
        <f>IF(OR(AE72="",多次统计数据!$B$8=""),"",AE72-多次统计数据!$B$8)</f>
        <v/>
      </c>
      <c r="AA72" s="14" t="str">
        <f t="shared" si="16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17"/>
        <v/>
      </c>
    </row>
    <row r="73" ht="17" spans="1:31">
      <c r="A73" s="2"/>
      <c r="B73" s="2"/>
      <c r="C73" s="9"/>
      <c r="D73" s="6"/>
      <c r="E73" s="9"/>
      <c r="F73" s="8" t="str">
        <f t="shared" si="9"/>
        <v/>
      </c>
      <c r="G73" s="8" t="str">
        <f>IF(OR(A73="",F73="",E73="",N73="",E73&lt;=N73,账户数据!$B$7=""),"",IF(账户数据!$B$9+IF(H73="",F73*(E73-N73),0)&gt;=账户数据!$B$7,"禁止开仓","允许开仓"))</f>
        <v/>
      </c>
      <c r="H73" s="2"/>
      <c r="I73" s="10"/>
      <c r="J73" s="9"/>
      <c r="K73" s="9"/>
      <c r="L73" s="8" t="str">
        <f t="shared" si="10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11"/>
        <v/>
      </c>
      <c r="V73" s="7" t="str">
        <f t="shared" si="12"/>
        <v/>
      </c>
      <c r="W73" s="13" t="str">
        <f t="shared" si="13"/>
        <v/>
      </c>
      <c r="X73" s="5" t="str">
        <f t="shared" si="14"/>
        <v/>
      </c>
      <c r="Y73" s="7" t="str">
        <f t="shared" si="15"/>
        <v/>
      </c>
      <c r="Z73" s="7" t="str">
        <f>IF(OR(AE73="",多次统计数据!$B$8=""),"",AE73-多次统计数据!$B$8)</f>
        <v/>
      </c>
      <c r="AA73" s="14" t="str">
        <f t="shared" si="16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17"/>
        <v/>
      </c>
    </row>
    <row r="74" ht="17" spans="1:31">
      <c r="A74" s="2"/>
      <c r="B74" s="2"/>
      <c r="C74" s="9"/>
      <c r="D74" s="6"/>
      <c r="E74" s="9"/>
      <c r="F74" s="8" t="str">
        <f t="shared" si="9"/>
        <v/>
      </c>
      <c r="G74" s="8" t="str">
        <f>IF(OR(A74="",F74="",E74="",N74="",E74&lt;=N74,账户数据!$B$7=""),"",IF(账户数据!$B$9+IF(H74="",F74*(E74-N74),0)&gt;=账户数据!$B$7,"禁止开仓","允许开仓"))</f>
        <v/>
      </c>
      <c r="H74" s="2"/>
      <c r="I74" s="10"/>
      <c r="J74" s="9"/>
      <c r="K74" s="9"/>
      <c r="L74" s="8" t="str">
        <f t="shared" si="10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11"/>
        <v/>
      </c>
      <c r="V74" s="7" t="str">
        <f t="shared" si="12"/>
        <v/>
      </c>
      <c r="W74" s="13" t="str">
        <f t="shared" si="13"/>
        <v/>
      </c>
      <c r="X74" s="5" t="str">
        <f t="shared" si="14"/>
        <v/>
      </c>
      <c r="Y74" s="7" t="str">
        <f t="shared" si="15"/>
        <v/>
      </c>
      <c r="Z74" s="7" t="str">
        <f>IF(OR(AE74="",多次统计数据!$B$8=""),"",AE74-多次统计数据!$B$8)</f>
        <v/>
      </c>
      <c r="AA74" s="14" t="str">
        <f t="shared" si="16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17"/>
        <v/>
      </c>
    </row>
    <row r="75" ht="17" spans="1:31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3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4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ht="17" spans="1:31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3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4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ht="17" spans="1:31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3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4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ht="17" spans="1:31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3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4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ht="17" spans="1:31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3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4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ht="17" spans="1:31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3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4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ht="17" spans="1:31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3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4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ht="17" spans="1:31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3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4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ht="17" spans="1:31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3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4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ht="17" spans="1:31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3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4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ht="17" spans="1:31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3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4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ht="17" spans="1:31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3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4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ht="17" spans="1:31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3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4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ht="17" spans="1:31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3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4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ht="17" spans="1:31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3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4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ht="17" spans="1:31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3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4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ht="17" spans="1:31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3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4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ht="17" spans="1:31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3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4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ht="17" spans="1:31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3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4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ht="17" spans="1:31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3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4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ht="17" spans="1:31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3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4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ht="17" spans="1:31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3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4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ht="17" spans="1:31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3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4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ht="17" spans="1:31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3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4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ht="17" spans="1:31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3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4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ht="17" spans="1:31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3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4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ht="17" spans="1:31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3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4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ht="17" spans="1:31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3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4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ht="17" spans="1:31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3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4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ht="17" spans="1:31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3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4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ht="17" spans="1:31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3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4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ht="17" spans="1:31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3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4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ht="17" spans="1:31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3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4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ht="17" spans="1:31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3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4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ht="17" spans="1:31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3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4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ht="17" spans="1:31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3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4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ht="17" spans="1:31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3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4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ht="17" spans="1:31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3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4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ht="17" spans="1:31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3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4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ht="17" spans="1:31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3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4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ht="17" spans="1:31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3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4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ht="17" spans="1:31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3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4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ht="17" spans="1:31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3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4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ht="17" spans="1:31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3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4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ht="17" spans="1:31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3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4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ht="17" spans="1:31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3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4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ht="17" spans="1:31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3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4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ht="17" spans="1:31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3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4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ht="17" spans="1:31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3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4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ht="17" spans="1:31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3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4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ht="17" spans="1:31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3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4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ht="17" spans="1:31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3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4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ht="17" spans="1:31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3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4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ht="17" spans="1:31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3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4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ht="17" spans="1:31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3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4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ht="17" spans="1:31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3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4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ht="17" spans="1:31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3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4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ht="17" spans="1:31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3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4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ht="17" spans="1:31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3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4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ht="17" spans="1:31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3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4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ht="17" spans="1:31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3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4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ht="17" spans="1:31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3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4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ht="17" spans="1:31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3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4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ht="17" spans="1:31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3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4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ht="17" spans="1:31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3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4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ht="17" spans="1:31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3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4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ht="17" spans="1:31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3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4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ht="17" spans="1:31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3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4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ht="17" spans="1:31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3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4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ht="17" spans="1:31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3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4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ht="17" spans="1:31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3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4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ht="17" spans="1:31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3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4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ht="17" spans="1:31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3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4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ht="17" spans="1:31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3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4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ht="17" spans="1:31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3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4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ht="17" spans="1:31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3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4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ht="17" spans="1:31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3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4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ht="17" spans="1:31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3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4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ht="17" spans="1:31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3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4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ht="17" spans="1:31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3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4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ht="17" spans="1:31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3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4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ht="17" spans="1:31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3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4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ht="17" spans="1:31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3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4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ht="17" spans="1:31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3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4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ht="17" spans="1:31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3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4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ht="17" spans="1:31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3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4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ht="17" spans="1:31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3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4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ht="17" spans="1:31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3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4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ht="17" spans="1:31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3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4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ht="17" spans="1:31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3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4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ht="17" spans="1:31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3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4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ht="17" spans="1:31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3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4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ht="17" spans="1:31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3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4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ht="17" spans="1:31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3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4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ht="17" spans="1:31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3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4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ht="17" spans="1:31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3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4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ht="17" spans="1:31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3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4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ht="17" spans="1:31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3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4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ht="17" spans="1:31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3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4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ht="17" spans="1:31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3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4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ht="17" spans="1:31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3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4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ht="17" spans="1:31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3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4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ht="17" spans="1:31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3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4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ht="17" spans="1:31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3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4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ht="17" spans="1:31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3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4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ht="17" spans="1:31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3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4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ht="17" spans="1:31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3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4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ht="17" spans="1:31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3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4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ht="17" spans="1:31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3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4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ht="17" spans="1:31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3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4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ht="17" spans="1:31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3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4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ht="17" spans="1:31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3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4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ht="17" spans="1:31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3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4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ht="17" spans="1:31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3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4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ht="17" spans="1:31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3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4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ht="17" spans="1:31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3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4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ht="17" spans="1:31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3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4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ht="17" spans="1:31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3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4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ht="17" spans="1:31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3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4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ht="17" spans="1:31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3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4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ht="17" spans="1:31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3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4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ht="17" spans="1:31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3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4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ht="17" spans="1:31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3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4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ht="17" spans="1:31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3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4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ht="17" spans="1:31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3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4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ht="17" spans="1:31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3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4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ht="17" spans="1:31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3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4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dataValidations count="8">
    <dataValidation type="decimal" operator="greaterThan" allowBlank="1" sqref="C2 C4:C201 E2:E201 N2:N201 J2:K201">
      <formula1>0</formula1>
    </dataValidation>
    <dataValidation type="decimal" operator="between" allowBlank="1" sqref="D17 D2:D16 D18:D201">
      <formula1>0</formula1>
      <formula2>1</formula2>
    </dataValidation>
    <dataValidation type="custom" allowBlank="1" showErrorMessage="1" errorTitle="实际买入股数无效" error="实际买入股数必须是大于0的100股整数倍" sqref="H2:H201">
      <formula1>OR(H2="",AND(ISNUMBER(H2),H2&gt;0,MOD(H2,100)=0))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01"/>
  <sheetViews>
    <sheetView workbookViewId="0">
      <pane ySplit="1" topLeftCell="A11" activePane="bottomLeft" state="frozen"/>
      <selection/>
      <selection pane="bottomLeft" activeCell="H23" sqref="H23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0">
      <c r="A1" s="1" t="s">
        <v>0</v>
      </c>
      <c r="B1" s="1" t="s">
        <v>1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t="s">
        <v>53</v>
      </c>
    </row>
    <row r="2" ht="34" spans="1:10">
      <c r="A2" s="2">
        <v>1</v>
      </c>
      <c r="B2" s="2"/>
      <c r="C2" s="2"/>
      <c r="D2" s="2"/>
      <c r="E2" s="10"/>
      <c r="F2" s="2"/>
      <c r="G2" s="2"/>
      <c r="H2" s="2"/>
      <c r="I2" s="2" t="s">
        <v>54</v>
      </c>
    </row>
    <row r="3" ht="51" spans="1:10">
      <c r="A3" s="2"/>
      <c r="B3" s="2"/>
      <c r="C3" s="2"/>
      <c r="D3" s="2"/>
      <c r="E3" s="10"/>
      <c r="F3" s="2"/>
      <c r="G3" s="2"/>
      <c r="H3" s="2"/>
      <c r="I3" s="2" t="s">
        <v>55</v>
      </c>
    </row>
    <row r="4" ht="34" spans="1:10">
      <c r="A4" s="2"/>
      <c r="B4" s="2"/>
      <c r="C4" s="2"/>
      <c r="D4" s="2"/>
      <c r="E4" s="10"/>
      <c r="F4" s="2"/>
      <c r="G4" s="2"/>
      <c r="H4" s="2"/>
      <c r="I4" s="2" t="s">
        <v>56</v>
      </c>
    </row>
    <row r="5" ht="34" spans="1:10">
      <c r="A5" s="2"/>
      <c r="B5" s="2"/>
      <c r="C5" s="2"/>
      <c r="D5" s="2"/>
      <c r="E5" s="10"/>
      <c r="F5" s="2"/>
      <c r="G5" s="2"/>
      <c r="H5" s="2"/>
      <c r="I5" s="11" t="s">
        <v>57</v>
      </c>
    </row>
    <row r="6" ht="34" spans="1:10">
      <c r="A6" s="2"/>
      <c r="B6" s="2"/>
      <c r="C6" s="2"/>
      <c r="D6" s="2"/>
      <c r="E6" s="10"/>
      <c r="F6" s="2"/>
      <c r="G6" s="2"/>
      <c r="H6" s="2"/>
      <c r="I6" s="11" t="s">
        <v>58</v>
      </c>
      <c r="J6" s="12" t="s">
        <v>59</v>
      </c>
    </row>
    <row r="7" ht="17" spans="1:10">
      <c r="A7" s="2"/>
      <c r="B7" s="2"/>
      <c r="C7" s="2"/>
      <c r="D7" s="2"/>
      <c r="E7" s="10"/>
      <c r="F7" s="2"/>
      <c r="G7" s="2"/>
      <c r="H7" s="2"/>
      <c r="I7" s="11" t="s">
        <v>60</v>
      </c>
    </row>
    <row r="8" spans="1:10">
      <c r="A8" s="2"/>
      <c r="B8" s="2"/>
      <c r="C8" s="2"/>
      <c r="D8" s="2"/>
      <c r="E8" s="10"/>
      <c r="F8" s="2"/>
      <c r="G8" s="2"/>
      <c r="H8" s="2"/>
      <c r="I8" s="2"/>
    </row>
    <row r="9" spans="1:10">
      <c r="A9" s="2"/>
      <c r="B9" s="2"/>
      <c r="C9" s="2"/>
      <c r="D9" s="2"/>
      <c r="E9" s="10"/>
      <c r="F9" s="2"/>
      <c r="G9" s="2"/>
      <c r="H9" s="2"/>
      <c r="I9" s="2"/>
    </row>
    <row r="10" ht="34" spans="1:10">
      <c r="A10" s="2">
        <v>9</v>
      </c>
      <c r="B10" s="2"/>
      <c r="C10" s="2"/>
      <c r="D10" s="2"/>
      <c r="E10" s="10"/>
      <c r="F10" s="2"/>
      <c r="G10" s="2"/>
      <c r="H10" s="2"/>
      <c r="I10" s="11" t="s">
        <v>61</v>
      </c>
    </row>
    <row r="11" ht="34" spans="1:10">
      <c r="A11" s="2">
        <v>11</v>
      </c>
      <c r="B11" s="2"/>
      <c r="C11" s="2"/>
      <c r="D11" s="2"/>
      <c r="E11" s="10"/>
      <c r="F11" s="2"/>
      <c r="G11" s="2"/>
      <c r="H11" s="2"/>
      <c r="I11" s="11" t="s">
        <v>62</v>
      </c>
    </row>
    <row r="12" ht="51" spans="1:10">
      <c r="A12" s="2">
        <v>14</v>
      </c>
      <c r="B12" s="2"/>
      <c r="C12" s="2"/>
      <c r="D12" s="2"/>
      <c r="E12" s="10"/>
      <c r="F12" s="2"/>
      <c r="G12" s="2"/>
      <c r="H12" s="2"/>
      <c r="I12" s="2" t="s">
        <v>63</v>
      </c>
    </row>
    <row r="13" ht="34" spans="1:10">
      <c r="A13" s="2">
        <v>15</v>
      </c>
      <c r="B13" s="2"/>
      <c r="C13" s="2"/>
      <c r="D13" s="2"/>
      <c r="E13" s="10"/>
      <c r="F13" s="2"/>
      <c r="G13" s="2"/>
      <c r="H13" s="2"/>
      <c r="I13" s="2" t="s">
        <v>64</v>
      </c>
    </row>
    <row r="14" ht="34" spans="1:10">
      <c r="A14" s="2">
        <v>16</v>
      </c>
      <c r="B14" s="2"/>
      <c r="C14" s="2"/>
      <c r="D14" s="2"/>
      <c r="E14" s="10"/>
      <c r="F14" s="2"/>
      <c r="G14" s="2"/>
      <c r="H14" s="2"/>
      <c r="I14" s="2" t="s">
        <v>65</v>
      </c>
    </row>
    <row r="15" ht="34" spans="1:10">
      <c r="A15" s="2">
        <v>17</v>
      </c>
      <c r="B15" s="2"/>
      <c r="C15" s="2"/>
      <c r="D15" s="2"/>
      <c r="E15" s="10"/>
      <c r="F15" s="2"/>
      <c r="G15" s="2"/>
      <c r="H15" s="2"/>
      <c r="I15" s="2" t="s">
        <v>66</v>
      </c>
    </row>
    <row r="16" ht="51" spans="1:10">
      <c r="A16" s="2">
        <v>18</v>
      </c>
      <c r="B16" s="2"/>
      <c r="C16" s="2"/>
      <c r="D16" s="2"/>
      <c r="E16" s="10"/>
      <c r="F16" s="2"/>
      <c r="G16" s="2"/>
      <c r="H16" s="2"/>
      <c r="I16" s="2" t="s">
        <v>67</v>
      </c>
    </row>
    <row r="17" ht="34" spans="1:9">
      <c r="A17" s="2">
        <v>19</v>
      </c>
      <c r="B17" s="2"/>
      <c r="C17" s="2"/>
      <c r="D17" s="2"/>
      <c r="E17" s="10"/>
      <c r="F17" s="2"/>
      <c r="G17" s="2"/>
      <c r="H17" s="2"/>
      <c r="I17" s="2" t="s">
        <v>68</v>
      </c>
    </row>
    <row r="18" ht="34" spans="1:9">
      <c r="A18" s="2">
        <v>20</v>
      </c>
      <c r="B18" s="2"/>
      <c r="C18" s="2"/>
      <c r="D18" s="2"/>
      <c r="E18" s="10"/>
      <c r="F18" s="2"/>
      <c r="G18" s="2"/>
      <c r="H18" s="2"/>
      <c r="I18" s="2" t="s">
        <v>69</v>
      </c>
    </row>
    <row r="19" ht="34" spans="1:9">
      <c r="A19" s="2">
        <v>21</v>
      </c>
      <c r="B19" s="2"/>
      <c r="C19" s="2"/>
      <c r="D19" s="2"/>
      <c r="E19" s="10"/>
      <c r="F19" s="2"/>
      <c r="G19" s="2"/>
      <c r="H19" s="2"/>
      <c r="I19" s="2" t="s">
        <v>70</v>
      </c>
    </row>
    <row r="20" ht="34" spans="1:9">
      <c r="A20" s="2">
        <v>22</v>
      </c>
      <c r="B20" s="2"/>
      <c r="C20" s="2"/>
      <c r="D20" s="2"/>
      <c r="E20" s="10"/>
      <c r="F20" s="2"/>
      <c r="G20" s="2"/>
      <c r="H20" s="2"/>
      <c r="I20" s="2" t="s">
        <v>71</v>
      </c>
    </row>
    <row r="21" ht="34" spans="1:9">
      <c r="A21" s="2">
        <v>23</v>
      </c>
      <c r="B21" s="2"/>
      <c r="C21" s="2"/>
      <c r="D21" s="2"/>
      <c r="E21" s="10"/>
      <c r="F21" s="2"/>
      <c r="G21" s="2"/>
      <c r="H21" s="2"/>
      <c r="I21" s="2" t="s">
        <v>72</v>
      </c>
    </row>
    <row r="22" ht="34" spans="1:9">
      <c r="A22" s="2">
        <v>24</v>
      </c>
      <c r="B22" s="2"/>
      <c r="C22" s="2"/>
      <c r="D22" s="2"/>
      <c r="E22" s="10"/>
      <c r="F22" s="2"/>
      <c r="G22" s="2"/>
      <c r="H22" s="2"/>
      <c r="I22" s="2" t="s">
        <v>73</v>
      </c>
    </row>
    <row r="23" ht="51" spans="1:9">
      <c r="A23" s="2">
        <v>25</v>
      </c>
      <c r="B23" s="2"/>
      <c r="C23" s="2"/>
      <c r="D23" s="2"/>
      <c r="E23" s="10"/>
      <c r="F23" s="2"/>
      <c r="G23" s="2"/>
      <c r="H23" s="2"/>
      <c r="I23" s="2" t="s">
        <v>74</v>
      </c>
    </row>
    <row r="24" spans="1:9">
      <c r="A24" s="2"/>
      <c r="B24" s="2"/>
      <c r="C24" s="2"/>
      <c r="D24" s="2"/>
      <c r="E24" s="10"/>
      <c r="F24" s="2"/>
      <c r="G24" s="2"/>
      <c r="H24" s="2"/>
      <c r="I24" s="2"/>
    </row>
    <row r="25" spans="1:9">
      <c r="A25" s="2"/>
      <c r="B25" s="2"/>
      <c r="C25" s="2"/>
      <c r="D25" s="2"/>
      <c r="E25" s="10"/>
      <c r="F25" s="2"/>
      <c r="G25" s="2"/>
      <c r="H25" s="2"/>
      <c r="I25" s="2"/>
    </row>
    <row r="26" spans="1:9">
      <c r="A26" s="2"/>
      <c r="B26" s="2"/>
      <c r="C26" s="2"/>
      <c r="D26" s="2"/>
      <c r="E26" s="10"/>
      <c r="F26" s="2"/>
      <c r="G26" s="2"/>
      <c r="H26" s="2"/>
      <c r="I26" s="2"/>
    </row>
    <row r="27" spans="1:9">
      <c r="A27" s="2"/>
      <c r="B27" s="2"/>
      <c r="C27" s="2"/>
      <c r="D27" s="2"/>
      <c r="E27" s="10"/>
      <c r="F27" s="2"/>
      <c r="G27" s="2"/>
      <c r="H27" s="2"/>
      <c r="I27" s="2"/>
    </row>
    <row r="28" spans="1:9">
      <c r="A28" s="2"/>
      <c r="B28" s="2"/>
      <c r="C28" s="2"/>
      <c r="D28" s="2"/>
      <c r="E28" s="10"/>
      <c r="F28" s="2"/>
      <c r="G28" s="2"/>
      <c r="H28" s="2"/>
      <c r="I28" s="2"/>
    </row>
    <row r="29" spans="1:9">
      <c r="A29" s="2"/>
      <c r="B29" s="2"/>
      <c r="C29" s="2"/>
      <c r="D29" s="2"/>
      <c r="E29" s="10"/>
      <c r="F29" s="2"/>
      <c r="G29" s="2"/>
      <c r="H29" s="2"/>
      <c r="I29" s="2"/>
    </row>
    <row r="30" spans="1:9">
      <c r="A30" s="2"/>
      <c r="B30" s="2"/>
      <c r="C30" s="2"/>
      <c r="D30" s="2"/>
      <c r="E30" s="10"/>
      <c r="F30" s="2"/>
      <c r="G30" s="2"/>
      <c r="H30" s="2"/>
      <c r="I30" s="2"/>
    </row>
    <row r="31" spans="1:9">
      <c r="A31" s="2"/>
      <c r="B31" s="2"/>
      <c r="C31" s="2"/>
      <c r="D31" s="2"/>
      <c r="E31" s="10"/>
      <c r="F31" s="2"/>
      <c r="G31" s="2"/>
      <c r="H31" s="2"/>
      <c r="I31" s="2"/>
    </row>
    <row r="32" spans="1:9">
      <c r="A32" s="2"/>
      <c r="B32" s="2"/>
      <c r="C32" s="2"/>
      <c r="D32" s="2"/>
      <c r="E32" s="10"/>
      <c r="F32" s="2"/>
      <c r="G32" s="2"/>
      <c r="H32" s="2"/>
      <c r="I32" s="2"/>
    </row>
    <row r="33" spans="1:9">
      <c r="A33" s="2"/>
      <c r="B33" s="2"/>
      <c r="C33" s="2"/>
      <c r="D33" s="2"/>
      <c r="E33" s="10"/>
      <c r="F33" s="2"/>
      <c r="G33" s="2"/>
      <c r="H33" s="2"/>
      <c r="I33" s="2"/>
    </row>
    <row r="34" spans="1:9">
      <c r="A34" s="2"/>
      <c r="B34" s="2"/>
      <c r="C34" s="2"/>
      <c r="D34" s="2"/>
      <c r="E34" s="10"/>
      <c r="F34" s="2"/>
      <c r="G34" s="2"/>
      <c r="H34" s="2"/>
      <c r="I34" s="2"/>
    </row>
    <row r="35" spans="1:9">
      <c r="A35" s="2"/>
      <c r="B35" s="2"/>
      <c r="C35" s="2"/>
      <c r="D35" s="2"/>
      <c r="E35" s="10"/>
      <c r="F35" s="2"/>
      <c r="G35" s="2"/>
      <c r="H35" s="2"/>
      <c r="I35" s="2"/>
    </row>
    <row r="36" spans="1:9">
      <c r="A36" s="2"/>
      <c r="B36" s="2"/>
      <c r="C36" s="2"/>
      <c r="D36" s="2"/>
      <c r="E36" s="10"/>
      <c r="F36" s="2"/>
      <c r="G36" s="2"/>
      <c r="H36" s="2"/>
      <c r="I36" s="2"/>
    </row>
    <row r="37" spans="1:9">
      <c r="A37" s="2"/>
      <c r="B37" s="2"/>
      <c r="C37" s="2"/>
      <c r="D37" s="2"/>
      <c r="E37" s="10"/>
      <c r="F37" s="2"/>
      <c r="G37" s="2"/>
      <c r="H37" s="2"/>
      <c r="I37" s="2"/>
    </row>
    <row r="38" spans="1:9">
      <c r="A38" s="2"/>
      <c r="B38" s="2"/>
      <c r="C38" s="2"/>
      <c r="D38" s="2"/>
      <c r="E38" s="10"/>
      <c r="F38" s="2"/>
      <c r="G38" s="2"/>
      <c r="H38" s="2"/>
      <c r="I38" s="2"/>
    </row>
    <row r="39" spans="1:9">
      <c r="A39" s="2"/>
      <c r="B39" s="2"/>
      <c r="C39" s="2"/>
      <c r="D39" s="2"/>
      <c r="E39" s="10"/>
      <c r="F39" s="2"/>
      <c r="G39" s="2"/>
      <c r="H39" s="2"/>
      <c r="I39" s="2"/>
    </row>
    <row r="40" spans="1:9">
      <c r="A40" s="2"/>
      <c r="B40" s="2"/>
      <c r="C40" s="2"/>
      <c r="D40" s="2"/>
      <c r="E40" s="10"/>
      <c r="F40" s="2"/>
      <c r="G40" s="2"/>
      <c r="H40" s="2"/>
      <c r="I40" s="2"/>
    </row>
    <row r="41" spans="1:9">
      <c r="A41" s="2"/>
      <c r="B41" s="2"/>
      <c r="C41" s="2"/>
      <c r="D41" s="2"/>
      <c r="E41" s="10"/>
      <c r="F41" s="2"/>
      <c r="G41" s="2"/>
      <c r="H41" s="2"/>
      <c r="I41" s="2"/>
    </row>
    <row r="42" spans="1:9">
      <c r="A42" s="2"/>
      <c r="B42" s="2"/>
      <c r="C42" s="2"/>
      <c r="D42" s="2"/>
      <c r="E42" s="10"/>
      <c r="F42" s="2"/>
      <c r="G42" s="2"/>
      <c r="H42" s="2"/>
      <c r="I42" s="2"/>
    </row>
    <row r="43" spans="1:9">
      <c r="A43" s="2"/>
      <c r="B43" s="2"/>
      <c r="C43" s="2"/>
      <c r="D43" s="2"/>
      <c r="E43" s="10"/>
      <c r="F43" s="2"/>
      <c r="G43" s="2"/>
      <c r="H43" s="2"/>
      <c r="I43" s="2"/>
    </row>
    <row r="44" spans="1:9">
      <c r="A44" s="2"/>
      <c r="B44" s="2"/>
      <c r="C44" s="2"/>
      <c r="D44" s="2"/>
      <c r="E44" s="10"/>
      <c r="F44" s="2"/>
      <c r="G44" s="2"/>
      <c r="H44" s="2"/>
      <c r="I44" s="2"/>
    </row>
    <row r="45" spans="1:9">
      <c r="A45" s="2"/>
      <c r="B45" s="2"/>
      <c r="C45" s="2"/>
      <c r="D45" s="2"/>
      <c r="E45" s="10"/>
      <c r="F45" s="2"/>
      <c r="G45" s="2"/>
      <c r="H45" s="2"/>
      <c r="I45" s="2"/>
    </row>
    <row r="46" spans="1:9">
      <c r="A46" s="2"/>
      <c r="B46" s="2"/>
      <c r="C46" s="2"/>
      <c r="D46" s="2"/>
      <c r="E46" s="10"/>
      <c r="F46" s="2"/>
      <c r="G46" s="2"/>
      <c r="H46" s="2"/>
      <c r="I46" s="2"/>
    </row>
    <row r="47" spans="1:9">
      <c r="A47" s="2"/>
      <c r="B47" s="2"/>
      <c r="C47" s="2"/>
      <c r="D47" s="2"/>
      <c r="E47" s="10"/>
      <c r="F47" s="2"/>
      <c r="G47" s="2"/>
      <c r="H47" s="2"/>
      <c r="I47" s="2"/>
    </row>
    <row r="48" spans="1:9">
      <c r="A48" s="2"/>
      <c r="B48" s="2"/>
      <c r="C48" s="2"/>
      <c r="D48" s="2"/>
      <c r="E48" s="10"/>
      <c r="F48" s="2"/>
      <c r="G48" s="2"/>
      <c r="H48" s="2"/>
      <c r="I48" s="2"/>
    </row>
    <row r="49" spans="1:9">
      <c r="A49" s="2"/>
      <c r="B49" s="2"/>
      <c r="C49" s="2"/>
      <c r="D49" s="2"/>
      <c r="E49" s="10"/>
      <c r="F49" s="2"/>
      <c r="G49" s="2"/>
      <c r="H49" s="2"/>
      <c r="I49" s="2"/>
    </row>
    <row r="50" spans="1:9">
      <c r="A50" s="2"/>
      <c r="B50" s="2"/>
      <c r="C50" s="2"/>
      <c r="D50" s="2"/>
      <c r="E50" s="10"/>
      <c r="F50" s="2"/>
      <c r="G50" s="2"/>
      <c r="H50" s="2"/>
      <c r="I50" s="2"/>
    </row>
    <row r="51" spans="1:9">
      <c r="A51" s="2"/>
      <c r="B51" s="2"/>
      <c r="C51" s="2"/>
      <c r="D51" s="2"/>
      <c r="E51" s="10"/>
      <c r="F51" s="2"/>
      <c r="G51" s="2"/>
      <c r="H51" s="2"/>
      <c r="I51" s="2"/>
    </row>
    <row r="52" spans="1:9">
      <c r="A52" s="2"/>
      <c r="B52" s="2"/>
      <c r="C52" s="2"/>
      <c r="D52" s="2"/>
      <c r="E52" s="10"/>
      <c r="F52" s="2"/>
      <c r="G52" s="2"/>
      <c r="H52" s="2"/>
      <c r="I52" s="2"/>
    </row>
    <row r="53" spans="1:9">
      <c r="A53" s="2"/>
      <c r="B53" s="2"/>
      <c r="C53" s="2"/>
      <c r="D53" s="2"/>
      <c r="E53" s="10"/>
      <c r="F53" s="2"/>
      <c r="G53" s="2"/>
      <c r="H53" s="2"/>
      <c r="I53" s="2"/>
    </row>
    <row r="54" spans="1:9">
      <c r="A54" s="2"/>
      <c r="B54" s="2"/>
      <c r="C54" s="2"/>
      <c r="D54" s="2"/>
      <c r="E54" s="10"/>
      <c r="F54" s="2"/>
      <c r="G54" s="2"/>
      <c r="H54" s="2"/>
      <c r="I54" s="2"/>
    </row>
    <row r="55" spans="1:9">
      <c r="A55" s="2"/>
      <c r="B55" s="2"/>
      <c r="C55" s="2"/>
      <c r="D55" s="2"/>
      <c r="E55" s="10"/>
      <c r="F55" s="2"/>
      <c r="G55" s="2"/>
      <c r="H55" s="2"/>
      <c r="I55" s="2"/>
    </row>
    <row r="56" spans="1:9">
      <c r="A56" s="2"/>
      <c r="B56" s="2"/>
      <c r="C56" s="2"/>
      <c r="D56" s="2"/>
      <c r="E56" s="10"/>
      <c r="F56" s="2"/>
      <c r="G56" s="2"/>
      <c r="H56" s="2"/>
      <c r="I56" s="2"/>
    </row>
    <row r="57" spans="1:9">
      <c r="A57" s="2"/>
      <c r="B57" s="2"/>
      <c r="C57" s="2"/>
      <c r="D57" s="2"/>
      <c r="E57" s="10"/>
      <c r="F57" s="2"/>
      <c r="G57" s="2"/>
      <c r="H57" s="2"/>
      <c r="I57" s="2"/>
    </row>
    <row r="58" spans="1:9">
      <c r="A58" s="2"/>
      <c r="B58" s="2"/>
      <c r="C58" s="2"/>
      <c r="D58" s="2"/>
      <c r="E58" s="10"/>
      <c r="F58" s="2"/>
      <c r="G58" s="2"/>
      <c r="H58" s="2"/>
      <c r="I58" s="2"/>
    </row>
    <row r="59" spans="1:9">
      <c r="A59" s="2"/>
      <c r="B59" s="2"/>
      <c r="C59" s="2"/>
      <c r="D59" s="2"/>
      <c r="E59" s="10"/>
      <c r="F59" s="2"/>
      <c r="G59" s="2"/>
      <c r="H59" s="2"/>
      <c r="I59" s="2"/>
    </row>
    <row r="60" spans="1:9">
      <c r="A60" s="2"/>
      <c r="B60" s="2"/>
      <c r="C60" s="2"/>
      <c r="D60" s="2"/>
      <c r="E60" s="10"/>
      <c r="F60" s="2"/>
      <c r="G60" s="2"/>
      <c r="H60" s="2"/>
      <c r="I60" s="2"/>
    </row>
    <row r="61" spans="1:9">
      <c r="A61" s="2"/>
      <c r="B61" s="2"/>
      <c r="C61" s="2"/>
      <c r="D61" s="2"/>
      <c r="E61" s="10"/>
      <c r="F61" s="2"/>
      <c r="G61" s="2"/>
      <c r="H61" s="2"/>
      <c r="I61" s="2"/>
    </row>
    <row r="62" spans="1:9">
      <c r="A62" s="2"/>
      <c r="B62" s="2"/>
      <c r="C62" s="2"/>
      <c r="D62" s="2"/>
      <c r="E62" s="10"/>
      <c r="F62" s="2"/>
      <c r="G62" s="2"/>
      <c r="H62" s="2"/>
      <c r="I62" s="2"/>
    </row>
    <row r="63" spans="1:9">
      <c r="A63" s="2"/>
      <c r="B63" s="2"/>
      <c r="C63" s="2"/>
      <c r="D63" s="2"/>
      <c r="E63" s="10"/>
      <c r="F63" s="2"/>
      <c r="G63" s="2"/>
      <c r="H63" s="2"/>
      <c r="I63" s="2"/>
    </row>
    <row r="64" spans="1:9">
      <c r="A64" s="2"/>
      <c r="B64" s="2"/>
      <c r="C64" s="2"/>
      <c r="D64" s="2"/>
      <c r="E64" s="10"/>
      <c r="F64" s="2"/>
      <c r="G64" s="2"/>
      <c r="H64" s="2"/>
      <c r="I64" s="2"/>
    </row>
    <row r="65" spans="1:9">
      <c r="A65" s="2"/>
      <c r="B65" s="2"/>
      <c r="C65" s="2"/>
      <c r="D65" s="2"/>
      <c r="E65" s="10"/>
      <c r="F65" s="2"/>
      <c r="G65" s="2"/>
      <c r="H65" s="2"/>
      <c r="I65" s="2"/>
    </row>
    <row r="66" spans="1:9">
      <c r="A66" s="2"/>
      <c r="B66" s="2"/>
      <c r="C66" s="2"/>
      <c r="D66" s="2"/>
      <c r="E66" s="10"/>
      <c r="F66" s="2"/>
      <c r="G66" s="2"/>
      <c r="H66" s="2"/>
      <c r="I66" s="2"/>
    </row>
    <row r="67" spans="1:9">
      <c r="A67" s="2"/>
      <c r="B67" s="2"/>
      <c r="C67" s="2"/>
      <c r="D67" s="2"/>
      <c r="E67" s="10"/>
      <c r="F67" s="2"/>
      <c r="G67" s="2"/>
      <c r="H67" s="2"/>
      <c r="I67" s="2"/>
    </row>
    <row r="68" spans="1:9">
      <c r="A68" s="2"/>
      <c r="B68" s="2"/>
      <c r="C68" s="2"/>
      <c r="D68" s="2"/>
      <c r="E68" s="10"/>
      <c r="F68" s="2"/>
      <c r="G68" s="2"/>
      <c r="H68" s="2"/>
      <c r="I68" s="2"/>
    </row>
    <row r="69" spans="1:9">
      <c r="A69" s="2"/>
      <c r="B69" s="2"/>
      <c r="C69" s="2"/>
      <c r="D69" s="2"/>
      <c r="E69" s="10"/>
      <c r="F69" s="2"/>
      <c r="G69" s="2"/>
      <c r="H69" s="2"/>
      <c r="I69" s="2"/>
    </row>
    <row r="70" spans="1:9">
      <c r="A70" s="2"/>
      <c r="B70" s="2"/>
      <c r="C70" s="2"/>
      <c r="D70" s="2"/>
      <c r="E70" s="10"/>
      <c r="F70" s="2"/>
      <c r="G70" s="2"/>
      <c r="H70" s="2"/>
      <c r="I70" s="2"/>
    </row>
    <row r="71" spans="1:9">
      <c r="A71" s="2"/>
      <c r="B71" s="2"/>
      <c r="C71" s="2"/>
      <c r="D71" s="2"/>
      <c r="E71" s="10"/>
      <c r="F71" s="2"/>
      <c r="G71" s="2"/>
      <c r="H71" s="2"/>
      <c r="I71" s="2"/>
    </row>
    <row r="72" spans="1:9">
      <c r="A72" s="2"/>
      <c r="B72" s="2"/>
      <c r="C72" s="2"/>
      <c r="D72" s="2"/>
      <c r="E72" s="10"/>
      <c r="F72" s="2"/>
      <c r="G72" s="2"/>
      <c r="H72" s="2"/>
      <c r="I72" s="2"/>
    </row>
    <row r="73" spans="1:9">
      <c r="A73" s="2"/>
      <c r="B73" s="2"/>
      <c r="C73" s="2"/>
      <c r="D73" s="2"/>
      <c r="E73" s="10"/>
      <c r="F73" s="2"/>
      <c r="G73" s="2"/>
      <c r="H73" s="2"/>
      <c r="I73" s="2"/>
    </row>
    <row r="74" spans="1:9">
      <c r="A74" s="2"/>
      <c r="B74" s="2"/>
      <c r="C74" s="2"/>
      <c r="D74" s="2"/>
      <c r="E74" s="10"/>
      <c r="F74" s="2"/>
      <c r="G74" s="2"/>
      <c r="H74" s="2"/>
      <c r="I74" s="2"/>
    </row>
    <row r="75" spans="1:9">
      <c r="A75" s="2"/>
      <c r="B75" s="2"/>
      <c r="C75" s="2"/>
      <c r="D75" s="2"/>
      <c r="E75" s="10"/>
      <c r="F75" s="2"/>
      <c r="G75" s="2"/>
      <c r="H75" s="2"/>
      <c r="I75" s="2"/>
    </row>
    <row r="76" spans="1:9">
      <c r="A76" s="2"/>
      <c r="B76" s="2"/>
      <c r="C76" s="2"/>
      <c r="D76" s="2"/>
      <c r="E76" s="10"/>
      <c r="F76" s="2"/>
      <c r="G76" s="2"/>
      <c r="H76" s="2"/>
      <c r="I76" s="2"/>
    </row>
    <row r="77" spans="1:9">
      <c r="A77" s="2"/>
      <c r="B77" s="2"/>
      <c r="C77" s="2"/>
      <c r="D77" s="2"/>
      <c r="E77" s="10"/>
      <c r="F77" s="2"/>
      <c r="G77" s="2"/>
      <c r="H77" s="2"/>
      <c r="I77" s="2"/>
    </row>
    <row r="78" spans="1:9">
      <c r="A78" s="2"/>
      <c r="B78" s="2"/>
      <c r="C78" s="2"/>
      <c r="D78" s="2"/>
      <c r="E78" s="10"/>
      <c r="F78" s="2"/>
      <c r="G78" s="2"/>
      <c r="H78" s="2"/>
      <c r="I78" s="2"/>
    </row>
    <row r="79" spans="1:9">
      <c r="A79" s="2"/>
      <c r="B79" s="2"/>
      <c r="C79" s="2"/>
      <c r="D79" s="2"/>
      <c r="E79" s="10"/>
      <c r="F79" s="2"/>
      <c r="G79" s="2"/>
      <c r="H79" s="2"/>
      <c r="I79" s="2"/>
    </row>
    <row r="80" spans="1:9">
      <c r="A80" s="2"/>
      <c r="B80" s="2"/>
      <c r="C80" s="2"/>
      <c r="D80" s="2"/>
      <c r="E80" s="10"/>
      <c r="F80" s="2"/>
      <c r="G80" s="2"/>
      <c r="H80" s="2"/>
      <c r="I80" s="2"/>
    </row>
    <row r="81" spans="1:9">
      <c r="A81" s="2"/>
      <c r="B81" s="2"/>
      <c r="C81" s="2"/>
      <c r="D81" s="2"/>
      <c r="E81" s="10"/>
      <c r="F81" s="2"/>
      <c r="G81" s="2"/>
      <c r="H81" s="2"/>
      <c r="I81" s="2"/>
    </row>
    <row r="82" spans="1:9">
      <c r="A82" s="2"/>
      <c r="B82" s="2"/>
      <c r="C82" s="2"/>
      <c r="D82" s="2"/>
      <c r="E82" s="10"/>
      <c r="F82" s="2"/>
      <c r="G82" s="2"/>
      <c r="H82" s="2"/>
      <c r="I82" s="2"/>
    </row>
    <row r="83" spans="1:9">
      <c r="A83" s="2"/>
      <c r="B83" s="2"/>
      <c r="C83" s="2"/>
      <c r="D83" s="2"/>
      <c r="E83" s="10"/>
      <c r="F83" s="2"/>
      <c r="G83" s="2"/>
      <c r="H83" s="2"/>
      <c r="I83" s="2"/>
    </row>
    <row r="84" spans="1:9">
      <c r="A84" s="2"/>
      <c r="B84" s="2"/>
      <c r="C84" s="2"/>
      <c r="D84" s="2"/>
      <c r="E84" s="10"/>
      <c r="F84" s="2"/>
      <c r="G84" s="2"/>
      <c r="H84" s="2"/>
      <c r="I84" s="2"/>
    </row>
    <row r="85" spans="1:9">
      <c r="A85" s="2"/>
      <c r="B85" s="2"/>
      <c r="C85" s="2"/>
      <c r="D85" s="2"/>
      <c r="E85" s="10"/>
      <c r="F85" s="2"/>
      <c r="G85" s="2"/>
      <c r="H85" s="2"/>
      <c r="I85" s="2"/>
    </row>
    <row r="86" spans="1:9">
      <c r="A86" s="2"/>
      <c r="B86" s="2"/>
      <c r="C86" s="2"/>
      <c r="D86" s="2"/>
      <c r="E86" s="10"/>
      <c r="F86" s="2"/>
      <c r="G86" s="2"/>
      <c r="H86" s="2"/>
      <c r="I86" s="2"/>
    </row>
    <row r="87" spans="1:9">
      <c r="A87" s="2"/>
      <c r="B87" s="2"/>
      <c r="C87" s="2"/>
      <c r="D87" s="2"/>
      <c r="E87" s="10"/>
      <c r="F87" s="2"/>
      <c r="G87" s="2"/>
      <c r="H87" s="2"/>
      <c r="I87" s="2"/>
    </row>
    <row r="88" spans="1:9">
      <c r="A88" s="2"/>
      <c r="B88" s="2"/>
      <c r="C88" s="2"/>
      <c r="D88" s="2"/>
      <c r="E88" s="10"/>
      <c r="F88" s="2"/>
      <c r="G88" s="2"/>
      <c r="H88" s="2"/>
      <c r="I88" s="2"/>
    </row>
    <row r="89" spans="1:9">
      <c r="A89" s="2"/>
      <c r="B89" s="2"/>
      <c r="C89" s="2"/>
      <c r="D89" s="2"/>
      <c r="E89" s="10"/>
      <c r="F89" s="2"/>
      <c r="G89" s="2"/>
      <c r="H89" s="2"/>
      <c r="I89" s="2"/>
    </row>
    <row r="90" spans="1:9">
      <c r="A90" s="2"/>
      <c r="B90" s="2"/>
      <c r="C90" s="2"/>
      <c r="D90" s="2"/>
      <c r="E90" s="10"/>
      <c r="F90" s="2"/>
      <c r="G90" s="2"/>
      <c r="H90" s="2"/>
      <c r="I90" s="2"/>
    </row>
    <row r="91" spans="1:9">
      <c r="A91" s="2"/>
      <c r="B91" s="2"/>
      <c r="C91" s="2"/>
      <c r="D91" s="2"/>
      <c r="E91" s="10"/>
      <c r="F91" s="2"/>
      <c r="G91" s="2"/>
      <c r="H91" s="2"/>
      <c r="I91" s="2"/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75</v>
      </c>
      <c r="B1" s="3" t="s">
        <v>76</v>
      </c>
      <c r="C1" s="3" t="s">
        <v>77</v>
      </c>
    </row>
    <row r="2" ht="17" spans="1:3">
      <c r="A2" s="4" t="s">
        <v>78</v>
      </c>
      <c r="B2" s="8">
        <f>COUNT(单次交易!M2:M201)</f>
        <v>23</v>
      </c>
      <c r="C2" s="4" t="s">
        <v>79</v>
      </c>
    </row>
    <row r="3" ht="17" spans="1:3">
      <c r="A3" s="4" t="s">
        <v>80</v>
      </c>
      <c r="B3" s="8">
        <f>COUNTIF(单次交易!X2:X201,"&gt;0")</f>
        <v>11</v>
      </c>
      <c r="C3" s="4" t="s">
        <v>81</v>
      </c>
    </row>
    <row r="4" ht="17" spans="1:3">
      <c r="A4" s="4" t="s">
        <v>82</v>
      </c>
      <c r="B4" s="8">
        <f>COUNTIF(单次交易!X2:X201,"&lt;0")</f>
        <v>12</v>
      </c>
      <c r="C4" s="4" t="s">
        <v>83</v>
      </c>
    </row>
    <row r="5" ht="17" spans="1:3">
      <c r="A5" s="4" t="s">
        <v>84</v>
      </c>
      <c r="B5" s="8">
        <f>COUNTIFS(单次交易!M2:M201,"&lt;&gt;",单次交易!X2:X201,"=0")</f>
        <v>0</v>
      </c>
      <c r="C5" s="4" t="s">
        <v>85</v>
      </c>
    </row>
    <row r="6" ht="17" spans="1:3">
      <c r="A6" s="4" t="s">
        <v>86</v>
      </c>
      <c r="B6" s="7">
        <f>IFERROR(B3/(B3+B4),"")</f>
        <v>0.478260869565217</v>
      </c>
      <c r="C6" s="4" t="s">
        <v>87</v>
      </c>
    </row>
    <row r="7" ht="17" spans="1:3">
      <c r="A7" s="4" t="s">
        <v>88</v>
      </c>
      <c r="B7" s="7">
        <f>IFERROR(B4/(B3+B4),"")</f>
        <v>0.521739130434783</v>
      </c>
      <c r="C7" s="4" t="s">
        <v>89</v>
      </c>
    </row>
    <row r="8" ht="17" spans="1:3">
      <c r="A8" s="4" t="s">
        <v>90</v>
      </c>
      <c r="B8" s="7">
        <f>IFERROR(AVERAGEIF(单次交易!X2:X201,"&gt;0",单次交易!AE2:AE201),"")</f>
        <v>0.0678173186360151</v>
      </c>
      <c r="C8" s="4" t="s">
        <v>91</v>
      </c>
    </row>
    <row r="9" ht="17" spans="1:3">
      <c r="A9" s="4" t="s">
        <v>92</v>
      </c>
      <c r="B9" s="7">
        <f>IFERROR(-AVERAGEIF(单次交易!X2:X201,"&lt;0",单次交易!AE2:AE201),"")</f>
        <v>0.0270811339018276</v>
      </c>
      <c r="C9" s="4" t="s">
        <v>93</v>
      </c>
    </row>
    <row r="10" ht="17" spans="1:3">
      <c r="A10" s="4" t="s">
        <v>94</v>
      </c>
      <c r="B10" s="8">
        <f>SUMIF(单次交易!X2:X201,"&gt;0",单次交易!AA2:AA201)</f>
        <v>331</v>
      </c>
      <c r="C10" s="4" t="s">
        <v>95</v>
      </c>
    </row>
    <row r="11" ht="17" spans="1:3">
      <c r="A11" s="4" t="s">
        <v>96</v>
      </c>
      <c r="B11" s="8">
        <f>SUMIF(单次交易!X2:X201,"&lt;0",单次交易!AA2:AA201)</f>
        <v>117</v>
      </c>
      <c r="C11" s="4" t="s">
        <v>95</v>
      </c>
    </row>
    <row r="12" ht="17" spans="1:3">
      <c r="A12" s="4" t="s">
        <v>97</v>
      </c>
      <c r="B12" s="5">
        <f>IFERROR(SUMPRODUCT(单次交易!E2:E201,单次交易!H2:H201)/COUNT(单次交易!H2:H201),"")</f>
        <v>62939.652173913</v>
      </c>
      <c r="C12" s="4" t="s">
        <v>98</v>
      </c>
    </row>
    <row r="13" ht="17" spans="1:3">
      <c r="A13" s="4" t="s">
        <v>99</v>
      </c>
      <c r="B13" s="7">
        <f>IF(OR(B6="",B7="",B8="",B9=""),"",B6*B8-B7*B9)</f>
        <v>0.0183050825293146</v>
      </c>
      <c r="C13" s="4" t="s">
        <v>100</v>
      </c>
    </row>
    <row r="14" ht="17" spans="1:3">
      <c r="A14" s="4" t="s">
        <v>101</v>
      </c>
      <c r="B14" s="7">
        <f>IF(COUNT(单次交易!AE2:AE201)=0,"",EXP(SUMPRODUCT(IFERROR(LN(1+单次交易!AE2:AE201),0)))-1)</f>
        <v>0.458015637642215</v>
      </c>
      <c r="C14" s="4" t="s">
        <v>102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tabSelected="1" workbookViewId="0">
      <pane ySplit="1" topLeftCell="A2" activePane="bottomLeft" state="frozen"/>
      <selection/>
      <selection pane="bottomLeft" activeCell="E10" sqref="E10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75</v>
      </c>
      <c r="B1" s="3" t="s">
        <v>103</v>
      </c>
      <c r="C1" s="3" t="s">
        <v>104</v>
      </c>
    </row>
    <row r="2" ht="17" spans="1:3">
      <c r="A2" s="4" t="s">
        <v>105</v>
      </c>
      <c r="B2" s="9">
        <v>100000</v>
      </c>
      <c r="C2" s="4" t="s">
        <v>106</v>
      </c>
    </row>
    <row r="3" ht="17" spans="1:3">
      <c r="A3" s="4" t="s">
        <v>107</v>
      </c>
      <c r="B3" s="5">
        <f>IF(B2="","",B2+SUM(单次交易!X2:X201))</f>
        <v>145595</v>
      </c>
      <c r="C3" s="4" t="s">
        <v>108</v>
      </c>
    </row>
    <row r="4" ht="17" spans="1:3">
      <c r="A4" s="4" t="s">
        <v>109</v>
      </c>
      <c r="B4" s="6">
        <v>0.02</v>
      </c>
      <c r="C4" s="4" t="s">
        <v>110</v>
      </c>
    </row>
    <row r="5" ht="17" spans="1:3">
      <c r="A5" s="4" t="s">
        <v>111</v>
      </c>
      <c r="B5" s="5">
        <f>IF(B3="","",B3*B4)</f>
        <v>2911.9</v>
      </c>
      <c r="C5" s="4" t="s">
        <v>112</v>
      </c>
    </row>
    <row r="6" ht="17" spans="1:3">
      <c r="A6" s="4" t="s">
        <v>113</v>
      </c>
      <c r="B6" s="6">
        <v>0.06</v>
      </c>
      <c r="C6" s="4" t="s">
        <v>114</v>
      </c>
    </row>
    <row r="7" ht="17" spans="1:3">
      <c r="A7" s="4" t="s">
        <v>115</v>
      </c>
      <c r="B7" s="5">
        <f>IF(B3="","",B3*B6)</f>
        <v>8735.7</v>
      </c>
      <c r="C7" s="4" t="s">
        <v>116</v>
      </c>
    </row>
    <row r="8" ht="17" spans="1:3">
      <c r="A8" s="4" t="s">
        <v>117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118</v>
      </c>
    </row>
    <row r="9" ht="17" spans="1:3">
      <c r="A9" s="4" t="s">
        <v>119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120</v>
      </c>
    </row>
    <row r="10" ht="17" spans="1:3">
      <c r="A10" s="4" t="s">
        <v>121</v>
      </c>
      <c r="B10" s="5">
        <f>IF(OR(B7="",B9=""),"",B7-B9)</f>
        <v>8735.7</v>
      </c>
      <c r="C10" s="4" t="s">
        <v>122</v>
      </c>
    </row>
    <row r="11" ht="17" spans="1:3">
      <c r="A11" s="4" t="s">
        <v>123</v>
      </c>
      <c r="B11" s="7">
        <f>IF(OR(B2="",B3="",B2&lt;=0),"",B3/B2-1)</f>
        <v>0.45595</v>
      </c>
      <c r="C11" s="4" t="s">
        <v>124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75</v>
      </c>
      <c r="B1" s="3" t="s">
        <v>103</v>
      </c>
      <c r="C1" s="3" t="s">
        <v>77</v>
      </c>
    </row>
    <row r="2" ht="17" spans="1:3">
      <c r="A2" s="4" t="s">
        <v>125</v>
      </c>
      <c r="B2" s="5">
        <f>账户数据!B3</f>
        <v>145595</v>
      </c>
      <c r="C2" s="4" t="s">
        <v>126</v>
      </c>
    </row>
    <row r="3" ht="17" spans="1:3">
      <c r="A3" s="4" t="s">
        <v>127</v>
      </c>
      <c r="B3" s="6">
        <v>0.1</v>
      </c>
      <c r="C3" s="4" t="s">
        <v>128</v>
      </c>
    </row>
    <row r="4" ht="17" spans="1:3">
      <c r="A4" s="4" t="s">
        <v>129</v>
      </c>
      <c r="B4" s="5">
        <f>IF(OR(B2="",B3=""),"",B2*B3)</f>
        <v>14559.5</v>
      </c>
      <c r="C4" s="4" t="s">
        <v>130</v>
      </c>
    </row>
    <row r="5" ht="17" spans="1:3">
      <c r="A5" s="4" t="s">
        <v>97</v>
      </c>
      <c r="B5" s="5">
        <f>多次统计数据!B12</f>
        <v>62939.652173913</v>
      </c>
      <c r="C5" s="4" t="s">
        <v>131</v>
      </c>
    </row>
    <row r="6" ht="17" spans="1:3">
      <c r="A6" s="4" t="s">
        <v>132</v>
      </c>
      <c r="B6" s="7">
        <f>多次统计数据!B13</f>
        <v>0.0183050825293146</v>
      </c>
      <c r="C6" s="4" t="s">
        <v>133</v>
      </c>
    </row>
    <row r="7" ht="17" spans="1:3">
      <c r="A7" s="4" t="s">
        <v>134</v>
      </c>
      <c r="B7" s="8">
        <f>IF(OR(B3="",B6="",B3&lt;=0,B6&lt;=0),"暂不可计算",ROUNDUP(LN(1+B3)/LN(1+B6),0))</f>
        <v>6</v>
      </c>
      <c r="C7" s="4" t="s">
        <v>135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136</v>
      </c>
      <c r="B1" s="1" t="s">
        <v>137</v>
      </c>
      <c r="C1" s="1" t="s">
        <v>138</v>
      </c>
    </row>
    <row r="2" ht="17" spans="1:3">
      <c r="A2" s="2" t="s">
        <v>139</v>
      </c>
      <c r="B2" s="2" t="s">
        <v>140</v>
      </c>
      <c r="C2" s="2" t="s">
        <v>141</v>
      </c>
    </row>
    <row r="3" ht="17" spans="1:3">
      <c r="A3" s="2" t="s">
        <v>142</v>
      </c>
      <c r="B3" s="2" t="s">
        <v>143</v>
      </c>
      <c r="C3" s="2" t="s">
        <v>144</v>
      </c>
    </row>
    <row r="4" ht="17" spans="1:3">
      <c r="A4" s="2" t="s">
        <v>145</v>
      </c>
      <c r="B4" s="2" t="s">
        <v>146</v>
      </c>
      <c r="C4" s="2" t="s">
        <v>147</v>
      </c>
    </row>
    <row r="5" ht="17" spans="1:3">
      <c r="A5" s="2" t="s">
        <v>148</v>
      </c>
      <c r="B5" s="2" t="s">
        <v>143</v>
      </c>
      <c r="C5" s="2" t="s">
        <v>149</v>
      </c>
    </row>
    <row r="6" ht="17" spans="1:3">
      <c r="A6" s="2" t="s">
        <v>150</v>
      </c>
      <c r="B6" s="2" t="s">
        <v>151</v>
      </c>
      <c r="C6" s="2" t="s">
        <v>152</v>
      </c>
    </row>
    <row r="7" ht="17" spans="1:3">
      <c r="A7" s="2" t="s">
        <v>153</v>
      </c>
      <c r="B7" s="2" t="s">
        <v>146</v>
      </c>
      <c r="C7" s="2" t="s">
        <v>154</v>
      </c>
    </row>
    <row r="8" ht="17" spans="1:3">
      <c r="A8" s="2" t="s">
        <v>155</v>
      </c>
      <c r="B8" s="2" t="s">
        <v>146</v>
      </c>
      <c r="C8" s="2" t="s">
        <v>156</v>
      </c>
    </row>
    <row r="9" ht="17" spans="1:3">
      <c r="A9" s="2" t="s">
        <v>157</v>
      </c>
      <c r="B9" s="2" t="s">
        <v>158</v>
      </c>
      <c r="C9" s="2" t="s">
        <v>159</v>
      </c>
    </row>
    <row r="10" ht="17" spans="1:3">
      <c r="A10" s="2" t="s">
        <v>160</v>
      </c>
      <c r="B10" s="2" t="s">
        <v>161</v>
      </c>
      <c r="C10" s="2" t="s">
        <v>162</v>
      </c>
    </row>
    <row r="11" ht="17" spans="1:3">
      <c r="A11" s="2" t="s">
        <v>163</v>
      </c>
      <c r="B11" s="2" t="s">
        <v>161</v>
      </c>
      <c r="C11" s="2" t="s">
        <v>164</v>
      </c>
    </row>
    <row r="12" ht="17" spans="1:3">
      <c r="A12" s="2" t="s">
        <v>165</v>
      </c>
      <c r="B12" s="2" t="s">
        <v>140</v>
      </c>
      <c r="C12" s="2" t="s">
        <v>166</v>
      </c>
    </row>
    <row r="13" ht="17" spans="1:3">
      <c r="A13" s="2" t="s">
        <v>167</v>
      </c>
      <c r="B13" s="2" t="s">
        <v>140</v>
      </c>
      <c r="C13" s="2" t="s">
        <v>168</v>
      </c>
    </row>
    <row r="14" ht="17" spans="1:3">
      <c r="A14" s="2" t="s">
        <v>169</v>
      </c>
      <c r="B14" s="2" t="s">
        <v>143</v>
      </c>
      <c r="C14" s="2" t="s">
        <v>170</v>
      </c>
    </row>
    <row r="15" ht="17" spans="1:3">
      <c r="A15" s="2" t="s">
        <v>171</v>
      </c>
      <c r="B15" s="2" t="s">
        <v>143</v>
      </c>
      <c r="C15" s="2" t="s">
        <v>172</v>
      </c>
    </row>
    <row r="16" ht="17" spans="1:3">
      <c r="A16" s="2" t="s">
        <v>173</v>
      </c>
      <c r="B16" s="2" t="s">
        <v>151</v>
      </c>
      <c r="C16" s="2" t="s">
        <v>174</v>
      </c>
    </row>
    <row r="17" ht="17" spans="1:3">
      <c r="A17" s="2" t="s">
        <v>175</v>
      </c>
      <c r="B17" s="2" t="s">
        <v>146</v>
      </c>
      <c r="C17" s="2" t="s">
        <v>176</v>
      </c>
    </row>
    <row r="18" ht="17" spans="1:3">
      <c r="A18" s="2" t="s">
        <v>177</v>
      </c>
      <c r="B18" s="2" t="s">
        <v>158</v>
      </c>
      <c r="C18" s="2" t="s">
        <v>178</v>
      </c>
    </row>
    <row r="19" ht="17" spans="1:3">
      <c r="A19" s="2" t="s">
        <v>179</v>
      </c>
      <c r="B19" s="2" t="s">
        <v>151</v>
      </c>
      <c r="C19" s="2" t="s">
        <v>180</v>
      </c>
    </row>
    <row r="20" ht="17" spans="1:3">
      <c r="A20" s="2" t="s">
        <v>181</v>
      </c>
      <c r="B20" s="2" t="s">
        <v>182</v>
      </c>
      <c r="C20" s="2" t="s">
        <v>183</v>
      </c>
    </row>
    <row r="21" ht="17" spans="1:3">
      <c r="A21" s="2" t="s">
        <v>184</v>
      </c>
      <c r="B21" s="2" t="s">
        <v>185</v>
      </c>
      <c r="C21" s="2" t="s">
        <v>186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2026-07-25T00:10:00Z</dcterms:created>
  <dcterms:modified xsi:type="dcterms:W3CDTF">2026-08-08T17:29:18Z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