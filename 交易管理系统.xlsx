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4BBF2660-9FF9-41B5-8A29-92C6B7BB30EF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B9" i="4" l="1"/>
  <c r="B12" i="3"/>
  <c r="B5" i="5" s="1"/>
  <c r="B2" i="3"/>
  <c r="AA201" i="1"/>
  <c r="V201" i="1"/>
  <c r="U201" i="1"/>
  <c r="L201" i="1"/>
  <c r="X201" i="1" s="1"/>
  <c r="F201" i="1"/>
  <c r="AA200" i="1"/>
  <c r="V200" i="1"/>
  <c r="U200" i="1"/>
  <c r="L200" i="1"/>
  <c r="X200" i="1" s="1"/>
  <c r="Y200" i="1" s="1"/>
  <c r="F200" i="1"/>
  <c r="AA199" i="1"/>
  <c r="V199" i="1"/>
  <c r="U199" i="1"/>
  <c r="L199" i="1"/>
  <c r="X199" i="1" s="1"/>
  <c r="AE199" i="1" s="1"/>
  <c r="F199" i="1"/>
  <c r="AA198" i="1"/>
  <c r="V198" i="1"/>
  <c r="U198" i="1"/>
  <c r="L198" i="1"/>
  <c r="X198" i="1" s="1"/>
  <c r="F198" i="1"/>
  <c r="AA197" i="1"/>
  <c r="V197" i="1"/>
  <c r="U197" i="1"/>
  <c r="L197" i="1"/>
  <c r="X197" i="1" s="1"/>
  <c r="Y197" i="1" s="1"/>
  <c r="F197" i="1"/>
  <c r="AA196" i="1"/>
  <c r="V196" i="1"/>
  <c r="U196" i="1"/>
  <c r="L196" i="1"/>
  <c r="X196" i="1" s="1"/>
  <c r="AE196" i="1" s="1"/>
  <c r="F196" i="1"/>
  <c r="AA195" i="1"/>
  <c r="V195" i="1"/>
  <c r="U195" i="1"/>
  <c r="L195" i="1"/>
  <c r="X195" i="1" s="1"/>
  <c r="AE195" i="1" s="1"/>
  <c r="F195" i="1"/>
  <c r="AA194" i="1"/>
  <c r="V194" i="1"/>
  <c r="U194" i="1"/>
  <c r="L194" i="1"/>
  <c r="X194" i="1" s="1"/>
  <c r="Y194" i="1" s="1"/>
  <c r="F194" i="1"/>
  <c r="AA193" i="1"/>
  <c r="V193" i="1"/>
  <c r="U193" i="1"/>
  <c r="L193" i="1"/>
  <c r="X193" i="1" s="1"/>
  <c r="F193" i="1"/>
  <c r="AA192" i="1"/>
  <c r="V192" i="1"/>
  <c r="U192" i="1"/>
  <c r="L192" i="1"/>
  <c r="X192" i="1" s="1"/>
  <c r="Y192" i="1" s="1"/>
  <c r="F192" i="1"/>
  <c r="AA191" i="1"/>
  <c r="V191" i="1"/>
  <c r="U191" i="1"/>
  <c r="W191" i="1" s="1"/>
  <c r="L191" i="1"/>
  <c r="X191" i="1" s="1"/>
  <c r="Y191" i="1" s="1"/>
  <c r="F191" i="1"/>
  <c r="AA190" i="1"/>
  <c r="V190" i="1"/>
  <c r="U190" i="1"/>
  <c r="L190" i="1"/>
  <c r="X190" i="1" s="1"/>
  <c r="F190" i="1"/>
  <c r="AA189" i="1"/>
  <c r="V189" i="1"/>
  <c r="U189" i="1"/>
  <c r="L189" i="1"/>
  <c r="X189" i="1" s="1"/>
  <c r="AE189" i="1" s="1"/>
  <c r="F189" i="1"/>
  <c r="AA188" i="1"/>
  <c r="V188" i="1"/>
  <c r="U188" i="1"/>
  <c r="L188" i="1"/>
  <c r="X188" i="1" s="1"/>
  <c r="AE188" i="1" s="1"/>
  <c r="F188" i="1"/>
  <c r="AA187" i="1"/>
  <c r="V187" i="1"/>
  <c r="U187" i="1"/>
  <c r="L187" i="1"/>
  <c r="X187" i="1" s="1"/>
  <c r="Y187" i="1" s="1"/>
  <c r="F187" i="1"/>
  <c r="AA186" i="1"/>
  <c r="V186" i="1"/>
  <c r="U186" i="1"/>
  <c r="L186" i="1"/>
  <c r="X186" i="1" s="1"/>
  <c r="F186" i="1"/>
  <c r="AA185" i="1"/>
  <c r="V185" i="1"/>
  <c r="U185" i="1"/>
  <c r="L185" i="1"/>
  <c r="X185" i="1" s="1"/>
  <c r="F185" i="1"/>
  <c r="AA184" i="1"/>
  <c r="V184" i="1"/>
  <c r="U184" i="1"/>
  <c r="L184" i="1"/>
  <c r="X184" i="1" s="1"/>
  <c r="AE184" i="1" s="1"/>
  <c r="F184" i="1"/>
  <c r="AA183" i="1"/>
  <c r="V183" i="1"/>
  <c r="U183" i="1"/>
  <c r="L183" i="1"/>
  <c r="X183" i="1" s="1"/>
  <c r="F183" i="1"/>
  <c r="AA182" i="1"/>
  <c r="V182" i="1"/>
  <c r="U182" i="1"/>
  <c r="L182" i="1"/>
  <c r="X182" i="1" s="1"/>
  <c r="AE182" i="1" s="1"/>
  <c r="F182" i="1"/>
  <c r="AA181" i="1"/>
  <c r="V181" i="1"/>
  <c r="U181" i="1"/>
  <c r="L181" i="1"/>
  <c r="X181" i="1" s="1"/>
  <c r="F181" i="1"/>
  <c r="AA180" i="1"/>
  <c r="V180" i="1"/>
  <c r="U180" i="1"/>
  <c r="L180" i="1"/>
  <c r="X180" i="1" s="1"/>
  <c r="Y180" i="1" s="1"/>
  <c r="F180" i="1"/>
  <c r="AA179" i="1"/>
  <c r="V179" i="1"/>
  <c r="U179" i="1"/>
  <c r="L179" i="1"/>
  <c r="X179" i="1" s="1"/>
  <c r="F179" i="1"/>
  <c r="AA178" i="1"/>
  <c r="V178" i="1"/>
  <c r="U178" i="1"/>
  <c r="L178" i="1"/>
  <c r="X178" i="1" s="1"/>
  <c r="F178" i="1"/>
  <c r="AA177" i="1"/>
  <c r="V177" i="1"/>
  <c r="U177" i="1"/>
  <c r="L177" i="1"/>
  <c r="X177" i="1" s="1"/>
  <c r="Y177" i="1" s="1"/>
  <c r="F177" i="1"/>
  <c r="AA176" i="1"/>
  <c r="V176" i="1"/>
  <c r="U176" i="1"/>
  <c r="L176" i="1"/>
  <c r="X176" i="1" s="1"/>
  <c r="F176" i="1"/>
  <c r="AA175" i="1"/>
  <c r="V175" i="1"/>
  <c r="U175" i="1"/>
  <c r="L175" i="1"/>
  <c r="X175" i="1" s="1"/>
  <c r="F175" i="1"/>
  <c r="AA174" i="1"/>
  <c r="V174" i="1"/>
  <c r="U174" i="1"/>
  <c r="L174" i="1"/>
  <c r="X174" i="1" s="1"/>
  <c r="F174" i="1"/>
  <c r="AA173" i="1"/>
  <c r="V173" i="1"/>
  <c r="U173" i="1"/>
  <c r="L173" i="1"/>
  <c r="X173" i="1" s="1"/>
  <c r="F173" i="1"/>
  <c r="AA172" i="1"/>
  <c r="V172" i="1"/>
  <c r="U172" i="1"/>
  <c r="L172" i="1"/>
  <c r="X172" i="1" s="1"/>
  <c r="F172" i="1"/>
  <c r="AA171" i="1"/>
  <c r="V171" i="1"/>
  <c r="U171" i="1"/>
  <c r="L171" i="1"/>
  <c r="X171" i="1" s="1"/>
  <c r="F171" i="1"/>
  <c r="AA170" i="1"/>
  <c r="V170" i="1"/>
  <c r="U170" i="1"/>
  <c r="L170" i="1"/>
  <c r="X170" i="1" s="1"/>
  <c r="Y170" i="1" s="1"/>
  <c r="F170" i="1"/>
  <c r="AA169" i="1"/>
  <c r="V169" i="1"/>
  <c r="U169" i="1"/>
  <c r="L169" i="1"/>
  <c r="X169" i="1" s="1"/>
  <c r="F169" i="1"/>
  <c r="AA168" i="1"/>
  <c r="V168" i="1"/>
  <c r="U168" i="1"/>
  <c r="L168" i="1"/>
  <c r="X168" i="1" s="1"/>
  <c r="AE168" i="1" s="1"/>
  <c r="F168" i="1"/>
  <c r="AA167" i="1"/>
  <c r="V167" i="1"/>
  <c r="U167" i="1"/>
  <c r="L167" i="1"/>
  <c r="X167" i="1" s="1"/>
  <c r="Y167" i="1" s="1"/>
  <c r="F167" i="1"/>
  <c r="AA166" i="1"/>
  <c r="V166" i="1"/>
  <c r="U166" i="1"/>
  <c r="L166" i="1"/>
  <c r="X166" i="1" s="1"/>
  <c r="F166" i="1"/>
  <c r="AA165" i="1"/>
  <c r="V165" i="1"/>
  <c r="U165" i="1"/>
  <c r="L165" i="1"/>
  <c r="X165" i="1" s="1"/>
  <c r="F165" i="1"/>
  <c r="AA164" i="1"/>
  <c r="V164" i="1"/>
  <c r="U164" i="1"/>
  <c r="L164" i="1"/>
  <c r="X164" i="1" s="1"/>
  <c r="F164" i="1"/>
  <c r="AA163" i="1"/>
  <c r="V163" i="1"/>
  <c r="U163" i="1"/>
  <c r="L163" i="1"/>
  <c r="X163" i="1" s="1"/>
  <c r="AE163" i="1" s="1"/>
  <c r="F163" i="1"/>
  <c r="AA162" i="1"/>
  <c r="V162" i="1"/>
  <c r="U162" i="1"/>
  <c r="L162" i="1"/>
  <c r="X162" i="1" s="1"/>
  <c r="AE162" i="1" s="1"/>
  <c r="F162" i="1"/>
  <c r="AA161" i="1"/>
  <c r="V161" i="1"/>
  <c r="U161" i="1"/>
  <c r="L161" i="1"/>
  <c r="X161" i="1" s="1"/>
  <c r="Y161" i="1" s="1"/>
  <c r="F161" i="1"/>
  <c r="AA160" i="1"/>
  <c r="V160" i="1"/>
  <c r="U160" i="1"/>
  <c r="L160" i="1"/>
  <c r="X160" i="1" s="1"/>
  <c r="Y160" i="1" s="1"/>
  <c r="F160" i="1"/>
  <c r="AA159" i="1"/>
  <c r="V159" i="1"/>
  <c r="U159" i="1"/>
  <c r="L159" i="1"/>
  <c r="X159" i="1" s="1"/>
  <c r="F159" i="1"/>
  <c r="AA158" i="1"/>
  <c r="V158" i="1"/>
  <c r="U158" i="1"/>
  <c r="L158" i="1"/>
  <c r="X158" i="1" s="1"/>
  <c r="Y158" i="1" s="1"/>
  <c r="F158" i="1"/>
  <c r="AA157" i="1"/>
  <c r="V157" i="1"/>
  <c r="U157" i="1"/>
  <c r="L157" i="1"/>
  <c r="X157" i="1" s="1"/>
  <c r="AE157" i="1" s="1"/>
  <c r="F157" i="1"/>
  <c r="AA156" i="1"/>
  <c r="V156" i="1"/>
  <c r="U156" i="1"/>
  <c r="L156" i="1"/>
  <c r="X156" i="1" s="1"/>
  <c r="F156" i="1"/>
  <c r="AA155" i="1"/>
  <c r="V155" i="1"/>
  <c r="U155" i="1"/>
  <c r="L155" i="1"/>
  <c r="X155" i="1" s="1"/>
  <c r="F155" i="1"/>
  <c r="AA154" i="1"/>
  <c r="V154" i="1"/>
  <c r="U154" i="1"/>
  <c r="L154" i="1"/>
  <c r="X154" i="1" s="1"/>
  <c r="F154" i="1"/>
  <c r="AA153" i="1"/>
  <c r="V153" i="1"/>
  <c r="U153" i="1"/>
  <c r="L153" i="1"/>
  <c r="X153" i="1" s="1"/>
  <c r="AE153" i="1" s="1"/>
  <c r="F153" i="1"/>
  <c r="AA152" i="1"/>
  <c r="V152" i="1"/>
  <c r="U152" i="1"/>
  <c r="L152" i="1"/>
  <c r="X152" i="1" s="1"/>
  <c r="Y152" i="1" s="1"/>
  <c r="F152" i="1"/>
  <c r="AA151" i="1"/>
  <c r="V151" i="1"/>
  <c r="U151" i="1"/>
  <c r="L151" i="1"/>
  <c r="X151" i="1" s="1"/>
  <c r="F151" i="1"/>
  <c r="AA150" i="1"/>
  <c r="V150" i="1"/>
  <c r="U150" i="1"/>
  <c r="L150" i="1"/>
  <c r="X150" i="1" s="1"/>
  <c r="Y150" i="1" s="1"/>
  <c r="F150" i="1"/>
  <c r="AA149" i="1"/>
  <c r="V149" i="1"/>
  <c r="U149" i="1"/>
  <c r="L149" i="1"/>
  <c r="X149" i="1" s="1"/>
  <c r="F149" i="1"/>
  <c r="AA148" i="1"/>
  <c r="V148" i="1"/>
  <c r="U148" i="1"/>
  <c r="L148" i="1"/>
  <c r="X148" i="1" s="1"/>
  <c r="Y148" i="1" s="1"/>
  <c r="F148" i="1"/>
  <c r="AA147" i="1"/>
  <c r="V147" i="1"/>
  <c r="U147" i="1"/>
  <c r="L147" i="1"/>
  <c r="X147" i="1" s="1"/>
  <c r="F147" i="1"/>
  <c r="AA146" i="1"/>
  <c r="V146" i="1"/>
  <c r="U146" i="1"/>
  <c r="L146" i="1"/>
  <c r="X146" i="1" s="1"/>
  <c r="F146" i="1"/>
  <c r="AA145" i="1"/>
  <c r="V145" i="1"/>
  <c r="U145" i="1"/>
  <c r="L145" i="1"/>
  <c r="X145" i="1" s="1"/>
  <c r="AE145" i="1" s="1"/>
  <c r="F145" i="1"/>
  <c r="AA144" i="1"/>
  <c r="V144" i="1"/>
  <c r="U144" i="1"/>
  <c r="L144" i="1"/>
  <c r="X144" i="1" s="1"/>
  <c r="F144" i="1"/>
  <c r="AA143" i="1"/>
  <c r="V143" i="1"/>
  <c r="U143" i="1"/>
  <c r="L143" i="1"/>
  <c r="X143" i="1" s="1"/>
  <c r="AE143" i="1" s="1"/>
  <c r="F143" i="1"/>
  <c r="AA142" i="1"/>
  <c r="V142" i="1"/>
  <c r="U142" i="1"/>
  <c r="L142" i="1"/>
  <c r="X142" i="1" s="1"/>
  <c r="F142" i="1"/>
  <c r="AA141" i="1"/>
  <c r="V141" i="1"/>
  <c r="U141" i="1"/>
  <c r="L141" i="1"/>
  <c r="X141" i="1" s="1"/>
  <c r="Y141" i="1" s="1"/>
  <c r="F141" i="1"/>
  <c r="AA140" i="1"/>
  <c r="V140" i="1"/>
  <c r="U140" i="1"/>
  <c r="L140" i="1"/>
  <c r="X140" i="1" s="1"/>
  <c r="F140" i="1"/>
  <c r="AA139" i="1"/>
  <c r="V139" i="1"/>
  <c r="U139" i="1"/>
  <c r="L139" i="1"/>
  <c r="X139" i="1" s="1"/>
  <c r="F139" i="1"/>
  <c r="AA138" i="1"/>
  <c r="V138" i="1"/>
  <c r="U138" i="1"/>
  <c r="L138" i="1"/>
  <c r="X138" i="1" s="1"/>
  <c r="Y138" i="1" s="1"/>
  <c r="F138" i="1"/>
  <c r="AA137" i="1"/>
  <c r="V137" i="1"/>
  <c r="U137" i="1"/>
  <c r="L137" i="1"/>
  <c r="X137" i="1" s="1"/>
  <c r="AE137" i="1" s="1"/>
  <c r="F137" i="1"/>
  <c r="AA136" i="1"/>
  <c r="V136" i="1"/>
  <c r="U136" i="1"/>
  <c r="L136" i="1"/>
  <c r="X136" i="1" s="1"/>
  <c r="Y136" i="1" s="1"/>
  <c r="F136" i="1"/>
  <c r="AA135" i="1"/>
  <c r="V135" i="1"/>
  <c r="U135" i="1"/>
  <c r="L135" i="1"/>
  <c r="X135" i="1" s="1"/>
  <c r="AE135" i="1" s="1"/>
  <c r="F135" i="1"/>
  <c r="AA134" i="1"/>
  <c r="V134" i="1"/>
  <c r="U134" i="1"/>
  <c r="L134" i="1"/>
  <c r="X134" i="1" s="1"/>
  <c r="F134" i="1"/>
  <c r="AA133" i="1"/>
  <c r="V133" i="1"/>
  <c r="U133" i="1"/>
  <c r="L133" i="1"/>
  <c r="X133" i="1" s="1"/>
  <c r="F133" i="1"/>
  <c r="AA132" i="1"/>
  <c r="V132" i="1"/>
  <c r="U132" i="1"/>
  <c r="L132" i="1"/>
  <c r="X132" i="1" s="1"/>
  <c r="AE132" i="1" s="1"/>
  <c r="F132" i="1"/>
  <c r="AA131" i="1"/>
  <c r="V131" i="1"/>
  <c r="U131" i="1"/>
  <c r="L131" i="1"/>
  <c r="X131" i="1" s="1"/>
  <c r="F131" i="1"/>
  <c r="AA130" i="1"/>
  <c r="V130" i="1"/>
  <c r="U130" i="1"/>
  <c r="L130" i="1"/>
  <c r="X130" i="1" s="1"/>
  <c r="AE130" i="1" s="1"/>
  <c r="F130" i="1"/>
  <c r="AA129" i="1"/>
  <c r="V129" i="1"/>
  <c r="U129" i="1"/>
  <c r="L129" i="1"/>
  <c r="X129" i="1" s="1"/>
  <c r="F129" i="1"/>
  <c r="AA128" i="1"/>
  <c r="V128" i="1"/>
  <c r="U128" i="1"/>
  <c r="L128" i="1"/>
  <c r="X128" i="1" s="1"/>
  <c r="Y128" i="1" s="1"/>
  <c r="F128" i="1"/>
  <c r="AA127" i="1"/>
  <c r="V127" i="1"/>
  <c r="U127" i="1"/>
  <c r="L127" i="1"/>
  <c r="X127" i="1" s="1"/>
  <c r="F127" i="1"/>
  <c r="AA126" i="1"/>
  <c r="V126" i="1"/>
  <c r="U126" i="1"/>
  <c r="L126" i="1"/>
  <c r="X126" i="1" s="1"/>
  <c r="AE126" i="1" s="1"/>
  <c r="F126" i="1"/>
  <c r="AA125" i="1"/>
  <c r="V125" i="1"/>
  <c r="U125" i="1"/>
  <c r="L125" i="1"/>
  <c r="X125" i="1" s="1"/>
  <c r="F125" i="1"/>
  <c r="AA124" i="1"/>
  <c r="V124" i="1"/>
  <c r="U124" i="1"/>
  <c r="L124" i="1"/>
  <c r="X124" i="1" s="1"/>
  <c r="Y124" i="1" s="1"/>
  <c r="F124" i="1"/>
  <c r="AA123" i="1"/>
  <c r="V123" i="1"/>
  <c r="U123" i="1"/>
  <c r="L123" i="1"/>
  <c r="X123" i="1" s="1"/>
  <c r="F123" i="1"/>
  <c r="AA122" i="1"/>
  <c r="V122" i="1"/>
  <c r="U122" i="1"/>
  <c r="L122" i="1"/>
  <c r="X122" i="1" s="1"/>
  <c r="F122" i="1"/>
  <c r="AA121" i="1"/>
  <c r="V121" i="1"/>
  <c r="U121" i="1"/>
  <c r="L121" i="1"/>
  <c r="X121" i="1" s="1"/>
  <c r="AE121" i="1" s="1"/>
  <c r="F121" i="1"/>
  <c r="AA120" i="1"/>
  <c r="V120" i="1"/>
  <c r="U120" i="1"/>
  <c r="L120" i="1"/>
  <c r="X120" i="1" s="1"/>
  <c r="F120" i="1"/>
  <c r="AA119" i="1"/>
  <c r="V119" i="1"/>
  <c r="U119" i="1"/>
  <c r="L119" i="1"/>
  <c r="X119" i="1" s="1"/>
  <c r="F119" i="1"/>
  <c r="AA118" i="1"/>
  <c r="V118" i="1"/>
  <c r="U118" i="1"/>
  <c r="L118" i="1"/>
  <c r="X118" i="1" s="1"/>
  <c r="AE118" i="1" s="1"/>
  <c r="F118" i="1"/>
  <c r="AA117" i="1"/>
  <c r="V117" i="1"/>
  <c r="U117" i="1"/>
  <c r="L117" i="1"/>
  <c r="X117" i="1" s="1"/>
  <c r="F117" i="1"/>
  <c r="AA116" i="1"/>
  <c r="V116" i="1"/>
  <c r="U116" i="1"/>
  <c r="L116" i="1"/>
  <c r="X116" i="1" s="1"/>
  <c r="F116" i="1"/>
  <c r="AA115" i="1"/>
  <c r="V115" i="1"/>
  <c r="U115" i="1"/>
  <c r="L115" i="1"/>
  <c r="X115" i="1" s="1"/>
  <c r="F115" i="1"/>
  <c r="AA114" i="1"/>
  <c r="V114" i="1"/>
  <c r="U114" i="1"/>
  <c r="L114" i="1"/>
  <c r="X114" i="1" s="1"/>
  <c r="F114" i="1"/>
  <c r="AA113" i="1"/>
  <c r="V113" i="1"/>
  <c r="U113" i="1"/>
  <c r="L113" i="1"/>
  <c r="X113" i="1" s="1"/>
  <c r="F113" i="1"/>
  <c r="AA112" i="1"/>
  <c r="V112" i="1"/>
  <c r="U112" i="1"/>
  <c r="L112" i="1"/>
  <c r="X112" i="1" s="1"/>
  <c r="AE112" i="1" s="1"/>
  <c r="F112" i="1"/>
  <c r="AA111" i="1"/>
  <c r="V111" i="1"/>
  <c r="U111" i="1"/>
  <c r="W111" i="1" s="1"/>
  <c r="L111" i="1"/>
  <c r="X111" i="1" s="1"/>
  <c r="Y111" i="1" s="1"/>
  <c r="F111" i="1"/>
  <c r="AA110" i="1"/>
  <c r="V110" i="1"/>
  <c r="U110" i="1"/>
  <c r="L110" i="1"/>
  <c r="X110" i="1" s="1"/>
  <c r="F110" i="1"/>
  <c r="AA109" i="1"/>
  <c r="V109" i="1"/>
  <c r="U109" i="1"/>
  <c r="L109" i="1"/>
  <c r="X109" i="1" s="1"/>
  <c r="F109" i="1"/>
  <c r="AA108" i="1"/>
  <c r="V108" i="1"/>
  <c r="U108" i="1"/>
  <c r="L108" i="1"/>
  <c r="X108" i="1" s="1"/>
  <c r="F108" i="1"/>
  <c r="AA107" i="1"/>
  <c r="V107" i="1"/>
  <c r="U107" i="1"/>
  <c r="L107" i="1"/>
  <c r="X107" i="1" s="1"/>
  <c r="Y107" i="1" s="1"/>
  <c r="F107" i="1"/>
  <c r="AA106" i="1"/>
  <c r="V106" i="1"/>
  <c r="U106" i="1"/>
  <c r="L106" i="1"/>
  <c r="X106" i="1" s="1"/>
  <c r="F106" i="1"/>
  <c r="AA105" i="1"/>
  <c r="V105" i="1"/>
  <c r="U105" i="1"/>
  <c r="L105" i="1"/>
  <c r="X105" i="1" s="1"/>
  <c r="F105" i="1"/>
  <c r="AA104" i="1"/>
  <c r="V104" i="1"/>
  <c r="U104" i="1"/>
  <c r="L104" i="1"/>
  <c r="X104" i="1" s="1"/>
  <c r="F104" i="1"/>
  <c r="AA103" i="1"/>
  <c r="V103" i="1"/>
  <c r="U103" i="1"/>
  <c r="W103" i="1" s="1"/>
  <c r="L103" i="1"/>
  <c r="X103" i="1" s="1"/>
  <c r="F103" i="1"/>
  <c r="AA102" i="1"/>
  <c r="V102" i="1"/>
  <c r="U102" i="1"/>
  <c r="L102" i="1"/>
  <c r="X102" i="1" s="1"/>
  <c r="F102" i="1"/>
  <c r="AA101" i="1"/>
  <c r="V101" i="1"/>
  <c r="U101" i="1"/>
  <c r="L101" i="1"/>
  <c r="X101" i="1" s="1"/>
  <c r="F101" i="1"/>
  <c r="AA100" i="1"/>
  <c r="V100" i="1"/>
  <c r="U100" i="1"/>
  <c r="L100" i="1"/>
  <c r="X100" i="1" s="1"/>
  <c r="F100" i="1"/>
  <c r="AA99" i="1"/>
  <c r="V99" i="1"/>
  <c r="U99" i="1"/>
  <c r="L99" i="1"/>
  <c r="X99" i="1" s="1"/>
  <c r="F99" i="1"/>
  <c r="AA98" i="1"/>
  <c r="V98" i="1"/>
  <c r="U98" i="1"/>
  <c r="L98" i="1"/>
  <c r="X98" i="1" s="1"/>
  <c r="F98" i="1"/>
  <c r="AA97" i="1"/>
  <c r="V97" i="1"/>
  <c r="U97" i="1"/>
  <c r="L97" i="1"/>
  <c r="X97" i="1" s="1"/>
  <c r="AE97" i="1" s="1"/>
  <c r="F97" i="1"/>
  <c r="AA96" i="1"/>
  <c r="V96" i="1"/>
  <c r="U96" i="1"/>
  <c r="L96" i="1"/>
  <c r="X96" i="1" s="1"/>
  <c r="F96" i="1"/>
  <c r="AA95" i="1"/>
  <c r="V95" i="1"/>
  <c r="U95" i="1"/>
  <c r="W95" i="1" s="1"/>
  <c r="L95" i="1"/>
  <c r="X95" i="1" s="1"/>
  <c r="AE95" i="1" s="1"/>
  <c r="F95" i="1"/>
  <c r="AA94" i="1"/>
  <c r="V94" i="1"/>
  <c r="U94" i="1"/>
  <c r="L94" i="1"/>
  <c r="X94" i="1" s="1"/>
  <c r="F94" i="1"/>
  <c r="AA93" i="1"/>
  <c r="V93" i="1"/>
  <c r="U93" i="1"/>
  <c r="L93" i="1"/>
  <c r="X93" i="1" s="1"/>
  <c r="AE93" i="1" s="1"/>
  <c r="F93" i="1"/>
  <c r="AA92" i="1"/>
  <c r="V92" i="1"/>
  <c r="U92" i="1"/>
  <c r="L92" i="1"/>
  <c r="X92" i="1" s="1"/>
  <c r="Y92" i="1" s="1"/>
  <c r="F92" i="1"/>
  <c r="AA91" i="1"/>
  <c r="V91" i="1"/>
  <c r="U91" i="1"/>
  <c r="L91" i="1"/>
  <c r="X91" i="1" s="1"/>
  <c r="Y91" i="1" s="1"/>
  <c r="F91" i="1"/>
  <c r="AA90" i="1"/>
  <c r="V90" i="1"/>
  <c r="U90" i="1"/>
  <c r="L90" i="1"/>
  <c r="X90" i="1" s="1"/>
  <c r="F90" i="1"/>
  <c r="AA89" i="1"/>
  <c r="V89" i="1"/>
  <c r="U89" i="1"/>
  <c r="L89" i="1"/>
  <c r="X89" i="1" s="1"/>
  <c r="F89" i="1"/>
  <c r="AA88" i="1"/>
  <c r="V88" i="1"/>
  <c r="U88" i="1"/>
  <c r="L88" i="1"/>
  <c r="X88" i="1" s="1"/>
  <c r="F88" i="1"/>
  <c r="AA87" i="1"/>
  <c r="V87" i="1"/>
  <c r="U87" i="1"/>
  <c r="W87" i="1" s="1"/>
  <c r="L87" i="1"/>
  <c r="X87" i="1" s="1"/>
  <c r="Y87" i="1" s="1"/>
  <c r="F87" i="1"/>
  <c r="AA86" i="1"/>
  <c r="V86" i="1"/>
  <c r="U86" i="1"/>
  <c r="L86" i="1"/>
  <c r="X86" i="1" s="1"/>
  <c r="F86" i="1"/>
  <c r="AA85" i="1"/>
  <c r="V85" i="1"/>
  <c r="U85" i="1"/>
  <c r="L85" i="1"/>
  <c r="X85" i="1" s="1"/>
  <c r="Y85" i="1" s="1"/>
  <c r="F85" i="1"/>
  <c r="AA84" i="1"/>
  <c r="V84" i="1"/>
  <c r="U84" i="1"/>
  <c r="L84" i="1"/>
  <c r="X84" i="1" s="1"/>
  <c r="AE84" i="1" s="1"/>
  <c r="F84" i="1"/>
  <c r="AA83" i="1"/>
  <c r="V83" i="1"/>
  <c r="U83" i="1"/>
  <c r="L83" i="1"/>
  <c r="X83" i="1" s="1"/>
  <c r="F83" i="1"/>
  <c r="AA82" i="1"/>
  <c r="V82" i="1"/>
  <c r="U82" i="1"/>
  <c r="L82" i="1"/>
  <c r="X82" i="1" s="1"/>
  <c r="AE82" i="1" s="1"/>
  <c r="F82" i="1"/>
  <c r="AA81" i="1"/>
  <c r="V81" i="1"/>
  <c r="U81" i="1"/>
  <c r="L81" i="1"/>
  <c r="X81" i="1" s="1"/>
  <c r="F81" i="1"/>
  <c r="AA80" i="1"/>
  <c r="V80" i="1"/>
  <c r="U80" i="1"/>
  <c r="L80" i="1"/>
  <c r="X80" i="1" s="1"/>
  <c r="F80" i="1"/>
  <c r="AA79" i="1"/>
  <c r="V79" i="1"/>
  <c r="U79" i="1"/>
  <c r="L79" i="1"/>
  <c r="X79" i="1" s="1"/>
  <c r="F79" i="1"/>
  <c r="AA78" i="1"/>
  <c r="V78" i="1"/>
  <c r="U78" i="1"/>
  <c r="L78" i="1"/>
  <c r="X78" i="1" s="1"/>
  <c r="F78" i="1"/>
  <c r="AA77" i="1"/>
  <c r="V77" i="1"/>
  <c r="U77" i="1"/>
  <c r="L77" i="1"/>
  <c r="X77" i="1" s="1"/>
  <c r="Y77" i="1" s="1"/>
  <c r="F77" i="1"/>
  <c r="AA76" i="1"/>
  <c r="V76" i="1"/>
  <c r="U76" i="1"/>
  <c r="L76" i="1"/>
  <c r="X76" i="1" s="1"/>
  <c r="AA75" i="1"/>
  <c r="V75" i="1"/>
  <c r="U75" i="1"/>
  <c r="L75" i="1"/>
  <c r="X75" i="1" s="1"/>
  <c r="AE75" i="1" s="1"/>
  <c r="F75" i="1"/>
  <c r="AA74" i="1"/>
  <c r="V74" i="1"/>
  <c r="U74" i="1"/>
  <c r="L74" i="1"/>
  <c r="X74" i="1" s="1"/>
  <c r="F74" i="1"/>
  <c r="AA73" i="1"/>
  <c r="V73" i="1"/>
  <c r="U73" i="1"/>
  <c r="L73" i="1"/>
  <c r="X73" i="1" s="1"/>
  <c r="F73" i="1"/>
  <c r="AA72" i="1"/>
  <c r="V72" i="1"/>
  <c r="U72" i="1"/>
  <c r="L72" i="1"/>
  <c r="X72" i="1" s="1"/>
  <c r="F72" i="1"/>
  <c r="AA71" i="1"/>
  <c r="V71" i="1"/>
  <c r="U71" i="1"/>
  <c r="L71" i="1"/>
  <c r="X71" i="1" s="1"/>
  <c r="Y71" i="1" s="1"/>
  <c r="F71" i="1"/>
  <c r="AA70" i="1"/>
  <c r="V70" i="1"/>
  <c r="U70" i="1"/>
  <c r="L70" i="1"/>
  <c r="X70" i="1" s="1"/>
  <c r="Y70" i="1" s="1"/>
  <c r="F70" i="1"/>
  <c r="AA69" i="1"/>
  <c r="V69" i="1"/>
  <c r="U69" i="1"/>
  <c r="L69" i="1"/>
  <c r="X69" i="1" s="1"/>
  <c r="AE69" i="1" s="1"/>
  <c r="F69" i="1"/>
  <c r="AA68" i="1"/>
  <c r="V68" i="1"/>
  <c r="U68" i="1"/>
  <c r="L68" i="1"/>
  <c r="X68" i="1" s="1"/>
  <c r="AE68" i="1" s="1"/>
  <c r="F68" i="1"/>
  <c r="AA67" i="1"/>
  <c r="V67" i="1"/>
  <c r="U67" i="1"/>
  <c r="L67" i="1"/>
  <c r="X67" i="1" s="1"/>
  <c r="AE67" i="1" s="1"/>
  <c r="F67" i="1"/>
  <c r="AA66" i="1"/>
  <c r="V66" i="1"/>
  <c r="U66" i="1"/>
  <c r="L66" i="1"/>
  <c r="X66" i="1" s="1"/>
  <c r="F66" i="1"/>
  <c r="AA65" i="1"/>
  <c r="V65" i="1"/>
  <c r="U65" i="1"/>
  <c r="L65" i="1"/>
  <c r="X65" i="1" s="1"/>
  <c r="F65" i="1"/>
  <c r="AA64" i="1"/>
  <c r="V64" i="1"/>
  <c r="U64" i="1"/>
  <c r="L64" i="1"/>
  <c r="X64" i="1" s="1"/>
  <c r="AE64" i="1" s="1"/>
  <c r="F64" i="1"/>
  <c r="AA63" i="1"/>
  <c r="V63" i="1"/>
  <c r="U63" i="1"/>
  <c r="L63" i="1"/>
  <c r="X63" i="1" s="1"/>
  <c r="F63" i="1"/>
  <c r="AA62" i="1"/>
  <c r="V62" i="1"/>
  <c r="U62" i="1"/>
  <c r="L62" i="1"/>
  <c r="X62" i="1" s="1"/>
  <c r="AE62" i="1" s="1"/>
  <c r="F62" i="1"/>
  <c r="AA61" i="1"/>
  <c r="V61" i="1"/>
  <c r="U61" i="1"/>
  <c r="L61" i="1"/>
  <c r="X61" i="1" s="1"/>
  <c r="AE61" i="1" s="1"/>
  <c r="F61" i="1"/>
  <c r="AA60" i="1"/>
  <c r="V60" i="1"/>
  <c r="U60" i="1"/>
  <c r="L60" i="1"/>
  <c r="X60" i="1" s="1"/>
  <c r="F60" i="1"/>
  <c r="AA59" i="1"/>
  <c r="V59" i="1"/>
  <c r="U59" i="1"/>
  <c r="L59" i="1"/>
  <c r="X59" i="1" s="1"/>
  <c r="AE59" i="1" s="1"/>
  <c r="F59" i="1"/>
  <c r="AA58" i="1"/>
  <c r="V58" i="1"/>
  <c r="U58" i="1"/>
  <c r="L58" i="1"/>
  <c r="X58" i="1" s="1"/>
  <c r="F58" i="1"/>
  <c r="AA57" i="1"/>
  <c r="V57" i="1"/>
  <c r="U57" i="1"/>
  <c r="L57" i="1"/>
  <c r="X57" i="1" s="1"/>
  <c r="AE57" i="1" s="1"/>
  <c r="F57" i="1"/>
  <c r="AA56" i="1"/>
  <c r="V56" i="1"/>
  <c r="U56" i="1"/>
  <c r="L56" i="1"/>
  <c r="X56" i="1" s="1"/>
  <c r="F56" i="1"/>
  <c r="AA55" i="1"/>
  <c r="V55" i="1"/>
  <c r="U55" i="1"/>
  <c r="L55" i="1"/>
  <c r="X55" i="1" s="1"/>
  <c r="AE55" i="1" s="1"/>
  <c r="F55" i="1"/>
  <c r="AA54" i="1"/>
  <c r="V54" i="1"/>
  <c r="U54" i="1"/>
  <c r="L54" i="1"/>
  <c r="X54" i="1" s="1"/>
  <c r="Y54" i="1" s="1"/>
  <c r="F54" i="1"/>
  <c r="AA53" i="1"/>
  <c r="V53" i="1"/>
  <c r="U53" i="1"/>
  <c r="L53" i="1"/>
  <c r="X53" i="1" s="1"/>
  <c r="F53" i="1"/>
  <c r="AA52" i="1"/>
  <c r="V52" i="1"/>
  <c r="U52" i="1"/>
  <c r="L52" i="1"/>
  <c r="X52" i="1" s="1"/>
  <c r="AE52" i="1" s="1"/>
  <c r="F52" i="1"/>
  <c r="AA51" i="1"/>
  <c r="V51" i="1"/>
  <c r="U51" i="1"/>
  <c r="L51" i="1"/>
  <c r="X51" i="1" s="1"/>
  <c r="F51" i="1"/>
  <c r="AA50" i="1"/>
  <c r="V50" i="1"/>
  <c r="U50" i="1"/>
  <c r="L50" i="1"/>
  <c r="X50" i="1" s="1"/>
  <c r="F50" i="1"/>
  <c r="AA49" i="1"/>
  <c r="V49" i="1"/>
  <c r="U49" i="1"/>
  <c r="L49" i="1"/>
  <c r="X49" i="1" s="1"/>
  <c r="F49" i="1"/>
  <c r="AA48" i="1"/>
  <c r="V48" i="1"/>
  <c r="U48" i="1"/>
  <c r="L48" i="1"/>
  <c r="X48" i="1" s="1"/>
  <c r="Y48" i="1" s="1"/>
  <c r="F48" i="1"/>
  <c r="AA47" i="1"/>
  <c r="V47" i="1"/>
  <c r="U47" i="1"/>
  <c r="L47" i="1"/>
  <c r="X47" i="1" s="1"/>
  <c r="F47" i="1"/>
  <c r="AA46" i="1"/>
  <c r="V46" i="1"/>
  <c r="U46" i="1"/>
  <c r="L46" i="1"/>
  <c r="X46" i="1" s="1"/>
  <c r="AE46" i="1" s="1"/>
  <c r="F46" i="1"/>
  <c r="AA45" i="1"/>
  <c r="V45" i="1"/>
  <c r="U45" i="1"/>
  <c r="L45" i="1"/>
  <c r="X45" i="1" s="1"/>
  <c r="AE45" i="1" s="1"/>
  <c r="F45" i="1"/>
  <c r="AA44" i="1"/>
  <c r="V44" i="1"/>
  <c r="U44" i="1"/>
  <c r="L44" i="1"/>
  <c r="X44" i="1" s="1"/>
  <c r="F44" i="1"/>
  <c r="AA43" i="1"/>
  <c r="V43" i="1"/>
  <c r="U43" i="1"/>
  <c r="L43" i="1"/>
  <c r="X43" i="1" s="1"/>
  <c r="F43" i="1"/>
  <c r="AA42" i="1"/>
  <c r="V42" i="1"/>
  <c r="U42" i="1"/>
  <c r="L42" i="1"/>
  <c r="X42" i="1" s="1"/>
  <c r="F42" i="1"/>
  <c r="AA41" i="1"/>
  <c r="V41" i="1"/>
  <c r="U41" i="1"/>
  <c r="L41" i="1"/>
  <c r="X41" i="1" s="1"/>
  <c r="F41" i="1"/>
  <c r="AA40" i="1"/>
  <c r="V40" i="1"/>
  <c r="U40" i="1"/>
  <c r="L40" i="1"/>
  <c r="X40" i="1" s="1"/>
  <c r="Y40" i="1" s="1"/>
  <c r="F40" i="1"/>
  <c r="AA39" i="1"/>
  <c r="V39" i="1"/>
  <c r="U39" i="1"/>
  <c r="L39" i="1"/>
  <c r="X39" i="1" s="1"/>
  <c r="F39" i="1"/>
  <c r="AA38" i="1"/>
  <c r="V38" i="1"/>
  <c r="U38" i="1"/>
  <c r="L38" i="1"/>
  <c r="X38" i="1" s="1"/>
  <c r="F38" i="1"/>
  <c r="AA37" i="1"/>
  <c r="V37" i="1"/>
  <c r="U37" i="1"/>
  <c r="L37" i="1"/>
  <c r="X37" i="1" s="1"/>
  <c r="Y37" i="1" s="1"/>
  <c r="F37" i="1"/>
  <c r="AA36" i="1"/>
  <c r="V36" i="1"/>
  <c r="U36" i="1"/>
  <c r="L36" i="1"/>
  <c r="X36" i="1" s="1"/>
  <c r="AE36" i="1" s="1"/>
  <c r="F36" i="1"/>
  <c r="AA35" i="1"/>
  <c r="V35" i="1"/>
  <c r="U35" i="1"/>
  <c r="L35" i="1"/>
  <c r="X35" i="1" s="1"/>
  <c r="AE35" i="1" s="1"/>
  <c r="F35" i="1"/>
  <c r="AA34" i="1"/>
  <c r="V34" i="1"/>
  <c r="U34" i="1"/>
  <c r="L34" i="1"/>
  <c r="X34" i="1" s="1"/>
  <c r="F34" i="1"/>
  <c r="AA33" i="1"/>
  <c r="V33" i="1"/>
  <c r="U33" i="1"/>
  <c r="L33" i="1"/>
  <c r="X33" i="1" s="1"/>
  <c r="Y33" i="1" s="1"/>
  <c r="F33" i="1"/>
  <c r="AA32" i="1"/>
  <c r="V32" i="1"/>
  <c r="U32" i="1"/>
  <c r="L32" i="1"/>
  <c r="X32" i="1" s="1"/>
  <c r="AE32" i="1" s="1"/>
  <c r="F32" i="1"/>
  <c r="AA31" i="1"/>
  <c r="V31" i="1"/>
  <c r="U31" i="1"/>
  <c r="L31" i="1"/>
  <c r="X31" i="1" s="1"/>
  <c r="AE31" i="1" s="1"/>
  <c r="F31" i="1"/>
  <c r="AA30" i="1"/>
  <c r="V30" i="1"/>
  <c r="U30" i="1"/>
  <c r="L30" i="1"/>
  <c r="X30" i="1" s="1"/>
  <c r="AE30" i="1" s="1"/>
  <c r="F30" i="1"/>
  <c r="AA29" i="1"/>
  <c r="V29" i="1"/>
  <c r="U29" i="1"/>
  <c r="L29" i="1"/>
  <c r="X29" i="1" s="1"/>
  <c r="F29" i="1"/>
  <c r="AA28" i="1"/>
  <c r="V28" i="1"/>
  <c r="U28" i="1"/>
  <c r="L28" i="1"/>
  <c r="X28" i="1" s="1"/>
  <c r="Y28" i="1" s="1"/>
  <c r="F28" i="1"/>
  <c r="AA27" i="1"/>
  <c r="V27" i="1"/>
  <c r="U27" i="1"/>
  <c r="L27" i="1"/>
  <c r="X27" i="1" s="1"/>
  <c r="AE27" i="1" s="1"/>
  <c r="F27" i="1"/>
  <c r="AA26" i="1"/>
  <c r="V26" i="1"/>
  <c r="U26" i="1"/>
  <c r="L26" i="1"/>
  <c r="X26" i="1" s="1"/>
  <c r="AE26" i="1" s="1"/>
  <c r="F26" i="1"/>
  <c r="AA25" i="1"/>
  <c r="V25" i="1"/>
  <c r="U25" i="1"/>
  <c r="L25" i="1"/>
  <c r="X25" i="1" s="1"/>
  <c r="Y25" i="1" s="1"/>
  <c r="F25" i="1"/>
  <c r="AA24" i="1"/>
  <c r="V24" i="1"/>
  <c r="U24" i="1"/>
  <c r="L24" i="1"/>
  <c r="X24" i="1" s="1"/>
  <c r="F24" i="1"/>
  <c r="AA23" i="1"/>
  <c r="V23" i="1"/>
  <c r="U23" i="1"/>
  <c r="L23" i="1"/>
  <c r="X23" i="1" s="1"/>
  <c r="AE23" i="1" s="1"/>
  <c r="F23" i="1"/>
  <c r="AA22" i="1"/>
  <c r="V22" i="1"/>
  <c r="U22" i="1"/>
  <c r="L22" i="1"/>
  <c r="X22" i="1" s="1"/>
  <c r="F22" i="1"/>
  <c r="AA21" i="1"/>
  <c r="V21" i="1"/>
  <c r="U21" i="1"/>
  <c r="L21" i="1"/>
  <c r="X21" i="1" s="1"/>
  <c r="Y21" i="1" s="1"/>
  <c r="F21" i="1"/>
  <c r="AA20" i="1"/>
  <c r="V20" i="1"/>
  <c r="U20" i="1"/>
  <c r="L20" i="1"/>
  <c r="X20" i="1" s="1"/>
  <c r="F20" i="1"/>
  <c r="AA19" i="1"/>
  <c r="V19" i="1"/>
  <c r="U19" i="1"/>
  <c r="L19" i="1"/>
  <c r="X19" i="1" s="1"/>
  <c r="AE19" i="1" s="1"/>
  <c r="F19" i="1"/>
  <c r="AA18" i="1"/>
  <c r="V18" i="1"/>
  <c r="U18" i="1"/>
  <c r="L18" i="1"/>
  <c r="X18" i="1" s="1"/>
  <c r="Y18" i="1" s="1"/>
  <c r="F18" i="1"/>
  <c r="AA17" i="1"/>
  <c r="V17" i="1"/>
  <c r="U17" i="1"/>
  <c r="L17" i="1"/>
  <c r="X17" i="1" s="1"/>
  <c r="Y17" i="1" s="1"/>
  <c r="F17" i="1"/>
  <c r="AA16" i="1"/>
  <c r="V16" i="1"/>
  <c r="U16" i="1"/>
  <c r="L16" i="1"/>
  <c r="X16" i="1" s="1"/>
  <c r="AE16" i="1" s="1"/>
  <c r="F16" i="1"/>
  <c r="AA15" i="1"/>
  <c r="V15" i="1"/>
  <c r="U15" i="1"/>
  <c r="L15" i="1"/>
  <c r="X15" i="1" s="1"/>
  <c r="F15" i="1"/>
  <c r="AA14" i="1"/>
  <c r="V14" i="1"/>
  <c r="U14" i="1"/>
  <c r="L14" i="1"/>
  <c r="X14" i="1" s="1"/>
  <c r="Y14" i="1" s="1"/>
  <c r="F14" i="1"/>
  <c r="AA13" i="1"/>
  <c r="V13" i="1"/>
  <c r="U13" i="1"/>
  <c r="L13" i="1"/>
  <c r="X13" i="1" s="1"/>
  <c r="AE13" i="1" s="1"/>
  <c r="F13" i="1"/>
  <c r="AA12" i="1"/>
  <c r="V12" i="1"/>
  <c r="U12" i="1"/>
  <c r="L12" i="1"/>
  <c r="X12" i="1" s="1"/>
  <c r="F12" i="1"/>
  <c r="AA11" i="1"/>
  <c r="V11" i="1"/>
  <c r="U11" i="1"/>
  <c r="L11" i="1"/>
  <c r="X11" i="1" s="1"/>
  <c r="Y11" i="1" s="1"/>
  <c r="F11" i="1"/>
  <c r="AA10" i="1"/>
  <c r="V10" i="1"/>
  <c r="U10" i="1"/>
  <c r="L10" i="1"/>
  <c r="X10" i="1" s="1"/>
  <c r="F10" i="1"/>
  <c r="AA9" i="1"/>
  <c r="V9" i="1"/>
  <c r="U9" i="1"/>
  <c r="L9" i="1"/>
  <c r="X9" i="1" s="1"/>
  <c r="Y9" i="1" s="1"/>
  <c r="F9" i="1"/>
  <c r="AA8" i="1"/>
  <c r="V8" i="1"/>
  <c r="U8" i="1"/>
  <c r="L8" i="1"/>
  <c r="X8" i="1" s="1"/>
  <c r="F8" i="1"/>
  <c r="AA7" i="1"/>
  <c r="V7" i="1"/>
  <c r="U7" i="1"/>
  <c r="L7" i="1"/>
  <c r="X7" i="1" s="1"/>
  <c r="F7" i="1"/>
  <c r="AA6" i="1"/>
  <c r="V6" i="1"/>
  <c r="U6" i="1"/>
  <c r="L6" i="1"/>
  <c r="X6" i="1" s="1"/>
  <c r="AE6" i="1" s="1"/>
  <c r="F6" i="1"/>
  <c r="AA5" i="1"/>
  <c r="V5" i="1"/>
  <c r="U5" i="1"/>
  <c r="L5" i="1"/>
  <c r="X5" i="1" s="1"/>
  <c r="AE5" i="1" s="1"/>
  <c r="F5" i="1"/>
  <c r="AA4" i="1"/>
  <c r="V4" i="1"/>
  <c r="U4" i="1"/>
  <c r="L4" i="1"/>
  <c r="X4" i="1" s="1"/>
  <c r="AE4" i="1" s="1"/>
  <c r="F4" i="1"/>
  <c r="AA3" i="1"/>
  <c r="V3" i="1"/>
  <c r="U3" i="1"/>
  <c r="L3" i="1"/>
  <c r="X3" i="1" s="1"/>
  <c r="AA2" i="1"/>
  <c r="V2" i="1"/>
  <c r="U2" i="1"/>
  <c r="L2" i="1"/>
  <c r="X2" i="1" s="1"/>
  <c r="AE2" i="1" s="1"/>
  <c r="F2" i="1"/>
  <c r="W15" i="1" l="1"/>
  <c r="W19" i="1"/>
  <c r="W23" i="1"/>
  <c r="W39" i="1"/>
  <c r="W43" i="1"/>
  <c r="W47" i="1"/>
  <c r="W51" i="1"/>
  <c r="W55" i="1"/>
  <c r="W67" i="1"/>
  <c r="W71" i="1"/>
  <c r="W75" i="1"/>
  <c r="W4" i="1"/>
  <c r="W8" i="1"/>
  <c r="W20" i="1"/>
  <c r="W28" i="1"/>
  <c r="W36" i="1"/>
  <c r="W40" i="1"/>
  <c r="W52" i="1"/>
  <c r="W72" i="1"/>
  <c r="W76" i="1"/>
  <c r="W112" i="1"/>
  <c r="W116" i="1"/>
  <c r="W132" i="1"/>
  <c r="W140" i="1"/>
  <c r="W144" i="1"/>
  <c r="W152" i="1"/>
  <c r="W156" i="1"/>
  <c r="W160" i="1"/>
  <c r="W164" i="1"/>
  <c r="W172" i="1"/>
  <c r="W180" i="1"/>
  <c r="W192" i="1"/>
  <c r="W200" i="1"/>
  <c r="W195" i="1"/>
  <c r="W5" i="1"/>
  <c r="W53" i="1"/>
  <c r="W57" i="1"/>
  <c r="W65" i="1"/>
  <c r="W69" i="1"/>
  <c r="W81" i="1"/>
  <c r="W97" i="1"/>
  <c r="W101" i="1"/>
  <c r="W105" i="1"/>
  <c r="W117" i="1"/>
  <c r="W121" i="1"/>
  <c r="W125" i="1"/>
  <c r="W137" i="1"/>
  <c r="W141" i="1"/>
  <c r="W145" i="1"/>
  <c r="W149" i="1"/>
  <c r="W157" i="1"/>
  <c r="W173" i="1"/>
  <c r="W177" i="1"/>
  <c r="W181" i="1"/>
  <c r="W185" i="1"/>
  <c r="W193" i="1"/>
  <c r="W201" i="1"/>
  <c r="W6" i="1"/>
  <c r="W22" i="1"/>
  <c r="W2" i="1"/>
  <c r="AE111" i="1"/>
  <c r="W25" i="1"/>
  <c r="W26" i="1"/>
  <c r="W30" i="1"/>
  <c r="W34" i="1"/>
  <c r="W50" i="1"/>
  <c r="W62" i="1"/>
  <c r="W66" i="1"/>
  <c r="W70" i="1"/>
  <c r="W86" i="1"/>
  <c r="W98" i="1"/>
  <c r="W102" i="1"/>
  <c r="W106" i="1"/>
  <c r="W3" i="1"/>
  <c r="W114" i="1"/>
  <c r="W122" i="1"/>
  <c r="W130" i="1"/>
  <c r="W138" i="1"/>
  <c r="W142" i="1"/>
  <c r="W150" i="1"/>
  <c r="W154" i="1"/>
  <c r="W162" i="1"/>
  <c r="W166" i="1"/>
  <c r="W170" i="1"/>
  <c r="Y176" i="1"/>
  <c r="AE176" i="1"/>
  <c r="AE187" i="1"/>
  <c r="AE177" i="1"/>
  <c r="W96" i="1"/>
  <c r="Y36" i="1"/>
  <c r="W187" i="1"/>
  <c r="W9" i="1"/>
  <c r="W13" i="1"/>
  <c r="W115" i="1"/>
  <c r="W136" i="1"/>
  <c r="W29" i="1"/>
  <c r="W33" i="1"/>
  <c r="W60" i="1"/>
  <c r="W178" i="1"/>
  <c r="W182" i="1"/>
  <c r="W186" i="1"/>
  <c r="W31" i="1"/>
  <c r="W151" i="1"/>
  <c r="W159" i="1"/>
  <c r="W163" i="1"/>
  <c r="W171" i="1"/>
  <c r="W41" i="1"/>
  <c r="W45" i="1"/>
  <c r="W175" i="1"/>
  <c r="AE179" i="1"/>
  <c r="Y179" i="1"/>
  <c r="AE41" i="1"/>
  <c r="Y41" i="1"/>
  <c r="Y67" i="1"/>
  <c r="W139" i="1"/>
  <c r="W64" i="1"/>
  <c r="Y97" i="1"/>
  <c r="AE180" i="1"/>
  <c r="W199" i="1"/>
  <c r="W155" i="1"/>
  <c r="W35" i="1"/>
  <c r="W129" i="1"/>
  <c r="W44" i="1"/>
  <c r="AE14" i="1"/>
  <c r="W189" i="1"/>
  <c r="W48" i="1"/>
  <c r="W92" i="1"/>
  <c r="W84" i="1"/>
  <c r="Y95" i="1"/>
  <c r="Y126" i="1"/>
  <c r="W179" i="1"/>
  <c r="AE28" i="1"/>
  <c r="W18" i="1"/>
  <c r="AE48" i="1"/>
  <c r="AE77" i="1"/>
  <c r="Y153" i="1"/>
  <c r="W161" i="1"/>
  <c r="W190" i="1"/>
  <c r="W118" i="1"/>
  <c r="Y26" i="1"/>
  <c r="W12" i="1"/>
  <c r="W27" i="1"/>
  <c r="W56" i="1"/>
  <c r="W119" i="1"/>
  <c r="W165" i="1"/>
  <c r="W194" i="1"/>
  <c r="W196" i="1"/>
  <c r="AE91" i="1"/>
  <c r="W16" i="1"/>
  <c r="W183" i="1"/>
  <c r="W198" i="1"/>
  <c r="W58" i="1"/>
  <c r="W78" i="1"/>
  <c r="W82" i="1"/>
  <c r="W93" i="1"/>
  <c r="W127" i="1"/>
  <c r="W131" i="1"/>
  <c r="AE159" i="1"/>
  <c r="Y159" i="1"/>
  <c r="Y99" i="1"/>
  <c r="AE99" i="1"/>
  <c r="Y116" i="1"/>
  <c r="AE116" i="1"/>
  <c r="Y65" i="1"/>
  <c r="AE65" i="1"/>
  <c r="Y185" i="1"/>
  <c r="AE185" i="1"/>
  <c r="Y105" i="1"/>
  <c r="AE105" i="1"/>
  <c r="AE139" i="1"/>
  <c r="Y139" i="1"/>
  <c r="Y50" i="1"/>
  <c r="AE50" i="1"/>
  <c r="AE89" i="1"/>
  <c r="Y89" i="1"/>
  <c r="AE119" i="1"/>
  <c r="Y119" i="1"/>
  <c r="Y165" i="1"/>
  <c r="AE165" i="1"/>
  <c r="Y39" i="1"/>
  <c r="AE39" i="1"/>
  <c r="Y102" i="1"/>
  <c r="AE102" i="1"/>
  <c r="Y101" i="1"/>
  <c r="AE101" i="1"/>
  <c r="Y79" i="1"/>
  <c r="AE79" i="1"/>
  <c r="AE125" i="1"/>
  <c r="Y125" i="1"/>
  <c r="Y154" i="1"/>
  <c r="AE154" i="1"/>
  <c r="W32" i="1"/>
  <c r="W107" i="1"/>
  <c r="W120" i="1"/>
  <c r="Y143" i="1"/>
  <c r="AE11" i="1"/>
  <c r="AE25" i="1"/>
  <c r="W88" i="1"/>
  <c r="Y130" i="1"/>
  <c r="Y157" i="1"/>
  <c r="Y196" i="1"/>
  <c r="Y199" i="1"/>
  <c r="W68" i="1"/>
  <c r="W104" i="1"/>
  <c r="Y137" i="1"/>
  <c r="W42" i="1"/>
  <c r="W49" i="1"/>
  <c r="Y68" i="1"/>
  <c r="W85" i="1"/>
  <c r="W124" i="1"/>
  <c r="W134" i="1"/>
  <c r="W167" i="1"/>
  <c r="Y46" i="1"/>
  <c r="W79" i="1"/>
  <c r="AE197" i="1"/>
  <c r="AE37" i="1"/>
  <c r="W109" i="1"/>
  <c r="AE128" i="1"/>
  <c r="Y168" i="1"/>
  <c r="W188" i="1"/>
  <c r="W148" i="1"/>
  <c r="AE141" i="1"/>
  <c r="W135" i="1"/>
  <c r="AE161" i="1"/>
  <c r="Y112" i="1"/>
  <c r="W10" i="1"/>
  <c r="W17" i="1"/>
  <c r="W24" i="1"/>
  <c r="Y57" i="1"/>
  <c r="W73" i="1"/>
  <c r="W83" i="1"/>
  <c r="W90" i="1"/>
  <c r="AE152" i="1"/>
  <c r="AE167" i="1"/>
  <c r="W99" i="1"/>
  <c r="W158" i="1"/>
  <c r="Y184" i="1"/>
  <c r="W168" i="1"/>
  <c r="W46" i="1"/>
  <c r="Y62" i="1"/>
  <c r="AE124" i="1"/>
  <c r="Y82" i="1"/>
  <c r="W128" i="1"/>
  <c r="AE148" i="1"/>
  <c r="AE9" i="1"/>
  <c r="W37" i="1"/>
  <c r="W38" i="1"/>
  <c r="W80" i="1"/>
  <c r="W113" i="1"/>
  <c r="W89" i="1"/>
  <c r="Y59" i="1"/>
  <c r="Y121" i="1"/>
  <c r="W14" i="1"/>
  <c r="W77" i="1"/>
  <c r="W110" i="1"/>
  <c r="W146" i="1"/>
  <c r="W153" i="1"/>
  <c r="W169" i="1"/>
  <c r="Y75" i="1"/>
  <c r="W184" i="1"/>
  <c r="W108" i="1"/>
  <c r="AE191" i="1"/>
  <c r="W21" i="1"/>
  <c r="W126" i="1"/>
  <c r="W59" i="1"/>
  <c r="W11" i="1"/>
  <c r="W61" i="1"/>
  <c r="W74" i="1"/>
  <c r="W91" i="1"/>
  <c r="W94" i="1"/>
  <c r="W123" i="1"/>
  <c r="W133" i="1"/>
  <c r="W143" i="1"/>
  <c r="Y78" i="1"/>
  <c r="AE78" i="1"/>
  <c r="AE43" i="1"/>
  <c r="Y43" i="1"/>
  <c r="AE86" i="1"/>
  <c r="Y86" i="1"/>
  <c r="Y34" i="1"/>
  <c r="AE34" i="1"/>
  <c r="Y80" i="1"/>
  <c r="AE80" i="1"/>
  <c r="Y20" i="1"/>
  <c r="AE20" i="1"/>
  <c r="Y74" i="1"/>
  <c r="AE74" i="1"/>
  <c r="Y22" i="1"/>
  <c r="AE22" i="1"/>
  <c r="AE96" i="1"/>
  <c r="Y96" i="1"/>
  <c r="Y114" i="1"/>
  <c r="AE114" i="1"/>
  <c r="AE53" i="1"/>
  <c r="Y53" i="1"/>
  <c r="AE73" i="1"/>
  <c r="Y73" i="1"/>
  <c r="Y64" i="1"/>
  <c r="AE88" i="1"/>
  <c r="Y88" i="1"/>
  <c r="Y94" i="1"/>
  <c r="AE94" i="1"/>
  <c r="AE115" i="1"/>
  <c r="Y115" i="1"/>
  <c r="AE142" i="1"/>
  <c r="Y142" i="1"/>
  <c r="AE12" i="1"/>
  <c r="Y12" i="1"/>
  <c r="AE42" i="1"/>
  <c r="Y42" i="1"/>
  <c r="Y56" i="1"/>
  <c r="AE56" i="1"/>
  <c r="AE129" i="1"/>
  <c r="Y129" i="1"/>
  <c r="Y51" i="1"/>
  <c r="AE51" i="1"/>
  <c r="AE133" i="1"/>
  <c r="Y133" i="1"/>
  <c r="AE155" i="1"/>
  <c r="Y155" i="1"/>
  <c r="AE7" i="1"/>
  <c r="Y7" i="1"/>
  <c r="AE29" i="1"/>
  <c r="Y29" i="1"/>
  <c r="AE146" i="1"/>
  <c r="Y146" i="1"/>
  <c r="AE173" i="1"/>
  <c r="Y173" i="1"/>
  <c r="AE106" i="1"/>
  <c r="Y106" i="1"/>
  <c r="AE183" i="1"/>
  <c r="Y183" i="1"/>
  <c r="AE186" i="1"/>
  <c r="Y186" i="1"/>
  <c r="AE83" i="1"/>
  <c r="Y83" i="1"/>
  <c r="AE98" i="1"/>
  <c r="Y98" i="1"/>
  <c r="Y134" i="1"/>
  <c r="AE134" i="1"/>
  <c r="AE49" i="1"/>
  <c r="Y49" i="1"/>
  <c r="Y113" i="1"/>
  <c r="AE113" i="1"/>
  <c r="Y140" i="1"/>
  <c r="AE140" i="1"/>
  <c r="Y189" i="1"/>
  <c r="AE24" i="1"/>
  <c r="Y24" i="1"/>
  <c r="Y38" i="1"/>
  <c r="AE38" i="1"/>
  <c r="Y131" i="1"/>
  <c r="AE131" i="1"/>
  <c r="AE172" i="1"/>
  <c r="Y172" i="1"/>
  <c r="Y58" i="1"/>
  <c r="AE58" i="1"/>
  <c r="AE47" i="1"/>
  <c r="Y47" i="1"/>
  <c r="AE54" i="1"/>
  <c r="AE63" i="1"/>
  <c r="Y63" i="1"/>
  <c r="Y104" i="1"/>
  <c r="AE104" i="1"/>
  <c r="AE110" i="1"/>
  <c r="Y110" i="1"/>
  <c r="AE147" i="1"/>
  <c r="Y147" i="1"/>
  <c r="Y174" i="1"/>
  <c r="AE174" i="1"/>
  <c r="AE198" i="1"/>
  <c r="Y198" i="1"/>
  <c r="AE15" i="1"/>
  <c r="Y15" i="1"/>
  <c r="Y118" i="1"/>
  <c r="Y4" i="1"/>
  <c r="Y13" i="1"/>
  <c r="Y16" i="1"/>
  <c r="AE18" i="1"/>
  <c r="AE21" i="1"/>
  <c r="Y32" i="1"/>
  <c r="AE122" i="1"/>
  <c r="Y122" i="1"/>
  <c r="AE166" i="1"/>
  <c r="Y166" i="1"/>
  <c r="AE169" i="1"/>
  <c r="Y169" i="1"/>
  <c r="Y6" i="1"/>
  <c r="Y100" i="1"/>
  <c r="AE100" i="1"/>
  <c r="Y27" i="1"/>
  <c r="Y60" i="1"/>
  <c r="AE60" i="1"/>
  <c r="AE66" i="1"/>
  <c r="Y66" i="1"/>
  <c r="AE193" i="1"/>
  <c r="Y193" i="1"/>
  <c r="AE103" i="1"/>
  <c r="Y103" i="1"/>
  <c r="AE81" i="1"/>
  <c r="Y81" i="1"/>
  <c r="AE90" i="1"/>
  <c r="Y90" i="1"/>
  <c r="AE144" i="1"/>
  <c r="Y144" i="1"/>
  <c r="AE181" i="1"/>
  <c r="Y181" i="1"/>
  <c r="Y72" i="1"/>
  <c r="AE72" i="1"/>
  <c r="AE108" i="1"/>
  <c r="Y108" i="1"/>
  <c r="Y3" i="1"/>
  <c r="Y135" i="1"/>
  <c r="Y23" i="1"/>
  <c r="Y45" i="1"/>
  <c r="Y10" i="1"/>
  <c r="AE10" i="1"/>
  <c r="AE8" i="1"/>
  <c r="Y8" i="1"/>
  <c r="Y30" i="1"/>
  <c r="Y44" i="1"/>
  <c r="AE44" i="1"/>
  <c r="Y52" i="1"/>
  <c r="Y123" i="1"/>
  <c r="AE123" i="1"/>
  <c r="Y120" i="1"/>
  <c r="AE120" i="1"/>
  <c r="AE76" i="1"/>
  <c r="Y76" i="1"/>
  <c r="AE149" i="1"/>
  <c r="Y149" i="1"/>
  <c r="Y164" i="1"/>
  <c r="AE164" i="1"/>
  <c r="AE127" i="1"/>
  <c r="Y127" i="1"/>
  <c r="AE150" i="1"/>
  <c r="Y84" i="1"/>
  <c r="W100" i="1"/>
  <c r="AE117" i="1"/>
  <c r="Y117" i="1"/>
  <c r="W147" i="1"/>
  <c r="Y162" i="1"/>
  <c r="AE70" i="1"/>
  <c r="Y55" i="1"/>
  <c r="AE109" i="1"/>
  <c r="Y109" i="1"/>
  <c r="AE170" i="1"/>
  <c r="W63" i="1"/>
  <c r="AE194" i="1"/>
  <c r="Y31" i="1"/>
  <c r="Y61" i="1"/>
  <c r="Y171" i="1"/>
  <c r="AE171" i="1"/>
  <c r="Y188" i="1"/>
  <c r="AE192" i="1"/>
  <c r="AE190" i="1"/>
  <c r="Y190" i="1"/>
  <c r="Y5" i="1"/>
  <c r="W7" i="1"/>
  <c r="Y19" i="1"/>
  <c r="AE136" i="1"/>
  <c r="AE138" i="1"/>
  <c r="Y145" i="1"/>
  <c r="AE158" i="1"/>
  <c r="AE160" i="1"/>
  <c r="Y201" i="1"/>
  <c r="AE201" i="1"/>
  <c r="Y93" i="1"/>
  <c r="Y182" i="1"/>
  <c r="Y151" i="1"/>
  <c r="AE151" i="1"/>
  <c r="AE92" i="1"/>
  <c r="B5" i="3"/>
  <c r="B4" i="3"/>
  <c r="B3" i="3"/>
  <c r="B8" i="4"/>
  <c r="B3" i="4"/>
  <c r="B11" i="3"/>
  <c r="B10" i="3"/>
  <c r="Y35" i="1"/>
  <c r="Y69" i="1"/>
  <c r="AE156" i="1"/>
  <c r="Y156" i="1"/>
  <c r="Y2" i="1"/>
  <c r="Y132" i="1"/>
  <c r="W176" i="1"/>
  <c r="AE178" i="1"/>
  <c r="Y178" i="1"/>
  <c r="AE40" i="1"/>
  <c r="AE107" i="1"/>
  <c r="Y163" i="1"/>
  <c r="Y195" i="1"/>
  <c r="AE175" i="1"/>
  <c r="Y175" i="1"/>
  <c r="AE17" i="1"/>
  <c r="AE33" i="1"/>
  <c r="W54" i="1"/>
  <c r="AE71" i="1"/>
  <c r="AE85" i="1"/>
  <c r="AE87" i="1"/>
  <c r="W174" i="1"/>
  <c r="W197" i="1"/>
  <c r="AE200" i="1"/>
  <c r="B7" i="3" l="1"/>
  <c r="B6" i="3"/>
  <c r="C3" i="1"/>
  <c r="B8" i="3"/>
  <c r="Z80" i="1" s="1"/>
  <c r="B2" i="5"/>
  <c r="B4" i="5" s="1"/>
  <c r="B11" i="4"/>
  <c r="B7" i="4"/>
  <c r="B5" i="4"/>
  <c r="Z115" i="1" l="1"/>
  <c r="Z106" i="1"/>
  <c r="Z181" i="1"/>
  <c r="Z114" i="1"/>
  <c r="Z190" i="1"/>
  <c r="Z120" i="1"/>
  <c r="Z156" i="1"/>
  <c r="Z47" i="1"/>
  <c r="Z103" i="1"/>
  <c r="Z201" i="1"/>
  <c r="Z74" i="1"/>
  <c r="Z100" i="1"/>
  <c r="Z166" i="1"/>
  <c r="Z34" i="1"/>
  <c r="Z78" i="1"/>
  <c r="Z96" i="1"/>
  <c r="Z138" i="1"/>
  <c r="Z88" i="1"/>
  <c r="Z174" i="1"/>
  <c r="Z160" i="1"/>
  <c r="Z43" i="1"/>
  <c r="Z20" i="1"/>
  <c r="Z49" i="1"/>
  <c r="Z56" i="1"/>
  <c r="Z60" i="1"/>
  <c r="Z186" i="1"/>
  <c r="Z38" i="1"/>
  <c r="Z151" i="1"/>
  <c r="Z33" i="1"/>
  <c r="Z198" i="1"/>
  <c r="Z107" i="1"/>
  <c r="Z63" i="1"/>
  <c r="Z131" i="1"/>
  <c r="Z83" i="1"/>
  <c r="Z129" i="1"/>
  <c r="Z86" i="1"/>
  <c r="Z133" i="1"/>
  <c r="Z58" i="1"/>
  <c r="Z108" i="1"/>
  <c r="Z183" i="1"/>
  <c r="Z104" i="1"/>
  <c r="Z140" i="1"/>
  <c r="Z70" i="1"/>
  <c r="Z53" i="1"/>
  <c r="Z146" i="1"/>
  <c r="Z172" i="1"/>
  <c r="Z164" i="1"/>
  <c r="Z149" i="1"/>
  <c r="Z147" i="1"/>
  <c r="Z117" i="1"/>
  <c r="Z44" i="1"/>
  <c r="Z122" i="1"/>
  <c r="Z194" i="1"/>
  <c r="Z29" i="1"/>
  <c r="Z134" i="1"/>
  <c r="Z10" i="1"/>
  <c r="Z73" i="1"/>
  <c r="Z76" i="1"/>
  <c r="Z158" i="1"/>
  <c r="Z85" i="1"/>
  <c r="Z90" i="1"/>
  <c r="Z110" i="1"/>
  <c r="Z22" i="1"/>
  <c r="Z173" i="1"/>
  <c r="Z7" i="1"/>
  <c r="Z92" i="1"/>
  <c r="Z17" i="1"/>
  <c r="Z54" i="1"/>
  <c r="Z12" i="1"/>
  <c r="Z66" i="1"/>
  <c r="Z15" i="1"/>
  <c r="F3" i="1"/>
  <c r="G3" i="1" s="1"/>
  <c r="AE3" i="1"/>
  <c r="Z175" i="1"/>
  <c r="Z200" i="1"/>
  <c r="Z127" i="1"/>
  <c r="Z123" i="1"/>
  <c r="Z171" i="1"/>
  <c r="Z150" i="1"/>
  <c r="Z40" i="1"/>
  <c r="Z170" i="1"/>
  <c r="Z94" i="1"/>
  <c r="Z18" i="1"/>
  <c r="G193" i="1"/>
  <c r="G173" i="1"/>
  <c r="G153" i="1"/>
  <c r="G133" i="1"/>
  <c r="G113" i="1"/>
  <c r="G93" i="1"/>
  <c r="G73" i="1"/>
  <c r="G53" i="1"/>
  <c r="G19" i="1"/>
  <c r="B10" i="4"/>
  <c r="G179" i="1"/>
  <c r="G79" i="1"/>
  <c r="G194" i="1"/>
  <c r="G172" i="1"/>
  <c r="G150" i="1"/>
  <c r="G177" i="1"/>
  <c r="G165" i="1"/>
  <c r="G155" i="1"/>
  <c r="G148" i="1"/>
  <c r="G199" i="1"/>
  <c r="G92" i="1"/>
  <c r="G124" i="1"/>
  <c r="G54" i="1"/>
  <c r="G25" i="1"/>
  <c r="G23" i="1"/>
  <c r="G9" i="1"/>
  <c r="G7" i="1"/>
  <c r="G33" i="1"/>
  <c r="G114" i="1"/>
  <c r="G110" i="1"/>
  <c r="G64" i="1"/>
  <c r="G32" i="1"/>
  <c r="G174" i="1"/>
  <c r="G126" i="1"/>
  <c r="G118" i="1"/>
  <c r="G189" i="1"/>
  <c r="G161" i="1"/>
  <c r="G159" i="1"/>
  <c r="G139" i="1"/>
  <c r="G137" i="1"/>
  <c r="G52" i="1"/>
  <c r="G30" i="1"/>
  <c r="G16" i="1"/>
  <c r="G190" i="1"/>
  <c r="G195" i="1"/>
  <c r="G152" i="1"/>
  <c r="G77" i="1"/>
  <c r="G39" i="1"/>
  <c r="G28" i="1"/>
  <c r="G105" i="1"/>
  <c r="G85" i="1"/>
  <c r="G83" i="1"/>
  <c r="G75" i="1"/>
  <c r="G50" i="1"/>
  <c r="G188" i="1"/>
  <c r="G121" i="1"/>
  <c r="G99" i="1"/>
  <c r="G14" i="1"/>
  <c r="G184" i="1"/>
  <c r="G167" i="1"/>
  <c r="G134" i="1"/>
  <c r="G132" i="1"/>
  <c r="G130" i="1"/>
  <c r="G95" i="1"/>
  <c r="G117" i="1"/>
  <c r="G119" i="1"/>
  <c r="G24" i="1"/>
  <c r="G192" i="1"/>
  <c r="G166" i="1"/>
  <c r="G108" i="1"/>
  <c r="G164" i="1"/>
  <c r="G70" i="1"/>
  <c r="G200" i="1"/>
  <c r="G17" i="1"/>
  <c r="G90" i="1"/>
  <c r="G55" i="1"/>
  <c r="G170" i="1"/>
  <c r="G72" i="1"/>
  <c r="G66" i="1"/>
  <c r="G8" i="1"/>
  <c r="G168" i="1"/>
  <c r="G38" i="1"/>
  <c r="G98" i="1"/>
  <c r="G86" i="1"/>
  <c r="G183" i="1"/>
  <c r="G74" i="1"/>
  <c r="G146" i="1"/>
  <c r="G100" i="1"/>
  <c r="G59" i="1"/>
  <c r="G115" i="1"/>
  <c r="G94" i="1"/>
  <c r="G88" i="1"/>
  <c r="G185" i="1"/>
  <c r="G91" i="1"/>
  <c r="G5" i="1"/>
  <c r="G22" i="1"/>
  <c r="G123" i="1"/>
  <c r="G163" i="1"/>
  <c r="G198" i="1"/>
  <c r="G101" i="1"/>
  <c r="G187" i="1"/>
  <c r="G103" i="1"/>
  <c r="G131" i="1"/>
  <c r="G181" i="1"/>
  <c r="G6" i="1"/>
  <c r="G61" i="1"/>
  <c r="G112" i="1"/>
  <c r="G151" i="1"/>
  <c r="G13" i="1"/>
  <c r="G80" i="1"/>
  <c r="G63" i="1"/>
  <c r="G178" i="1"/>
  <c r="G176" i="1"/>
  <c r="G116" i="1"/>
  <c r="G182" i="1"/>
  <c r="G196" i="1"/>
  <c r="G2" i="1"/>
  <c r="G87" i="1"/>
  <c r="G62" i="1"/>
  <c r="G140" i="1"/>
  <c r="G162" i="1"/>
  <c r="G135" i="1"/>
  <c r="G109" i="1"/>
  <c r="G40" i="1"/>
  <c r="G29" i="1"/>
  <c r="G31" i="1"/>
  <c r="G21" i="1"/>
  <c r="G11" i="1"/>
  <c r="G4" i="1"/>
  <c r="G12" i="1"/>
  <c r="G201" i="1"/>
  <c r="G136" i="1"/>
  <c r="G149" i="1"/>
  <c r="G197" i="1"/>
  <c r="G41" i="1"/>
  <c r="G49" i="1"/>
  <c r="G104" i="1"/>
  <c r="G58" i="1"/>
  <c r="G111" i="1"/>
  <c r="G127" i="1"/>
  <c r="G42" i="1"/>
  <c r="G102" i="1"/>
  <c r="G96" i="1"/>
  <c r="G35" i="1"/>
  <c r="G138" i="1"/>
  <c r="G20" i="1"/>
  <c r="G45" i="1"/>
  <c r="G186" i="1"/>
  <c r="G156" i="1"/>
  <c r="G43" i="1"/>
  <c r="G36" i="1"/>
  <c r="G15" i="1"/>
  <c r="G18" i="1"/>
  <c r="G69" i="1"/>
  <c r="G125" i="1"/>
  <c r="G144" i="1"/>
  <c r="G157" i="1"/>
  <c r="G147" i="1"/>
  <c r="G78" i="1"/>
  <c r="G175" i="1"/>
  <c r="G171" i="1"/>
  <c r="G160" i="1"/>
  <c r="G27" i="1"/>
  <c r="G180" i="1"/>
  <c r="G56" i="1"/>
  <c r="G76" i="1"/>
  <c r="G26" i="1"/>
  <c r="G158" i="1"/>
  <c r="G107" i="1"/>
  <c r="G122" i="1"/>
  <c r="G84" i="1"/>
  <c r="G81" i="1"/>
  <c r="G57" i="1"/>
  <c r="G10" i="1"/>
  <c r="G82" i="1"/>
  <c r="G34" i="1"/>
  <c r="G51" i="1"/>
  <c r="G169" i="1"/>
  <c r="G97" i="1"/>
  <c r="G47" i="1"/>
  <c r="G120" i="1"/>
  <c r="G142" i="1"/>
  <c r="G37" i="1"/>
  <c r="G65" i="1"/>
  <c r="G141" i="1"/>
  <c r="G44" i="1"/>
  <c r="G128" i="1"/>
  <c r="G71" i="1"/>
  <c r="G154" i="1"/>
  <c r="G46" i="1"/>
  <c r="G129" i="1"/>
  <c r="G48" i="1"/>
  <c r="G89" i="1"/>
  <c r="G67" i="1"/>
  <c r="G191" i="1"/>
  <c r="G145" i="1"/>
  <c r="G68" i="1"/>
  <c r="G60" i="1"/>
  <c r="G106" i="1"/>
  <c r="G143" i="1"/>
  <c r="Z71" i="1"/>
  <c r="Z169" i="1"/>
  <c r="Z193" i="1"/>
  <c r="Z142" i="1"/>
  <c r="Z8" i="1"/>
  <c r="Z87" i="1"/>
  <c r="Z109" i="1"/>
  <c r="Z192" i="1"/>
  <c r="Z42" i="1"/>
  <c r="Z178" i="1"/>
  <c r="Z113" i="1"/>
  <c r="AB200" i="1"/>
  <c r="AB180" i="1"/>
  <c r="AB160" i="1"/>
  <c r="AB140" i="1"/>
  <c r="AB120" i="1"/>
  <c r="AB100" i="1"/>
  <c r="AB80" i="1"/>
  <c r="AB60" i="1"/>
  <c r="AB183" i="1"/>
  <c r="AB163" i="1"/>
  <c r="AB143" i="1"/>
  <c r="AB123" i="1"/>
  <c r="AB103" i="1"/>
  <c r="AB83" i="1"/>
  <c r="AB63" i="1"/>
  <c r="AB43" i="1"/>
  <c r="AB189" i="1"/>
  <c r="AB169" i="1"/>
  <c r="AB149" i="1"/>
  <c r="AB129" i="1"/>
  <c r="AB109" i="1"/>
  <c r="AB89" i="1"/>
  <c r="AB69" i="1"/>
  <c r="AB49" i="1"/>
  <c r="AB29" i="1"/>
  <c r="AB9" i="1"/>
  <c r="AB175" i="1"/>
  <c r="AB146" i="1"/>
  <c r="AB141" i="1"/>
  <c r="AB119" i="1"/>
  <c r="AB102" i="1"/>
  <c r="AB75" i="1"/>
  <c r="AB46" i="1"/>
  <c r="AB41" i="1"/>
  <c r="AB20" i="1"/>
  <c r="AB185" i="1"/>
  <c r="AB158" i="1"/>
  <c r="AB136" i="1"/>
  <c r="AB124" i="1"/>
  <c r="AB114" i="1"/>
  <c r="AB107" i="1"/>
  <c r="AB85" i="1"/>
  <c r="AB58" i="1"/>
  <c r="AB173" i="1"/>
  <c r="AB151" i="1"/>
  <c r="AB197" i="1"/>
  <c r="AB195" i="1"/>
  <c r="AB166" i="1"/>
  <c r="AB161" i="1"/>
  <c r="AB139" i="1"/>
  <c r="AB122" i="1"/>
  <c r="AB95" i="1"/>
  <c r="AB66" i="1"/>
  <c r="AB61" i="1"/>
  <c r="AB178" i="1"/>
  <c r="AB156" i="1"/>
  <c r="AB144" i="1"/>
  <c r="AB188" i="1"/>
  <c r="AB132" i="1"/>
  <c r="AB117" i="1"/>
  <c r="AB110" i="1"/>
  <c r="AB88" i="1"/>
  <c r="AB186" i="1"/>
  <c r="AB181" i="1"/>
  <c r="AB159" i="1"/>
  <c r="AB142" i="1"/>
  <c r="AB115" i="1"/>
  <c r="AB86" i="1"/>
  <c r="AB81" i="1"/>
  <c r="AB59" i="1"/>
  <c r="AB42" i="1"/>
  <c r="AB2" i="1"/>
  <c r="AB196" i="1"/>
  <c r="AB172" i="1"/>
  <c r="AB157" i="1"/>
  <c r="AB150" i="1"/>
  <c r="AB128" i="1"/>
  <c r="AB167" i="1"/>
  <c r="AB154" i="1"/>
  <c r="AB105" i="1"/>
  <c r="AB99" i="1"/>
  <c r="AB79" i="1"/>
  <c r="Z75" i="1"/>
  <c r="AB73" i="1"/>
  <c r="AB21" i="1"/>
  <c r="AB14" i="1"/>
  <c r="AB7" i="1"/>
  <c r="AB71" i="1"/>
  <c r="AB37" i="1"/>
  <c r="AB35" i="1"/>
  <c r="AB26" i="1"/>
  <c r="AB24" i="1"/>
  <c r="AB17" i="1"/>
  <c r="AB179" i="1"/>
  <c r="Z102" i="1"/>
  <c r="AB98" i="1"/>
  <c r="AB68" i="1"/>
  <c r="AB171" i="1"/>
  <c r="AB165" i="1"/>
  <c r="AB130" i="1"/>
  <c r="AB121" i="1"/>
  <c r="AB101" i="1"/>
  <c r="AB97" i="1"/>
  <c r="AB77" i="1"/>
  <c r="AB48" i="1"/>
  <c r="Z99" i="1"/>
  <c r="AB10" i="1"/>
  <c r="AB8" i="1"/>
  <c r="AB170" i="1"/>
  <c r="AB90" i="1"/>
  <c r="AB182" i="1"/>
  <c r="AB93" i="1"/>
  <c r="AB87" i="1"/>
  <c r="AB67" i="1"/>
  <c r="AB108" i="1"/>
  <c r="AB199" i="1"/>
  <c r="AB184" i="1"/>
  <c r="AB145" i="1"/>
  <c r="AB134" i="1"/>
  <c r="Z119" i="1"/>
  <c r="AB65" i="1"/>
  <c r="AB44" i="1"/>
  <c r="AB19" i="1"/>
  <c r="AB5" i="1"/>
  <c r="AB96" i="1"/>
  <c r="AB147" i="1"/>
  <c r="AB111" i="1"/>
  <c r="AB91" i="1"/>
  <c r="AB33" i="1"/>
  <c r="AB31" i="1"/>
  <c r="AB12" i="1"/>
  <c r="AB74" i="1"/>
  <c r="AB133" i="1"/>
  <c r="AB201" i="1"/>
  <c r="AB113" i="1"/>
  <c r="Z65" i="1"/>
  <c r="AB3" i="1"/>
  <c r="AB84" i="1"/>
  <c r="AB125" i="1"/>
  <c r="Z111" i="1"/>
  <c r="AB55" i="1"/>
  <c r="AB53" i="1"/>
  <c r="AB15" i="1"/>
  <c r="AB190" i="1"/>
  <c r="AB127" i="1"/>
  <c r="AB57" i="1"/>
  <c r="AB51" i="1"/>
  <c r="AB40" i="1"/>
  <c r="AB131" i="1"/>
  <c r="AB192" i="1"/>
  <c r="AB162" i="1"/>
  <c r="AB138" i="1"/>
  <c r="AB6" i="1"/>
  <c r="AB198" i="1"/>
  <c r="AB76" i="1"/>
  <c r="AB72" i="1"/>
  <c r="AB47" i="1"/>
  <c r="AB22" i="1"/>
  <c r="AB38" i="1"/>
  <c r="AB36" i="1"/>
  <c r="AB27" i="1"/>
  <c r="AB155" i="1"/>
  <c r="AB104" i="1"/>
  <c r="AB70" i="1"/>
  <c r="AB45" i="1"/>
  <c r="AB13" i="1"/>
  <c r="AB194" i="1"/>
  <c r="AB177" i="1"/>
  <c r="AB168" i="1"/>
  <c r="AB164" i="1"/>
  <c r="AB153" i="1"/>
  <c r="AB106" i="1"/>
  <c r="AB82" i="1"/>
  <c r="AB78" i="1"/>
  <c r="AB135" i="1"/>
  <c r="AB118" i="1"/>
  <c r="AB112" i="1"/>
  <c r="AB34" i="1"/>
  <c r="AB25" i="1"/>
  <c r="AB187" i="1"/>
  <c r="AB116" i="1"/>
  <c r="Z187" i="1"/>
  <c r="AB126" i="1"/>
  <c r="Z11" i="1"/>
  <c r="AB32" i="1"/>
  <c r="AB16" i="1"/>
  <c r="AB56" i="1"/>
  <c r="Z41" i="1"/>
  <c r="Z25" i="1"/>
  <c r="Z176" i="1"/>
  <c r="AB11" i="1"/>
  <c r="AB174" i="1"/>
  <c r="AB94" i="1"/>
  <c r="AB137" i="1"/>
  <c r="AB4" i="1"/>
  <c r="AB92" i="1"/>
  <c r="AB18" i="1"/>
  <c r="AB54" i="1"/>
  <c r="AB152" i="1"/>
  <c r="AB62" i="1"/>
  <c r="AB52" i="1"/>
  <c r="AB193" i="1"/>
  <c r="AB30" i="1"/>
  <c r="AB64" i="1"/>
  <c r="AB176" i="1"/>
  <c r="AB23" i="1"/>
  <c r="AB191" i="1"/>
  <c r="AB39" i="1"/>
  <c r="Z126" i="1"/>
  <c r="AB50" i="1"/>
  <c r="AB28" i="1"/>
  <c r="AB148" i="1"/>
  <c r="Z135" i="1"/>
  <c r="Z68" i="1"/>
  <c r="Z154" i="1"/>
  <c r="Z196" i="1"/>
  <c r="Z69" i="1"/>
  <c r="Z163" i="1"/>
  <c r="Z132" i="1"/>
  <c r="Z199" i="1"/>
  <c r="Z137" i="1"/>
  <c r="Z189" i="1"/>
  <c r="Z55" i="1"/>
  <c r="Z180" i="1"/>
  <c r="Z179" i="1"/>
  <c r="Z37" i="1"/>
  <c r="Z188" i="1"/>
  <c r="Z23" i="1"/>
  <c r="Z19" i="1"/>
  <c r="Z128" i="1"/>
  <c r="Z57" i="1"/>
  <c r="Z101" i="1"/>
  <c r="Z195" i="1"/>
  <c r="Z30" i="1"/>
  <c r="Z112" i="1"/>
  <c r="Z97" i="1"/>
  <c r="Z93" i="1"/>
  <c r="Z32" i="1"/>
  <c r="Z159" i="1"/>
  <c r="Z28" i="1"/>
  <c r="Z35" i="1"/>
  <c r="Z185" i="1"/>
  <c r="Z182" i="1"/>
  <c r="Z197" i="1"/>
  <c r="Z145" i="1"/>
  <c r="Z116" i="1"/>
  <c r="Z191" i="1"/>
  <c r="Z77" i="1"/>
  <c r="Z31" i="1"/>
  <c r="Z4" i="1"/>
  <c r="Z141" i="1"/>
  <c r="Z139" i="1"/>
  <c r="Z105" i="1"/>
  <c r="Z64" i="1"/>
  <c r="Z14" i="1"/>
  <c r="Z13" i="1"/>
  <c r="Z91" i="1"/>
  <c r="Z153" i="1"/>
  <c r="Z177" i="1"/>
  <c r="Z67" i="1"/>
  <c r="Z9" i="1"/>
  <c r="Z124" i="1"/>
  <c r="Z157" i="1"/>
  <c r="Z48" i="1"/>
  <c r="Z143" i="1"/>
  <c r="Z165" i="1"/>
  <c r="Z148" i="1"/>
  <c r="Z26" i="1"/>
  <c r="Z118" i="1"/>
  <c r="Z84" i="1"/>
  <c r="Z50" i="1"/>
  <c r="Z59" i="1"/>
  <c r="Z89" i="1"/>
  <c r="Z168" i="1"/>
  <c r="Z130" i="1"/>
  <c r="Z162" i="1"/>
  <c r="Z46" i="1"/>
  <c r="Z16" i="1"/>
  <c r="Z62" i="1"/>
  <c r="Z152" i="1"/>
  <c r="Z45" i="1"/>
  <c r="Z79" i="1"/>
  <c r="Z125" i="1"/>
  <c r="Z2" i="1"/>
  <c r="Z121" i="1"/>
  <c r="Z6" i="1"/>
  <c r="Z95" i="1"/>
  <c r="Z39" i="1"/>
  <c r="Z27" i="1"/>
  <c r="Z5" i="1"/>
  <c r="Z161" i="1"/>
  <c r="Z82" i="1"/>
  <c r="Z167" i="1"/>
  <c r="Z61" i="1"/>
  <c r="Z36" i="1"/>
  <c r="Z52" i="1"/>
  <c r="Z184" i="1"/>
  <c r="Z21" i="1"/>
  <c r="Z98" i="1"/>
  <c r="Z155" i="1"/>
  <c r="Z144" i="1"/>
  <c r="Z81" i="1"/>
  <c r="Z72" i="1"/>
  <c r="Z136" i="1"/>
  <c r="Z51" i="1"/>
  <c r="Z24" i="1"/>
  <c r="Z3" i="1" l="1"/>
  <c r="B14" i="3"/>
  <c r="B9" i="3"/>
  <c r="B13" i="3" s="1"/>
  <c r="B6" i="5" s="1"/>
  <c r="B7" i="5" s="1"/>
  <c r="AC29" i="1" l="1"/>
  <c r="AC5" i="1"/>
  <c r="AC120" i="1"/>
  <c r="AC199" i="1"/>
  <c r="AC118" i="1"/>
  <c r="AC64" i="1"/>
  <c r="AC134" i="1"/>
  <c r="AC10" i="1"/>
  <c r="AC111" i="1"/>
  <c r="AC157" i="1"/>
  <c r="AC104" i="1"/>
  <c r="AC105" i="1"/>
  <c r="AC23" i="1"/>
  <c r="AC51" i="1"/>
  <c r="AC194" i="1"/>
  <c r="AC163" i="1"/>
  <c r="AC59" i="1"/>
  <c r="AC125" i="1"/>
  <c r="AC173" i="1"/>
  <c r="AC123" i="1"/>
  <c r="AC60" i="1"/>
  <c r="AC133" i="1"/>
  <c r="AC27" i="1"/>
  <c r="AC117" i="1"/>
  <c r="AC32" i="1"/>
  <c r="AC95" i="1"/>
  <c r="AC116" i="1"/>
  <c r="AC126" i="1"/>
  <c r="AC70" i="1"/>
  <c r="AC20" i="1"/>
  <c r="AC56" i="1"/>
  <c r="AC72" i="1"/>
  <c r="AC167" i="1"/>
  <c r="AC21" i="1"/>
  <c r="AC146" i="1"/>
  <c r="AC154" i="1"/>
  <c r="AC52" i="1"/>
  <c r="AC7" i="1"/>
  <c r="AC63" i="1"/>
  <c r="AC13" i="1"/>
  <c r="AC119" i="1"/>
  <c r="AC162" i="1"/>
  <c r="AC54" i="1"/>
  <c r="AC166" i="1"/>
  <c r="AC132" i="1"/>
  <c r="AC130" i="1"/>
  <c r="AC36" i="1"/>
  <c r="AC180" i="1"/>
  <c r="AC92" i="1"/>
  <c r="AC145" i="1"/>
  <c r="AC124" i="1"/>
  <c r="AC87" i="1"/>
  <c r="AC6" i="1"/>
  <c r="AC114" i="1"/>
  <c r="AC115" i="1"/>
  <c r="AC187" i="1"/>
  <c r="AC73" i="1"/>
  <c r="AC89" i="1"/>
  <c r="AC49" i="1"/>
  <c r="AC139" i="1"/>
  <c r="AC75" i="1"/>
  <c r="AC48" i="1"/>
  <c r="AC178" i="1"/>
  <c r="AC34" i="1"/>
  <c r="AC160" i="1"/>
  <c r="AC85" i="1"/>
  <c r="AC38" i="1"/>
  <c r="AC96" i="1"/>
  <c r="AC2" i="1"/>
  <c r="AC71" i="1"/>
  <c r="AC113" i="1"/>
  <c r="AC8" i="1"/>
  <c r="AC197" i="1"/>
  <c r="AC31" i="1"/>
  <c r="AC93" i="1"/>
  <c r="AC61" i="1"/>
  <c r="AC76" i="1"/>
  <c r="AC189" i="1"/>
  <c r="AC127" i="1"/>
  <c r="AC44" i="1"/>
  <c r="AC108" i="1"/>
  <c r="AC170" i="1"/>
  <c r="AC91" i="1"/>
  <c r="AC74" i="1"/>
  <c r="AC172" i="1"/>
  <c r="AC135" i="1"/>
  <c r="AC158" i="1"/>
  <c r="AC9" i="1"/>
  <c r="AC53" i="1"/>
  <c r="AC181" i="1"/>
  <c r="AC176" i="1"/>
  <c r="AC174" i="1"/>
  <c r="AC179" i="1"/>
  <c r="AC4" i="1"/>
  <c r="AC144" i="1"/>
  <c r="AC147" i="1"/>
  <c r="AC155" i="1"/>
  <c r="AC16" i="1"/>
  <c r="AC129" i="1"/>
  <c r="AC90" i="1"/>
  <c r="AC57" i="1"/>
  <c r="AC141" i="1"/>
  <c r="AC136" i="1"/>
  <c r="AC152" i="1"/>
  <c r="AC67" i="1"/>
  <c r="AC171" i="1"/>
  <c r="AC128" i="1"/>
  <c r="AC200" i="1"/>
  <c r="AC193" i="1"/>
  <c r="AC79" i="1"/>
  <c r="AC24" i="1"/>
  <c r="AC11" i="1"/>
  <c r="AC161" i="1"/>
  <c r="AC30" i="1"/>
  <c r="AC201" i="1"/>
  <c r="AC84" i="1"/>
  <c r="AC68" i="1"/>
  <c r="AC109" i="1"/>
  <c r="AC69" i="1"/>
  <c r="AC86" i="1"/>
  <c r="AC186" i="1"/>
  <c r="AC183" i="1"/>
  <c r="AC81" i="1"/>
  <c r="AC198" i="1"/>
  <c r="AC62" i="1"/>
  <c r="AC184" i="1"/>
  <c r="AC107" i="1"/>
  <c r="AC140" i="1"/>
  <c r="AC191" i="1"/>
  <c r="AC83" i="1"/>
  <c r="AC41" i="1"/>
  <c r="AC192" i="1"/>
  <c r="AC40" i="1"/>
  <c r="AC164" i="1"/>
  <c r="AC43" i="1"/>
  <c r="AC3" i="1"/>
  <c r="AC110" i="1"/>
  <c r="AC77" i="1"/>
  <c r="AC46" i="1"/>
  <c r="AC137" i="1"/>
  <c r="AC185" i="1"/>
  <c r="AC47" i="1"/>
  <c r="AC99" i="1"/>
  <c r="AC159" i="1"/>
  <c r="AC88" i="1"/>
  <c r="AC101" i="1"/>
  <c r="AC50" i="1"/>
  <c r="AC177" i="1"/>
  <c r="AC82" i="1"/>
  <c r="AC142" i="1"/>
  <c r="AC153" i="1"/>
  <c r="AC156" i="1"/>
  <c r="AC121" i="1"/>
  <c r="AC45" i="1"/>
  <c r="AC143" i="1"/>
  <c r="AC103" i="1"/>
  <c r="AC12" i="1"/>
  <c r="AC102" i="1"/>
  <c r="AC122" i="1"/>
  <c r="AC66" i="1"/>
  <c r="AC22" i="1"/>
  <c r="AC149" i="1"/>
  <c r="AC106" i="1"/>
  <c r="AC188" i="1"/>
  <c r="AC42" i="1"/>
  <c r="AC196" i="1"/>
  <c r="AC25" i="1"/>
  <c r="AC150" i="1"/>
  <c r="AC18" i="1"/>
  <c r="AC65" i="1"/>
  <c r="AC100" i="1"/>
  <c r="AC97" i="1"/>
  <c r="AC35" i="1"/>
  <c r="AC151" i="1"/>
  <c r="AC168" i="1"/>
  <c r="AC148" i="1"/>
  <c r="AC182" i="1"/>
  <c r="AC138" i="1"/>
  <c r="AC39" i="1"/>
  <c r="AC15" i="1"/>
  <c r="AC33" i="1"/>
  <c r="AC190" i="1"/>
  <c r="AC37" i="1"/>
  <c r="AC78" i="1"/>
  <c r="AC131" i="1"/>
  <c r="AC80" i="1"/>
  <c r="AC28" i="1"/>
  <c r="AC112" i="1"/>
  <c r="AC175" i="1"/>
  <c r="AC195" i="1"/>
  <c r="AC165" i="1"/>
  <c r="AC94" i="1"/>
  <c r="AC19" i="1"/>
  <c r="AC26" i="1"/>
  <c r="AC17" i="1"/>
  <c r="AC58" i="1"/>
  <c r="AC98" i="1"/>
  <c r="AC169" i="1"/>
  <c r="AC55" i="1"/>
  <c r="AC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 shapeId="0" xr:uid="{00000000-0006-0000-0000-000005000000}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 shapeId="0" xr:uid="{00000000-0006-0000-0000-000007000000}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500-000001000000}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<sst xmlns="http://schemas.openxmlformats.org/spreadsheetml/2006/main" count="340" uniqueCount="252">
  <si>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</si>
  <si>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</si>
  <si>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</si>
  <si>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</si>
  <si>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</si>
  <si>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</si>
  <si>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</si>
  <si>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</si>
  <si>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</si>
  <si>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</si>
  <si>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</si>
  <si>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</si>
  <si>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</si>
  <si>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</si>
  <si>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</si>
  <si>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</si>
  <si>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</si>
  <si>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</si>
  <si>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</si>
  <si>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</si>
  <si>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</si>
  <si>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</si>
  <si>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</si>
  <si>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</si>
  <si>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</si>
  <si>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</si>
  <si>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</si>
  <si>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</si>
  <si>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</si>
  <si>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</si>
  <si>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</si>
  <si>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</si>
  <si>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</si>
  <si>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</si>
  <si>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</si>
  <si>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</si>
  <si>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</si>
  <si>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</si>
  <si>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</si>
  <si>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</si>
  <si>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</si>
  <si>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</si>
  <si>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</si>
  <si>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</si>
  <si>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</si>
  <si>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</si>
  <si>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</si>
  <si>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</si>
  <si>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</si>
  <si>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</si>
  <si>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</si>
  <si>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</si>
  <si>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</si>
  <si>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</si>
  <si>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</si>
  <si>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</si>
  <si>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</si>
  <si>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</si>
  <si>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</si>
  <si>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</si>
  <si>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</si>
  <si>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</si>
  <si>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</si>
  <si>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</si>
  <si>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</si>
  <si>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</si>
  <si>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</si>
  <si>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</si>
  <si>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</si>
  <si>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</si>
  <si>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</si>
  <si>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</si>
  <si>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</si>
  <si>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</si>
  <si>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</si>
  <si>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</si>
  <si>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</si>
  <si>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</si>
  <si>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</si>
  <si>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</si>
  <si>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</si>
  <si>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</si>
  <si>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</si>
  <si>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</si>
  <si>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</si>
  <si>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</si>
  <si>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</si>
  <si>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</si>
  <si>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</si>
  <si>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</si>
  <si>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</si>
  <si>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</si>
  <si>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</si>
  <si>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</si>
  <si>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</si>
  <si>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</si>
  <si>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</si>
  <si>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</si>
  <si>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</si>
  <si>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</si>
  <si>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</si>
  <si>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</si>
  <si>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</si>
  <si>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</si>
  <si>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</si>
  <si>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</si>
  <si>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</si>
  <si>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</si>
  <si>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</si>
  <si>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</si>
  <si>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</si>
  <si>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</si>
  <si>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</si>
  <si>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</si>
  <si>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</si>
  <si>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</si>
  <si>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</si>
  <si>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</si>
  <si>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</si>
  <si>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</si>
  <si>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</si>
  <si>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</si>
  <si>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</si>
  <si>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</si>
  <si>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</si>
  <si>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</si>
  <si>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</si>
  <si>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</si>
  <si>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</si>
  <si>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</si>
  <si>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</si>
  <si>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</si>
  <si>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</si>
  <si>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</si>
  <si>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</si>
  <si>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</si>
  <si>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</si>
  <si>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</si>
  <si>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</si>
  <si>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</si>
  <si>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</si>
  <si>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</si>
  <si>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</si>
  <si>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</si>
  <si>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</si>
  <si>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</si>
  <si>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</si>
  <si>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</si>
  <si>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</si>
  <si>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</si>
  <si>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</si>
  <si>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</si>
  <si>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</si>
  <si>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</si>
  <si>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</si>
  <si>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</si>
  <si>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</si>
  <si>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</si>
  <si>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</si>
  <si>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</si>
  <si>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</si>
  <si>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</si>
  <si>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</si>
  <si>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</si>
  <si>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</si>
  <si>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</si>
  <si>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</si>
  <si>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</si>
  <si>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</si>
  <si>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</si>
  <si>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</si>
  <si>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</si>
  <si>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</si>
  <si>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</si>
  <si>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</si>
  <si>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</si>
  <si>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</si>
  <si>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</si>
  <si>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</si>
  <si>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</si>
  <si>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</si>
  <si>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</si>
  <si>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</si>
  <si>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</si>
  <si>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</si>
  <si>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</si>
  <si>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</si>
  <si>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</si>
  <si>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</si>
  <si>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</si>
  <si>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</si>
  <si>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</si>
  <si>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</si>
  <si>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</si>
  <si>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</si>
  <si>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</si>
  <si>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</si>
  <si>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</si>
  <si>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</si>
  <si>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</si>
  <si>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</si>
  <si>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</si>
  <si>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</si>
  <si>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</si>
  <si>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</si>
  <si>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</si>
  <si>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</si>
  <si>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</si>
  <si>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</si>
  <si>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</si>
  <si>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</si>
  <si>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</si>
  <si>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</si>
  <si>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</si>
  <si>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</si>
  <si>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</si>
  <si>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</si>
  <si>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</si>
  <si>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</si>
  <si>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</si>
  <si>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</si>
  <si>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</si>
  <si>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</si>
  <si>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</si>
  <si>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</si>
  <si>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</si>
  <si>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</si>
  <si>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</si>
  <si>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</si>
  <si>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</si>
  <si>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</si>
  <si>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</si>
  <si>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</si>
  <si>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</si>
  <si>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</si>
  <si>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</si>
  <si>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</si>
  <si>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</si>
  <si>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</si>
  <si>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</si>
  <si>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</si>
  <si>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</si>
  <si>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</si>
  <si>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</si>
  <si>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</si>
  <si>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东方电缆</t>
    <phoneticPr fontId="4" type="noConversion"/>
  </si>
  <si>
    <t>相比之前的改动点：1</t>
    <phoneticPr fontId="6" type="noConversion"/>
  </si>
  <si>
    <t>止损放宽</t>
    <phoneticPr fontId="6" type="noConversion"/>
  </si>
  <si>
    <t>列2</t>
    <phoneticPr fontId="6" type="noConversion"/>
  </si>
  <si>
    <t>1.整体价格已经抬高，很小的交易量就可以造成大跌，这是有意而为知，价格再上升，成交量也在上升，红的交易量要超过绿的交易量，现在的买入属于埋伏买入偏中期</t>
    <phoneticPr fontId="6" type="noConversion"/>
  </si>
  <si>
    <t>5-优秀</t>
  </si>
  <si>
    <t>完全按照预期来操作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</si>
</sst>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sz val="10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0" borderId="0" xfId="0" applyFont="1"/>
  </cellXfs>
  <cellStyles count="1">
    <cellStyle name="常规" xfId="0" builtinId="0"/>
  </cellStyles>
  <dxfs count="13"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F201">
  <autoFilter ref="A1:AF201" xr:uid="{00000000-0009-0000-0100-000001000000}"/>
  <tableColumns count="32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实际买入股数"/>
    <tableColumn id="9" xr3:uid="{00000000-0010-0000-0000-000009000000}" name="买入日期"/>
    <tableColumn id="10" xr3:uid="{00000000-0010-0000-0000-00000A000000}" name="期望卖出价"/>
    <tableColumn id="11" xr3:uid="{00000000-0010-0000-0000-00000B000000}" name="实际卖出价"/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/>
    <tableColumn id="14" xr3:uid="{00000000-0010-0000-0000-00000E000000}" name="止损价"/>
    <tableColumn id="15" xr3:uid="{00000000-0010-0000-0000-00000F000000}" name="买入费用"/>
    <tableColumn id="16" xr3:uid="{00000000-0010-0000-0000-000010000000}" name="卖出费用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radeReasonLog" displayName="TradeReasonLog" ref="A1:K501">
  <autoFilter ref="A1:K501" xr:uid="{00000000-0009-0000-0100-000002000000}"/>
  <tableColumns count="11">
    <tableColumn id="1" xr3:uid="{00000000-0010-0000-0100-000001000000}" name="交易编号"/>
    <tableColumn id="2" xr3:uid="{00000000-0010-0000-0100-000002000000}" name="股票代码"/>
    <tableColumn id="3" xr3:uid="{00000000-0010-0000-0100-000003000000}" name="所属板块"/>
    <tableColumn id="4" xr3:uid="{00000000-0010-0000-0100-000004000000}" name="阶段"/>
    <tableColumn id="5" xr3:uid="{00000000-0010-0000-0100-000005000000}" name="记录日期"/>
    <tableColumn id="6" xr3:uid="{00000000-0010-0000-0100-000006000000}" name="技术指标1"/>
    <tableColumn id="7" xr3:uid="{00000000-0010-0000-0100-000007000000}" name="技术指标2"/>
    <tableColumn id="8" xr3:uid="{00000000-0010-0000-0100-000008000000}" name="技术指标3"/>
    <tableColumn id="9" xr3:uid="{00000000-0010-0000-0100-000009000000}" name="综述"/>
    <tableColumn id="10" xr3:uid="{00000000-0010-0000-0100-00000A000000}" name="列1"/>
    <tableColumn id="11" xr3:uid="{2CD3A2AC-EDC6-4B0F-B2F1-E78EA19A8A6B}" name="列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chnicalIndicatorCatalog" displayName="TechnicalIndicatorCatalog" ref="A1:C201">
  <autoFilter ref="A1:C201" xr:uid="{00000000-0009-0000-0100-000003000000}"/>
  <tableColumns count="3">
    <tableColumn id="1" xr3:uid="{00000000-0010-0000-0200-000001000000}" name="技术指标"/>
    <tableColumn id="2" xr3:uid="{00000000-0010-0000-0200-000002000000}" name="分类"/>
    <tableColumn id="3" xr3:uid="{00000000-0010-0000-02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1"/>
  <sheetViews>
    <sheetView tabSelected="1" topLeftCell="A73" zoomScale="115" zoomScaleNormal="115" workbookViewId="0">
      <pane xSplit="2" topLeftCell="C1" activePane="topRight" state="frozen"/>
      <selection pane="topRight" activeCell="E79" sqref="E79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spans="1:32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spans="1:32" x14ac:dyDescent="0.15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4.1666666666666664E-2</v>
      </c>
      <c r="V2" s="7">
        <f t="shared" ref="V2:V65" si="3">IF(OR(E2="",N2="",E2&lt;=0),"",(E2-N2)/E2)</f>
        <v>2.0833333333333332E-2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-4.2916666666666665E-2</v>
      </c>
      <c r="Z2" s="7">
        <f>IF(OR(AE2="",多次统计数据!$B$8=""),"",AE2-多次统计数据!$B$8)</f>
        <v>-9.9739822537376469E-2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4.210270769616864E-2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-4.1200000000000001E-2</v>
      </c>
    </row>
    <row r="3" spans="1:32" x14ac:dyDescent="0.15">
      <c r="A3" s="2">
        <v>2</v>
      </c>
      <c r="B3" s="2" t="s">
        <v>32</v>
      </c>
      <c r="C3" s="5">
        <f>IF(C2="","",C2+SUM(单次交易!Y2:Y201))</f>
        <v>100001.29812713747</v>
      </c>
      <c r="D3" s="6">
        <v>0.02</v>
      </c>
      <c r="E3" s="9">
        <v>33.130000000000003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8.6628433444008363E-2</v>
      </c>
      <c r="V3" s="7">
        <f t="shared" si="3"/>
        <v>1.9015997585270224E-2</v>
      </c>
      <c r="W3" s="13">
        <f t="shared" si="4"/>
        <v>4.5555555555555323</v>
      </c>
      <c r="X3" s="5">
        <f t="shared" si="5"/>
        <v>-3193.0000000000146</v>
      </c>
      <c r="Y3" s="7">
        <f t="shared" si="6"/>
        <v>-3.1089646845759267E-2</v>
      </c>
      <c r="Z3" s="7">
        <f>IF(OR(AE3="",多次统计数据!$B$8=""),"",AE3-多次统计数据!$B$8)</f>
        <v>-9.0469408050762173E-2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4.210270769616864E-2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-3.1929585513385712E-2</v>
      </c>
    </row>
    <row r="4" spans="1:32" x14ac:dyDescent="0.15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6.5340909090909088E-2</v>
      </c>
      <c r="V4" s="7">
        <f t="shared" si="3"/>
        <v>2.3437500000000003E-2</v>
      </c>
      <c r="W4" s="13">
        <f t="shared" si="4"/>
        <v>2.7878787878787872</v>
      </c>
      <c r="X4" s="5">
        <f t="shared" si="5"/>
        <v>5712</v>
      </c>
      <c r="Y4" s="7">
        <f t="shared" si="6"/>
        <v>7.2443181818181823E-2</v>
      </c>
      <c r="Z4" s="7">
        <f>IF(OR(AE4="",多次统计数据!$B$8=""),"",AE4-多次统计数据!$B$8)</f>
        <v>3.0869428126726189E-3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4.210270769616864E-2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6.1626765350049087E-2</v>
      </c>
    </row>
    <row r="5" spans="1:32" x14ac:dyDescent="0.15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11" t="s">
        <v>36</v>
      </c>
      <c r="T5" s="2"/>
      <c r="U5" s="7">
        <f t="shared" si="2"/>
        <v>0.16369278510473229</v>
      </c>
      <c r="V5" s="7">
        <f t="shared" si="3"/>
        <v>3.0256012412723084E-2</v>
      </c>
      <c r="W5" s="13">
        <f t="shared" si="4"/>
        <v>5.4102564102564008</v>
      </c>
      <c r="X5" s="5">
        <f t="shared" si="5"/>
        <v>-2750</v>
      </c>
      <c r="Y5" s="7">
        <f t="shared" si="6"/>
        <v>-4.2668735453840187E-2</v>
      </c>
      <c r="Z5" s="7">
        <f>IF(OR(AE5="",多次统计数据!$B$8=""),"",AE5-多次统计数据!$B$8)</f>
        <v>-8.6487261027605025E-2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4.210270769616864E-2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-2.7947438490228561E-2</v>
      </c>
    </row>
    <row r="6" spans="1:32" x14ac:dyDescent="0.15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37</v>
      </c>
      <c r="S6" s="11" t="s">
        <v>38</v>
      </c>
      <c r="T6" s="2"/>
      <c r="U6" s="7">
        <f t="shared" si="2"/>
        <v>0.14285714285714285</v>
      </c>
      <c r="V6" s="7">
        <f t="shared" si="3"/>
        <v>5.7142857142857141E-2</v>
      </c>
      <c r="W6" s="13">
        <f t="shared" si="4"/>
        <v>2.5</v>
      </c>
      <c r="X6" s="5">
        <f t="shared" si="5"/>
        <v>-2844</v>
      </c>
      <c r="Y6" s="7">
        <f t="shared" si="6"/>
        <v>-9.0285714285714289E-2</v>
      </c>
      <c r="Z6" s="7">
        <f>IF(OR(AE6="",多次统计数据!$B$8=""),"",AE6-多次统计数据!$B$8)</f>
        <v>-8.827353642879196E-2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4.210270769616864E-2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-2.9733713891415488E-2</v>
      </c>
    </row>
    <row r="7" spans="1:32" x14ac:dyDescent="0.15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0.10461338531513965</v>
      </c>
      <c r="V7" s="7">
        <f t="shared" si="3"/>
        <v>9.0968161143600099E-3</v>
      </c>
      <c r="W7" s="13">
        <f t="shared" si="4"/>
        <v>11.499999999999948</v>
      </c>
      <c r="X7" s="5">
        <f t="shared" si="5"/>
        <v>-3630</v>
      </c>
      <c r="Y7" s="7">
        <f t="shared" si="6"/>
        <v>-1.7868745938921377E-2</v>
      </c>
      <c r="Z7" s="7">
        <f>IF(OR(AE7="",多次统计数据!$B$8=""),"",AE7-多次统计数据!$B$8)</f>
        <v>-9.7654094397728819E-2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4.210270769616864E-2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-3.9114271860352351E-2</v>
      </c>
    </row>
    <row r="8" spans="1:32" x14ac:dyDescent="0.15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spans="1:32" x14ac:dyDescent="0.15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spans="1:32" ht="27" x14ac:dyDescent="0.15">
      <c r="A10" s="2">
        <v>9</v>
      </c>
      <c r="B10" s="11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11" t="s">
        <v>40</v>
      </c>
      <c r="T10" s="2"/>
      <c r="U10" s="7">
        <f t="shared" si="2"/>
        <v>6.6982809721398875E-2</v>
      </c>
      <c r="V10" s="7">
        <f t="shared" si="3"/>
        <v>2.4896265560166074E-2</v>
      </c>
      <c r="W10" s="13">
        <f t="shared" si="4"/>
        <v>2.6904761904761774</v>
      </c>
      <c r="X10" s="5">
        <f t="shared" si="5"/>
        <v>12012</v>
      </c>
      <c r="Y10" s="7">
        <f t="shared" si="6"/>
        <v>0.16953171310017784</v>
      </c>
      <c r="Z10" s="7">
        <f>IF(OR(AE10="",多次统计数据!$B$8=""),"",AE10-多次统计数据!$B$8)</f>
        <v>7.6161607235541939E-2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4.210270769616864E-2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0.13470142977291841</v>
      </c>
    </row>
    <row r="11" spans="1:32" x14ac:dyDescent="0.15">
      <c r="A11" s="2">
        <v>10</v>
      </c>
      <c r="B11" s="11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9.7910692339205269E-2</v>
      </c>
      <c r="V11" s="7">
        <f t="shared" si="3"/>
        <v>4.547316673494467E-2</v>
      </c>
      <c r="W11" s="13">
        <f t="shared" si="4"/>
        <v>2.1531531531531547</v>
      </c>
      <c r="X11" s="5">
        <f t="shared" si="5"/>
        <v>-2196</v>
      </c>
      <c r="Y11" s="7">
        <f t="shared" si="6"/>
        <v>-4.9979516591560837E-2</v>
      </c>
      <c r="Z11" s="7">
        <f>IF(OR(AE11="",多次统计数据!$B$8=""),"",AE11-多次统计数据!$B$8)</f>
        <v>-8.0242215137216369E-2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4.210270769616864E-2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-2.1702392599839901E-2</v>
      </c>
    </row>
    <row r="12" spans="1:32" x14ac:dyDescent="0.15">
      <c r="A12" s="2">
        <v>11</v>
      </c>
      <c r="B12" s="11" t="s">
        <v>41</v>
      </c>
      <c r="C12" s="9">
        <v>98991</v>
      </c>
      <c r="D12" s="6">
        <v>0.02</v>
      </c>
      <c r="E12" s="9">
        <v>8.2200000000000006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42</v>
      </c>
      <c r="S12" s="11" t="s">
        <v>43</v>
      </c>
      <c r="T12" s="2"/>
      <c r="U12" s="7">
        <f t="shared" si="2"/>
        <v>0.15571776155717754</v>
      </c>
      <c r="V12" s="7">
        <f t="shared" si="3"/>
        <v>7.5425790754258024E-2</v>
      </c>
      <c r="W12" s="13">
        <f t="shared" si="4"/>
        <v>2.064516129032254</v>
      </c>
      <c r="X12" s="5">
        <f t="shared" si="5"/>
        <v>681.99999999999636</v>
      </c>
      <c r="Y12" s="7">
        <f t="shared" si="6"/>
        <v>2.6763990267639755E-2</v>
      </c>
      <c r="Z12" s="7">
        <f>IF(OR(AE12="",多次统计数据!$B$8=""),"",AE12-多次统计数据!$B$8)</f>
        <v>-5.1650307328923215E-2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4.210270769616864E-2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6.889515208453257E-3</v>
      </c>
    </row>
    <row r="13" spans="1:32" x14ac:dyDescent="0.15">
      <c r="A13" s="2">
        <v>12</v>
      </c>
      <c r="B13" s="11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9.5500000000000007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44</v>
      </c>
      <c r="S13" s="11" t="s">
        <v>43</v>
      </c>
      <c r="T13" s="2"/>
      <c r="U13" s="7">
        <f t="shared" si="2"/>
        <v>0.17244701348747582</v>
      </c>
      <c r="V13" s="7">
        <f t="shared" si="3"/>
        <v>8.477842003853571E-2</v>
      </c>
      <c r="W13" s="13">
        <f t="shared" si="4"/>
        <v>2.0340909090909065</v>
      </c>
      <c r="X13" s="5">
        <f t="shared" si="5"/>
        <v>-1826</v>
      </c>
      <c r="Y13" s="7">
        <f t="shared" si="6"/>
        <v>-7.9961464354527945E-2</v>
      </c>
      <c r="Z13" s="7">
        <f>IF(OR(AE13="",多次统计数据!$B$8=""),"",AE13-多次统计数据!$B$8)</f>
        <v>-7.6859728630300328E-2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4.210270769616864E-2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-1.831990609292386E-2</v>
      </c>
    </row>
    <row r="14" spans="1:32" x14ac:dyDescent="0.15">
      <c r="A14" s="2">
        <v>13</v>
      </c>
      <c r="B14" s="11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44</v>
      </c>
      <c r="S14" s="2" t="s">
        <v>45</v>
      </c>
      <c r="T14" s="2"/>
      <c r="U14" s="7">
        <f t="shared" si="2"/>
        <v>0.14394661582459484</v>
      </c>
      <c r="V14" s="7">
        <f t="shared" si="3"/>
        <v>4.671115347950431E-2</v>
      </c>
      <c r="W14" s="13">
        <f t="shared" si="4"/>
        <v>3.0816326530612228</v>
      </c>
      <c r="X14" s="5">
        <f t="shared" si="5"/>
        <v>936</v>
      </c>
      <c r="Y14" s="7">
        <f t="shared" si="6"/>
        <v>2.2878932316491896E-2</v>
      </c>
      <c r="Z14" s="7">
        <f>IF(OR(AE14="",多次统计数据!$B$8=""),"",AE14-多次统计数据!$B$8)</f>
        <v>-4.8973867525981124E-2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4.210270769616864E-2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9.5659550113953423E-3</v>
      </c>
    </row>
    <row r="15" spans="1:32" x14ac:dyDescent="0.15">
      <c r="A15" s="2">
        <v>14</v>
      </c>
      <c r="B15" s="11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5.3639846743295069E-2</v>
      </c>
      <c r="V15" s="7">
        <f t="shared" si="3"/>
        <v>2.4904214559386954E-2</v>
      </c>
      <c r="W15" s="13">
        <f t="shared" si="4"/>
        <v>2.1538461538461573</v>
      </c>
      <c r="X15" s="5">
        <f t="shared" si="5"/>
        <v>6450</v>
      </c>
      <c r="Y15" s="7">
        <f t="shared" si="6"/>
        <v>8.2375478927203066E-2</v>
      </c>
      <c r="Z15" s="7">
        <f>IF(OR(AE15="",多次统计数据!$B$8=""),"",AE15-多次统计数据!$B$8)</f>
        <v>6.7548131792954241E-3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4.210270769616864E-2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6.5294635716671892E-2</v>
      </c>
    </row>
    <row r="16" spans="1:32" x14ac:dyDescent="0.15">
      <c r="A16" s="2">
        <v>15</v>
      </c>
      <c r="B16" s="11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0.1134307585247043</v>
      </c>
      <c r="V16" s="7">
        <f t="shared" si="3"/>
        <v>2.5748086290883734E-2</v>
      </c>
      <c r="W16" s="13">
        <f t="shared" si="4"/>
        <v>4.4054054054054168</v>
      </c>
      <c r="X16" s="5">
        <f t="shared" si="5"/>
        <v>-1800</v>
      </c>
      <c r="Y16" s="7">
        <f t="shared" si="6"/>
        <v>-2.5052192066805846E-2</v>
      </c>
      <c r="Z16" s="7">
        <f>IF(OR(AE16="",多次统计数据!$B$8=""),"",AE16-多次统计数据!$B$8)</f>
        <v>-7.5644723091385188E-2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4.210270769616864E-2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-1.7104900554008724E-2</v>
      </c>
    </row>
    <row r="17" spans="1:32" x14ac:dyDescent="0.15">
      <c r="A17" s="2">
        <v>16</v>
      </c>
      <c r="B17" s="11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7.6716016150740279E-2</v>
      </c>
      <c r="V17" s="7">
        <f t="shared" si="3"/>
        <v>5.7873485868102252E-2</v>
      </c>
      <c r="W17" s="13">
        <f t="shared" si="4"/>
        <v>1.3255813953488387</v>
      </c>
      <c r="X17" s="5">
        <f t="shared" si="5"/>
        <v>930</v>
      </c>
      <c r="Y17" s="7">
        <f t="shared" si="6"/>
        <v>2.0861372812920592E-2</v>
      </c>
      <c r="Z17" s="7">
        <f>IF(OR(AE17="",多次统计数据!$B$8=""),"",AE17-多次统计数据!$B$8)</f>
        <v>-4.9548494817983235E-2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4.210270769616864E-2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8.9913277193932311E-3</v>
      </c>
    </row>
    <row r="18" spans="1:32" x14ac:dyDescent="0.15">
      <c r="A18" s="2">
        <v>17</v>
      </c>
      <c r="B18" s="11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8.4430673896204483E-2</v>
      </c>
      <c r="V18" s="7">
        <f t="shared" si="3"/>
        <v>3.1758326878388858E-2</v>
      </c>
      <c r="W18" s="13">
        <f t="shared" si="4"/>
        <v>2.6585365853658525</v>
      </c>
      <c r="X18" s="5">
        <f t="shared" si="5"/>
        <v>8550</v>
      </c>
      <c r="Y18" s="7">
        <f t="shared" si="6"/>
        <v>0.13245546088303642</v>
      </c>
      <c r="Z18" s="7">
        <f>IF(OR(AE18="",多次统计数据!$B$8=""),"",AE18-多次统计数据!$B$8)</f>
        <v>2.3384979118366886E-2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4.210270769616864E-2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8.1924801655743354E-2</v>
      </c>
    </row>
    <row r="19" spans="1:32" x14ac:dyDescent="0.15">
      <c r="A19" s="2">
        <v>18</v>
      </c>
      <c r="B19" s="2" t="s">
        <v>46</v>
      </c>
      <c r="C19" s="9">
        <v>112913</v>
      </c>
      <c r="D19" s="6">
        <v>0.02</v>
      </c>
      <c r="E19" s="9">
        <v>20.100000000000001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18.899999999999999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0.14427860696517406</v>
      </c>
      <c r="V19" s="7">
        <f t="shared" si="3"/>
        <v>5.472636815920405E-2</v>
      </c>
      <c r="W19" s="13">
        <f t="shared" si="4"/>
        <v>2.6363636363636318</v>
      </c>
      <c r="X19" s="5">
        <f t="shared" si="5"/>
        <v>-2400</v>
      </c>
      <c r="Y19" s="7">
        <f t="shared" si="6"/>
        <v>-5.9701492537313432E-2</v>
      </c>
      <c r="Z19" s="7">
        <f>IF(OR(AE19="",多次统计数据!$B$8=""),"",AE19-多次统计数据!$B$8)</f>
        <v>-7.9795125292595082E-2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4.210270769616864E-2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-2.1255302755218621E-2</v>
      </c>
    </row>
    <row r="20" spans="1:32" x14ac:dyDescent="0.15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0.12438510189739982</v>
      </c>
      <c r="V20" s="7">
        <f t="shared" si="3"/>
        <v>5.1300070274068896E-2</v>
      </c>
      <c r="W20" s="13">
        <f t="shared" si="4"/>
        <v>2.4246575342465735</v>
      </c>
      <c r="X20" s="5">
        <f t="shared" si="5"/>
        <v>1890</v>
      </c>
      <c r="Y20" s="7">
        <f t="shared" si="6"/>
        <v>4.4272663387210122E-2</v>
      </c>
      <c r="Z20" s="7">
        <f>IF(OR(AE20="",多次统计数据!$B$8=""),"",AE20-多次统计数据!$B$8)</f>
        <v>-4.143776214629126E-2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4.210270769616864E-2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1.7102060391085212E-2</v>
      </c>
    </row>
    <row r="21" spans="1:32" x14ac:dyDescent="0.15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0.12219451371571069</v>
      </c>
      <c r="V21" s="7">
        <f t="shared" si="3"/>
        <v>2.7431421446384073E-2</v>
      </c>
      <c r="W21" s="13">
        <f t="shared" si="4"/>
        <v>4.4545454545454479</v>
      </c>
      <c r="X21" s="5">
        <f t="shared" si="5"/>
        <v>20440</v>
      </c>
      <c r="Y21" s="7">
        <f t="shared" si="6"/>
        <v>0.25486284289276806</v>
      </c>
      <c r="Z21" s="7">
        <f>IF(OR(AE21="",多次统计数据!$B$8=""),"",AE21-多次统计数据!$B$8)</f>
        <v>0.12330585773806102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4.210270769616864E-2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0.18184568027543749</v>
      </c>
    </row>
    <row r="22" spans="1:32" x14ac:dyDescent="0.15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0.14942528735632188</v>
      </c>
      <c r="V22" s="7">
        <f t="shared" si="3"/>
        <v>5.5829228243021327E-2</v>
      </c>
      <c r="W22" s="13">
        <f t="shared" si="4"/>
        <v>2.6764705882352957</v>
      </c>
      <c r="X22" s="5">
        <f t="shared" si="5"/>
        <v>-4275</v>
      </c>
      <c r="Y22" s="7">
        <f t="shared" si="6"/>
        <v>-9.2364532019704432E-2</v>
      </c>
      <c r="Z22" s="7">
        <f>IF(OR(AE22="",多次统计数据!$B$8=""),"",AE22-多次统计数据!$B$8)</f>
        <v>-9.072066759507616E-2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4.210270769616864E-2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-3.2180845057699692E-2</v>
      </c>
    </row>
    <row r="23" spans="1:32" x14ac:dyDescent="0.15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0.20967741935483872</v>
      </c>
      <c r="V23" s="7">
        <f t="shared" si="3"/>
        <v>9.2741935483870955E-2</v>
      </c>
      <c r="W23" s="13">
        <f t="shared" si="4"/>
        <v>2.2608695652173916</v>
      </c>
      <c r="X23" s="5">
        <f t="shared" si="5"/>
        <v>-2600</v>
      </c>
      <c r="Y23" s="7">
        <f t="shared" si="6"/>
        <v>-0.10080645161290322</v>
      </c>
      <c r="Z23" s="7">
        <f>IF(OR(AE23="",多次统计数据!$B$8=""),"",AE23-多次统计数据!$B$8)</f>
        <v>-7.8762584033238575E-2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4.210270769616864E-2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-2.0222761495862111E-2</v>
      </c>
    </row>
    <row r="24" spans="1:32" x14ac:dyDescent="0.15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0.25348189415041789</v>
      </c>
      <c r="V24" s="7">
        <f t="shared" si="3"/>
        <v>3.4354688950789157E-2</v>
      </c>
      <c r="W24" s="13">
        <f t="shared" si="4"/>
        <v>7.3783783783783958</v>
      </c>
      <c r="X24" s="5">
        <f t="shared" si="5"/>
        <v>6460</v>
      </c>
      <c r="Y24" s="7">
        <f t="shared" si="6"/>
        <v>8.8207985143918297E-2</v>
      </c>
      <c r="Z24" s="7">
        <f>IF(OR(AE24="",多次统计数据!$B$8=""),"",AE24-多次统计数据!$B$8)</f>
        <v>-7.2569570477283019E-3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4.210270769616864E-2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5.1282865489648166E-2</v>
      </c>
    </row>
    <row r="25" spans="1:32" x14ac:dyDescent="0.15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0.11161524500907445</v>
      </c>
      <c r="V25" s="7">
        <f t="shared" si="3"/>
        <v>5.6261343012704107E-2</v>
      </c>
      <c r="W25" s="13">
        <f t="shared" si="4"/>
        <v>1.9838709677419386</v>
      </c>
      <c r="X25" s="5">
        <f t="shared" si="5"/>
        <v>-3213</v>
      </c>
      <c r="Y25" s="7">
        <f t="shared" si="6"/>
        <v>-6.9419237749546281E-2</v>
      </c>
      <c r="Z25" s="7">
        <f>IF(OR(AE25="",多次统计数据!$B$8=""),"",AE25-多次统计数据!$B$8)</f>
        <v>-8.2802063151143954E-2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4.210270769616864E-2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-2.4262240613767482E-2</v>
      </c>
    </row>
    <row r="26" spans="1:32" x14ac:dyDescent="0.15">
      <c r="A26" s="2">
        <v>25</v>
      </c>
      <c r="B26" s="2" t="s">
        <v>46</v>
      </c>
      <c r="C26" s="9">
        <v>129215</v>
      </c>
      <c r="D26" s="6">
        <v>0.02</v>
      </c>
      <c r="E26" s="9">
        <v>18.920000000000002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0.10993657505285402</v>
      </c>
      <c r="V26" s="7">
        <f t="shared" si="3"/>
        <v>4.8625792811839409E-2</v>
      </c>
      <c r="W26" s="13">
        <f t="shared" si="4"/>
        <v>2.2608695652173854</v>
      </c>
      <c r="X26" s="5">
        <f t="shared" si="5"/>
        <v>16379.999999999993</v>
      </c>
      <c r="Y26" s="7">
        <f t="shared" si="6"/>
        <v>0.30919661733615206</v>
      </c>
      <c r="Z26" s="7">
        <f>IF(OR(AE26="",多次统计数据!$B$8=""),"",AE26-多次统计数据!$B$8)</f>
        <v>6.8225645867994372E-2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4.210270769616864E-2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0.12676546840537084</v>
      </c>
    </row>
    <row r="27" spans="1:32" x14ac:dyDescent="0.15">
      <c r="A27" s="2">
        <v>26</v>
      </c>
      <c r="B27" s="2" t="s">
        <v>47</v>
      </c>
      <c r="C27" s="9">
        <v>145595</v>
      </c>
      <c r="D27" s="6">
        <v>0.02</v>
      </c>
      <c r="E27" s="9">
        <v>73.349999999999994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0.15882753919563744</v>
      </c>
      <c r="V27" s="7">
        <f t="shared" si="3"/>
        <v>7.2937968643490045E-2</v>
      </c>
      <c r="W27" s="13">
        <f t="shared" si="4"/>
        <v>2.1775700934579474</v>
      </c>
      <c r="X27" s="5">
        <f t="shared" si="5"/>
        <v>9775</v>
      </c>
      <c r="Y27" s="7">
        <f t="shared" si="6"/>
        <v>0.26653033401499659</v>
      </c>
      <c r="Z27" s="7">
        <f>IF(OR(AE27="",多次统计数据!$B$8=""),"",AE27-多次统计数据!$B$8)</f>
        <v>8.5984720469155784E-3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4.210270769616864E-2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6.7138294584292046E-2</v>
      </c>
    </row>
    <row r="28" spans="1:32" x14ac:dyDescent="0.15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7.9007313271790003E-2</v>
      </c>
      <c r="V28" s="7">
        <f t="shared" si="3"/>
        <v>4.0882388202853337E-2</v>
      </c>
      <c r="W28" s="13">
        <f t="shared" si="4"/>
        <v>1.9325513196480968</v>
      </c>
      <c r="X28" s="5">
        <f t="shared" si="5"/>
        <v>1341</v>
      </c>
      <c r="Y28" s="7">
        <f t="shared" si="6"/>
        <v>1.7863565519721857E-2</v>
      </c>
      <c r="Z28" s="7">
        <f>IF(OR(AE28="",多次统计数据!$B$8=""),"",AE28-多次统计数据!$B$8)</f>
        <v>-4.9908812689915566E-2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4.210270769616864E-2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8.6310098474609003E-3</v>
      </c>
    </row>
    <row r="29" spans="1:32" x14ac:dyDescent="0.15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78.040000000000006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8.9060987415295251E-2</v>
      </c>
      <c r="V29" s="7">
        <f t="shared" si="3"/>
        <v>3.1945788964182001E-2</v>
      </c>
      <c r="W29" s="13">
        <f t="shared" si="4"/>
        <v>2.7878787878787872</v>
      </c>
      <c r="X29" s="5">
        <f t="shared" si="5"/>
        <v>-5060</v>
      </c>
      <c r="Y29" s="7">
        <f t="shared" si="6"/>
        <v>-5.5663117134559535E-2</v>
      </c>
      <c r="Z29" s="7">
        <f>IF(OR(AE29="",多次统计数据!$B$8=""),"",AE29-多次统计数据!$B$8)</f>
        <v>-9.0828557852702135E-2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4.210270769616864E-2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-3.228873531532566E-2</v>
      </c>
    </row>
    <row r="30" spans="1:32" x14ac:dyDescent="0.15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7.7844311377245512E-2</v>
      </c>
      <c r="V30" s="7">
        <f t="shared" si="3"/>
        <v>4.1916167664670656E-2</v>
      </c>
      <c r="W30" s="13">
        <f t="shared" si="4"/>
        <v>1.8571428571428574</v>
      </c>
      <c r="X30" s="5">
        <f t="shared" si="5"/>
        <v>-3416</v>
      </c>
      <c r="Y30" s="7">
        <f t="shared" si="6"/>
        <v>-5.1137724550898205E-2</v>
      </c>
      <c r="Z30" s="7">
        <f>IF(OR(AE30="",多次统计数据!$B$8=""),"",AE30-多次统计数据!$B$8)</f>
        <v>-8.1065226260398401E-2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4.210270769616864E-2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-2.2525403723021937E-2</v>
      </c>
    </row>
    <row r="31" spans="1:32" x14ac:dyDescent="0.15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0.10106629578117755</v>
      </c>
      <c r="V31" s="7">
        <f t="shared" si="3"/>
        <v>2.6425591098748275E-2</v>
      </c>
      <c r="W31" s="13">
        <f t="shared" si="4"/>
        <v>3.8245614035087696</v>
      </c>
      <c r="X31" s="5">
        <f t="shared" si="5"/>
        <v>-9178</v>
      </c>
      <c r="Y31" s="7">
        <f t="shared" si="6"/>
        <v>-8.1826611033843297E-2</v>
      </c>
      <c r="Z31" s="7">
        <f>IF(OR(AE31="",多次统计数据!$B$8=""),"",AE31-多次统计数据!$B$8)</f>
        <v>-0.12045502475007927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4.210270769616864E-2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-6.1915202212702802E-2</v>
      </c>
      <c r="AF31" t="s">
        <v>48</v>
      </c>
    </row>
    <row r="32" spans="1:32" x14ac:dyDescent="0.15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1.4747666080368062E-2</v>
      </c>
      <c r="V32" s="7">
        <f t="shared" si="3"/>
        <v>5.2902178324989807E-2</v>
      </c>
      <c r="W32" s="13">
        <f t="shared" si="4"/>
        <v>0.27877237851662517</v>
      </c>
      <c r="X32" s="5">
        <f t="shared" si="5"/>
        <v>-3024</v>
      </c>
      <c r="Y32" s="7">
        <f t="shared" si="6"/>
        <v>-5.8449465566229195E-2</v>
      </c>
      <c r="Z32" s="7">
        <f>IF(OR(AE32="",多次统计数据!$B$8=""),"",AE32-多次统计数据!$B$8)</f>
        <v>-8.0286300600329069E-2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4.210270769616864E-2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-2.1746478062952601E-2</v>
      </c>
    </row>
    <row r="33" spans="1:32" x14ac:dyDescent="0.15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6.9630872483221487E-2</v>
      </c>
      <c r="V33" s="7">
        <f t="shared" si="3"/>
        <v>3.5234899328859051E-2</v>
      </c>
      <c r="W33" s="13">
        <f t="shared" si="4"/>
        <v>1.9761904761904769</v>
      </c>
      <c r="X33" s="5">
        <f t="shared" si="5"/>
        <v>-4352</v>
      </c>
      <c r="Y33" s="7">
        <f t="shared" si="6"/>
        <v>-5.7046979865771813E-2</v>
      </c>
      <c r="Z33" s="7">
        <f>IF(OR(AE33="",多次统计数据!$B$8=""),"",AE33-多次统计数据!$B$8)</f>
        <v>-9.05320597151201E-2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4.210270769616864E-2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-3.1992237177743639E-2</v>
      </c>
    </row>
    <row r="34" spans="1:32" x14ac:dyDescent="0.15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7.1723000824402236E-2</v>
      </c>
      <c r="V34" s="7">
        <f t="shared" si="3"/>
        <v>7.6669414674361211E-2</v>
      </c>
      <c r="W34" s="13">
        <f t="shared" si="4"/>
        <v>0.93548387096773955</v>
      </c>
      <c r="X34" s="5">
        <f t="shared" si="5"/>
        <v>-2912</v>
      </c>
      <c r="Y34" s="7">
        <f t="shared" si="6"/>
        <v>-8.5737840065952184E-2</v>
      </c>
      <c r="Z34" s="7">
        <f>IF(OR(AE34="",多次统计数据!$B$8=""),"",AE34-多次统计数据!$B$8)</f>
        <v>-8.065387088148078E-2</v>
      </c>
      <c r="AA34" s="14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4.210270769616864E-2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-2.2114048344104312E-2</v>
      </c>
    </row>
    <row r="35" spans="1:32" x14ac:dyDescent="0.15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0.11552346570397105</v>
      </c>
      <c r="V35" s="7">
        <f t="shared" si="3"/>
        <v>5.2346570397111922E-2</v>
      </c>
      <c r="W35" s="13">
        <f t="shared" si="4"/>
        <v>2.2068965517241361</v>
      </c>
      <c r="X35" s="5">
        <f t="shared" si="5"/>
        <v>1232</v>
      </c>
      <c r="Y35" s="7">
        <f t="shared" si="6"/>
        <v>2.5270758122743681E-2</v>
      </c>
      <c r="Z35" s="7">
        <f>IF(OR(AE35="",多次统计数据!$B$8=""),"",AE35-多次统计数据!$B$8)</f>
        <v>-4.8972302404425211E-2</v>
      </c>
      <c r="AA35" s="14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4.210270769616864E-2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9.5675201329512537E-3</v>
      </c>
    </row>
    <row r="36" spans="1:32" x14ac:dyDescent="0.15">
      <c r="A36" s="2">
        <v>35</v>
      </c>
      <c r="B36" s="2" t="s">
        <v>49</v>
      </c>
      <c r="C36" s="9">
        <v>130001</v>
      </c>
      <c r="D36" s="6">
        <v>0.02</v>
      </c>
      <c r="E36" s="9">
        <v>8.3800000000000008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9.4499999999999993</v>
      </c>
      <c r="K36" s="9">
        <v>9.8000000000000007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0.12768496420047715</v>
      </c>
      <c r="V36" s="7">
        <f t="shared" si="3"/>
        <v>4.5346062052506055E-2</v>
      </c>
      <c r="W36" s="13">
        <f t="shared" si="4"/>
        <v>2.8157894736842013</v>
      </c>
      <c r="X36" s="5">
        <f t="shared" si="5"/>
        <v>9655.9999999999927</v>
      </c>
      <c r="Y36" s="7">
        <f t="shared" si="6"/>
        <v>0.16945107398568005</v>
      </c>
      <c r="Z36" s="7">
        <f>IF(OR(AE36="",多次统计数据!$B$8=""),"",AE36-多次统计数据!$B$8)</f>
        <v>1.5736529182994854E-2</v>
      </c>
      <c r="AA36" s="14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4.210270769616864E-2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7.4276351720371322E-2</v>
      </c>
    </row>
    <row r="37" spans="1:32" x14ac:dyDescent="0.15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0.18733509234828494</v>
      </c>
      <c r="V37" s="7">
        <f t="shared" si="3"/>
        <v>7.6517150395778374E-2</v>
      </c>
      <c r="W37" s="13">
        <f t="shared" si="4"/>
        <v>2.4482758620689649</v>
      </c>
      <c r="X37" s="5">
        <f t="shared" si="5"/>
        <v>-4224</v>
      </c>
      <c r="Y37" s="7">
        <f t="shared" si="6"/>
        <v>-0.11609498680738786</v>
      </c>
      <c r="Z37" s="7">
        <f>IF(OR(AE37="",多次统计数据!$B$8=""),"",AE37-多次统计数据!$B$8)</f>
        <v>-8.8785352657599584E-2</v>
      </c>
      <c r="AA37" s="14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4.210270769616864E-2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-3.0245530120223119E-2</v>
      </c>
    </row>
    <row r="38" spans="1:32" x14ac:dyDescent="0.15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0.15036976170912081</v>
      </c>
      <c r="V38" s="7">
        <f t="shared" si="3"/>
        <v>7.9704190632703426E-2</v>
      </c>
      <c r="W38" s="13">
        <f t="shared" si="4"/>
        <v>1.8865979381443287</v>
      </c>
      <c r="X38" s="5">
        <f t="shared" si="5"/>
        <v>-7236</v>
      </c>
      <c r="Y38" s="7">
        <f t="shared" si="6"/>
        <v>-0.22021364009860311</v>
      </c>
      <c r="Z38" s="7">
        <f>IF(OR(AE38="",多次统计数据!$B$8=""),"",AE38-多次统计数据!$B$8)</f>
        <v>-0.1119684551453819</v>
      </c>
      <c r="AA38" s="14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4.210270769616864E-2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-5.3428632608005434E-2</v>
      </c>
      <c r="AF38" t="s">
        <v>50</v>
      </c>
    </row>
    <row r="39" spans="1:32" x14ac:dyDescent="0.15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9.2799999999999994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0.14832535885167472</v>
      </c>
      <c r="V39" s="7">
        <f t="shared" si="3"/>
        <v>4.3062200956937732E-2</v>
      </c>
      <c r="W39" s="13">
        <f t="shared" si="4"/>
        <v>3.4444444444444517</v>
      </c>
      <c r="X39" s="5">
        <f t="shared" si="5"/>
        <v>-6551.9999999999927</v>
      </c>
      <c r="Y39" s="7">
        <f t="shared" si="6"/>
        <v>-0.11196172248803817</v>
      </c>
      <c r="Z39" s="7">
        <f>IF(OR(AE39="",多次统计数据!$B$8=""),"",AE39-多次统计数据!$B$8)</f>
        <v>-0.10964866283785146</v>
      </c>
      <c r="AA39" s="14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4.210270769616864E-2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-5.1108840300474995E-2</v>
      </c>
    </row>
    <row r="40" spans="1:32" x14ac:dyDescent="0.15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0.10782865583456433</v>
      </c>
      <c r="V40" s="7">
        <f t="shared" si="3"/>
        <v>3.9881831610044251E-2</v>
      </c>
      <c r="W40" s="13">
        <f t="shared" si="4"/>
        <v>2.7037037037037099</v>
      </c>
      <c r="X40" s="5">
        <f t="shared" si="5"/>
        <v>-3959.9999999999927</v>
      </c>
      <c r="Y40" s="7">
        <f t="shared" si="6"/>
        <v>-6.4992614475627652E-2</v>
      </c>
      <c r="Z40" s="7">
        <f>IF(OR(AE40="",多次统计数据!$B$8=""),"",AE40-多次统计数据!$B$8)</f>
        <v>-9.1093564984661535E-2</v>
      </c>
      <c r="AA40" s="14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4.210270769616864E-2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-3.2553742447285074E-2</v>
      </c>
    </row>
    <row r="41" spans="1:32" x14ac:dyDescent="0.15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0.28534704370179947</v>
      </c>
      <c r="V41" s="7">
        <f t="shared" si="3"/>
        <v>9.8543273350471319E-2</v>
      </c>
      <c r="W41" s="13">
        <f t="shared" si="4"/>
        <v>2.8956521739130427</v>
      </c>
      <c r="X41" s="5">
        <f t="shared" si="5"/>
        <v>-2880</v>
      </c>
      <c r="Y41" s="7">
        <f t="shared" si="6"/>
        <v>-0.12339331619537275</v>
      </c>
      <c r="Z41" s="7">
        <f>IF(OR(AE41="",多次统计数据!$B$8=""),"",AE41-多次统计数据!$B$8)</f>
        <v>-8.3011930282628626E-2</v>
      </c>
      <c r="AA41" s="14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4.210270769616864E-2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-2.4472107745252155E-2</v>
      </c>
    </row>
    <row r="42" spans="1:32" x14ac:dyDescent="0.15">
      <c r="A42" s="2">
        <v>41</v>
      </c>
      <c r="B42" s="2" t="s">
        <v>49</v>
      </c>
      <c r="C42" s="9">
        <v>114805</v>
      </c>
      <c r="D42" s="6">
        <v>0.02</v>
      </c>
      <c r="E42" s="9">
        <v>18.239999999999998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16.440000000000001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9.649122807017553E-2</v>
      </c>
      <c r="V42" s="7">
        <f t="shared" si="3"/>
        <v>6.7982456140350797E-2</v>
      </c>
      <c r="W42" s="13">
        <f t="shared" si="4"/>
        <v>1.4193548387096804</v>
      </c>
      <c r="X42" s="5">
        <f t="shared" si="5"/>
        <v>-3239.9999999999964</v>
      </c>
      <c r="Y42" s="7">
        <f t="shared" si="6"/>
        <v>-9.868421052631568E-2</v>
      </c>
      <c r="Z42" s="7">
        <f>IF(OR(AE42="",多次统计数据!$B$8=""),"",AE42-多次统计数据!$B$8)</f>
        <v>-8.6761589882004275E-2</v>
      </c>
      <c r="AA42" s="14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4.210270769616864E-2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-2.8221767344627814E-2</v>
      </c>
    </row>
    <row r="43" spans="1:32" x14ac:dyDescent="0.15">
      <c r="A43" s="2">
        <v>42</v>
      </c>
      <c r="B43" s="2" t="s">
        <v>49</v>
      </c>
      <c r="C43" s="9">
        <v>111565</v>
      </c>
      <c r="D43" s="6">
        <v>0.02</v>
      </c>
      <c r="E43" s="9">
        <v>20.309999999999999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0.18168389955686862</v>
      </c>
      <c r="V43" s="7">
        <f t="shared" si="3"/>
        <v>6.4500246184145682E-2</v>
      </c>
      <c r="W43" s="13">
        <f t="shared" si="4"/>
        <v>2.8167938931297747</v>
      </c>
      <c r="X43" s="5">
        <f t="shared" si="5"/>
        <v>-3927</v>
      </c>
      <c r="Y43" s="7">
        <f t="shared" si="6"/>
        <v>-0.1137370753323486</v>
      </c>
      <c r="Z43" s="7">
        <f>IF(OR(AE43="",多次统计数据!$B$8=""),"",AE43-多次统计数据!$B$8)</f>
        <v>-9.3739033759533963E-2</v>
      </c>
      <c r="AA43" s="14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4.210270769616864E-2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-3.5199211222157488E-2</v>
      </c>
    </row>
    <row r="44" spans="1:32" x14ac:dyDescent="0.15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0.17474302496328931</v>
      </c>
      <c r="V44" s="7">
        <f t="shared" si="3"/>
        <v>0.16789035731767007</v>
      </c>
      <c r="W44" s="13">
        <f t="shared" si="4"/>
        <v>1.0408163265306125</v>
      </c>
      <c r="X44" s="5">
        <f t="shared" si="5"/>
        <v>5946</v>
      </c>
      <c r="Y44" s="7">
        <f t="shared" si="6"/>
        <v>0.48507097405775818</v>
      </c>
      <c r="Z44" s="7">
        <f>IF(OR(AE44="",多次统计数据!$B$8=""),"",AE44-多次统计数据!$B$8)</f>
        <v>-3.2991082914781769E-3</v>
      </c>
      <c r="AA44" s="14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4.210270769616864E-2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5.5240714245898291E-2</v>
      </c>
    </row>
    <row r="45" spans="1:32" x14ac:dyDescent="0.15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6.186518928901194E-2</v>
      </c>
      <c r="V45" s="7">
        <f t="shared" si="3"/>
        <v>3.0470914127423882E-2</v>
      </c>
      <c r="W45" s="13">
        <f t="shared" si="4"/>
        <v>2.0303030303030241</v>
      </c>
      <c r="X45" s="5">
        <f t="shared" si="5"/>
        <v>4631</v>
      </c>
      <c r="Y45" s="7">
        <f t="shared" si="6"/>
        <v>6.4789165897199144E-2</v>
      </c>
      <c r="Z45" s="7">
        <f>IF(OR(AE45="",多次统计数据!$B$8=""),"",AE45-多次统计数据!$B$8)</f>
        <v>-1.7768234989834562E-2</v>
      </c>
      <c r="AA45" s="14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4.210270769616864E-2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4.0771587547541906E-2</v>
      </c>
    </row>
    <row r="46" spans="1:32" x14ac:dyDescent="0.15">
      <c r="A46" s="2">
        <v>45</v>
      </c>
      <c r="B46" s="2" t="s">
        <v>51</v>
      </c>
      <c r="C46" s="9">
        <v>118215</v>
      </c>
      <c r="D46" s="6">
        <v>0.02</v>
      </c>
      <c r="E46" s="9">
        <v>66.849999999999994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66.069999999999993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3.2161555721765232E-2</v>
      </c>
      <c r="V46" s="7">
        <f t="shared" si="3"/>
        <v>5.235602094240753E-3</v>
      </c>
      <c r="W46" s="13">
        <f t="shared" si="4"/>
        <v>6.1428571428572587</v>
      </c>
      <c r="X46" s="5">
        <f t="shared" si="5"/>
        <v>-5226</v>
      </c>
      <c r="Y46" s="7">
        <f t="shared" si="6"/>
        <v>-1.1667913238593869E-2</v>
      </c>
      <c r="Z46" s="7">
        <f>IF(OR(AE46="",多次统计数据!$B$8=""),"",AE46-多次统计数据!$B$8)</f>
        <v>-0.10274741040693616</v>
      </c>
      <c r="AA46" s="14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4.210270769616864E-2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-4.4207587869559702E-2</v>
      </c>
    </row>
    <row r="47" spans="1:32" x14ac:dyDescent="0.15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3.8374717832957067E-2</v>
      </c>
      <c r="V47" s="7">
        <f t="shared" si="3"/>
        <v>2.1820917983446243E-2</v>
      </c>
      <c r="W47" s="13">
        <f t="shared" si="4"/>
        <v>1.758620689655167</v>
      </c>
      <c r="X47" s="5">
        <f t="shared" si="5"/>
        <v>-4860</v>
      </c>
      <c r="Y47" s="7">
        <f t="shared" si="6"/>
        <v>-4.8758465011286681E-2</v>
      </c>
      <c r="Z47" s="7">
        <f>IF(OR(AE47="",多次统计数据!$B$8=""),"",AE47-多次统计数据!$B$8)</f>
        <v>-0.10155285920466267</v>
      </c>
      <c r="AA47" s="14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4.210270769616864E-2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-4.3013036667286196E-2</v>
      </c>
      <c r="AF47" t="s">
        <v>52</v>
      </c>
    </row>
    <row r="48" spans="1:32" x14ac:dyDescent="0.15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6.8168576422606292E-2</v>
      </c>
      <c r="V48" s="7">
        <f t="shared" si="3"/>
        <v>2.8937657797630644E-2</v>
      </c>
      <c r="W48" s="13">
        <f t="shared" si="4"/>
        <v>2.3557046979865728</v>
      </c>
      <c r="X48" s="5">
        <f t="shared" si="5"/>
        <v>6314</v>
      </c>
      <c r="Y48" s="7">
        <f t="shared" si="6"/>
        <v>8.7589823266653724E-2</v>
      </c>
      <c r="Z48" s="7">
        <f>IF(OR(AE48="",多次统计数据!$B$8=""),"",AE48-多次统计数据!$B$8)</f>
        <v>-1.4660702627398992E-4</v>
      </c>
      <c r="AA48" s="14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4.210270769616864E-2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5.8393215511102478E-2</v>
      </c>
    </row>
    <row r="49" spans="1:32" x14ac:dyDescent="0.15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5.3841732132592496E-2</v>
      </c>
      <c r="V49" s="7">
        <f t="shared" si="3"/>
        <v>4.1962061697643188E-2</v>
      </c>
      <c r="W49" s="13">
        <f t="shared" si="4"/>
        <v>1.2831050228310525</v>
      </c>
      <c r="X49" s="5">
        <f t="shared" si="5"/>
        <v>-5740</v>
      </c>
      <c r="Y49" s="7">
        <f t="shared" si="6"/>
        <v>-0.10998275531711056</v>
      </c>
      <c r="Z49" s="7">
        <f>IF(OR(AE49="",多次统计数据!$B$8=""),"",AE49-多次统计数据!$B$8)</f>
        <v>-0.11004597366396135</v>
      </c>
      <c r="AA49" s="14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4.210270769616864E-2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-5.1506151126584888E-2</v>
      </c>
      <c r="AF49" t="s">
        <v>53</v>
      </c>
    </row>
    <row r="50" spans="1:32" x14ac:dyDescent="0.15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8.6437440305635077E-2</v>
      </c>
      <c r="V50" s="7">
        <f t="shared" si="3"/>
        <v>4.4890162368672458E-2</v>
      </c>
      <c r="W50" s="13">
        <f t="shared" si="4"/>
        <v>1.9255319148936128</v>
      </c>
      <c r="X50" s="5">
        <f t="shared" si="5"/>
        <v>-3355</v>
      </c>
      <c r="Y50" s="7">
        <f t="shared" si="6"/>
        <v>-7.2827125119388728E-2</v>
      </c>
      <c r="Z50" s="7">
        <f>IF(OR(AE50="",多次统计数据!$B$8=""),"",AE50-多次统计数据!$B$8)</f>
        <v>-8.9378203683222246E-2</v>
      </c>
      <c r="AA50" s="14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4.210270769616864E-2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-3.0838381145845781E-2</v>
      </c>
      <c r="AF50" t="s">
        <v>54</v>
      </c>
    </row>
    <row r="51" spans="1:32" x14ac:dyDescent="0.15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129.80000000000001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2.564102564102564E-2</v>
      </c>
      <c r="V51" s="7">
        <f t="shared" si="3"/>
        <v>2.564102564102564E-2</v>
      </c>
      <c r="W51" s="13">
        <f t="shared" si="4"/>
        <v>1</v>
      </c>
      <c r="X51" s="5">
        <f t="shared" si="5"/>
        <v>25840.000000000015</v>
      </c>
      <c r="Y51" s="7">
        <f t="shared" si="6"/>
        <v>0.33128205128205146</v>
      </c>
      <c r="Z51" s="7">
        <f>IF(OR(AE51="",多次统计数据!$B$8=""),"",AE51-多次统计数据!$B$8)</f>
        <v>0.18674247992683751</v>
      </c>
      <c r="AA51" s="14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4.210270769616864E-2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0.24528230246421398</v>
      </c>
    </row>
    <row r="52" spans="1:32" x14ac:dyDescent="0.15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7.7741054749245531E-2</v>
      </c>
      <c r="V52" s="7">
        <f t="shared" si="3"/>
        <v>3.0033050725679026E-2</v>
      </c>
      <c r="W52" s="13">
        <f t="shared" si="4"/>
        <v>2.5885167464114773</v>
      </c>
      <c r="X52" s="5">
        <f t="shared" si="5"/>
        <v>22925.999999999985</v>
      </c>
      <c r="Y52" s="7">
        <f t="shared" si="6"/>
        <v>0.27453657134645765</v>
      </c>
      <c r="Z52" s="7">
        <f>IF(OR(AE52="",多次统计数据!$B$8=""),"",AE52-多次统计数据!$B$8)</f>
        <v>0.11621701497824985</v>
      </c>
      <c r="AA52" s="14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4.210270769616864E-2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0.17475683751562632</v>
      </c>
    </row>
    <row r="53" spans="1:32" x14ac:dyDescent="0.15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8.5383502170766984E-2</v>
      </c>
      <c r="V53" s="7">
        <f t="shared" si="3"/>
        <v>5.9334298118668617E-2</v>
      </c>
      <c r="W53" s="13">
        <f t="shared" si="4"/>
        <v>1.4390243902439015</v>
      </c>
      <c r="X53" s="5">
        <f t="shared" si="5"/>
        <v>-3240</v>
      </c>
      <c r="Y53" s="7">
        <f t="shared" si="6"/>
        <v>-6.5123010130246017E-2</v>
      </c>
      <c r="Z53" s="7">
        <f>IF(OR(AE53="",多次统计数据!$B$8=""),"",AE53-多次统计数据!$B$8)</f>
        <v>-7.9563220800999507E-2</v>
      </c>
      <c r="AA53" s="14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4.210270769616864E-2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-2.1023398263623032E-2</v>
      </c>
    </row>
    <row r="54" spans="1:32" x14ac:dyDescent="0.15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0.16279069767441856</v>
      </c>
      <c r="V54" s="7">
        <f t="shared" si="3"/>
        <v>8.9147286821705418E-2</v>
      </c>
      <c r="W54" s="13">
        <f t="shared" si="4"/>
        <v>1.8260869565217388</v>
      </c>
      <c r="X54" s="5">
        <f t="shared" si="5"/>
        <v>3408</v>
      </c>
      <c r="Y54" s="7">
        <f t="shared" si="6"/>
        <v>0.10319767441860465</v>
      </c>
      <c r="Z54" s="7">
        <f>IF(OR(AE54="",多次统计数据!$B$8=""),"",AE54-多次统计数据!$B$8)</f>
        <v>-3.5951437527368117E-2</v>
      </c>
      <c r="AA54" s="14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4.210270769616864E-2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2.2588385010008351E-2</v>
      </c>
    </row>
    <row r="55" spans="1:32" x14ac:dyDescent="0.15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0.11265646731571625</v>
      </c>
      <c r="V55" s="7">
        <f t="shared" si="3"/>
        <v>7.2786277236903119E-2</v>
      </c>
      <c r="W55" s="13">
        <f t="shared" si="4"/>
        <v>1.5477707006369421</v>
      </c>
      <c r="X55" s="5">
        <f t="shared" si="5"/>
        <v>4693</v>
      </c>
      <c r="Y55" s="7">
        <f t="shared" si="6"/>
        <v>0.11451089476124246</v>
      </c>
      <c r="Z55" s="7">
        <f>IF(OR(AE55="",多次统计数据!$B$8=""),"",AE55-多次统计数据!$B$8)</f>
        <v>-2.812149765177737E-2</v>
      </c>
      <c r="AA55" s="14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4.210270769616864E-2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3.0418324885599098E-2</v>
      </c>
    </row>
    <row r="56" spans="1:32" x14ac:dyDescent="0.15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0.12676056338028166</v>
      </c>
      <c r="V56" s="7">
        <f t="shared" si="3"/>
        <v>6.1032863849765293E-2</v>
      </c>
      <c r="W56" s="13">
        <f t="shared" si="4"/>
        <v>2.0769230769230753</v>
      </c>
      <c r="X56" s="5">
        <f t="shared" si="5"/>
        <v>-1780</v>
      </c>
      <c r="Y56" s="7">
        <f t="shared" si="6"/>
        <v>-4.1784037558685448E-2</v>
      </c>
      <c r="Z56" s="7">
        <f>IF(OR(AE56="",多次统计数据!$B$8=""),"",AE56-多次统计数据!$B$8)</f>
        <v>-6.9736551582823866E-2</v>
      </c>
      <c r="AA56" s="14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4.210270769616864E-2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-1.1196729045447397E-2</v>
      </c>
    </row>
    <row r="57" spans="1:32" x14ac:dyDescent="0.15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0.19071244294502876</v>
      </c>
      <c r="V57" s="7">
        <f t="shared" si="3"/>
        <v>5.7352649335185565E-2</v>
      </c>
      <c r="W57" s="13">
        <f t="shared" si="4"/>
        <v>3.325259515570933</v>
      </c>
      <c r="X57" s="5">
        <f t="shared" si="5"/>
        <v>4610</v>
      </c>
      <c r="Y57" s="7">
        <f t="shared" si="6"/>
        <v>9.1486406032943043E-2</v>
      </c>
      <c r="Z57" s="7">
        <f>IF(OR(AE57="",多次统计数据!$B$8=""),"",AE57-多次统计数据!$B$8)</f>
        <v>-2.9213190010896617E-2</v>
      </c>
      <c r="AA57" s="14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4.210270769616864E-2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2.9326632526479851E-2</v>
      </c>
    </row>
    <row r="58" spans="1:32" x14ac:dyDescent="0.15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0.11012433392539966</v>
      </c>
      <c r="V58" s="7">
        <f t="shared" si="3"/>
        <v>5.6394316163410285E-2</v>
      </c>
      <c r="W58" s="13">
        <f t="shared" si="4"/>
        <v>1.952755905511812</v>
      </c>
      <c r="X58" s="5">
        <f t="shared" si="5"/>
        <v>5520</v>
      </c>
      <c r="Y58" s="7">
        <f t="shared" si="6"/>
        <v>0.10213143872113677</v>
      </c>
      <c r="Z58" s="7">
        <f>IF(OR(AE58="",多次统计数据!$B$8=""),"",AE58-多次统计数据!$B$8)</f>
        <v>-2.4424683944625936E-2</v>
      </c>
      <c r="AA58" s="14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4.210270769616864E-2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3.4115138592750532E-2</v>
      </c>
    </row>
    <row r="59" spans="1:32" x14ac:dyDescent="0.15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8.1623550401427214E-2</v>
      </c>
      <c r="V59" s="7">
        <f t="shared" si="3"/>
        <v>2.9884032114183837E-2</v>
      </c>
      <c r="W59" s="13">
        <f t="shared" si="4"/>
        <v>2.7313432835820799</v>
      </c>
      <c r="X59" s="5">
        <f t="shared" si="5"/>
        <v>600</v>
      </c>
      <c r="Y59" s="7">
        <f t="shared" si="6"/>
        <v>5.5753791257805527E-3</v>
      </c>
      <c r="Z59" s="7">
        <f>IF(OR(AE59="",多次统计数据!$B$8=""),"",AE59-多次统计数据!$B$8)</f>
        <v>-5.495398658937109E-2</v>
      </c>
      <c r="AA59" s="14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4.210270769616864E-2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3.5858359480053789E-3</v>
      </c>
    </row>
    <row r="60" spans="1:32" x14ac:dyDescent="0.15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4.9382716049382713E-2</v>
      </c>
      <c r="V60" s="7">
        <f t="shared" si="3"/>
        <v>4.9382716049382713E-2</v>
      </c>
      <c r="W60" s="13">
        <f t="shared" si="4"/>
        <v>1</v>
      </c>
      <c r="X60" s="5">
        <f t="shared" si="5"/>
        <v>2768</v>
      </c>
      <c r="Y60" s="7">
        <f t="shared" si="6"/>
        <v>4.2716049382716052E-2</v>
      </c>
      <c r="Z60" s="7">
        <f>IF(OR(AE60="",多次统计数据!$B$8=""),"",AE60-多次统计数据!$B$8)</f>
        <v>-4.2056273333862998E-2</v>
      </c>
      <c r="AA60" s="14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4.210270769616864E-2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1.6483549203513474E-2</v>
      </c>
    </row>
    <row r="61" spans="1:32" x14ac:dyDescent="0.15">
      <c r="A61" s="2">
        <v>60</v>
      </c>
      <c r="B61" s="2" t="s">
        <v>56</v>
      </c>
      <c r="C61" s="9">
        <v>170693</v>
      </c>
      <c r="D61" s="6">
        <v>0.02</v>
      </c>
      <c r="E61" s="9">
        <v>38.090000000000003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5.0144394854292368E-2</v>
      </c>
      <c r="V61" s="7">
        <f t="shared" si="3"/>
        <v>2.8616434759779558E-2</v>
      </c>
      <c r="W61" s="13">
        <f t="shared" si="4"/>
        <v>1.7522935779816426</v>
      </c>
      <c r="X61" s="5">
        <f t="shared" si="5"/>
        <v>-930.00000000000728</v>
      </c>
      <c r="Y61" s="7">
        <f t="shared" si="6"/>
        <v>-1.627723812024166E-2</v>
      </c>
      <c r="Z61" s="7">
        <f>IF(OR(AE61="",多次统计数据!$B$8=""),"",AE61-多次统计数据!$B$8)</f>
        <v>-6.3988200619664592E-2</v>
      </c>
      <c r="AA61" s="14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4.210270769616864E-2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-5.4483780822881271E-3</v>
      </c>
    </row>
    <row r="62" spans="1:32" x14ac:dyDescent="0.15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0.10305704380712258</v>
      </c>
      <c r="V62" s="7">
        <f t="shared" si="3"/>
        <v>5.4522533879609217E-2</v>
      </c>
      <c r="W62" s="13">
        <f t="shared" si="4"/>
        <v>1.8901734104046235</v>
      </c>
      <c r="X62" s="5">
        <f t="shared" si="5"/>
        <v>-3914</v>
      </c>
      <c r="Y62" s="7">
        <f t="shared" si="6"/>
        <v>-6.4922786006933506E-2</v>
      </c>
      <c r="Z62" s="7">
        <f>IF(OR(AE62="",多次统计数据!$B$8=""),"",AE62-多次统计数据!$B$8)</f>
        <v>-8.1595494267965585E-2</v>
      </c>
      <c r="AA62" s="14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4.210270769616864E-2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-2.3055671730589117E-2</v>
      </c>
      <c r="AF62" t="s">
        <v>57</v>
      </c>
    </row>
    <row r="63" spans="1:32" x14ac:dyDescent="0.15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35.049999999999997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4.596751995595931E-2</v>
      </c>
      <c r="V63" s="7">
        <f t="shared" si="3"/>
        <v>2.2846132672722223E-2</v>
      </c>
      <c r="W63" s="13">
        <f t="shared" si="4"/>
        <v>2.0120481927710903</v>
      </c>
      <c r="X63" s="5">
        <f t="shared" si="5"/>
        <v>-2432</v>
      </c>
      <c r="Y63" s="7">
        <f t="shared" si="6"/>
        <v>-3.5232590145884944E-2</v>
      </c>
      <c r="Z63" s="7">
        <f>IF(OR(AE63="",多次统计数据!$B$8=""),"",AE63-多次统计数据!$B$8)</f>
        <v>-7.3203763833374638E-2</v>
      </c>
      <c r="AA63" s="14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4.210270769616864E-2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-1.4663941295998167E-2</v>
      </c>
    </row>
    <row r="64" spans="1:32" x14ac:dyDescent="0.15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5.7142857142857141E-2</v>
      </c>
      <c r="V64" s="7">
        <f t="shared" si="3"/>
        <v>5.7142857142857141E-2</v>
      </c>
      <c r="W64" s="13">
        <f t="shared" si="4"/>
        <v>1</v>
      </c>
      <c r="X64" s="5">
        <f t="shared" si="5"/>
        <v>9904</v>
      </c>
      <c r="Y64" s="7">
        <f t="shared" si="6"/>
        <v>0.17685714285714285</v>
      </c>
      <c r="Z64" s="7">
        <f>IF(OR(AE64="",多次统计数据!$B$8=""),"",AE64-多次统计数据!$B$8)</f>
        <v>2.0658672011452314E-3</v>
      </c>
      <c r="AA64" s="14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4.210270769616864E-2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6.0605689738521699E-2</v>
      </c>
    </row>
    <row r="65" spans="1:32" x14ac:dyDescent="0.15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9.9700000000000006</v>
      </c>
      <c r="L65" s="8">
        <f t="shared" si="1"/>
        <v>10100</v>
      </c>
      <c r="M65" s="10">
        <v>44414</v>
      </c>
      <c r="N65" s="9">
        <v>9.3000000000000007</v>
      </c>
      <c r="O65" s="9"/>
      <c r="P65" s="9"/>
      <c r="Q65" s="2"/>
      <c r="R65" s="2"/>
      <c r="S65" s="2"/>
      <c r="T65" s="2"/>
      <c r="U65" s="7">
        <f t="shared" si="2"/>
        <v>6.8464730290456438E-2</v>
      </c>
      <c r="V65" s="7">
        <f t="shared" si="3"/>
        <v>3.526970954356845E-2</v>
      </c>
      <c r="W65" s="13">
        <f t="shared" si="4"/>
        <v>1.9411764705882362</v>
      </c>
      <c r="X65" s="5">
        <f t="shared" si="5"/>
        <v>3333</v>
      </c>
      <c r="Y65" s="7">
        <f t="shared" si="6"/>
        <v>3.4232365145228219E-2</v>
      </c>
      <c r="Z65" s="7">
        <f>IF(OR(AE65="",多次统计数据!$B$8=""),"",AE65-多次统计数据!$B$8)</f>
        <v>-3.9309608079809294E-2</v>
      </c>
      <c r="AA65" s="14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4.210270769616864E-2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1.9230214457567174E-2</v>
      </c>
    </row>
    <row r="66" spans="1:32" x14ac:dyDescent="0.15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0.1323425336164189</v>
      </c>
      <c r="V66" s="7">
        <f t="shared" ref="V66:V129" si="12">IF(OR(E66="",N66="",E66&lt;=0),"",(E66-N66)/E66)</f>
        <v>7.9971691436659637E-2</v>
      </c>
      <c r="W66" s="13">
        <f t="shared" ref="W66:W129" si="13">IF(OR(U66="",V66="",V66&lt;=0),"",U66/V66)</f>
        <v>1.6548672566371663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8.3510261854210899E-2</v>
      </c>
      <c r="Z66" s="7">
        <f>IF(OR(AE66="",多次统计数据!$B$8=""),"",AE66-多次统计数据!$B$8)</f>
        <v>-3.7832677496788654E-2</v>
      </c>
      <c r="AA66" s="14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4.210270769616864E-2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2.0707145040587814E-2</v>
      </c>
    </row>
    <row r="67" spans="1:32" x14ac:dyDescent="0.15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0.13141862489120973</v>
      </c>
      <c r="V67" s="7">
        <f t="shared" si="12"/>
        <v>8.6161879895561372E-2</v>
      </c>
      <c r="W67" s="13">
        <f t="shared" si="13"/>
        <v>1.5252525252525249</v>
      </c>
      <c r="X67" s="5">
        <f t="shared" si="14"/>
        <v>10800</v>
      </c>
      <c r="Y67" s="7">
        <f t="shared" si="15"/>
        <v>0.26109660574412535</v>
      </c>
      <c r="Z67" s="7">
        <f>IF(OR(AE67="",多次统计数据!$B$8=""),"",AE67-多次统计数据!$B$8)</f>
        <v>1.3563574173686421E-3</v>
      </c>
      <c r="AA67" s="14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4.210270769616864E-2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5.989617995474511E-2</v>
      </c>
    </row>
    <row r="68" spans="1:32" x14ac:dyDescent="0.15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6.5162907268170367E-2</v>
      </c>
      <c r="V68" s="7">
        <f t="shared" si="12"/>
        <v>2.8822055137844662E-2</v>
      </c>
      <c r="W68" s="13">
        <f t="shared" si="13"/>
        <v>2.2608695652173854</v>
      </c>
      <c r="X68" s="5">
        <f t="shared" si="14"/>
        <v>-9379</v>
      </c>
      <c r="Y68" s="7">
        <f t="shared" si="15"/>
        <v>-7.0802005012531324E-2</v>
      </c>
      <c r="Z68" s="7">
        <f>IF(OR(AE68="",多次统计数据!$B$8=""),"",AE68-多次统计数据!$B$8)</f>
        <v>-0.10761575706791354</v>
      </c>
      <c r="AA68" s="14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4.210270769616864E-2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-4.9075934530537067E-2</v>
      </c>
    </row>
    <row r="69" spans="1:32" x14ac:dyDescent="0.15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0.17820324005891011</v>
      </c>
      <c r="V69" s="7">
        <f t="shared" si="12"/>
        <v>5.7437407952871951E-2</v>
      </c>
      <c r="W69" s="13">
        <f t="shared" si="13"/>
        <v>3.1025641025640973</v>
      </c>
      <c r="X69" s="5">
        <f t="shared" si="14"/>
        <v>-4929</v>
      </c>
      <c r="Y69" s="7">
        <f t="shared" si="15"/>
        <v>-7.8055964653902798E-2</v>
      </c>
      <c r="Z69" s="7">
        <f>IF(OR(AE69="",多次统计数据!$B$8=""),"",AE69-多次统计数据!$B$8)</f>
        <v>-8.5662029291240657E-2</v>
      </c>
      <c r="AA69" s="14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4.210270769616864E-2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-2.7122206753864186E-2</v>
      </c>
    </row>
    <row r="70" spans="1:32" x14ac:dyDescent="0.15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0.1134343962362782</v>
      </c>
      <c r="V70" s="7">
        <f t="shared" si="12"/>
        <v>5.9069524307370572E-2</v>
      </c>
      <c r="W70" s="13">
        <f t="shared" si="13"/>
        <v>1.9203539823008884</v>
      </c>
      <c r="X70" s="5">
        <f t="shared" si="14"/>
        <v>-6107</v>
      </c>
      <c r="Y70" s="7">
        <f t="shared" si="15"/>
        <v>-0.10297961317302666</v>
      </c>
      <c r="Z70" s="7">
        <f>IF(OR(AE70="",多次统计数据!$B$8=""),"",AE70-多次统计数据!$B$8)</f>
        <v>-9.3080896268740013E-2</v>
      </c>
      <c r="AA70" s="14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4.210270769616864E-2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-3.4541073731363545E-2</v>
      </c>
    </row>
    <row r="71" spans="1:32" x14ac:dyDescent="0.15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0.15606936416184966</v>
      </c>
      <c r="V71" s="7">
        <f t="shared" si="12"/>
        <v>4.6242774566474028E-2</v>
      </c>
      <c r="W71" s="13">
        <f t="shared" si="13"/>
        <v>3.374999999999996</v>
      </c>
      <c r="X71" s="5">
        <f t="shared" si="14"/>
        <v>-3486</v>
      </c>
      <c r="Y71" s="7">
        <f t="shared" si="15"/>
        <v>-4.797687861271676E-2</v>
      </c>
      <c r="Z71" s="7">
        <f>IF(OR(AE71="",多次统计数据!$B$8=""),"",AE71-多次统计数据!$B$8)</f>
        <v>-7.8961974069037835E-2</v>
      </c>
      <c r="AA71" s="14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4.210270769616864E-2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-2.0422151531661364E-2</v>
      </c>
    </row>
    <row r="72" spans="1:32" x14ac:dyDescent="0.15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6.6666666666666666E-2</v>
      </c>
      <c r="V72" s="7">
        <f t="shared" si="12"/>
        <v>6.6666666666666666E-2</v>
      </c>
      <c r="W72" s="13">
        <f t="shared" si="13"/>
        <v>1</v>
      </c>
      <c r="X72" s="5">
        <f t="shared" si="14"/>
        <v>-4125</v>
      </c>
      <c r="Y72" s="7">
        <f t="shared" si="15"/>
        <v>-8.3333333333333329E-2</v>
      </c>
      <c r="Z72" s="7">
        <f>IF(OR(AE72="",多次统计数据!$B$8=""),"",AE72-多次统计数据!$B$8)</f>
        <v>-8.3209252180163132E-2</v>
      </c>
      <c r="AA72" s="14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4.210270769616864E-2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-2.466942964278666E-2</v>
      </c>
    </row>
    <row r="73" spans="1:32" x14ac:dyDescent="0.15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9.0661213360599874E-2</v>
      </c>
      <c r="V73" s="7">
        <f t="shared" si="12"/>
        <v>4.5671438309475114E-2</v>
      </c>
      <c r="W73" s="13">
        <f t="shared" si="13"/>
        <v>1.985074626865672</v>
      </c>
      <c r="X73" s="5">
        <f t="shared" si="14"/>
        <v>-6384</v>
      </c>
      <c r="Y73" s="7">
        <f t="shared" si="15"/>
        <v>-0.10361281526925699</v>
      </c>
      <c r="Z73" s="7">
        <f>IF(OR(AE73="",多次统计数据!$B$8=""),"",AE73-多次统计数据!$B$8)</f>
        <v>-9.7684813523727237E-2</v>
      </c>
      <c r="AA73" s="14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4.210270769616864E-2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-3.9144990986350763E-2</v>
      </c>
    </row>
    <row r="74" spans="1:32" x14ac:dyDescent="0.15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7.7996195307546007E-2</v>
      </c>
      <c r="V74" s="7">
        <f t="shared" si="12"/>
        <v>4.8826886493341763E-2</v>
      </c>
      <c r="W74" s="13">
        <f t="shared" si="13"/>
        <v>1.5974025974025989</v>
      </c>
      <c r="X74" s="5">
        <f t="shared" si="14"/>
        <v>-960</v>
      </c>
      <c r="Y74" s="7">
        <f t="shared" si="15"/>
        <v>-1.5218769816106531E-2</v>
      </c>
      <c r="Z74" s="7">
        <f>IF(OR(AE74="",多次统计数据!$B$8=""),"",AE74-多次统计数据!$B$8)</f>
        <v>-6.4666100440657862E-2</v>
      </c>
      <c r="AA74" s="14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4.210270769616864E-2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-6.1262779032813875E-3</v>
      </c>
    </row>
    <row r="75" spans="1:32" x14ac:dyDescent="0.15">
      <c r="A75" s="2">
        <v>74</v>
      </c>
      <c r="B75" s="15" t="s">
        <v>245</v>
      </c>
      <c r="C75" s="9">
        <v>155742</v>
      </c>
      <c r="D75" s="6">
        <v>0.02</v>
      </c>
      <c r="E75" s="9">
        <v>4.59</v>
      </c>
      <c r="F75" s="8">
        <f t="shared" si="9"/>
        <v>5200</v>
      </c>
      <c r="G75" s="8" t="str">
        <f>IF(OR(A75="",F75="",E75="",N75="",E75&lt;=N75,账户数据!$B$7=""),"",IF(账户数据!$B$9+IF(H75="",F75*(E75-N75),0)&gt;=账户数据!$B$7,"禁止开仓","允许开仓"))</f>
        <v>允许开仓</v>
      </c>
      <c r="H75" s="2">
        <v>5200</v>
      </c>
      <c r="I75" s="10">
        <v>42622</v>
      </c>
      <c r="J75" s="9">
        <v>5.5</v>
      </c>
      <c r="K75" s="9">
        <v>5.72</v>
      </c>
      <c r="L75" s="8">
        <f t="shared" si="10"/>
        <v>5200</v>
      </c>
      <c r="M75" s="10">
        <v>42788</v>
      </c>
      <c r="N75" s="9">
        <v>4</v>
      </c>
      <c r="O75" s="9"/>
      <c r="P75" s="9"/>
      <c r="Q75" s="2"/>
      <c r="R75" s="2"/>
      <c r="S75" s="2"/>
      <c r="T75" s="2"/>
      <c r="U75" s="7">
        <f t="shared" si="11"/>
        <v>0.19825708061002181</v>
      </c>
      <c r="V75" s="7">
        <f t="shared" si="12"/>
        <v>0.12854030501089322</v>
      </c>
      <c r="W75" s="13">
        <f t="shared" si="13"/>
        <v>1.5423728813559328</v>
      </c>
      <c r="X75" s="5">
        <f t="shared" si="14"/>
        <v>5876</v>
      </c>
      <c r="Y75" s="7">
        <f t="shared" si="15"/>
        <v>0.24618736383442266</v>
      </c>
      <c r="Z75" s="7">
        <f>IF(OR(AE75="",多次统计数据!$B$8=""),"",AE75-多次统计数据!$B$8)</f>
        <v>-2.081075780210917E-2</v>
      </c>
      <c r="AA75" s="14">
        <f t="shared" si="16"/>
        <v>166</v>
      </c>
      <c r="AB75" s="7">
        <f>IF(OR(A75="",多次统计数据!$B$8="",多次统计数据!$B$6&lt;=0,多次统计数据!$B$6&gt;=1),"",1-POWER(1+多次统计数据!$B$8,-多次统计数据!$B$6/(1-多次统计数据!$B$6)))</f>
        <v>4.210270769616864E-2</v>
      </c>
      <c r="AC75" s="8" t="str">
        <f>IF(OR(AB75="",多次统计数据!$B$9=""),"",IF(多次统计数据!$B$9&lt;AB75,"低于上限","达到或超过上限"))</f>
        <v>低于上限</v>
      </c>
      <c r="AD75" s="2" t="s">
        <v>250</v>
      </c>
      <c r="AE75" s="7">
        <f t="shared" si="17"/>
        <v>3.7729064735267298E-2</v>
      </c>
      <c r="AF75" s="16" t="s">
        <v>251</v>
      </c>
    </row>
    <row r="76" spans="1:32" x14ac:dyDescent="0.15">
      <c r="A76" s="2">
        <v>75</v>
      </c>
      <c r="B76" s="15" t="s">
        <v>245</v>
      </c>
      <c r="C76" s="9">
        <v>161618</v>
      </c>
      <c r="D76" s="6">
        <v>0.02</v>
      </c>
      <c r="E76" s="9"/>
      <c r="F76" s="8"/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>
        <v>33.5</v>
      </c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3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4" t="str">
        <f t="shared" si="16"/>
        <v/>
      </c>
      <c r="AB76" s="7">
        <f>IF(OR(A76="",多次统计数据!$B$8="",多次统计数据!$B$6&lt;=0,多次统计数据!$B$6&gt;=1),"",1-POWER(1+多次统计数据!$B$8,-多次统计数据!$B$6/(1-多次统计数据!$B$6)))</f>
        <v>4.210270769616864E-2</v>
      </c>
      <c r="AC76" s="8" t="str">
        <f>IF(OR(AB76="",多次统计数据!$B$9=""),"",IF(多次统计数据!$B$9&lt;AB76,"低于上限","达到或超过上限"))</f>
        <v>低于上限</v>
      </c>
      <c r="AD76" s="2"/>
      <c r="AE76" s="7" t="str">
        <f t="shared" si="17"/>
        <v/>
      </c>
    </row>
    <row r="77" spans="1:32" x14ac:dyDescent="0.15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3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4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spans="1:32" x14ac:dyDescent="0.15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spans="1:32" x14ac:dyDescent="0.15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spans="1:32" x14ac:dyDescent="0.15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spans="1:31" x14ac:dyDescent="0.15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spans="1:31" x14ac:dyDescent="0.15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spans="1:31" x14ac:dyDescent="0.15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spans="1:31" x14ac:dyDescent="0.15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spans="1:31" x14ac:dyDescent="0.15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spans="1:31" x14ac:dyDescent="0.15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spans="1:31" x14ac:dyDescent="0.15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spans="1:31" x14ac:dyDescent="0.15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spans="1:31" x14ac:dyDescent="0.15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spans="1:31" x14ac:dyDescent="0.15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spans="1:31" x14ac:dyDescent="0.15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spans="1:31" x14ac:dyDescent="0.15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spans="1:31" x14ac:dyDescent="0.15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spans="1:31" x14ac:dyDescent="0.15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spans="1:31" x14ac:dyDescent="0.15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spans="1:31" x14ac:dyDescent="0.15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spans="1:31" x14ac:dyDescent="0.15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spans="1:31" x14ac:dyDescent="0.15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spans="1:31" x14ac:dyDescent="0.15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spans="1:31" x14ac:dyDescent="0.15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spans="1:31" x14ac:dyDescent="0.15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spans="1:31" x14ac:dyDescent="0.15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spans="1:31" x14ac:dyDescent="0.15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spans="1:31" x14ac:dyDescent="0.15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spans="1:31" x14ac:dyDescent="0.15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spans="1:31" x14ac:dyDescent="0.15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spans="1:31" x14ac:dyDescent="0.15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spans="1:31" x14ac:dyDescent="0.15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spans="1:31" x14ac:dyDescent="0.15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spans="1:31" x14ac:dyDescent="0.15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spans="1:31" x14ac:dyDescent="0.15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spans="1:31" x14ac:dyDescent="0.15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spans="1:31" x14ac:dyDescent="0.15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spans="1:31" x14ac:dyDescent="0.15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spans="1:31" x14ac:dyDescent="0.15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spans="1:31" x14ac:dyDescent="0.15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spans="1:31" x14ac:dyDescent="0.15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spans="1:31" x14ac:dyDescent="0.15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spans="1:31" x14ac:dyDescent="0.15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spans="1:31" x14ac:dyDescent="0.15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spans="1:31" x14ac:dyDescent="0.15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spans="1:31" x14ac:dyDescent="0.15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spans="1:31" x14ac:dyDescent="0.15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spans="1:31" x14ac:dyDescent="0.15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spans="1:31" x14ac:dyDescent="0.15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spans="1:31" x14ac:dyDescent="0.15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spans="1:31" x14ac:dyDescent="0.15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spans="1:31" x14ac:dyDescent="0.15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spans="1:31" x14ac:dyDescent="0.15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spans="1:31" x14ac:dyDescent="0.15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spans="1:31" x14ac:dyDescent="0.15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spans="1:31" x14ac:dyDescent="0.15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spans="1:31" x14ac:dyDescent="0.15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spans="1:31" x14ac:dyDescent="0.15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spans="1:31" x14ac:dyDescent="0.15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spans="1:31" x14ac:dyDescent="0.15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spans="1:31" x14ac:dyDescent="0.15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spans="1:31" x14ac:dyDescent="0.15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spans="1:31" x14ac:dyDescent="0.15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spans="1:31" x14ac:dyDescent="0.15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spans="1:31" x14ac:dyDescent="0.15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spans="1:31" x14ac:dyDescent="0.15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spans="1:31" x14ac:dyDescent="0.15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spans="1:31" x14ac:dyDescent="0.15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spans="1:31" x14ac:dyDescent="0.15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spans="1:31" x14ac:dyDescent="0.15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spans="1:31" x14ac:dyDescent="0.15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spans="1:31" x14ac:dyDescent="0.15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spans="1:31" x14ac:dyDescent="0.15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spans="1:31" x14ac:dyDescent="0.15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spans="1:31" x14ac:dyDescent="0.15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spans="1:31" x14ac:dyDescent="0.15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spans="1:31" x14ac:dyDescent="0.15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spans="1:31" x14ac:dyDescent="0.15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spans="1:31" x14ac:dyDescent="0.15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spans="1:31" x14ac:dyDescent="0.15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spans="1:31" x14ac:dyDescent="0.15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spans="1:31" x14ac:dyDescent="0.15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spans="1:31" x14ac:dyDescent="0.15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spans="1:31" x14ac:dyDescent="0.15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spans="1:31" x14ac:dyDescent="0.15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spans="1:31" x14ac:dyDescent="0.15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spans="1:31" x14ac:dyDescent="0.15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spans="1:31" x14ac:dyDescent="0.15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spans="1:31" x14ac:dyDescent="0.15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spans="1:31" x14ac:dyDescent="0.15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spans="1:31" x14ac:dyDescent="0.15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spans="1:31" x14ac:dyDescent="0.15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spans="1:31" x14ac:dyDescent="0.15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spans="1:31" x14ac:dyDescent="0.15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spans="1:31" x14ac:dyDescent="0.15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spans="1:31" x14ac:dyDescent="0.15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spans="1:31" x14ac:dyDescent="0.15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spans="1:31" x14ac:dyDescent="0.15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spans="1:31" x14ac:dyDescent="0.15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spans="1:31" x14ac:dyDescent="0.15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spans="1:31" x14ac:dyDescent="0.15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spans="1:31" x14ac:dyDescent="0.15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spans="1:31" x14ac:dyDescent="0.15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spans="1:31" x14ac:dyDescent="0.15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spans="1:31" x14ac:dyDescent="0.15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spans="1:31" x14ac:dyDescent="0.15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spans="1:31" x14ac:dyDescent="0.15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spans="1:31" x14ac:dyDescent="0.15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spans="1:31" x14ac:dyDescent="0.15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spans="1:31" x14ac:dyDescent="0.15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spans="1:31" x14ac:dyDescent="0.15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spans="1:31" x14ac:dyDescent="0.15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spans="1:31" x14ac:dyDescent="0.15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spans="1:31" x14ac:dyDescent="0.15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spans="1:31" x14ac:dyDescent="0.15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spans="1:31" x14ac:dyDescent="0.15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spans="1:31" x14ac:dyDescent="0.15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spans="1:31" x14ac:dyDescent="0.15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spans="1:31" x14ac:dyDescent="0.15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spans="1:31" x14ac:dyDescent="0.15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spans="1:31" x14ac:dyDescent="0.15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spans="1:31" x14ac:dyDescent="0.15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spans="1:31" x14ac:dyDescent="0.15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spans="1:31" x14ac:dyDescent="0.15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spans="1:31" x14ac:dyDescent="0.15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phoneticPr fontId="4" type="noConversion"/>
  <conditionalFormatting sqref="G2:G201">
    <cfRule type="expression" dxfId="12" priority="10">
      <formula>$G2="禁止开仓"</formula>
    </cfRule>
    <cfRule type="expression" dxfId="11" priority="11">
      <formula>$G2="允许开仓"</formula>
    </cfRule>
  </conditionalFormatting>
  <conditionalFormatting sqref="W2:W201">
    <cfRule type="cellIs" dxfId="10" priority="3" operator="lessThan">
      <formula>2</formula>
    </cfRule>
  </conditionalFormatting>
  <conditionalFormatting sqref="X2:X201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Y2:Y201">
    <cfRule type="cellIs" dxfId="7" priority="6" operator="greaterThan">
      <formula>0</formula>
    </cfRule>
    <cfRule type="cellIs" dxfId="6" priority="7" operator="lessThan">
      <formula>0</formula>
    </cfRule>
  </conditionalFormatting>
  <conditionalFormatting sqref="AC2:AC201">
    <cfRule type="expression" dxfId="5" priority="4">
      <formula>$AC2="达到或超过上限"</formula>
    </cfRule>
    <cfRule type="expression" dxfId="4" priority="5">
      <formula>$AC2="低于上限"</formula>
    </cfRule>
  </conditionalFormatting>
  <conditionalFormatting sqref="AE2:AE201">
    <cfRule type="cellIs" dxfId="3" priority="8" operator="greaterThan">
      <formula>0</formula>
    </cfRule>
    <cfRule type="cellIs" dxfId="2" priority="9" operator="lessThan">
      <formula>0</formula>
    </cfRule>
  </conditionalFormatting>
  <dataValidations count="8">
    <dataValidation type="decimal" operator="greaterThan" allowBlank="1" sqref="C2 C4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qref="M2:M201" xr:uid="{00000000-0002-0000-0000-000002000000}">
      <formula1>OR(M2="",AND(ISNUMBER(M2),M2&gt;=I2))</formula1>
    </dataValidation>
    <dataValidation type="custom" allowBlank="1" showErrorMessage="1" errorTitle="实际买入股数无效" error="实际买入股数必须是大于0的100股整数倍" sqref="H2:H201" xr:uid="{00000000-0002-0000-0000-000003000000}">
      <formula1>OR(H2="",AND(ISNUMBER(H2),H2&gt;0,MOD(H2,100)=0))</formula1>
    </dataValidation>
    <dataValidation type="date" allowBlank="1" sqref="I2:I201" xr:uid="{00000000-0002-0000-0000-000004000000}">
      <formula1>DATE(2000,1,1)</formula1>
      <formula2>DATE(2100,12,31)</formula2>
    </dataValidation>
    <dataValidation type="custom" allowBlank="1" sqref="L2:L201" xr:uid="{00000000-0002-0000-0000-000005000000}">
      <formula1>OR(L2="",L2=H2)</formula1>
    </dataValidation>
    <dataValidation type="list" allowBlank="1" sqref="AD2:AD201" xr:uid="{00000000-0002-0000-0000-000006000000}">
      <formula1>"1-差,2-较差,3-一般,4-良好,5-优秀"</formula1>
    </dataValidation>
    <dataValidation type="decimal" operator="greaterThanOrEqual" allowBlank="1" sqref="O2:P201" xr:uid="{00000000-0002-0000-00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1"/>
  <sheetViews>
    <sheetView workbookViewId="0">
      <pane ySplit="1" topLeftCell="A66" activePane="bottomLeft" state="frozen"/>
      <selection pane="bottomLeft" activeCell="G72" sqref="G72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1" ht="42" customHeight="1" x14ac:dyDescent="0.15">
      <c r="A1" s="1" t="s">
        <v>0</v>
      </c>
      <c r="B1" s="1" t="s">
        <v>1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t="s">
        <v>31</v>
      </c>
      <c r="K1" t="s">
        <v>248</v>
      </c>
    </row>
    <row r="2" spans="1:11" ht="27" x14ac:dyDescent="0.15">
      <c r="A2" s="2">
        <v>1</v>
      </c>
      <c r="B2" s="2"/>
      <c r="C2" s="2"/>
      <c r="D2" s="2"/>
      <c r="E2" s="10"/>
      <c r="F2" s="2"/>
      <c r="G2" s="2"/>
      <c r="H2" s="2"/>
      <c r="I2" s="2" t="s">
        <v>66</v>
      </c>
    </row>
    <row r="3" spans="1:11" ht="40.5" x14ac:dyDescent="0.15">
      <c r="A3" s="2"/>
      <c r="B3" s="2"/>
      <c r="C3" s="2"/>
      <c r="D3" s="2"/>
      <c r="E3" s="10"/>
      <c r="F3" s="2"/>
      <c r="G3" s="2"/>
      <c r="H3" s="2"/>
      <c r="I3" s="2" t="s">
        <v>67</v>
      </c>
    </row>
    <row r="4" spans="1:11" ht="27" x14ac:dyDescent="0.15">
      <c r="A4" s="2"/>
      <c r="B4" s="2"/>
      <c r="C4" s="2"/>
      <c r="D4" s="2"/>
      <c r="E4" s="10"/>
      <c r="F4" s="2"/>
      <c r="G4" s="2"/>
      <c r="H4" s="2"/>
      <c r="I4" s="2" t="s">
        <v>68</v>
      </c>
    </row>
    <row r="5" spans="1:11" ht="27" x14ac:dyDescent="0.15">
      <c r="A5" s="2"/>
      <c r="B5" s="2"/>
      <c r="C5" s="2"/>
      <c r="D5" s="2"/>
      <c r="E5" s="10"/>
      <c r="F5" s="2"/>
      <c r="G5" s="2"/>
      <c r="H5" s="2"/>
      <c r="I5" s="11" t="s">
        <v>69</v>
      </c>
    </row>
    <row r="6" spans="1:11" ht="27" x14ac:dyDescent="0.15">
      <c r="A6" s="2"/>
      <c r="B6" s="2"/>
      <c r="C6" s="2"/>
      <c r="D6" s="2"/>
      <c r="E6" s="10"/>
      <c r="F6" s="2"/>
      <c r="G6" s="2"/>
      <c r="H6" s="2"/>
      <c r="I6" s="11" t="s">
        <v>70</v>
      </c>
      <c r="J6" s="12" t="s">
        <v>71</v>
      </c>
    </row>
    <row r="7" spans="1:11" x14ac:dyDescent="0.15">
      <c r="A7" s="2"/>
      <c r="B7" s="2"/>
      <c r="C7" s="2"/>
      <c r="D7" s="2"/>
      <c r="E7" s="10"/>
      <c r="F7" s="2"/>
      <c r="G7" s="2"/>
      <c r="H7" s="2"/>
      <c r="I7" s="11" t="s">
        <v>72</v>
      </c>
    </row>
    <row r="8" spans="1:11" x14ac:dyDescent="0.15">
      <c r="A8" s="2"/>
      <c r="B8" s="2"/>
      <c r="C8" s="2"/>
      <c r="D8" s="2"/>
      <c r="E8" s="10"/>
      <c r="F8" s="2"/>
      <c r="G8" s="2"/>
      <c r="H8" s="2"/>
      <c r="I8" s="2"/>
    </row>
    <row r="9" spans="1:11" x14ac:dyDescent="0.15">
      <c r="A9" s="2"/>
      <c r="B9" s="2"/>
      <c r="C9" s="2"/>
      <c r="D9" s="2"/>
      <c r="E9" s="10"/>
      <c r="F9" s="2"/>
      <c r="G9" s="2"/>
      <c r="H9" s="2"/>
      <c r="I9" s="2"/>
    </row>
    <row r="10" spans="1:11" ht="27" x14ac:dyDescent="0.15">
      <c r="A10" s="2">
        <v>9</v>
      </c>
      <c r="B10" s="2"/>
      <c r="C10" s="2"/>
      <c r="D10" s="2"/>
      <c r="E10" s="10"/>
      <c r="F10" s="2"/>
      <c r="G10" s="2"/>
      <c r="H10" s="2"/>
      <c r="I10" s="11" t="s">
        <v>73</v>
      </c>
    </row>
    <row r="11" spans="1:11" ht="27" x14ac:dyDescent="0.15">
      <c r="A11" s="2">
        <v>11</v>
      </c>
      <c r="B11" s="2"/>
      <c r="C11" s="2"/>
      <c r="D11" s="2"/>
      <c r="E11" s="10"/>
      <c r="F11" s="2"/>
      <c r="G11" s="2"/>
      <c r="H11" s="2"/>
      <c r="I11" s="11" t="s">
        <v>74</v>
      </c>
    </row>
    <row r="12" spans="1:11" ht="27" x14ac:dyDescent="0.15">
      <c r="A12" s="2">
        <v>14</v>
      </c>
      <c r="B12" s="2"/>
      <c r="C12" s="2"/>
      <c r="D12" s="2"/>
      <c r="E12" s="10"/>
      <c r="F12" s="2"/>
      <c r="G12" s="2"/>
      <c r="H12" s="2"/>
      <c r="I12" s="2" t="s">
        <v>75</v>
      </c>
    </row>
    <row r="13" spans="1:11" ht="27" x14ac:dyDescent="0.15">
      <c r="A13" s="2">
        <v>15</v>
      </c>
      <c r="B13" s="2"/>
      <c r="C13" s="2"/>
      <c r="D13" s="2"/>
      <c r="E13" s="10"/>
      <c r="F13" s="2"/>
      <c r="G13" s="2"/>
      <c r="H13" s="2"/>
      <c r="I13" s="2" t="s">
        <v>76</v>
      </c>
    </row>
    <row r="14" spans="1:11" ht="27" x14ac:dyDescent="0.15">
      <c r="A14" s="2">
        <v>16</v>
      </c>
      <c r="B14" s="2"/>
      <c r="C14" s="2"/>
      <c r="D14" s="2"/>
      <c r="E14" s="10"/>
      <c r="F14" s="2"/>
      <c r="G14" s="2"/>
      <c r="H14" s="2"/>
      <c r="I14" s="2" t="s">
        <v>77</v>
      </c>
    </row>
    <row r="15" spans="1:11" ht="27" x14ac:dyDescent="0.15">
      <c r="A15" s="2">
        <v>17</v>
      </c>
      <c r="B15" s="2"/>
      <c r="C15" s="2"/>
      <c r="D15" s="2"/>
      <c r="E15" s="10"/>
      <c r="F15" s="2"/>
      <c r="G15" s="2"/>
      <c r="H15" s="2"/>
      <c r="I15" s="2" t="s">
        <v>78</v>
      </c>
    </row>
    <row r="16" spans="1:11" ht="40.5" x14ac:dyDescent="0.15">
      <c r="A16" s="2">
        <v>18</v>
      </c>
      <c r="B16" s="2"/>
      <c r="C16" s="2"/>
      <c r="D16" s="2"/>
      <c r="E16" s="10"/>
      <c r="F16" s="2"/>
      <c r="G16" s="2"/>
      <c r="H16" s="2"/>
      <c r="I16" s="2" t="s">
        <v>79</v>
      </c>
    </row>
    <row r="17" spans="1:9" ht="27" x14ac:dyDescent="0.15">
      <c r="A17" s="2">
        <v>19</v>
      </c>
      <c r="B17" s="2"/>
      <c r="C17" s="2"/>
      <c r="D17" s="2"/>
      <c r="E17" s="10"/>
      <c r="F17" s="2"/>
      <c r="G17" s="2"/>
      <c r="H17" s="2"/>
      <c r="I17" s="2" t="s">
        <v>80</v>
      </c>
    </row>
    <row r="18" spans="1:9" ht="27" x14ac:dyDescent="0.15">
      <c r="A18" s="2">
        <v>20</v>
      </c>
      <c r="B18" s="2"/>
      <c r="C18" s="2"/>
      <c r="D18" s="2"/>
      <c r="E18" s="10"/>
      <c r="F18" s="2"/>
      <c r="G18" s="2"/>
      <c r="H18" s="2"/>
      <c r="I18" s="2" t="s">
        <v>81</v>
      </c>
    </row>
    <row r="19" spans="1:9" ht="27" x14ac:dyDescent="0.15">
      <c r="A19" s="2">
        <v>21</v>
      </c>
      <c r="B19" s="2"/>
      <c r="C19" s="2"/>
      <c r="D19" s="2"/>
      <c r="E19" s="10"/>
      <c r="F19" s="2"/>
      <c r="G19" s="2"/>
      <c r="H19" s="2"/>
      <c r="I19" s="2" t="s">
        <v>82</v>
      </c>
    </row>
    <row r="20" spans="1:9" ht="27" x14ac:dyDescent="0.15">
      <c r="A20" s="2">
        <v>22</v>
      </c>
      <c r="B20" s="2"/>
      <c r="C20" s="2"/>
      <c r="D20" s="2"/>
      <c r="E20" s="10"/>
      <c r="F20" s="2"/>
      <c r="G20" s="2"/>
      <c r="H20" s="2"/>
      <c r="I20" s="2" t="s">
        <v>83</v>
      </c>
    </row>
    <row r="21" spans="1:9" ht="27" x14ac:dyDescent="0.15">
      <c r="A21" s="2">
        <v>23</v>
      </c>
      <c r="B21" s="2"/>
      <c r="C21" s="2"/>
      <c r="D21" s="2"/>
      <c r="E21" s="10"/>
      <c r="F21" s="2"/>
      <c r="G21" s="2"/>
      <c r="H21" s="2"/>
      <c r="I21" s="2" t="s">
        <v>84</v>
      </c>
    </row>
    <row r="22" spans="1:9" ht="27" x14ac:dyDescent="0.15">
      <c r="A22" s="2">
        <v>24</v>
      </c>
      <c r="B22" s="2"/>
      <c r="C22" s="2"/>
      <c r="D22" s="2"/>
      <c r="E22" s="10"/>
      <c r="F22" s="2"/>
      <c r="G22" s="2"/>
      <c r="H22" s="2"/>
      <c r="I22" s="2" t="s">
        <v>85</v>
      </c>
    </row>
    <row r="23" spans="1:9" ht="40.5" x14ac:dyDescent="0.15">
      <c r="A23" s="2">
        <v>25</v>
      </c>
      <c r="B23" s="2"/>
      <c r="C23" s="2"/>
      <c r="D23" s="2"/>
      <c r="E23" s="10"/>
      <c r="F23" s="2"/>
      <c r="G23" s="2"/>
      <c r="H23" s="2"/>
      <c r="I23" s="2" t="s">
        <v>86</v>
      </c>
    </row>
    <row r="24" spans="1:9" ht="27" x14ac:dyDescent="0.15">
      <c r="A24" s="2">
        <v>26</v>
      </c>
      <c r="B24" s="2"/>
      <c r="C24" s="2"/>
      <c r="D24" s="2"/>
      <c r="E24" s="10"/>
      <c r="F24" s="2"/>
      <c r="G24" s="2"/>
      <c r="H24" s="2"/>
      <c r="I24" s="2" t="s">
        <v>87</v>
      </c>
    </row>
    <row r="25" spans="1:9" ht="27" x14ac:dyDescent="0.15">
      <c r="A25" s="2">
        <v>27</v>
      </c>
      <c r="B25" s="2"/>
      <c r="C25" s="2"/>
      <c r="D25" s="2"/>
      <c r="E25" s="10"/>
      <c r="F25" s="2"/>
      <c r="G25" s="2"/>
      <c r="H25" s="2"/>
      <c r="I25" s="2" t="s">
        <v>88</v>
      </c>
    </row>
    <row r="26" spans="1:9" ht="40.5" x14ac:dyDescent="0.15">
      <c r="A26" s="2">
        <v>28</v>
      </c>
      <c r="B26" s="2"/>
      <c r="C26" s="2"/>
      <c r="D26" s="2"/>
      <c r="E26" s="10"/>
      <c r="F26" s="2"/>
      <c r="G26" s="2"/>
      <c r="H26" s="2"/>
      <c r="I26" s="2" t="s">
        <v>89</v>
      </c>
    </row>
    <row r="27" spans="1:9" ht="27" x14ac:dyDescent="0.15">
      <c r="A27" s="2">
        <v>29</v>
      </c>
      <c r="B27" s="2"/>
      <c r="C27" s="2"/>
      <c r="D27" s="2"/>
      <c r="E27" s="10"/>
      <c r="F27" s="2"/>
      <c r="G27" s="2"/>
      <c r="H27" s="2"/>
      <c r="I27" s="2" t="s">
        <v>90</v>
      </c>
    </row>
    <row r="28" spans="1:9" ht="27" x14ac:dyDescent="0.15">
      <c r="A28" s="2">
        <v>30</v>
      </c>
      <c r="B28" s="2"/>
      <c r="C28" s="2"/>
      <c r="D28" s="2"/>
      <c r="E28" s="10"/>
      <c r="F28" s="2"/>
      <c r="G28" s="2"/>
      <c r="H28" s="2"/>
      <c r="I28" s="2" t="s">
        <v>91</v>
      </c>
    </row>
    <row r="29" spans="1:9" ht="27" x14ac:dyDescent="0.15">
      <c r="A29" s="2">
        <v>31</v>
      </c>
      <c r="B29" s="2"/>
      <c r="C29" s="2"/>
      <c r="D29" s="2"/>
      <c r="E29" s="10"/>
      <c r="F29" s="2"/>
      <c r="G29" s="2"/>
      <c r="H29" s="2"/>
      <c r="I29" s="2" t="s">
        <v>92</v>
      </c>
    </row>
    <row r="30" spans="1:9" ht="27" x14ac:dyDescent="0.15">
      <c r="A30" s="2">
        <v>32</v>
      </c>
      <c r="B30" s="2"/>
      <c r="C30" s="2"/>
      <c r="D30" s="2"/>
      <c r="E30" s="10"/>
      <c r="F30" s="2"/>
      <c r="G30" s="2"/>
      <c r="H30" s="2"/>
      <c r="I30" s="2" t="s">
        <v>93</v>
      </c>
    </row>
    <row r="31" spans="1:9" ht="27" x14ac:dyDescent="0.15">
      <c r="A31" s="2">
        <v>33</v>
      </c>
      <c r="B31" s="2"/>
      <c r="C31" s="2"/>
      <c r="D31" s="2"/>
      <c r="E31" s="10"/>
      <c r="F31" s="2"/>
      <c r="G31" s="2"/>
      <c r="H31" s="2"/>
      <c r="I31" s="2" t="s">
        <v>94</v>
      </c>
    </row>
    <row r="32" spans="1:9" ht="27" x14ac:dyDescent="0.15">
      <c r="A32" s="2">
        <v>34</v>
      </c>
      <c r="B32" s="2"/>
      <c r="C32" s="2"/>
      <c r="D32" s="2"/>
      <c r="E32" s="10"/>
      <c r="F32" s="2"/>
      <c r="G32" s="2"/>
      <c r="H32" s="2"/>
      <c r="I32" s="2" t="s">
        <v>95</v>
      </c>
    </row>
    <row r="33" spans="1:9" x14ac:dyDescent="0.15">
      <c r="A33" s="2">
        <v>35</v>
      </c>
      <c r="B33" s="2"/>
      <c r="C33" s="2"/>
      <c r="D33" s="2"/>
      <c r="E33" s="10"/>
      <c r="F33" s="2"/>
      <c r="G33" s="2"/>
      <c r="H33" s="2"/>
      <c r="I33" s="2" t="s">
        <v>96</v>
      </c>
    </row>
    <row r="34" spans="1:9" ht="27" x14ac:dyDescent="0.15">
      <c r="A34" s="2">
        <v>36</v>
      </c>
      <c r="B34" s="2"/>
      <c r="C34" s="2"/>
      <c r="D34" s="2"/>
      <c r="E34" s="10"/>
      <c r="F34" s="2"/>
      <c r="G34" s="2"/>
      <c r="H34" s="2"/>
      <c r="I34" s="2" t="s">
        <v>97</v>
      </c>
    </row>
    <row r="35" spans="1:9" ht="27" x14ac:dyDescent="0.15">
      <c r="A35" s="2">
        <v>37</v>
      </c>
      <c r="B35" s="2"/>
      <c r="C35" s="2"/>
      <c r="D35" s="2"/>
      <c r="E35" s="10"/>
      <c r="F35" s="2"/>
      <c r="G35" s="2"/>
      <c r="H35" s="2"/>
      <c r="I35" s="2" t="s">
        <v>98</v>
      </c>
    </row>
    <row r="36" spans="1:9" ht="40.5" x14ac:dyDescent="0.15">
      <c r="A36" s="2">
        <v>38</v>
      </c>
      <c r="B36" s="2"/>
      <c r="C36" s="2"/>
      <c r="D36" s="2"/>
      <c r="E36" s="10"/>
      <c r="F36" s="2"/>
      <c r="G36" s="2"/>
      <c r="H36" s="2"/>
      <c r="I36" s="2" t="s">
        <v>99</v>
      </c>
    </row>
    <row r="37" spans="1:9" x14ac:dyDescent="0.15">
      <c r="A37" s="2">
        <v>39</v>
      </c>
      <c r="B37" s="2"/>
      <c r="C37" s="2"/>
      <c r="D37" s="2"/>
      <c r="E37" s="10"/>
      <c r="F37" s="2"/>
      <c r="G37" s="2"/>
      <c r="H37" s="2"/>
      <c r="I37" s="2" t="s">
        <v>100</v>
      </c>
    </row>
    <row r="38" spans="1:9" ht="27" x14ac:dyDescent="0.15">
      <c r="A38" s="2">
        <v>40</v>
      </c>
      <c r="B38" s="2"/>
      <c r="C38" s="2"/>
      <c r="D38" s="2"/>
      <c r="E38" s="10"/>
      <c r="F38" s="2"/>
      <c r="G38" s="2"/>
      <c r="H38" s="2"/>
      <c r="I38" s="2" t="s">
        <v>101</v>
      </c>
    </row>
    <row r="39" spans="1:9" x14ac:dyDescent="0.15">
      <c r="A39" s="2">
        <v>41</v>
      </c>
      <c r="B39" s="2"/>
      <c r="C39" s="2"/>
      <c r="D39" s="2"/>
      <c r="E39" s="10"/>
      <c r="F39" s="2"/>
      <c r="G39" s="2"/>
      <c r="H39" s="2"/>
      <c r="I39" s="2" t="s">
        <v>102</v>
      </c>
    </row>
    <row r="40" spans="1:9" x14ac:dyDescent="0.15">
      <c r="A40" s="2">
        <v>42</v>
      </c>
      <c r="B40" s="2"/>
      <c r="C40" s="2"/>
      <c r="D40" s="2"/>
      <c r="E40" s="10"/>
      <c r="F40" s="2"/>
      <c r="G40" s="2"/>
      <c r="H40" s="2"/>
      <c r="I40" s="2" t="s">
        <v>103</v>
      </c>
    </row>
    <row r="41" spans="1:9" x14ac:dyDescent="0.15">
      <c r="A41" s="2">
        <v>43</v>
      </c>
      <c r="B41" s="2"/>
      <c r="C41" s="2"/>
      <c r="D41" s="2"/>
      <c r="E41" s="10"/>
      <c r="F41" s="2"/>
      <c r="G41" s="2"/>
      <c r="H41" s="2"/>
      <c r="I41" s="2" t="s">
        <v>104</v>
      </c>
    </row>
    <row r="42" spans="1:9" ht="27" x14ac:dyDescent="0.15">
      <c r="A42" s="2">
        <v>44</v>
      </c>
      <c r="B42" s="2"/>
      <c r="C42" s="2"/>
      <c r="D42" s="2"/>
      <c r="E42" s="10"/>
      <c r="F42" s="2"/>
      <c r="G42" s="2"/>
      <c r="H42" s="2"/>
      <c r="I42" s="2" t="s">
        <v>105</v>
      </c>
    </row>
    <row r="43" spans="1:9" ht="27" x14ac:dyDescent="0.15">
      <c r="A43" s="2">
        <v>45</v>
      </c>
      <c r="B43" s="2"/>
      <c r="C43" s="2"/>
      <c r="D43" s="2"/>
      <c r="E43" s="10"/>
      <c r="F43" s="2"/>
      <c r="G43" s="2"/>
      <c r="H43" s="2"/>
      <c r="I43" s="2" t="s">
        <v>106</v>
      </c>
    </row>
    <row r="44" spans="1:9" ht="27" x14ac:dyDescent="0.15">
      <c r="A44" s="2">
        <v>46</v>
      </c>
      <c r="B44" s="2"/>
      <c r="C44" s="2"/>
      <c r="D44" s="2"/>
      <c r="E44" s="10"/>
      <c r="F44" s="2"/>
      <c r="G44" s="2"/>
      <c r="H44" s="2"/>
      <c r="I44" s="2" t="s">
        <v>107</v>
      </c>
    </row>
    <row r="45" spans="1:9" x14ac:dyDescent="0.15">
      <c r="A45" s="2">
        <v>47</v>
      </c>
      <c r="B45" s="2"/>
      <c r="C45" s="2"/>
      <c r="D45" s="2"/>
      <c r="E45" s="10"/>
      <c r="F45" s="2"/>
      <c r="G45" s="2"/>
      <c r="H45" s="2"/>
      <c r="I45" s="2" t="s">
        <v>108</v>
      </c>
    </row>
    <row r="46" spans="1:9" x14ac:dyDescent="0.15">
      <c r="A46" s="2">
        <v>48</v>
      </c>
      <c r="B46" s="2"/>
      <c r="C46" s="2"/>
      <c r="D46" s="2"/>
      <c r="E46" s="10"/>
      <c r="F46" s="2"/>
      <c r="G46" s="2"/>
      <c r="H46" s="2"/>
      <c r="I46" s="2" t="s">
        <v>109</v>
      </c>
    </row>
    <row r="47" spans="1:9" x14ac:dyDescent="0.15">
      <c r="A47" s="2">
        <v>49</v>
      </c>
      <c r="B47" s="2"/>
      <c r="C47" s="2"/>
      <c r="D47" s="2"/>
      <c r="E47" s="10"/>
      <c r="F47" s="2"/>
      <c r="G47" s="2"/>
      <c r="H47" s="2"/>
      <c r="I47" s="2" t="s">
        <v>110</v>
      </c>
    </row>
    <row r="48" spans="1:9" x14ac:dyDescent="0.15">
      <c r="A48" s="2">
        <v>50</v>
      </c>
      <c r="B48" s="2"/>
      <c r="C48" s="2"/>
      <c r="D48" s="2"/>
      <c r="E48" s="10"/>
      <c r="F48" s="2"/>
      <c r="G48" s="2"/>
      <c r="H48" s="2"/>
      <c r="I48" s="2" t="s">
        <v>111</v>
      </c>
    </row>
    <row r="49" spans="1:9" x14ac:dyDescent="0.15">
      <c r="A49" s="2">
        <v>51</v>
      </c>
      <c r="B49" s="2"/>
      <c r="C49" s="2"/>
      <c r="D49" s="2"/>
      <c r="E49" s="10"/>
      <c r="F49" s="2"/>
      <c r="G49" s="2"/>
      <c r="H49" s="2"/>
      <c r="I49" s="2" t="s">
        <v>112</v>
      </c>
    </row>
    <row r="50" spans="1:9" ht="27" x14ac:dyDescent="0.15">
      <c r="A50" s="2">
        <v>52</v>
      </c>
      <c r="B50" s="2"/>
      <c r="C50" s="2"/>
      <c r="D50" s="2"/>
      <c r="E50" s="10"/>
      <c r="F50" s="2"/>
      <c r="G50" s="2"/>
      <c r="H50" s="2"/>
      <c r="I50" s="2" t="s">
        <v>113</v>
      </c>
    </row>
    <row r="51" spans="1:9" ht="27" x14ac:dyDescent="0.15">
      <c r="A51" s="2">
        <v>53</v>
      </c>
      <c r="B51" s="2"/>
      <c r="C51" s="2"/>
      <c r="D51" s="2"/>
      <c r="E51" s="10"/>
      <c r="F51" s="2"/>
      <c r="G51" s="2"/>
      <c r="H51" s="2"/>
      <c r="I51" s="2" t="s">
        <v>114</v>
      </c>
    </row>
    <row r="52" spans="1:9" ht="27" x14ac:dyDescent="0.15">
      <c r="A52" s="2">
        <v>54</v>
      </c>
      <c r="B52" s="2"/>
      <c r="C52" s="2"/>
      <c r="D52" s="2"/>
      <c r="E52" s="10"/>
      <c r="F52" s="2"/>
      <c r="G52" s="2"/>
      <c r="H52" s="2"/>
      <c r="I52" s="2" t="s">
        <v>115</v>
      </c>
    </row>
    <row r="53" spans="1:9" ht="27" x14ac:dyDescent="0.15">
      <c r="A53" s="2">
        <v>55</v>
      </c>
      <c r="B53" s="2"/>
      <c r="C53" s="2"/>
      <c r="D53" s="2"/>
      <c r="E53" s="10"/>
      <c r="F53" s="2"/>
      <c r="G53" s="2"/>
      <c r="H53" s="2"/>
      <c r="I53" s="2" t="s">
        <v>116</v>
      </c>
    </row>
    <row r="54" spans="1:9" ht="27" x14ac:dyDescent="0.15">
      <c r="A54" s="2">
        <v>56</v>
      </c>
      <c r="B54" s="2"/>
      <c r="C54" s="2"/>
      <c r="D54" s="2"/>
      <c r="E54" s="10"/>
      <c r="F54" s="2"/>
      <c r="G54" s="2"/>
      <c r="H54" s="2"/>
      <c r="I54" s="2" t="s">
        <v>117</v>
      </c>
    </row>
    <row r="55" spans="1:9" ht="27" x14ac:dyDescent="0.15">
      <c r="A55" s="2">
        <v>57</v>
      </c>
      <c r="B55" s="2"/>
      <c r="C55" s="2"/>
      <c r="D55" s="2"/>
      <c r="E55" s="10"/>
      <c r="F55" s="2"/>
      <c r="G55" s="2"/>
      <c r="H55" s="2"/>
      <c r="I55" s="2" t="s">
        <v>118</v>
      </c>
    </row>
    <row r="56" spans="1:9" ht="27" x14ac:dyDescent="0.15">
      <c r="A56" s="2">
        <v>58</v>
      </c>
      <c r="B56" s="2"/>
      <c r="C56" s="2"/>
      <c r="D56" s="2"/>
      <c r="E56" s="10"/>
      <c r="F56" s="2"/>
      <c r="G56" s="2"/>
      <c r="H56" s="2"/>
      <c r="I56" s="2" t="s">
        <v>119</v>
      </c>
    </row>
    <row r="57" spans="1:9" ht="27" x14ac:dyDescent="0.15">
      <c r="A57" s="2">
        <v>59</v>
      </c>
      <c r="B57" s="2"/>
      <c r="C57" s="2"/>
      <c r="D57" s="2"/>
      <c r="E57" s="10"/>
      <c r="F57" s="2"/>
      <c r="G57" s="2"/>
      <c r="H57" s="2"/>
      <c r="I57" s="2" t="s">
        <v>120</v>
      </c>
    </row>
    <row r="58" spans="1:9" x14ac:dyDescent="0.15">
      <c r="A58" s="2">
        <v>60</v>
      </c>
      <c r="B58" s="2"/>
      <c r="C58" s="2"/>
      <c r="D58" s="2"/>
      <c r="E58" s="10"/>
      <c r="F58" s="2"/>
      <c r="G58" s="2"/>
      <c r="H58" s="2"/>
      <c r="I58" s="2" t="s">
        <v>121</v>
      </c>
    </row>
    <row r="59" spans="1:9" ht="27" x14ac:dyDescent="0.15">
      <c r="A59" s="2">
        <v>61</v>
      </c>
      <c r="B59" s="2"/>
      <c r="C59" s="2"/>
      <c r="D59" s="2"/>
      <c r="E59" s="10"/>
      <c r="F59" s="2"/>
      <c r="G59" s="2"/>
      <c r="H59" s="2"/>
      <c r="I59" s="2" t="s">
        <v>122</v>
      </c>
    </row>
    <row r="60" spans="1:9" ht="27" x14ac:dyDescent="0.15">
      <c r="A60" s="2">
        <v>62</v>
      </c>
      <c r="B60" s="2"/>
      <c r="C60" s="2"/>
      <c r="D60" s="2"/>
      <c r="E60" s="10"/>
      <c r="F60" s="2"/>
      <c r="G60" s="2"/>
      <c r="H60" s="2"/>
      <c r="I60" s="2" t="s">
        <v>123</v>
      </c>
    </row>
    <row r="61" spans="1:9" ht="27" x14ac:dyDescent="0.15">
      <c r="A61" s="2">
        <v>63</v>
      </c>
      <c r="B61" s="2"/>
      <c r="C61" s="2"/>
      <c r="D61" s="2"/>
      <c r="E61" s="10"/>
      <c r="F61" s="2"/>
      <c r="G61" s="2"/>
      <c r="H61" s="2"/>
      <c r="I61" s="2" t="s">
        <v>124</v>
      </c>
    </row>
    <row r="62" spans="1:9" ht="27" x14ac:dyDescent="0.15">
      <c r="A62" s="2">
        <v>64</v>
      </c>
      <c r="B62" s="2"/>
      <c r="C62" s="2"/>
      <c r="D62" s="2"/>
      <c r="E62" s="10"/>
      <c r="F62" s="2"/>
      <c r="G62" s="2"/>
      <c r="H62" s="2"/>
      <c r="I62" s="2" t="s">
        <v>125</v>
      </c>
    </row>
    <row r="63" spans="1:9" ht="27" x14ac:dyDescent="0.15">
      <c r="A63" s="2">
        <v>65</v>
      </c>
      <c r="B63" s="2"/>
      <c r="C63" s="2"/>
      <c r="D63" s="2"/>
      <c r="E63" s="10"/>
      <c r="F63" s="2"/>
      <c r="G63" s="2"/>
      <c r="H63" s="2"/>
      <c r="I63" s="2" t="s">
        <v>126</v>
      </c>
    </row>
    <row r="64" spans="1:9" ht="27" x14ac:dyDescent="0.15">
      <c r="A64" s="2">
        <v>66</v>
      </c>
      <c r="B64" s="2"/>
      <c r="C64" s="2"/>
      <c r="D64" s="2"/>
      <c r="E64" s="10"/>
      <c r="F64" s="2"/>
      <c r="G64" s="2"/>
      <c r="H64" s="2"/>
      <c r="I64" s="2" t="s">
        <v>127</v>
      </c>
    </row>
    <row r="65" spans="1:11" ht="27" x14ac:dyDescent="0.15">
      <c r="A65" s="2">
        <v>67</v>
      </c>
      <c r="B65" s="2"/>
      <c r="C65" s="2"/>
      <c r="D65" s="2"/>
      <c r="E65" s="10"/>
      <c r="F65" s="2"/>
      <c r="G65" s="2"/>
      <c r="H65" s="2"/>
      <c r="I65" s="2" t="s">
        <v>128</v>
      </c>
    </row>
    <row r="66" spans="1:11" x14ac:dyDescent="0.15">
      <c r="A66" s="2">
        <v>68</v>
      </c>
      <c r="B66" s="2"/>
      <c r="C66" s="2"/>
      <c r="D66" s="2"/>
      <c r="E66" s="10"/>
      <c r="F66" s="2"/>
      <c r="G66" s="2"/>
      <c r="H66" s="2"/>
      <c r="I66" s="2" t="s">
        <v>129</v>
      </c>
    </row>
    <row r="67" spans="1:11" x14ac:dyDescent="0.15">
      <c r="A67" s="2">
        <v>69</v>
      </c>
      <c r="B67" s="2"/>
      <c r="C67" s="2"/>
      <c r="D67" s="2"/>
      <c r="E67" s="10"/>
      <c r="F67" s="2"/>
      <c r="G67" s="2"/>
      <c r="H67" s="2"/>
      <c r="I67" s="2" t="s">
        <v>130</v>
      </c>
    </row>
    <row r="68" spans="1:11" ht="27" x14ac:dyDescent="0.15">
      <c r="A68" s="2">
        <v>70</v>
      </c>
      <c r="B68" s="2"/>
      <c r="C68" s="2"/>
      <c r="D68" s="2"/>
      <c r="E68" s="10"/>
      <c r="F68" s="2"/>
      <c r="G68" s="2"/>
      <c r="H68" s="2"/>
      <c r="I68" s="2" t="s">
        <v>131</v>
      </c>
    </row>
    <row r="69" spans="1:11" x14ac:dyDescent="0.15">
      <c r="A69" s="2">
        <v>71</v>
      </c>
      <c r="B69" s="2"/>
      <c r="C69" s="2"/>
      <c r="D69" s="2"/>
      <c r="E69" s="10"/>
      <c r="F69" s="2"/>
      <c r="G69" s="2"/>
      <c r="H69" s="2"/>
      <c r="I69" s="2" t="s">
        <v>132</v>
      </c>
    </row>
    <row r="70" spans="1:11" ht="40.5" x14ac:dyDescent="0.15">
      <c r="A70" s="2">
        <v>72</v>
      </c>
      <c r="B70" s="2"/>
      <c r="C70" s="2"/>
      <c r="D70" s="2"/>
      <c r="E70" s="10"/>
      <c r="F70" s="2"/>
      <c r="G70" s="2"/>
      <c r="H70" s="2"/>
      <c r="I70" s="15" t="s">
        <v>249</v>
      </c>
      <c r="J70" s="16" t="s">
        <v>246</v>
      </c>
      <c r="K70" s="16" t="s">
        <v>247</v>
      </c>
    </row>
    <row r="71" spans="1:11" x14ac:dyDescent="0.15">
      <c r="A71" s="2">
        <v>73</v>
      </c>
      <c r="B71" s="2"/>
      <c r="C71" s="2"/>
      <c r="D71" s="2"/>
      <c r="E71" s="10"/>
      <c r="F71" s="2"/>
      <c r="G71" s="2"/>
      <c r="H71" s="2"/>
      <c r="I71" s="2"/>
    </row>
    <row r="72" spans="1:11" x14ac:dyDescent="0.15">
      <c r="A72" s="2"/>
      <c r="B72" s="2"/>
      <c r="C72" s="2"/>
      <c r="D72" s="2"/>
      <c r="E72" s="10"/>
      <c r="F72" s="2"/>
      <c r="G72" s="2"/>
      <c r="H72" s="2"/>
      <c r="I72" s="2"/>
    </row>
    <row r="73" spans="1:11" x14ac:dyDescent="0.15">
      <c r="A73" s="2"/>
      <c r="B73" s="2"/>
      <c r="C73" s="2"/>
      <c r="D73" s="2"/>
      <c r="E73" s="10"/>
      <c r="F73" s="2"/>
      <c r="G73" s="2"/>
      <c r="H73" s="2"/>
      <c r="I73" s="2"/>
    </row>
    <row r="74" spans="1:11" x14ac:dyDescent="0.15">
      <c r="A74" s="2"/>
      <c r="B74" s="2"/>
      <c r="C74" s="2"/>
      <c r="D74" s="2"/>
      <c r="E74" s="10"/>
      <c r="F74" s="2"/>
      <c r="G74" s="2"/>
      <c r="H74" s="2"/>
      <c r="I74" s="2"/>
    </row>
    <row r="75" spans="1:11" x14ac:dyDescent="0.15">
      <c r="A75" s="2"/>
      <c r="B75" s="2"/>
      <c r="C75" s="2"/>
      <c r="D75" s="2"/>
      <c r="E75" s="10"/>
      <c r="F75" s="2"/>
      <c r="G75" s="2"/>
      <c r="H75" s="2"/>
      <c r="I75" s="2"/>
    </row>
    <row r="76" spans="1:11" x14ac:dyDescent="0.15">
      <c r="A76" s="2"/>
      <c r="B76" s="2"/>
      <c r="C76" s="2"/>
      <c r="D76" s="2"/>
      <c r="E76" s="10"/>
      <c r="F76" s="2"/>
      <c r="G76" s="2"/>
      <c r="H76" s="2"/>
      <c r="I76" s="2"/>
    </row>
    <row r="77" spans="1:11" x14ac:dyDescent="0.15">
      <c r="A77" s="2"/>
      <c r="B77" s="2"/>
      <c r="C77" s="2"/>
      <c r="D77" s="2"/>
      <c r="E77" s="10"/>
      <c r="F77" s="2"/>
      <c r="G77" s="2"/>
      <c r="H77" s="2"/>
      <c r="I77" s="2"/>
    </row>
    <row r="78" spans="1:11" x14ac:dyDescent="0.15">
      <c r="A78" s="2"/>
      <c r="B78" s="2"/>
      <c r="C78" s="2"/>
      <c r="D78" s="2"/>
      <c r="E78" s="10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0"/>
      <c r="F79" s="2"/>
      <c r="G79" s="2"/>
      <c r="H79" s="2"/>
      <c r="I79" s="2"/>
    </row>
    <row r="80" spans="1:11" x14ac:dyDescent="0.15">
      <c r="A80" s="2"/>
      <c r="B80" s="2"/>
      <c r="C80" s="2"/>
      <c r="D80" s="2"/>
      <c r="E80" s="10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0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0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0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0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0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0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0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0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0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0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0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0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0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0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0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0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0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0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0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0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0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0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0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0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0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0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0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0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0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0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0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0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0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0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0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0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0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0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0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0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0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0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0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0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0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0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0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0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0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0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0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0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0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0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0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0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0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0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0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0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0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0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0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0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0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0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0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0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0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0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0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0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0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0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0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0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0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0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0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0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0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0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0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0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0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0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0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0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0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0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0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0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0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0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0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0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0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0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0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0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0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0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0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0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0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0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0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0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0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0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0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0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0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0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0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0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0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0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0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0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0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0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0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0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0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0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0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0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0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0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0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0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0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0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0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0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0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0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0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0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0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0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0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0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0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0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0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0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0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0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0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0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0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0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0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0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0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0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0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0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0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0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0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0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0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0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0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0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0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0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0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0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0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0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0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0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0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0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0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0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0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0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0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0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0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0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0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0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0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0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0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0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0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0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0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0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0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0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0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0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0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0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0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0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0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0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0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0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0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0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0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0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0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0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0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0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0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0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0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0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0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0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0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0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0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0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0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0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0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0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0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0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0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0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0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0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0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0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0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0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0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0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0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0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0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0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0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0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0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0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0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0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0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0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0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0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0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0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0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0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0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0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0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0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0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0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0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0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0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0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0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0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0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0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0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0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0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0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0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0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0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0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0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0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0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0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0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0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0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0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0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0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0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0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0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0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0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0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0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0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0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0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0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0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0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0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0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0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0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0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0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0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0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0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0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0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0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0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0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0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0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0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0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0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0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0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0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0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0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0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0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0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0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0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0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0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0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0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0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0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0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0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0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0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0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0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0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0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0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0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0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0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0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0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0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0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0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0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0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0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0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0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0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0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0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0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0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0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0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0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0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0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0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0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0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0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0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0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0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0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0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0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0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0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0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0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0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0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0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0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0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0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0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0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0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0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0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0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0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0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0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0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0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0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0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0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0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0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0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0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0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0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0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0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0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0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0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0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0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0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0"/>
      <c r="F501" s="2"/>
      <c r="G501" s="2"/>
      <c r="H501" s="2"/>
      <c r="I501" s="2"/>
    </row>
  </sheetData>
  <phoneticPr fontId="6" type="noConversion"/>
  <dataValidations count="3">
    <dataValidation type="list" allowBlank="1" sqref="D2:D501" xr:uid="{00000000-0002-0000-0100-000000000000}">
      <formula1>"买入,持续追踪,卖出"</formula1>
    </dataValidation>
    <dataValidation type="date" allowBlank="1" sqref="E2:E501" xr:uid="{00000000-0002-0000-01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1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134</v>
      </c>
      <c r="C1" s="3" t="s">
        <v>135</v>
      </c>
    </row>
    <row r="2" spans="1:3" x14ac:dyDescent="0.15">
      <c r="A2" s="4" t="s">
        <v>136</v>
      </c>
      <c r="B2" s="8">
        <f>COUNT(单次交易!M2:M201)</f>
        <v>72</v>
      </c>
      <c r="C2" s="4" t="s">
        <v>137</v>
      </c>
    </row>
    <row r="3" spans="1:3" x14ac:dyDescent="0.15">
      <c r="A3" s="4" t="s">
        <v>138</v>
      </c>
      <c r="B3" s="8">
        <f>COUNTIF(单次交易!X2:X201,"&gt;0")</f>
        <v>31</v>
      </c>
      <c r="C3" s="4" t="s">
        <v>139</v>
      </c>
    </row>
    <row r="4" spans="1:3" x14ac:dyDescent="0.15">
      <c r="A4" s="4" t="s">
        <v>140</v>
      </c>
      <c r="B4" s="8">
        <f>COUNTIF(单次交易!X2:X201,"&lt;0")</f>
        <v>41</v>
      </c>
      <c r="C4" s="4" t="s">
        <v>141</v>
      </c>
    </row>
    <row r="5" spans="1:3" x14ac:dyDescent="0.15">
      <c r="A5" s="4" t="s">
        <v>142</v>
      </c>
      <c r="B5" s="8">
        <f>COUNTIFS(单次交易!M2:M201,"&lt;&gt;",单次交易!X2:X201,"=0")</f>
        <v>0</v>
      </c>
      <c r="C5" s="4" t="s">
        <v>143</v>
      </c>
    </row>
    <row r="6" spans="1:3" x14ac:dyDescent="0.15">
      <c r="A6" s="4" t="s">
        <v>144</v>
      </c>
      <c r="B6" s="7">
        <f>IFERROR(B3/(B3+B4),"")</f>
        <v>0.43055555555555558</v>
      </c>
      <c r="C6" s="4" t="s">
        <v>145</v>
      </c>
    </row>
    <row r="7" spans="1:3" x14ac:dyDescent="0.15">
      <c r="A7" s="4" t="s">
        <v>146</v>
      </c>
      <c r="B7" s="7">
        <f>IFERROR(B4/(B3+B4),"")</f>
        <v>0.56944444444444442</v>
      </c>
      <c r="C7" s="4" t="s">
        <v>147</v>
      </c>
    </row>
    <row r="8" spans="1:3" x14ac:dyDescent="0.15">
      <c r="A8" s="4" t="s">
        <v>148</v>
      </c>
      <c r="B8" s="7">
        <f>IFERROR(AVERAGEIF(单次交易!X2:X201,"&gt;0",单次交易!AE2:AE201),"")</f>
        <v>5.8539822537376468E-2</v>
      </c>
      <c r="C8" s="4" t="s">
        <v>149</v>
      </c>
    </row>
    <row r="9" spans="1:3" x14ac:dyDescent="0.15">
      <c r="A9" s="4" t="s">
        <v>150</v>
      </c>
      <c r="B9" s="7">
        <f>IFERROR(-AVERAGEIF(单次交易!X2:X201,"&lt;0",单次交易!AE2:AE201),"")</f>
        <v>2.9727820386723097E-2</v>
      </c>
      <c r="C9" s="4" t="s">
        <v>151</v>
      </c>
    </row>
    <row r="10" spans="1:3" x14ac:dyDescent="0.15">
      <c r="A10" s="4" t="s">
        <v>152</v>
      </c>
      <c r="B10" s="8">
        <f>SUMIF(单次交易!X2:X201,"&gt;0",单次交易!AA2:AA201)</f>
        <v>1171</v>
      </c>
      <c r="C10" s="4" t="s">
        <v>153</v>
      </c>
    </row>
    <row r="11" spans="1:3" x14ac:dyDescent="0.15">
      <c r="A11" s="4" t="s">
        <v>154</v>
      </c>
      <c r="B11" s="8">
        <f>SUMIF(单次交易!X2:X201,"&lt;0",单次交易!AA2:AA201)</f>
        <v>514</v>
      </c>
      <c r="C11" s="4" t="s">
        <v>153</v>
      </c>
    </row>
    <row r="12" spans="1:3" x14ac:dyDescent="0.15">
      <c r="A12" s="4" t="s">
        <v>155</v>
      </c>
      <c r="B12" s="5">
        <f>IFERROR(SUMPRODUCT(单次交易!E2:E201,单次交易!H2:H201)/COUNT(单次交易!H2:H201),"")</f>
        <v>65740.722222222219</v>
      </c>
      <c r="C12" s="4" t="s">
        <v>156</v>
      </c>
    </row>
    <row r="13" spans="1:3" x14ac:dyDescent="0.15">
      <c r="A13" s="4" t="s">
        <v>157</v>
      </c>
      <c r="B13" s="7">
        <f>IF(OR(B6="",B7="",B8="",B9=""),"",B6*B8-B7*B9)</f>
        <v>8.2763036500419947E-3</v>
      </c>
      <c r="C13" s="4" t="s">
        <v>158</v>
      </c>
    </row>
    <row r="14" spans="1:3" x14ac:dyDescent="0.15">
      <c r="A14" s="4" t="s">
        <v>159</v>
      </c>
      <c r="B14" s="7">
        <f>IF(COUNT(单次交易!AE2:AE201)=0,"",EXP(SUMPRODUCT(IFERROR(LN(1+单次交易!AE2:AE201),0)))-1)</f>
        <v>9.565955011395344E-3</v>
      </c>
      <c r="C14" s="4" t="s">
        <v>160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pane ySplit="1" topLeftCell="A2" activePane="bottomLeft" state="frozen"/>
      <selection pane="bottomLeft" activeCell="E10" sqref="E10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161</v>
      </c>
      <c r="C1" s="3" t="s">
        <v>162</v>
      </c>
    </row>
    <row r="2" spans="1:3" x14ac:dyDescent="0.15">
      <c r="A2" s="4" t="s">
        <v>163</v>
      </c>
      <c r="B2" s="9">
        <v>100000</v>
      </c>
      <c r="C2" s="4" t="s">
        <v>164</v>
      </c>
    </row>
    <row r="3" spans="1:3" x14ac:dyDescent="0.15">
      <c r="A3" s="4" t="s">
        <v>165</v>
      </c>
      <c r="B3" s="5">
        <f>IF(B2="","",B2+SUM(单次交易!X2:X201))</f>
        <v>161617.99999999997</v>
      </c>
      <c r="C3" s="4" t="s">
        <v>166</v>
      </c>
    </row>
    <row r="4" spans="1:3" x14ac:dyDescent="0.15">
      <c r="A4" s="4" t="s">
        <v>167</v>
      </c>
      <c r="B4" s="6">
        <v>0.02</v>
      </c>
      <c r="C4" s="4" t="s">
        <v>168</v>
      </c>
    </row>
    <row r="5" spans="1:3" x14ac:dyDescent="0.15">
      <c r="A5" s="4" t="s">
        <v>169</v>
      </c>
      <c r="B5" s="5">
        <f>IF(B3="","",B3*B4)</f>
        <v>3232.3599999999997</v>
      </c>
      <c r="C5" s="4" t="s">
        <v>170</v>
      </c>
    </row>
    <row r="6" spans="1:3" x14ac:dyDescent="0.15">
      <c r="A6" s="4" t="s">
        <v>171</v>
      </c>
      <c r="B6" s="6">
        <v>0.06</v>
      </c>
      <c r="C6" s="4" t="s">
        <v>172</v>
      </c>
    </row>
    <row r="7" spans="1:3" x14ac:dyDescent="0.15">
      <c r="A7" s="4" t="s">
        <v>173</v>
      </c>
      <c r="B7" s="5">
        <f>IF(B3="","",B3*B6)</f>
        <v>9697.0799999999981</v>
      </c>
      <c r="C7" s="4" t="s">
        <v>174</v>
      </c>
    </row>
    <row r="8" spans="1:3" x14ac:dyDescent="0.15">
      <c r="A8" s="4" t="s">
        <v>175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176</v>
      </c>
    </row>
    <row r="9" spans="1:3" x14ac:dyDescent="0.15">
      <c r="A9" s="4" t="s">
        <v>177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178</v>
      </c>
    </row>
    <row r="10" spans="1:3" x14ac:dyDescent="0.15">
      <c r="A10" s="4" t="s">
        <v>179</v>
      </c>
      <c r="B10" s="5">
        <f>IF(OR(B7="",B9=""),"",B7-B9)</f>
        <v>9697.0799999999981</v>
      </c>
      <c r="C10" s="4" t="s">
        <v>180</v>
      </c>
    </row>
    <row r="11" spans="1:3" x14ac:dyDescent="0.15">
      <c r="A11" s="4" t="s">
        <v>181</v>
      </c>
      <c r="B11" s="7">
        <f>IF(OR(B2="",B3="",B2&lt;=0),"",B3/B2-1)</f>
        <v>0.61617999999999973</v>
      </c>
      <c r="C11" s="4" t="s">
        <v>182</v>
      </c>
    </row>
  </sheetData>
  <phoneticPr fontId="6" type="noConversion"/>
  <conditionalFormatting sqref="B8">
    <cfRule type="cellIs" dxfId="1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 xr:uid="{00000000-0002-0000-0300-000000000000}">
      <formula1>0</formula1>
    </dataValidation>
    <dataValidation type="decimal" sqref="B4 B6" xr:uid="{00000000-0002-0000-0300-000001000000}">
      <formula1>0</formula1>
      <formula2>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133</v>
      </c>
      <c r="B1" s="3" t="s">
        <v>161</v>
      </c>
      <c r="C1" s="3" t="s">
        <v>135</v>
      </c>
    </row>
    <row r="2" spans="1:3" x14ac:dyDescent="0.15">
      <c r="A2" s="4" t="s">
        <v>183</v>
      </c>
      <c r="B2" s="5">
        <f>账户数据!B3</f>
        <v>161617.99999999997</v>
      </c>
      <c r="C2" s="4" t="s">
        <v>184</v>
      </c>
    </row>
    <row r="3" spans="1:3" x14ac:dyDescent="0.15">
      <c r="A3" s="4" t="s">
        <v>185</v>
      </c>
      <c r="B3" s="6">
        <v>0.1</v>
      </c>
      <c r="C3" s="4" t="s">
        <v>186</v>
      </c>
    </row>
    <row r="4" spans="1:3" x14ac:dyDescent="0.15">
      <c r="A4" s="4" t="s">
        <v>187</v>
      </c>
      <c r="B4" s="5">
        <f>IF(OR(B2="",B3=""),"",B2*B3)</f>
        <v>16161.799999999997</v>
      </c>
      <c r="C4" s="4" t="s">
        <v>188</v>
      </c>
    </row>
    <row r="5" spans="1:3" x14ac:dyDescent="0.15">
      <c r="A5" s="4" t="s">
        <v>155</v>
      </c>
      <c r="B5" s="5">
        <f>多次统计数据!B12</f>
        <v>65740.722222222219</v>
      </c>
      <c r="C5" s="4" t="s">
        <v>189</v>
      </c>
    </row>
    <row r="6" spans="1:3" x14ac:dyDescent="0.15">
      <c r="A6" s="4" t="s">
        <v>190</v>
      </c>
      <c r="B6" s="7">
        <f>多次统计数据!B13</f>
        <v>8.2763036500419947E-3</v>
      </c>
      <c r="C6" s="4" t="s">
        <v>191</v>
      </c>
    </row>
    <row r="7" spans="1:3" x14ac:dyDescent="0.15">
      <c r="A7" s="4" t="s">
        <v>192</v>
      </c>
      <c r="B7" s="8">
        <f>IF(OR(B3="",B6="",B3&lt;=0,B6&lt;=0),"暂不可计算",ROUNDUP(LN(1+B3)/LN(1+B6),0))</f>
        <v>12</v>
      </c>
      <c r="C7" s="4" t="s">
        <v>193</v>
      </c>
    </row>
  </sheetData>
  <phoneticPr fontId="6" type="noConversion"/>
  <dataValidations count="1">
    <dataValidation type="decimal" operator="greaterThan" sqref="B3" xr:uid="{00000000-0002-0000-0400-000000000000}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01"/>
  <sheetViews>
    <sheetView workbookViewId="0">
      <pane ySplit="1" topLeftCell="A2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194</v>
      </c>
      <c r="B1" s="1" t="s">
        <v>195</v>
      </c>
      <c r="C1" s="1" t="s">
        <v>196</v>
      </c>
    </row>
    <row r="2" spans="1:3" x14ac:dyDescent="0.15">
      <c r="A2" s="2" t="s">
        <v>197</v>
      </c>
      <c r="B2" s="2" t="s">
        <v>198</v>
      </c>
      <c r="C2" s="2" t="s">
        <v>199</v>
      </c>
    </row>
    <row r="3" spans="1:3" x14ac:dyDescent="0.15">
      <c r="A3" s="2" t="s">
        <v>200</v>
      </c>
      <c r="B3" s="2" t="s">
        <v>201</v>
      </c>
      <c r="C3" s="2" t="s">
        <v>202</v>
      </c>
    </row>
    <row r="4" spans="1:3" x14ac:dyDescent="0.15">
      <c r="A4" s="2" t="s">
        <v>203</v>
      </c>
      <c r="B4" s="2" t="s">
        <v>204</v>
      </c>
      <c r="C4" s="2" t="s">
        <v>205</v>
      </c>
    </row>
    <row r="5" spans="1:3" x14ac:dyDescent="0.15">
      <c r="A5" s="2" t="s">
        <v>206</v>
      </c>
      <c r="B5" s="2" t="s">
        <v>201</v>
      </c>
      <c r="C5" s="2" t="s">
        <v>207</v>
      </c>
    </row>
    <row r="6" spans="1:3" x14ac:dyDescent="0.15">
      <c r="A6" s="2" t="s">
        <v>208</v>
      </c>
      <c r="B6" s="2" t="s">
        <v>209</v>
      </c>
      <c r="C6" s="2" t="s">
        <v>210</v>
      </c>
    </row>
    <row r="7" spans="1:3" x14ac:dyDescent="0.15">
      <c r="A7" s="2" t="s">
        <v>211</v>
      </c>
      <c r="B7" s="2" t="s">
        <v>204</v>
      </c>
      <c r="C7" s="2" t="s">
        <v>212</v>
      </c>
    </row>
    <row r="8" spans="1:3" x14ac:dyDescent="0.15">
      <c r="A8" s="2" t="s">
        <v>213</v>
      </c>
      <c r="B8" s="2" t="s">
        <v>204</v>
      </c>
      <c r="C8" s="2" t="s">
        <v>214</v>
      </c>
    </row>
    <row r="9" spans="1:3" x14ac:dyDescent="0.15">
      <c r="A9" s="2" t="s">
        <v>215</v>
      </c>
      <c r="B9" s="2" t="s">
        <v>216</v>
      </c>
      <c r="C9" s="2" t="s">
        <v>217</v>
      </c>
    </row>
    <row r="10" spans="1:3" x14ac:dyDescent="0.15">
      <c r="A10" s="2" t="s">
        <v>218</v>
      </c>
      <c r="B10" s="2" t="s">
        <v>219</v>
      </c>
      <c r="C10" s="2" t="s">
        <v>220</v>
      </c>
    </row>
    <row r="11" spans="1:3" x14ac:dyDescent="0.15">
      <c r="A11" s="2" t="s">
        <v>221</v>
      </c>
      <c r="B11" s="2" t="s">
        <v>219</v>
      </c>
      <c r="C11" s="2" t="s">
        <v>222</v>
      </c>
    </row>
    <row r="12" spans="1:3" x14ac:dyDescent="0.15">
      <c r="A12" s="2" t="s">
        <v>223</v>
      </c>
      <c r="B12" s="2" t="s">
        <v>198</v>
      </c>
      <c r="C12" s="2" t="s">
        <v>224</v>
      </c>
    </row>
    <row r="13" spans="1:3" x14ac:dyDescent="0.15">
      <c r="A13" s="2" t="s">
        <v>225</v>
      </c>
      <c r="B13" s="2" t="s">
        <v>198</v>
      </c>
      <c r="C13" s="2" t="s">
        <v>226</v>
      </c>
    </row>
    <row r="14" spans="1:3" x14ac:dyDescent="0.15">
      <c r="A14" s="2" t="s">
        <v>227</v>
      </c>
      <c r="B14" s="2" t="s">
        <v>201</v>
      </c>
      <c r="C14" s="2" t="s">
        <v>228</v>
      </c>
    </row>
    <row r="15" spans="1:3" x14ac:dyDescent="0.15">
      <c r="A15" s="2" t="s">
        <v>229</v>
      </c>
      <c r="B15" s="2" t="s">
        <v>201</v>
      </c>
      <c r="C15" s="2" t="s">
        <v>230</v>
      </c>
    </row>
    <row r="16" spans="1:3" x14ac:dyDescent="0.15">
      <c r="A16" s="2" t="s">
        <v>231</v>
      </c>
      <c r="B16" s="2" t="s">
        <v>209</v>
      </c>
      <c r="C16" s="2" t="s">
        <v>232</v>
      </c>
    </row>
    <row r="17" spans="1:3" x14ac:dyDescent="0.15">
      <c r="A17" s="2" t="s">
        <v>233</v>
      </c>
      <c r="B17" s="2" t="s">
        <v>204</v>
      </c>
      <c r="C17" s="2" t="s">
        <v>234</v>
      </c>
    </row>
    <row r="18" spans="1:3" x14ac:dyDescent="0.15">
      <c r="A18" s="2" t="s">
        <v>235</v>
      </c>
      <c r="B18" s="2" t="s">
        <v>216</v>
      </c>
      <c r="C18" s="2" t="s">
        <v>236</v>
      </c>
    </row>
    <row r="19" spans="1:3" x14ac:dyDescent="0.15">
      <c r="A19" s="2" t="s">
        <v>237</v>
      </c>
      <c r="B19" s="2" t="s">
        <v>209</v>
      </c>
      <c r="C19" s="2" t="s">
        <v>238</v>
      </c>
    </row>
    <row r="20" spans="1:3" x14ac:dyDescent="0.15">
      <c r="A20" s="2" t="s">
        <v>239</v>
      </c>
      <c r="B20" s="2" t="s">
        <v>240</v>
      </c>
      <c r="C20" s="2" t="s">
        <v>241</v>
      </c>
    </row>
    <row r="21" spans="1:3" x14ac:dyDescent="0.15">
      <c r="A21" s="2" t="s">
        <v>242</v>
      </c>
      <c r="B21" s="2" t="s">
        <v>243</v>
      </c>
      <c r="C21" s="2" t="s">
        <v>244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6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单次交易</vt:lpstr>
      <vt:lpstr>买入理由</vt:lpstr>
      <vt:lpstr>多次统计数据</vt:lpstr>
      <vt:lpstr>账户数据</vt:lpstr>
      <vt:lpstr>目标收益</vt:lpstr>
      <vt:lpstr>技术指标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2026-07-25T00:10:00Z</dcterms:created>
  <dcterms:modified xsi:type="dcterms:W3CDTF">2026-08-12T01:42:14Z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