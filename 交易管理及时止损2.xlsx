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E922F550-F0AF-47D2-905D-8C4066845227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F101" i="1" l="1"/>
  <c r="AC497" i="2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S496" i="2"/>
  <c r="Q496" i="2"/>
  <c r="P496" i="2"/>
  <c r="O496" i="2"/>
  <c r="N496" i="2"/>
  <c r="C496" i="2"/>
  <c r="AC495" i="2"/>
  <c r="AB495" i="2"/>
  <c r="Z495" i="2"/>
  <c r="W495" i="2"/>
  <c r="T495" i="2"/>
  <c r="U495" i="2" s="1"/>
  <c r="S495" i="2"/>
  <c r="Q495" i="2"/>
  <c r="P495" i="2"/>
  <c r="O495" i="2"/>
  <c r="N495" i="2"/>
  <c r="C495" i="2"/>
  <c r="AC494" i="2"/>
  <c r="AB494" i="2"/>
  <c r="Z494" i="2"/>
  <c r="W494" i="2"/>
  <c r="T494" i="2"/>
  <c r="U494" i="2" s="1"/>
  <c r="S494" i="2"/>
  <c r="Q494" i="2"/>
  <c r="P494" i="2"/>
  <c r="O494" i="2"/>
  <c r="N494" i="2"/>
  <c r="C494" i="2"/>
  <c r="AC493" i="2"/>
  <c r="AB493" i="2"/>
  <c r="Z493" i="2"/>
  <c r="W493" i="2"/>
  <c r="T493" i="2"/>
  <c r="V493" i="2" s="1"/>
  <c r="S493" i="2"/>
  <c r="Q493" i="2"/>
  <c r="P493" i="2"/>
  <c r="O493" i="2"/>
  <c r="N493" i="2"/>
  <c r="C493" i="2"/>
  <c r="AC492" i="2"/>
  <c r="AB492" i="2"/>
  <c r="Z492" i="2"/>
  <c r="W492" i="2"/>
  <c r="T492" i="2"/>
  <c r="U492" i="2" s="1"/>
  <c r="S492" i="2"/>
  <c r="Q492" i="2"/>
  <c r="P492" i="2"/>
  <c r="O492" i="2"/>
  <c r="N492" i="2"/>
  <c r="C492" i="2"/>
  <c r="AC491" i="2"/>
  <c r="AB491" i="2"/>
  <c r="Z491" i="2"/>
  <c r="W491" i="2"/>
  <c r="T491" i="2"/>
  <c r="S491" i="2"/>
  <c r="Q491" i="2"/>
  <c r="P491" i="2"/>
  <c r="O491" i="2"/>
  <c r="N491" i="2"/>
  <c r="C491" i="2"/>
  <c r="AC490" i="2"/>
  <c r="AB490" i="2"/>
  <c r="Z490" i="2"/>
  <c r="W490" i="2"/>
  <c r="T490" i="2"/>
  <c r="S490" i="2"/>
  <c r="Q490" i="2"/>
  <c r="P490" i="2"/>
  <c r="O490" i="2"/>
  <c r="N490" i="2"/>
  <c r="C490" i="2"/>
  <c r="AC489" i="2"/>
  <c r="AB489" i="2"/>
  <c r="Z489" i="2"/>
  <c r="W489" i="2"/>
  <c r="T489" i="2"/>
  <c r="S489" i="2"/>
  <c r="Q489" i="2"/>
  <c r="P489" i="2"/>
  <c r="O489" i="2"/>
  <c r="N489" i="2"/>
  <c r="C489" i="2"/>
  <c r="AC488" i="2"/>
  <c r="AB488" i="2"/>
  <c r="Z488" i="2"/>
  <c r="W488" i="2"/>
  <c r="T488" i="2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U486" i="2" s="1"/>
  <c r="S486" i="2"/>
  <c r="Q486" i="2"/>
  <c r="P486" i="2"/>
  <c r="O486" i="2"/>
  <c r="N486" i="2"/>
  <c r="C486" i="2"/>
  <c r="AC485" i="2"/>
  <c r="AB485" i="2"/>
  <c r="Z485" i="2"/>
  <c r="W485" i="2"/>
  <c r="T485" i="2"/>
  <c r="S485" i="2"/>
  <c r="Q485" i="2"/>
  <c r="P485" i="2"/>
  <c r="O485" i="2"/>
  <c r="N485" i="2"/>
  <c r="C485" i="2"/>
  <c r="AC484" i="2"/>
  <c r="AB484" i="2"/>
  <c r="Z484" i="2"/>
  <c r="W484" i="2"/>
  <c r="T484" i="2"/>
  <c r="S484" i="2"/>
  <c r="Q484" i="2"/>
  <c r="P484" i="2"/>
  <c r="O484" i="2"/>
  <c r="N484" i="2"/>
  <c r="C484" i="2"/>
  <c r="AC483" i="2"/>
  <c r="AB483" i="2"/>
  <c r="Z483" i="2"/>
  <c r="W483" i="2"/>
  <c r="T483" i="2"/>
  <c r="V483" i="2" s="1"/>
  <c r="S483" i="2"/>
  <c r="Q483" i="2"/>
  <c r="P483" i="2"/>
  <c r="O483" i="2"/>
  <c r="N483" i="2"/>
  <c r="C483" i="2"/>
  <c r="AC482" i="2"/>
  <c r="AB482" i="2"/>
  <c r="Z482" i="2"/>
  <c r="W482" i="2"/>
  <c r="T482" i="2"/>
  <c r="V482" i="2" s="1"/>
  <c r="S482" i="2"/>
  <c r="Q482" i="2"/>
  <c r="P482" i="2"/>
  <c r="O482" i="2"/>
  <c r="N482" i="2"/>
  <c r="C482" i="2"/>
  <c r="AC481" i="2"/>
  <c r="AB481" i="2"/>
  <c r="Z481" i="2"/>
  <c r="W481" i="2"/>
  <c r="T481" i="2"/>
  <c r="V481" i="2" s="1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S479" i="2"/>
  <c r="Q479" i="2"/>
  <c r="P479" i="2"/>
  <c r="O479" i="2"/>
  <c r="N479" i="2"/>
  <c r="C479" i="2"/>
  <c r="AC478" i="2"/>
  <c r="AB478" i="2"/>
  <c r="Z478" i="2"/>
  <c r="W478" i="2"/>
  <c r="T478" i="2"/>
  <c r="S478" i="2"/>
  <c r="Q478" i="2"/>
  <c r="P478" i="2"/>
  <c r="O478" i="2"/>
  <c r="N478" i="2"/>
  <c r="C478" i="2"/>
  <c r="AC477" i="2"/>
  <c r="AB477" i="2"/>
  <c r="Z477" i="2"/>
  <c r="W477" i="2"/>
  <c r="T477" i="2"/>
  <c r="S477" i="2"/>
  <c r="Q477" i="2"/>
  <c r="P477" i="2"/>
  <c r="O477" i="2"/>
  <c r="N477" i="2"/>
  <c r="C477" i="2"/>
  <c r="AC476" i="2"/>
  <c r="AB476" i="2"/>
  <c r="Z476" i="2"/>
  <c r="W476" i="2"/>
  <c r="T476" i="2"/>
  <c r="V476" i="2" s="1"/>
  <c r="S476" i="2"/>
  <c r="Q476" i="2"/>
  <c r="P476" i="2"/>
  <c r="O476" i="2"/>
  <c r="N476" i="2"/>
  <c r="C476" i="2"/>
  <c r="AC475" i="2"/>
  <c r="AB475" i="2"/>
  <c r="Z475" i="2"/>
  <c r="W475" i="2"/>
  <c r="T475" i="2"/>
  <c r="V475" i="2" s="1"/>
  <c r="S475" i="2"/>
  <c r="Q475" i="2"/>
  <c r="P475" i="2"/>
  <c r="O475" i="2"/>
  <c r="N475" i="2"/>
  <c r="C475" i="2"/>
  <c r="AC474" i="2"/>
  <c r="AB474" i="2"/>
  <c r="Z474" i="2"/>
  <c r="W474" i="2"/>
  <c r="T474" i="2"/>
  <c r="U474" i="2" s="1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U472" i="2" s="1"/>
  <c r="S472" i="2"/>
  <c r="Q472" i="2"/>
  <c r="P472" i="2"/>
  <c r="O472" i="2"/>
  <c r="N472" i="2"/>
  <c r="C472" i="2"/>
  <c r="AC471" i="2"/>
  <c r="AB471" i="2"/>
  <c r="Z471" i="2"/>
  <c r="W471" i="2"/>
  <c r="T471" i="2"/>
  <c r="U471" i="2" s="1"/>
  <c r="S471" i="2"/>
  <c r="Q471" i="2"/>
  <c r="P471" i="2"/>
  <c r="O471" i="2"/>
  <c r="N471" i="2"/>
  <c r="C471" i="2"/>
  <c r="AC470" i="2"/>
  <c r="AB470" i="2"/>
  <c r="Z470" i="2"/>
  <c r="W470" i="2"/>
  <c r="T470" i="2"/>
  <c r="U470" i="2" s="1"/>
  <c r="S470" i="2"/>
  <c r="Q470" i="2"/>
  <c r="P470" i="2"/>
  <c r="O470" i="2"/>
  <c r="N470" i="2"/>
  <c r="C470" i="2"/>
  <c r="AC469" i="2"/>
  <c r="AB469" i="2"/>
  <c r="Z469" i="2"/>
  <c r="W469" i="2"/>
  <c r="T469" i="2"/>
  <c r="V469" i="2" s="1"/>
  <c r="S469" i="2"/>
  <c r="Q469" i="2"/>
  <c r="P469" i="2"/>
  <c r="O469" i="2"/>
  <c r="N469" i="2"/>
  <c r="C469" i="2"/>
  <c r="AC468" i="2"/>
  <c r="AB468" i="2"/>
  <c r="Z468" i="2"/>
  <c r="W468" i="2"/>
  <c r="T468" i="2"/>
  <c r="S468" i="2"/>
  <c r="Q468" i="2"/>
  <c r="P468" i="2"/>
  <c r="O468" i="2"/>
  <c r="N468" i="2"/>
  <c r="C468" i="2"/>
  <c r="AC467" i="2"/>
  <c r="AB467" i="2"/>
  <c r="Z467" i="2"/>
  <c r="W467" i="2"/>
  <c r="T467" i="2"/>
  <c r="U467" i="2" s="1"/>
  <c r="S467" i="2"/>
  <c r="Q467" i="2"/>
  <c r="P467" i="2"/>
  <c r="O467" i="2"/>
  <c r="N467" i="2"/>
  <c r="C467" i="2"/>
  <c r="AC466" i="2"/>
  <c r="AB466" i="2"/>
  <c r="Z466" i="2"/>
  <c r="W466" i="2"/>
  <c r="T466" i="2"/>
  <c r="U466" i="2" s="1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V464" i="2" s="1"/>
  <c r="S464" i="2"/>
  <c r="Q464" i="2"/>
  <c r="P464" i="2"/>
  <c r="O464" i="2"/>
  <c r="N464" i="2"/>
  <c r="C464" i="2"/>
  <c r="AC463" i="2"/>
  <c r="AB463" i="2"/>
  <c r="Z463" i="2"/>
  <c r="W463" i="2"/>
  <c r="T463" i="2"/>
  <c r="V463" i="2" s="1"/>
  <c r="S463" i="2"/>
  <c r="Q463" i="2"/>
  <c r="P463" i="2"/>
  <c r="O463" i="2"/>
  <c r="N463" i="2"/>
  <c r="C463" i="2"/>
  <c r="AC462" i="2"/>
  <c r="AB462" i="2"/>
  <c r="Z462" i="2"/>
  <c r="W462" i="2"/>
  <c r="T462" i="2"/>
  <c r="U462" i="2" s="1"/>
  <c r="S462" i="2"/>
  <c r="Q462" i="2"/>
  <c r="P462" i="2"/>
  <c r="O462" i="2"/>
  <c r="N462" i="2"/>
  <c r="C462" i="2"/>
  <c r="AC461" i="2"/>
  <c r="AB461" i="2"/>
  <c r="Z461" i="2"/>
  <c r="W461" i="2"/>
  <c r="T461" i="2"/>
  <c r="V461" i="2" s="1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U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S457" i="2"/>
  <c r="Q457" i="2"/>
  <c r="P457" i="2"/>
  <c r="O457" i="2"/>
  <c r="N457" i="2"/>
  <c r="C457" i="2"/>
  <c r="AC456" i="2"/>
  <c r="AB456" i="2"/>
  <c r="Z456" i="2"/>
  <c r="W456" i="2"/>
  <c r="T456" i="2"/>
  <c r="V456" i="2" s="1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U454" i="2" s="1"/>
  <c r="S454" i="2"/>
  <c r="Q454" i="2"/>
  <c r="P454" i="2"/>
  <c r="O454" i="2"/>
  <c r="N454" i="2"/>
  <c r="C454" i="2"/>
  <c r="AC453" i="2"/>
  <c r="AB453" i="2"/>
  <c r="Z453" i="2"/>
  <c r="W453" i="2"/>
  <c r="T453" i="2"/>
  <c r="V453" i="2" s="1"/>
  <c r="S453" i="2"/>
  <c r="Q453" i="2"/>
  <c r="P453" i="2"/>
  <c r="O453" i="2"/>
  <c r="N453" i="2"/>
  <c r="C453" i="2"/>
  <c r="AC452" i="2"/>
  <c r="AB452" i="2"/>
  <c r="Z452" i="2"/>
  <c r="W452" i="2"/>
  <c r="T452" i="2"/>
  <c r="V452" i="2" s="1"/>
  <c r="S452" i="2"/>
  <c r="Q452" i="2"/>
  <c r="P452" i="2"/>
  <c r="O452" i="2"/>
  <c r="N452" i="2"/>
  <c r="C452" i="2"/>
  <c r="AC451" i="2"/>
  <c r="AB451" i="2"/>
  <c r="Z451" i="2"/>
  <c r="W451" i="2"/>
  <c r="T451" i="2"/>
  <c r="V451" i="2" s="1"/>
  <c r="S451" i="2"/>
  <c r="Q451" i="2"/>
  <c r="P451" i="2"/>
  <c r="O451" i="2"/>
  <c r="N451" i="2"/>
  <c r="C451" i="2"/>
  <c r="AC450" i="2"/>
  <c r="AB450" i="2"/>
  <c r="Z450" i="2"/>
  <c r="W450" i="2"/>
  <c r="T450" i="2"/>
  <c r="U450" i="2" s="1"/>
  <c r="S450" i="2"/>
  <c r="Q450" i="2"/>
  <c r="P450" i="2"/>
  <c r="O450" i="2"/>
  <c r="N450" i="2"/>
  <c r="C450" i="2"/>
  <c r="AC449" i="2"/>
  <c r="AB449" i="2"/>
  <c r="Z449" i="2"/>
  <c r="W449" i="2"/>
  <c r="T449" i="2"/>
  <c r="V449" i="2" s="1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V447" i="2" s="1"/>
  <c r="S447" i="2"/>
  <c r="Q447" i="2"/>
  <c r="P447" i="2"/>
  <c r="O447" i="2"/>
  <c r="N447" i="2"/>
  <c r="C447" i="2"/>
  <c r="AC446" i="2"/>
  <c r="AB446" i="2"/>
  <c r="Z446" i="2"/>
  <c r="W446" i="2"/>
  <c r="T446" i="2"/>
  <c r="U446" i="2" s="1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V444" i="2" s="1"/>
  <c r="S444" i="2"/>
  <c r="Q444" i="2"/>
  <c r="P444" i="2"/>
  <c r="O444" i="2"/>
  <c r="N444" i="2"/>
  <c r="C444" i="2"/>
  <c r="AC443" i="2"/>
  <c r="AB443" i="2"/>
  <c r="Z443" i="2"/>
  <c r="W443" i="2"/>
  <c r="T443" i="2"/>
  <c r="V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S441" i="2"/>
  <c r="Q441" i="2"/>
  <c r="P441" i="2"/>
  <c r="O441" i="2"/>
  <c r="N441" i="2"/>
  <c r="C441" i="2"/>
  <c r="AC440" i="2"/>
  <c r="AB440" i="2"/>
  <c r="Z440" i="2"/>
  <c r="W440" i="2"/>
  <c r="T440" i="2"/>
  <c r="U440" i="2" s="1"/>
  <c r="S440" i="2"/>
  <c r="Q440" i="2"/>
  <c r="P440" i="2"/>
  <c r="O440" i="2"/>
  <c r="N440" i="2"/>
  <c r="C440" i="2"/>
  <c r="AC439" i="2"/>
  <c r="AB439" i="2"/>
  <c r="Z439" i="2"/>
  <c r="W439" i="2"/>
  <c r="T439" i="2"/>
  <c r="V439" i="2" s="1"/>
  <c r="S439" i="2"/>
  <c r="Q439" i="2"/>
  <c r="P439" i="2"/>
  <c r="O439" i="2"/>
  <c r="N439" i="2"/>
  <c r="C439" i="2"/>
  <c r="AC438" i="2"/>
  <c r="AB438" i="2"/>
  <c r="Z438" i="2"/>
  <c r="W438" i="2"/>
  <c r="T438" i="2"/>
  <c r="V438" i="2" s="1"/>
  <c r="S438" i="2"/>
  <c r="Q438" i="2"/>
  <c r="P438" i="2"/>
  <c r="O438" i="2"/>
  <c r="N438" i="2"/>
  <c r="C438" i="2"/>
  <c r="AC437" i="2"/>
  <c r="AB437" i="2"/>
  <c r="Z437" i="2"/>
  <c r="W437" i="2"/>
  <c r="T437" i="2"/>
  <c r="S437" i="2"/>
  <c r="Q437" i="2"/>
  <c r="P437" i="2"/>
  <c r="O437" i="2"/>
  <c r="N437" i="2"/>
  <c r="C437" i="2"/>
  <c r="AC436" i="2"/>
  <c r="AB436" i="2"/>
  <c r="Z436" i="2"/>
  <c r="W436" i="2"/>
  <c r="T436" i="2"/>
  <c r="V436" i="2" s="1"/>
  <c r="S436" i="2"/>
  <c r="Q436" i="2"/>
  <c r="P436" i="2"/>
  <c r="O436" i="2"/>
  <c r="N436" i="2"/>
  <c r="C436" i="2"/>
  <c r="AC435" i="2"/>
  <c r="AB435" i="2"/>
  <c r="Z435" i="2"/>
  <c r="W435" i="2"/>
  <c r="T435" i="2"/>
  <c r="U435" i="2" s="1"/>
  <c r="S435" i="2"/>
  <c r="Q435" i="2"/>
  <c r="P435" i="2"/>
  <c r="O435" i="2"/>
  <c r="N435" i="2"/>
  <c r="C435" i="2"/>
  <c r="AC434" i="2"/>
  <c r="AB434" i="2"/>
  <c r="Z434" i="2"/>
  <c r="W434" i="2"/>
  <c r="T434" i="2"/>
  <c r="S434" i="2"/>
  <c r="Q434" i="2"/>
  <c r="P434" i="2"/>
  <c r="O434" i="2"/>
  <c r="N434" i="2"/>
  <c r="C434" i="2"/>
  <c r="AC433" i="2"/>
  <c r="AB433" i="2"/>
  <c r="Z433" i="2"/>
  <c r="W433" i="2"/>
  <c r="T433" i="2"/>
  <c r="U433" i="2" s="1"/>
  <c r="S433" i="2"/>
  <c r="Q433" i="2"/>
  <c r="P433" i="2"/>
  <c r="O433" i="2"/>
  <c r="N433" i="2"/>
  <c r="C433" i="2"/>
  <c r="AC432" i="2"/>
  <c r="AB432" i="2"/>
  <c r="Z432" i="2"/>
  <c r="W432" i="2"/>
  <c r="T432" i="2"/>
  <c r="V432" i="2" s="1"/>
  <c r="S432" i="2"/>
  <c r="Q432" i="2"/>
  <c r="P432" i="2"/>
  <c r="O432" i="2"/>
  <c r="N432" i="2"/>
  <c r="C432" i="2"/>
  <c r="AC431" i="2"/>
  <c r="AB431" i="2"/>
  <c r="Z431" i="2"/>
  <c r="W431" i="2"/>
  <c r="T431" i="2"/>
  <c r="V431" i="2" s="1"/>
  <c r="S431" i="2"/>
  <c r="Q431" i="2"/>
  <c r="P431" i="2"/>
  <c r="O431" i="2"/>
  <c r="N431" i="2"/>
  <c r="C431" i="2"/>
  <c r="AC430" i="2"/>
  <c r="AB430" i="2"/>
  <c r="Z430" i="2"/>
  <c r="W430" i="2"/>
  <c r="T430" i="2"/>
  <c r="V430" i="2" s="1"/>
  <c r="S430" i="2"/>
  <c r="Q430" i="2"/>
  <c r="P430" i="2"/>
  <c r="O430" i="2"/>
  <c r="N430" i="2"/>
  <c r="C430" i="2"/>
  <c r="AC429" i="2"/>
  <c r="AB429" i="2"/>
  <c r="Z429" i="2"/>
  <c r="W429" i="2"/>
  <c r="T429" i="2"/>
  <c r="S429" i="2"/>
  <c r="Q429" i="2"/>
  <c r="P429" i="2"/>
  <c r="O429" i="2"/>
  <c r="N429" i="2"/>
  <c r="C429" i="2"/>
  <c r="AC428" i="2"/>
  <c r="AB428" i="2"/>
  <c r="Z428" i="2"/>
  <c r="W428" i="2"/>
  <c r="T428" i="2"/>
  <c r="V428" i="2" s="1"/>
  <c r="S428" i="2"/>
  <c r="Q428" i="2"/>
  <c r="P428" i="2"/>
  <c r="O428" i="2"/>
  <c r="N428" i="2"/>
  <c r="C428" i="2"/>
  <c r="AC427" i="2"/>
  <c r="AB427" i="2"/>
  <c r="Z427" i="2"/>
  <c r="W427" i="2"/>
  <c r="T427" i="2"/>
  <c r="V427" i="2" s="1"/>
  <c r="S427" i="2"/>
  <c r="Q427" i="2"/>
  <c r="P427" i="2"/>
  <c r="O427" i="2"/>
  <c r="N427" i="2"/>
  <c r="C427" i="2"/>
  <c r="AC426" i="2"/>
  <c r="AB426" i="2"/>
  <c r="Z426" i="2"/>
  <c r="W426" i="2"/>
  <c r="T426" i="2"/>
  <c r="S426" i="2"/>
  <c r="Q426" i="2"/>
  <c r="P426" i="2"/>
  <c r="O426" i="2"/>
  <c r="N426" i="2"/>
  <c r="C426" i="2"/>
  <c r="AC425" i="2"/>
  <c r="AB425" i="2"/>
  <c r="Z425" i="2"/>
  <c r="W425" i="2"/>
  <c r="T425" i="2"/>
  <c r="U425" i="2" s="1"/>
  <c r="S425" i="2"/>
  <c r="Q425" i="2"/>
  <c r="P425" i="2"/>
  <c r="O425" i="2"/>
  <c r="N425" i="2"/>
  <c r="C425" i="2"/>
  <c r="AC424" i="2"/>
  <c r="AB424" i="2"/>
  <c r="Z424" i="2"/>
  <c r="W424" i="2"/>
  <c r="T424" i="2"/>
  <c r="U424" i="2" s="1"/>
  <c r="S424" i="2"/>
  <c r="Q424" i="2"/>
  <c r="P424" i="2"/>
  <c r="O424" i="2"/>
  <c r="N424" i="2"/>
  <c r="C424" i="2"/>
  <c r="AC423" i="2"/>
  <c r="AB423" i="2"/>
  <c r="Z423" i="2"/>
  <c r="W423" i="2"/>
  <c r="T423" i="2"/>
  <c r="V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V421" i="2" s="1"/>
  <c r="S421" i="2"/>
  <c r="Q421" i="2"/>
  <c r="P421" i="2"/>
  <c r="O421" i="2"/>
  <c r="N421" i="2"/>
  <c r="C421" i="2"/>
  <c r="AC420" i="2"/>
  <c r="AB420" i="2"/>
  <c r="Z420" i="2"/>
  <c r="W420" i="2"/>
  <c r="T420" i="2"/>
  <c r="U420" i="2" s="1"/>
  <c r="S420" i="2"/>
  <c r="Q420" i="2"/>
  <c r="P420" i="2"/>
  <c r="O420" i="2"/>
  <c r="N420" i="2"/>
  <c r="C420" i="2"/>
  <c r="AC419" i="2"/>
  <c r="AB419" i="2"/>
  <c r="Z419" i="2"/>
  <c r="W419" i="2"/>
  <c r="T419" i="2"/>
  <c r="U419" i="2" s="1"/>
  <c r="S419" i="2"/>
  <c r="Q419" i="2"/>
  <c r="P419" i="2"/>
  <c r="O419" i="2"/>
  <c r="N419" i="2"/>
  <c r="C419" i="2"/>
  <c r="AC418" i="2"/>
  <c r="AB418" i="2"/>
  <c r="Z418" i="2"/>
  <c r="W418" i="2"/>
  <c r="T418" i="2"/>
  <c r="V418" i="2" s="1"/>
  <c r="S418" i="2"/>
  <c r="Q418" i="2"/>
  <c r="P418" i="2"/>
  <c r="O418" i="2"/>
  <c r="N418" i="2"/>
  <c r="C418" i="2"/>
  <c r="AC417" i="2"/>
  <c r="AB417" i="2"/>
  <c r="Z417" i="2"/>
  <c r="W417" i="2"/>
  <c r="T417" i="2"/>
  <c r="U417" i="2" s="1"/>
  <c r="S417" i="2"/>
  <c r="Q417" i="2"/>
  <c r="P417" i="2"/>
  <c r="O417" i="2"/>
  <c r="N417" i="2"/>
  <c r="C417" i="2"/>
  <c r="AC416" i="2"/>
  <c r="AB416" i="2"/>
  <c r="Z416" i="2"/>
  <c r="W416" i="2"/>
  <c r="T416" i="2"/>
  <c r="V416" i="2" s="1"/>
  <c r="S416" i="2"/>
  <c r="Q416" i="2"/>
  <c r="P416" i="2"/>
  <c r="O416" i="2"/>
  <c r="N416" i="2"/>
  <c r="C416" i="2"/>
  <c r="AC415" i="2"/>
  <c r="AB415" i="2"/>
  <c r="Z415" i="2"/>
  <c r="W415" i="2"/>
  <c r="T415" i="2"/>
  <c r="S415" i="2"/>
  <c r="Q415" i="2"/>
  <c r="P415" i="2"/>
  <c r="O415" i="2"/>
  <c r="N415" i="2"/>
  <c r="C415" i="2"/>
  <c r="AC414" i="2"/>
  <c r="AB414" i="2"/>
  <c r="Z414" i="2"/>
  <c r="W414" i="2"/>
  <c r="T414" i="2"/>
  <c r="U414" i="2" s="1"/>
  <c r="S414" i="2"/>
  <c r="Q414" i="2"/>
  <c r="P414" i="2"/>
  <c r="O414" i="2"/>
  <c r="N414" i="2"/>
  <c r="C414" i="2"/>
  <c r="AC413" i="2"/>
  <c r="AB413" i="2"/>
  <c r="Z413" i="2"/>
  <c r="W413" i="2"/>
  <c r="T413" i="2"/>
  <c r="S413" i="2"/>
  <c r="Q413" i="2"/>
  <c r="P413" i="2"/>
  <c r="O413" i="2"/>
  <c r="N413" i="2"/>
  <c r="C413" i="2"/>
  <c r="AC412" i="2"/>
  <c r="AB412" i="2"/>
  <c r="Z412" i="2"/>
  <c r="W412" i="2"/>
  <c r="T412" i="2"/>
  <c r="U412" i="2" s="1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V409" i="2" s="1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U407" i="2" s="1"/>
  <c r="S407" i="2"/>
  <c r="Q407" i="2"/>
  <c r="P407" i="2"/>
  <c r="O407" i="2"/>
  <c r="N407" i="2"/>
  <c r="C407" i="2"/>
  <c r="AC406" i="2"/>
  <c r="AB406" i="2"/>
  <c r="Z406" i="2"/>
  <c r="W406" i="2"/>
  <c r="T406" i="2"/>
  <c r="U406" i="2" s="1"/>
  <c r="S406" i="2"/>
  <c r="Q406" i="2"/>
  <c r="P406" i="2"/>
  <c r="O406" i="2"/>
  <c r="N406" i="2"/>
  <c r="C406" i="2"/>
  <c r="AC405" i="2"/>
  <c r="AB405" i="2"/>
  <c r="Z405" i="2"/>
  <c r="W405" i="2"/>
  <c r="T405" i="2"/>
  <c r="U405" i="2" s="1"/>
  <c r="S405" i="2"/>
  <c r="Q405" i="2"/>
  <c r="P405" i="2"/>
  <c r="O405" i="2"/>
  <c r="N405" i="2"/>
  <c r="C405" i="2"/>
  <c r="AC404" i="2"/>
  <c r="AB404" i="2"/>
  <c r="Z404" i="2"/>
  <c r="W404" i="2"/>
  <c r="T404" i="2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V402" i="2" s="1"/>
  <c r="S402" i="2"/>
  <c r="Q402" i="2"/>
  <c r="P402" i="2"/>
  <c r="O402" i="2"/>
  <c r="N402" i="2"/>
  <c r="C402" i="2"/>
  <c r="AC401" i="2"/>
  <c r="AB401" i="2"/>
  <c r="Z401" i="2"/>
  <c r="W401" i="2"/>
  <c r="T401" i="2"/>
  <c r="V401" i="2" s="1"/>
  <c r="S401" i="2"/>
  <c r="Q401" i="2"/>
  <c r="P401" i="2"/>
  <c r="O401" i="2"/>
  <c r="N401" i="2"/>
  <c r="C401" i="2"/>
  <c r="AC400" i="2"/>
  <c r="AB400" i="2"/>
  <c r="Z400" i="2"/>
  <c r="W400" i="2"/>
  <c r="T400" i="2"/>
  <c r="U400" i="2" s="1"/>
  <c r="S400" i="2"/>
  <c r="Q400" i="2"/>
  <c r="P400" i="2"/>
  <c r="O400" i="2"/>
  <c r="N400" i="2"/>
  <c r="C400" i="2"/>
  <c r="AC399" i="2"/>
  <c r="AB399" i="2"/>
  <c r="Z399" i="2"/>
  <c r="W399" i="2"/>
  <c r="T399" i="2"/>
  <c r="S399" i="2"/>
  <c r="Q399" i="2"/>
  <c r="P399" i="2"/>
  <c r="O399" i="2"/>
  <c r="N399" i="2"/>
  <c r="C399" i="2"/>
  <c r="AC398" i="2"/>
  <c r="AB398" i="2"/>
  <c r="Z398" i="2"/>
  <c r="W398" i="2"/>
  <c r="T398" i="2"/>
  <c r="U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V396" i="2" s="1"/>
  <c r="S396" i="2"/>
  <c r="Q396" i="2"/>
  <c r="P396" i="2"/>
  <c r="O396" i="2"/>
  <c r="N396" i="2"/>
  <c r="C396" i="2"/>
  <c r="AC395" i="2"/>
  <c r="AB395" i="2"/>
  <c r="Z395" i="2"/>
  <c r="W395" i="2"/>
  <c r="T395" i="2"/>
  <c r="U395" i="2" s="1"/>
  <c r="S395" i="2"/>
  <c r="Q395" i="2"/>
  <c r="P395" i="2"/>
  <c r="O395" i="2"/>
  <c r="N395" i="2"/>
  <c r="C395" i="2"/>
  <c r="AC394" i="2"/>
  <c r="AB394" i="2"/>
  <c r="Z394" i="2"/>
  <c r="W394" i="2"/>
  <c r="T394" i="2"/>
  <c r="U394" i="2" s="1"/>
  <c r="S394" i="2"/>
  <c r="Q394" i="2"/>
  <c r="P394" i="2"/>
  <c r="O394" i="2"/>
  <c r="N394" i="2"/>
  <c r="C394" i="2"/>
  <c r="AC393" i="2"/>
  <c r="AB393" i="2"/>
  <c r="Z393" i="2"/>
  <c r="W393" i="2"/>
  <c r="T393" i="2"/>
  <c r="V393" i="2" s="1"/>
  <c r="S393" i="2"/>
  <c r="Q393" i="2"/>
  <c r="P393" i="2"/>
  <c r="O393" i="2"/>
  <c r="N393" i="2"/>
  <c r="C393" i="2"/>
  <c r="AC392" i="2"/>
  <c r="AB392" i="2"/>
  <c r="Z392" i="2"/>
  <c r="W392" i="2"/>
  <c r="T392" i="2"/>
  <c r="S392" i="2"/>
  <c r="Q392" i="2"/>
  <c r="P392" i="2"/>
  <c r="O392" i="2"/>
  <c r="N392" i="2"/>
  <c r="C392" i="2"/>
  <c r="AC391" i="2"/>
  <c r="AB391" i="2"/>
  <c r="Z391" i="2"/>
  <c r="W391" i="2"/>
  <c r="T391" i="2"/>
  <c r="V391" i="2" s="1"/>
  <c r="S391" i="2"/>
  <c r="Q391" i="2"/>
  <c r="P391" i="2"/>
  <c r="O391" i="2"/>
  <c r="N391" i="2"/>
  <c r="C391" i="2"/>
  <c r="AC390" i="2"/>
  <c r="AB390" i="2"/>
  <c r="Z390" i="2"/>
  <c r="W390" i="2"/>
  <c r="T390" i="2"/>
  <c r="S390" i="2"/>
  <c r="Q390" i="2"/>
  <c r="P390" i="2"/>
  <c r="O390" i="2"/>
  <c r="N390" i="2"/>
  <c r="C390" i="2"/>
  <c r="AC389" i="2"/>
  <c r="AB389" i="2"/>
  <c r="Z389" i="2"/>
  <c r="W389" i="2"/>
  <c r="T389" i="2"/>
  <c r="S389" i="2"/>
  <c r="Q389" i="2"/>
  <c r="P389" i="2"/>
  <c r="O389" i="2"/>
  <c r="N389" i="2"/>
  <c r="C389" i="2"/>
  <c r="AC388" i="2"/>
  <c r="AB388" i="2"/>
  <c r="Z388" i="2"/>
  <c r="W388" i="2"/>
  <c r="T388" i="2"/>
  <c r="S388" i="2"/>
  <c r="Q388" i="2"/>
  <c r="P388" i="2"/>
  <c r="O388" i="2"/>
  <c r="N388" i="2"/>
  <c r="C388" i="2"/>
  <c r="AC387" i="2"/>
  <c r="AB387" i="2"/>
  <c r="Z387" i="2"/>
  <c r="W387" i="2"/>
  <c r="T387" i="2"/>
  <c r="U387" i="2" s="1"/>
  <c r="S387" i="2"/>
  <c r="Q387" i="2"/>
  <c r="P387" i="2"/>
  <c r="O387" i="2"/>
  <c r="N387" i="2"/>
  <c r="C387" i="2"/>
  <c r="AC386" i="2"/>
  <c r="AB386" i="2"/>
  <c r="Z386" i="2"/>
  <c r="W386" i="2"/>
  <c r="T386" i="2"/>
  <c r="S386" i="2"/>
  <c r="Q386" i="2"/>
  <c r="P386" i="2"/>
  <c r="O386" i="2"/>
  <c r="N386" i="2"/>
  <c r="C386" i="2"/>
  <c r="AC385" i="2"/>
  <c r="AB385" i="2"/>
  <c r="Z385" i="2"/>
  <c r="W385" i="2"/>
  <c r="T385" i="2"/>
  <c r="S385" i="2"/>
  <c r="Q385" i="2"/>
  <c r="P385" i="2"/>
  <c r="O385" i="2"/>
  <c r="N385" i="2"/>
  <c r="C385" i="2"/>
  <c r="AC384" i="2"/>
  <c r="AB384" i="2"/>
  <c r="Z384" i="2"/>
  <c r="W384" i="2"/>
  <c r="T384" i="2"/>
  <c r="U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U381" i="2" s="1"/>
  <c r="S381" i="2"/>
  <c r="Q381" i="2"/>
  <c r="P381" i="2"/>
  <c r="O381" i="2"/>
  <c r="N381" i="2"/>
  <c r="C381" i="2"/>
  <c r="AC380" i="2"/>
  <c r="AB380" i="2"/>
  <c r="Z380" i="2"/>
  <c r="W380" i="2"/>
  <c r="T380" i="2"/>
  <c r="U380" i="2" s="1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U376" i="2" s="1"/>
  <c r="S376" i="2"/>
  <c r="Q376" i="2"/>
  <c r="P376" i="2"/>
  <c r="O376" i="2"/>
  <c r="N376" i="2"/>
  <c r="C376" i="2"/>
  <c r="AC375" i="2"/>
  <c r="AB375" i="2"/>
  <c r="Z375" i="2"/>
  <c r="W375" i="2"/>
  <c r="T375" i="2"/>
  <c r="V375" i="2" s="1"/>
  <c r="S375" i="2"/>
  <c r="Q375" i="2"/>
  <c r="P375" i="2"/>
  <c r="O375" i="2"/>
  <c r="N375" i="2"/>
  <c r="C375" i="2"/>
  <c r="AC374" i="2"/>
  <c r="AB374" i="2"/>
  <c r="Z374" i="2"/>
  <c r="W374" i="2"/>
  <c r="T374" i="2"/>
  <c r="V374" i="2" s="1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S368" i="2"/>
  <c r="Q368" i="2"/>
  <c r="P368" i="2"/>
  <c r="O368" i="2"/>
  <c r="N368" i="2"/>
  <c r="C368" i="2"/>
  <c r="AC367" i="2"/>
  <c r="AB367" i="2"/>
  <c r="Z367" i="2"/>
  <c r="W367" i="2"/>
  <c r="T367" i="2"/>
  <c r="U367" i="2" s="1"/>
  <c r="S367" i="2"/>
  <c r="Q367" i="2"/>
  <c r="P367" i="2"/>
  <c r="O367" i="2"/>
  <c r="N367" i="2"/>
  <c r="C367" i="2"/>
  <c r="AC366" i="2"/>
  <c r="AB366" i="2"/>
  <c r="Z366" i="2"/>
  <c r="W366" i="2"/>
  <c r="T366" i="2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U364" i="2" s="1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U362" i="2" s="1"/>
  <c r="S362" i="2"/>
  <c r="Q362" i="2"/>
  <c r="P362" i="2"/>
  <c r="O362" i="2"/>
  <c r="N362" i="2"/>
  <c r="C362" i="2"/>
  <c r="AC361" i="2"/>
  <c r="AB361" i="2"/>
  <c r="Z361" i="2"/>
  <c r="W361" i="2"/>
  <c r="T361" i="2"/>
  <c r="S361" i="2"/>
  <c r="Q361" i="2"/>
  <c r="P361" i="2"/>
  <c r="O361" i="2"/>
  <c r="N361" i="2"/>
  <c r="C361" i="2"/>
  <c r="AC360" i="2"/>
  <c r="AB360" i="2"/>
  <c r="Z360" i="2"/>
  <c r="W360" i="2"/>
  <c r="T360" i="2"/>
  <c r="V360" i="2" s="1"/>
  <c r="S360" i="2"/>
  <c r="Q360" i="2"/>
  <c r="P360" i="2"/>
  <c r="O360" i="2"/>
  <c r="N360" i="2"/>
  <c r="C360" i="2"/>
  <c r="AC359" i="2"/>
  <c r="AB359" i="2"/>
  <c r="Z359" i="2"/>
  <c r="W359" i="2"/>
  <c r="T359" i="2"/>
  <c r="V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U357" i="2" s="1"/>
  <c r="S357" i="2"/>
  <c r="Q357" i="2"/>
  <c r="P357" i="2"/>
  <c r="O357" i="2"/>
  <c r="N357" i="2"/>
  <c r="C357" i="2"/>
  <c r="AC356" i="2"/>
  <c r="AB356" i="2"/>
  <c r="Z356" i="2"/>
  <c r="W356" i="2"/>
  <c r="T356" i="2"/>
  <c r="V356" i="2" s="1"/>
  <c r="S356" i="2"/>
  <c r="Q356" i="2"/>
  <c r="P356" i="2"/>
  <c r="O356" i="2"/>
  <c r="N356" i="2"/>
  <c r="C356" i="2"/>
  <c r="AC355" i="2"/>
  <c r="AB355" i="2"/>
  <c r="Z355" i="2"/>
  <c r="W355" i="2"/>
  <c r="T355" i="2"/>
  <c r="S355" i="2"/>
  <c r="Q355" i="2"/>
  <c r="P355" i="2"/>
  <c r="O355" i="2"/>
  <c r="N355" i="2"/>
  <c r="C355" i="2"/>
  <c r="AC354" i="2"/>
  <c r="AB354" i="2"/>
  <c r="Z354" i="2"/>
  <c r="W354" i="2"/>
  <c r="T354" i="2"/>
  <c r="V354" i="2" s="1"/>
  <c r="S354" i="2"/>
  <c r="Q354" i="2"/>
  <c r="P354" i="2"/>
  <c r="O354" i="2"/>
  <c r="N354" i="2"/>
  <c r="C354" i="2"/>
  <c r="AC353" i="2"/>
  <c r="AB353" i="2"/>
  <c r="Z353" i="2"/>
  <c r="W353" i="2"/>
  <c r="T353" i="2"/>
  <c r="S353" i="2"/>
  <c r="Q353" i="2"/>
  <c r="P353" i="2"/>
  <c r="O353" i="2"/>
  <c r="N353" i="2"/>
  <c r="C353" i="2"/>
  <c r="AC352" i="2"/>
  <c r="AB352" i="2"/>
  <c r="Z352" i="2"/>
  <c r="W352" i="2"/>
  <c r="T352" i="2"/>
  <c r="V352" i="2" s="1"/>
  <c r="S352" i="2"/>
  <c r="Q352" i="2"/>
  <c r="P352" i="2"/>
  <c r="O352" i="2"/>
  <c r="N352" i="2"/>
  <c r="C352" i="2"/>
  <c r="AC351" i="2"/>
  <c r="AB351" i="2"/>
  <c r="Z351" i="2"/>
  <c r="W351" i="2"/>
  <c r="T351" i="2"/>
  <c r="S351" i="2"/>
  <c r="Q351" i="2"/>
  <c r="P351" i="2"/>
  <c r="O351" i="2"/>
  <c r="N351" i="2"/>
  <c r="C351" i="2"/>
  <c r="AC350" i="2"/>
  <c r="AB350" i="2"/>
  <c r="Z350" i="2"/>
  <c r="W350" i="2"/>
  <c r="T350" i="2"/>
  <c r="U350" i="2" s="1"/>
  <c r="S350" i="2"/>
  <c r="Q350" i="2"/>
  <c r="P350" i="2"/>
  <c r="O350" i="2"/>
  <c r="N350" i="2"/>
  <c r="C350" i="2"/>
  <c r="AC349" i="2"/>
  <c r="AB349" i="2"/>
  <c r="Z349" i="2"/>
  <c r="W349" i="2"/>
  <c r="T349" i="2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U347" i="2" s="1"/>
  <c r="S347" i="2"/>
  <c r="Q347" i="2"/>
  <c r="P347" i="2"/>
  <c r="O347" i="2"/>
  <c r="N347" i="2"/>
  <c r="C347" i="2"/>
  <c r="AC346" i="2"/>
  <c r="AB346" i="2"/>
  <c r="Z346" i="2"/>
  <c r="W346" i="2"/>
  <c r="T346" i="2"/>
  <c r="U346" i="2" s="1"/>
  <c r="S346" i="2"/>
  <c r="Q346" i="2"/>
  <c r="P346" i="2"/>
  <c r="O346" i="2"/>
  <c r="N346" i="2"/>
  <c r="C346" i="2"/>
  <c r="AC345" i="2"/>
  <c r="AB345" i="2"/>
  <c r="Z345" i="2"/>
  <c r="W345" i="2"/>
  <c r="T345" i="2"/>
  <c r="V345" i="2" s="1"/>
  <c r="S345" i="2"/>
  <c r="Q345" i="2"/>
  <c r="P345" i="2"/>
  <c r="O345" i="2"/>
  <c r="N345" i="2"/>
  <c r="C345" i="2"/>
  <c r="AC344" i="2"/>
  <c r="AB344" i="2"/>
  <c r="Z344" i="2"/>
  <c r="W344" i="2"/>
  <c r="T344" i="2"/>
  <c r="U344" i="2" s="1"/>
  <c r="S344" i="2"/>
  <c r="Q344" i="2"/>
  <c r="P344" i="2"/>
  <c r="O344" i="2"/>
  <c r="N344" i="2"/>
  <c r="C344" i="2"/>
  <c r="AC343" i="2"/>
  <c r="AB343" i="2"/>
  <c r="Z343" i="2"/>
  <c r="W343" i="2"/>
  <c r="T343" i="2"/>
  <c r="S343" i="2"/>
  <c r="Q343" i="2"/>
  <c r="P343" i="2"/>
  <c r="O343" i="2"/>
  <c r="N343" i="2"/>
  <c r="C343" i="2"/>
  <c r="AC342" i="2"/>
  <c r="AB342" i="2"/>
  <c r="Z342" i="2"/>
  <c r="W342" i="2"/>
  <c r="T342" i="2"/>
  <c r="U342" i="2" s="1"/>
  <c r="S342" i="2"/>
  <c r="Q342" i="2"/>
  <c r="P342" i="2"/>
  <c r="O342" i="2"/>
  <c r="N342" i="2"/>
  <c r="C342" i="2"/>
  <c r="AC341" i="2"/>
  <c r="AB341" i="2"/>
  <c r="Z341" i="2"/>
  <c r="W341" i="2"/>
  <c r="T341" i="2"/>
  <c r="V341" i="2" s="1"/>
  <c r="S341" i="2"/>
  <c r="Q341" i="2"/>
  <c r="P341" i="2"/>
  <c r="O341" i="2"/>
  <c r="N341" i="2"/>
  <c r="C341" i="2"/>
  <c r="AC340" i="2"/>
  <c r="AB340" i="2"/>
  <c r="Z340" i="2"/>
  <c r="W340" i="2"/>
  <c r="T340" i="2"/>
  <c r="V340" i="2" s="1"/>
  <c r="S340" i="2"/>
  <c r="Q340" i="2"/>
  <c r="P340" i="2"/>
  <c r="O340" i="2"/>
  <c r="N340" i="2"/>
  <c r="C340" i="2"/>
  <c r="AC339" i="2"/>
  <c r="AB339" i="2"/>
  <c r="Z339" i="2"/>
  <c r="W339" i="2"/>
  <c r="T339" i="2"/>
  <c r="V339" i="2" s="1"/>
  <c r="S339" i="2"/>
  <c r="Q339" i="2"/>
  <c r="P339" i="2"/>
  <c r="O339" i="2"/>
  <c r="N339" i="2"/>
  <c r="C339" i="2"/>
  <c r="AC338" i="2"/>
  <c r="AB338" i="2"/>
  <c r="Z338" i="2"/>
  <c r="W338" i="2"/>
  <c r="T338" i="2"/>
  <c r="V338" i="2" s="1"/>
  <c r="S338" i="2"/>
  <c r="Q338" i="2"/>
  <c r="P338" i="2"/>
  <c r="O338" i="2"/>
  <c r="N338" i="2"/>
  <c r="C338" i="2"/>
  <c r="AC337" i="2"/>
  <c r="AB337" i="2"/>
  <c r="Z337" i="2"/>
  <c r="W337" i="2"/>
  <c r="T337" i="2"/>
  <c r="S337" i="2"/>
  <c r="Q337" i="2"/>
  <c r="P337" i="2"/>
  <c r="O337" i="2"/>
  <c r="N337" i="2"/>
  <c r="C337" i="2"/>
  <c r="AC336" i="2"/>
  <c r="AB336" i="2"/>
  <c r="Z336" i="2"/>
  <c r="W336" i="2"/>
  <c r="T336" i="2"/>
  <c r="U336" i="2" s="1"/>
  <c r="S336" i="2"/>
  <c r="Q336" i="2"/>
  <c r="P336" i="2"/>
  <c r="O336" i="2"/>
  <c r="N336" i="2"/>
  <c r="C336" i="2"/>
  <c r="AC335" i="2"/>
  <c r="AB335" i="2"/>
  <c r="Z335" i="2"/>
  <c r="W335" i="2"/>
  <c r="T335" i="2"/>
  <c r="S335" i="2"/>
  <c r="Q335" i="2"/>
  <c r="P335" i="2"/>
  <c r="O335" i="2"/>
  <c r="N335" i="2"/>
  <c r="C335" i="2"/>
  <c r="AC334" i="2"/>
  <c r="AB334" i="2"/>
  <c r="Z334" i="2"/>
  <c r="W334" i="2"/>
  <c r="T334" i="2"/>
  <c r="V334" i="2" s="1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U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V330" i="2" s="1"/>
  <c r="S330" i="2"/>
  <c r="Q330" i="2"/>
  <c r="P330" i="2"/>
  <c r="O330" i="2"/>
  <c r="N330" i="2"/>
  <c r="C330" i="2"/>
  <c r="AC329" i="2"/>
  <c r="AB329" i="2"/>
  <c r="Z329" i="2"/>
  <c r="W329" i="2"/>
  <c r="T329" i="2"/>
  <c r="V329" i="2" s="1"/>
  <c r="S329" i="2"/>
  <c r="Q329" i="2"/>
  <c r="P329" i="2"/>
  <c r="O329" i="2"/>
  <c r="N329" i="2"/>
  <c r="C329" i="2"/>
  <c r="AC328" i="2"/>
  <c r="AB328" i="2"/>
  <c r="Z328" i="2"/>
  <c r="W328" i="2"/>
  <c r="T328" i="2"/>
  <c r="V328" i="2" s="1"/>
  <c r="S328" i="2"/>
  <c r="Q328" i="2"/>
  <c r="P328" i="2"/>
  <c r="O328" i="2"/>
  <c r="N328" i="2"/>
  <c r="C328" i="2"/>
  <c r="AC327" i="2"/>
  <c r="AB327" i="2"/>
  <c r="Z327" i="2"/>
  <c r="W327" i="2"/>
  <c r="T327" i="2"/>
  <c r="U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S325" i="2"/>
  <c r="Q325" i="2"/>
  <c r="P325" i="2"/>
  <c r="O325" i="2"/>
  <c r="N325" i="2"/>
  <c r="C325" i="2"/>
  <c r="AC324" i="2"/>
  <c r="AB324" i="2"/>
  <c r="Z324" i="2"/>
  <c r="W324" i="2"/>
  <c r="T324" i="2"/>
  <c r="U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S322" i="2"/>
  <c r="Q322" i="2"/>
  <c r="P322" i="2"/>
  <c r="O322" i="2"/>
  <c r="N322" i="2"/>
  <c r="C322" i="2"/>
  <c r="AC321" i="2"/>
  <c r="AB321" i="2"/>
  <c r="Z321" i="2"/>
  <c r="W321" i="2"/>
  <c r="T321" i="2"/>
  <c r="S321" i="2"/>
  <c r="Q321" i="2"/>
  <c r="P321" i="2"/>
  <c r="O321" i="2"/>
  <c r="N321" i="2"/>
  <c r="C321" i="2"/>
  <c r="AC320" i="2"/>
  <c r="AB320" i="2"/>
  <c r="Z320" i="2"/>
  <c r="W320" i="2"/>
  <c r="T320" i="2"/>
  <c r="V320" i="2" s="1"/>
  <c r="S320" i="2"/>
  <c r="Q320" i="2"/>
  <c r="P320" i="2"/>
  <c r="O320" i="2"/>
  <c r="N320" i="2"/>
  <c r="C320" i="2"/>
  <c r="AC319" i="2"/>
  <c r="AB319" i="2"/>
  <c r="Z319" i="2"/>
  <c r="W319" i="2"/>
  <c r="T319" i="2"/>
  <c r="U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V317" i="2" s="1"/>
  <c r="S317" i="2"/>
  <c r="Q317" i="2"/>
  <c r="P317" i="2"/>
  <c r="O317" i="2"/>
  <c r="N317" i="2"/>
  <c r="C317" i="2"/>
  <c r="AC316" i="2"/>
  <c r="AB316" i="2"/>
  <c r="Z316" i="2"/>
  <c r="W316" i="2"/>
  <c r="T316" i="2"/>
  <c r="V316" i="2" s="1"/>
  <c r="S316" i="2"/>
  <c r="Q316" i="2"/>
  <c r="P316" i="2"/>
  <c r="O316" i="2"/>
  <c r="N316" i="2"/>
  <c r="C316" i="2"/>
  <c r="AC315" i="2"/>
  <c r="AB315" i="2"/>
  <c r="Z315" i="2"/>
  <c r="W315" i="2"/>
  <c r="T315" i="2"/>
  <c r="U315" i="2" s="1"/>
  <c r="S315" i="2"/>
  <c r="Q315" i="2"/>
  <c r="P315" i="2"/>
  <c r="O315" i="2"/>
  <c r="N315" i="2"/>
  <c r="C315" i="2"/>
  <c r="AC314" i="2"/>
  <c r="AB314" i="2"/>
  <c r="Z314" i="2"/>
  <c r="W314" i="2"/>
  <c r="T314" i="2"/>
  <c r="U314" i="2" s="1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V312" i="2" s="1"/>
  <c r="S312" i="2"/>
  <c r="Q312" i="2"/>
  <c r="P312" i="2"/>
  <c r="O312" i="2"/>
  <c r="N312" i="2"/>
  <c r="C312" i="2"/>
  <c r="AC311" i="2"/>
  <c r="AB311" i="2"/>
  <c r="Z311" i="2"/>
  <c r="W311" i="2"/>
  <c r="T311" i="2"/>
  <c r="S311" i="2"/>
  <c r="Q311" i="2"/>
  <c r="P311" i="2"/>
  <c r="O311" i="2"/>
  <c r="N311" i="2"/>
  <c r="C311" i="2"/>
  <c r="AC310" i="2"/>
  <c r="AB310" i="2"/>
  <c r="Z310" i="2"/>
  <c r="W310" i="2"/>
  <c r="T310" i="2"/>
  <c r="U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S308" i="2"/>
  <c r="Q308" i="2"/>
  <c r="P308" i="2"/>
  <c r="O308" i="2"/>
  <c r="N308" i="2"/>
  <c r="C308" i="2"/>
  <c r="AC307" i="2"/>
  <c r="AB307" i="2"/>
  <c r="Z307" i="2"/>
  <c r="W307" i="2"/>
  <c r="T307" i="2"/>
  <c r="V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U302" i="2" s="1"/>
  <c r="S302" i="2"/>
  <c r="Q302" i="2"/>
  <c r="P302" i="2"/>
  <c r="O302" i="2"/>
  <c r="N302" i="2"/>
  <c r="C302" i="2"/>
  <c r="AC301" i="2"/>
  <c r="AB301" i="2"/>
  <c r="Z301" i="2"/>
  <c r="W301" i="2"/>
  <c r="T301" i="2"/>
  <c r="V301" i="2" s="1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S299" i="2"/>
  <c r="Q299" i="2"/>
  <c r="P299" i="2"/>
  <c r="O299" i="2"/>
  <c r="N299" i="2"/>
  <c r="C299" i="2"/>
  <c r="AC298" i="2"/>
  <c r="AB298" i="2"/>
  <c r="Z298" i="2"/>
  <c r="W298" i="2"/>
  <c r="T298" i="2"/>
  <c r="V298" i="2" s="1"/>
  <c r="S298" i="2"/>
  <c r="Q298" i="2"/>
  <c r="P298" i="2"/>
  <c r="O298" i="2"/>
  <c r="N298" i="2"/>
  <c r="C298" i="2"/>
  <c r="AC297" i="2"/>
  <c r="AB297" i="2"/>
  <c r="Z297" i="2"/>
  <c r="W297" i="2"/>
  <c r="T297" i="2"/>
  <c r="U297" i="2" s="1"/>
  <c r="S297" i="2"/>
  <c r="Q297" i="2"/>
  <c r="P297" i="2"/>
  <c r="O297" i="2"/>
  <c r="N297" i="2"/>
  <c r="C297" i="2"/>
  <c r="AC296" i="2"/>
  <c r="AB296" i="2"/>
  <c r="Z296" i="2"/>
  <c r="W296" i="2"/>
  <c r="T296" i="2"/>
  <c r="V296" i="2" s="1"/>
  <c r="S296" i="2"/>
  <c r="Q296" i="2"/>
  <c r="P296" i="2"/>
  <c r="O296" i="2"/>
  <c r="N296" i="2"/>
  <c r="C296" i="2"/>
  <c r="AC295" i="2"/>
  <c r="AB295" i="2"/>
  <c r="Z295" i="2"/>
  <c r="W295" i="2"/>
  <c r="T295" i="2"/>
  <c r="U295" i="2" s="1"/>
  <c r="S295" i="2"/>
  <c r="Q295" i="2"/>
  <c r="P295" i="2"/>
  <c r="O295" i="2"/>
  <c r="N295" i="2"/>
  <c r="C295" i="2"/>
  <c r="AC294" i="2"/>
  <c r="AB294" i="2"/>
  <c r="Z294" i="2"/>
  <c r="W294" i="2"/>
  <c r="T294" i="2"/>
  <c r="V294" i="2" s="1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V291" i="2" s="1"/>
  <c r="S291" i="2"/>
  <c r="Q291" i="2"/>
  <c r="P291" i="2"/>
  <c r="O291" i="2"/>
  <c r="N291" i="2"/>
  <c r="C291" i="2"/>
  <c r="AC290" i="2"/>
  <c r="AB290" i="2"/>
  <c r="Z290" i="2"/>
  <c r="W290" i="2"/>
  <c r="T290" i="2"/>
  <c r="V290" i="2" s="1"/>
  <c r="S290" i="2"/>
  <c r="Q290" i="2"/>
  <c r="P290" i="2"/>
  <c r="O290" i="2"/>
  <c r="N290" i="2"/>
  <c r="C290" i="2"/>
  <c r="AC289" i="2"/>
  <c r="AB289" i="2"/>
  <c r="Z289" i="2"/>
  <c r="W289" i="2"/>
  <c r="T289" i="2"/>
  <c r="V289" i="2" s="1"/>
  <c r="S289" i="2"/>
  <c r="Q289" i="2"/>
  <c r="P289" i="2"/>
  <c r="O289" i="2"/>
  <c r="N289" i="2"/>
  <c r="C289" i="2"/>
  <c r="AC288" i="2"/>
  <c r="AB288" i="2"/>
  <c r="Z288" i="2"/>
  <c r="W288" i="2"/>
  <c r="T288" i="2"/>
  <c r="V288" i="2" s="1"/>
  <c r="S288" i="2"/>
  <c r="Q288" i="2"/>
  <c r="P288" i="2"/>
  <c r="O288" i="2"/>
  <c r="N288" i="2"/>
  <c r="C288" i="2"/>
  <c r="AC287" i="2"/>
  <c r="AB287" i="2"/>
  <c r="Z287" i="2"/>
  <c r="W287" i="2"/>
  <c r="T287" i="2"/>
  <c r="U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U285" i="2" s="1"/>
  <c r="S285" i="2"/>
  <c r="Q285" i="2"/>
  <c r="P285" i="2"/>
  <c r="O285" i="2"/>
  <c r="N285" i="2"/>
  <c r="C285" i="2"/>
  <c r="AC284" i="2"/>
  <c r="AB284" i="2"/>
  <c r="Z284" i="2"/>
  <c r="W284" i="2"/>
  <c r="T284" i="2"/>
  <c r="S284" i="2"/>
  <c r="Q284" i="2"/>
  <c r="P284" i="2"/>
  <c r="O284" i="2"/>
  <c r="N284" i="2"/>
  <c r="C284" i="2"/>
  <c r="AC283" i="2"/>
  <c r="AB283" i="2"/>
  <c r="Z283" i="2"/>
  <c r="W283" i="2"/>
  <c r="T283" i="2"/>
  <c r="V283" i="2" s="1"/>
  <c r="S283" i="2"/>
  <c r="Q283" i="2"/>
  <c r="P283" i="2"/>
  <c r="O283" i="2"/>
  <c r="N283" i="2"/>
  <c r="C283" i="2"/>
  <c r="AC282" i="2"/>
  <c r="AB282" i="2"/>
  <c r="Z282" i="2"/>
  <c r="W282" i="2"/>
  <c r="T282" i="2"/>
  <c r="V282" i="2" s="1"/>
  <c r="S282" i="2"/>
  <c r="Q282" i="2"/>
  <c r="P282" i="2"/>
  <c r="O282" i="2"/>
  <c r="N282" i="2"/>
  <c r="C282" i="2"/>
  <c r="AC281" i="2"/>
  <c r="AB281" i="2"/>
  <c r="Z281" i="2"/>
  <c r="W281" i="2"/>
  <c r="T281" i="2"/>
  <c r="U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S279" i="2"/>
  <c r="Q279" i="2"/>
  <c r="P279" i="2"/>
  <c r="O279" i="2"/>
  <c r="N279" i="2"/>
  <c r="C279" i="2"/>
  <c r="AC278" i="2"/>
  <c r="AB278" i="2"/>
  <c r="Z278" i="2"/>
  <c r="W278" i="2"/>
  <c r="T278" i="2"/>
  <c r="V278" i="2" s="1"/>
  <c r="S278" i="2"/>
  <c r="Q278" i="2"/>
  <c r="P278" i="2"/>
  <c r="O278" i="2"/>
  <c r="N278" i="2"/>
  <c r="C278" i="2"/>
  <c r="AC277" i="2"/>
  <c r="AB277" i="2"/>
  <c r="Z277" i="2"/>
  <c r="W277" i="2"/>
  <c r="T277" i="2"/>
  <c r="V277" i="2" s="1"/>
  <c r="S277" i="2"/>
  <c r="Q277" i="2"/>
  <c r="P277" i="2"/>
  <c r="O277" i="2"/>
  <c r="N277" i="2"/>
  <c r="C277" i="2"/>
  <c r="AC276" i="2"/>
  <c r="AB276" i="2"/>
  <c r="Z276" i="2"/>
  <c r="W276" i="2"/>
  <c r="T276" i="2"/>
  <c r="V276" i="2" s="1"/>
  <c r="S276" i="2"/>
  <c r="Q276" i="2"/>
  <c r="P276" i="2"/>
  <c r="O276" i="2"/>
  <c r="N276" i="2"/>
  <c r="C276" i="2"/>
  <c r="AC275" i="2"/>
  <c r="AB275" i="2"/>
  <c r="Z275" i="2"/>
  <c r="W275" i="2"/>
  <c r="T275" i="2"/>
  <c r="S275" i="2"/>
  <c r="Q275" i="2"/>
  <c r="P275" i="2"/>
  <c r="O275" i="2"/>
  <c r="N275" i="2"/>
  <c r="C275" i="2"/>
  <c r="AC274" i="2"/>
  <c r="AB274" i="2"/>
  <c r="Z274" i="2"/>
  <c r="W274" i="2"/>
  <c r="T274" i="2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V272" i="2" s="1"/>
  <c r="S272" i="2"/>
  <c r="Q272" i="2"/>
  <c r="P272" i="2"/>
  <c r="O272" i="2"/>
  <c r="N272" i="2"/>
  <c r="C272" i="2"/>
  <c r="AC271" i="2"/>
  <c r="AB271" i="2"/>
  <c r="Z271" i="2"/>
  <c r="W271" i="2"/>
  <c r="T271" i="2"/>
  <c r="U271" i="2" s="1"/>
  <c r="S271" i="2"/>
  <c r="Q271" i="2"/>
  <c r="P271" i="2"/>
  <c r="O271" i="2"/>
  <c r="N271" i="2"/>
  <c r="C271" i="2"/>
  <c r="AC270" i="2"/>
  <c r="AB270" i="2"/>
  <c r="Z270" i="2"/>
  <c r="W270" i="2"/>
  <c r="T270" i="2"/>
  <c r="U270" i="2" s="1"/>
  <c r="S270" i="2"/>
  <c r="Q270" i="2"/>
  <c r="P270" i="2"/>
  <c r="O270" i="2"/>
  <c r="N270" i="2"/>
  <c r="C270" i="2"/>
  <c r="AC269" i="2"/>
  <c r="AB269" i="2"/>
  <c r="Z269" i="2"/>
  <c r="W269" i="2"/>
  <c r="T269" i="2"/>
  <c r="S269" i="2"/>
  <c r="Q269" i="2"/>
  <c r="P269" i="2"/>
  <c r="O269" i="2"/>
  <c r="N269" i="2"/>
  <c r="C269" i="2"/>
  <c r="AC268" i="2"/>
  <c r="AB268" i="2"/>
  <c r="Z268" i="2"/>
  <c r="W268" i="2"/>
  <c r="T268" i="2"/>
  <c r="S268" i="2"/>
  <c r="Q268" i="2"/>
  <c r="P268" i="2"/>
  <c r="O268" i="2"/>
  <c r="N268" i="2"/>
  <c r="C268" i="2"/>
  <c r="AC267" i="2"/>
  <c r="AB267" i="2"/>
  <c r="Z267" i="2"/>
  <c r="W267" i="2"/>
  <c r="T267" i="2"/>
  <c r="V267" i="2" s="1"/>
  <c r="S267" i="2"/>
  <c r="Q267" i="2"/>
  <c r="P267" i="2"/>
  <c r="O267" i="2"/>
  <c r="N267" i="2"/>
  <c r="C267" i="2"/>
  <c r="AC266" i="2"/>
  <c r="AB266" i="2"/>
  <c r="Z266" i="2"/>
  <c r="W266" i="2"/>
  <c r="T266" i="2"/>
  <c r="U266" i="2" s="1"/>
  <c r="S266" i="2"/>
  <c r="Q266" i="2"/>
  <c r="P266" i="2"/>
  <c r="O266" i="2"/>
  <c r="N266" i="2"/>
  <c r="C266" i="2"/>
  <c r="AC265" i="2"/>
  <c r="AB265" i="2"/>
  <c r="Z265" i="2"/>
  <c r="W265" i="2"/>
  <c r="T265" i="2"/>
  <c r="S265" i="2"/>
  <c r="Q265" i="2"/>
  <c r="P265" i="2"/>
  <c r="O265" i="2"/>
  <c r="N265" i="2"/>
  <c r="C265" i="2"/>
  <c r="AC264" i="2"/>
  <c r="AB264" i="2"/>
  <c r="Z264" i="2"/>
  <c r="W264" i="2"/>
  <c r="T264" i="2"/>
  <c r="V264" i="2" s="1"/>
  <c r="S264" i="2"/>
  <c r="Q264" i="2"/>
  <c r="P264" i="2"/>
  <c r="O264" i="2"/>
  <c r="N264" i="2"/>
  <c r="C264" i="2"/>
  <c r="AC263" i="2"/>
  <c r="AB263" i="2"/>
  <c r="Z263" i="2"/>
  <c r="W263" i="2"/>
  <c r="T263" i="2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U261" i="2" s="1"/>
  <c r="S261" i="2"/>
  <c r="Q261" i="2"/>
  <c r="P261" i="2"/>
  <c r="O261" i="2"/>
  <c r="N261" i="2"/>
  <c r="C261" i="2"/>
  <c r="AC260" i="2"/>
  <c r="AB260" i="2"/>
  <c r="Z260" i="2"/>
  <c r="W260" i="2"/>
  <c r="T260" i="2"/>
  <c r="U260" i="2" s="1"/>
  <c r="S260" i="2"/>
  <c r="Q260" i="2"/>
  <c r="P260" i="2"/>
  <c r="O260" i="2"/>
  <c r="N260" i="2"/>
  <c r="C260" i="2"/>
  <c r="AC259" i="2"/>
  <c r="AB259" i="2"/>
  <c r="Z259" i="2"/>
  <c r="W259" i="2"/>
  <c r="T259" i="2"/>
  <c r="V259" i="2" s="1"/>
  <c r="S259" i="2"/>
  <c r="Q259" i="2"/>
  <c r="P259" i="2"/>
  <c r="O259" i="2"/>
  <c r="N259" i="2"/>
  <c r="C259" i="2"/>
  <c r="AC258" i="2"/>
  <c r="AB258" i="2"/>
  <c r="Z258" i="2"/>
  <c r="W258" i="2"/>
  <c r="T258" i="2"/>
  <c r="V258" i="2" s="1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S255" i="2"/>
  <c r="Q255" i="2"/>
  <c r="P255" i="2"/>
  <c r="O255" i="2"/>
  <c r="N255" i="2"/>
  <c r="C255" i="2"/>
  <c r="AC254" i="2"/>
  <c r="AB254" i="2"/>
  <c r="Z254" i="2"/>
  <c r="W254" i="2"/>
  <c r="T254" i="2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U252" i="2" s="1"/>
  <c r="S252" i="2"/>
  <c r="Q252" i="2"/>
  <c r="P252" i="2"/>
  <c r="O252" i="2"/>
  <c r="N252" i="2"/>
  <c r="C252" i="2"/>
  <c r="AC251" i="2"/>
  <c r="AB251" i="2"/>
  <c r="Z251" i="2"/>
  <c r="W251" i="2"/>
  <c r="T251" i="2"/>
  <c r="V251" i="2" s="1"/>
  <c r="S251" i="2"/>
  <c r="Q251" i="2"/>
  <c r="P251" i="2"/>
  <c r="O251" i="2"/>
  <c r="N251" i="2"/>
  <c r="C251" i="2"/>
  <c r="AC250" i="2"/>
  <c r="AB250" i="2"/>
  <c r="Z250" i="2"/>
  <c r="W250" i="2"/>
  <c r="T250" i="2"/>
  <c r="V250" i="2" s="1"/>
  <c r="S250" i="2"/>
  <c r="Q250" i="2"/>
  <c r="P250" i="2"/>
  <c r="O250" i="2"/>
  <c r="N250" i="2"/>
  <c r="C250" i="2"/>
  <c r="AC249" i="2"/>
  <c r="AB249" i="2"/>
  <c r="Z249" i="2"/>
  <c r="W249" i="2"/>
  <c r="T249" i="2"/>
  <c r="S249" i="2"/>
  <c r="Q249" i="2"/>
  <c r="P249" i="2"/>
  <c r="O249" i="2"/>
  <c r="N249" i="2"/>
  <c r="C249" i="2"/>
  <c r="AC248" i="2"/>
  <c r="AB248" i="2"/>
  <c r="Z248" i="2"/>
  <c r="W248" i="2"/>
  <c r="T248" i="2"/>
  <c r="V248" i="2" s="1"/>
  <c r="S248" i="2"/>
  <c r="Q248" i="2"/>
  <c r="P248" i="2"/>
  <c r="O248" i="2"/>
  <c r="N248" i="2"/>
  <c r="C248" i="2"/>
  <c r="AC247" i="2"/>
  <c r="AB247" i="2"/>
  <c r="Z247" i="2"/>
  <c r="W247" i="2"/>
  <c r="T247" i="2"/>
  <c r="V247" i="2" s="1"/>
  <c r="S247" i="2"/>
  <c r="Q247" i="2"/>
  <c r="P247" i="2"/>
  <c r="O247" i="2"/>
  <c r="N247" i="2"/>
  <c r="C247" i="2"/>
  <c r="AC246" i="2"/>
  <c r="AB246" i="2"/>
  <c r="Z246" i="2"/>
  <c r="W246" i="2"/>
  <c r="T246" i="2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V243" i="2" s="1"/>
  <c r="S243" i="2"/>
  <c r="Q243" i="2"/>
  <c r="P243" i="2"/>
  <c r="O243" i="2"/>
  <c r="N243" i="2"/>
  <c r="C243" i="2"/>
  <c r="AC242" i="2"/>
  <c r="AB242" i="2"/>
  <c r="Z242" i="2"/>
  <c r="W242" i="2"/>
  <c r="T242" i="2"/>
  <c r="U242" i="2" s="1"/>
  <c r="S242" i="2"/>
  <c r="Q242" i="2"/>
  <c r="P242" i="2"/>
  <c r="O242" i="2"/>
  <c r="N242" i="2"/>
  <c r="C242" i="2"/>
  <c r="AC241" i="2"/>
  <c r="AB241" i="2"/>
  <c r="Z241" i="2"/>
  <c r="W241" i="2"/>
  <c r="T241" i="2"/>
  <c r="S241" i="2"/>
  <c r="Q241" i="2"/>
  <c r="P241" i="2"/>
  <c r="O241" i="2"/>
  <c r="N241" i="2"/>
  <c r="C241" i="2"/>
  <c r="AC240" i="2"/>
  <c r="AB240" i="2"/>
  <c r="Z240" i="2"/>
  <c r="W240" i="2"/>
  <c r="T240" i="2"/>
  <c r="U240" i="2" s="1"/>
  <c r="S240" i="2"/>
  <c r="Q240" i="2"/>
  <c r="P240" i="2"/>
  <c r="O240" i="2"/>
  <c r="N240" i="2"/>
  <c r="C240" i="2"/>
  <c r="AC239" i="2"/>
  <c r="AB239" i="2"/>
  <c r="Z239" i="2"/>
  <c r="W239" i="2"/>
  <c r="T239" i="2"/>
  <c r="S239" i="2"/>
  <c r="Q239" i="2"/>
  <c r="P239" i="2"/>
  <c r="O239" i="2"/>
  <c r="N239" i="2"/>
  <c r="C239" i="2"/>
  <c r="AC238" i="2"/>
  <c r="AB238" i="2"/>
  <c r="Z238" i="2"/>
  <c r="W238" i="2"/>
  <c r="T238" i="2"/>
  <c r="S238" i="2"/>
  <c r="Q238" i="2"/>
  <c r="P238" i="2"/>
  <c r="O238" i="2"/>
  <c r="N238" i="2"/>
  <c r="C238" i="2"/>
  <c r="AC237" i="2"/>
  <c r="AB237" i="2"/>
  <c r="Z237" i="2"/>
  <c r="W237" i="2"/>
  <c r="T237" i="2"/>
  <c r="U237" i="2" s="1"/>
  <c r="S237" i="2"/>
  <c r="Q237" i="2"/>
  <c r="P237" i="2"/>
  <c r="O237" i="2"/>
  <c r="N237" i="2"/>
  <c r="C237" i="2"/>
  <c r="AC236" i="2"/>
  <c r="AB236" i="2"/>
  <c r="Z236" i="2"/>
  <c r="W236" i="2"/>
  <c r="T236" i="2"/>
  <c r="V236" i="2" s="1"/>
  <c r="S236" i="2"/>
  <c r="Q236" i="2"/>
  <c r="P236" i="2"/>
  <c r="O236" i="2"/>
  <c r="N236" i="2"/>
  <c r="C236" i="2"/>
  <c r="AC235" i="2"/>
  <c r="AB235" i="2"/>
  <c r="Z235" i="2"/>
  <c r="W235" i="2"/>
  <c r="T235" i="2"/>
  <c r="V235" i="2" s="1"/>
  <c r="S235" i="2"/>
  <c r="Q235" i="2"/>
  <c r="P235" i="2"/>
  <c r="O235" i="2"/>
  <c r="N235" i="2"/>
  <c r="C235" i="2"/>
  <c r="AC234" i="2"/>
  <c r="AB234" i="2"/>
  <c r="Z234" i="2"/>
  <c r="W234" i="2"/>
  <c r="T234" i="2"/>
  <c r="V234" i="2" s="1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S232" i="2"/>
  <c r="Q232" i="2"/>
  <c r="P232" i="2"/>
  <c r="O232" i="2"/>
  <c r="N232" i="2"/>
  <c r="C232" i="2"/>
  <c r="AC231" i="2"/>
  <c r="AB231" i="2"/>
  <c r="Z231" i="2"/>
  <c r="W231" i="2"/>
  <c r="T231" i="2"/>
  <c r="U231" i="2" s="1"/>
  <c r="S231" i="2"/>
  <c r="Q231" i="2"/>
  <c r="P231" i="2"/>
  <c r="O231" i="2"/>
  <c r="N231" i="2"/>
  <c r="C231" i="2"/>
  <c r="AC230" i="2"/>
  <c r="AB230" i="2"/>
  <c r="Z230" i="2"/>
  <c r="W230" i="2"/>
  <c r="T230" i="2"/>
  <c r="V230" i="2" s="1"/>
  <c r="S230" i="2"/>
  <c r="Q230" i="2"/>
  <c r="P230" i="2"/>
  <c r="O230" i="2"/>
  <c r="N230" i="2"/>
  <c r="C230" i="2"/>
  <c r="AC229" i="2"/>
  <c r="AB229" i="2"/>
  <c r="Z229" i="2"/>
  <c r="W229" i="2"/>
  <c r="T229" i="2"/>
  <c r="S229" i="2"/>
  <c r="Q229" i="2"/>
  <c r="P229" i="2"/>
  <c r="O229" i="2"/>
  <c r="N229" i="2"/>
  <c r="C229" i="2"/>
  <c r="AC228" i="2"/>
  <c r="AB228" i="2"/>
  <c r="Z228" i="2"/>
  <c r="W228" i="2"/>
  <c r="T228" i="2"/>
  <c r="V228" i="2" s="1"/>
  <c r="S228" i="2"/>
  <c r="Q228" i="2"/>
  <c r="P228" i="2"/>
  <c r="O228" i="2"/>
  <c r="N228" i="2"/>
  <c r="C228" i="2"/>
  <c r="AC227" i="2"/>
  <c r="AB227" i="2"/>
  <c r="Z227" i="2"/>
  <c r="W227" i="2"/>
  <c r="T227" i="2"/>
  <c r="V227" i="2" s="1"/>
  <c r="S227" i="2"/>
  <c r="Q227" i="2"/>
  <c r="P227" i="2"/>
  <c r="O227" i="2"/>
  <c r="N227" i="2"/>
  <c r="C227" i="2"/>
  <c r="AC226" i="2"/>
  <c r="AB226" i="2"/>
  <c r="Z226" i="2"/>
  <c r="W226" i="2"/>
  <c r="T226" i="2"/>
  <c r="U226" i="2" s="1"/>
  <c r="S226" i="2"/>
  <c r="Q226" i="2"/>
  <c r="P226" i="2"/>
  <c r="O226" i="2"/>
  <c r="N226" i="2"/>
  <c r="C226" i="2"/>
  <c r="AC225" i="2"/>
  <c r="AB225" i="2"/>
  <c r="Z225" i="2"/>
  <c r="W225" i="2"/>
  <c r="T225" i="2"/>
  <c r="U225" i="2" s="1"/>
  <c r="S225" i="2"/>
  <c r="Q225" i="2"/>
  <c r="P225" i="2"/>
  <c r="O225" i="2"/>
  <c r="N225" i="2"/>
  <c r="C225" i="2"/>
  <c r="AC224" i="2"/>
  <c r="AB224" i="2"/>
  <c r="Z224" i="2"/>
  <c r="W224" i="2"/>
  <c r="T224" i="2"/>
  <c r="U224" i="2" s="1"/>
  <c r="S224" i="2"/>
  <c r="Q224" i="2"/>
  <c r="P224" i="2"/>
  <c r="O224" i="2"/>
  <c r="N224" i="2"/>
  <c r="C224" i="2"/>
  <c r="AC223" i="2"/>
  <c r="AB223" i="2"/>
  <c r="Z223" i="2"/>
  <c r="W223" i="2"/>
  <c r="T223" i="2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V221" i="2" s="1"/>
  <c r="S221" i="2"/>
  <c r="Q221" i="2"/>
  <c r="P221" i="2"/>
  <c r="O221" i="2"/>
  <c r="N221" i="2"/>
  <c r="C221" i="2"/>
  <c r="AC220" i="2"/>
  <c r="AB220" i="2"/>
  <c r="Z220" i="2"/>
  <c r="W220" i="2"/>
  <c r="T220" i="2"/>
  <c r="V220" i="2" s="1"/>
  <c r="S220" i="2"/>
  <c r="Q220" i="2"/>
  <c r="P220" i="2"/>
  <c r="O220" i="2"/>
  <c r="N220" i="2"/>
  <c r="C220" i="2"/>
  <c r="AC219" i="2"/>
  <c r="AB219" i="2"/>
  <c r="Z219" i="2"/>
  <c r="W219" i="2"/>
  <c r="T219" i="2"/>
  <c r="V219" i="2" s="1"/>
  <c r="S219" i="2"/>
  <c r="Q219" i="2"/>
  <c r="P219" i="2"/>
  <c r="O219" i="2"/>
  <c r="N219" i="2"/>
  <c r="C219" i="2"/>
  <c r="AC218" i="2"/>
  <c r="AB218" i="2"/>
  <c r="Z218" i="2"/>
  <c r="W218" i="2"/>
  <c r="T218" i="2"/>
  <c r="V218" i="2" s="1"/>
  <c r="S218" i="2"/>
  <c r="Q218" i="2"/>
  <c r="P218" i="2"/>
  <c r="O218" i="2"/>
  <c r="N218" i="2"/>
  <c r="C218" i="2"/>
  <c r="AC217" i="2"/>
  <c r="AB217" i="2"/>
  <c r="Z217" i="2"/>
  <c r="W217" i="2"/>
  <c r="T217" i="2"/>
  <c r="U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V215" i="2" s="1"/>
  <c r="S215" i="2"/>
  <c r="Q215" i="2"/>
  <c r="P215" i="2"/>
  <c r="O215" i="2"/>
  <c r="N215" i="2"/>
  <c r="C215" i="2"/>
  <c r="AC214" i="2"/>
  <c r="AB214" i="2"/>
  <c r="Z214" i="2"/>
  <c r="W214" i="2"/>
  <c r="T214" i="2"/>
  <c r="V214" i="2" s="1"/>
  <c r="S214" i="2"/>
  <c r="Q214" i="2"/>
  <c r="P214" i="2"/>
  <c r="O214" i="2"/>
  <c r="N214" i="2"/>
  <c r="C214" i="2"/>
  <c r="AC213" i="2"/>
  <c r="AB213" i="2"/>
  <c r="Z213" i="2"/>
  <c r="W213" i="2"/>
  <c r="T213" i="2"/>
  <c r="U213" i="2" s="1"/>
  <c r="S213" i="2"/>
  <c r="Q213" i="2"/>
  <c r="P213" i="2"/>
  <c r="O213" i="2"/>
  <c r="N213" i="2"/>
  <c r="C213" i="2"/>
  <c r="AC212" i="2"/>
  <c r="AB212" i="2"/>
  <c r="Z212" i="2"/>
  <c r="W212" i="2"/>
  <c r="T212" i="2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V210" i="2" s="1"/>
  <c r="S210" i="2"/>
  <c r="Q210" i="2"/>
  <c r="P210" i="2"/>
  <c r="O210" i="2"/>
  <c r="N210" i="2"/>
  <c r="C210" i="2"/>
  <c r="AC209" i="2"/>
  <c r="AB209" i="2"/>
  <c r="Z209" i="2"/>
  <c r="W209" i="2"/>
  <c r="T209" i="2"/>
  <c r="V209" i="2" s="1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U207" i="2" s="1"/>
  <c r="S207" i="2"/>
  <c r="Q207" i="2"/>
  <c r="P207" i="2"/>
  <c r="O207" i="2"/>
  <c r="N207" i="2"/>
  <c r="C207" i="2"/>
  <c r="AC206" i="2"/>
  <c r="AB206" i="2"/>
  <c r="Z206" i="2"/>
  <c r="W206" i="2"/>
  <c r="T206" i="2"/>
  <c r="S206" i="2"/>
  <c r="Q206" i="2"/>
  <c r="P206" i="2"/>
  <c r="O206" i="2"/>
  <c r="N206" i="2"/>
  <c r="C206" i="2"/>
  <c r="AC205" i="2"/>
  <c r="AB205" i="2"/>
  <c r="Z205" i="2"/>
  <c r="W205" i="2"/>
  <c r="T205" i="2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V203" i="2" s="1"/>
  <c r="S203" i="2"/>
  <c r="Q203" i="2"/>
  <c r="P203" i="2"/>
  <c r="O203" i="2"/>
  <c r="N203" i="2"/>
  <c r="C203" i="2"/>
  <c r="AC202" i="2"/>
  <c r="AB202" i="2"/>
  <c r="Z202" i="2"/>
  <c r="W202" i="2"/>
  <c r="T202" i="2"/>
  <c r="U202" i="2" s="1"/>
  <c r="S202" i="2"/>
  <c r="Q202" i="2"/>
  <c r="P202" i="2"/>
  <c r="O202" i="2"/>
  <c r="N202" i="2"/>
  <c r="C202" i="2"/>
  <c r="AC201" i="2"/>
  <c r="AB201" i="2"/>
  <c r="Z201" i="2"/>
  <c r="W201" i="2"/>
  <c r="T201" i="2"/>
  <c r="V201" i="2" s="1"/>
  <c r="S201" i="2"/>
  <c r="Q201" i="2"/>
  <c r="P201" i="2"/>
  <c r="O201" i="2"/>
  <c r="N201" i="2"/>
  <c r="C201" i="2"/>
  <c r="AC200" i="2"/>
  <c r="AB200" i="2"/>
  <c r="Z200" i="2"/>
  <c r="W200" i="2"/>
  <c r="T200" i="2"/>
  <c r="S200" i="2"/>
  <c r="Q200" i="2"/>
  <c r="P200" i="2"/>
  <c r="O200" i="2"/>
  <c r="N200" i="2"/>
  <c r="C200" i="2"/>
  <c r="AC199" i="2"/>
  <c r="AB199" i="2"/>
  <c r="Z199" i="2"/>
  <c r="W199" i="2"/>
  <c r="T199" i="2"/>
  <c r="U199" i="2" s="1"/>
  <c r="S199" i="2"/>
  <c r="Q199" i="2"/>
  <c r="P199" i="2"/>
  <c r="O199" i="2"/>
  <c r="N199" i="2"/>
  <c r="C199" i="2"/>
  <c r="AC198" i="2"/>
  <c r="AB198" i="2"/>
  <c r="Z198" i="2"/>
  <c r="W198" i="2"/>
  <c r="T198" i="2"/>
  <c r="U198" i="2" s="1"/>
  <c r="S198" i="2"/>
  <c r="Q198" i="2"/>
  <c r="P198" i="2"/>
  <c r="O198" i="2"/>
  <c r="N198" i="2"/>
  <c r="C198" i="2"/>
  <c r="AC197" i="2"/>
  <c r="AB197" i="2"/>
  <c r="Z197" i="2"/>
  <c r="W197" i="2"/>
  <c r="T197" i="2"/>
  <c r="V197" i="2" s="1"/>
  <c r="S197" i="2"/>
  <c r="Q197" i="2"/>
  <c r="P197" i="2"/>
  <c r="O197" i="2"/>
  <c r="N197" i="2"/>
  <c r="C197" i="2"/>
  <c r="AC196" i="2"/>
  <c r="AB196" i="2"/>
  <c r="Z196" i="2"/>
  <c r="W196" i="2"/>
  <c r="T196" i="2"/>
  <c r="V196" i="2" s="1"/>
  <c r="S196" i="2"/>
  <c r="Q196" i="2"/>
  <c r="P196" i="2"/>
  <c r="O196" i="2"/>
  <c r="N196" i="2"/>
  <c r="C196" i="2"/>
  <c r="AC195" i="2"/>
  <c r="AB195" i="2"/>
  <c r="Z195" i="2"/>
  <c r="W195" i="2"/>
  <c r="T195" i="2"/>
  <c r="V195" i="2" s="1"/>
  <c r="S195" i="2"/>
  <c r="Q195" i="2"/>
  <c r="P195" i="2"/>
  <c r="O195" i="2"/>
  <c r="N195" i="2"/>
  <c r="C195" i="2"/>
  <c r="AC194" i="2"/>
  <c r="AB194" i="2"/>
  <c r="Z194" i="2"/>
  <c r="W194" i="2"/>
  <c r="T194" i="2"/>
  <c r="S194" i="2"/>
  <c r="Q194" i="2"/>
  <c r="P194" i="2"/>
  <c r="O194" i="2"/>
  <c r="N194" i="2"/>
  <c r="C194" i="2"/>
  <c r="AC193" i="2"/>
  <c r="AB193" i="2"/>
  <c r="Z193" i="2"/>
  <c r="W193" i="2"/>
  <c r="T193" i="2"/>
  <c r="S193" i="2"/>
  <c r="Q193" i="2"/>
  <c r="P193" i="2"/>
  <c r="O193" i="2"/>
  <c r="N193" i="2"/>
  <c r="C193" i="2"/>
  <c r="AC192" i="2"/>
  <c r="AB192" i="2"/>
  <c r="Z192" i="2"/>
  <c r="W192" i="2"/>
  <c r="T192" i="2"/>
  <c r="U192" i="2" s="1"/>
  <c r="S192" i="2"/>
  <c r="Q192" i="2"/>
  <c r="P192" i="2"/>
  <c r="O192" i="2"/>
  <c r="N192" i="2"/>
  <c r="C192" i="2"/>
  <c r="AC191" i="2"/>
  <c r="AB191" i="2"/>
  <c r="Z191" i="2"/>
  <c r="W191" i="2"/>
  <c r="T191" i="2"/>
  <c r="V191" i="2" s="1"/>
  <c r="S191" i="2"/>
  <c r="Q191" i="2"/>
  <c r="P191" i="2"/>
  <c r="O191" i="2"/>
  <c r="N191" i="2"/>
  <c r="C191" i="2"/>
  <c r="AC190" i="2"/>
  <c r="AB190" i="2"/>
  <c r="Z190" i="2"/>
  <c r="W190" i="2"/>
  <c r="T190" i="2"/>
  <c r="U190" i="2" s="1"/>
  <c r="S190" i="2"/>
  <c r="Q190" i="2"/>
  <c r="P190" i="2"/>
  <c r="O190" i="2"/>
  <c r="N190" i="2"/>
  <c r="C190" i="2"/>
  <c r="AC189" i="2"/>
  <c r="AB189" i="2"/>
  <c r="Z189" i="2"/>
  <c r="W189" i="2"/>
  <c r="T189" i="2"/>
  <c r="S189" i="2"/>
  <c r="Q189" i="2"/>
  <c r="P189" i="2"/>
  <c r="O189" i="2"/>
  <c r="N189" i="2"/>
  <c r="C189" i="2"/>
  <c r="AC188" i="2"/>
  <c r="AB188" i="2"/>
  <c r="Z188" i="2"/>
  <c r="W188" i="2"/>
  <c r="T188" i="2"/>
  <c r="V188" i="2" s="1"/>
  <c r="S188" i="2"/>
  <c r="Q188" i="2"/>
  <c r="P188" i="2"/>
  <c r="O188" i="2"/>
  <c r="N188" i="2"/>
  <c r="C188" i="2"/>
  <c r="AC187" i="2"/>
  <c r="AB187" i="2"/>
  <c r="Z187" i="2"/>
  <c r="W187" i="2"/>
  <c r="T187" i="2"/>
  <c r="U187" i="2" s="1"/>
  <c r="S187" i="2"/>
  <c r="Q187" i="2"/>
  <c r="P187" i="2"/>
  <c r="O187" i="2"/>
  <c r="N187" i="2"/>
  <c r="C187" i="2"/>
  <c r="AC186" i="2"/>
  <c r="AB186" i="2"/>
  <c r="Z186" i="2"/>
  <c r="W186" i="2"/>
  <c r="T186" i="2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U184" i="2" s="1"/>
  <c r="S184" i="2"/>
  <c r="Q184" i="2"/>
  <c r="P184" i="2"/>
  <c r="O184" i="2"/>
  <c r="N184" i="2"/>
  <c r="C184" i="2"/>
  <c r="AC183" i="2"/>
  <c r="AB183" i="2"/>
  <c r="Z183" i="2"/>
  <c r="W183" i="2"/>
  <c r="T183" i="2"/>
  <c r="V183" i="2" s="1"/>
  <c r="S183" i="2"/>
  <c r="Q183" i="2"/>
  <c r="P183" i="2"/>
  <c r="O183" i="2"/>
  <c r="N183" i="2"/>
  <c r="C183" i="2"/>
  <c r="AC182" i="2"/>
  <c r="AB182" i="2"/>
  <c r="Z182" i="2"/>
  <c r="W182" i="2"/>
  <c r="T182" i="2"/>
  <c r="V182" i="2" s="1"/>
  <c r="S182" i="2"/>
  <c r="Q182" i="2"/>
  <c r="P182" i="2"/>
  <c r="O182" i="2"/>
  <c r="N182" i="2"/>
  <c r="C182" i="2"/>
  <c r="AC181" i="2"/>
  <c r="AB181" i="2"/>
  <c r="Z181" i="2"/>
  <c r="W181" i="2"/>
  <c r="T181" i="2"/>
  <c r="V181" i="2" s="1"/>
  <c r="S181" i="2"/>
  <c r="Q181" i="2"/>
  <c r="P181" i="2"/>
  <c r="O181" i="2"/>
  <c r="N181" i="2"/>
  <c r="C181" i="2"/>
  <c r="AC180" i="2"/>
  <c r="AB180" i="2"/>
  <c r="Z180" i="2"/>
  <c r="W180" i="2"/>
  <c r="T180" i="2"/>
  <c r="U180" i="2" s="1"/>
  <c r="S180" i="2"/>
  <c r="Q180" i="2"/>
  <c r="P180" i="2"/>
  <c r="O180" i="2"/>
  <c r="N180" i="2"/>
  <c r="C180" i="2"/>
  <c r="AC179" i="2"/>
  <c r="AB179" i="2"/>
  <c r="Z179" i="2"/>
  <c r="W179" i="2"/>
  <c r="T179" i="2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U176" i="2" s="1"/>
  <c r="S176" i="2"/>
  <c r="Q176" i="2"/>
  <c r="P176" i="2"/>
  <c r="O176" i="2"/>
  <c r="N176" i="2"/>
  <c r="C176" i="2"/>
  <c r="AC175" i="2"/>
  <c r="AB175" i="2"/>
  <c r="Z175" i="2"/>
  <c r="W175" i="2"/>
  <c r="T175" i="2"/>
  <c r="U175" i="2" s="1"/>
  <c r="S175" i="2"/>
  <c r="Q175" i="2"/>
  <c r="P175" i="2"/>
  <c r="O175" i="2"/>
  <c r="N175" i="2"/>
  <c r="C175" i="2"/>
  <c r="AC174" i="2"/>
  <c r="AB174" i="2"/>
  <c r="Z174" i="2"/>
  <c r="W174" i="2"/>
  <c r="T174" i="2"/>
  <c r="U174" i="2" s="1"/>
  <c r="S174" i="2"/>
  <c r="Q174" i="2"/>
  <c r="P174" i="2"/>
  <c r="O174" i="2"/>
  <c r="N174" i="2"/>
  <c r="C174" i="2"/>
  <c r="AC173" i="2"/>
  <c r="AB173" i="2"/>
  <c r="Z173" i="2"/>
  <c r="W173" i="2"/>
  <c r="T173" i="2"/>
  <c r="V173" i="2" s="1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U171" i="2" s="1"/>
  <c r="S171" i="2"/>
  <c r="Q171" i="2"/>
  <c r="P171" i="2"/>
  <c r="O171" i="2"/>
  <c r="N171" i="2"/>
  <c r="C171" i="2"/>
  <c r="AC170" i="2"/>
  <c r="AB170" i="2"/>
  <c r="Z170" i="2"/>
  <c r="W170" i="2"/>
  <c r="T170" i="2"/>
  <c r="U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V168" i="2" s="1"/>
  <c r="S168" i="2"/>
  <c r="Q168" i="2"/>
  <c r="P168" i="2"/>
  <c r="O168" i="2"/>
  <c r="N168" i="2"/>
  <c r="C168" i="2"/>
  <c r="AC167" i="2"/>
  <c r="AB167" i="2"/>
  <c r="Z167" i="2"/>
  <c r="W167" i="2"/>
  <c r="T167" i="2"/>
  <c r="U167" i="2" s="1"/>
  <c r="S167" i="2"/>
  <c r="Q167" i="2"/>
  <c r="P167" i="2"/>
  <c r="O167" i="2"/>
  <c r="N167" i="2"/>
  <c r="C167" i="2"/>
  <c r="AC166" i="2"/>
  <c r="AB166" i="2"/>
  <c r="Z166" i="2"/>
  <c r="W166" i="2"/>
  <c r="T166" i="2"/>
  <c r="S166" i="2"/>
  <c r="Q166" i="2"/>
  <c r="P166" i="2"/>
  <c r="O166" i="2"/>
  <c r="N166" i="2"/>
  <c r="C166" i="2"/>
  <c r="AC165" i="2"/>
  <c r="AB165" i="2"/>
  <c r="Z165" i="2"/>
  <c r="W165" i="2"/>
  <c r="T165" i="2"/>
  <c r="S165" i="2"/>
  <c r="Q165" i="2"/>
  <c r="P165" i="2"/>
  <c r="O165" i="2"/>
  <c r="N165" i="2"/>
  <c r="C165" i="2"/>
  <c r="AC164" i="2"/>
  <c r="AB164" i="2"/>
  <c r="Z164" i="2"/>
  <c r="W164" i="2"/>
  <c r="T164" i="2"/>
  <c r="U164" i="2" s="1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U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U160" i="2" s="1"/>
  <c r="S160" i="2"/>
  <c r="Q160" i="2"/>
  <c r="P160" i="2"/>
  <c r="O160" i="2"/>
  <c r="N160" i="2"/>
  <c r="C160" i="2"/>
  <c r="AC159" i="2"/>
  <c r="AB159" i="2"/>
  <c r="Z159" i="2"/>
  <c r="W159" i="2"/>
  <c r="T159" i="2"/>
  <c r="U159" i="2" s="1"/>
  <c r="S159" i="2"/>
  <c r="Q159" i="2"/>
  <c r="P159" i="2"/>
  <c r="O159" i="2"/>
  <c r="N159" i="2"/>
  <c r="C159" i="2"/>
  <c r="AC158" i="2"/>
  <c r="AB158" i="2"/>
  <c r="Z158" i="2"/>
  <c r="W158" i="2"/>
  <c r="T158" i="2"/>
  <c r="V158" i="2" s="1"/>
  <c r="S158" i="2"/>
  <c r="Q158" i="2"/>
  <c r="P158" i="2"/>
  <c r="O158" i="2"/>
  <c r="N158" i="2"/>
  <c r="C158" i="2"/>
  <c r="AC157" i="2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S156" i="2"/>
  <c r="Q156" i="2"/>
  <c r="P156" i="2"/>
  <c r="O156" i="2"/>
  <c r="N156" i="2"/>
  <c r="C156" i="2"/>
  <c r="AC155" i="2"/>
  <c r="AB155" i="2"/>
  <c r="Z155" i="2"/>
  <c r="W155" i="2"/>
  <c r="T155" i="2"/>
  <c r="S155" i="2"/>
  <c r="Q155" i="2"/>
  <c r="P155" i="2"/>
  <c r="O155" i="2"/>
  <c r="N155" i="2"/>
  <c r="C155" i="2"/>
  <c r="AC154" i="2"/>
  <c r="AB154" i="2"/>
  <c r="Z154" i="2"/>
  <c r="W154" i="2"/>
  <c r="T154" i="2"/>
  <c r="V154" i="2" s="1"/>
  <c r="S154" i="2"/>
  <c r="Q154" i="2"/>
  <c r="P154" i="2"/>
  <c r="O154" i="2"/>
  <c r="N154" i="2"/>
  <c r="C154" i="2"/>
  <c r="AC153" i="2"/>
  <c r="AB153" i="2"/>
  <c r="Z153" i="2"/>
  <c r="W153" i="2"/>
  <c r="T153" i="2"/>
  <c r="V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S150" i="2"/>
  <c r="Q150" i="2"/>
  <c r="P150" i="2"/>
  <c r="O150" i="2"/>
  <c r="N150" i="2"/>
  <c r="C150" i="2"/>
  <c r="AC149" i="2"/>
  <c r="AB149" i="2"/>
  <c r="Z149" i="2"/>
  <c r="W149" i="2"/>
  <c r="T149" i="2"/>
  <c r="S149" i="2"/>
  <c r="Q149" i="2"/>
  <c r="P149" i="2"/>
  <c r="O149" i="2"/>
  <c r="N149" i="2"/>
  <c r="C149" i="2"/>
  <c r="AC148" i="2"/>
  <c r="AB148" i="2"/>
  <c r="Z148" i="2"/>
  <c r="W148" i="2"/>
  <c r="T148" i="2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V138" i="2" s="1"/>
  <c r="S138" i="2"/>
  <c r="Q138" i="2"/>
  <c r="P138" i="2"/>
  <c r="O138" i="2"/>
  <c r="N138" i="2"/>
  <c r="C138" i="2"/>
  <c r="AC137" i="2"/>
  <c r="AB137" i="2"/>
  <c r="Z137" i="2"/>
  <c r="W137" i="2"/>
  <c r="T137" i="2"/>
  <c r="U137" i="2" s="1"/>
  <c r="S137" i="2"/>
  <c r="Q137" i="2"/>
  <c r="P137" i="2"/>
  <c r="O137" i="2"/>
  <c r="N137" i="2"/>
  <c r="C137" i="2"/>
  <c r="AC136" i="2"/>
  <c r="AB136" i="2"/>
  <c r="Z136" i="2"/>
  <c r="W136" i="2"/>
  <c r="T136" i="2"/>
  <c r="U136" i="2" s="1"/>
  <c r="S136" i="2"/>
  <c r="Q136" i="2"/>
  <c r="P136" i="2"/>
  <c r="O136" i="2"/>
  <c r="N136" i="2"/>
  <c r="C136" i="2"/>
  <c r="AC135" i="2"/>
  <c r="AB135" i="2"/>
  <c r="Z135" i="2"/>
  <c r="W135" i="2"/>
  <c r="T135" i="2"/>
  <c r="V135" i="2" s="1"/>
  <c r="S135" i="2"/>
  <c r="Q135" i="2"/>
  <c r="P135" i="2"/>
  <c r="O135" i="2"/>
  <c r="N135" i="2"/>
  <c r="C135" i="2"/>
  <c r="AC134" i="2"/>
  <c r="AB134" i="2"/>
  <c r="Z134" i="2"/>
  <c r="W134" i="2"/>
  <c r="T134" i="2"/>
  <c r="S134" i="2"/>
  <c r="Q134" i="2"/>
  <c r="P134" i="2"/>
  <c r="O134" i="2"/>
  <c r="N134" i="2"/>
  <c r="C134" i="2"/>
  <c r="AC133" i="2"/>
  <c r="AB133" i="2"/>
  <c r="Z133" i="2"/>
  <c r="W133" i="2"/>
  <c r="T133" i="2"/>
  <c r="U133" i="2" s="1"/>
  <c r="S133" i="2"/>
  <c r="Q133" i="2"/>
  <c r="P133" i="2"/>
  <c r="O133" i="2"/>
  <c r="N133" i="2"/>
  <c r="C133" i="2"/>
  <c r="AC132" i="2"/>
  <c r="AB132" i="2"/>
  <c r="Z132" i="2"/>
  <c r="W132" i="2"/>
  <c r="T132" i="2"/>
  <c r="S132" i="2"/>
  <c r="Q132" i="2"/>
  <c r="P132" i="2"/>
  <c r="O132" i="2"/>
  <c r="N132" i="2"/>
  <c r="C132" i="2"/>
  <c r="AC131" i="2"/>
  <c r="AB131" i="2"/>
  <c r="Z131" i="2"/>
  <c r="W131" i="2"/>
  <c r="T131" i="2"/>
  <c r="S131" i="2"/>
  <c r="Q131" i="2"/>
  <c r="P131" i="2"/>
  <c r="O131" i="2"/>
  <c r="N131" i="2"/>
  <c r="C131" i="2"/>
  <c r="AC130" i="2"/>
  <c r="AB130" i="2"/>
  <c r="Z130" i="2"/>
  <c r="W130" i="2"/>
  <c r="T130" i="2"/>
  <c r="U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V128" i="2" s="1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U126" i="2" s="1"/>
  <c r="S126" i="2"/>
  <c r="Q126" i="2"/>
  <c r="P126" i="2"/>
  <c r="O126" i="2"/>
  <c r="N126" i="2"/>
  <c r="C126" i="2"/>
  <c r="AC125" i="2"/>
  <c r="AB125" i="2"/>
  <c r="Z125" i="2"/>
  <c r="W125" i="2"/>
  <c r="T125" i="2"/>
  <c r="S125" i="2"/>
  <c r="Q125" i="2"/>
  <c r="P125" i="2"/>
  <c r="O125" i="2"/>
  <c r="N125" i="2"/>
  <c r="C125" i="2"/>
  <c r="AC124" i="2"/>
  <c r="AB124" i="2"/>
  <c r="Z124" i="2"/>
  <c r="W124" i="2"/>
  <c r="T124" i="2"/>
  <c r="U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S122" i="2"/>
  <c r="Q122" i="2"/>
  <c r="P122" i="2"/>
  <c r="O122" i="2"/>
  <c r="N122" i="2"/>
  <c r="C122" i="2"/>
  <c r="AC121" i="2"/>
  <c r="AB121" i="2"/>
  <c r="Z121" i="2"/>
  <c r="W121" i="2"/>
  <c r="T121" i="2"/>
  <c r="V121" i="2" s="1"/>
  <c r="S121" i="2"/>
  <c r="Q121" i="2"/>
  <c r="P121" i="2"/>
  <c r="O121" i="2"/>
  <c r="N121" i="2"/>
  <c r="C121" i="2"/>
  <c r="AC120" i="2"/>
  <c r="AB120" i="2"/>
  <c r="Z120" i="2"/>
  <c r="W120" i="2"/>
  <c r="T120" i="2"/>
  <c r="V120" i="2" s="1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S117" i="2"/>
  <c r="Q117" i="2"/>
  <c r="P117" i="2"/>
  <c r="O117" i="2"/>
  <c r="N117" i="2"/>
  <c r="C117" i="2"/>
  <c r="AC116" i="2"/>
  <c r="AB116" i="2"/>
  <c r="Z116" i="2"/>
  <c r="W116" i="2"/>
  <c r="T116" i="2"/>
  <c r="U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U114" i="2" s="1"/>
  <c r="S114" i="2"/>
  <c r="Q114" i="2"/>
  <c r="P114" i="2"/>
  <c r="O114" i="2"/>
  <c r="N114" i="2"/>
  <c r="C114" i="2"/>
  <c r="AC113" i="2"/>
  <c r="AB113" i="2"/>
  <c r="Z113" i="2"/>
  <c r="W113" i="2"/>
  <c r="T113" i="2"/>
  <c r="U113" i="2" s="1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V111" i="2" s="1"/>
  <c r="S111" i="2"/>
  <c r="Q111" i="2"/>
  <c r="P111" i="2"/>
  <c r="O111" i="2"/>
  <c r="N111" i="2"/>
  <c r="C111" i="2"/>
  <c r="AC110" i="2"/>
  <c r="AB110" i="2"/>
  <c r="Z110" i="2"/>
  <c r="W110" i="2"/>
  <c r="T110" i="2"/>
  <c r="U110" i="2" s="1"/>
  <c r="S110" i="2"/>
  <c r="Q110" i="2"/>
  <c r="P110" i="2"/>
  <c r="O110" i="2"/>
  <c r="N110" i="2"/>
  <c r="C110" i="2"/>
  <c r="AC109" i="2"/>
  <c r="AB109" i="2"/>
  <c r="Z109" i="2"/>
  <c r="W109" i="2"/>
  <c r="T109" i="2"/>
  <c r="V109" i="2" s="1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U107" i="2" s="1"/>
  <c r="S107" i="2"/>
  <c r="Q107" i="2"/>
  <c r="P107" i="2"/>
  <c r="O107" i="2"/>
  <c r="N107" i="2"/>
  <c r="C107" i="2"/>
  <c r="AC106" i="2"/>
  <c r="AB106" i="2"/>
  <c r="Z106" i="2"/>
  <c r="W106" i="2"/>
  <c r="T106" i="2"/>
  <c r="U106" i="2" s="1"/>
  <c r="S106" i="2"/>
  <c r="Q106" i="2"/>
  <c r="P106" i="2"/>
  <c r="O106" i="2"/>
  <c r="N106" i="2"/>
  <c r="C106" i="2"/>
  <c r="AC105" i="2"/>
  <c r="AB105" i="2"/>
  <c r="Z105" i="2"/>
  <c r="W105" i="2"/>
  <c r="T105" i="2"/>
  <c r="U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V103" i="2" s="1"/>
  <c r="S103" i="2"/>
  <c r="Q103" i="2"/>
  <c r="P103" i="2"/>
  <c r="O103" i="2"/>
  <c r="N103" i="2"/>
  <c r="C103" i="2"/>
  <c r="AC102" i="2"/>
  <c r="AB102" i="2"/>
  <c r="Z102" i="2"/>
  <c r="W102" i="2"/>
  <c r="T102" i="2"/>
  <c r="U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U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U91" i="2" s="1"/>
  <c r="S91" i="2"/>
  <c r="Q91" i="2"/>
  <c r="P91" i="2"/>
  <c r="O91" i="2"/>
  <c r="N91" i="2"/>
  <c r="C91" i="2"/>
  <c r="AC90" i="2"/>
  <c r="AB90" i="2"/>
  <c r="Z90" i="2"/>
  <c r="W90" i="2"/>
  <c r="T90" i="2"/>
  <c r="U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V85" i="2" s="1"/>
  <c r="S85" i="2"/>
  <c r="Q85" i="2"/>
  <c r="P85" i="2"/>
  <c r="O85" i="2"/>
  <c r="N85" i="2"/>
  <c r="C85" i="2"/>
  <c r="AC84" i="2"/>
  <c r="AB84" i="2"/>
  <c r="Z84" i="2"/>
  <c r="W84" i="2"/>
  <c r="T84" i="2"/>
  <c r="U84" i="2" s="1"/>
  <c r="S84" i="2"/>
  <c r="Q84" i="2"/>
  <c r="P84" i="2"/>
  <c r="O84" i="2"/>
  <c r="N84" i="2"/>
  <c r="C84" i="2"/>
  <c r="AC83" i="2"/>
  <c r="AB83" i="2"/>
  <c r="Z83" i="2"/>
  <c r="W83" i="2"/>
  <c r="T83" i="2"/>
  <c r="V83" i="2" s="1"/>
  <c r="S83" i="2"/>
  <c r="Q83" i="2"/>
  <c r="P83" i="2"/>
  <c r="O83" i="2"/>
  <c r="N83" i="2"/>
  <c r="C83" i="2"/>
  <c r="AC82" i="2"/>
  <c r="AB82" i="2"/>
  <c r="Z82" i="2"/>
  <c r="W82" i="2"/>
  <c r="T82" i="2"/>
  <c r="U82" i="2" s="1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U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V74" i="2" s="1"/>
  <c r="S74" i="2"/>
  <c r="Q74" i="2"/>
  <c r="P74" i="2"/>
  <c r="O74" i="2"/>
  <c r="N74" i="2"/>
  <c r="C74" i="2"/>
  <c r="AC73" i="2"/>
  <c r="AB73" i="2"/>
  <c r="Z73" i="2"/>
  <c r="W73" i="2"/>
  <c r="T73" i="2"/>
  <c r="V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S71" i="2"/>
  <c r="Q71" i="2"/>
  <c r="P71" i="2"/>
  <c r="O71" i="2"/>
  <c r="N71" i="2"/>
  <c r="C71" i="2"/>
  <c r="AC70" i="2"/>
  <c r="AB70" i="2"/>
  <c r="Z70" i="2"/>
  <c r="W70" i="2"/>
  <c r="T70" i="2"/>
  <c r="S70" i="2"/>
  <c r="Q70" i="2"/>
  <c r="P70" i="2"/>
  <c r="O70" i="2"/>
  <c r="N70" i="2"/>
  <c r="C70" i="2"/>
  <c r="AC69" i="2"/>
  <c r="AB69" i="2"/>
  <c r="Z69" i="2"/>
  <c r="W69" i="2"/>
  <c r="T69" i="2"/>
  <c r="V69" i="2" s="1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V67" i="2" s="1"/>
  <c r="S67" i="2"/>
  <c r="Q67" i="2"/>
  <c r="P67" i="2"/>
  <c r="O67" i="2"/>
  <c r="N67" i="2"/>
  <c r="C67" i="2"/>
  <c r="AC66" i="2"/>
  <c r="AB66" i="2"/>
  <c r="Z66" i="2"/>
  <c r="W66" i="2"/>
  <c r="T66" i="2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V64" i="2" s="1"/>
  <c r="S64" i="2"/>
  <c r="Q64" i="2"/>
  <c r="P64" i="2"/>
  <c r="O64" i="2"/>
  <c r="N64" i="2"/>
  <c r="C64" i="2"/>
  <c r="AC63" i="2"/>
  <c r="AB63" i="2"/>
  <c r="Z63" i="2"/>
  <c r="W63" i="2"/>
  <c r="T63" i="2"/>
  <c r="S63" i="2"/>
  <c r="Q63" i="2"/>
  <c r="P63" i="2"/>
  <c r="O63" i="2"/>
  <c r="N63" i="2"/>
  <c r="C63" i="2"/>
  <c r="AC62" i="2"/>
  <c r="AB62" i="2"/>
  <c r="Z62" i="2"/>
  <c r="W62" i="2"/>
  <c r="T62" i="2"/>
  <c r="S62" i="2"/>
  <c r="Q62" i="2"/>
  <c r="P62" i="2"/>
  <c r="O62" i="2"/>
  <c r="N62" i="2"/>
  <c r="C62" i="2"/>
  <c r="AC61" i="2"/>
  <c r="AB61" i="2"/>
  <c r="Z61" i="2"/>
  <c r="W61" i="2"/>
  <c r="T61" i="2"/>
  <c r="V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S59" i="2"/>
  <c r="Q59" i="2"/>
  <c r="P59" i="2"/>
  <c r="O59" i="2"/>
  <c r="N59" i="2"/>
  <c r="C59" i="2"/>
  <c r="AC58" i="2"/>
  <c r="AB58" i="2"/>
  <c r="Z58" i="2"/>
  <c r="W58" i="2"/>
  <c r="T58" i="2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S55" i="2"/>
  <c r="Q55" i="2"/>
  <c r="P55" i="2"/>
  <c r="O55" i="2"/>
  <c r="N55" i="2"/>
  <c r="C55" i="2"/>
  <c r="AC54" i="2"/>
  <c r="AB54" i="2"/>
  <c r="Z54" i="2"/>
  <c r="W54" i="2"/>
  <c r="T54" i="2"/>
  <c r="V54" i="2" s="1"/>
  <c r="S54" i="2"/>
  <c r="Q54" i="2"/>
  <c r="P54" i="2"/>
  <c r="O54" i="2"/>
  <c r="N54" i="2"/>
  <c r="C54" i="2"/>
  <c r="AC53" i="2"/>
  <c r="AB53" i="2"/>
  <c r="Z53" i="2"/>
  <c r="W53" i="2"/>
  <c r="T53" i="2"/>
  <c r="U53" i="2" s="1"/>
  <c r="S53" i="2"/>
  <c r="Q53" i="2"/>
  <c r="P53" i="2"/>
  <c r="O53" i="2"/>
  <c r="N53" i="2"/>
  <c r="C53" i="2"/>
  <c r="AC52" i="2"/>
  <c r="AB52" i="2"/>
  <c r="Z52" i="2"/>
  <c r="W52" i="2"/>
  <c r="T52" i="2"/>
  <c r="U52" i="2" s="1"/>
  <c r="S52" i="2"/>
  <c r="Q52" i="2"/>
  <c r="P52" i="2"/>
  <c r="O52" i="2"/>
  <c r="N52" i="2"/>
  <c r="C52" i="2"/>
  <c r="AC51" i="2"/>
  <c r="AB51" i="2"/>
  <c r="Z51" i="2"/>
  <c r="W51" i="2"/>
  <c r="T51" i="2"/>
  <c r="S51" i="2"/>
  <c r="Q51" i="2"/>
  <c r="P51" i="2"/>
  <c r="O51" i="2"/>
  <c r="N51" i="2"/>
  <c r="C51" i="2"/>
  <c r="AC50" i="2"/>
  <c r="AB50" i="2"/>
  <c r="Z50" i="2"/>
  <c r="W50" i="2"/>
  <c r="T50" i="2"/>
  <c r="U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V45" i="2" s="1"/>
  <c r="S45" i="2"/>
  <c r="Q45" i="2"/>
  <c r="P45" i="2"/>
  <c r="O45" i="2"/>
  <c r="N45" i="2"/>
  <c r="C45" i="2"/>
  <c r="AC44" i="2"/>
  <c r="AB44" i="2"/>
  <c r="Z44" i="2"/>
  <c r="W44" i="2"/>
  <c r="T44" i="2"/>
  <c r="V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S41" i="2"/>
  <c r="Q41" i="2"/>
  <c r="P41" i="2"/>
  <c r="O41" i="2"/>
  <c r="N41" i="2"/>
  <c r="C41" i="2"/>
  <c r="AC40" i="2"/>
  <c r="AB40" i="2"/>
  <c r="Z40" i="2"/>
  <c r="W40" i="2"/>
  <c r="T40" i="2"/>
  <c r="V40" i="2" s="1"/>
  <c r="S40" i="2"/>
  <c r="Q40" i="2"/>
  <c r="P40" i="2"/>
  <c r="O40" i="2"/>
  <c r="N40" i="2"/>
  <c r="C40" i="2"/>
  <c r="AC39" i="2"/>
  <c r="AB39" i="2"/>
  <c r="Z39" i="2"/>
  <c r="W39" i="2"/>
  <c r="T39" i="2"/>
  <c r="U39" i="2" s="1"/>
  <c r="S39" i="2"/>
  <c r="Q39" i="2"/>
  <c r="P39" i="2"/>
  <c r="O39" i="2"/>
  <c r="N39" i="2"/>
  <c r="C39" i="2"/>
  <c r="AC38" i="2"/>
  <c r="AB38" i="2"/>
  <c r="Z38" i="2"/>
  <c r="W38" i="2"/>
  <c r="T38" i="2"/>
  <c r="U38" i="2" s="1"/>
  <c r="S38" i="2"/>
  <c r="Q38" i="2"/>
  <c r="P38" i="2"/>
  <c r="O38" i="2"/>
  <c r="N38" i="2"/>
  <c r="C38" i="2"/>
  <c r="AC37" i="2"/>
  <c r="AB37" i="2"/>
  <c r="Z37" i="2"/>
  <c r="W37" i="2"/>
  <c r="T37" i="2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V28" i="2" s="1"/>
  <c r="S28" i="2"/>
  <c r="Q28" i="2"/>
  <c r="P28" i="2"/>
  <c r="O28" i="2"/>
  <c r="N28" i="2"/>
  <c r="C28" i="2"/>
  <c r="AC27" i="2"/>
  <c r="AB27" i="2"/>
  <c r="Z27" i="2"/>
  <c r="W27" i="2"/>
  <c r="T27" i="2"/>
  <c r="V27" i="2" s="1"/>
  <c r="S27" i="2"/>
  <c r="Q27" i="2"/>
  <c r="P27" i="2"/>
  <c r="O27" i="2"/>
  <c r="N27" i="2"/>
  <c r="C27" i="2"/>
  <c r="AC26" i="2"/>
  <c r="AB26" i="2"/>
  <c r="Z26" i="2"/>
  <c r="W26" i="2"/>
  <c r="T26" i="2"/>
  <c r="U26" i="2" s="1"/>
  <c r="S26" i="2"/>
  <c r="Q26" i="2"/>
  <c r="P26" i="2"/>
  <c r="O26" i="2"/>
  <c r="N26" i="2"/>
  <c r="C26" i="2"/>
  <c r="AC25" i="2"/>
  <c r="AB25" i="2"/>
  <c r="Z25" i="2"/>
  <c r="W25" i="2"/>
  <c r="T25" i="2"/>
  <c r="V25" i="2" s="1"/>
  <c r="S25" i="2"/>
  <c r="Q25" i="2"/>
  <c r="P25" i="2"/>
  <c r="O25" i="2"/>
  <c r="N25" i="2"/>
  <c r="C25" i="2"/>
  <c r="AC24" i="2"/>
  <c r="AB24" i="2"/>
  <c r="Z24" i="2"/>
  <c r="W24" i="2"/>
  <c r="T24" i="2"/>
  <c r="U24" i="2" s="1"/>
  <c r="S24" i="2"/>
  <c r="Q24" i="2"/>
  <c r="P24" i="2"/>
  <c r="O24" i="2"/>
  <c r="N24" i="2"/>
  <c r="C24" i="2"/>
  <c r="AC23" i="2"/>
  <c r="AB23" i="2"/>
  <c r="Z23" i="2"/>
  <c r="W23" i="2"/>
  <c r="T23" i="2"/>
  <c r="U23" i="2" s="1"/>
  <c r="S23" i="2"/>
  <c r="Q23" i="2"/>
  <c r="P23" i="2"/>
  <c r="O23" i="2"/>
  <c r="N23" i="2"/>
  <c r="C23" i="2"/>
  <c r="AC22" i="2"/>
  <c r="AB22" i="2"/>
  <c r="Z22" i="2"/>
  <c r="W22" i="2"/>
  <c r="T22" i="2"/>
  <c r="V22" i="2" s="1"/>
  <c r="S22" i="2"/>
  <c r="Q22" i="2"/>
  <c r="P22" i="2"/>
  <c r="O22" i="2"/>
  <c r="N22" i="2"/>
  <c r="C22" i="2"/>
  <c r="AC21" i="2"/>
  <c r="AB21" i="2"/>
  <c r="Z21" i="2"/>
  <c r="W21" i="2"/>
  <c r="T21" i="2"/>
  <c r="V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S18" i="2"/>
  <c r="Q18" i="2"/>
  <c r="P18" i="2"/>
  <c r="O18" i="2"/>
  <c r="N18" i="2"/>
  <c r="C18" i="2"/>
  <c r="AC17" i="2"/>
  <c r="AB17" i="2"/>
  <c r="Z17" i="2"/>
  <c r="W17" i="2"/>
  <c r="T17" i="2"/>
  <c r="V17" i="2" s="1"/>
  <c r="S17" i="2"/>
  <c r="Q17" i="2"/>
  <c r="P17" i="2"/>
  <c r="O17" i="2"/>
  <c r="N17" i="2"/>
  <c r="C17" i="2"/>
  <c r="AC16" i="2"/>
  <c r="AB16" i="2"/>
  <c r="Z16" i="2"/>
  <c r="W16" i="2"/>
  <c r="T16" i="2"/>
  <c r="V16" i="2" s="1"/>
  <c r="S16" i="2"/>
  <c r="Q16" i="2"/>
  <c r="P16" i="2"/>
  <c r="O16" i="2"/>
  <c r="N16" i="2"/>
  <c r="C16" i="2"/>
  <c r="AC15" i="2"/>
  <c r="AB15" i="2"/>
  <c r="Z15" i="2"/>
  <c r="W15" i="2"/>
  <c r="T15" i="2"/>
  <c r="U15" i="2" s="1"/>
  <c r="S15" i="2"/>
  <c r="Q15" i="2"/>
  <c r="P15" i="2"/>
  <c r="O15" i="2"/>
  <c r="N15" i="2"/>
  <c r="C15" i="2"/>
  <c r="AC14" i="2"/>
  <c r="AB14" i="2"/>
  <c r="Z14" i="2"/>
  <c r="W14" i="2"/>
  <c r="T14" i="2"/>
  <c r="U14" i="2" s="1"/>
  <c r="S14" i="2"/>
  <c r="Q14" i="2"/>
  <c r="P14" i="2"/>
  <c r="O14" i="2"/>
  <c r="N14" i="2"/>
  <c r="C14" i="2"/>
  <c r="AC13" i="2"/>
  <c r="AB13" i="2"/>
  <c r="Z13" i="2"/>
  <c r="W13" i="2"/>
  <c r="T13" i="2"/>
  <c r="V13" i="2" s="1"/>
  <c r="S13" i="2"/>
  <c r="Q13" i="2"/>
  <c r="P13" i="2"/>
  <c r="O13" i="2"/>
  <c r="N13" i="2"/>
  <c r="C13" i="2"/>
  <c r="AC12" i="2"/>
  <c r="AB12" i="2"/>
  <c r="Z12" i="2"/>
  <c r="W12" i="2"/>
  <c r="T12" i="2"/>
  <c r="U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S10" i="2"/>
  <c r="Q10" i="2"/>
  <c r="P10" i="2"/>
  <c r="O10" i="2"/>
  <c r="N10" i="2"/>
  <c r="C10" i="2"/>
  <c r="AC9" i="2"/>
  <c r="AB9" i="2"/>
  <c r="Z9" i="2"/>
  <c r="W9" i="2"/>
  <c r="T9" i="2"/>
  <c r="V9" i="2" s="1"/>
  <c r="S9" i="2"/>
  <c r="Q9" i="2"/>
  <c r="P9" i="2"/>
  <c r="O9" i="2"/>
  <c r="N9" i="2"/>
  <c r="C9" i="2"/>
  <c r="AC8" i="2"/>
  <c r="AB8" i="2"/>
  <c r="Z8" i="2"/>
  <c r="W8" i="2"/>
  <c r="T8" i="2"/>
  <c r="V8" i="2" s="1"/>
  <c r="S8" i="2"/>
  <c r="Q8" i="2"/>
  <c r="P8" i="2"/>
  <c r="O8" i="2"/>
  <c r="N8" i="2"/>
  <c r="C8" i="2"/>
  <c r="AC7" i="2"/>
  <c r="AB7" i="2"/>
  <c r="Z7" i="2"/>
  <c r="W7" i="2"/>
  <c r="T7" i="2"/>
  <c r="U7" i="2" s="1"/>
  <c r="S7" i="2"/>
  <c r="Q7" i="2"/>
  <c r="P7" i="2"/>
  <c r="O7" i="2"/>
  <c r="N7" i="2"/>
  <c r="C7" i="2"/>
  <c r="AC6" i="2"/>
  <c r="AB6" i="2"/>
  <c r="Z6" i="2"/>
  <c r="W6" i="2"/>
  <c r="T6" i="2"/>
  <c r="S6" i="2"/>
  <c r="Q6" i="2"/>
  <c r="P6" i="2"/>
  <c r="O6" i="2"/>
  <c r="N6" i="2"/>
  <c r="C6" i="2"/>
  <c r="AC5" i="2"/>
  <c r="AB5" i="2"/>
  <c r="Z5" i="2"/>
  <c r="W5" i="2"/>
  <c r="T5" i="2"/>
  <c r="V5" i="2" s="1"/>
  <c r="S5" i="2"/>
  <c r="Q5" i="2"/>
  <c r="P5" i="2"/>
  <c r="O5" i="2"/>
  <c r="N5" i="2"/>
  <c r="C5" i="2"/>
  <c r="AC4" i="2"/>
  <c r="AB4" i="2"/>
  <c r="Z4" i="2"/>
  <c r="W4" i="2"/>
  <c r="T4" i="2"/>
  <c r="V4" i="2" s="1"/>
  <c r="S4" i="2"/>
  <c r="Q4" i="2"/>
  <c r="P4" i="2"/>
  <c r="O4" i="2"/>
  <c r="N4" i="2"/>
  <c r="C4" i="2"/>
  <c r="AC3" i="2"/>
  <c r="AB3" i="2"/>
  <c r="Z3" i="2"/>
  <c r="W3" i="2"/>
  <c r="T3" i="2"/>
  <c r="V3" i="2" s="1"/>
  <c r="S3" i="2"/>
  <c r="Q3" i="2"/>
  <c r="P3" i="2"/>
  <c r="O3" i="2"/>
  <c r="N3" i="2"/>
  <c r="C3" i="2"/>
  <c r="AC2" i="2"/>
  <c r="AB2" i="2"/>
  <c r="Z2" i="2"/>
  <c r="W2" i="2"/>
  <c r="T2" i="2"/>
  <c r="S2" i="2"/>
  <c r="AQ71" i="1" s="1"/>
  <c r="Q2" i="2"/>
  <c r="P2" i="2"/>
  <c r="O2" i="2"/>
  <c r="N2" i="2"/>
  <c r="C2" i="2"/>
  <c r="AR201" i="1"/>
  <c r="AQ201" i="1"/>
  <c r="AP201" i="1"/>
  <c r="AO201" i="1"/>
  <c r="U201" i="1" s="1"/>
  <c r="AJ201" i="1"/>
  <c r="P201" i="1"/>
  <c r="M201" i="1"/>
  <c r="AA201" i="1" s="1"/>
  <c r="L201" i="1"/>
  <c r="K201" i="1"/>
  <c r="G201" i="1"/>
  <c r="F201" i="1"/>
  <c r="AR200" i="1"/>
  <c r="AQ200" i="1"/>
  <c r="AP200" i="1"/>
  <c r="AO200" i="1"/>
  <c r="AJ200" i="1"/>
  <c r="P200" i="1"/>
  <c r="M200" i="1"/>
  <c r="AA200" i="1" s="1"/>
  <c r="L200" i="1"/>
  <c r="K200" i="1"/>
  <c r="G200" i="1"/>
  <c r="F200" i="1"/>
  <c r="AR199" i="1"/>
  <c r="AQ199" i="1"/>
  <c r="AP199" i="1"/>
  <c r="AO199" i="1"/>
  <c r="AJ199" i="1"/>
  <c r="P199" i="1"/>
  <c r="M199" i="1"/>
  <c r="AA199" i="1" s="1"/>
  <c r="L199" i="1"/>
  <c r="K199" i="1"/>
  <c r="G199" i="1"/>
  <c r="F199" i="1"/>
  <c r="AR198" i="1"/>
  <c r="AQ198" i="1"/>
  <c r="AP198" i="1"/>
  <c r="AO198" i="1"/>
  <c r="V198" i="1" s="1"/>
  <c r="AJ198" i="1"/>
  <c r="P198" i="1"/>
  <c r="M198" i="1"/>
  <c r="AA198" i="1" s="1"/>
  <c r="L198" i="1"/>
  <c r="K198" i="1"/>
  <c r="G198" i="1"/>
  <c r="F198" i="1"/>
  <c r="AR197" i="1"/>
  <c r="AQ197" i="1"/>
  <c r="AP197" i="1"/>
  <c r="AO197" i="1"/>
  <c r="AJ197" i="1"/>
  <c r="P197" i="1"/>
  <c r="M197" i="1"/>
  <c r="AA197" i="1" s="1"/>
  <c r="L197" i="1"/>
  <c r="K197" i="1"/>
  <c r="G197" i="1"/>
  <c r="F197" i="1"/>
  <c r="AR196" i="1"/>
  <c r="AQ196" i="1"/>
  <c r="AP196" i="1"/>
  <c r="AO196" i="1"/>
  <c r="U196" i="1" s="1"/>
  <c r="AJ196" i="1"/>
  <c r="P196" i="1"/>
  <c r="M196" i="1"/>
  <c r="AA196" i="1" s="1"/>
  <c r="L196" i="1"/>
  <c r="K196" i="1"/>
  <c r="G196" i="1"/>
  <c r="F196" i="1"/>
  <c r="AR195" i="1"/>
  <c r="AQ195" i="1"/>
  <c r="AP195" i="1"/>
  <c r="AO195" i="1"/>
  <c r="U195" i="1" s="1"/>
  <c r="AJ195" i="1"/>
  <c r="P195" i="1"/>
  <c r="M195" i="1"/>
  <c r="AA195" i="1" s="1"/>
  <c r="L195" i="1"/>
  <c r="K195" i="1"/>
  <c r="G195" i="1"/>
  <c r="F195" i="1"/>
  <c r="AR194" i="1"/>
  <c r="AQ194" i="1"/>
  <c r="AP194" i="1"/>
  <c r="AO194" i="1"/>
  <c r="V194" i="1" s="1"/>
  <c r="AJ194" i="1"/>
  <c r="P194" i="1"/>
  <c r="M194" i="1"/>
  <c r="AA194" i="1" s="1"/>
  <c r="L194" i="1"/>
  <c r="K194" i="1"/>
  <c r="G194" i="1"/>
  <c r="F194" i="1"/>
  <c r="AR193" i="1"/>
  <c r="AQ193" i="1"/>
  <c r="AP193" i="1"/>
  <c r="AO193" i="1"/>
  <c r="V193" i="1" s="1"/>
  <c r="AJ193" i="1"/>
  <c r="P193" i="1"/>
  <c r="M193" i="1"/>
  <c r="AA193" i="1" s="1"/>
  <c r="L193" i="1"/>
  <c r="K193" i="1"/>
  <c r="G193" i="1"/>
  <c r="F193" i="1"/>
  <c r="AR192" i="1"/>
  <c r="AQ192" i="1"/>
  <c r="AP192" i="1"/>
  <c r="AO192" i="1"/>
  <c r="U192" i="1" s="1"/>
  <c r="AJ192" i="1"/>
  <c r="P192" i="1"/>
  <c r="M192" i="1"/>
  <c r="AA192" i="1" s="1"/>
  <c r="L192" i="1"/>
  <c r="K192" i="1"/>
  <c r="G192" i="1"/>
  <c r="F192" i="1"/>
  <c r="AR191" i="1"/>
  <c r="AQ191" i="1"/>
  <c r="AP191" i="1"/>
  <c r="AO191" i="1"/>
  <c r="U191" i="1" s="1"/>
  <c r="AJ191" i="1"/>
  <c r="P191" i="1"/>
  <c r="M191" i="1"/>
  <c r="AA191" i="1" s="1"/>
  <c r="L191" i="1"/>
  <c r="K191" i="1"/>
  <c r="G191" i="1"/>
  <c r="F191" i="1"/>
  <c r="AR190" i="1"/>
  <c r="AQ190" i="1"/>
  <c r="AP190" i="1"/>
  <c r="AO190" i="1"/>
  <c r="V190" i="1" s="1"/>
  <c r="AJ190" i="1"/>
  <c r="P190" i="1"/>
  <c r="M190" i="1"/>
  <c r="AA190" i="1" s="1"/>
  <c r="L190" i="1"/>
  <c r="K190" i="1"/>
  <c r="G190" i="1"/>
  <c r="F190" i="1"/>
  <c r="AR189" i="1"/>
  <c r="AQ189" i="1"/>
  <c r="AP189" i="1"/>
  <c r="AO189" i="1"/>
  <c r="U189" i="1" s="1"/>
  <c r="AJ189" i="1"/>
  <c r="P189" i="1"/>
  <c r="M189" i="1"/>
  <c r="AA189" i="1" s="1"/>
  <c r="L189" i="1"/>
  <c r="K189" i="1"/>
  <c r="G189" i="1"/>
  <c r="F189" i="1"/>
  <c r="AR188" i="1"/>
  <c r="AQ188" i="1"/>
  <c r="AP188" i="1"/>
  <c r="AO188" i="1"/>
  <c r="U188" i="1" s="1"/>
  <c r="AJ188" i="1"/>
  <c r="P188" i="1"/>
  <c r="M188" i="1"/>
  <c r="AA188" i="1" s="1"/>
  <c r="L188" i="1"/>
  <c r="K188" i="1"/>
  <c r="G188" i="1"/>
  <c r="F188" i="1"/>
  <c r="AR187" i="1"/>
  <c r="AQ187" i="1"/>
  <c r="AP187" i="1"/>
  <c r="AO187" i="1"/>
  <c r="AJ187" i="1"/>
  <c r="P187" i="1"/>
  <c r="M187" i="1"/>
  <c r="AA187" i="1" s="1"/>
  <c r="L187" i="1"/>
  <c r="K187" i="1"/>
  <c r="G187" i="1"/>
  <c r="F187" i="1"/>
  <c r="AR186" i="1"/>
  <c r="AQ186" i="1"/>
  <c r="AP186" i="1"/>
  <c r="AO186" i="1"/>
  <c r="AJ186" i="1"/>
  <c r="P186" i="1"/>
  <c r="M186" i="1"/>
  <c r="AA186" i="1" s="1"/>
  <c r="L186" i="1"/>
  <c r="K186" i="1"/>
  <c r="G186" i="1"/>
  <c r="F186" i="1"/>
  <c r="AR185" i="1"/>
  <c r="AQ185" i="1"/>
  <c r="AP185" i="1"/>
  <c r="AO185" i="1"/>
  <c r="U185" i="1" s="1"/>
  <c r="AJ185" i="1"/>
  <c r="P185" i="1"/>
  <c r="M185" i="1"/>
  <c r="AA185" i="1" s="1"/>
  <c r="L185" i="1"/>
  <c r="K185" i="1"/>
  <c r="G185" i="1"/>
  <c r="F185" i="1"/>
  <c r="AR184" i="1"/>
  <c r="AQ184" i="1"/>
  <c r="AP184" i="1"/>
  <c r="AO184" i="1"/>
  <c r="AJ184" i="1"/>
  <c r="P184" i="1"/>
  <c r="M184" i="1"/>
  <c r="AA184" i="1" s="1"/>
  <c r="L184" i="1"/>
  <c r="K184" i="1"/>
  <c r="G184" i="1"/>
  <c r="F184" i="1"/>
  <c r="AR183" i="1"/>
  <c r="AQ183" i="1"/>
  <c r="AP183" i="1"/>
  <c r="AO183" i="1"/>
  <c r="U183" i="1" s="1"/>
  <c r="AJ183" i="1"/>
  <c r="P183" i="1"/>
  <c r="M183" i="1"/>
  <c r="AA183" i="1" s="1"/>
  <c r="L183" i="1"/>
  <c r="K183" i="1"/>
  <c r="G183" i="1"/>
  <c r="F183" i="1"/>
  <c r="AR182" i="1"/>
  <c r="AQ182" i="1"/>
  <c r="AP182" i="1"/>
  <c r="AO182" i="1"/>
  <c r="V182" i="1" s="1"/>
  <c r="AJ182" i="1"/>
  <c r="P182" i="1"/>
  <c r="M182" i="1"/>
  <c r="AA182" i="1" s="1"/>
  <c r="L182" i="1"/>
  <c r="K182" i="1"/>
  <c r="G182" i="1"/>
  <c r="F182" i="1"/>
  <c r="AR181" i="1"/>
  <c r="AQ181" i="1"/>
  <c r="AP181" i="1"/>
  <c r="AO181" i="1"/>
  <c r="V181" i="1" s="1"/>
  <c r="AJ181" i="1"/>
  <c r="P181" i="1"/>
  <c r="M181" i="1"/>
  <c r="AA181" i="1" s="1"/>
  <c r="L181" i="1"/>
  <c r="K181" i="1"/>
  <c r="G181" i="1"/>
  <c r="F181" i="1"/>
  <c r="AR180" i="1"/>
  <c r="AQ180" i="1"/>
  <c r="AP180" i="1"/>
  <c r="AO180" i="1"/>
  <c r="V180" i="1" s="1"/>
  <c r="AJ180" i="1"/>
  <c r="P180" i="1"/>
  <c r="M180" i="1"/>
  <c r="AA180" i="1" s="1"/>
  <c r="L180" i="1"/>
  <c r="K180" i="1"/>
  <c r="G180" i="1"/>
  <c r="F180" i="1"/>
  <c r="AR179" i="1"/>
  <c r="AQ179" i="1"/>
  <c r="AP179" i="1"/>
  <c r="AO179" i="1"/>
  <c r="V179" i="1" s="1"/>
  <c r="AJ179" i="1"/>
  <c r="P179" i="1"/>
  <c r="M179" i="1"/>
  <c r="AA179" i="1" s="1"/>
  <c r="L179" i="1"/>
  <c r="K179" i="1"/>
  <c r="G179" i="1"/>
  <c r="F179" i="1"/>
  <c r="AR178" i="1"/>
  <c r="AQ178" i="1"/>
  <c r="AP178" i="1"/>
  <c r="AO178" i="1"/>
  <c r="AJ178" i="1"/>
  <c r="P178" i="1"/>
  <c r="M178" i="1"/>
  <c r="AA178" i="1" s="1"/>
  <c r="L178" i="1"/>
  <c r="K178" i="1"/>
  <c r="G178" i="1"/>
  <c r="F178" i="1"/>
  <c r="AR177" i="1"/>
  <c r="AQ177" i="1"/>
  <c r="AP177" i="1"/>
  <c r="AO177" i="1"/>
  <c r="U177" i="1" s="1"/>
  <c r="AJ177" i="1"/>
  <c r="P177" i="1"/>
  <c r="M177" i="1"/>
  <c r="AA177" i="1" s="1"/>
  <c r="L177" i="1"/>
  <c r="K177" i="1"/>
  <c r="G177" i="1"/>
  <c r="F177" i="1"/>
  <c r="AR176" i="1"/>
  <c r="AQ176" i="1"/>
  <c r="AP176" i="1"/>
  <c r="AO176" i="1"/>
  <c r="AJ176" i="1"/>
  <c r="P176" i="1"/>
  <c r="M176" i="1"/>
  <c r="AA176" i="1" s="1"/>
  <c r="L176" i="1"/>
  <c r="K176" i="1"/>
  <c r="G176" i="1"/>
  <c r="F176" i="1"/>
  <c r="AR175" i="1"/>
  <c r="AQ175" i="1"/>
  <c r="AP175" i="1"/>
  <c r="AO175" i="1"/>
  <c r="AJ175" i="1"/>
  <c r="P175" i="1"/>
  <c r="M175" i="1"/>
  <c r="AA175" i="1" s="1"/>
  <c r="L175" i="1"/>
  <c r="K175" i="1"/>
  <c r="G175" i="1"/>
  <c r="F175" i="1"/>
  <c r="AR174" i="1"/>
  <c r="AQ174" i="1"/>
  <c r="AP174" i="1"/>
  <c r="AO174" i="1"/>
  <c r="AJ174" i="1"/>
  <c r="P174" i="1"/>
  <c r="M174" i="1"/>
  <c r="AA174" i="1" s="1"/>
  <c r="L174" i="1"/>
  <c r="K174" i="1"/>
  <c r="G174" i="1"/>
  <c r="F174" i="1"/>
  <c r="AR173" i="1"/>
  <c r="AQ173" i="1"/>
  <c r="AP173" i="1"/>
  <c r="AO173" i="1"/>
  <c r="AJ173" i="1"/>
  <c r="P173" i="1"/>
  <c r="M173" i="1"/>
  <c r="AA173" i="1" s="1"/>
  <c r="L173" i="1"/>
  <c r="K173" i="1"/>
  <c r="G173" i="1"/>
  <c r="F173" i="1"/>
  <c r="AR172" i="1"/>
  <c r="AQ172" i="1"/>
  <c r="AP172" i="1"/>
  <c r="AO172" i="1"/>
  <c r="AJ172" i="1"/>
  <c r="P172" i="1"/>
  <c r="M172" i="1"/>
  <c r="AA172" i="1" s="1"/>
  <c r="L172" i="1"/>
  <c r="K172" i="1"/>
  <c r="G172" i="1"/>
  <c r="F172" i="1"/>
  <c r="AR171" i="1"/>
  <c r="AQ171" i="1"/>
  <c r="AP171" i="1"/>
  <c r="AO171" i="1"/>
  <c r="AJ171" i="1"/>
  <c r="P171" i="1"/>
  <c r="M171" i="1"/>
  <c r="AA171" i="1" s="1"/>
  <c r="L171" i="1"/>
  <c r="K171" i="1"/>
  <c r="G171" i="1"/>
  <c r="F171" i="1"/>
  <c r="AR170" i="1"/>
  <c r="AQ170" i="1"/>
  <c r="AP170" i="1"/>
  <c r="AO170" i="1"/>
  <c r="AJ170" i="1"/>
  <c r="P170" i="1"/>
  <c r="M170" i="1"/>
  <c r="AA170" i="1" s="1"/>
  <c r="L170" i="1"/>
  <c r="K170" i="1"/>
  <c r="G170" i="1"/>
  <c r="F170" i="1"/>
  <c r="AR169" i="1"/>
  <c r="AQ169" i="1"/>
  <c r="AP169" i="1"/>
  <c r="AO169" i="1"/>
  <c r="AJ169" i="1"/>
  <c r="P169" i="1"/>
  <c r="M169" i="1"/>
  <c r="AA169" i="1" s="1"/>
  <c r="L169" i="1"/>
  <c r="K169" i="1"/>
  <c r="G169" i="1"/>
  <c r="F169" i="1"/>
  <c r="AR168" i="1"/>
  <c r="AQ168" i="1"/>
  <c r="AP168" i="1"/>
  <c r="AO168" i="1"/>
  <c r="AJ168" i="1"/>
  <c r="P168" i="1"/>
  <c r="M168" i="1"/>
  <c r="AA168" i="1" s="1"/>
  <c r="L168" i="1"/>
  <c r="K168" i="1"/>
  <c r="G168" i="1"/>
  <c r="F168" i="1"/>
  <c r="AR167" i="1"/>
  <c r="AQ167" i="1"/>
  <c r="AP167" i="1"/>
  <c r="AO167" i="1"/>
  <c r="AJ167" i="1"/>
  <c r="P167" i="1"/>
  <c r="M167" i="1"/>
  <c r="AA167" i="1" s="1"/>
  <c r="L167" i="1"/>
  <c r="K167" i="1"/>
  <c r="G167" i="1"/>
  <c r="F167" i="1"/>
  <c r="AR166" i="1"/>
  <c r="AQ166" i="1"/>
  <c r="AP166" i="1"/>
  <c r="AO166" i="1"/>
  <c r="AJ166" i="1"/>
  <c r="P166" i="1"/>
  <c r="M166" i="1"/>
  <c r="AA166" i="1" s="1"/>
  <c r="L166" i="1"/>
  <c r="K166" i="1"/>
  <c r="G166" i="1"/>
  <c r="F166" i="1"/>
  <c r="AR165" i="1"/>
  <c r="AQ165" i="1"/>
  <c r="AP165" i="1"/>
  <c r="AO165" i="1"/>
  <c r="V165" i="1" s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U164" i="1" s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U160" i="1" s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U159" i="1" s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V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V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V156" i="1" s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U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V154" i="1" s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U153" i="1" s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U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U150" i="1" s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U148" i="1" s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V147" i="1" s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V146" i="1" s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U145" i="1" s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U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V143" i="1" s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V142" i="1" s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V140" i="1" s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V139" i="1" s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V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U137" i="1" s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V132" i="1" s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U131" i="1" s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U130" i="1" s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V129" i="1" s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U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V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U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U121" i="1" s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U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U117" i="1" s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P115" i="1"/>
  <c r="AO115" i="1"/>
  <c r="V115" i="1" s="1"/>
  <c r="AJ115" i="1"/>
  <c r="P115" i="1"/>
  <c r="M115" i="1"/>
  <c r="AA115" i="1" s="1"/>
  <c r="K115" i="1"/>
  <c r="F115" i="1"/>
  <c r="AP114" i="1"/>
  <c r="AO114" i="1"/>
  <c r="U114" i="1" s="1"/>
  <c r="AJ114" i="1"/>
  <c r="AA114" i="1"/>
  <c r="P114" i="1"/>
  <c r="F114" i="1"/>
  <c r="AP113" i="1"/>
  <c r="AO113" i="1" s="1"/>
  <c r="AJ113" i="1"/>
  <c r="P113" i="1"/>
  <c r="AA113" i="1"/>
  <c r="F113" i="1"/>
  <c r="AP112" i="1"/>
  <c r="AO112" i="1" s="1"/>
  <c r="V112" i="1" s="1"/>
  <c r="AJ112" i="1"/>
  <c r="P112" i="1"/>
  <c r="AA112" i="1"/>
  <c r="F112" i="1"/>
  <c r="AP111" i="1"/>
  <c r="AO111" i="1" s="1"/>
  <c r="V111" i="1" s="1"/>
  <c r="AJ111" i="1"/>
  <c r="P111" i="1"/>
  <c r="AA111" i="1"/>
  <c r="F111" i="1"/>
  <c r="AP110" i="1"/>
  <c r="AO110" i="1" s="1"/>
  <c r="U110" i="1" s="1"/>
  <c r="AJ110" i="1"/>
  <c r="P110" i="1"/>
  <c r="AA110" i="1"/>
  <c r="F110" i="1"/>
  <c r="AP109" i="1"/>
  <c r="AO109" i="1" s="1"/>
  <c r="U109" i="1" s="1"/>
  <c r="AJ109" i="1"/>
  <c r="P109" i="1"/>
  <c r="AA109" i="1"/>
  <c r="F109" i="1"/>
  <c r="AP108" i="1"/>
  <c r="AO108" i="1" s="1"/>
  <c r="U108" i="1" s="1"/>
  <c r="AJ108" i="1"/>
  <c r="P108" i="1"/>
  <c r="AA108" i="1"/>
  <c r="F108" i="1"/>
  <c r="AP107" i="1"/>
  <c r="AO107" i="1" s="1"/>
  <c r="AJ107" i="1"/>
  <c r="P107" i="1"/>
  <c r="AA107" i="1"/>
  <c r="F107" i="1"/>
  <c r="AP106" i="1"/>
  <c r="AO106" i="1" s="1"/>
  <c r="AJ106" i="1"/>
  <c r="P106" i="1"/>
  <c r="AA106" i="1"/>
  <c r="F106" i="1"/>
  <c r="AP105" i="1"/>
  <c r="AO105" i="1" s="1"/>
  <c r="V105" i="1" s="1"/>
  <c r="AJ105" i="1"/>
  <c r="P105" i="1"/>
  <c r="AA105" i="1"/>
  <c r="F105" i="1"/>
  <c r="AP104" i="1"/>
  <c r="AJ104" i="1"/>
  <c r="P104" i="1"/>
  <c r="AA104" i="1"/>
  <c r="F104" i="1"/>
  <c r="AP103" i="1"/>
  <c r="AO103" i="1" s="1"/>
  <c r="V103" i="1" s="1"/>
  <c r="AJ103" i="1"/>
  <c r="AA103" i="1"/>
  <c r="L103" i="1"/>
  <c r="F103" i="1"/>
  <c r="AP102" i="1"/>
  <c r="AO102" i="1" s="1"/>
  <c r="V102" i="1" s="1"/>
  <c r="AJ102" i="1"/>
  <c r="AA102" i="1"/>
  <c r="L102" i="1"/>
  <c r="F102" i="1"/>
  <c r="AP101" i="1"/>
  <c r="AO101" i="1" s="1"/>
  <c r="AJ101" i="1"/>
  <c r="AA101" i="1"/>
  <c r="L101" i="1"/>
  <c r="AP100" i="1"/>
  <c r="AO100" i="1" s="1"/>
  <c r="AJ100" i="1"/>
  <c r="AA100" i="1"/>
  <c r="L100" i="1"/>
  <c r="F100" i="1"/>
  <c r="AP99" i="1"/>
  <c r="AO99" i="1" s="1"/>
  <c r="U99" i="1" s="1"/>
  <c r="AJ99" i="1"/>
  <c r="AA99" i="1"/>
  <c r="L99" i="1"/>
  <c r="F99" i="1"/>
  <c r="AQ98" i="1"/>
  <c r="AP98" i="1"/>
  <c r="AO98" i="1" s="1"/>
  <c r="V98" i="1" s="1"/>
  <c r="AJ98" i="1"/>
  <c r="AA98" i="1"/>
  <c r="L98" i="1"/>
  <c r="F98" i="1"/>
  <c r="AP97" i="1"/>
  <c r="AO97" i="1" s="1"/>
  <c r="AJ97" i="1"/>
  <c r="AA97" i="1"/>
  <c r="L97" i="1"/>
  <c r="F97" i="1"/>
  <c r="AQ96" i="1"/>
  <c r="AP96" i="1"/>
  <c r="AO96" i="1" s="1"/>
  <c r="AJ96" i="1"/>
  <c r="AA96" i="1"/>
  <c r="L96" i="1"/>
  <c r="F96" i="1"/>
  <c r="AP95" i="1"/>
  <c r="AO95" i="1" s="1"/>
  <c r="V95" i="1" s="1"/>
  <c r="AJ95" i="1"/>
  <c r="AA95" i="1"/>
  <c r="L95" i="1"/>
  <c r="F95" i="1"/>
  <c r="AP94" i="1"/>
  <c r="AO94" i="1" s="1"/>
  <c r="AJ94" i="1"/>
  <c r="AA94" i="1"/>
  <c r="L94" i="1"/>
  <c r="F94" i="1"/>
  <c r="AP93" i="1"/>
  <c r="AO93" i="1" s="1"/>
  <c r="AJ93" i="1"/>
  <c r="AA93" i="1"/>
  <c r="L93" i="1"/>
  <c r="F93" i="1"/>
  <c r="AP92" i="1"/>
  <c r="AO92" i="1" s="1"/>
  <c r="AJ92" i="1"/>
  <c r="AA92" i="1"/>
  <c r="L92" i="1"/>
  <c r="F92" i="1"/>
  <c r="AP91" i="1"/>
  <c r="AO91" i="1" s="1"/>
  <c r="U91" i="1" s="1"/>
  <c r="AJ91" i="1"/>
  <c r="AA91" i="1"/>
  <c r="L91" i="1"/>
  <c r="F91" i="1"/>
  <c r="AP90" i="1"/>
  <c r="AO90" i="1" s="1"/>
  <c r="V90" i="1" s="1"/>
  <c r="AJ90" i="1"/>
  <c r="AA90" i="1"/>
  <c r="L90" i="1"/>
  <c r="F90" i="1"/>
  <c r="AP89" i="1"/>
  <c r="AO89" i="1" s="1"/>
  <c r="U89" i="1" s="1"/>
  <c r="AJ89" i="1"/>
  <c r="AA89" i="1"/>
  <c r="L89" i="1"/>
  <c r="F89" i="1"/>
  <c r="AP88" i="1"/>
  <c r="AO88" i="1" s="1"/>
  <c r="AJ88" i="1"/>
  <c r="AA88" i="1"/>
  <c r="L88" i="1"/>
  <c r="F88" i="1"/>
  <c r="AP87" i="1"/>
  <c r="AO87" i="1" s="1"/>
  <c r="AJ87" i="1"/>
  <c r="AA87" i="1"/>
  <c r="L87" i="1"/>
  <c r="F87" i="1"/>
  <c r="AP86" i="1"/>
  <c r="AO86" i="1" s="1"/>
  <c r="AJ86" i="1"/>
  <c r="AA86" i="1"/>
  <c r="L86" i="1"/>
  <c r="F86" i="1"/>
  <c r="AP85" i="1"/>
  <c r="AO85" i="1" s="1"/>
  <c r="U85" i="1" s="1"/>
  <c r="AJ85" i="1"/>
  <c r="AA85" i="1"/>
  <c r="L85" i="1"/>
  <c r="F85" i="1"/>
  <c r="AQ84" i="1"/>
  <c r="AP84" i="1"/>
  <c r="AO84" i="1" s="1"/>
  <c r="AJ84" i="1"/>
  <c r="AA84" i="1"/>
  <c r="L84" i="1"/>
  <c r="F84" i="1"/>
  <c r="AP83" i="1"/>
  <c r="AO83" i="1" s="1"/>
  <c r="V83" i="1" s="1"/>
  <c r="AJ83" i="1"/>
  <c r="AA83" i="1"/>
  <c r="L83" i="1"/>
  <c r="F83" i="1"/>
  <c r="AP82" i="1"/>
  <c r="AO82" i="1" s="1"/>
  <c r="V82" i="1" s="1"/>
  <c r="AJ82" i="1"/>
  <c r="AA82" i="1"/>
  <c r="L82" i="1"/>
  <c r="F82" i="1"/>
  <c r="AP81" i="1"/>
  <c r="AO81" i="1" s="1"/>
  <c r="V81" i="1" s="1"/>
  <c r="AJ81" i="1"/>
  <c r="AA81" i="1"/>
  <c r="L81" i="1"/>
  <c r="F81" i="1"/>
  <c r="AP80" i="1"/>
  <c r="AO80" i="1" s="1"/>
  <c r="V80" i="1" s="1"/>
  <c r="AJ80" i="1"/>
  <c r="AA80" i="1"/>
  <c r="L80" i="1"/>
  <c r="F80" i="1"/>
  <c r="AP79" i="1"/>
  <c r="AO79" i="1" s="1"/>
  <c r="AJ79" i="1"/>
  <c r="AA79" i="1"/>
  <c r="L79" i="1"/>
  <c r="F79" i="1"/>
  <c r="AQ78" i="1"/>
  <c r="AP78" i="1"/>
  <c r="AO78" i="1" s="1"/>
  <c r="U78" i="1" s="1"/>
  <c r="AJ78" i="1"/>
  <c r="AA78" i="1"/>
  <c r="L78" i="1"/>
  <c r="F78" i="1"/>
  <c r="AP77" i="1"/>
  <c r="AO77" i="1" s="1"/>
  <c r="U77" i="1" s="1"/>
  <c r="AJ77" i="1"/>
  <c r="AA77" i="1"/>
  <c r="L77" i="1"/>
  <c r="F77" i="1"/>
  <c r="AQ76" i="1"/>
  <c r="AP76" i="1"/>
  <c r="AO76" i="1" s="1"/>
  <c r="V76" i="1" s="1"/>
  <c r="AJ76" i="1"/>
  <c r="AA76" i="1"/>
  <c r="L76" i="1"/>
  <c r="F76" i="1"/>
  <c r="AP75" i="1"/>
  <c r="AO75" i="1" s="1"/>
  <c r="U75" i="1" s="1"/>
  <c r="AJ75" i="1"/>
  <c r="AA75" i="1"/>
  <c r="L75" i="1"/>
  <c r="F75" i="1"/>
  <c r="AP74" i="1"/>
  <c r="AO74" i="1" s="1"/>
  <c r="V74" i="1" s="1"/>
  <c r="AJ74" i="1"/>
  <c r="AA74" i="1"/>
  <c r="L74" i="1"/>
  <c r="F74" i="1"/>
  <c r="AQ73" i="1"/>
  <c r="AP73" i="1"/>
  <c r="AO73" i="1" s="1"/>
  <c r="AJ73" i="1"/>
  <c r="AA73" i="1"/>
  <c r="L73" i="1"/>
  <c r="F73" i="1"/>
  <c r="AP72" i="1"/>
  <c r="AO72" i="1" s="1"/>
  <c r="AJ72" i="1"/>
  <c r="AA72" i="1"/>
  <c r="L72" i="1"/>
  <c r="F72" i="1"/>
  <c r="AP71" i="1"/>
  <c r="AO71" i="1" s="1"/>
  <c r="AJ71" i="1"/>
  <c r="AA71" i="1"/>
  <c r="L71" i="1"/>
  <c r="F71" i="1"/>
  <c r="AQ70" i="1"/>
  <c r="AP70" i="1"/>
  <c r="AO70" i="1" s="1"/>
  <c r="V70" i="1" s="1"/>
  <c r="AJ70" i="1"/>
  <c r="AA70" i="1"/>
  <c r="L70" i="1"/>
  <c r="G70" i="1"/>
  <c r="F70" i="1"/>
  <c r="AQ69" i="1"/>
  <c r="AP69" i="1"/>
  <c r="AO69" i="1" s="1"/>
  <c r="U69" i="1" s="1"/>
  <c r="AJ69" i="1"/>
  <c r="AA69" i="1"/>
  <c r="L69" i="1"/>
  <c r="G69" i="1"/>
  <c r="F69" i="1"/>
  <c r="AQ68" i="1"/>
  <c r="AP68" i="1"/>
  <c r="AO68" i="1" s="1"/>
  <c r="AJ68" i="1"/>
  <c r="AA68" i="1"/>
  <c r="L68" i="1"/>
  <c r="G68" i="1"/>
  <c r="F68" i="1"/>
  <c r="AQ67" i="1"/>
  <c r="AP67" i="1"/>
  <c r="AJ67" i="1"/>
  <c r="AA67" i="1"/>
  <c r="L67" i="1"/>
  <c r="G67" i="1"/>
  <c r="F67" i="1"/>
  <c r="AQ66" i="1"/>
  <c r="AP66" i="1"/>
  <c r="AO66" i="1" s="1"/>
  <c r="AJ66" i="1"/>
  <c r="AA66" i="1"/>
  <c r="L66" i="1"/>
  <c r="G66" i="1"/>
  <c r="F66" i="1"/>
  <c r="AQ65" i="1"/>
  <c r="AP65" i="1"/>
  <c r="AO65" i="1" s="1"/>
  <c r="AJ65" i="1"/>
  <c r="AA65" i="1"/>
  <c r="L65" i="1"/>
  <c r="G65" i="1"/>
  <c r="F65" i="1"/>
  <c r="AQ64" i="1"/>
  <c r="AP64" i="1"/>
  <c r="AO64" i="1" s="1"/>
  <c r="AJ64" i="1"/>
  <c r="AA64" i="1"/>
  <c r="L64" i="1"/>
  <c r="G64" i="1"/>
  <c r="F64" i="1"/>
  <c r="AQ63" i="1"/>
  <c r="AP63" i="1"/>
  <c r="AO63" i="1" s="1"/>
  <c r="U63" i="1" s="1"/>
  <c r="AJ63" i="1"/>
  <c r="AA63" i="1"/>
  <c r="L63" i="1"/>
  <c r="G63" i="1"/>
  <c r="F63" i="1"/>
  <c r="AQ62" i="1"/>
  <c r="AP62" i="1"/>
  <c r="AJ62" i="1"/>
  <c r="AA62" i="1"/>
  <c r="L62" i="1"/>
  <c r="G62" i="1"/>
  <c r="F62" i="1"/>
  <c r="AQ61" i="1"/>
  <c r="AP61" i="1"/>
  <c r="AO61" i="1" s="1"/>
  <c r="U61" i="1" s="1"/>
  <c r="AJ61" i="1"/>
  <c r="AA61" i="1"/>
  <c r="L61" i="1"/>
  <c r="G61" i="1"/>
  <c r="F61" i="1"/>
  <c r="AQ60" i="1"/>
  <c r="AP60" i="1"/>
  <c r="AO60" i="1" s="1"/>
  <c r="AJ60" i="1"/>
  <c r="AA60" i="1"/>
  <c r="L60" i="1"/>
  <c r="G60" i="1"/>
  <c r="F60" i="1"/>
  <c r="AQ59" i="1"/>
  <c r="AP59" i="1"/>
  <c r="AJ59" i="1"/>
  <c r="AA59" i="1"/>
  <c r="L59" i="1"/>
  <c r="G59" i="1"/>
  <c r="F59" i="1"/>
  <c r="AQ58" i="1"/>
  <c r="AP58" i="1"/>
  <c r="AO58" i="1" s="1"/>
  <c r="AJ58" i="1"/>
  <c r="AA58" i="1"/>
  <c r="L58" i="1"/>
  <c r="G58" i="1"/>
  <c r="F58" i="1"/>
  <c r="AQ57" i="1"/>
  <c r="AP57" i="1"/>
  <c r="AO57" i="1" s="1"/>
  <c r="AJ57" i="1"/>
  <c r="AA57" i="1"/>
  <c r="L57" i="1"/>
  <c r="G57" i="1"/>
  <c r="F57" i="1"/>
  <c r="AQ56" i="1"/>
  <c r="AP56" i="1"/>
  <c r="AO56" i="1" s="1"/>
  <c r="V56" i="1" s="1"/>
  <c r="AJ56" i="1"/>
  <c r="AA56" i="1"/>
  <c r="L56" i="1"/>
  <c r="G56" i="1"/>
  <c r="F56" i="1"/>
  <c r="AQ55" i="1"/>
  <c r="AP55" i="1"/>
  <c r="AO55" i="1" s="1"/>
  <c r="AJ55" i="1"/>
  <c r="AA55" i="1"/>
  <c r="L55" i="1"/>
  <c r="G55" i="1"/>
  <c r="F55" i="1"/>
  <c r="AQ54" i="1"/>
  <c r="AP54" i="1"/>
  <c r="AO54" i="1" s="1"/>
  <c r="AJ54" i="1"/>
  <c r="AA54" i="1"/>
  <c r="L54" i="1"/>
  <c r="G54" i="1"/>
  <c r="F54" i="1"/>
  <c r="AQ53" i="1"/>
  <c r="AP53" i="1"/>
  <c r="AO53" i="1" s="1"/>
  <c r="V53" i="1" s="1"/>
  <c r="AJ53" i="1"/>
  <c r="AA53" i="1"/>
  <c r="L53" i="1"/>
  <c r="G53" i="1"/>
  <c r="F53" i="1"/>
  <c r="AQ52" i="1"/>
  <c r="AP52" i="1"/>
  <c r="AO52" i="1" s="1"/>
  <c r="U52" i="1" s="1"/>
  <c r="AJ52" i="1"/>
  <c r="AA52" i="1"/>
  <c r="L52" i="1"/>
  <c r="G52" i="1"/>
  <c r="F52" i="1"/>
  <c r="AQ51" i="1"/>
  <c r="AP51" i="1"/>
  <c r="AJ51" i="1"/>
  <c r="AA51" i="1"/>
  <c r="L51" i="1"/>
  <c r="G51" i="1"/>
  <c r="F51" i="1"/>
  <c r="AQ50" i="1"/>
  <c r="AP50" i="1"/>
  <c r="AO50" i="1" s="1"/>
  <c r="U50" i="1" s="1"/>
  <c r="AJ50" i="1"/>
  <c r="AA50" i="1"/>
  <c r="L50" i="1"/>
  <c r="G50" i="1"/>
  <c r="F50" i="1"/>
  <c r="AQ49" i="1"/>
  <c r="AP49" i="1"/>
  <c r="AO49" i="1" s="1"/>
  <c r="AJ49" i="1"/>
  <c r="AA49" i="1"/>
  <c r="L49" i="1"/>
  <c r="G49" i="1"/>
  <c r="F49" i="1"/>
  <c r="AQ48" i="1"/>
  <c r="AP48" i="1"/>
  <c r="AO48" i="1" s="1"/>
  <c r="V48" i="1" s="1"/>
  <c r="AJ48" i="1"/>
  <c r="AA48" i="1"/>
  <c r="L48" i="1"/>
  <c r="G48" i="1"/>
  <c r="F48" i="1"/>
  <c r="AQ47" i="1"/>
  <c r="AP47" i="1"/>
  <c r="AO47" i="1" s="1"/>
  <c r="V47" i="1" s="1"/>
  <c r="AJ47" i="1"/>
  <c r="AA47" i="1"/>
  <c r="L47" i="1"/>
  <c r="G47" i="1"/>
  <c r="F47" i="1"/>
  <c r="AQ46" i="1"/>
  <c r="AP46" i="1"/>
  <c r="AO46" i="1" s="1"/>
  <c r="AJ46" i="1"/>
  <c r="AA46" i="1"/>
  <c r="L46" i="1"/>
  <c r="G46" i="1"/>
  <c r="F46" i="1"/>
  <c r="AQ45" i="1"/>
  <c r="AP45" i="1"/>
  <c r="AO45" i="1" s="1"/>
  <c r="AJ45" i="1"/>
  <c r="AA45" i="1"/>
  <c r="L45" i="1"/>
  <c r="G45" i="1"/>
  <c r="F45" i="1"/>
  <c r="AQ44" i="1"/>
  <c r="AP44" i="1"/>
  <c r="AO44" i="1" s="1"/>
  <c r="AJ44" i="1"/>
  <c r="AA44" i="1"/>
  <c r="L44" i="1"/>
  <c r="G44" i="1"/>
  <c r="F44" i="1"/>
  <c r="AQ43" i="1"/>
  <c r="AP43" i="1"/>
  <c r="AO43" i="1" s="1"/>
  <c r="AJ43" i="1"/>
  <c r="AA43" i="1"/>
  <c r="L43" i="1"/>
  <c r="G43" i="1"/>
  <c r="F43" i="1"/>
  <c r="AQ42" i="1"/>
  <c r="AP42" i="1"/>
  <c r="AO42" i="1" s="1"/>
  <c r="AJ42" i="1"/>
  <c r="AA42" i="1"/>
  <c r="L42" i="1"/>
  <c r="G42" i="1"/>
  <c r="F42" i="1"/>
  <c r="AQ41" i="1"/>
  <c r="AP41" i="1"/>
  <c r="AO41" i="1" s="1"/>
  <c r="V41" i="1" s="1"/>
  <c r="AJ41" i="1"/>
  <c r="AA41" i="1"/>
  <c r="L41" i="1"/>
  <c r="G41" i="1"/>
  <c r="F41" i="1"/>
  <c r="AQ40" i="1"/>
  <c r="AP40" i="1"/>
  <c r="AO40" i="1" s="1"/>
  <c r="V40" i="1" s="1"/>
  <c r="AJ40" i="1"/>
  <c r="AA40" i="1"/>
  <c r="L40" i="1"/>
  <c r="G40" i="1"/>
  <c r="F40" i="1"/>
  <c r="AQ39" i="1"/>
  <c r="AP39" i="1"/>
  <c r="AO39" i="1" s="1"/>
  <c r="U39" i="1" s="1"/>
  <c r="AJ39" i="1"/>
  <c r="AA39" i="1"/>
  <c r="L39" i="1"/>
  <c r="G39" i="1"/>
  <c r="F39" i="1"/>
  <c r="AQ38" i="1"/>
  <c r="AP38" i="1"/>
  <c r="AO38" i="1" s="1"/>
  <c r="V38" i="1" s="1"/>
  <c r="AJ38" i="1"/>
  <c r="AA38" i="1"/>
  <c r="L38" i="1"/>
  <c r="G38" i="1"/>
  <c r="F38" i="1"/>
  <c r="AQ37" i="1"/>
  <c r="AP37" i="1"/>
  <c r="AO37" i="1" s="1"/>
  <c r="U37" i="1" s="1"/>
  <c r="AJ37" i="1"/>
  <c r="AA37" i="1"/>
  <c r="L37" i="1"/>
  <c r="G37" i="1"/>
  <c r="F37" i="1"/>
  <c r="AQ36" i="1"/>
  <c r="AP36" i="1"/>
  <c r="AO36" i="1" s="1"/>
  <c r="AJ36" i="1"/>
  <c r="AA36" i="1"/>
  <c r="L36" i="1"/>
  <c r="G36" i="1"/>
  <c r="F36" i="1"/>
  <c r="AQ35" i="1"/>
  <c r="AP35" i="1"/>
  <c r="AO35" i="1" s="1"/>
  <c r="AJ35" i="1"/>
  <c r="AA35" i="1"/>
  <c r="L35" i="1"/>
  <c r="G35" i="1"/>
  <c r="F35" i="1"/>
  <c r="AQ34" i="1"/>
  <c r="AP34" i="1"/>
  <c r="AO34" i="1" s="1"/>
  <c r="AJ34" i="1"/>
  <c r="AA34" i="1"/>
  <c r="L34" i="1"/>
  <c r="G34" i="1"/>
  <c r="F34" i="1"/>
  <c r="AQ33" i="1"/>
  <c r="AP33" i="1"/>
  <c r="AO33" i="1" s="1"/>
  <c r="V33" i="1" s="1"/>
  <c r="AJ33" i="1"/>
  <c r="AA33" i="1"/>
  <c r="L33" i="1"/>
  <c r="G33" i="1"/>
  <c r="F33" i="1"/>
  <c r="AQ32" i="1"/>
  <c r="AP32" i="1"/>
  <c r="AO32" i="1" s="1"/>
  <c r="AJ32" i="1"/>
  <c r="AA32" i="1"/>
  <c r="L32" i="1"/>
  <c r="G32" i="1"/>
  <c r="F32" i="1"/>
  <c r="AQ31" i="1"/>
  <c r="AP31" i="1"/>
  <c r="AO31" i="1" s="1"/>
  <c r="U31" i="1" s="1"/>
  <c r="AJ31" i="1"/>
  <c r="AA31" i="1"/>
  <c r="L31" i="1"/>
  <c r="G31" i="1"/>
  <c r="F31" i="1"/>
  <c r="AQ30" i="1"/>
  <c r="AP30" i="1"/>
  <c r="AO30" i="1" s="1"/>
  <c r="AJ30" i="1"/>
  <c r="AA30" i="1"/>
  <c r="L30" i="1"/>
  <c r="G30" i="1"/>
  <c r="F30" i="1"/>
  <c r="AQ29" i="1"/>
  <c r="AP29" i="1"/>
  <c r="AO29" i="1" s="1"/>
  <c r="U29" i="1" s="1"/>
  <c r="AJ29" i="1"/>
  <c r="AA29" i="1"/>
  <c r="L29" i="1"/>
  <c r="G29" i="1"/>
  <c r="F29" i="1"/>
  <c r="AQ28" i="1"/>
  <c r="AP28" i="1"/>
  <c r="AO28" i="1" s="1"/>
  <c r="AJ28" i="1"/>
  <c r="AA28" i="1"/>
  <c r="L28" i="1"/>
  <c r="G28" i="1"/>
  <c r="F28" i="1"/>
  <c r="AQ27" i="1"/>
  <c r="AP27" i="1"/>
  <c r="AO27" i="1" s="1"/>
  <c r="AJ27" i="1"/>
  <c r="AA27" i="1"/>
  <c r="L27" i="1"/>
  <c r="G27" i="1"/>
  <c r="F27" i="1"/>
  <c r="AQ26" i="1"/>
  <c r="AP26" i="1"/>
  <c r="AJ26" i="1"/>
  <c r="AA26" i="1"/>
  <c r="L26" i="1"/>
  <c r="G26" i="1"/>
  <c r="F26" i="1"/>
  <c r="AQ25" i="1"/>
  <c r="AP25" i="1"/>
  <c r="AO25" i="1" s="1"/>
  <c r="AJ25" i="1"/>
  <c r="AA25" i="1"/>
  <c r="L25" i="1"/>
  <c r="G25" i="1"/>
  <c r="F25" i="1"/>
  <c r="AQ24" i="1"/>
  <c r="AP24" i="1"/>
  <c r="AO24" i="1" s="1"/>
  <c r="AJ24" i="1"/>
  <c r="AA24" i="1"/>
  <c r="L24" i="1"/>
  <c r="G24" i="1"/>
  <c r="F24" i="1"/>
  <c r="AQ23" i="1"/>
  <c r="AP23" i="1"/>
  <c r="AO23" i="1" s="1"/>
  <c r="V23" i="1" s="1"/>
  <c r="AJ23" i="1"/>
  <c r="AA23" i="1"/>
  <c r="L23" i="1"/>
  <c r="G23" i="1"/>
  <c r="F23" i="1"/>
  <c r="AQ22" i="1"/>
  <c r="AP22" i="1"/>
  <c r="AO22" i="1" s="1"/>
  <c r="V22" i="1" s="1"/>
  <c r="AJ22" i="1"/>
  <c r="AA22" i="1"/>
  <c r="L22" i="1"/>
  <c r="G22" i="1"/>
  <c r="F22" i="1"/>
  <c r="AQ21" i="1"/>
  <c r="AP21" i="1"/>
  <c r="AO21" i="1" s="1"/>
  <c r="AJ21" i="1"/>
  <c r="AA21" i="1"/>
  <c r="L21" i="1"/>
  <c r="G21" i="1"/>
  <c r="F21" i="1"/>
  <c r="AQ20" i="1"/>
  <c r="AP20" i="1"/>
  <c r="AO20" i="1" s="1"/>
  <c r="AJ20" i="1"/>
  <c r="AA20" i="1"/>
  <c r="L20" i="1"/>
  <c r="G20" i="1"/>
  <c r="F20" i="1"/>
  <c r="AQ19" i="1"/>
  <c r="AP19" i="1"/>
  <c r="AO19" i="1" s="1"/>
  <c r="AJ19" i="1"/>
  <c r="AA19" i="1"/>
  <c r="L19" i="1"/>
  <c r="G19" i="1"/>
  <c r="F19" i="1"/>
  <c r="AQ18" i="1"/>
  <c r="AP18" i="1"/>
  <c r="AO18" i="1" s="1"/>
  <c r="V18" i="1" s="1"/>
  <c r="AJ18" i="1"/>
  <c r="AA18" i="1"/>
  <c r="L18" i="1"/>
  <c r="G18" i="1"/>
  <c r="F18" i="1"/>
  <c r="AQ17" i="1"/>
  <c r="AP17" i="1"/>
  <c r="AO17" i="1" s="1"/>
  <c r="V17" i="1" s="1"/>
  <c r="AJ17" i="1"/>
  <c r="AA17" i="1"/>
  <c r="L17" i="1"/>
  <c r="G17" i="1"/>
  <c r="F17" i="1"/>
  <c r="AQ16" i="1"/>
  <c r="AP16" i="1"/>
  <c r="AO16" i="1" s="1"/>
  <c r="V16" i="1" s="1"/>
  <c r="AJ16" i="1"/>
  <c r="AA16" i="1"/>
  <c r="L16" i="1"/>
  <c r="G16" i="1"/>
  <c r="F16" i="1"/>
  <c r="AQ15" i="1"/>
  <c r="AP15" i="1"/>
  <c r="AO15" i="1" s="1"/>
  <c r="AJ15" i="1"/>
  <c r="AA15" i="1"/>
  <c r="L15" i="1"/>
  <c r="G15" i="1"/>
  <c r="F15" i="1"/>
  <c r="AQ14" i="1"/>
  <c r="AP14" i="1"/>
  <c r="AO14" i="1" s="1"/>
  <c r="AJ14" i="1"/>
  <c r="AA14" i="1"/>
  <c r="L14" i="1"/>
  <c r="G14" i="1"/>
  <c r="F14" i="1"/>
  <c r="AQ13" i="1"/>
  <c r="AP13" i="1"/>
  <c r="AO13" i="1" s="1"/>
  <c r="AJ13" i="1"/>
  <c r="AA13" i="1"/>
  <c r="L13" i="1"/>
  <c r="G13" i="1"/>
  <c r="F13" i="1"/>
  <c r="AQ12" i="1"/>
  <c r="AP12" i="1"/>
  <c r="AO12" i="1" s="1"/>
  <c r="AJ12" i="1"/>
  <c r="AA12" i="1"/>
  <c r="L12" i="1"/>
  <c r="G12" i="1"/>
  <c r="F12" i="1"/>
  <c r="AQ11" i="1"/>
  <c r="AP11" i="1"/>
  <c r="AO11" i="1" s="1"/>
  <c r="AJ11" i="1"/>
  <c r="AA11" i="1"/>
  <c r="L11" i="1"/>
  <c r="G11" i="1"/>
  <c r="F11" i="1"/>
  <c r="AQ10" i="1"/>
  <c r="AP10" i="1"/>
  <c r="AJ10" i="1"/>
  <c r="AA10" i="1"/>
  <c r="L10" i="1"/>
  <c r="G10" i="1"/>
  <c r="F10" i="1"/>
  <c r="AQ9" i="1"/>
  <c r="AP9" i="1"/>
  <c r="AO9" i="1" s="1"/>
  <c r="U9" i="1" s="1"/>
  <c r="AJ9" i="1"/>
  <c r="AA9" i="1"/>
  <c r="L9" i="1"/>
  <c r="G9" i="1"/>
  <c r="F9" i="1"/>
  <c r="AQ8" i="1"/>
  <c r="AP8" i="1"/>
  <c r="AO8" i="1" s="1"/>
  <c r="V8" i="1" s="1"/>
  <c r="AJ8" i="1"/>
  <c r="AA8" i="1"/>
  <c r="L8" i="1"/>
  <c r="G8" i="1"/>
  <c r="F8" i="1"/>
  <c r="AQ7" i="1"/>
  <c r="AP7" i="1"/>
  <c r="AO7" i="1" s="1"/>
  <c r="V7" i="1" s="1"/>
  <c r="AJ7" i="1"/>
  <c r="AA7" i="1"/>
  <c r="L7" i="1"/>
  <c r="G7" i="1"/>
  <c r="F7" i="1"/>
  <c r="AQ6" i="1"/>
  <c r="AP6" i="1"/>
  <c r="AO6" i="1" s="1"/>
  <c r="U6" i="1" s="1"/>
  <c r="AJ6" i="1"/>
  <c r="AA6" i="1"/>
  <c r="L6" i="1"/>
  <c r="G6" i="1"/>
  <c r="F6" i="1"/>
  <c r="AQ5" i="1"/>
  <c r="AP5" i="1"/>
  <c r="AO5" i="1" s="1"/>
  <c r="V5" i="1" s="1"/>
  <c r="AJ5" i="1"/>
  <c r="AA5" i="1"/>
  <c r="L5" i="1"/>
  <c r="G5" i="1"/>
  <c r="F5" i="1"/>
  <c r="AQ4" i="1"/>
  <c r="AP4" i="1"/>
  <c r="AO4" i="1" s="1"/>
  <c r="V4" i="1" s="1"/>
  <c r="AJ4" i="1"/>
  <c r="AA4" i="1"/>
  <c r="L4" i="1"/>
  <c r="G4" i="1"/>
  <c r="F4" i="1"/>
  <c r="AQ3" i="1"/>
  <c r="AP3" i="1"/>
  <c r="AO3" i="1" s="1"/>
  <c r="AJ3" i="1"/>
  <c r="AA3" i="1"/>
  <c r="L3" i="1"/>
  <c r="G3" i="1"/>
  <c r="F3" i="1"/>
  <c r="AQ2" i="1"/>
  <c r="AP2" i="1"/>
  <c r="AO2" i="1" s="1"/>
  <c r="AJ2" i="1"/>
  <c r="AA2" i="1"/>
  <c r="L2" i="1"/>
  <c r="G2" i="1"/>
  <c r="F2" i="1"/>
  <c r="L115" i="1" l="1"/>
  <c r="AQ115" i="1"/>
  <c r="X114" i="1"/>
  <c r="Y114" i="1" s="1"/>
  <c r="AQ114" i="1"/>
  <c r="X113" i="1"/>
  <c r="AE113" i="1" s="1"/>
  <c r="AQ113" i="1"/>
  <c r="AQ112" i="1"/>
  <c r="X112" i="1"/>
  <c r="AE112" i="1" s="1"/>
  <c r="AQ111" i="1"/>
  <c r="AQ110" i="1"/>
  <c r="X109" i="1"/>
  <c r="Y109" i="1" s="1"/>
  <c r="AQ109" i="1"/>
  <c r="AQ108" i="1"/>
  <c r="X108" i="1"/>
  <c r="AE108" i="1" s="1"/>
  <c r="X107" i="1"/>
  <c r="AE107" i="1" s="1"/>
  <c r="AQ107" i="1"/>
  <c r="AQ106" i="1"/>
  <c r="X106" i="1"/>
  <c r="AE106" i="1" s="1"/>
  <c r="X105" i="1"/>
  <c r="AE105" i="1" s="1"/>
  <c r="X104" i="1"/>
  <c r="Y104" i="1" s="1"/>
  <c r="AQ105" i="1"/>
  <c r="AO104" i="1"/>
  <c r="V104" i="1" s="1"/>
  <c r="AQ104" i="1"/>
  <c r="AQ103" i="1"/>
  <c r="AQ102" i="1"/>
  <c r="AQ101" i="1"/>
  <c r="AQ100" i="1"/>
  <c r="AQ99" i="1"/>
  <c r="AQ97" i="1"/>
  <c r="AQ95" i="1"/>
  <c r="AQ94" i="1"/>
  <c r="AQ93" i="1"/>
  <c r="AQ92" i="1"/>
  <c r="AQ91" i="1"/>
  <c r="AQ90" i="1"/>
  <c r="AQ89" i="1"/>
  <c r="AQ88" i="1"/>
  <c r="AQ87" i="1"/>
  <c r="AQ86" i="1"/>
  <c r="AQ85" i="1"/>
  <c r="AQ83" i="1"/>
  <c r="AQ82" i="1"/>
  <c r="AQ81" i="1"/>
  <c r="AQ80" i="1"/>
  <c r="AQ79" i="1"/>
  <c r="AQ77" i="1"/>
  <c r="AQ75" i="1"/>
  <c r="AQ74" i="1"/>
  <c r="AQ72" i="1"/>
  <c r="V153" i="1"/>
  <c r="W153" i="1" s="1"/>
  <c r="X6" i="1"/>
  <c r="AE6" i="1" s="1"/>
  <c r="X47" i="1"/>
  <c r="AE47" i="1" s="1"/>
  <c r="X53" i="1"/>
  <c r="AE53" i="1" s="1"/>
  <c r="V6" i="1"/>
  <c r="W6" i="1" s="1"/>
  <c r="V117" i="1"/>
  <c r="W117" i="1" s="1"/>
  <c r="X48" i="1"/>
  <c r="Y48" i="1" s="1"/>
  <c r="U193" i="1"/>
  <c r="W193" i="1" s="1"/>
  <c r="X14" i="1"/>
  <c r="AE14" i="1" s="1"/>
  <c r="X17" i="1"/>
  <c r="Y17" i="1" s="1"/>
  <c r="X34" i="1"/>
  <c r="AE34" i="1" s="1"/>
  <c r="U139" i="1"/>
  <c r="W139" i="1" s="1"/>
  <c r="V148" i="1"/>
  <c r="W148" i="1" s="1"/>
  <c r="V110" i="1"/>
  <c r="W110" i="1" s="1"/>
  <c r="X96" i="1"/>
  <c r="AE96" i="1" s="1"/>
  <c r="U74" i="1"/>
  <c r="W74" i="1" s="1"/>
  <c r="X67" i="1"/>
  <c r="AE67" i="1" s="1"/>
  <c r="V151" i="1"/>
  <c r="W151" i="1" s="1"/>
  <c r="V189" i="1"/>
  <c r="W189" i="1" s="1"/>
  <c r="U179" i="1"/>
  <c r="W179" i="1" s="1"/>
  <c r="X25" i="1"/>
  <c r="Y25" i="1" s="1"/>
  <c r="V39" i="1"/>
  <c r="W39" i="1" s="1"/>
  <c r="V150" i="1"/>
  <c r="W150" i="1" s="1"/>
  <c r="V164" i="1"/>
  <c r="W164" i="1" s="1"/>
  <c r="U53" i="1"/>
  <c r="W53" i="1" s="1"/>
  <c r="U143" i="1"/>
  <c r="W143" i="1" s="1"/>
  <c r="U111" i="1"/>
  <c r="W111" i="1" s="1"/>
  <c r="X117" i="1"/>
  <c r="AE117" i="1" s="1"/>
  <c r="X46" i="1"/>
  <c r="AE46" i="1" s="1"/>
  <c r="U82" i="1"/>
  <c r="W82" i="1" s="1"/>
  <c r="V124" i="1"/>
  <c r="W124" i="1" s="1"/>
  <c r="U156" i="1"/>
  <c r="W156" i="1" s="1"/>
  <c r="X158" i="1"/>
  <c r="AE158" i="1" s="1"/>
  <c r="U83" i="2"/>
  <c r="X35" i="1"/>
  <c r="AE35" i="1" s="1"/>
  <c r="X63" i="1"/>
  <c r="AE63" i="1" s="1"/>
  <c r="U80" i="1"/>
  <c r="W80" i="1" s="1"/>
  <c r="X38" i="1"/>
  <c r="AE38" i="1" s="1"/>
  <c r="V63" i="1"/>
  <c r="W63" i="1" s="1"/>
  <c r="X78" i="1"/>
  <c r="AE78" i="1" s="1"/>
  <c r="X24" i="1"/>
  <c r="AE24" i="1" s="1"/>
  <c r="V192" i="1"/>
  <c r="W192" i="1" s="1"/>
  <c r="X76" i="1"/>
  <c r="AE76" i="1" s="1"/>
  <c r="X98" i="1"/>
  <c r="AE98" i="1" s="1"/>
  <c r="V185" i="1"/>
  <c r="W185" i="1" s="1"/>
  <c r="U58" i="1"/>
  <c r="V58" i="1"/>
  <c r="X159" i="1"/>
  <c r="AE159" i="1" s="1"/>
  <c r="X115" i="1"/>
  <c r="Y115" i="1" s="1"/>
  <c r="X84" i="1"/>
  <c r="AE84" i="1" s="1"/>
  <c r="V61" i="1"/>
  <c r="W61" i="1" s="1"/>
  <c r="U98" i="1"/>
  <c r="W98" i="1" s="1"/>
  <c r="X56" i="1"/>
  <c r="Y56" i="1" s="1"/>
  <c r="U88" i="2"/>
  <c r="X43" i="1"/>
  <c r="AE43" i="1" s="1"/>
  <c r="AO67" i="1"/>
  <c r="V67" i="1" s="1"/>
  <c r="U180" i="1"/>
  <c r="W180" i="1" s="1"/>
  <c r="U194" i="1"/>
  <c r="W194" i="1" s="1"/>
  <c r="U132" i="1"/>
  <c r="W132" i="1" s="1"/>
  <c r="V31" i="1"/>
  <c r="W31" i="1" s="1"/>
  <c r="U158" i="1"/>
  <c r="W158" i="1" s="1"/>
  <c r="V195" i="1"/>
  <c r="W195" i="1" s="1"/>
  <c r="U334" i="2"/>
  <c r="V85" i="1"/>
  <c r="W85" i="1" s="1"/>
  <c r="V145" i="1"/>
  <c r="W145" i="1" s="1"/>
  <c r="V131" i="1"/>
  <c r="W131" i="1" s="1"/>
  <c r="V201" i="1"/>
  <c r="W201" i="1" s="1"/>
  <c r="X128" i="1"/>
  <c r="AE128" i="1" s="1"/>
  <c r="X198" i="1"/>
  <c r="AE198" i="1" s="1"/>
  <c r="V159" i="2"/>
  <c r="X5" i="1"/>
  <c r="AE5" i="1" s="1"/>
  <c r="X16" i="1"/>
  <c r="Y16" i="1" s="1"/>
  <c r="U90" i="1"/>
  <c r="W90" i="1" s="1"/>
  <c r="X121" i="1"/>
  <c r="AE121" i="1" s="1"/>
  <c r="U112" i="1"/>
  <c r="W112" i="1" s="1"/>
  <c r="X161" i="1"/>
  <c r="Y161" i="1" s="1"/>
  <c r="X186" i="1"/>
  <c r="AE186" i="1" s="1"/>
  <c r="U105" i="1"/>
  <c r="W105" i="1" s="1"/>
  <c r="X68" i="1"/>
  <c r="AE68" i="1" s="1"/>
  <c r="V144" i="1"/>
  <c r="W144" i="1" s="1"/>
  <c r="X172" i="1"/>
  <c r="Y172" i="1" s="1"/>
  <c r="V76" i="2"/>
  <c r="V381" i="2"/>
  <c r="V25" i="1"/>
  <c r="U25" i="1"/>
  <c r="V20" i="1"/>
  <c r="U20" i="1"/>
  <c r="V46" i="1"/>
  <c r="U46" i="1"/>
  <c r="X182" i="1"/>
  <c r="AE182" i="1" s="1"/>
  <c r="X189" i="1"/>
  <c r="Y189" i="1" s="1"/>
  <c r="X197" i="1"/>
  <c r="AE197" i="1" s="1"/>
  <c r="U282" i="2"/>
  <c r="X136" i="1"/>
  <c r="AE136" i="1" s="1"/>
  <c r="X146" i="1"/>
  <c r="Y146" i="1" s="1"/>
  <c r="V143" i="2"/>
  <c r="U445" i="2"/>
  <c r="V474" i="2"/>
  <c r="X37" i="1"/>
  <c r="Y37" i="1" s="1"/>
  <c r="X77" i="1"/>
  <c r="AE77" i="1" s="1"/>
  <c r="X129" i="1"/>
  <c r="Y129" i="1" s="1"/>
  <c r="U257" i="2"/>
  <c r="V37" i="1"/>
  <c r="W37" i="1" s="1"/>
  <c r="V77" i="1"/>
  <c r="W77" i="1" s="1"/>
  <c r="X83" i="1"/>
  <c r="AE83" i="1" s="1"/>
  <c r="X122" i="1"/>
  <c r="AE122" i="1" s="1"/>
  <c r="U154" i="1"/>
  <c r="W154" i="1" s="1"/>
  <c r="V75" i="1"/>
  <c r="W75" i="1" s="1"/>
  <c r="X90" i="1"/>
  <c r="AE90" i="1" s="1"/>
  <c r="X92" i="1"/>
  <c r="AE92" i="1" s="1"/>
  <c r="X138" i="1"/>
  <c r="AE138" i="1" s="1"/>
  <c r="U141" i="1"/>
  <c r="W141" i="1" s="1"/>
  <c r="V159" i="1"/>
  <c r="W159" i="1" s="1"/>
  <c r="X179" i="1"/>
  <c r="AE179" i="1" s="1"/>
  <c r="U182" i="1"/>
  <c r="W182" i="1" s="1"/>
  <c r="V315" i="2"/>
  <c r="U375" i="2"/>
  <c r="U140" i="1"/>
  <c r="W140" i="1" s="1"/>
  <c r="X147" i="1"/>
  <c r="AE147" i="1" s="1"/>
  <c r="V196" i="1"/>
  <c r="W196" i="1" s="1"/>
  <c r="U191" i="2"/>
  <c r="V15" i="2"/>
  <c r="V24" i="2"/>
  <c r="X20" i="1"/>
  <c r="Y20" i="1" s="1"/>
  <c r="X190" i="1"/>
  <c r="Y190" i="1" s="1"/>
  <c r="V424" i="2"/>
  <c r="X22" i="1"/>
  <c r="AE22" i="1" s="1"/>
  <c r="X36" i="1"/>
  <c r="AE36" i="1" s="1"/>
  <c r="X89" i="1"/>
  <c r="Y89" i="1" s="1"/>
  <c r="V91" i="1"/>
  <c r="W91" i="1" s="1"/>
  <c r="V121" i="1"/>
  <c r="W121" i="1" s="1"/>
  <c r="X123" i="1"/>
  <c r="Y123" i="1" s="1"/>
  <c r="X152" i="1"/>
  <c r="AE152" i="1" s="1"/>
  <c r="V155" i="1"/>
  <c r="W155" i="1" s="1"/>
  <c r="U198" i="1"/>
  <c r="W198" i="1" s="1"/>
  <c r="U354" i="2"/>
  <c r="U431" i="2"/>
  <c r="U196" i="2"/>
  <c r="V113" i="2"/>
  <c r="X18" i="1"/>
  <c r="Y18" i="1" s="1"/>
  <c r="X54" i="1"/>
  <c r="AE54" i="1" s="1"/>
  <c r="V137" i="1"/>
  <c r="W137" i="1" s="1"/>
  <c r="U142" i="1"/>
  <c r="W142" i="1" s="1"/>
  <c r="X144" i="1"/>
  <c r="Y144" i="1" s="1"/>
  <c r="U147" i="1"/>
  <c r="W147" i="1" s="1"/>
  <c r="V183" i="1"/>
  <c r="W183" i="1" s="1"/>
  <c r="X195" i="1"/>
  <c r="AE195" i="1" s="1"/>
  <c r="U18" i="1"/>
  <c r="W18" i="1" s="1"/>
  <c r="X31" i="1"/>
  <c r="Y31" i="1" s="1"/>
  <c r="X44" i="1"/>
  <c r="Y44" i="1" s="1"/>
  <c r="X111" i="1"/>
  <c r="AE111" i="1" s="1"/>
  <c r="U190" i="1"/>
  <c r="W190" i="1" s="1"/>
  <c r="V225" i="2"/>
  <c r="X23" i="1"/>
  <c r="AE23" i="1" s="1"/>
  <c r="X49" i="1"/>
  <c r="Y49" i="1" s="1"/>
  <c r="X149" i="1"/>
  <c r="AE149" i="1" s="1"/>
  <c r="X187" i="1"/>
  <c r="AE187" i="1" s="1"/>
  <c r="V271" i="2"/>
  <c r="U60" i="1"/>
  <c r="V60" i="1"/>
  <c r="V32" i="1"/>
  <c r="U32" i="1"/>
  <c r="U172" i="2"/>
  <c r="U204" i="2"/>
  <c r="U291" i="2"/>
  <c r="U458" i="2"/>
  <c r="V494" i="2"/>
  <c r="V82" i="2"/>
  <c r="U277" i="2"/>
  <c r="U305" i="2"/>
  <c r="V342" i="2"/>
  <c r="V231" i="2"/>
  <c r="U272" i="2"/>
  <c r="V260" i="2"/>
  <c r="U341" i="2"/>
  <c r="V400" i="2"/>
  <c r="V425" i="2"/>
  <c r="X39" i="1"/>
  <c r="AE39" i="1" s="1"/>
  <c r="X74" i="1"/>
  <c r="AE74" i="1" s="1"/>
  <c r="V81" i="2"/>
  <c r="U111" i="2"/>
  <c r="U157" i="2"/>
  <c r="U276" i="2"/>
  <c r="V297" i="2"/>
  <c r="V304" i="2"/>
  <c r="V450" i="2"/>
  <c r="U475" i="2"/>
  <c r="U245" i="2"/>
  <c r="V302" i="2"/>
  <c r="X165" i="1"/>
  <c r="AE165" i="1" s="1"/>
  <c r="U25" i="2"/>
  <c r="X69" i="1"/>
  <c r="Y69" i="1" s="1"/>
  <c r="X72" i="1"/>
  <c r="Y72" i="1" s="1"/>
  <c r="V78" i="1"/>
  <c r="W78" i="1" s="1"/>
  <c r="U103" i="1"/>
  <c r="W103" i="1" s="1"/>
  <c r="U138" i="1"/>
  <c r="W138" i="1" s="1"/>
  <c r="X143" i="1"/>
  <c r="AE143" i="1" s="1"/>
  <c r="X188" i="1"/>
  <c r="AE188" i="1" s="1"/>
  <c r="V38" i="2"/>
  <c r="U97" i="2"/>
  <c r="U182" i="2"/>
  <c r="U262" i="2"/>
  <c r="U320" i="2"/>
  <c r="V327" i="2"/>
  <c r="U359" i="2"/>
  <c r="V420" i="2"/>
  <c r="U81" i="1"/>
  <c r="W81" i="1" s="1"/>
  <c r="U222" i="2"/>
  <c r="X73" i="1"/>
  <c r="AE73" i="1" s="1"/>
  <c r="U267" i="2"/>
  <c r="X4" i="1"/>
  <c r="Y4" i="1" s="1"/>
  <c r="U17" i="1"/>
  <c r="W17" i="1" s="1"/>
  <c r="V52" i="1"/>
  <c r="W52" i="1" s="1"/>
  <c r="X118" i="1"/>
  <c r="AE118" i="1" s="1"/>
  <c r="U146" i="1"/>
  <c r="W146" i="1" s="1"/>
  <c r="U149" i="1"/>
  <c r="W149" i="1" s="1"/>
  <c r="U157" i="1"/>
  <c r="W157" i="1" s="1"/>
  <c r="U120" i="2"/>
  <c r="U127" i="2"/>
  <c r="U5" i="2"/>
  <c r="U185" i="2"/>
  <c r="V137" i="2"/>
  <c r="X32" i="1"/>
  <c r="AE32" i="1" s="1"/>
  <c r="U123" i="1"/>
  <c r="W123" i="1" s="1"/>
  <c r="V326" i="2"/>
  <c r="V75" i="2"/>
  <c r="V133" i="2"/>
  <c r="V116" i="2"/>
  <c r="X119" i="1"/>
  <c r="AE119" i="1" s="1"/>
  <c r="X7" i="1"/>
  <c r="Y7" i="1" s="1"/>
  <c r="X95" i="1"/>
  <c r="Y95" i="1" s="1"/>
  <c r="V191" i="1"/>
  <c r="W191" i="1" s="1"/>
  <c r="V319" i="2"/>
  <c r="V213" i="2"/>
  <c r="V240" i="2"/>
  <c r="X175" i="1"/>
  <c r="AE175" i="1" s="1"/>
  <c r="V192" i="2"/>
  <c r="U95" i="1"/>
  <c r="W95" i="1" s="1"/>
  <c r="X191" i="1"/>
  <c r="X70" i="1"/>
  <c r="AE70" i="1" s="1"/>
  <c r="X148" i="1"/>
  <c r="AE148" i="1" s="1"/>
  <c r="V89" i="1"/>
  <c r="W89" i="1" s="1"/>
  <c r="V188" i="1"/>
  <c r="W188" i="1" s="1"/>
  <c r="U296" i="2"/>
  <c r="V324" i="2"/>
  <c r="U410" i="2"/>
  <c r="U68" i="2"/>
  <c r="U128" i="2"/>
  <c r="V199" i="2"/>
  <c r="V414" i="2"/>
  <c r="U430" i="2"/>
  <c r="U453" i="2"/>
  <c r="U61" i="2"/>
  <c r="U288" i="2"/>
  <c r="U330" i="2"/>
  <c r="U123" i="2"/>
  <c r="V281" i="2"/>
  <c r="U439" i="2"/>
  <c r="X66" i="1"/>
  <c r="Y66" i="1" s="1"/>
  <c r="U244" i="2"/>
  <c r="V373" i="2"/>
  <c r="U464" i="2"/>
  <c r="X11" i="1"/>
  <c r="AE11" i="1" s="1"/>
  <c r="U7" i="1"/>
  <c r="W7" i="1" s="1"/>
  <c r="X45" i="1"/>
  <c r="Y45" i="1" s="1"/>
  <c r="X55" i="1"/>
  <c r="AE55" i="1" s="1"/>
  <c r="X65" i="1"/>
  <c r="Y65" i="1" s="1"/>
  <c r="X120" i="1"/>
  <c r="Y120" i="1" s="1"/>
  <c r="X126" i="1"/>
  <c r="X180" i="1"/>
  <c r="AE180" i="1" s="1"/>
  <c r="X30" i="1"/>
  <c r="AE30" i="1" s="1"/>
  <c r="U70" i="1"/>
  <c r="W70" i="1" s="1"/>
  <c r="X91" i="1"/>
  <c r="Y91" i="1" s="1"/>
  <c r="X2" i="1"/>
  <c r="AE2" i="1" s="1"/>
  <c r="X40" i="1"/>
  <c r="AE40" i="1" s="1"/>
  <c r="X58" i="1"/>
  <c r="Y58" i="1" s="1"/>
  <c r="X85" i="1"/>
  <c r="AE85" i="1" s="1"/>
  <c r="V130" i="1"/>
  <c r="W130" i="1" s="1"/>
  <c r="X133" i="1"/>
  <c r="Y133" i="1" s="1"/>
  <c r="X166" i="1"/>
  <c r="AE166" i="1" s="1"/>
  <c r="X193" i="1"/>
  <c r="AE193" i="1" s="1"/>
  <c r="V101" i="2"/>
  <c r="V110" i="2"/>
  <c r="U161" i="2"/>
  <c r="V252" i="2"/>
  <c r="V310" i="2"/>
  <c r="V347" i="2"/>
  <c r="U15" i="1"/>
  <c r="V15" i="1"/>
  <c r="U2" i="1"/>
  <c r="V2" i="1"/>
  <c r="V26" i="2"/>
  <c r="V167" i="2"/>
  <c r="U42" i="1"/>
  <c r="V42" i="1"/>
  <c r="V266" i="2"/>
  <c r="V3" i="1"/>
  <c r="U3" i="1"/>
  <c r="AO62" i="1"/>
  <c r="X62" i="1"/>
  <c r="AE62" i="1" s="1"/>
  <c r="U358" i="2"/>
  <c r="U214" i="2"/>
  <c r="U55" i="1"/>
  <c r="V55" i="1"/>
  <c r="U294" i="2"/>
  <c r="V395" i="2"/>
  <c r="U223" i="2"/>
  <c r="V223" i="2"/>
  <c r="X167" i="1"/>
  <c r="V177" i="1"/>
  <c r="W177" i="1" s="1"/>
  <c r="U34" i="2"/>
  <c r="V34" i="2"/>
  <c r="V102" i="2"/>
  <c r="V406" i="2"/>
  <c r="U451" i="2"/>
  <c r="U456" i="2"/>
  <c r="U27" i="2"/>
  <c r="U43" i="2"/>
  <c r="U253" i="2"/>
  <c r="V286" i="2"/>
  <c r="U383" i="2"/>
  <c r="U432" i="2"/>
  <c r="U479" i="2"/>
  <c r="V479" i="2"/>
  <c r="U307" i="2"/>
  <c r="V314" i="2"/>
  <c r="U49" i="2"/>
  <c r="U363" i="2"/>
  <c r="V186" i="1"/>
  <c r="U186" i="1"/>
  <c r="V226" i="2"/>
  <c r="U181" i="2"/>
  <c r="U221" i="2"/>
  <c r="U452" i="2"/>
  <c r="V256" i="2"/>
  <c r="U311" i="2"/>
  <c r="V311" i="2"/>
  <c r="X50" i="1"/>
  <c r="U18" i="2"/>
  <c r="V18" i="2"/>
  <c r="U152" i="2"/>
  <c r="U84" i="1"/>
  <c r="V84" i="1"/>
  <c r="V62" i="2"/>
  <c r="U62" i="2"/>
  <c r="V96" i="1"/>
  <c r="U96" i="1"/>
  <c r="V239" i="2"/>
  <c r="U239" i="2"/>
  <c r="X141" i="1"/>
  <c r="AE141" i="1" s="1"/>
  <c r="V152" i="1"/>
  <c r="U152" i="1"/>
  <c r="X170" i="1"/>
  <c r="Y170" i="1" s="1"/>
  <c r="U73" i="2"/>
  <c r="V187" i="2"/>
  <c r="U234" i="2"/>
  <c r="U378" i="2"/>
  <c r="V378" i="2"/>
  <c r="U427" i="2"/>
  <c r="V472" i="2"/>
  <c r="U382" i="2"/>
  <c r="U72" i="2"/>
  <c r="V407" i="2"/>
  <c r="V254" i="2"/>
  <c r="U254" i="2"/>
  <c r="U421" i="2"/>
  <c r="U442" i="2"/>
  <c r="U145" i="2"/>
  <c r="V164" i="2"/>
  <c r="V171" i="2"/>
  <c r="V242" i="2"/>
  <c r="U4" i="2"/>
  <c r="V39" i="2"/>
  <c r="U301" i="2"/>
  <c r="X135" i="1"/>
  <c r="AE135" i="1" s="1"/>
  <c r="V12" i="1"/>
  <c r="U12" i="1"/>
  <c r="X26" i="1"/>
  <c r="Y26" i="1" s="1"/>
  <c r="AO26" i="1"/>
  <c r="V26" i="1" s="1"/>
  <c r="X51" i="1"/>
  <c r="Y51" i="1" s="1"/>
  <c r="AO51" i="1"/>
  <c r="V51" i="1" s="1"/>
  <c r="U83" i="1"/>
  <c r="W83" i="1" s="1"/>
  <c r="X116" i="1"/>
  <c r="AE116" i="1" s="1"/>
  <c r="U120" i="1"/>
  <c r="V120" i="1"/>
  <c r="X137" i="1"/>
  <c r="Y137" i="1" s="1"/>
  <c r="U92" i="2"/>
  <c r="U151" i="2"/>
  <c r="U201" i="2"/>
  <c r="U227" i="2"/>
  <c r="U293" i="2"/>
  <c r="V336" i="2"/>
  <c r="U343" i="2"/>
  <c r="V343" i="2"/>
  <c r="V134" i="2"/>
  <c r="U134" i="2"/>
  <c r="V12" i="2"/>
  <c r="V7" i="2"/>
  <c r="U115" i="2"/>
  <c r="V273" i="2"/>
  <c r="U273" i="2"/>
  <c r="V162" i="2"/>
  <c r="U309" i="2"/>
  <c r="V176" i="2"/>
  <c r="V105" i="2"/>
  <c r="V118" i="1"/>
  <c r="U118" i="1"/>
  <c r="U11" i="2"/>
  <c r="V53" i="2"/>
  <c r="U263" i="2"/>
  <c r="V263" i="2"/>
  <c r="U461" i="2"/>
  <c r="U197" i="2"/>
  <c r="AE114" i="1"/>
  <c r="X99" i="1"/>
  <c r="AE99" i="1" s="1"/>
  <c r="V106" i="1"/>
  <c r="U106" i="1"/>
  <c r="X164" i="1"/>
  <c r="AE164" i="1" s="1"/>
  <c r="X176" i="1"/>
  <c r="AE176" i="1" s="1"/>
  <c r="V187" i="1"/>
  <c r="U187" i="1"/>
  <c r="V269" i="2"/>
  <c r="U269" i="2"/>
  <c r="U481" i="2"/>
  <c r="U13" i="1"/>
  <c r="V13" i="1"/>
  <c r="U219" i="2"/>
  <c r="U238" i="2"/>
  <c r="V238" i="2"/>
  <c r="U21" i="2"/>
  <c r="V174" i="2"/>
  <c r="U45" i="1"/>
  <c r="V45" i="1"/>
  <c r="V113" i="1"/>
  <c r="U113" i="1"/>
  <c r="X199" i="1"/>
  <c r="U416" i="2"/>
  <c r="X100" i="1"/>
  <c r="Y100" i="1" s="1"/>
  <c r="U48" i="2"/>
  <c r="X196" i="1"/>
  <c r="AE196" i="1" s="1"/>
  <c r="X15" i="1"/>
  <c r="AE15" i="1" s="1"/>
  <c r="X64" i="1"/>
  <c r="U66" i="1"/>
  <c r="V66" i="1"/>
  <c r="V108" i="1"/>
  <c r="W108" i="1" s="1"/>
  <c r="V122" i="1"/>
  <c r="W122" i="1" s="1"/>
  <c r="V125" i="2"/>
  <c r="U125" i="2"/>
  <c r="U490" i="2"/>
  <c r="V490" i="2"/>
  <c r="U278" i="2"/>
  <c r="U77" i="2"/>
  <c r="V471" i="2"/>
  <c r="V478" i="2"/>
  <c r="U478" i="2"/>
  <c r="U65" i="2"/>
  <c r="U372" i="2"/>
  <c r="V268" i="2"/>
  <c r="U268" i="2"/>
  <c r="V466" i="2"/>
  <c r="U409" i="2"/>
  <c r="V202" i="2"/>
  <c r="U468" i="2"/>
  <c r="V468" i="2"/>
  <c r="V454" i="2"/>
  <c r="V491" i="2"/>
  <c r="U491" i="2"/>
  <c r="U95" i="2"/>
  <c r="V95" i="2"/>
  <c r="U482" i="2"/>
  <c r="X94" i="1"/>
  <c r="Y94" i="1" s="1"/>
  <c r="U390" i="2"/>
  <c r="V390" i="2"/>
  <c r="V24" i="1"/>
  <c r="U24" i="1"/>
  <c r="U71" i="1"/>
  <c r="V71" i="1"/>
  <c r="X110" i="1"/>
  <c r="AE110" i="1" s="1"/>
  <c r="V119" i="1"/>
  <c r="W119" i="1" s="1"/>
  <c r="X132" i="1"/>
  <c r="V184" i="1"/>
  <c r="U184" i="1"/>
  <c r="U31" i="2"/>
  <c r="V94" i="2"/>
  <c r="U94" i="2"/>
  <c r="U139" i="2"/>
  <c r="U177" i="2"/>
  <c r="U236" i="2"/>
  <c r="V417" i="2"/>
  <c r="U436" i="2"/>
  <c r="V64" i="1"/>
  <c r="U64" i="1"/>
  <c r="V116" i="1"/>
  <c r="U116" i="1"/>
  <c r="U33" i="2"/>
  <c r="V33" i="2"/>
  <c r="V63" i="2"/>
  <c r="U63" i="2"/>
  <c r="U56" i="2"/>
  <c r="U103" i="2"/>
  <c r="U377" i="2"/>
  <c r="V178" i="1"/>
  <c r="U178" i="1"/>
  <c r="V207" i="2"/>
  <c r="U247" i="2"/>
  <c r="U402" i="2"/>
  <c r="U218" i="2"/>
  <c r="U289" i="2"/>
  <c r="V306" i="2"/>
  <c r="V332" i="2"/>
  <c r="U355" i="2"/>
  <c r="V355" i="2"/>
  <c r="U140" i="2"/>
  <c r="U444" i="2"/>
  <c r="X9" i="1"/>
  <c r="AE9" i="1" s="1"/>
  <c r="V44" i="1"/>
  <c r="U44" i="1"/>
  <c r="X10" i="1"/>
  <c r="Y10" i="1" s="1"/>
  <c r="AO10" i="1"/>
  <c r="X42" i="1"/>
  <c r="AE42" i="1" s="1"/>
  <c r="V54" i="1"/>
  <c r="U54" i="1"/>
  <c r="V69" i="1"/>
  <c r="W69" i="1" s="1"/>
  <c r="X79" i="1"/>
  <c r="V97" i="1"/>
  <c r="U97" i="1"/>
  <c r="U19" i="2"/>
  <c r="V19" i="2"/>
  <c r="V106" i="2"/>
  <c r="U283" i="2"/>
  <c r="V389" i="2"/>
  <c r="U389" i="2"/>
  <c r="X19" i="1"/>
  <c r="AE19" i="1" s="1"/>
  <c r="X29" i="1"/>
  <c r="Y29" i="1" s="1"/>
  <c r="X52" i="1"/>
  <c r="Y52" i="1" s="1"/>
  <c r="X88" i="1"/>
  <c r="Y88" i="1" s="1"/>
  <c r="X130" i="1"/>
  <c r="AE130" i="1" s="1"/>
  <c r="X162" i="1"/>
  <c r="Y162" i="1" s="1"/>
  <c r="X86" i="1"/>
  <c r="Y86" i="1" s="1"/>
  <c r="X102" i="1"/>
  <c r="AE102" i="1" s="1"/>
  <c r="X139" i="1"/>
  <c r="Y139" i="1" s="1"/>
  <c r="X174" i="1"/>
  <c r="AE174" i="1" s="1"/>
  <c r="V80" i="2"/>
  <c r="V90" i="2"/>
  <c r="V100" i="2"/>
  <c r="V130" i="2"/>
  <c r="U147" i="2"/>
  <c r="V224" i="2"/>
  <c r="U259" i="2"/>
  <c r="U264" i="2"/>
  <c r="U312" i="2"/>
  <c r="V419" i="2"/>
  <c r="V50" i="2"/>
  <c r="U89" i="2"/>
  <c r="V99" i="2"/>
  <c r="U129" i="2"/>
  <c r="U158" i="2"/>
  <c r="U188" i="2"/>
  <c r="V198" i="2"/>
  <c r="U203" i="2"/>
  <c r="U208" i="2"/>
  <c r="U243" i="2"/>
  <c r="U248" i="2"/>
  <c r="U258" i="2"/>
  <c r="U280" i="2"/>
  <c r="U303" i="2"/>
  <c r="U333" i="2"/>
  <c r="U418" i="2"/>
  <c r="U463" i="2"/>
  <c r="U473" i="2"/>
  <c r="U483" i="2"/>
  <c r="X59" i="1"/>
  <c r="AE59" i="1" s="1"/>
  <c r="X82" i="1"/>
  <c r="AE82" i="1" s="1"/>
  <c r="X103" i="1"/>
  <c r="Y103" i="1" s="1"/>
  <c r="X163" i="1"/>
  <c r="Y163" i="1" s="1"/>
  <c r="X169" i="1"/>
  <c r="X173" i="1"/>
  <c r="Y173" i="1" s="1"/>
  <c r="U13" i="2"/>
  <c r="V23" i="2"/>
  <c r="U28" i="2"/>
  <c r="U119" i="2"/>
  <c r="V141" i="2"/>
  <c r="U173" i="2"/>
  <c r="U183" i="2"/>
  <c r="U300" i="2"/>
  <c r="U323" i="2"/>
  <c r="U328" i="2"/>
  <c r="U340" i="2"/>
  <c r="U423" i="2"/>
  <c r="U497" i="2"/>
  <c r="X87" i="1"/>
  <c r="X97" i="1"/>
  <c r="AE97" i="1" s="1"/>
  <c r="X134" i="1"/>
  <c r="AE134" i="1" s="1"/>
  <c r="X145" i="1"/>
  <c r="Y145" i="1" s="1"/>
  <c r="U3" i="2"/>
  <c r="U8" i="2"/>
  <c r="U40" i="2"/>
  <c r="V84" i="2"/>
  <c r="V114" i="2"/>
  <c r="U153" i="2"/>
  <c r="U163" i="2"/>
  <c r="U178" i="2"/>
  <c r="U220" i="2"/>
  <c r="U235" i="2"/>
  <c r="V285" i="2"/>
  <c r="U290" i="2"/>
  <c r="V318" i="2"/>
  <c r="V357" i="2"/>
  <c r="V362" i="2"/>
  <c r="U369" i="2"/>
  <c r="U374" i="2"/>
  <c r="U396" i="2"/>
  <c r="U403" i="2"/>
  <c r="U408" i="2"/>
  <c r="U428" i="2"/>
  <c r="U438" i="2"/>
  <c r="U443" i="2"/>
  <c r="U448" i="2"/>
  <c r="X127" i="1"/>
  <c r="X142" i="1"/>
  <c r="Y142" i="1" s="1"/>
  <c r="X151" i="1"/>
  <c r="U20" i="2"/>
  <c r="U35" i="2"/>
  <c r="V52" i="2"/>
  <c r="U96" i="2"/>
  <c r="V104" i="2"/>
  <c r="V170" i="2"/>
  <c r="U195" i="2"/>
  <c r="U215" i="2"/>
  <c r="U230" i="2"/>
  <c r="U250" i="2"/>
  <c r="U345" i="2"/>
  <c r="U352" i="2"/>
  <c r="V384" i="2"/>
  <c r="U391" i="2"/>
  <c r="V433" i="2"/>
  <c r="V470" i="2"/>
  <c r="U480" i="2"/>
  <c r="X28" i="1"/>
  <c r="AE28" i="1" s="1"/>
  <c r="U30" i="2"/>
  <c r="U64" i="2"/>
  <c r="V190" i="2"/>
  <c r="U210" i="2"/>
  <c r="V492" i="2"/>
  <c r="X3" i="1"/>
  <c r="Y3" i="1" s="1"/>
  <c r="X33" i="1"/>
  <c r="Y33" i="1" s="1"/>
  <c r="X60" i="1"/>
  <c r="Y60" i="1" s="1"/>
  <c r="X75" i="1"/>
  <c r="Y75" i="1" s="1"/>
  <c r="X93" i="1"/>
  <c r="X140" i="1"/>
  <c r="Y140" i="1" s="1"/>
  <c r="X157" i="1"/>
  <c r="Y157" i="1" s="1"/>
  <c r="X171" i="1"/>
  <c r="Y171" i="1" s="1"/>
  <c r="X12" i="1"/>
  <c r="X21" i="1"/>
  <c r="Y21" i="1" s="1"/>
  <c r="X181" i="1"/>
  <c r="Y181" i="1" s="1"/>
  <c r="V42" i="2"/>
  <c r="V160" i="2"/>
  <c r="V217" i="2"/>
  <c r="U292" i="2"/>
  <c r="V376" i="2"/>
  <c r="V405" i="2"/>
  <c r="V435" i="2"/>
  <c r="V440" i="2"/>
  <c r="U455" i="2"/>
  <c r="V21" i="1"/>
  <c r="U21" i="1"/>
  <c r="U49" i="1"/>
  <c r="V49" i="1"/>
  <c r="U34" i="1"/>
  <c r="V34" i="1"/>
  <c r="U30" i="1"/>
  <c r="V30" i="1"/>
  <c r="V14" i="1"/>
  <c r="U14" i="1"/>
  <c r="U57" i="1"/>
  <c r="V57" i="1"/>
  <c r="V27" i="1"/>
  <c r="U27" i="1"/>
  <c r="V88" i="1"/>
  <c r="U88" i="1"/>
  <c r="V126" i="1"/>
  <c r="U126" i="1"/>
  <c r="V459" i="2"/>
  <c r="V28" i="1"/>
  <c r="U28" i="1"/>
  <c r="X57" i="1"/>
  <c r="X156" i="1"/>
  <c r="V174" i="1"/>
  <c r="U174" i="1"/>
  <c r="U93" i="2"/>
  <c r="V489" i="2"/>
  <c r="U489" i="2"/>
  <c r="U54" i="2"/>
  <c r="V35" i="1"/>
  <c r="U35" i="1"/>
  <c r="V93" i="1"/>
  <c r="U93" i="1"/>
  <c r="V169" i="1"/>
  <c r="U169" i="1"/>
  <c r="V146" i="2"/>
  <c r="V321" i="2"/>
  <c r="U321" i="2"/>
  <c r="X13" i="1"/>
  <c r="U33" i="1"/>
  <c r="W33" i="1" s="1"/>
  <c r="V125" i="1"/>
  <c r="U125" i="1"/>
  <c r="X178" i="1"/>
  <c r="U316" i="2"/>
  <c r="U338" i="2"/>
  <c r="V86" i="1"/>
  <c r="U86" i="1"/>
  <c r="U175" i="1"/>
  <c r="V175" i="1"/>
  <c r="V59" i="2"/>
  <c r="U59" i="2"/>
  <c r="V199" i="1"/>
  <c r="U199" i="1"/>
  <c r="U186" i="2"/>
  <c r="V186" i="2"/>
  <c r="V163" i="1"/>
  <c r="U163" i="1"/>
  <c r="U44" i="2"/>
  <c r="U16" i="2"/>
  <c r="V43" i="1"/>
  <c r="U43" i="1"/>
  <c r="V11" i="1"/>
  <c r="U11" i="1"/>
  <c r="X27" i="1"/>
  <c r="V87" i="1"/>
  <c r="U87" i="1"/>
  <c r="V162" i="1"/>
  <c r="U162" i="1"/>
  <c r="V308" i="2"/>
  <c r="U308" i="2"/>
  <c r="V94" i="1"/>
  <c r="U94" i="1"/>
  <c r="V100" i="1"/>
  <c r="U100" i="1"/>
  <c r="X184" i="1"/>
  <c r="V10" i="2"/>
  <c r="U10" i="2"/>
  <c r="U265" i="2"/>
  <c r="V265" i="2"/>
  <c r="U5" i="1"/>
  <c r="W5" i="1" s="1"/>
  <c r="U38" i="1"/>
  <c r="W38" i="1" s="1"/>
  <c r="X41" i="1"/>
  <c r="X80" i="1"/>
  <c r="V92" i="1"/>
  <c r="U92" i="1"/>
  <c r="U85" i="2"/>
  <c r="U313" i="2"/>
  <c r="U41" i="1"/>
  <c r="W41" i="1" s="1"/>
  <c r="U47" i="1"/>
  <c r="W47" i="1" s="1"/>
  <c r="V72" i="1"/>
  <c r="U72" i="1"/>
  <c r="V200" i="1"/>
  <c r="U200" i="1"/>
  <c r="V9" i="1"/>
  <c r="W9" i="1" s="1"/>
  <c r="V36" i="1"/>
  <c r="U36" i="1"/>
  <c r="U76" i="1"/>
  <c r="W76" i="1" s="1"/>
  <c r="U67" i="2"/>
  <c r="V87" i="2"/>
  <c r="U87" i="2"/>
  <c r="U19" i="1"/>
  <c r="V19" i="1"/>
  <c r="U23" i="1"/>
  <c r="W23" i="1" s="1"/>
  <c r="V127" i="1"/>
  <c r="U127" i="1"/>
  <c r="X155" i="1"/>
  <c r="V160" i="1"/>
  <c r="W160" i="1" s="1"/>
  <c r="X194" i="1"/>
  <c r="U47" i="2"/>
  <c r="V47" i="2"/>
  <c r="V237" i="2"/>
  <c r="V65" i="1"/>
  <c r="U65" i="1"/>
  <c r="X177" i="1"/>
  <c r="U194" i="2"/>
  <c r="V194" i="2"/>
  <c r="V50" i="1"/>
  <c r="W50" i="1" s="1"/>
  <c r="U8" i="1"/>
  <c r="W8" i="1" s="1"/>
  <c r="V161" i="1"/>
  <c r="U161" i="1"/>
  <c r="V37" i="2"/>
  <c r="U37" i="2"/>
  <c r="U57" i="2"/>
  <c r="V189" i="2"/>
  <c r="U189" i="2"/>
  <c r="V144" i="2"/>
  <c r="U144" i="2"/>
  <c r="V101" i="1"/>
  <c r="U101" i="1"/>
  <c r="V124" i="2"/>
  <c r="U156" i="2"/>
  <c r="V156" i="2"/>
  <c r="V437" i="2"/>
  <c r="U437" i="2"/>
  <c r="V73" i="1"/>
  <c r="U73" i="1"/>
  <c r="V136" i="2"/>
  <c r="V126" i="2"/>
  <c r="V131" i="2"/>
  <c r="U131" i="2"/>
  <c r="V68" i="1"/>
  <c r="U68" i="1"/>
  <c r="U79" i="1"/>
  <c r="V79" i="1"/>
  <c r="V29" i="1"/>
  <c r="W29" i="1" s="1"/>
  <c r="X8" i="1"/>
  <c r="U22" i="1"/>
  <c r="W22" i="1" s="1"/>
  <c r="U4" i="1"/>
  <c r="W4" i="1" s="1"/>
  <c r="X61" i="1"/>
  <c r="AO59" i="1"/>
  <c r="V133" i="1"/>
  <c r="U133" i="1"/>
  <c r="X183" i="1"/>
  <c r="U32" i="2"/>
  <c r="U74" i="2"/>
  <c r="U154" i="2"/>
  <c r="V179" i="2"/>
  <c r="U179" i="2"/>
  <c r="U209" i="2"/>
  <c r="U102" i="1"/>
  <c r="W102" i="1" s="1"/>
  <c r="U129" i="1"/>
  <c r="W129" i="1" s="1"/>
  <c r="X154" i="1"/>
  <c r="V167" i="1"/>
  <c r="U167" i="1"/>
  <c r="U181" i="1"/>
  <c r="W181" i="1" s="1"/>
  <c r="X201" i="1"/>
  <c r="U206" i="2"/>
  <c r="V206" i="2"/>
  <c r="X81" i="1"/>
  <c r="V173" i="1"/>
  <c r="U173" i="1"/>
  <c r="V2" i="2"/>
  <c r="U2" i="2"/>
  <c r="V51" i="2"/>
  <c r="U51" i="2"/>
  <c r="V325" i="2"/>
  <c r="U325" i="2"/>
  <c r="U488" i="2"/>
  <c r="V488" i="2"/>
  <c r="U36" i="2"/>
  <c r="V46" i="2"/>
  <c r="V71" i="2"/>
  <c r="U71" i="2"/>
  <c r="V118" i="2"/>
  <c r="U138" i="2"/>
  <c r="V279" i="2"/>
  <c r="U279" i="2"/>
  <c r="U411" i="2"/>
  <c r="U426" i="2"/>
  <c r="V426" i="2"/>
  <c r="U165" i="1"/>
  <c r="W165" i="1" s="1"/>
  <c r="V41" i="2"/>
  <c r="U41" i="2"/>
  <c r="X101" i="1"/>
  <c r="X153" i="1"/>
  <c r="U66" i="2"/>
  <c r="V66" i="2"/>
  <c r="U79" i="2"/>
  <c r="V249" i="2"/>
  <c r="U249" i="2"/>
  <c r="V299" i="2"/>
  <c r="U299" i="2"/>
  <c r="V166" i="1"/>
  <c r="U166" i="1"/>
  <c r="X192" i="1"/>
  <c r="U150" i="2"/>
  <c r="V150" i="2"/>
  <c r="V155" i="2"/>
  <c r="U155" i="2"/>
  <c r="V193" i="2"/>
  <c r="U193" i="2"/>
  <c r="U274" i="2"/>
  <c r="V274" i="2"/>
  <c r="V284" i="2"/>
  <c r="U284" i="2"/>
  <c r="V413" i="2"/>
  <c r="U413" i="2"/>
  <c r="U322" i="2"/>
  <c r="V322" i="2"/>
  <c r="X125" i="1"/>
  <c r="X168" i="1"/>
  <c r="V172" i="1"/>
  <c r="U172" i="1"/>
  <c r="V58" i="2"/>
  <c r="U58" i="2"/>
  <c r="V165" i="2"/>
  <c r="U165" i="2"/>
  <c r="X124" i="1"/>
  <c r="X160" i="1"/>
  <c r="U9" i="2"/>
  <c r="U17" i="2"/>
  <c r="V175" i="2"/>
  <c r="V180" i="2"/>
  <c r="U233" i="2"/>
  <c r="U251" i="2"/>
  <c r="U386" i="2"/>
  <c r="V386" i="2"/>
  <c r="V398" i="2"/>
  <c r="X131" i="1"/>
  <c r="V122" i="2"/>
  <c r="U122" i="2"/>
  <c r="V200" i="2"/>
  <c r="U200" i="2"/>
  <c r="V241" i="2"/>
  <c r="U241" i="2"/>
  <c r="U246" i="2"/>
  <c r="V246" i="2"/>
  <c r="U339" i="2"/>
  <c r="V364" i="2"/>
  <c r="V14" i="2"/>
  <c r="U60" i="2"/>
  <c r="V91" i="2"/>
  <c r="V107" i="2"/>
  <c r="U112" i="2"/>
  <c r="V205" i="2"/>
  <c r="U205" i="2"/>
  <c r="U228" i="2"/>
  <c r="V261" i="2"/>
  <c r="U388" i="2"/>
  <c r="V388" i="2"/>
  <c r="U135" i="1"/>
  <c r="V135" i="1"/>
  <c r="V171" i="1"/>
  <c r="U171" i="1"/>
  <c r="V114" i="1"/>
  <c r="W114" i="1" s="1"/>
  <c r="V128" i="1"/>
  <c r="U128" i="1"/>
  <c r="U6" i="2"/>
  <c r="V6" i="2"/>
  <c r="U22" i="2"/>
  <c r="U45" i="2"/>
  <c r="V55" i="2"/>
  <c r="U55" i="2"/>
  <c r="U78" i="2"/>
  <c r="V117" i="2"/>
  <c r="U117" i="2"/>
  <c r="V142" i="2"/>
  <c r="U142" i="2"/>
  <c r="U329" i="2"/>
  <c r="U16" i="1"/>
  <c r="W16" i="1" s="1"/>
  <c r="U40" i="1"/>
  <c r="W40" i="1" s="1"/>
  <c r="U48" i="1"/>
  <c r="W48" i="1" s="1"/>
  <c r="U56" i="1"/>
  <c r="W56" i="1" s="1"/>
  <c r="X71" i="1"/>
  <c r="U115" i="1"/>
  <c r="W115" i="1" s="1"/>
  <c r="V99" i="1"/>
  <c r="W99" i="1" s="1"/>
  <c r="B15" i="5"/>
  <c r="B2" i="4"/>
  <c r="V109" i="1"/>
  <c r="W109" i="1" s="1"/>
  <c r="V134" i="1"/>
  <c r="U134" i="1"/>
  <c r="X150" i="1"/>
  <c r="V170" i="1"/>
  <c r="U170" i="1"/>
  <c r="V169" i="2"/>
  <c r="U169" i="2"/>
  <c r="U212" i="2"/>
  <c r="V212" i="2"/>
  <c r="V344" i="2"/>
  <c r="V351" i="2"/>
  <c r="U351" i="2"/>
  <c r="U356" i="2"/>
  <c r="V361" i="2"/>
  <c r="U361" i="2"/>
  <c r="V349" i="2"/>
  <c r="U349" i="2"/>
  <c r="U484" i="2"/>
  <c r="V484" i="2"/>
  <c r="V197" i="1"/>
  <c r="U197" i="1"/>
  <c r="V232" i="2"/>
  <c r="U232" i="2"/>
  <c r="V415" i="2"/>
  <c r="U415" i="2"/>
  <c r="V168" i="1"/>
  <c r="U168" i="1"/>
  <c r="X185" i="1"/>
  <c r="X200" i="1"/>
  <c r="V98" i="2"/>
  <c r="U98" i="2"/>
  <c r="U135" i="2"/>
  <c r="V148" i="2"/>
  <c r="U148" i="2"/>
  <c r="U211" i="2"/>
  <c r="U216" i="2"/>
  <c r="V346" i="2"/>
  <c r="V353" i="2"/>
  <c r="U353" i="2"/>
  <c r="U132" i="2"/>
  <c r="V132" i="2"/>
  <c r="U166" i="2"/>
  <c r="V166" i="2"/>
  <c r="V229" i="2"/>
  <c r="U229" i="2"/>
  <c r="V255" i="2"/>
  <c r="U255" i="2"/>
  <c r="V335" i="2"/>
  <c r="U335" i="2"/>
  <c r="V380" i="2"/>
  <c r="V385" i="2"/>
  <c r="U385" i="2"/>
  <c r="U465" i="2"/>
  <c r="V275" i="2"/>
  <c r="U275" i="2"/>
  <c r="V70" i="2"/>
  <c r="U70" i="2"/>
  <c r="U108" i="2"/>
  <c r="U121" i="2"/>
  <c r="U168" i="2"/>
  <c r="V270" i="2"/>
  <c r="U298" i="2"/>
  <c r="V367" i="2"/>
  <c r="V387" i="2"/>
  <c r="V392" i="2"/>
  <c r="U392" i="2"/>
  <c r="U447" i="2"/>
  <c r="V457" i="2"/>
  <c r="U457" i="2"/>
  <c r="V462" i="2"/>
  <c r="V404" i="2"/>
  <c r="U404" i="2"/>
  <c r="V429" i="2"/>
  <c r="U429" i="2"/>
  <c r="V467" i="2"/>
  <c r="U434" i="2"/>
  <c r="V434" i="2"/>
  <c r="V485" i="2"/>
  <c r="U485" i="2"/>
  <c r="V441" i="2"/>
  <c r="U441" i="2"/>
  <c r="V495" i="2"/>
  <c r="V136" i="1"/>
  <c r="U136" i="1"/>
  <c r="V176" i="1"/>
  <c r="U176" i="1"/>
  <c r="U29" i="2"/>
  <c r="U109" i="2"/>
  <c r="V149" i="2"/>
  <c r="U149" i="2"/>
  <c r="V184" i="2"/>
  <c r="V287" i="2"/>
  <c r="V295" i="2"/>
  <c r="U366" i="2"/>
  <c r="V366" i="2"/>
  <c r="V371" i="2"/>
  <c r="U397" i="2"/>
  <c r="V446" i="2"/>
  <c r="U469" i="2"/>
  <c r="U487" i="2"/>
  <c r="V337" i="2"/>
  <c r="U337" i="2"/>
  <c r="V350" i="2"/>
  <c r="V368" i="2"/>
  <c r="U368" i="2"/>
  <c r="V394" i="2"/>
  <c r="V399" i="2"/>
  <c r="U399" i="2"/>
  <c r="V412" i="2"/>
  <c r="U360" i="2"/>
  <c r="U370" i="2"/>
  <c r="U422" i="2"/>
  <c r="V107" i="1"/>
  <c r="U107" i="1"/>
  <c r="U401" i="2"/>
  <c r="U476" i="2"/>
  <c r="V486" i="2"/>
  <c r="V496" i="2"/>
  <c r="U496" i="2"/>
  <c r="V477" i="2"/>
  <c r="U477" i="2"/>
  <c r="U317" i="2"/>
  <c r="U331" i="2"/>
  <c r="U348" i="2"/>
  <c r="U365" i="2"/>
  <c r="U379" i="2"/>
  <c r="U393" i="2"/>
  <c r="U460" i="2"/>
  <c r="U493" i="2"/>
  <c r="U69" i="2"/>
  <c r="V86" i="2"/>
  <c r="U449" i="2"/>
  <c r="U104" i="1" l="1"/>
  <c r="W104" i="1" s="1"/>
  <c r="AE104" i="1"/>
  <c r="W118" i="1"/>
  <c r="Y47" i="1"/>
  <c r="Y6" i="1"/>
  <c r="Y53" i="1"/>
  <c r="B9" i="5"/>
  <c r="Y14" i="1"/>
  <c r="W100" i="1"/>
  <c r="AE48" i="1"/>
  <c r="W178" i="1"/>
  <c r="W54" i="1"/>
  <c r="W58" i="1"/>
  <c r="Y67" i="1"/>
  <c r="AE17" i="1"/>
  <c r="W186" i="1"/>
  <c r="W32" i="1"/>
  <c r="Y34" i="1"/>
  <c r="W136" i="1"/>
  <c r="Y43" i="1"/>
  <c r="W65" i="1"/>
  <c r="W133" i="1"/>
  <c r="Y32" i="1"/>
  <c r="W28" i="1"/>
  <c r="W25" i="1"/>
  <c r="Y78" i="1"/>
  <c r="Y96" i="1"/>
  <c r="W72" i="1"/>
  <c r="W126" i="1"/>
  <c r="AE123" i="1"/>
  <c r="AE172" i="1"/>
  <c r="AE25" i="1"/>
  <c r="AE86" i="1"/>
  <c r="AE161" i="1"/>
  <c r="Y24" i="1"/>
  <c r="Y76" i="1"/>
  <c r="W27" i="1"/>
  <c r="AE58" i="1"/>
  <c r="Y158" i="1"/>
  <c r="Y165" i="1"/>
  <c r="Y188" i="1"/>
  <c r="Y98" i="1"/>
  <c r="Y117" i="1"/>
  <c r="W3" i="1"/>
  <c r="Y143" i="1"/>
  <c r="Y175" i="1"/>
  <c r="Y108" i="1"/>
  <c r="W101" i="1"/>
  <c r="Y40" i="1"/>
  <c r="W20" i="1"/>
  <c r="Y84" i="1"/>
  <c r="Y122" i="1"/>
  <c r="W60" i="1"/>
  <c r="W197" i="1"/>
  <c r="Y46" i="1"/>
  <c r="AE115" i="1"/>
  <c r="W73" i="1"/>
  <c r="Y159" i="1"/>
  <c r="Y35" i="1"/>
  <c r="W92" i="1"/>
  <c r="Y38" i="1"/>
  <c r="AE56" i="1"/>
  <c r="AE20" i="1"/>
  <c r="Y22" i="1"/>
  <c r="Y63" i="1"/>
  <c r="U67" i="1"/>
  <c r="W67" i="1" s="1"/>
  <c r="Y198" i="1"/>
  <c r="Y176" i="1"/>
  <c r="W12" i="1"/>
  <c r="Y186" i="1"/>
  <c r="AE181" i="1"/>
  <c r="Y182" i="1"/>
  <c r="AE66" i="1"/>
  <c r="AE133" i="1"/>
  <c r="AE142" i="1"/>
  <c r="W170" i="1"/>
  <c r="Y136" i="1"/>
  <c r="AE145" i="1"/>
  <c r="Y68" i="1"/>
  <c r="Y19" i="1"/>
  <c r="AE89" i="1"/>
  <c r="Y92" i="1"/>
  <c r="Y107" i="1"/>
  <c r="AE45" i="1"/>
  <c r="W169" i="1"/>
  <c r="Y138" i="1"/>
  <c r="AE144" i="1"/>
  <c r="Y70" i="1"/>
  <c r="AE190" i="1"/>
  <c r="W68" i="1"/>
  <c r="W94" i="1"/>
  <c r="Y83" i="1"/>
  <c r="Y197" i="1"/>
  <c r="Y5" i="1"/>
  <c r="Y166" i="1"/>
  <c r="W172" i="1"/>
  <c r="W166" i="1"/>
  <c r="Y187" i="1"/>
  <c r="Y106" i="1"/>
  <c r="Y121" i="1"/>
  <c r="Y141" i="1"/>
  <c r="Y39" i="1"/>
  <c r="Y112" i="1"/>
  <c r="Y74" i="1"/>
  <c r="AE16" i="1"/>
  <c r="Y113" i="1"/>
  <c r="Y193" i="1"/>
  <c r="W168" i="1"/>
  <c r="Y128" i="1"/>
  <c r="Y195" i="1"/>
  <c r="Y54" i="1"/>
  <c r="AE129" i="1"/>
  <c r="Y2" i="1"/>
  <c r="AE18" i="1"/>
  <c r="AE189" i="1"/>
  <c r="Y36" i="1"/>
  <c r="Y118" i="1"/>
  <c r="AE109" i="1"/>
  <c r="Y85" i="1"/>
  <c r="AE49" i="1"/>
  <c r="AE146" i="1"/>
  <c r="Y152" i="1"/>
  <c r="Y147" i="1"/>
  <c r="U51" i="1"/>
  <c r="W51" i="1" s="1"/>
  <c r="Y149" i="1"/>
  <c r="AE37" i="1"/>
  <c r="Y179" i="1"/>
  <c r="W66" i="1"/>
  <c r="Y11" i="1"/>
  <c r="W127" i="1"/>
  <c r="AE94" i="1"/>
  <c r="W43" i="1"/>
  <c r="Y90" i="1"/>
  <c r="W187" i="1"/>
  <c r="W152" i="1"/>
  <c r="W46" i="1"/>
  <c r="Y111" i="1"/>
  <c r="AE31" i="1"/>
  <c r="AE120" i="1"/>
  <c r="Y110" i="1"/>
  <c r="AE44" i="1"/>
  <c r="Y23" i="1"/>
  <c r="W200" i="1"/>
  <c r="W86" i="1"/>
  <c r="W106" i="1"/>
  <c r="W134" i="1"/>
  <c r="Y77" i="1"/>
  <c r="W88" i="1"/>
  <c r="W44" i="1"/>
  <c r="W96" i="1"/>
  <c r="AE139" i="1"/>
  <c r="AE69" i="1"/>
  <c r="AE7" i="1"/>
  <c r="Y30" i="1"/>
  <c r="AE65" i="1"/>
  <c r="AE72" i="1"/>
  <c r="Y73" i="1"/>
  <c r="Y174" i="1"/>
  <c r="Y196" i="1"/>
  <c r="W21" i="1"/>
  <c r="Y180" i="1"/>
  <c r="Y126" i="1"/>
  <c r="AE126" i="1"/>
  <c r="AE95" i="1"/>
  <c r="AE51" i="1"/>
  <c r="AE157" i="1"/>
  <c r="Y191" i="1"/>
  <c r="AE191" i="1"/>
  <c r="B12" i="4"/>
  <c r="B5" i="6" s="1"/>
  <c r="Y15" i="1"/>
  <c r="Y148" i="1"/>
  <c r="Y119" i="1"/>
  <c r="Y102" i="1"/>
  <c r="AE4" i="1"/>
  <c r="W71" i="1"/>
  <c r="AE173" i="1"/>
  <c r="AE91" i="1"/>
  <c r="AE26" i="1"/>
  <c r="W13" i="1"/>
  <c r="AE140" i="1"/>
  <c r="Y55" i="1"/>
  <c r="W84" i="1"/>
  <c r="U26" i="1"/>
  <c r="W26" i="1" s="1"/>
  <c r="AE21" i="1"/>
  <c r="W14" i="1"/>
  <c r="W97" i="1"/>
  <c r="W64" i="1"/>
  <c r="AE171" i="1"/>
  <c r="W135" i="1"/>
  <c r="W57" i="1"/>
  <c r="Y199" i="1"/>
  <c r="AE199" i="1"/>
  <c r="B3" i="4"/>
  <c r="AE88" i="1"/>
  <c r="Y127" i="1"/>
  <c r="AE127" i="1"/>
  <c r="Y135" i="1"/>
  <c r="AE100" i="1"/>
  <c r="W184" i="1"/>
  <c r="Y134" i="1"/>
  <c r="AE163" i="1"/>
  <c r="AE29" i="1"/>
  <c r="AE103" i="1"/>
  <c r="U10" i="1"/>
  <c r="AE52" i="1"/>
  <c r="Y116" i="1"/>
  <c r="W36" i="1"/>
  <c r="W163" i="1"/>
  <c r="Y9" i="1"/>
  <c r="W2" i="1"/>
  <c r="Y93" i="1"/>
  <c r="AE93" i="1"/>
  <c r="Y87" i="1"/>
  <c r="AE87" i="1"/>
  <c r="AE170" i="1"/>
  <c r="W113" i="1"/>
  <c r="Y151" i="1"/>
  <c r="AE151" i="1"/>
  <c r="Y130" i="1"/>
  <c r="W116" i="1"/>
  <c r="AE3" i="1"/>
  <c r="V10" i="1"/>
  <c r="AE10" i="1"/>
  <c r="AE79" i="1"/>
  <c r="Y79" i="1"/>
  <c r="W55" i="1"/>
  <c r="Y169" i="1"/>
  <c r="AE169" i="1"/>
  <c r="V62" i="1"/>
  <c r="U62" i="1"/>
  <c r="Y62" i="1"/>
  <c r="AE60" i="1"/>
  <c r="Y59" i="1"/>
  <c r="W11" i="1"/>
  <c r="Y164" i="1"/>
  <c r="Y28" i="1"/>
  <c r="W24" i="1"/>
  <c r="Y64" i="1"/>
  <c r="AE64" i="1"/>
  <c r="W15" i="1"/>
  <c r="W42" i="1"/>
  <c r="Y97" i="1"/>
  <c r="AE167" i="1"/>
  <c r="Y167" i="1"/>
  <c r="AE137" i="1"/>
  <c r="W45" i="1"/>
  <c r="Y42" i="1"/>
  <c r="AE33" i="1"/>
  <c r="Y82" i="1"/>
  <c r="Y105" i="1"/>
  <c r="Y50" i="1"/>
  <c r="AE50" i="1"/>
  <c r="Y132" i="1"/>
  <c r="AE132" i="1"/>
  <c r="AE75" i="1"/>
  <c r="W120" i="1"/>
  <c r="Y99" i="1"/>
  <c r="AE162" i="1"/>
  <c r="Y12" i="1"/>
  <c r="AE12" i="1"/>
  <c r="Y13" i="1"/>
  <c r="AE13" i="1"/>
  <c r="AE150" i="1"/>
  <c r="Y150" i="1"/>
  <c r="W34" i="1"/>
  <c r="Y168" i="1"/>
  <c r="AE168" i="1"/>
  <c r="W175" i="1"/>
  <c r="Y61" i="1"/>
  <c r="AE61" i="1"/>
  <c r="Y80" i="1"/>
  <c r="AE80" i="1"/>
  <c r="AE178" i="1"/>
  <c r="Y178" i="1"/>
  <c r="Y160" i="1"/>
  <c r="AE160" i="1"/>
  <c r="Y8" i="1"/>
  <c r="AE8" i="1"/>
  <c r="B4" i="4"/>
  <c r="Y183" i="1"/>
  <c r="AE183" i="1"/>
  <c r="AE155" i="1"/>
  <c r="Y155" i="1"/>
  <c r="W107" i="1"/>
  <c r="W128" i="1"/>
  <c r="W173" i="1"/>
  <c r="W199" i="1"/>
  <c r="W125" i="1"/>
  <c r="W174" i="1"/>
  <c r="B5" i="4"/>
  <c r="Y153" i="1"/>
  <c r="AE153" i="1"/>
  <c r="Y101" i="1"/>
  <c r="AE101" i="1"/>
  <c r="AE177" i="1"/>
  <c r="Y177" i="1"/>
  <c r="Y41" i="1"/>
  <c r="AE41" i="1"/>
  <c r="B3" i="5"/>
  <c r="W19" i="1"/>
  <c r="AE156" i="1"/>
  <c r="Y156" i="1"/>
  <c r="B8" i="5"/>
  <c r="B10" i="4"/>
  <c r="AE124" i="1"/>
  <c r="Y124" i="1"/>
  <c r="Y71" i="1"/>
  <c r="AE71" i="1"/>
  <c r="W171" i="1"/>
  <c r="W162" i="1"/>
  <c r="AE194" i="1"/>
  <c r="Y194" i="1"/>
  <c r="Y81" i="1"/>
  <c r="AE81" i="1"/>
  <c r="B11" i="4"/>
  <c r="Y200" i="1"/>
  <c r="AE200" i="1"/>
  <c r="Y201" i="1"/>
  <c r="AE201" i="1"/>
  <c r="U59" i="1"/>
  <c r="V59" i="1"/>
  <c r="W93" i="1"/>
  <c r="W30" i="1"/>
  <c r="W49" i="1"/>
  <c r="AE125" i="1"/>
  <c r="Y125" i="1"/>
  <c r="AE185" i="1"/>
  <c r="Y185" i="1"/>
  <c r="Y192" i="1"/>
  <c r="AE192" i="1"/>
  <c r="W87" i="1"/>
  <c r="AE154" i="1"/>
  <c r="Y154" i="1"/>
  <c r="W167" i="1"/>
  <c r="W35" i="1"/>
  <c r="B14" i="5"/>
  <c r="B18" i="5" s="1"/>
  <c r="W176" i="1"/>
  <c r="AE131" i="1"/>
  <c r="Y131" i="1"/>
  <c r="W79" i="1"/>
  <c r="W161" i="1"/>
  <c r="Y184" i="1"/>
  <c r="AE184" i="1"/>
  <c r="AE27" i="1"/>
  <c r="Y27" i="1"/>
  <c r="Y57" i="1"/>
  <c r="AE57" i="1"/>
  <c r="G113" i="1" l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W10" i="1"/>
  <c r="B7" i="4"/>
  <c r="W62" i="1"/>
  <c r="B20" i="5"/>
  <c r="B19" i="5"/>
  <c r="B7" i="5"/>
  <c r="B10" i="5" s="1"/>
  <c r="B5" i="5"/>
  <c r="B2" i="6"/>
  <c r="B4" i="6" s="1"/>
  <c r="B11" i="5"/>
  <c r="W59" i="1"/>
  <c r="G71" i="1"/>
  <c r="B14" i="4"/>
  <c r="B6" i="4"/>
  <c r="B9" i="4"/>
  <c r="B8" i="4"/>
  <c r="Z201" i="1" s="1"/>
  <c r="Z81" i="1" l="1"/>
  <c r="Z183" i="1"/>
  <c r="Z160" i="1"/>
  <c r="Z168" i="1"/>
  <c r="Z153" i="1"/>
  <c r="Z13" i="1"/>
  <c r="Z57" i="1"/>
  <c r="Z184" i="1"/>
  <c r="Z8" i="1"/>
  <c r="Z125" i="1"/>
  <c r="Z101" i="1"/>
  <c r="Z185" i="1"/>
  <c r="Z156" i="1"/>
  <c r="Z154" i="1"/>
  <c r="Z124" i="1"/>
  <c r="Z61" i="1"/>
  <c r="Z41" i="1"/>
  <c r="Z192" i="1"/>
  <c r="Z194" i="1"/>
  <c r="Z80" i="1"/>
  <c r="Z200" i="1"/>
  <c r="Z177" i="1"/>
  <c r="Z131" i="1"/>
  <c r="AB188" i="1"/>
  <c r="AC188" i="1" s="1"/>
  <c r="AB168" i="1"/>
  <c r="AC168" i="1" s="1"/>
  <c r="AB148" i="1"/>
  <c r="AC148" i="1" s="1"/>
  <c r="AB200" i="1"/>
  <c r="AC200" i="1" s="1"/>
  <c r="AB160" i="1"/>
  <c r="AC160" i="1" s="1"/>
  <c r="AB127" i="1"/>
  <c r="AC127" i="1" s="1"/>
  <c r="AB199" i="1"/>
  <c r="AC199" i="1" s="1"/>
  <c r="AB159" i="1"/>
  <c r="AC159" i="1" s="1"/>
  <c r="AB126" i="1"/>
  <c r="AC126" i="1" s="1"/>
  <c r="AB120" i="1"/>
  <c r="AC120" i="1" s="1"/>
  <c r="AB181" i="1"/>
  <c r="AC181" i="1" s="1"/>
  <c r="AB162" i="1"/>
  <c r="AC162" i="1" s="1"/>
  <c r="AB141" i="1"/>
  <c r="AC141" i="1" s="1"/>
  <c r="AB180" i="1"/>
  <c r="AC180" i="1" s="1"/>
  <c r="AB174" i="1"/>
  <c r="AC174" i="1" s="1"/>
  <c r="AB167" i="1"/>
  <c r="AC167" i="1" s="1"/>
  <c r="AB153" i="1"/>
  <c r="AC153" i="1" s="1"/>
  <c r="AB102" i="1"/>
  <c r="AC102" i="1" s="1"/>
  <c r="AB194" i="1"/>
  <c r="AC194" i="1" s="1"/>
  <c r="AB154" i="1"/>
  <c r="AC154" i="1" s="1"/>
  <c r="AB130" i="1"/>
  <c r="AC130" i="1" s="1"/>
  <c r="AB93" i="1"/>
  <c r="AC93" i="1" s="1"/>
  <c r="AB83" i="1"/>
  <c r="AC83" i="1" s="1"/>
  <c r="AB73" i="1"/>
  <c r="AC73" i="1" s="1"/>
  <c r="AB192" i="1"/>
  <c r="AC192" i="1" s="1"/>
  <c r="AB87" i="1"/>
  <c r="AC87" i="1" s="1"/>
  <c r="AB80" i="1"/>
  <c r="AC80" i="1" s="1"/>
  <c r="AB50" i="1"/>
  <c r="AC50" i="1" s="1"/>
  <c r="AB42" i="1"/>
  <c r="AC42" i="1" s="1"/>
  <c r="AB34" i="1"/>
  <c r="AC34" i="1" s="1"/>
  <c r="AB163" i="1"/>
  <c r="AC163" i="1" s="1"/>
  <c r="AB133" i="1"/>
  <c r="AC133" i="1" s="1"/>
  <c r="AB10" i="1"/>
  <c r="AC10" i="1" s="1"/>
  <c r="AB101" i="1"/>
  <c r="AC101" i="1" s="1"/>
  <c r="AB94" i="1"/>
  <c r="AC94" i="1" s="1"/>
  <c r="AB88" i="1"/>
  <c r="AC88" i="1" s="1"/>
  <c r="AB67" i="1"/>
  <c r="AC67" i="1" s="1"/>
  <c r="AB59" i="1"/>
  <c r="AC59" i="1" s="1"/>
  <c r="AB43" i="1"/>
  <c r="AC43" i="1" s="1"/>
  <c r="AB27" i="1"/>
  <c r="AC27" i="1" s="1"/>
  <c r="AB19" i="1"/>
  <c r="AC19" i="1" s="1"/>
  <c r="AB175" i="1"/>
  <c r="AC175" i="1" s="1"/>
  <c r="AB169" i="1"/>
  <c r="AC169" i="1" s="1"/>
  <c r="AB179" i="1"/>
  <c r="AC179" i="1" s="1"/>
  <c r="AB178" i="1"/>
  <c r="AC178" i="1" s="1"/>
  <c r="AB35" i="1"/>
  <c r="AC35" i="1" s="1"/>
  <c r="AB193" i="1"/>
  <c r="AC193" i="1" s="1"/>
  <c r="AB177" i="1"/>
  <c r="AC177" i="1" s="1"/>
  <c r="AB176" i="1"/>
  <c r="AC176" i="1" s="1"/>
  <c r="AB170" i="1"/>
  <c r="AC170" i="1" s="1"/>
  <c r="AB164" i="1"/>
  <c r="AC164" i="1" s="1"/>
  <c r="AB134" i="1"/>
  <c r="AC134" i="1" s="1"/>
  <c r="AB201" i="1"/>
  <c r="AC201" i="1" s="1"/>
  <c r="AB128" i="1"/>
  <c r="AC128" i="1" s="1"/>
  <c r="AB81" i="1"/>
  <c r="AC81" i="1" s="1"/>
  <c r="AB74" i="1"/>
  <c r="AC74" i="1" s="1"/>
  <c r="AB68" i="1"/>
  <c r="AC68" i="1" s="1"/>
  <c r="AB155" i="1"/>
  <c r="AC155" i="1" s="1"/>
  <c r="AB140" i="1"/>
  <c r="AC140" i="1" s="1"/>
  <c r="AB139" i="1"/>
  <c r="AC139" i="1" s="1"/>
  <c r="AB95" i="1"/>
  <c r="AC95" i="1" s="1"/>
  <c r="AB89" i="1"/>
  <c r="AC89" i="1" s="1"/>
  <c r="AB171" i="1"/>
  <c r="AC171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38" i="1"/>
  <c r="AC138" i="1" s="1"/>
  <c r="AB135" i="1"/>
  <c r="AC135" i="1" s="1"/>
  <c r="AB182" i="1"/>
  <c r="AC182" i="1" s="1"/>
  <c r="AB165" i="1"/>
  <c r="AC165" i="1" s="1"/>
  <c r="AB156" i="1"/>
  <c r="AC156" i="1" s="1"/>
  <c r="AB147" i="1"/>
  <c r="AC147" i="1" s="1"/>
  <c r="AB137" i="1"/>
  <c r="AC137" i="1" s="1"/>
  <c r="AB136" i="1"/>
  <c r="AC136" i="1" s="1"/>
  <c r="AB96" i="1"/>
  <c r="AC96" i="1" s="1"/>
  <c r="AB82" i="1"/>
  <c r="AC82" i="1" s="1"/>
  <c r="AB75" i="1"/>
  <c r="AC75" i="1" s="1"/>
  <c r="AB69" i="1"/>
  <c r="AC69" i="1" s="1"/>
  <c r="AB53" i="1"/>
  <c r="AC53" i="1" s="1"/>
  <c r="AB45" i="1"/>
  <c r="AC45" i="1" s="1"/>
  <c r="AB37" i="1"/>
  <c r="AC37" i="1" s="1"/>
  <c r="AB29" i="1"/>
  <c r="AC29" i="1" s="1"/>
  <c r="AB13" i="1"/>
  <c r="AC13" i="1" s="1"/>
  <c r="AB183" i="1"/>
  <c r="AC183" i="1" s="1"/>
  <c r="AB129" i="1"/>
  <c r="AC129" i="1" s="1"/>
  <c r="AB61" i="1"/>
  <c r="AC61" i="1" s="1"/>
  <c r="AB21" i="1"/>
  <c r="AC21" i="1" s="1"/>
  <c r="AB196" i="1"/>
  <c r="AC196" i="1" s="1"/>
  <c r="AB158" i="1"/>
  <c r="AC158" i="1" s="1"/>
  <c r="AB149" i="1"/>
  <c r="AC149" i="1" s="1"/>
  <c r="AB62" i="1"/>
  <c r="AC62" i="1" s="1"/>
  <c r="AB54" i="1"/>
  <c r="AC54" i="1" s="1"/>
  <c r="AB22" i="1"/>
  <c r="AC22" i="1" s="1"/>
  <c r="AB5" i="1"/>
  <c r="AC5" i="1" s="1"/>
  <c r="AB195" i="1"/>
  <c r="AC195" i="1" s="1"/>
  <c r="AB184" i="1"/>
  <c r="AC184" i="1" s="1"/>
  <c r="AB172" i="1"/>
  <c r="AC172" i="1" s="1"/>
  <c r="AB157" i="1"/>
  <c r="AC157" i="1" s="1"/>
  <c r="AB103" i="1"/>
  <c r="AC103" i="1" s="1"/>
  <c r="AB97" i="1"/>
  <c r="AC97" i="1" s="1"/>
  <c r="AB90" i="1"/>
  <c r="AC90" i="1" s="1"/>
  <c r="AB76" i="1"/>
  <c r="AC76" i="1" s="1"/>
  <c r="AB46" i="1"/>
  <c r="AC46" i="1" s="1"/>
  <c r="AB38" i="1"/>
  <c r="AC38" i="1" s="1"/>
  <c r="AB4" i="1"/>
  <c r="AC4" i="1" s="1"/>
  <c r="AB186" i="1"/>
  <c r="AC186" i="1" s="1"/>
  <c r="AB185" i="1"/>
  <c r="AC185" i="1" s="1"/>
  <c r="AB166" i="1"/>
  <c r="AC166" i="1" s="1"/>
  <c r="AB30" i="1"/>
  <c r="AC30" i="1" s="1"/>
  <c r="AB14" i="1"/>
  <c r="AC14" i="1" s="1"/>
  <c r="AB187" i="1"/>
  <c r="AC187" i="1" s="1"/>
  <c r="AB98" i="1"/>
  <c r="AC98" i="1" s="1"/>
  <c r="AB77" i="1"/>
  <c r="AC77" i="1" s="1"/>
  <c r="AB70" i="1"/>
  <c r="AC70" i="1" s="1"/>
  <c r="AB117" i="1"/>
  <c r="AC117" i="1" s="1"/>
  <c r="AB116" i="1"/>
  <c r="AC116" i="1" s="1"/>
  <c r="AB114" i="1"/>
  <c r="AC114" i="1" s="1"/>
  <c r="AB56" i="1"/>
  <c r="AC56" i="1" s="1"/>
  <c r="AB23" i="1"/>
  <c r="AC23" i="1" s="1"/>
  <c r="AB16" i="1"/>
  <c r="AC16" i="1" s="1"/>
  <c r="AB9" i="1"/>
  <c r="AC9" i="1" s="1"/>
  <c r="AB71" i="1"/>
  <c r="AC71" i="1" s="1"/>
  <c r="AB41" i="1"/>
  <c r="AC41" i="1" s="1"/>
  <c r="AB20" i="1"/>
  <c r="AC20" i="1" s="1"/>
  <c r="AB24" i="1"/>
  <c r="AC24" i="1" s="1"/>
  <c r="AB112" i="1"/>
  <c r="AC112" i="1" s="1"/>
  <c r="AB31" i="1"/>
  <c r="AC31" i="1" s="1"/>
  <c r="AB25" i="1"/>
  <c r="AC25" i="1" s="1"/>
  <c r="AB151" i="1"/>
  <c r="AC151" i="1" s="1"/>
  <c r="AB47" i="1"/>
  <c r="AC47" i="1" s="1"/>
  <c r="AB190" i="1"/>
  <c r="AC190" i="1" s="1"/>
  <c r="Z35" i="1"/>
  <c r="AB32" i="1"/>
  <c r="AC32" i="1" s="1"/>
  <c r="AB12" i="1"/>
  <c r="AC12" i="1" s="1"/>
  <c r="AB191" i="1"/>
  <c r="AC191" i="1" s="1"/>
  <c r="AB152" i="1"/>
  <c r="AC152" i="1" s="1"/>
  <c r="AB115" i="1"/>
  <c r="AC115" i="1" s="1"/>
  <c r="AB44" i="1"/>
  <c r="AC44" i="1" s="1"/>
  <c r="AB33" i="1"/>
  <c r="AC33" i="1" s="1"/>
  <c r="AB118" i="1"/>
  <c r="AC118" i="1" s="1"/>
  <c r="Z117" i="1"/>
  <c r="Z116" i="1"/>
  <c r="AB104" i="1"/>
  <c r="AC104" i="1" s="1"/>
  <c r="AB2" i="1"/>
  <c r="AC2" i="1" s="1"/>
  <c r="AB60" i="1"/>
  <c r="AC60" i="1" s="1"/>
  <c r="AB26" i="1"/>
  <c r="AC26" i="1" s="1"/>
  <c r="AB105" i="1"/>
  <c r="AC105" i="1" s="1"/>
  <c r="AB99" i="1"/>
  <c r="AC99" i="1" s="1"/>
  <c r="AB91" i="1"/>
  <c r="AC91" i="1" s="1"/>
  <c r="AB86" i="1"/>
  <c r="AC86" i="1" s="1"/>
  <c r="Z79" i="1"/>
  <c r="AB119" i="1"/>
  <c r="AC119" i="1" s="1"/>
  <c r="Z104" i="1"/>
  <c r="AB6" i="1"/>
  <c r="AC6" i="1" s="1"/>
  <c r="AB39" i="1"/>
  <c r="AC39" i="1" s="1"/>
  <c r="AB131" i="1"/>
  <c r="AC131" i="1" s="1"/>
  <c r="AB161" i="1"/>
  <c r="AC161" i="1" s="1"/>
  <c r="AB106" i="1"/>
  <c r="AC106" i="1" s="1"/>
  <c r="AB48" i="1"/>
  <c r="AC48" i="1" s="1"/>
  <c r="Z119" i="1"/>
  <c r="AB65" i="1"/>
  <c r="AC65" i="1" s="1"/>
  <c r="AB17" i="1"/>
  <c r="AC17" i="1" s="1"/>
  <c r="Z6" i="1"/>
  <c r="AB63" i="1"/>
  <c r="AC63" i="1" s="1"/>
  <c r="AB123" i="1"/>
  <c r="AC123" i="1" s="1"/>
  <c r="AB122" i="1"/>
  <c r="AC122" i="1" s="1"/>
  <c r="AB121" i="1"/>
  <c r="AC121" i="1" s="1"/>
  <c r="Z120" i="1"/>
  <c r="Z106" i="1"/>
  <c r="AB57" i="1"/>
  <c r="AC57" i="1" s="1"/>
  <c r="AB51" i="1"/>
  <c r="AC51" i="1" s="1"/>
  <c r="Z48" i="1"/>
  <c r="AB36" i="1"/>
  <c r="AC36" i="1" s="1"/>
  <c r="Z85" i="1"/>
  <c r="AB124" i="1"/>
  <c r="AC124" i="1" s="1"/>
  <c r="AB107" i="1"/>
  <c r="AC107" i="1" s="1"/>
  <c r="AB92" i="1"/>
  <c r="AC92" i="1" s="1"/>
  <c r="AB197" i="1"/>
  <c r="AC197" i="1" s="1"/>
  <c r="AB111" i="1"/>
  <c r="AC111" i="1" s="1"/>
  <c r="AB49" i="1"/>
  <c r="AC49" i="1" s="1"/>
  <c r="AB150" i="1"/>
  <c r="AC150" i="1" s="1"/>
  <c r="AB113" i="1"/>
  <c r="AC113" i="1" s="1"/>
  <c r="AB66" i="1"/>
  <c r="AC66" i="1" s="1"/>
  <c r="AB55" i="1"/>
  <c r="AC55" i="1" s="1"/>
  <c r="AB28" i="1"/>
  <c r="AC28" i="1" s="1"/>
  <c r="AB15" i="1"/>
  <c r="AC15" i="1" s="1"/>
  <c r="Z11" i="1"/>
  <c r="AB79" i="1"/>
  <c r="AC79" i="1" s="1"/>
  <c r="Z189" i="1"/>
  <c r="Z126" i="1"/>
  <c r="AB173" i="1"/>
  <c r="AC173" i="1" s="1"/>
  <c r="AB108" i="1"/>
  <c r="AC108" i="1" s="1"/>
  <c r="AB78" i="1"/>
  <c r="AC78" i="1" s="1"/>
  <c r="AB72" i="1"/>
  <c r="AC72" i="1" s="1"/>
  <c r="AB84" i="1"/>
  <c r="AC84" i="1" s="1"/>
  <c r="AB109" i="1"/>
  <c r="AC109" i="1" s="1"/>
  <c r="AB198" i="1"/>
  <c r="AC198" i="1" s="1"/>
  <c r="AB85" i="1"/>
  <c r="AC85" i="1" s="1"/>
  <c r="AB52" i="1"/>
  <c r="AC52" i="1" s="1"/>
  <c r="AB40" i="1"/>
  <c r="AC40" i="1" s="1"/>
  <c r="AB132" i="1"/>
  <c r="AC132" i="1" s="1"/>
  <c r="AB8" i="1"/>
  <c r="AC8" i="1" s="1"/>
  <c r="AB64" i="1"/>
  <c r="AC64" i="1" s="1"/>
  <c r="AB125" i="1"/>
  <c r="AC125" i="1" s="1"/>
  <c r="AB110" i="1"/>
  <c r="AC110" i="1" s="1"/>
  <c r="AB100" i="1"/>
  <c r="AC100" i="1" s="1"/>
  <c r="AB18" i="1"/>
  <c r="AC18" i="1" s="1"/>
  <c r="AB7" i="1"/>
  <c r="AC7" i="1" s="1"/>
  <c r="AB3" i="1"/>
  <c r="AC3" i="1" s="1"/>
  <c r="AB11" i="1"/>
  <c r="AC11" i="1" s="1"/>
  <c r="AB58" i="1"/>
  <c r="AC58" i="1" s="1"/>
  <c r="AB189" i="1"/>
  <c r="AC189" i="1" s="1"/>
  <c r="Z63" i="1"/>
  <c r="Z187" i="1"/>
  <c r="Z191" i="1"/>
  <c r="Z99" i="1"/>
  <c r="Z20" i="1"/>
  <c r="Z12" i="1"/>
  <c r="Z65" i="1"/>
  <c r="Z43" i="1"/>
  <c r="Z89" i="1"/>
  <c r="Z111" i="1"/>
  <c r="Z105" i="1"/>
  <c r="Z110" i="1"/>
  <c r="Z190" i="1"/>
  <c r="Z55" i="1"/>
  <c r="Z78" i="1"/>
  <c r="Z158" i="1"/>
  <c r="Z197" i="1"/>
  <c r="Z107" i="1"/>
  <c r="Z42" i="1"/>
  <c r="Z83" i="1"/>
  <c r="Z186" i="1"/>
  <c r="Z121" i="1"/>
  <c r="Z67" i="1"/>
  <c r="Z59" i="1"/>
  <c r="Z132" i="1"/>
  <c r="Z115" i="1"/>
  <c r="Z198" i="1"/>
  <c r="Z69" i="1"/>
  <c r="Z15" i="1"/>
  <c r="Z56" i="1"/>
  <c r="Z77" i="1"/>
  <c r="Z40" i="1"/>
  <c r="Z90" i="1"/>
  <c r="Z152" i="1"/>
  <c r="Z113" i="1"/>
  <c r="Z159" i="1"/>
  <c r="Z47" i="1"/>
  <c r="Z174" i="1"/>
  <c r="Z118" i="1"/>
  <c r="Z188" i="1"/>
  <c r="Z112" i="1"/>
  <c r="Z62" i="1"/>
  <c r="Z151" i="1"/>
  <c r="Z66" i="1"/>
  <c r="Z169" i="1"/>
  <c r="Z167" i="1"/>
  <c r="Z64" i="1"/>
  <c r="Z72" i="1"/>
  <c r="Z195" i="1"/>
  <c r="Z34" i="1"/>
  <c r="Z199" i="1"/>
  <c r="Z84" i="1"/>
  <c r="Z180" i="1"/>
  <c r="Z128" i="1"/>
  <c r="Z50" i="1"/>
  <c r="Z108" i="1"/>
  <c r="Z127" i="1"/>
  <c r="Z193" i="1"/>
  <c r="Z92" i="1"/>
  <c r="Z22" i="1"/>
  <c r="Z23" i="1"/>
  <c r="Z122" i="1"/>
  <c r="Z87" i="1"/>
  <c r="Z93" i="1"/>
  <c r="Z114" i="1"/>
  <c r="Z37" i="1"/>
  <c r="Z179" i="1"/>
  <c r="Z148" i="1"/>
  <c r="Z3" i="1"/>
  <c r="Z7" i="1"/>
  <c r="Z74" i="1"/>
  <c r="Z147" i="1"/>
  <c r="Z137" i="1"/>
  <c r="Z182" i="1"/>
  <c r="Z9" i="1"/>
  <c r="Z31" i="1"/>
  <c r="Z133" i="1"/>
  <c r="Z28" i="1"/>
  <c r="Z149" i="1"/>
  <c r="Z103" i="1"/>
  <c r="Z36" i="1"/>
  <c r="Z5" i="1"/>
  <c r="Z173" i="1"/>
  <c r="Z51" i="1"/>
  <c r="Z19" i="1"/>
  <c r="Z60" i="1"/>
  <c r="Z10" i="1"/>
  <c r="Z4" i="1"/>
  <c r="Z30" i="1"/>
  <c r="Z100" i="1"/>
  <c r="Z129" i="1"/>
  <c r="Z95" i="1"/>
  <c r="Z135" i="1"/>
  <c r="Z145" i="1"/>
  <c r="Z38" i="1"/>
  <c r="Z176" i="1"/>
  <c r="Z172" i="1"/>
  <c r="Z98" i="1"/>
  <c r="Z196" i="1"/>
  <c r="Z54" i="1"/>
  <c r="Z75" i="1"/>
  <c r="Z166" i="1"/>
  <c r="Z18" i="1"/>
  <c r="Z53" i="1"/>
  <c r="Z32" i="1"/>
  <c r="Z142" i="1"/>
  <c r="Z33" i="1"/>
  <c r="Z2" i="1"/>
  <c r="Z140" i="1"/>
  <c r="Z181" i="1"/>
  <c r="Z171" i="1"/>
  <c r="Z96" i="1"/>
  <c r="Z88" i="1"/>
  <c r="Z134" i="1"/>
  <c r="Z94" i="1"/>
  <c r="Z164" i="1"/>
  <c r="Z138" i="1"/>
  <c r="Z157" i="1"/>
  <c r="Z141" i="1"/>
  <c r="Z82" i="1"/>
  <c r="Z39" i="1"/>
  <c r="Z97" i="1"/>
  <c r="Z17" i="1"/>
  <c r="Z91" i="1"/>
  <c r="Z86" i="1"/>
  <c r="Z146" i="1"/>
  <c r="Z46" i="1"/>
  <c r="Z143" i="1"/>
  <c r="Z165" i="1"/>
  <c r="Z73" i="1"/>
  <c r="Z24" i="1"/>
  <c r="Z45" i="1"/>
  <c r="Z16" i="1"/>
  <c r="Z29" i="1"/>
  <c r="Z130" i="1"/>
  <c r="Z26" i="1"/>
  <c r="Z139" i="1"/>
  <c r="Z44" i="1"/>
  <c r="Z102" i="1"/>
  <c r="Z76" i="1"/>
  <c r="Z170" i="1"/>
  <c r="Z49" i="1"/>
  <c r="Z109" i="1"/>
  <c r="Z161" i="1"/>
  <c r="Z21" i="1"/>
  <c r="Z123" i="1"/>
  <c r="Z25" i="1"/>
  <c r="Z175" i="1"/>
  <c r="Z163" i="1"/>
  <c r="Z14" i="1"/>
  <c r="Z136" i="1"/>
  <c r="Z70" i="1"/>
  <c r="Z162" i="1"/>
  <c r="Z68" i="1"/>
  <c r="Z144" i="1"/>
  <c r="Z58" i="1"/>
  <c r="Z52" i="1"/>
  <c r="Z178" i="1"/>
  <c r="Z155" i="1"/>
  <c r="Z71" i="1"/>
  <c r="Z150" i="1"/>
  <c r="B13" i="4"/>
  <c r="B6" i="6" s="1"/>
  <c r="B7" i="6" s="1"/>
  <c r="Z27" i="1"/>
  <c r="B21" i="5"/>
  <c r="B22" i="5" s="1"/>
  <c r="B23" i="5" s="1"/>
  <c r="AR114" i="1" l="1"/>
  <c r="G115" i="1"/>
  <c r="AR113" i="1"/>
  <c r="G114" i="1"/>
  <c r="AR57" i="1"/>
  <c r="AR52" i="1"/>
  <c r="AR43" i="1"/>
  <c r="AR64" i="1"/>
  <c r="AR50" i="1"/>
  <c r="AR23" i="1"/>
  <c r="AR77" i="1"/>
  <c r="AR72" i="1"/>
  <c r="AR9" i="1"/>
  <c r="AR15" i="1"/>
  <c r="AR45" i="1"/>
  <c r="AR26" i="1"/>
  <c r="AR78" i="1"/>
  <c r="AR24" i="1"/>
  <c r="AR80" i="1"/>
  <c r="AR76" i="1"/>
  <c r="AR30" i="1"/>
  <c r="AR79" i="1"/>
  <c r="AR7" i="1"/>
  <c r="AR93" i="1"/>
  <c r="AR18" i="1"/>
  <c r="AR96" i="1"/>
  <c r="AR63" i="1"/>
  <c r="AR97" i="1"/>
  <c r="AR48" i="1"/>
  <c r="AR88" i="1"/>
  <c r="AR54" i="1"/>
  <c r="AR100" i="1"/>
  <c r="AR40" i="1"/>
  <c r="AR101" i="1"/>
  <c r="AR68" i="1"/>
  <c r="AR32" i="1"/>
  <c r="AR44" i="1"/>
  <c r="AR36" i="1"/>
  <c r="AR98" i="1"/>
  <c r="AR16" i="1"/>
  <c r="AR55" i="1"/>
  <c r="AR28" i="1"/>
  <c r="AR46" i="1"/>
  <c r="AR99" i="1"/>
  <c r="AR71" i="1"/>
  <c r="AR17" i="1"/>
  <c r="AR19" i="1"/>
  <c r="AR81" i="1"/>
  <c r="AR102" i="1"/>
  <c r="AR3" i="1"/>
  <c r="AR38" i="1"/>
  <c r="AR12" i="1"/>
  <c r="AR20" i="1"/>
  <c r="AR82" i="1"/>
  <c r="AR85" i="1"/>
  <c r="AR41" i="1"/>
  <c r="AR59" i="1"/>
  <c r="AR49" i="1"/>
  <c r="AR35" i="1"/>
  <c r="AR83" i="1"/>
  <c r="AR103" i="1"/>
  <c r="AR67" i="1"/>
  <c r="AR22" i="1"/>
  <c r="AR8" i="1"/>
  <c r="AR10" i="1"/>
  <c r="AR84" i="1"/>
  <c r="AR104" i="1"/>
  <c r="AR107" i="1"/>
  <c r="AR61" i="1"/>
  <c r="AR87" i="1"/>
  <c r="AR42" i="1"/>
  <c r="AR73" i="1"/>
  <c r="AR108" i="1"/>
  <c r="AR5" i="1"/>
  <c r="AR62" i="1"/>
  <c r="AR74" i="1"/>
  <c r="AR21" i="1"/>
  <c r="AR39" i="1"/>
  <c r="AR66" i="1"/>
  <c r="AR29" i="1"/>
  <c r="AR90" i="1"/>
  <c r="AR106" i="1"/>
  <c r="AR33" i="1"/>
  <c r="AR65" i="1"/>
  <c r="AR86" i="1"/>
  <c r="AR13" i="1"/>
  <c r="AR34" i="1"/>
  <c r="AR89" i="1"/>
  <c r="AR25" i="1"/>
  <c r="AR4" i="1"/>
  <c r="AR14" i="1"/>
  <c r="AR75" i="1"/>
  <c r="AR92" i="1"/>
  <c r="AR110" i="1"/>
  <c r="AR6" i="1"/>
  <c r="AR31" i="1"/>
  <c r="AR70" i="1"/>
  <c r="AR11" i="1"/>
  <c r="AR37" i="1"/>
  <c r="AR94" i="1"/>
  <c r="AR111" i="1"/>
  <c r="AR53" i="1"/>
  <c r="AR56" i="1"/>
  <c r="AR105" i="1"/>
  <c r="AR51" i="1"/>
  <c r="AR58" i="1"/>
  <c r="AR2" i="1"/>
  <c r="AR91" i="1"/>
  <c r="AR109" i="1"/>
  <c r="AR27" i="1"/>
  <c r="AR60" i="1"/>
  <c r="AR47" i="1"/>
  <c r="AR69" i="1"/>
  <c r="AR95" i="1"/>
  <c r="AR1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<sst xmlns="http://schemas.openxmlformats.org/spreadsheetml/2006/main" count="352" uniqueCount="213">
  <si>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</si>
  <si>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</si>
  <si>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</si>
  <si>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</si>
  <si>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</si>
  <si>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</si>
  <si>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</si>
  <si>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</si>
  <si>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</si>
  <si>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</si>
  <si>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</si>
  <si>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</si>
  <si>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</si>
  <si>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</si>
  <si>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</si>
  <si>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</si>
  <si>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</si>
  <si>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</si>
  <si>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</si>
  <si>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</si>
  <si>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</si>
  <si>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</si>
  <si>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</si>
  <si>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</si>
  <si>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</si>
  <si>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</si>
  <si>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</si>
  <si>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</si>
  <si>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</si>
  <si>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</si>
  <si>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</si>
  <si>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</si>
  <si>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</si>
  <si>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</si>
  <si>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</si>
  <si>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</si>
  <si>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</si>
  <si>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</si>
  <si>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</si>
  <si>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</si>
  <si>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</si>
  <si>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</si>
  <si>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</si>
  <si>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</si>
  <si>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海天味业</t>
  </si>
  <si>
    <t>通富微电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</si>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</sst>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497">
  <autoFilter ref="A1:AC49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IF(B2="","",IFERROR(LOOKUP(2,1/(单次交易!$A$2:$A$201=B2),单次交易!$B$2:$B$201),""))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IF(B2="","",IFERROR(LOOKUP(2,1/(单次交易!$A$2:$A$201=B2),单次交易!$N$2:$N$201),""))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IF(X2&lt;&gt;"执行卖出","",IFERROR(LOOKUP(2,1/(单次交易!$A$2:$A$201=B2),单次交易!$AP$2:$AP$201),""))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106" zoomScale="115" zoomScaleNormal="115" workbookViewId="0">
      <pane xSplit="2" topLeftCell="C1" activePane="topRight" state="frozen"/>
      <selection pane="topRight" activeCell="D115" sqref="D115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spans="1:44" x14ac:dyDescent="0.15">
      <c r="A2" s="2">
        <v>1</v>
      </c>
      <c r="B2" s="2" t="s">
        <v>44</v>
      </c>
      <c r="C2" s="10">
        <v>100000</v>
      </c>
      <c r="D2" s="6">
        <v>0.02</v>
      </c>
      <c r="E2" s="10">
        <v>5.55</v>
      </c>
      <c r="F2" s="8">
        <f t="shared" ref="F2:F33" si="0">IF(OR(C2="",D2="",E2="",N2="",C2&lt;=0,D2&lt;=0,E2&lt;=N2),"",ROUNDDOWN((C2*D2)/(E2-N2)/100,0)*100)</f>
        <v>3600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3600</v>
      </c>
      <c r="I2" s="15">
        <v>42041</v>
      </c>
      <c r="J2" s="10">
        <v>6</v>
      </c>
      <c r="K2" s="10">
        <v>5.94</v>
      </c>
      <c r="L2" s="8">
        <f t="shared" ref="L2:L33" si="1">IF(K2="","",H2)</f>
        <v>3600</v>
      </c>
      <c r="M2" s="15">
        <v>42060</v>
      </c>
      <c r="N2" s="10">
        <v>5</v>
      </c>
      <c r="O2" s="10"/>
      <c r="P2" s="10"/>
      <c r="Q2" s="2"/>
      <c r="R2" s="2"/>
      <c r="S2" s="2"/>
      <c r="T2" s="2"/>
      <c r="U2" s="7">
        <f t="shared" ref="U2:U33" si="2">IF(OR(AO2="",J2="",AO2&lt;=0),"",(J2-AO2)/AO2)</f>
        <v>8.1081081081081113E-2</v>
      </c>
      <c r="V2" s="7">
        <f t="shared" ref="V2:V33" si="3">IF(OR(AO2="",N2="",AO2&lt;=0),"",(AO2-N2)/AO2)</f>
        <v>9.9099099099099072E-2</v>
      </c>
      <c r="W2" s="21">
        <f t="shared" ref="W2:W33" si="4">IF(OR(U2="",V2="",V2&lt;=0),"",U2/V2)</f>
        <v>0.81818181818181868</v>
      </c>
      <c r="X2" s="5">
        <f t="shared" ref="X2:X33" si="5">IF(OR(K2="",L2="",AP2=""),"",K2*L2-(E2*H2+IF(AND(AK2&lt;&gt;"",AL2&lt;&gt;""),AK2*AL2,0)+IF(AND(AM2&lt;&gt;"",AN2&lt;&gt;""),AM2*AN2,0))-IF(O2="",0,O2)-IF(P2="",0,P2))</f>
        <v>1404</v>
      </c>
      <c r="Y2" s="7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7.0270270270270274E-2</v>
      </c>
      <c r="Z2" s="7">
        <f>IF(OR(AE2="",多次统计数据!$B$8=""),"",AE2-多次统计数据!$B$8)</f>
        <v>-2.1482433341814804E-2</v>
      </c>
      <c r="AA2" s="11">
        <f t="shared" ref="AA2:AA33" si="7">IF(OR(I2="",M2="",M2&lt;I2),"",M2-I2)</f>
        <v>19</v>
      </c>
      <c r="AB2" s="7">
        <f>IF(OR(A2="",多次统计数据!$B$8="",多次统计数据!$B$6&lt;=0,多次统计数据!$B$6&gt;=1),"",1-POWER(1+多次统计数据!$B$8,-多次统计数据!$B$6/(1-多次统计数据!$B$6)))</f>
        <v>3.371231520420892E-2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33" si="8">IF(OR(X2="",C2="",C2&lt;=0),"",X2/C2)</f>
        <v>1.404E-2</v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 t="shared" ref="AO2:AO33" si="10">IF(OR(A2="",H2="",H2&lt;=0),"",(E2*H2+IF(AND(AK2&lt;&gt;"",AL2&lt;&gt;""),AK2*AL2,0)+IF(AND(AM2&lt;&gt;"",AN2&lt;&gt;""),AM2*AN2,0))/AP2)</f>
        <v>5.55</v>
      </c>
      <c r="AP2" s="11">
        <f t="shared" ref="AP2:AP33" si="11">IF(OR(A2="",H2="",H2&lt;=0),"",H2+IF(AL2="",0,AL2)+IF(AN2="",0,AN2))</f>
        <v>3600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>通过</v>
      </c>
    </row>
    <row r="3" spans="1:44" x14ac:dyDescent="0.15">
      <c r="A3" s="2">
        <v>2</v>
      </c>
      <c r="B3" s="2" t="s">
        <v>44</v>
      </c>
      <c r="C3" s="10">
        <v>101404</v>
      </c>
      <c r="D3" s="6">
        <v>0.02</v>
      </c>
      <c r="E3" s="10">
        <v>5.98</v>
      </c>
      <c r="F3" s="8">
        <f t="shared" si="0"/>
        <v>4200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4200</v>
      </c>
      <c r="I3" s="15">
        <v>42073</v>
      </c>
      <c r="J3" s="10">
        <v>7</v>
      </c>
      <c r="K3" s="10">
        <v>6.8</v>
      </c>
      <c r="L3" s="8">
        <f t="shared" si="1"/>
        <v>4200</v>
      </c>
      <c r="M3" s="15">
        <v>42087</v>
      </c>
      <c r="N3" s="10">
        <v>5.5</v>
      </c>
      <c r="O3" s="10"/>
      <c r="P3" s="10"/>
      <c r="Q3" s="2"/>
      <c r="R3" s="2"/>
      <c r="S3" s="2"/>
      <c r="T3" s="2"/>
      <c r="U3" s="7">
        <f t="shared" si="2"/>
        <v>0.17056856187290961</v>
      </c>
      <c r="V3" s="7">
        <f t="shared" si="3"/>
        <v>8.0267558528428165E-2</v>
      </c>
      <c r="W3" s="21">
        <f t="shared" si="4"/>
        <v>2.1249999999999969</v>
      </c>
      <c r="X3" s="5">
        <f t="shared" si="5"/>
        <v>3444</v>
      </c>
      <c r="Y3" s="7">
        <f t="shared" si="6"/>
        <v>0.13712374581939799</v>
      </c>
      <c r="Z3" s="7">
        <f>IF(OR(AE3="",多次统计数据!$B$8=""),"",AE3-多次统计数据!$B$8)</f>
        <v>-1.5592760699123173E-3</v>
      </c>
      <c r="AA3" s="11">
        <f t="shared" si="7"/>
        <v>14</v>
      </c>
      <c r="AB3" s="7">
        <f>IF(OR(A3="",多次统计数据!$B$8="",多次统计数据!$B$6&lt;=0,多次统计数据!$B$6&gt;=1),"",1-POWER(1+多次统计数据!$B$8,-多次统计数据!$B$6/(1-多次统计数据!$B$6)))</f>
        <v>3.371231520420892E-2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3.3963157271902487E-2</v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>
        <f t="shared" si="10"/>
        <v>5.98</v>
      </c>
      <c r="AP3" s="11">
        <f t="shared" si="11"/>
        <v>4200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>通过</v>
      </c>
    </row>
    <row r="4" spans="1:44" x14ac:dyDescent="0.15">
      <c r="A4" s="2">
        <v>3</v>
      </c>
      <c r="B4" s="2" t="s">
        <v>44</v>
      </c>
      <c r="C4" s="10">
        <v>104848</v>
      </c>
      <c r="D4" s="6">
        <v>0.02</v>
      </c>
      <c r="E4" s="10">
        <v>7.53</v>
      </c>
      <c r="F4" s="8">
        <f t="shared" si="0"/>
        <v>3900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3900</v>
      </c>
      <c r="I4" s="15">
        <v>42125</v>
      </c>
      <c r="J4" s="10">
        <v>8.5</v>
      </c>
      <c r="K4" s="10">
        <v>9.3000000000000007</v>
      </c>
      <c r="L4" s="8">
        <f t="shared" si="1"/>
        <v>3900</v>
      </c>
      <c r="M4" s="15">
        <v>42102</v>
      </c>
      <c r="N4" s="10">
        <v>7</v>
      </c>
      <c r="O4" s="10"/>
      <c r="P4" s="10"/>
      <c r="Q4" s="2"/>
      <c r="R4" s="2"/>
      <c r="S4" s="2"/>
      <c r="T4" s="2"/>
      <c r="U4" s="7">
        <f t="shared" si="2"/>
        <v>0.12881806108897739</v>
      </c>
      <c r="V4" s="7">
        <f t="shared" si="3"/>
        <v>7.0385126162018627E-2</v>
      </c>
      <c r="W4" s="21">
        <f t="shared" si="4"/>
        <v>1.8301886792452817</v>
      </c>
      <c r="X4" s="5">
        <f t="shared" si="5"/>
        <v>6903</v>
      </c>
      <c r="Y4" s="7">
        <f t="shared" si="6"/>
        <v>0.23505976095617531</v>
      </c>
      <c r="Z4" s="7">
        <f>IF(OR(AE4="",多次统计数据!$B$8=""),"",AE4-多次统计数据!$B$8)</f>
        <v>3.0315732383807054E-2</v>
      </c>
      <c r="AA4" s="11" t="str">
        <f t="shared" si="7"/>
        <v/>
      </c>
      <c r="AB4" s="7">
        <f>IF(OR(A4="",多次统计数据!$B$8="",多次统计数据!$B$6&lt;=0,多次统计数据!$B$6&gt;=1),"",1-POWER(1+多次统计数据!$B$8,-多次统计数据!$B$6/(1-多次统计数据!$B$6)))</f>
        <v>3.371231520420892E-2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6.5838165725621858E-2</v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>
        <f t="shared" si="10"/>
        <v>7.53</v>
      </c>
      <c r="AP4" s="11">
        <f t="shared" si="11"/>
        <v>3900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>通过</v>
      </c>
    </row>
    <row r="5" spans="1:44" x14ac:dyDescent="0.15">
      <c r="A5" s="2">
        <v>4</v>
      </c>
      <c r="B5" s="2" t="s">
        <v>44</v>
      </c>
      <c r="C5" s="10">
        <v>111751</v>
      </c>
      <c r="D5" s="6">
        <v>0.02</v>
      </c>
      <c r="E5" s="10">
        <v>9.8699999999999992</v>
      </c>
      <c r="F5" s="8">
        <f t="shared" si="0"/>
        <v>2500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2500</v>
      </c>
      <c r="I5" s="15">
        <v>42110</v>
      </c>
      <c r="J5" s="10">
        <v>9.0500000000000007</v>
      </c>
      <c r="K5" s="10">
        <v>9.0500000000000007</v>
      </c>
      <c r="L5" s="8">
        <f t="shared" si="1"/>
        <v>2500</v>
      </c>
      <c r="M5" s="15">
        <v>42141</v>
      </c>
      <c r="N5" s="10">
        <v>9</v>
      </c>
      <c r="O5" s="10"/>
      <c r="P5" s="10"/>
      <c r="Q5" s="2"/>
      <c r="R5" s="2"/>
      <c r="S5" s="2"/>
      <c r="T5" s="2"/>
      <c r="U5" s="7">
        <f t="shared" si="2"/>
        <v>-8.3080040526848892E-2</v>
      </c>
      <c r="V5" s="7">
        <f t="shared" si="3"/>
        <v>8.8145896656534883E-2</v>
      </c>
      <c r="W5" s="21">
        <f t="shared" si="4"/>
        <v>-0.94252873563218298</v>
      </c>
      <c r="X5" s="5">
        <f t="shared" si="5"/>
        <v>-2049.9999999999964</v>
      </c>
      <c r="Y5" s="7">
        <f t="shared" si="6"/>
        <v>-8.3080040526848906E-2</v>
      </c>
      <c r="Z5" s="7">
        <f>IF(OR(AE5="",多次统计数据!$B$8=""),"",AE5-多次统计数据!$B$8)</f>
        <v>-5.3866788202173964E-2</v>
      </c>
      <c r="AA5" s="11">
        <f t="shared" si="7"/>
        <v>31</v>
      </c>
      <c r="AB5" s="7">
        <f>IF(OR(A5="",多次统计数据!$B$8="",多次统计数据!$B$6&lt;=0,多次统计数据!$B$6&gt;=1),"",1-POWER(1+多次统计数据!$B$8,-多次统计数据!$B$6/(1-多次统计数据!$B$6)))</f>
        <v>3.371231520420892E-2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-1.8344354860359159E-2</v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>
        <f t="shared" si="10"/>
        <v>9.8699999999999992</v>
      </c>
      <c r="AP5" s="11">
        <f t="shared" si="11"/>
        <v>2500</v>
      </c>
      <c r="AQ5" s="5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>通过</v>
      </c>
    </row>
    <row r="6" spans="1:44" x14ac:dyDescent="0.15">
      <c r="A6" s="2">
        <v>5</v>
      </c>
      <c r="B6" s="2" t="s">
        <v>44</v>
      </c>
      <c r="C6" s="10">
        <v>109701</v>
      </c>
      <c r="D6" s="6">
        <v>0.02</v>
      </c>
      <c r="E6" s="10">
        <v>9.3000000000000007</v>
      </c>
      <c r="F6" s="8">
        <f t="shared" si="0"/>
        <v>2700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2700</v>
      </c>
      <c r="I6" s="15">
        <v>42114</v>
      </c>
      <c r="J6" s="10">
        <v>10</v>
      </c>
      <c r="K6" s="10">
        <v>10.14</v>
      </c>
      <c r="L6" s="8">
        <f t="shared" si="1"/>
        <v>2700</v>
      </c>
      <c r="M6" s="15">
        <v>42116</v>
      </c>
      <c r="N6" s="10">
        <v>8.5</v>
      </c>
      <c r="O6" s="10"/>
      <c r="P6" s="10"/>
      <c r="Q6" s="2"/>
      <c r="R6" s="2"/>
      <c r="S6" s="2"/>
      <c r="T6" s="2"/>
      <c r="U6" s="7">
        <f t="shared" si="2"/>
        <v>7.5268817204300995E-2</v>
      </c>
      <c r="V6" s="7">
        <f t="shared" si="3"/>
        <v>8.6021505376344162E-2</v>
      </c>
      <c r="W6" s="21">
        <f t="shared" si="4"/>
        <v>0.87499999999999833</v>
      </c>
      <c r="X6" s="5">
        <f t="shared" si="5"/>
        <v>2267.9999999999964</v>
      </c>
      <c r="Y6" s="7">
        <f t="shared" si="6"/>
        <v>9.0322580645161132E-2</v>
      </c>
      <c r="Z6" s="7">
        <f>IF(OR(AE6="",多次统计数据!$B$8=""),"",AE6-多次统计数据!$B$8)</f>
        <v>-1.484805480378875E-2</v>
      </c>
      <c r="AA6" s="11">
        <f t="shared" si="7"/>
        <v>2</v>
      </c>
      <c r="AB6" s="7">
        <f>IF(OR(A6="",多次统计数据!$B$8="",多次统计数据!$B$6&lt;=0,多次统计数据!$B$6&gt;=1),"",1-POWER(1+多次统计数据!$B$8,-多次统计数据!$B$6/(1-多次统计数据!$B$6)))</f>
        <v>3.371231520420892E-2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2.0674378538026054E-2</v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>
        <f t="shared" si="10"/>
        <v>9.3000000000000007</v>
      </c>
      <c r="AP6" s="11">
        <f t="shared" si="11"/>
        <v>2700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>通过</v>
      </c>
    </row>
    <row r="7" spans="1:44" x14ac:dyDescent="0.15">
      <c r="A7" s="2">
        <v>6</v>
      </c>
      <c r="B7" s="2" t="s">
        <v>44</v>
      </c>
      <c r="C7" s="10">
        <v>111969</v>
      </c>
      <c r="D7" s="6">
        <v>0.02</v>
      </c>
      <c r="E7" s="10">
        <v>9.82</v>
      </c>
      <c r="F7" s="8">
        <f t="shared" si="0"/>
        <v>2700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2700</v>
      </c>
      <c r="I7" s="15">
        <v>42122</v>
      </c>
      <c r="J7" s="10">
        <v>10.5</v>
      </c>
      <c r="K7" s="10">
        <v>8.91</v>
      </c>
      <c r="L7" s="8">
        <f t="shared" si="1"/>
        <v>2700</v>
      </c>
      <c r="M7" s="15">
        <v>42129</v>
      </c>
      <c r="N7" s="10">
        <v>9</v>
      </c>
      <c r="O7" s="10"/>
      <c r="P7" s="10"/>
      <c r="Q7" s="2"/>
      <c r="R7" s="2"/>
      <c r="S7" s="2"/>
      <c r="T7" s="2"/>
      <c r="U7" s="7">
        <f t="shared" si="2"/>
        <v>6.9246435845213825E-2</v>
      </c>
      <c r="V7" s="7">
        <f t="shared" si="3"/>
        <v>8.3503054989816722E-2</v>
      </c>
      <c r="W7" s="21">
        <f t="shared" si="4"/>
        <v>0.82926829268292634</v>
      </c>
      <c r="X7" s="5">
        <f t="shared" si="5"/>
        <v>-2457</v>
      </c>
      <c r="Y7" s="7">
        <f t="shared" si="6"/>
        <v>-9.2668024439918534E-2</v>
      </c>
      <c r="Z7" s="7">
        <f>IF(OR(AE7="",多次统计数据!$B$8=""),"",AE7-多次统计数据!$B$8)</f>
        <v>-5.7466007009526407E-2</v>
      </c>
      <c r="AA7" s="11">
        <f t="shared" si="7"/>
        <v>7</v>
      </c>
      <c r="AB7" s="7">
        <f>IF(OR(A7="",多次统计数据!$B$8="",多次统计数据!$B$6&lt;=0,多次统计数据!$B$6&gt;=1),"",1-POWER(1+多次统计数据!$B$8,-多次统计数据!$B$6/(1-多次统计数据!$B$6)))</f>
        <v>3.371231520420892E-2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-2.1943573667711599E-2</v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>
        <f t="shared" si="10"/>
        <v>9.82</v>
      </c>
      <c r="AP7" s="11">
        <f t="shared" si="11"/>
        <v>2700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>通过</v>
      </c>
    </row>
    <row r="8" spans="1:44" x14ac:dyDescent="0.15">
      <c r="A8" s="2">
        <v>7</v>
      </c>
      <c r="B8" s="2" t="s">
        <v>44</v>
      </c>
      <c r="C8" s="10">
        <v>109512</v>
      </c>
      <c r="D8" s="6">
        <v>0.02</v>
      </c>
      <c r="E8" s="10">
        <v>9.68</v>
      </c>
      <c r="F8" s="8">
        <f t="shared" si="0"/>
        <v>3200</v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3200</v>
      </c>
      <c r="I8" s="15">
        <v>42135</v>
      </c>
      <c r="J8" s="10">
        <v>10.5</v>
      </c>
      <c r="K8" s="10">
        <v>11.29</v>
      </c>
      <c r="L8" s="8">
        <f t="shared" si="1"/>
        <v>3200</v>
      </c>
      <c r="M8" s="15">
        <v>42152</v>
      </c>
      <c r="N8" s="10">
        <v>9</v>
      </c>
      <c r="O8" s="10"/>
      <c r="P8" s="10"/>
      <c r="Q8" s="2"/>
      <c r="R8" s="2"/>
      <c r="S8" s="2"/>
      <c r="T8" s="2"/>
      <c r="U8" s="7">
        <f t="shared" si="2"/>
        <v>8.471074380165293E-2</v>
      </c>
      <c r="V8" s="7">
        <f t="shared" si="3"/>
        <v>7.0247933884297495E-2</v>
      </c>
      <c r="W8" s="21">
        <f t="shared" si="4"/>
        <v>1.2058823529411775</v>
      </c>
      <c r="X8" s="5">
        <f t="shared" si="5"/>
        <v>5152</v>
      </c>
      <c r="Y8" s="7">
        <f t="shared" si="6"/>
        <v>0.16632231404958678</v>
      </c>
      <c r="Z8" s="7">
        <f>IF(OR(AE8="",多次统计数据!$B$8=""),"",AE8-多次统计数据!$B$8)</f>
        <v>1.152263934428352E-2</v>
      </c>
      <c r="AA8" s="11">
        <f t="shared" si="7"/>
        <v>17</v>
      </c>
      <c r="AB8" s="7">
        <f>IF(OR(A8="",多次统计数据!$B$8="",多次统计数据!$B$6&lt;=0,多次统计数据!$B$6&gt;=1),"",1-POWER(1+多次统计数据!$B$8,-多次统计数据!$B$6/(1-多次统计数据!$B$6)))</f>
        <v>3.371231520420892E-2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 t="shared" si="8"/>
        <v>4.7045072686098324E-2</v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>
        <f t="shared" si="10"/>
        <v>9.68</v>
      </c>
      <c r="AP8" s="11">
        <f t="shared" si="11"/>
        <v>3200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>通过</v>
      </c>
    </row>
    <row r="9" spans="1:44" x14ac:dyDescent="0.15">
      <c r="A9" s="2">
        <v>8</v>
      </c>
      <c r="B9" s="2" t="s">
        <v>44</v>
      </c>
      <c r="C9" s="10">
        <v>114664</v>
      </c>
      <c r="D9" s="6">
        <v>0.02</v>
      </c>
      <c r="E9" s="10">
        <v>9.4600000000000009</v>
      </c>
      <c r="F9" s="8">
        <f t="shared" si="0"/>
        <v>1500</v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1500</v>
      </c>
      <c r="I9" s="15">
        <v>42178</v>
      </c>
      <c r="J9" s="10">
        <v>10.5</v>
      </c>
      <c r="K9" s="10">
        <v>7.61</v>
      </c>
      <c r="L9" s="8">
        <f t="shared" si="1"/>
        <v>1500</v>
      </c>
      <c r="M9" s="15">
        <v>42181</v>
      </c>
      <c r="N9" s="10">
        <v>8</v>
      </c>
      <c r="O9" s="10"/>
      <c r="P9" s="10"/>
      <c r="Q9" s="2"/>
      <c r="R9" s="2"/>
      <c r="S9" s="2"/>
      <c r="T9" s="2"/>
      <c r="U9" s="7">
        <f t="shared" si="2"/>
        <v>0.10993657505285402</v>
      </c>
      <c r="V9" s="7">
        <f t="shared" si="3"/>
        <v>0.15433403805496837</v>
      </c>
      <c r="W9" s="21">
        <f t="shared" si="4"/>
        <v>0.71232876712328663</v>
      </c>
      <c r="X9" s="5">
        <f t="shared" si="5"/>
        <v>-2775.0000000000018</v>
      </c>
      <c r="Y9" s="7">
        <f t="shared" si="6"/>
        <v>-0.19556025369978869</v>
      </c>
      <c r="Z9" s="7">
        <f>IF(OR(AE9="",多次统计数据!$B$8=""),"",AE9-多次统计数据!$B$8)</f>
        <v>-5.9723577554470927E-2</v>
      </c>
      <c r="AA9" s="11">
        <f t="shared" si="7"/>
        <v>3</v>
      </c>
      <c r="AB9" s="7">
        <f>IF(OR(A9="",多次统计数据!$B$8="",多次统计数据!$B$6&lt;=0,多次统计数据!$B$6&gt;=1),"",1-POWER(1+多次统计数据!$B$8,-多次统计数据!$B$6/(1-多次统计数据!$B$6)))</f>
        <v>3.371231520420892E-2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 t="shared" si="8"/>
        <v>-2.4201144212656123E-2</v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>
        <f t="shared" si="10"/>
        <v>9.4600000000000009</v>
      </c>
      <c r="AP9" s="11">
        <f t="shared" si="11"/>
        <v>1500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>通过</v>
      </c>
    </row>
    <row r="10" spans="1:44" ht="27" customHeight="1" x14ac:dyDescent="0.15">
      <c r="A10" s="2">
        <v>9</v>
      </c>
      <c r="B10" s="2" t="s">
        <v>44</v>
      </c>
      <c r="C10" s="10">
        <v>111889</v>
      </c>
      <c r="D10" s="6">
        <v>0.02</v>
      </c>
      <c r="E10" s="10">
        <v>7.56</v>
      </c>
      <c r="F10" s="8">
        <f t="shared" si="0"/>
        <v>2100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2100</v>
      </c>
      <c r="I10" s="15">
        <v>42184</v>
      </c>
      <c r="J10" s="10">
        <v>9</v>
      </c>
      <c r="K10" s="10">
        <v>7.73</v>
      </c>
      <c r="L10" s="8">
        <f t="shared" si="1"/>
        <v>2100</v>
      </c>
      <c r="M10" s="15">
        <v>42188</v>
      </c>
      <c r="N10" s="10">
        <v>6.5</v>
      </c>
      <c r="O10" s="10"/>
      <c r="P10" s="10"/>
      <c r="Q10" s="2"/>
      <c r="R10" s="2"/>
      <c r="S10" s="2"/>
      <c r="T10" s="2"/>
      <c r="U10" s="7">
        <f t="shared" si="2"/>
        <v>0.19047619047619055</v>
      </c>
      <c r="V10" s="7">
        <f t="shared" si="3"/>
        <v>0.14021164021164018</v>
      </c>
      <c r="W10" s="21">
        <f t="shared" si="4"/>
        <v>1.3584905660377367</v>
      </c>
      <c r="X10" s="5">
        <f t="shared" si="5"/>
        <v>357</v>
      </c>
      <c r="Y10" s="7">
        <f t="shared" si="6"/>
        <v>2.2486772486772486E-2</v>
      </c>
      <c r="Z10" s="7">
        <f>IF(OR(AE10="",多次统计数据!$B$8=""),"",AE10-多次统计数据!$B$8)</f>
        <v>-3.2331771167695811E-2</v>
      </c>
      <c r="AA10" s="11">
        <f t="shared" si="7"/>
        <v>4</v>
      </c>
      <c r="AB10" s="7">
        <f>IF(OR(A10="",多次统计数据!$B$8="",多次统计数据!$B$6&lt;=0,多次统计数据!$B$6&gt;=1),"",1-POWER(1+多次统计数据!$B$8,-多次统计数据!$B$6/(1-多次统计数据!$B$6)))</f>
        <v>3.371231520420892E-2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3.190662174118993E-3</v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>
        <f t="shared" si="10"/>
        <v>7.56</v>
      </c>
      <c r="AP10" s="11">
        <f t="shared" si="11"/>
        <v>2100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>通过</v>
      </c>
    </row>
    <row r="11" spans="1:44" x14ac:dyDescent="0.15">
      <c r="A11" s="2">
        <v>10</v>
      </c>
      <c r="B11" s="2" t="s">
        <v>44</v>
      </c>
      <c r="C11" s="10">
        <v>112246</v>
      </c>
      <c r="D11" s="6">
        <v>0.02</v>
      </c>
      <c r="E11" s="10">
        <v>8.34</v>
      </c>
      <c r="F11" s="8">
        <f t="shared" si="0"/>
        <v>1600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1600</v>
      </c>
      <c r="I11" s="15">
        <v>42213</v>
      </c>
      <c r="J11" s="10">
        <v>10</v>
      </c>
      <c r="K11" s="10">
        <v>8.85</v>
      </c>
      <c r="L11" s="8">
        <f t="shared" si="1"/>
        <v>1600</v>
      </c>
      <c r="M11" s="15">
        <v>42216</v>
      </c>
      <c r="N11" s="10">
        <v>7</v>
      </c>
      <c r="O11" s="10"/>
      <c r="P11" s="10"/>
      <c r="Q11" s="2"/>
      <c r="R11" s="2"/>
      <c r="S11" s="2"/>
      <c r="T11" s="2"/>
      <c r="U11" s="7">
        <f t="shared" si="2"/>
        <v>0.19904076738609114</v>
      </c>
      <c r="V11" s="7">
        <f t="shared" si="3"/>
        <v>0.16067146282973618</v>
      </c>
      <c r="W11" s="21">
        <f t="shared" si="4"/>
        <v>1.238805970149254</v>
      </c>
      <c r="X11" s="5">
        <f t="shared" si="5"/>
        <v>816</v>
      </c>
      <c r="Y11" s="7">
        <f t="shared" si="6"/>
        <v>6.1151079136690649E-2</v>
      </c>
      <c r="Z11" s="7">
        <f>IF(OR(AE11="",多次统计数据!$B$8=""),"",AE11-多次统计数据!$B$8)</f>
        <v>-2.8252686535692538E-2</v>
      </c>
      <c r="AA11" s="11">
        <f t="shared" si="7"/>
        <v>3</v>
      </c>
      <c r="AB11" s="7">
        <f>IF(OR(A11="",多次统计数据!$B$8="",多次统计数据!$B$6&lt;=0,多次统计数据!$B$6&gt;=1),"",1-POWER(1+多次统计数据!$B$8,-多次统计数据!$B$6/(1-多次统计数据!$B$6)))</f>
        <v>3.371231520420892E-2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7.2697468061222676E-3</v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>
        <f t="shared" si="10"/>
        <v>8.34</v>
      </c>
      <c r="AP11" s="11">
        <f t="shared" si="11"/>
        <v>1600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>通过</v>
      </c>
    </row>
    <row r="12" spans="1:44" x14ac:dyDescent="0.15">
      <c r="A12" s="2">
        <v>11</v>
      </c>
      <c r="B12" s="2" t="s">
        <v>44</v>
      </c>
      <c r="C12" s="10">
        <v>113062</v>
      </c>
      <c r="D12" s="6">
        <v>0.02</v>
      </c>
      <c r="E12" s="10">
        <v>9.8800000000000008</v>
      </c>
      <c r="F12" s="8">
        <f t="shared" si="0"/>
        <v>2500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2500</v>
      </c>
      <c r="I12" s="15">
        <v>42227</v>
      </c>
      <c r="J12" s="10">
        <v>11</v>
      </c>
      <c r="K12" s="10">
        <v>8.7899999999999991</v>
      </c>
      <c r="L12" s="8">
        <f t="shared" si="1"/>
        <v>2500</v>
      </c>
      <c r="M12" s="15">
        <v>42234</v>
      </c>
      <c r="N12" s="10">
        <v>9</v>
      </c>
      <c r="O12" s="10"/>
      <c r="P12" s="10"/>
      <c r="Q12" s="2"/>
      <c r="R12" s="2"/>
      <c r="S12" s="2"/>
      <c r="T12" s="2"/>
      <c r="U12" s="7">
        <f t="shared" si="2"/>
        <v>0.11336032388663959</v>
      </c>
      <c r="V12" s="7">
        <f t="shared" si="3"/>
        <v>8.9068825910931251E-2</v>
      </c>
      <c r="W12" s="21">
        <f t="shared" si="4"/>
        <v>1.2727272727272707</v>
      </c>
      <c r="X12" s="5">
        <f t="shared" si="5"/>
        <v>-2725.0000000000073</v>
      </c>
      <c r="Y12" s="7">
        <f t="shared" si="6"/>
        <v>-0.11032388663967639</v>
      </c>
      <c r="Z12" s="7">
        <f>IF(OR(AE12="",多次统计数据!$B$8=""),"",AE12-多次统计数据!$B$8)</f>
        <v>-5.9624253582037046E-2</v>
      </c>
      <c r="AA12" s="11">
        <f t="shared" si="7"/>
        <v>7</v>
      </c>
      <c r="AB12" s="7">
        <f>IF(OR(A12="",多次统计数据!$B$8="",多次统计数据!$B$6&lt;=0,多次统计数据!$B$6&gt;=1),"",1-POWER(1+多次统计数据!$B$8,-多次统计数据!$B$6/(1-多次统计数据!$B$6)))</f>
        <v>3.371231520420892E-2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-2.4101820240222244E-2</v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>
        <f t="shared" si="10"/>
        <v>9.8800000000000008</v>
      </c>
      <c r="AP12" s="11">
        <f t="shared" si="11"/>
        <v>2500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>通过</v>
      </c>
    </row>
    <row r="13" spans="1:44" x14ac:dyDescent="0.15">
      <c r="A13" s="2">
        <v>12</v>
      </c>
      <c r="B13" s="2" t="s">
        <v>44</v>
      </c>
      <c r="C13" s="10">
        <v>110337</v>
      </c>
      <c r="D13" s="6">
        <v>0.02</v>
      </c>
      <c r="E13" s="10">
        <v>6.38</v>
      </c>
      <c r="F13" s="8">
        <f t="shared" si="0"/>
        <v>2500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2500</v>
      </c>
      <c r="I13" s="15">
        <v>42241</v>
      </c>
      <c r="J13" s="10">
        <v>8</v>
      </c>
      <c r="K13" s="10">
        <v>7.92</v>
      </c>
      <c r="L13" s="8">
        <f t="shared" si="1"/>
        <v>2500</v>
      </c>
      <c r="M13" s="15">
        <v>42247</v>
      </c>
      <c r="N13" s="10">
        <v>5.5</v>
      </c>
      <c r="O13" s="10"/>
      <c r="P13" s="10"/>
      <c r="Q13" s="2"/>
      <c r="R13" s="2"/>
      <c r="S13" s="2"/>
      <c r="T13" s="2"/>
      <c r="U13" s="7">
        <f t="shared" si="2"/>
        <v>0.25391849529780569</v>
      </c>
      <c r="V13" s="7">
        <f t="shared" si="3"/>
        <v>0.13793103448275862</v>
      </c>
      <c r="W13" s="21">
        <f t="shared" si="4"/>
        <v>1.8409090909090913</v>
      </c>
      <c r="X13" s="5">
        <f t="shared" si="5"/>
        <v>3850</v>
      </c>
      <c r="Y13" s="7">
        <f t="shared" si="6"/>
        <v>0.2413793103448276</v>
      </c>
      <c r="Z13" s="7">
        <f>IF(OR(AE13="",多次统计数据!$B$8=""),"",AE13-多次统计数据!$B$8)</f>
        <v>-6.2933311251728991E-4</v>
      </c>
      <c r="AA13" s="11">
        <f t="shared" si="7"/>
        <v>6</v>
      </c>
      <c r="AB13" s="7">
        <f>IF(OR(A13="",多次统计数据!$B$8="",多次统计数据!$B$6&lt;=0,多次统计数据!$B$6&gt;=1),"",1-POWER(1+多次统计数据!$B$8,-多次统计数据!$B$6/(1-多次统计数据!$B$6)))</f>
        <v>3.371231520420892E-2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3.4893100229297515E-2</v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>
        <f t="shared" si="10"/>
        <v>6.38</v>
      </c>
      <c r="AP13" s="11">
        <f t="shared" si="11"/>
        <v>2500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>通过</v>
      </c>
    </row>
    <row r="14" spans="1:44" x14ac:dyDescent="0.15">
      <c r="A14" s="2">
        <v>13</v>
      </c>
      <c r="B14" s="2" t="s">
        <v>44</v>
      </c>
      <c r="C14" s="10">
        <v>114187</v>
      </c>
      <c r="D14" s="6">
        <v>0.02</v>
      </c>
      <c r="E14" s="10">
        <v>8.58</v>
      </c>
      <c r="F14" s="8">
        <f t="shared" si="0"/>
        <v>1400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1400</v>
      </c>
      <c r="I14" s="15">
        <v>42258</v>
      </c>
      <c r="J14" s="10">
        <v>10</v>
      </c>
      <c r="K14" s="10">
        <v>8.8000000000000007</v>
      </c>
      <c r="L14" s="8">
        <f t="shared" si="1"/>
        <v>1400</v>
      </c>
      <c r="M14" s="15">
        <v>42271</v>
      </c>
      <c r="N14" s="10">
        <v>7</v>
      </c>
      <c r="O14" s="10"/>
      <c r="P14" s="10"/>
      <c r="Q14" s="2"/>
      <c r="R14" s="2"/>
      <c r="S14" s="2"/>
      <c r="T14" s="2"/>
      <c r="U14" s="7">
        <f t="shared" si="2"/>
        <v>0.1655011655011655</v>
      </c>
      <c r="V14" s="7">
        <f t="shared" si="3"/>
        <v>0.18414918414918416</v>
      </c>
      <c r="W14" s="21">
        <f t="shared" si="4"/>
        <v>0.89873417721518989</v>
      </c>
      <c r="X14" s="5">
        <f t="shared" si="5"/>
        <v>308.00000000000182</v>
      </c>
      <c r="Y14" s="7">
        <f t="shared" si="6"/>
        <v>2.5641025641025793E-2</v>
      </c>
      <c r="Z14" s="7">
        <f>IF(OR(AE14="",多次统计数据!$B$8=""),"",AE14-多次统计数据!$B$8)</f>
        <v>-3.2825103523183949E-2</v>
      </c>
      <c r="AA14" s="11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3.371231520420892E-2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2.6973298186308585E-3</v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>
        <f t="shared" si="10"/>
        <v>8.58</v>
      </c>
      <c r="AP14" s="11">
        <f t="shared" si="11"/>
        <v>1400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>通过</v>
      </c>
    </row>
    <row r="15" spans="1:44" x14ac:dyDescent="0.15">
      <c r="A15" s="2">
        <v>14</v>
      </c>
      <c r="B15" s="2" t="s">
        <v>45</v>
      </c>
      <c r="C15" s="10">
        <v>114495</v>
      </c>
      <c r="D15" s="6">
        <v>0.02</v>
      </c>
      <c r="E15" s="10">
        <v>13.58</v>
      </c>
      <c r="F15" s="8">
        <f t="shared" si="0"/>
        <v>2100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2100</v>
      </c>
      <c r="I15" s="15">
        <v>42558</v>
      </c>
      <c r="J15" s="10">
        <v>15</v>
      </c>
      <c r="K15" s="10">
        <v>12.9</v>
      </c>
      <c r="L15" s="8">
        <f t="shared" si="1"/>
        <v>2100</v>
      </c>
      <c r="M15" s="15">
        <v>42563</v>
      </c>
      <c r="N15" s="10">
        <v>12.5</v>
      </c>
      <c r="O15" s="10"/>
      <c r="P15" s="10"/>
      <c r="Q15" s="2"/>
      <c r="R15" s="2"/>
      <c r="S15" s="2"/>
      <c r="T15" s="2"/>
      <c r="U15" s="7">
        <f t="shared" si="2"/>
        <v>0.10456553755522827</v>
      </c>
      <c r="V15" s="7">
        <f t="shared" si="3"/>
        <v>7.9528718703976445E-2</v>
      </c>
      <c r="W15" s="21">
        <f t="shared" si="4"/>
        <v>1.3148148148148144</v>
      </c>
      <c r="X15" s="5">
        <f t="shared" si="5"/>
        <v>-1428</v>
      </c>
      <c r="Y15" s="7">
        <f t="shared" si="6"/>
        <v>-5.0073637702503684E-2</v>
      </c>
      <c r="Z15" s="7">
        <f>IF(OR(AE15="",多次统计数据!$B$8=""),"",AE15-多次统计数据!$B$8)</f>
        <v>-4.7994593698162245E-2</v>
      </c>
      <c r="AA15" s="11">
        <f t="shared" si="7"/>
        <v>5</v>
      </c>
      <c r="AB15" s="7">
        <f>IF(OR(A15="",多次统计数据!$B$8="",多次统计数据!$B$6&lt;=0,多次统计数据!$B$6&gt;=1),"",1-POWER(1+多次统计数据!$B$8,-多次统计数据!$B$6/(1-多次统计数据!$B$6)))</f>
        <v>3.371231520420892E-2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-1.2472160356347439E-2</v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>
        <f t="shared" si="10"/>
        <v>13.58</v>
      </c>
      <c r="AP15" s="11">
        <f t="shared" si="11"/>
        <v>2100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>通过</v>
      </c>
    </row>
    <row r="16" spans="1:44" x14ac:dyDescent="0.15">
      <c r="A16" s="2">
        <v>15</v>
      </c>
      <c r="B16" s="2" t="s">
        <v>45</v>
      </c>
      <c r="C16" s="10">
        <v>113067</v>
      </c>
      <c r="D16" s="6">
        <v>0.02</v>
      </c>
      <c r="E16" s="10">
        <v>12.86</v>
      </c>
      <c r="F16" s="8">
        <f t="shared" si="0"/>
        <v>2600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2600</v>
      </c>
      <c r="I16" s="15">
        <v>42569</v>
      </c>
      <c r="J16" s="10">
        <v>15</v>
      </c>
      <c r="K16" s="10">
        <v>13.27</v>
      </c>
      <c r="L16" s="8">
        <f t="shared" si="1"/>
        <v>2600</v>
      </c>
      <c r="M16" s="15">
        <v>42571</v>
      </c>
      <c r="N16" s="10">
        <v>12</v>
      </c>
      <c r="O16" s="10"/>
      <c r="P16" s="10"/>
      <c r="Q16" s="2"/>
      <c r="R16" s="2"/>
      <c r="S16" s="2"/>
      <c r="T16" s="2"/>
      <c r="U16" s="7">
        <f t="shared" si="2"/>
        <v>0.16640746500777609</v>
      </c>
      <c r="V16" s="7">
        <f t="shared" si="3"/>
        <v>6.6874027993779117E-2</v>
      </c>
      <c r="W16" s="21">
        <f t="shared" si="4"/>
        <v>2.488372093023258</v>
      </c>
      <c r="X16" s="5">
        <f t="shared" si="5"/>
        <v>1066</v>
      </c>
      <c r="Y16" s="7">
        <f t="shared" si="6"/>
        <v>3.1881804043545882E-2</v>
      </c>
      <c r="Z16" s="7">
        <f>IF(OR(AE16="",多次统计数据!$B$8=""),"",AE16-多次统计数据!$B$8)</f>
        <v>-2.609439509900302E-2</v>
      </c>
      <c r="AA16" s="11">
        <f t="shared" si="7"/>
        <v>2</v>
      </c>
      <c r="AB16" s="7">
        <f>IF(OR(A16="",多次统计数据!$B$8="",多次统计数据!$B$6&lt;=0,多次统计数据!$B$6&gt;=1),"",1-POWER(1+多次统计数据!$B$8,-多次统计数据!$B$6/(1-多次统计数据!$B$6)))</f>
        <v>3.371231520420892E-2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9.4280382428117843E-3</v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>
        <f t="shared" si="10"/>
        <v>12.86</v>
      </c>
      <c r="AP16" s="11">
        <f t="shared" si="11"/>
        <v>2600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>通过</v>
      </c>
    </row>
    <row r="17" spans="1:44" x14ac:dyDescent="0.15">
      <c r="A17" s="2">
        <v>16</v>
      </c>
      <c r="B17" s="2" t="s">
        <v>45</v>
      </c>
      <c r="C17" s="10">
        <v>114133</v>
      </c>
      <c r="D17" s="6">
        <v>0.02</v>
      </c>
      <c r="E17" s="10">
        <v>12.99</v>
      </c>
      <c r="F17" s="8">
        <f t="shared" si="0"/>
        <v>2300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2300</v>
      </c>
      <c r="I17" s="15">
        <v>42576</v>
      </c>
      <c r="J17" s="10">
        <v>15</v>
      </c>
      <c r="K17" s="10">
        <v>12.85</v>
      </c>
      <c r="L17" s="8">
        <f t="shared" si="1"/>
        <v>2300</v>
      </c>
      <c r="M17" s="15">
        <v>42578</v>
      </c>
      <c r="N17" s="10">
        <v>12</v>
      </c>
      <c r="O17" s="10"/>
      <c r="P17" s="10"/>
      <c r="Q17" s="2"/>
      <c r="R17" s="2"/>
      <c r="S17" s="2"/>
      <c r="T17" s="2"/>
      <c r="U17" s="7">
        <f t="shared" si="2"/>
        <v>0.15473441108545033</v>
      </c>
      <c r="V17" s="7">
        <f t="shared" si="3"/>
        <v>7.6212471131639745E-2</v>
      </c>
      <c r="W17" s="21">
        <f t="shared" si="4"/>
        <v>2.0303030303030294</v>
      </c>
      <c r="X17" s="5">
        <f t="shared" si="5"/>
        <v>-322</v>
      </c>
      <c r="Y17" s="7">
        <f t="shared" si="6"/>
        <v>-1.0777521170130869E-2</v>
      </c>
      <c r="Z17" s="7">
        <f>IF(OR(AE17="",多次统计数据!$B$8=""),"",AE17-多次统计数据!$B$8)</f>
        <v>-3.8343703263747989E-2</v>
      </c>
      <c r="AA17" s="11">
        <f t="shared" si="7"/>
        <v>2</v>
      </c>
      <c r="AB17" s="7">
        <f>IF(OR(A17="",多次统计数据!$B$8="",多次统计数据!$B$6&lt;=0,多次统计数据!$B$6&gt;=1),"",1-POWER(1+多次统计数据!$B$8,-多次统计数据!$B$6/(1-多次统计数据!$B$6)))</f>
        <v>3.371231520420892E-2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-2.8212699219331834E-3</v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>
        <f t="shared" si="10"/>
        <v>12.99</v>
      </c>
      <c r="AP17" s="11">
        <f t="shared" si="11"/>
        <v>2300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>通过</v>
      </c>
    </row>
    <row r="18" spans="1:44" x14ac:dyDescent="0.15">
      <c r="A18" s="2">
        <v>17</v>
      </c>
      <c r="B18" s="2" t="s">
        <v>45</v>
      </c>
      <c r="C18" s="10">
        <v>113811</v>
      </c>
      <c r="D18" s="6">
        <v>0.02</v>
      </c>
      <c r="E18" s="10">
        <v>12.15</v>
      </c>
      <c r="F18" s="8">
        <f t="shared" si="0"/>
        <v>3500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42580</v>
      </c>
      <c r="J18" s="10">
        <v>14</v>
      </c>
      <c r="K18" s="10">
        <v>11.42</v>
      </c>
      <c r="L18" s="8">
        <f t="shared" si="1"/>
        <v>3500</v>
      </c>
      <c r="M18" s="15">
        <v>42593</v>
      </c>
      <c r="N18" s="10">
        <v>11.5</v>
      </c>
      <c r="O18" s="10"/>
      <c r="P18" s="10"/>
      <c r="Q18" s="2"/>
      <c r="R18" s="2"/>
      <c r="S18" s="2"/>
      <c r="T18" s="2"/>
      <c r="U18" s="7">
        <f t="shared" si="2"/>
        <v>0.15226337448559668</v>
      </c>
      <c r="V18" s="7">
        <f t="shared" si="3"/>
        <v>5.3497942386831303E-2</v>
      </c>
      <c r="W18" s="21">
        <f t="shared" si="4"/>
        <v>2.846153846153844</v>
      </c>
      <c r="X18" s="5">
        <f t="shared" si="5"/>
        <v>-2555</v>
      </c>
      <c r="Y18" s="7">
        <f t="shared" si="6"/>
        <v>-6.0082304526748974E-2</v>
      </c>
      <c r="Z18" s="7">
        <f>IF(OR(AE18="",多次统计数据!$B$8=""),"",AE18-多次统计数据!$B$8)</f>
        <v>-5.7971932950815694E-2</v>
      </c>
      <c r="AA18" s="11">
        <f t="shared" si="7"/>
        <v>13</v>
      </c>
      <c r="AB18" s="7">
        <f>IF(OR(A18="",多次统计数据!$B$8="",多次统计数据!$B$6&lt;=0,多次统计数据!$B$6&gt;=1),"",1-POWER(1+多次统计数据!$B$8,-多次统计数据!$B$6/(1-多次统计数据!$B$6)))</f>
        <v>3.371231520420892E-2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-2.2449499609000889E-2</v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>
        <f t="shared" si="10"/>
        <v>12.15</v>
      </c>
      <c r="AP18" s="11">
        <f t="shared" si="11"/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>通过</v>
      </c>
    </row>
    <row r="19" spans="1:44" x14ac:dyDescent="0.15">
      <c r="A19" s="2">
        <v>18</v>
      </c>
      <c r="B19" s="2" t="s">
        <v>45</v>
      </c>
      <c r="C19" s="10">
        <v>111256</v>
      </c>
      <c r="D19" s="6">
        <v>0.02</v>
      </c>
      <c r="E19" s="10">
        <v>12.71</v>
      </c>
      <c r="F19" s="8">
        <f t="shared" si="0"/>
        <v>3100</v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3100</v>
      </c>
      <c r="I19" s="15">
        <v>42678</v>
      </c>
      <c r="J19" s="10"/>
      <c r="K19" s="10">
        <v>11.86</v>
      </c>
      <c r="L19" s="8">
        <f t="shared" si="1"/>
        <v>3100</v>
      </c>
      <c r="M19" s="15">
        <v>42683</v>
      </c>
      <c r="N19" s="10">
        <v>12</v>
      </c>
      <c r="O19" s="10"/>
      <c r="P19" s="10"/>
      <c r="Q19" s="2"/>
      <c r="R19" s="2"/>
      <c r="S19" s="2"/>
      <c r="T19" s="2"/>
      <c r="U19" s="7" t="str">
        <f t="shared" si="2"/>
        <v/>
      </c>
      <c r="V19" s="7">
        <f t="shared" si="3"/>
        <v>5.5861526357199119E-2</v>
      </c>
      <c r="W19" s="21" t="str">
        <f t="shared" si="4"/>
        <v/>
      </c>
      <c r="X19" s="5">
        <f t="shared" si="5"/>
        <v>-2635</v>
      </c>
      <c r="Y19" s="7">
        <f t="shared" si="6"/>
        <v>-6.6876475216365069E-2</v>
      </c>
      <c r="Z19" s="7">
        <f>IF(OR(AE19="",多次统计数据!$B$8=""),"",AE19-多次统计数据!$B$8)</f>
        <v>-5.9206549254664453E-2</v>
      </c>
      <c r="AA19" s="11">
        <f t="shared" si="7"/>
        <v>5</v>
      </c>
      <c r="AB19" s="7">
        <f>IF(OR(A19="",多次统计数据!$B$8="",多次统计数据!$B$6&lt;=0,多次统计数据!$B$6&gt;=1),"",1-POWER(1+多次统计数据!$B$8,-多次统计数据!$B$6/(1-多次统计数据!$B$6)))</f>
        <v>3.371231520420892E-2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-2.3684115912849645E-2</v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>
        <f t="shared" si="10"/>
        <v>12.71</v>
      </c>
      <c r="AP19" s="11">
        <f t="shared" si="11"/>
        <v>3100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>通过</v>
      </c>
    </row>
    <row r="20" spans="1:44" x14ac:dyDescent="0.15">
      <c r="A20" s="2">
        <v>19</v>
      </c>
      <c r="B20" s="2" t="s">
        <v>45</v>
      </c>
      <c r="C20" s="10">
        <v>108621</v>
      </c>
      <c r="D20" s="6">
        <v>0.02</v>
      </c>
      <c r="E20" s="10">
        <v>12.39</v>
      </c>
      <c r="F20" s="8">
        <f t="shared" si="0"/>
        <v>2400</v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2400</v>
      </c>
      <c r="I20" s="15">
        <v>42683</v>
      </c>
      <c r="J20" s="10">
        <v>14</v>
      </c>
      <c r="K20" s="10">
        <v>11.34</v>
      </c>
      <c r="L20" s="8">
        <f t="shared" si="1"/>
        <v>2400</v>
      </c>
      <c r="M20" s="15">
        <v>42706</v>
      </c>
      <c r="N20" s="10">
        <v>11.5</v>
      </c>
      <c r="O20" s="10"/>
      <c r="P20" s="10"/>
      <c r="Q20" s="2"/>
      <c r="R20" s="2"/>
      <c r="S20" s="2"/>
      <c r="T20" s="2"/>
      <c r="U20" s="7">
        <f t="shared" si="2"/>
        <v>0.1299435028248587</v>
      </c>
      <c r="V20" s="7">
        <f t="shared" si="3"/>
        <v>7.1832122679580349E-2</v>
      </c>
      <c r="W20" s="21">
        <f t="shared" si="4"/>
        <v>1.808988764044942</v>
      </c>
      <c r="X20" s="5">
        <f t="shared" si="5"/>
        <v>-2520</v>
      </c>
      <c r="Y20" s="7">
        <f t="shared" si="6"/>
        <v>-8.4745762711864403E-2</v>
      </c>
      <c r="Z20" s="7">
        <f>IF(OR(AE20="",多次统计数据!$B$8=""),"",AE20-多次统计数据!$B$8)</f>
        <v>-5.8722367056289908E-2</v>
      </c>
      <c r="AA20" s="11">
        <f t="shared" si="7"/>
        <v>23</v>
      </c>
      <c r="AB20" s="7">
        <f>IF(OR(A20="",多次统计数据!$B$8="",多次统计数据!$B$6&lt;=0,多次统计数据!$B$6&gt;=1),"",1-POWER(1+多次统计数据!$B$8,-多次统计数据!$B$6/(1-多次统计数据!$B$6)))</f>
        <v>3.371231520420892E-2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-2.3199933714475103E-2</v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>
        <f t="shared" si="10"/>
        <v>12.39</v>
      </c>
      <c r="AP20" s="11">
        <f t="shared" si="11"/>
        <v>2400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>通过</v>
      </c>
    </row>
    <row r="21" spans="1:44" x14ac:dyDescent="0.15">
      <c r="A21" s="2">
        <v>20</v>
      </c>
      <c r="B21" s="2" t="s">
        <v>45</v>
      </c>
      <c r="C21" s="10">
        <v>106101</v>
      </c>
      <c r="D21" s="6">
        <v>0.02</v>
      </c>
      <c r="E21" s="10">
        <v>10.93</v>
      </c>
      <c r="F21" s="8">
        <f t="shared" si="0"/>
        <v>2200</v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2200</v>
      </c>
      <c r="I21" s="15">
        <v>42726</v>
      </c>
      <c r="J21" s="10">
        <v>12</v>
      </c>
      <c r="K21" s="10">
        <v>9.6999999999999993</v>
      </c>
      <c r="L21" s="8">
        <f t="shared" si="1"/>
        <v>2200</v>
      </c>
      <c r="M21" s="15">
        <v>42751</v>
      </c>
      <c r="N21" s="10">
        <v>10</v>
      </c>
      <c r="O21" s="10"/>
      <c r="P21" s="10"/>
      <c r="Q21" s="2"/>
      <c r="R21" s="2"/>
      <c r="S21" s="2"/>
      <c r="T21" s="2"/>
      <c r="U21" s="7">
        <f t="shared" si="2"/>
        <v>9.7895699908508715E-2</v>
      </c>
      <c r="V21" s="7">
        <f t="shared" si="3"/>
        <v>8.5086916742909399E-2</v>
      </c>
      <c r="W21" s="21">
        <f t="shared" si="4"/>
        <v>1.1505376344086027</v>
      </c>
      <c r="X21" s="5">
        <f t="shared" si="5"/>
        <v>-2706</v>
      </c>
      <c r="Y21" s="7">
        <f t="shared" si="6"/>
        <v>-0.11253430924062215</v>
      </c>
      <c r="Z21" s="7">
        <f>IF(OR(AE21="",多次统计数据!$B$8=""),"",AE21-多次统计数据!$B$8)</f>
        <v>-6.1026434246613068E-2</v>
      </c>
      <c r="AA21" s="11">
        <f t="shared" si="7"/>
        <v>25</v>
      </c>
      <c r="AB21" s="7">
        <f>IF(OR(A21="",多次统计数据!$B$8="",多次统计数据!$B$6&lt;=0,多次统计数据!$B$6&gt;=1),"",1-POWER(1+多次统计数据!$B$8,-多次统计数据!$B$6/(1-多次统计数据!$B$6)))</f>
        <v>3.371231520420892E-2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-2.550400090479826E-2</v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>
        <f t="shared" si="10"/>
        <v>10.93</v>
      </c>
      <c r="AP21" s="11">
        <f t="shared" si="11"/>
        <v>2200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>通过</v>
      </c>
    </row>
    <row r="22" spans="1:44" x14ac:dyDescent="0.15">
      <c r="A22" s="2">
        <v>21</v>
      </c>
      <c r="B22" s="2" t="s">
        <v>45</v>
      </c>
      <c r="C22" s="10">
        <v>103395</v>
      </c>
      <c r="D22" s="6">
        <v>0.02</v>
      </c>
      <c r="E22" s="10">
        <v>10.130000000000001</v>
      </c>
      <c r="F22" s="8">
        <f t="shared" si="0"/>
        <v>3200</v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3200</v>
      </c>
      <c r="I22" s="15">
        <v>42786</v>
      </c>
      <c r="J22" s="10">
        <v>12</v>
      </c>
      <c r="K22" s="10">
        <v>10.29</v>
      </c>
      <c r="L22" s="8">
        <f t="shared" si="1"/>
        <v>3200</v>
      </c>
      <c r="M22" s="15">
        <v>42794</v>
      </c>
      <c r="N22" s="10">
        <v>9.5</v>
      </c>
      <c r="O22" s="10"/>
      <c r="P22" s="10"/>
      <c r="Q22" s="2"/>
      <c r="R22" s="2"/>
      <c r="S22" s="2"/>
      <c r="T22" s="2"/>
      <c r="U22" s="7">
        <f t="shared" si="2"/>
        <v>0.18460019743336614</v>
      </c>
      <c r="V22" s="7">
        <f t="shared" si="3"/>
        <v>6.2191510365251799E-2</v>
      </c>
      <c r="W22" s="21">
        <f t="shared" si="4"/>
        <v>2.9682539682539635</v>
      </c>
      <c r="X22" s="5">
        <f t="shared" si="5"/>
        <v>511.99999999999636</v>
      </c>
      <c r="Y22" s="7">
        <f t="shared" si="6"/>
        <v>1.5794669299111434E-2</v>
      </c>
      <c r="Z22" s="7">
        <f>IF(OR(AE22="",多次统计数据!$B$8=""),"",AE22-多次统计数据!$B$8)</f>
        <v>-3.0570549788451525E-2</v>
      </c>
      <c r="AA22" s="11">
        <f t="shared" si="7"/>
        <v>8</v>
      </c>
      <c r="AB22" s="7">
        <f>IF(OR(A22="",多次统计数据!$B$8="",多次统计数据!$B$6&lt;=0,多次统计数据!$B$6&gt;=1),"",1-POWER(1+多次统计数据!$B$8,-多次统计数据!$B$6/(1-多次统计数据!$B$6)))</f>
        <v>3.371231520420892E-2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4.9518835533632804E-3</v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>
        <f t="shared" si="10"/>
        <v>10.130000000000001</v>
      </c>
      <c r="AP22" s="11">
        <f t="shared" si="11"/>
        <v>3200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>通过</v>
      </c>
    </row>
    <row r="23" spans="1:44" x14ac:dyDescent="0.15">
      <c r="A23" s="2">
        <v>22</v>
      </c>
      <c r="B23" s="2" t="s">
        <v>45</v>
      </c>
      <c r="C23" s="10">
        <v>103907</v>
      </c>
      <c r="D23" s="6">
        <v>0.02</v>
      </c>
      <c r="E23" s="10">
        <v>10.41</v>
      </c>
      <c r="F23" s="8">
        <f t="shared" si="0"/>
        <v>2200</v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2200</v>
      </c>
      <c r="I23" s="15">
        <v>42814</v>
      </c>
      <c r="J23" s="10">
        <v>12</v>
      </c>
      <c r="K23" s="10">
        <v>10.34</v>
      </c>
      <c r="L23" s="8">
        <f t="shared" si="1"/>
        <v>2200</v>
      </c>
      <c r="M23" s="15">
        <v>42816</v>
      </c>
      <c r="N23" s="10">
        <v>9.5</v>
      </c>
      <c r="O23" s="10"/>
      <c r="P23" s="10"/>
      <c r="Q23" s="2"/>
      <c r="R23" s="2"/>
      <c r="S23" s="2"/>
      <c r="T23" s="2"/>
      <c r="U23" s="7">
        <f t="shared" si="2"/>
        <v>0.15273775216138327</v>
      </c>
      <c r="V23" s="7">
        <f t="shared" si="3"/>
        <v>8.7415946205571582E-2</v>
      </c>
      <c r="W23" s="21">
        <f t="shared" si="4"/>
        <v>1.7472527472527468</v>
      </c>
      <c r="X23" s="5">
        <f t="shared" si="5"/>
        <v>-154</v>
      </c>
      <c r="Y23" s="7">
        <f t="shared" si="6"/>
        <v>-6.7243035542747355E-3</v>
      </c>
      <c r="Z23" s="7">
        <f>IF(OR(AE23="",多次统计数据!$B$8=""),"",AE23-多次统计数据!$B$8)</f>
        <v>-3.7004527907147262E-2</v>
      </c>
      <c r="AA23" s="11">
        <f t="shared" si="7"/>
        <v>2</v>
      </c>
      <c r="AB23" s="7">
        <f>IF(OR(A23="",多次统计数据!$B$8="",多次统计数据!$B$6&lt;=0,多次统计数据!$B$6&gt;=1),"",1-POWER(1+多次统计数据!$B$8,-多次统计数据!$B$6/(1-多次统计数据!$B$6)))</f>
        <v>3.371231520420892E-2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-1.4820945653324607E-3</v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>
        <f t="shared" si="10"/>
        <v>10.41</v>
      </c>
      <c r="AP23" s="11">
        <f t="shared" si="11"/>
        <v>2200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>通过</v>
      </c>
    </row>
    <row r="24" spans="1:44" x14ac:dyDescent="0.15">
      <c r="A24" s="2">
        <v>23</v>
      </c>
      <c r="B24" s="2" t="s">
        <v>45</v>
      </c>
      <c r="C24" s="10">
        <v>103753</v>
      </c>
      <c r="D24" s="6">
        <v>0.02</v>
      </c>
      <c r="E24" s="10">
        <v>10.72</v>
      </c>
      <c r="F24" s="8">
        <f t="shared" si="0"/>
        <v>2800</v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2800</v>
      </c>
      <c r="I24" s="15">
        <v>42817</v>
      </c>
      <c r="J24" s="10">
        <v>12</v>
      </c>
      <c r="K24" s="10">
        <v>10.119999999999999</v>
      </c>
      <c r="L24" s="8">
        <f t="shared" si="1"/>
        <v>2800</v>
      </c>
      <c r="M24" s="15">
        <v>42842</v>
      </c>
      <c r="N24" s="10">
        <v>10</v>
      </c>
      <c r="O24" s="10"/>
      <c r="P24" s="10"/>
      <c r="Q24" s="2"/>
      <c r="R24" s="2"/>
      <c r="S24" s="2"/>
      <c r="T24" s="2"/>
      <c r="U24" s="7">
        <f t="shared" si="2"/>
        <v>0.11940298507462679</v>
      </c>
      <c r="V24" s="7">
        <f t="shared" si="3"/>
        <v>6.7164179104477667E-2</v>
      </c>
      <c r="W24" s="21">
        <f t="shared" si="4"/>
        <v>1.7777777777777752</v>
      </c>
      <c r="X24" s="5">
        <f t="shared" si="5"/>
        <v>-1680.0000000000036</v>
      </c>
      <c r="Y24" s="7">
        <f t="shared" si="6"/>
        <v>-5.5970149253731463E-2</v>
      </c>
      <c r="Z24" s="7">
        <f>IF(OR(AE24="",多次统计数据!$B$8=""),"",AE24-多次统计数据!$B$8)</f>
        <v>-5.1714736214984777E-2</v>
      </c>
      <c r="AA24" s="11">
        <f t="shared" si="7"/>
        <v>25</v>
      </c>
      <c r="AB24" s="7">
        <f>IF(OR(A24="",多次统计数据!$B$8="",多次统计数据!$B$6&lt;=0,多次统计数据!$B$6&gt;=1),"",1-POWER(1+多次统计数据!$B$8,-多次统计数据!$B$6/(1-多次统计数据!$B$6)))</f>
        <v>3.371231520420892E-2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-1.6192302873169969E-2</v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>
        <f t="shared" si="10"/>
        <v>10.72</v>
      </c>
      <c r="AP24" s="11">
        <f t="shared" si="11"/>
        <v>2800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>通过</v>
      </c>
    </row>
    <row r="25" spans="1:44" x14ac:dyDescent="0.15">
      <c r="A25" s="2">
        <v>24</v>
      </c>
      <c r="B25" s="2" t="s">
        <v>45</v>
      </c>
      <c r="C25" s="10">
        <v>102073</v>
      </c>
      <c r="D25" s="6">
        <v>0.02</v>
      </c>
      <c r="E25" s="10">
        <v>9.82</v>
      </c>
      <c r="F25" s="8">
        <f t="shared" si="0"/>
        <v>2400</v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2400</v>
      </c>
      <c r="I25" s="15">
        <v>42845</v>
      </c>
      <c r="J25" s="10">
        <v>11</v>
      </c>
      <c r="K25" s="10">
        <v>9.9499999999999993</v>
      </c>
      <c r="L25" s="8">
        <f t="shared" si="1"/>
        <v>2400</v>
      </c>
      <c r="M25" s="15">
        <v>42857</v>
      </c>
      <c r="N25" s="10">
        <v>9</v>
      </c>
      <c r="O25" s="10"/>
      <c r="P25" s="10"/>
      <c r="Q25" s="2"/>
      <c r="R25" s="2"/>
      <c r="S25" s="2"/>
      <c r="T25" s="2"/>
      <c r="U25" s="7">
        <f t="shared" si="2"/>
        <v>0.120162932790224</v>
      </c>
      <c r="V25" s="7">
        <f t="shared" si="3"/>
        <v>8.3503054989816722E-2</v>
      </c>
      <c r="W25" s="21">
        <f t="shared" si="4"/>
        <v>1.4390243902439017</v>
      </c>
      <c r="X25" s="5">
        <f t="shared" si="5"/>
        <v>312</v>
      </c>
      <c r="Y25" s="7">
        <f t="shared" si="6"/>
        <v>1.3238289205702648E-2</v>
      </c>
      <c r="Z25" s="7">
        <f>IF(OR(AE25="",多次统计数据!$B$8=""),"",AE25-多次统计数据!$B$8)</f>
        <v>-3.2465797404789346E-2</v>
      </c>
      <c r="AA25" s="11">
        <f t="shared" si="7"/>
        <v>12</v>
      </c>
      <c r="AB25" s="7">
        <f>IF(OR(A25="",多次统计数据!$B$8="",多次统计数据!$B$6&lt;=0,多次统计数据!$B$6&gt;=1),"",1-POWER(1+多次统计数据!$B$8,-多次统计数据!$B$6/(1-多次统计数据!$B$6)))</f>
        <v>3.371231520420892E-2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3.0566359370254623E-3</v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>
        <f t="shared" si="10"/>
        <v>9.82</v>
      </c>
      <c r="AP25" s="11">
        <f t="shared" si="11"/>
        <v>2400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>通过</v>
      </c>
    </row>
    <row r="26" spans="1:44" x14ac:dyDescent="0.15">
      <c r="A26" s="2">
        <v>25</v>
      </c>
      <c r="B26" s="2" t="s">
        <v>45</v>
      </c>
      <c r="C26" s="10">
        <v>102385</v>
      </c>
      <c r="D26" s="6">
        <v>0.02</v>
      </c>
      <c r="E26" s="10">
        <v>9.68</v>
      </c>
      <c r="F26" s="8">
        <f t="shared" si="0"/>
        <v>5300</v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5300</v>
      </c>
      <c r="I26" s="15">
        <v>42866</v>
      </c>
      <c r="J26" s="10">
        <v>10.5</v>
      </c>
      <c r="K26" s="10">
        <v>9.66</v>
      </c>
      <c r="L26" s="8">
        <f t="shared" si="1"/>
        <v>5300</v>
      </c>
      <c r="M26" s="15">
        <v>42781</v>
      </c>
      <c r="N26" s="10">
        <v>9.3000000000000007</v>
      </c>
      <c r="O26" s="10"/>
      <c r="P26" s="10"/>
      <c r="Q26" s="2"/>
      <c r="R26" s="2"/>
      <c r="S26" s="2"/>
      <c r="T26" s="2"/>
      <c r="U26" s="7">
        <f t="shared" si="2"/>
        <v>8.471074380165293E-2</v>
      </c>
      <c r="V26" s="7">
        <f t="shared" si="3"/>
        <v>3.9256198347107335E-2</v>
      </c>
      <c r="W26" s="21">
        <f t="shared" si="4"/>
        <v>2.157894736842112</v>
      </c>
      <c r="X26" s="5">
        <f t="shared" si="5"/>
        <v>-106</v>
      </c>
      <c r="Y26" s="7">
        <f t="shared" si="6"/>
        <v>-2.0661157024793389E-3</v>
      </c>
      <c r="Z26" s="7">
        <f>IF(OR(AE26="",多次统计数据!$B$8=""),"",AE26-多次统计数据!$B$8)</f>
        <v>-3.6557741248246414E-2</v>
      </c>
      <c r="AA26" s="11" t="str">
        <f t="shared" si="7"/>
        <v/>
      </c>
      <c r="AB26" s="7">
        <f>IF(OR(A26="",多次统计数据!$B$8="",多次统计数据!$B$6&lt;=0,多次统计数据!$B$6&gt;=1),"",1-POWER(1+多次统计数据!$B$8,-多次统计数据!$B$6/(1-多次统计数据!$B$6)))</f>
        <v>3.371231520420892E-2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-1.0353079064316063E-3</v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>
        <f t="shared" si="10"/>
        <v>9.68</v>
      </c>
      <c r="AP26" s="11">
        <f t="shared" si="11"/>
        <v>5300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>通过</v>
      </c>
    </row>
    <row r="27" spans="1:44" x14ac:dyDescent="0.15">
      <c r="A27" s="2">
        <v>26</v>
      </c>
      <c r="B27" s="2" t="s">
        <v>45</v>
      </c>
      <c r="C27" s="10">
        <v>102279</v>
      </c>
      <c r="D27" s="6">
        <v>0.02</v>
      </c>
      <c r="E27" s="10">
        <v>9.64</v>
      </c>
      <c r="F27" s="8">
        <f t="shared" si="0"/>
        <v>6000</v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6000</v>
      </c>
      <c r="I27" s="15">
        <v>42877</v>
      </c>
      <c r="J27" s="10">
        <v>10.5</v>
      </c>
      <c r="K27" s="10">
        <v>9.4700000000000006</v>
      </c>
      <c r="L27" s="8">
        <f t="shared" si="1"/>
        <v>6000</v>
      </c>
      <c r="M27" s="15">
        <v>42886</v>
      </c>
      <c r="N27" s="10">
        <v>9.3000000000000007</v>
      </c>
      <c r="O27" s="10"/>
      <c r="P27" s="10"/>
      <c r="Q27" s="2"/>
      <c r="R27" s="2"/>
      <c r="S27" s="2"/>
      <c r="T27" s="2"/>
      <c r="U27" s="7">
        <f t="shared" si="2"/>
        <v>8.9211618257261344E-2</v>
      </c>
      <c r="V27" s="7">
        <f t="shared" si="3"/>
        <v>3.526970954356845E-2</v>
      </c>
      <c r="W27" s="21">
        <f t="shared" si="4"/>
        <v>2.5294117647058814</v>
      </c>
      <c r="X27" s="5">
        <f t="shared" si="5"/>
        <v>-1019.9999999999927</v>
      </c>
      <c r="Y27" s="7">
        <f t="shared" si="6"/>
        <v>-1.7634854771784107E-2</v>
      </c>
      <c r="Z27" s="7">
        <f>IF(OR(AE27="",多次统计数据!$B$8=""),"",AE27-多次统计数据!$B$8)</f>
        <v>-4.5495155014885449E-2</v>
      </c>
      <c r="AA27" s="11">
        <f t="shared" si="7"/>
        <v>9</v>
      </c>
      <c r="AB27" s="7">
        <f>IF(OR(A27="",多次统计数据!$B$8="",多次统计数据!$B$6&lt;=0,多次统计数据!$B$6&gt;=1),"",1-POWER(1+多次统计数据!$B$8,-多次统计数据!$B$6/(1-多次统计数据!$B$6)))</f>
        <v>3.371231520420892E-2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-9.9727216730706465E-3</v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>
        <f t="shared" si="10"/>
        <v>9.64</v>
      </c>
      <c r="AP27" s="11">
        <f t="shared" si="11"/>
        <v>6000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>通过</v>
      </c>
    </row>
    <row r="28" spans="1:44" x14ac:dyDescent="0.15">
      <c r="A28" s="2">
        <v>27</v>
      </c>
      <c r="B28" s="2" t="s">
        <v>45</v>
      </c>
      <c r="C28" s="10">
        <v>101259</v>
      </c>
      <c r="D28" s="6">
        <v>0.02</v>
      </c>
      <c r="E28" s="10">
        <v>9.48</v>
      </c>
      <c r="F28" s="8">
        <f t="shared" si="0"/>
        <v>4200</v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4200</v>
      </c>
      <c r="I28" s="15">
        <v>42906</v>
      </c>
      <c r="J28" s="10">
        <v>10</v>
      </c>
      <c r="K28" s="10">
        <v>9.68</v>
      </c>
      <c r="L28" s="8">
        <f t="shared" si="1"/>
        <v>4200</v>
      </c>
      <c r="M28" s="15">
        <v>42913</v>
      </c>
      <c r="N28" s="10">
        <v>9</v>
      </c>
      <c r="O28" s="10"/>
      <c r="P28" s="10"/>
      <c r="Q28" s="2"/>
      <c r="R28" s="2"/>
      <c r="S28" s="2"/>
      <c r="T28" s="2"/>
      <c r="U28" s="7">
        <f t="shared" si="2"/>
        <v>5.485232067510544E-2</v>
      </c>
      <c r="V28" s="7">
        <f t="shared" si="3"/>
        <v>5.0632911392405104E-2</v>
      </c>
      <c r="W28" s="21">
        <f t="shared" si="4"/>
        <v>1.0833333333333315</v>
      </c>
      <c r="X28" s="5">
        <f t="shared" si="5"/>
        <v>840</v>
      </c>
      <c r="Y28" s="7">
        <f t="shared" si="6"/>
        <v>2.1097046413502109E-2</v>
      </c>
      <c r="Z28" s="7">
        <f>IF(OR(AE28="",多次统计数据!$B$8=""),"",AE28-多次统计数据!$B$8)</f>
        <v>-2.7226874428533023E-2</v>
      </c>
      <c r="AA28" s="11">
        <f t="shared" si="7"/>
        <v>7</v>
      </c>
      <c r="AB28" s="7">
        <f>IF(OR(A28="",多次统计数据!$B$8="",多次统计数据!$B$6&lt;=0,多次统计数据!$B$6&gt;=1),"",1-POWER(1+多次统计数据!$B$8,-多次统计数据!$B$6/(1-多次统计数据!$B$6)))</f>
        <v>3.371231520420892E-2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8.2955589132817815E-3</v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>
        <f t="shared" si="10"/>
        <v>9.48</v>
      </c>
      <c r="AP28" s="11">
        <f t="shared" si="11"/>
        <v>4200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>通过</v>
      </c>
    </row>
    <row r="29" spans="1:44" x14ac:dyDescent="0.15">
      <c r="A29" s="2">
        <v>28</v>
      </c>
      <c r="B29" s="2" t="s">
        <v>45</v>
      </c>
      <c r="C29" s="10">
        <v>102099</v>
      </c>
      <c r="D29" s="6">
        <v>0.02</v>
      </c>
      <c r="E29" s="10">
        <v>9.6300000000000008</v>
      </c>
      <c r="F29" s="8">
        <f t="shared" si="0"/>
        <v>3200</v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3200</v>
      </c>
      <c r="I29" s="15">
        <v>42915</v>
      </c>
      <c r="J29" s="10">
        <v>10.5</v>
      </c>
      <c r="K29" s="10">
        <v>8.91</v>
      </c>
      <c r="L29" s="8">
        <f t="shared" si="1"/>
        <v>3200</v>
      </c>
      <c r="M29" s="15">
        <v>42933</v>
      </c>
      <c r="N29" s="10">
        <v>9</v>
      </c>
      <c r="O29" s="10"/>
      <c r="P29" s="10"/>
      <c r="Q29" s="2"/>
      <c r="R29" s="2"/>
      <c r="S29" s="2"/>
      <c r="T29" s="2"/>
      <c r="U29" s="7">
        <f t="shared" si="2"/>
        <v>9.034267912772577E-2</v>
      </c>
      <c r="V29" s="7">
        <f t="shared" si="3"/>
        <v>6.5420560747663628E-2</v>
      </c>
      <c r="W29" s="21">
        <f t="shared" si="4"/>
        <v>1.380952380952378</v>
      </c>
      <c r="X29" s="5">
        <f t="shared" si="5"/>
        <v>-2304.0000000000036</v>
      </c>
      <c r="Y29" s="7">
        <f t="shared" si="6"/>
        <v>-7.4766355140187021E-2</v>
      </c>
      <c r="Z29" s="7">
        <f>IF(OR(AE29="",多次统计数据!$B$8=""),"",AE29-多次统计数据!$B$8)</f>
        <v>-5.808876601892235E-2</v>
      </c>
      <c r="AA29" s="11">
        <f t="shared" si="7"/>
        <v>18</v>
      </c>
      <c r="AB29" s="7">
        <f>IF(OR(A29="",多次统计数据!$B$8="",多次统计数据!$B$6&lt;=0,多次统计数据!$B$6&gt;=1),"",1-POWER(1+多次统计数据!$B$8,-多次统计数据!$B$6/(1-多次统计数据!$B$6)))</f>
        <v>3.371231520420892E-2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-2.2566332677107549E-2</v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>
        <f t="shared" si="10"/>
        <v>9.6300000000000008</v>
      </c>
      <c r="AP29" s="11">
        <f t="shared" si="11"/>
        <v>3200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>通过</v>
      </c>
    </row>
    <row r="30" spans="1:44" x14ac:dyDescent="0.15">
      <c r="A30" s="2">
        <v>29</v>
      </c>
      <c r="B30" s="2" t="s">
        <v>45</v>
      </c>
      <c r="C30" s="10">
        <v>99795</v>
      </c>
      <c r="D30" s="6">
        <v>0.02</v>
      </c>
      <c r="E30" s="10">
        <v>9.08</v>
      </c>
      <c r="F30" s="8">
        <f t="shared" si="0"/>
        <v>4100</v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4100</v>
      </c>
      <c r="I30" s="15">
        <v>42947</v>
      </c>
      <c r="J30" s="10">
        <v>10</v>
      </c>
      <c r="K30" s="10">
        <v>8.9499999999999993</v>
      </c>
      <c r="L30" s="8">
        <f t="shared" si="1"/>
        <v>4100</v>
      </c>
      <c r="M30" s="15">
        <v>42958</v>
      </c>
      <c r="N30" s="10">
        <v>8.6</v>
      </c>
      <c r="O30" s="10"/>
      <c r="P30" s="10"/>
      <c r="Q30" s="2"/>
      <c r="R30" s="2"/>
      <c r="S30" s="2"/>
      <c r="T30" s="2"/>
      <c r="U30" s="7">
        <f t="shared" si="2"/>
        <v>0.1013215859030837</v>
      </c>
      <c r="V30" s="7">
        <f t="shared" si="3"/>
        <v>5.2863436123348068E-2</v>
      </c>
      <c r="W30" s="21">
        <f t="shared" si="4"/>
        <v>1.9166666666666647</v>
      </c>
      <c r="X30" s="5">
        <f t="shared" si="5"/>
        <v>-533</v>
      </c>
      <c r="Y30" s="7">
        <f t="shared" si="6"/>
        <v>-1.4317180616740088E-2</v>
      </c>
      <c r="Z30" s="7">
        <f>IF(OR(AE30="",多次统计数据!$B$8=""),"",AE30-多次统计数据!$B$8)</f>
        <v>-4.086338228715275E-2</v>
      </c>
      <c r="AA30" s="11">
        <f t="shared" si="7"/>
        <v>11</v>
      </c>
      <c r="AB30" s="7">
        <f>IF(OR(A30="",多次统计数据!$B$8="",多次统计数据!$B$6&lt;=0,多次统计数据!$B$6&gt;=1),"",1-POWER(1+多次统计数据!$B$8,-多次统计数据!$B$6/(1-多次统计数据!$B$6)))</f>
        <v>3.371231520420892E-2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-5.3409489453379424E-3</v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>
        <f t="shared" si="10"/>
        <v>9.08</v>
      </c>
      <c r="AP30" s="11">
        <f t="shared" si="11"/>
        <v>4100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>通过</v>
      </c>
    </row>
    <row r="31" spans="1:44" x14ac:dyDescent="0.15">
      <c r="A31" s="2">
        <v>30</v>
      </c>
      <c r="B31" s="2" t="s">
        <v>45</v>
      </c>
      <c r="C31" s="10">
        <v>99262</v>
      </c>
      <c r="D31" s="6">
        <v>0.02</v>
      </c>
      <c r="E31" s="10">
        <v>9.4600000000000009</v>
      </c>
      <c r="F31" s="8">
        <f t="shared" si="0"/>
        <v>4300</v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4300</v>
      </c>
      <c r="I31" s="15">
        <v>42964</v>
      </c>
      <c r="J31" s="10">
        <v>10</v>
      </c>
      <c r="K31" s="10">
        <v>10.01</v>
      </c>
      <c r="L31" s="8">
        <f t="shared" si="1"/>
        <v>4300</v>
      </c>
      <c r="M31" s="15">
        <v>42985</v>
      </c>
      <c r="N31" s="10">
        <v>9</v>
      </c>
      <c r="O31" s="10"/>
      <c r="P31" s="10"/>
      <c r="Q31" s="2"/>
      <c r="R31" s="2"/>
      <c r="S31" s="2"/>
      <c r="T31" s="2"/>
      <c r="U31" s="7">
        <f t="shared" si="2"/>
        <v>5.7082452431289545E-2</v>
      </c>
      <c r="V31" s="7">
        <f t="shared" si="3"/>
        <v>4.8625792811839409E-2</v>
      </c>
      <c r="W31" s="21">
        <f t="shared" si="4"/>
        <v>1.1739130434782568</v>
      </c>
      <c r="X31" s="5">
        <f t="shared" si="5"/>
        <v>2364.9999999999927</v>
      </c>
      <c r="Y31" s="7">
        <f t="shared" si="6"/>
        <v>5.8139534883720742E-2</v>
      </c>
      <c r="Z31" s="7">
        <f>IF(OR(AE31="",多次统计数据!$B$8=""),"",AE31-多次统计数据!$B$8)</f>
        <v>-1.1696598682025633E-2</v>
      </c>
      <c r="AA31" s="11">
        <f t="shared" si="7"/>
        <v>21</v>
      </c>
      <c r="AB31" s="7">
        <f>IF(OR(A31="",多次统计数据!$B$8="",多次统计数据!$B$6&lt;=0,多次统计数据!$B$6&gt;=1),"",1-POWER(1+多次统计数据!$B$8,-多次统计数据!$B$6/(1-多次统计数据!$B$6)))</f>
        <v>3.371231520420892E-2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2.3825834659789172E-2</v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>
        <f t="shared" si="10"/>
        <v>9.4600000000000009</v>
      </c>
      <c r="AP31" s="11">
        <f t="shared" si="11"/>
        <v>4300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>通过</v>
      </c>
    </row>
    <row r="32" spans="1:44" x14ac:dyDescent="0.15">
      <c r="A32" s="2">
        <v>31</v>
      </c>
      <c r="B32" s="2" t="s">
        <v>45</v>
      </c>
      <c r="C32" s="10">
        <v>101627</v>
      </c>
      <c r="D32" s="6">
        <v>0.02</v>
      </c>
      <c r="E32" s="10">
        <v>12.3</v>
      </c>
      <c r="F32" s="8">
        <f t="shared" si="0"/>
        <v>2500</v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2500</v>
      </c>
      <c r="I32" s="15">
        <v>43007</v>
      </c>
      <c r="J32" s="10">
        <v>14</v>
      </c>
      <c r="K32" s="10">
        <v>11.61</v>
      </c>
      <c r="L32" s="8">
        <f t="shared" si="1"/>
        <v>2500</v>
      </c>
      <c r="M32" s="15">
        <v>43019</v>
      </c>
      <c r="N32" s="10">
        <v>11.5</v>
      </c>
      <c r="O32" s="10"/>
      <c r="P32" s="10"/>
      <c r="Q32" s="2"/>
      <c r="R32" s="2"/>
      <c r="S32" s="2"/>
      <c r="T32" s="2"/>
      <c r="U32" s="7">
        <f t="shared" si="2"/>
        <v>0.13821138211382109</v>
      </c>
      <c r="V32" s="7">
        <f t="shared" si="3"/>
        <v>6.5040650406504114E-2</v>
      </c>
      <c r="W32" s="21">
        <f t="shared" si="4"/>
        <v>2.1249999999999978</v>
      </c>
      <c r="X32" s="5">
        <f t="shared" si="5"/>
        <v>-1725</v>
      </c>
      <c r="Y32" s="7">
        <f t="shared" si="6"/>
        <v>-5.6097560975609757E-2</v>
      </c>
      <c r="Z32" s="7">
        <f>IF(OR(AE32="",多次统计数据!$B$8=""),"",AE32-多次统计数据!$B$8)</f>
        <v>-5.2496269035085294E-2</v>
      </c>
      <c r="AA32" s="11">
        <f t="shared" si="7"/>
        <v>12</v>
      </c>
      <c r="AB32" s="7">
        <f>IF(OR(A32="",多次统计数据!$B$8="",多次统计数据!$B$6&lt;=0,多次统计数据!$B$6&gt;=1),"",1-POWER(1+多次统计数据!$B$8,-多次统计数据!$B$6/(1-多次统计数据!$B$6)))</f>
        <v>3.371231520420892E-2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-1.6973835693270489E-2</v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>
        <f t="shared" si="10"/>
        <v>12.3</v>
      </c>
      <c r="AP32" s="11">
        <f t="shared" si="11"/>
        <v>2500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>通过</v>
      </c>
    </row>
    <row r="33" spans="1:44" x14ac:dyDescent="0.15">
      <c r="A33" s="2">
        <v>32</v>
      </c>
      <c r="B33" s="2" t="s">
        <v>45</v>
      </c>
      <c r="C33" s="10">
        <v>99902</v>
      </c>
      <c r="D33" s="6">
        <v>0.02</v>
      </c>
      <c r="E33" s="10">
        <v>10.96</v>
      </c>
      <c r="F33" s="8">
        <f t="shared" si="0"/>
        <v>2000</v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2000</v>
      </c>
      <c r="I33" s="15">
        <v>43027</v>
      </c>
      <c r="J33" s="10">
        <v>13</v>
      </c>
      <c r="K33" s="10">
        <v>10.83</v>
      </c>
      <c r="L33" s="8">
        <f t="shared" si="1"/>
        <v>2000</v>
      </c>
      <c r="M33" s="15">
        <v>43035</v>
      </c>
      <c r="N33" s="10">
        <v>10</v>
      </c>
      <c r="O33" s="10"/>
      <c r="P33" s="10"/>
      <c r="Q33" s="2"/>
      <c r="R33" s="2"/>
      <c r="S33" s="2"/>
      <c r="T33" s="2"/>
      <c r="U33" s="7">
        <f t="shared" si="2"/>
        <v>0.18613138686131378</v>
      </c>
      <c r="V33" s="7">
        <f t="shared" si="3"/>
        <v>8.7591240875912482E-2</v>
      </c>
      <c r="W33" s="21">
        <f t="shared" si="4"/>
        <v>2.1249999999999973</v>
      </c>
      <c r="X33" s="5">
        <f t="shared" si="5"/>
        <v>-260</v>
      </c>
      <c r="Y33" s="7">
        <f t="shared" si="6"/>
        <v>-1.1861313868613138E-2</v>
      </c>
      <c r="Z33" s="7">
        <f>IF(OR(AE33="",多次统计数据!$B$8=""),"",AE33-多次统计数据!$B$8)</f>
        <v>-3.8124983841304305E-2</v>
      </c>
      <c r="AA33" s="11">
        <f t="shared" si="7"/>
        <v>8</v>
      </c>
      <c r="AB33" s="7">
        <f>IF(OR(A33="",多次统计数据!$B$8="",多次统计数据!$B$6&lt;=0,多次统计数据!$B$6&gt;=1),"",1-POWER(1+多次统计数据!$B$8,-多次统计数据!$B$6/(1-多次统计数据!$B$6)))</f>
        <v>3.371231520420892E-2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-2.6025504994894996E-3</v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>
        <f t="shared" si="10"/>
        <v>10.96</v>
      </c>
      <c r="AP33" s="11">
        <f t="shared" si="11"/>
        <v>2000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>通过</v>
      </c>
    </row>
    <row r="34" spans="1:44" x14ac:dyDescent="0.15">
      <c r="A34" s="2">
        <v>33</v>
      </c>
      <c r="B34" s="2" t="s">
        <v>45</v>
      </c>
      <c r="C34" s="10">
        <v>99642</v>
      </c>
      <c r="D34" s="6">
        <v>0.02</v>
      </c>
      <c r="E34" s="10">
        <v>12.3</v>
      </c>
      <c r="F34" s="8">
        <f t="shared" ref="F34:F65" si="12">IF(OR(C34="",D34="",E34="",N34="",C34&lt;=0,D34&lt;=0,E34&lt;=N34),"",ROUNDDOWN((C34*D34)/(E34-N34)/100,0)*100)</f>
        <v>2400</v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2400</v>
      </c>
      <c r="I34" s="15">
        <v>43045</v>
      </c>
      <c r="J34" s="10">
        <v>13.5</v>
      </c>
      <c r="K34" s="10">
        <v>12.42</v>
      </c>
      <c r="L34" s="8">
        <f t="shared" ref="L34:L65" si="13">IF(K34="","",H34)</f>
        <v>2400</v>
      </c>
      <c r="M34" s="15">
        <v>43049</v>
      </c>
      <c r="N34" s="10">
        <v>11.5</v>
      </c>
      <c r="O34" s="10"/>
      <c r="P34" s="10"/>
      <c r="Q34" s="2"/>
      <c r="R34" s="2"/>
      <c r="S34" s="2"/>
      <c r="T34" s="2"/>
      <c r="U34" s="7">
        <f t="shared" ref="U34:U65" si="14">IF(OR(AO34="",J34="",AO34&lt;=0),"",(J34-AO34)/AO34)</f>
        <v>9.7560975609756032E-2</v>
      </c>
      <c r="V34" s="7">
        <f t="shared" ref="V34:V65" si="15">IF(OR(AO34="",N34="",AO34&lt;=0),"",(AO34-N34)/AO34)</f>
        <v>6.5040650406504114E-2</v>
      </c>
      <c r="W34" s="21">
        <f t="shared" ref="W34:W65" si="16">IF(OR(U34="",V34="",V34&lt;=0),"",U34/V34)</f>
        <v>1.4999999999999978</v>
      </c>
      <c r="X34" s="5">
        <f t="shared" ref="X34:X65" si="17">IF(OR(K34="",L34="",AP34=""),"",K34*L34-(E34*H34+IF(AND(AK34&lt;&gt;"",AL34&lt;&gt;""),AK34*AL34,0)+IF(AND(AM34&lt;&gt;"",AN34&lt;&gt;""),AM34*AN34,0))-IF(O34="",0,O34)-IF(P34="",0,P34))</f>
        <v>288</v>
      </c>
      <c r="Y34" s="7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9.7560975609756097E-3</v>
      </c>
      <c r="Z34" s="7">
        <f>IF(OR(AE34="",多次统计数据!$B$8=""),"",AE34-多次统计数据!$B$8)</f>
        <v>-3.2632085897965825E-2</v>
      </c>
      <c r="AA34" s="11">
        <f t="shared" ref="AA34:AA65" si="19">IF(OR(I34="",M34="",M34&lt;I34),"",M34-I34)</f>
        <v>4</v>
      </c>
      <c r="AB34" s="7">
        <f>IF(OR(A34="",多次统计数据!$B$8="",多次统计数据!$B$6&lt;=0,多次统计数据!$B$6&gt;=1),"",1-POWER(1+多次统计数据!$B$8,-多次统计数据!$B$6/(1-多次统计数据!$B$6)))</f>
        <v>3.371231520420892E-2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ref="AE34:AE65" si="20">IF(OR(X34="",C34="",C34&lt;=0),"",X34/C34)</f>
        <v>2.8903474438489794E-3</v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 t="shared" ref="AO34:AO65" si="22">IF(OR(A34="",H34="",H34&lt;=0),"",(E34*H34+IF(AND(AK34&lt;&gt;"",AL34&lt;&gt;""),AK34*AL34,0)+IF(AND(AM34&lt;&gt;"",AN34&lt;&gt;""),AM34*AN34,0))/AP34)</f>
        <v>12.3</v>
      </c>
      <c r="AP34" s="11">
        <f t="shared" ref="AP34:AP65" si="23">IF(OR(A34="",H34="",H34&lt;=0),"",H34+IF(AL34="",0,AL34)+IF(AN34="",0,AN34))</f>
        <v>2400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>通过</v>
      </c>
    </row>
    <row r="35" spans="1:44" x14ac:dyDescent="0.15">
      <c r="A35" s="2">
        <v>34</v>
      </c>
      <c r="B35" s="2" t="s">
        <v>45</v>
      </c>
      <c r="C35" s="10">
        <v>99930</v>
      </c>
      <c r="D35" s="6">
        <v>0.02</v>
      </c>
      <c r="E35" s="10">
        <v>12.81</v>
      </c>
      <c r="F35" s="8">
        <f t="shared" si="12"/>
        <v>2400</v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2400</v>
      </c>
      <c r="I35" s="15">
        <v>43061</v>
      </c>
      <c r="J35" s="10">
        <v>14</v>
      </c>
      <c r="K35" s="10">
        <v>11.61</v>
      </c>
      <c r="L35" s="8">
        <f t="shared" si="13"/>
        <v>2400</v>
      </c>
      <c r="M35" s="15">
        <v>43066</v>
      </c>
      <c r="N35" s="10">
        <v>12</v>
      </c>
      <c r="O35" s="10"/>
      <c r="P35" s="10"/>
      <c r="Q35" s="2"/>
      <c r="R35" s="2"/>
      <c r="S35" s="2"/>
      <c r="T35" s="2"/>
      <c r="U35" s="7">
        <f t="shared" si="14"/>
        <v>9.2896174863387942E-2</v>
      </c>
      <c r="V35" s="7">
        <f t="shared" si="15"/>
        <v>6.3231850117096061E-2</v>
      </c>
      <c r="W35" s="21">
        <f t="shared" si="16"/>
        <v>1.4691358024691343</v>
      </c>
      <c r="X35" s="5">
        <f t="shared" si="17"/>
        <v>-2880</v>
      </c>
      <c r="Y35" s="7">
        <f t="shared" si="18"/>
        <v>-9.3676814988290405E-2</v>
      </c>
      <c r="Z35" s="7">
        <f>IF(OR(AE35="",多次统计数据!$B$8=""),"",AE35-多次统计数据!$B$8)</f>
        <v>-6.434260746370013E-2</v>
      </c>
      <c r="AA35" s="11">
        <f t="shared" si="19"/>
        <v>5</v>
      </c>
      <c r="AB35" s="7">
        <f>IF(OR(A35="",多次统计数据!$B$8="",多次统计数据!$B$6&lt;=0,多次统计数据!$B$6&gt;=1),"",1-POWER(1+多次统计数据!$B$8,-多次统计数据!$B$6/(1-多次统计数据!$B$6)))</f>
        <v>3.371231520420892E-2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20"/>
        <v>-2.8820174121885318E-2</v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>
        <f t="shared" si="22"/>
        <v>12.81</v>
      </c>
      <c r="AP35" s="11">
        <f t="shared" si="23"/>
        <v>2400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>通过</v>
      </c>
    </row>
    <row r="36" spans="1:44" x14ac:dyDescent="0.15">
      <c r="A36" s="2">
        <v>35</v>
      </c>
      <c r="B36" s="2" t="s">
        <v>45</v>
      </c>
      <c r="C36" s="10">
        <v>97050</v>
      </c>
      <c r="D36" s="6">
        <v>0.02</v>
      </c>
      <c r="E36" s="10">
        <v>12.69</v>
      </c>
      <c r="F36" s="8">
        <f t="shared" si="12"/>
        <v>2800</v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2800</v>
      </c>
      <c r="I36" s="15">
        <v>43067</v>
      </c>
      <c r="J36" s="10">
        <v>14</v>
      </c>
      <c r="K36" s="10">
        <v>12.8</v>
      </c>
      <c r="L36" s="8">
        <f t="shared" si="13"/>
        <v>2800</v>
      </c>
      <c r="M36" s="15">
        <v>43074</v>
      </c>
      <c r="N36" s="10">
        <v>12</v>
      </c>
      <c r="O36" s="10"/>
      <c r="P36" s="10"/>
      <c r="Q36" s="2"/>
      <c r="R36" s="2"/>
      <c r="S36" s="2"/>
      <c r="T36" s="2"/>
      <c r="U36" s="7">
        <f t="shared" si="14"/>
        <v>0.10323089046493306</v>
      </c>
      <c r="V36" s="7">
        <f t="shared" si="15"/>
        <v>5.4373522458628802E-2</v>
      </c>
      <c r="W36" s="21">
        <f t="shared" si="16"/>
        <v>1.8985507246376832</v>
      </c>
      <c r="X36" s="5">
        <f t="shared" si="17"/>
        <v>308</v>
      </c>
      <c r="Y36" s="7">
        <f t="shared" si="18"/>
        <v>8.6682427107959027E-3</v>
      </c>
      <c r="Z36" s="7">
        <f>IF(OR(AE36="",多次统计数据!$B$8=""),"",AE36-多次统计数据!$B$8)</f>
        <v>-3.2348811497404706E-2</v>
      </c>
      <c r="AA36" s="11">
        <f t="shared" si="19"/>
        <v>7</v>
      </c>
      <c r="AB36" s="7">
        <f>IF(OR(A36="",多次统计数据!$B$8="",多次统计数据!$B$6&lt;=0,多次统计数据!$B$6&gt;=1),"",1-POWER(1+多次统计数据!$B$8,-多次统计数据!$B$6/(1-多次统计数据!$B$6)))</f>
        <v>3.371231520420892E-2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20"/>
        <v>3.173621844410098E-3</v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>
        <f t="shared" si="22"/>
        <v>12.69</v>
      </c>
      <c r="AP36" s="11">
        <f t="shared" si="23"/>
        <v>2800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>通过</v>
      </c>
    </row>
    <row r="37" spans="1:44" x14ac:dyDescent="0.15">
      <c r="A37" s="2">
        <v>36</v>
      </c>
      <c r="B37" s="2" t="s">
        <v>45</v>
      </c>
      <c r="C37" s="10">
        <v>97358</v>
      </c>
      <c r="D37" s="6">
        <v>0.02</v>
      </c>
      <c r="E37" s="10">
        <v>14.5</v>
      </c>
      <c r="F37" s="8">
        <f t="shared" si="12"/>
        <v>1900</v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1900</v>
      </c>
      <c r="I37" s="15">
        <v>43080</v>
      </c>
      <c r="J37" s="10">
        <v>16</v>
      </c>
      <c r="K37" s="10">
        <v>13.19</v>
      </c>
      <c r="L37" s="8">
        <f t="shared" si="13"/>
        <v>1900</v>
      </c>
      <c r="M37" s="15">
        <v>43087</v>
      </c>
      <c r="N37" s="10">
        <v>13.5</v>
      </c>
      <c r="O37" s="10"/>
      <c r="P37" s="10"/>
      <c r="Q37" s="2"/>
      <c r="R37" s="2"/>
      <c r="S37" s="2"/>
      <c r="T37" s="2"/>
      <c r="U37" s="7">
        <f t="shared" si="14"/>
        <v>0.10344827586206896</v>
      </c>
      <c r="V37" s="7">
        <f t="shared" si="15"/>
        <v>6.8965517241379309E-2</v>
      </c>
      <c r="W37" s="21">
        <f t="shared" si="16"/>
        <v>1.5</v>
      </c>
      <c r="X37" s="5">
        <f t="shared" si="17"/>
        <v>-2489</v>
      </c>
      <c r="Y37" s="7">
        <f t="shared" si="18"/>
        <v>-9.0344827586206891E-2</v>
      </c>
      <c r="Z37" s="7">
        <f>IF(OR(AE37="",多次统计数据!$B$8=""),"",AE37-多次统计数据!$B$8)</f>
        <v>-6.1087872237437148E-2</v>
      </c>
      <c r="AA37" s="11">
        <f t="shared" si="19"/>
        <v>7</v>
      </c>
      <c r="AB37" s="7">
        <f>IF(OR(A37="",多次统计数据!$B$8="",多次统计数据!$B$6&lt;=0,多次统计数据!$B$6&gt;=1),"",1-POWER(1+多次统计数据!$B$8,-多次统计数据!$B$6/(1-多次统计数据!$B$6)))</f>
        <v>3.371231520420892E-2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20"/>
        <v>-2.5565438895622343E-2</v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>
        <f t="shared" si="22"/>
        <v>14.5</v>
      </c>
      <c r="AP37" s="11">
        <f t="shared" si="23"/>
        <v>1900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>通过</v>
      </c>
    </row>
    <row r="38" spans="1:44" x14ac:dyDescent="0.15">
      <c r="A38" s="2">
        <v>37</v>
      </c>
      <c r="B38" s="2" t="s">
        <v>45</v>
      </c>
      <c r="C38" s="10">
        <v>94869</v>
      </c>
      <c r="D38" s="6">
        <v>0.02</v>
      </c>
      <c r="E38" s="10">
        <v>13.46</v>
      </c>
      <c r="F38" s="8">
        <f t="shared" si="12"/>
        <v>1900</v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1900</v>
      </c>
      <c r="I38" s="15">
        <v>43090</v>
      </c>
      <c r="J38" s="10">
        <v>15</v>
      </c>
      <c r="K38" s="10">
        <v>13.12</v>
      </c>
      <c r="L38" s="8">
        <f t="shared" si="13"/>
        <v>1900</v>
      </c>
      <c r="M38" s="15">
        <v>43103</v>
      </c>
      <c r="N38" s="10">
        <v>12.5</v>
      </c>
      <c r="O38" s="10"/>
      <c r="P38" s="10"/>
      <c r="Q38" s="2"/>
      <c r="R38" s="2"/>
      <c r="S38" s="2"/>
      <c r="T38" s="2"/>
      <c r="U38" s="7">
        <f t="shared" si="14"/>
        <v>0.11441307578008908</v>
      </c>
      <c r="V38" s="7">
        <f t="shared" si="15"/>
        <v>7.1322436849925758E-2</v>
      </c>
      <c r="W38" s="21">
        <f t="shared" si="16"/>
        <v>1.6041666666666645</v>
      </c>
      <c r="X38" s="5">
        <f t="shared" si="17"/>
        <v>-646</v>
      </c>
      <c r="Y38" s="7">
        <f t="shared" si="18"/>
        <v>-2.5260029717682021E-2</v>
      </c>
      <c r="Z38" s="7">
        <f>IF(OR(AE38="",多次统计数据!$B$8=""),"",AE38-多次统计数据!$B$8)</f>
        <v>-4.2331823131946458E-2</v>
      </c>
      <c r="AA38" s="11">
        <f t="shared" si="19"/>
        <v>13</v>
      </c>
      <c r="AB38" s="7">
        <f>IF(OR(A38="",多次统计数据!$B$8="",多次统计数据!$B$6&lt;=0,多次统计数据!$B$6&gt;=1),"",1-POWER(1+多次统计数据!$B$8,-多次统计数据!$B$6/(1-多次统计数据!$B$6)))</f>
        <v>3.371231520420892E-2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20"/>
        <v>-6.8093897901316553E-3</v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>
        <f t="shared" si="22"/>
        <v>13.46</v>
      </c>
      <c r="AP38" s="11">
        <f t="shared" si="23"/>
        <v>1900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>通过</v>
      </c>
    </row>
    <row r="39" spans="1:44" x14ac:dyDescent="0.15">
      <c r="A39" s="2">
        <v>38</v>
      </c>
      <c r="B39" s="2" t="s">
        <v>45</v>
      </c>
      <c r="C39" s="10">
        <v>94223</v>
      </c>
      <c r="D39" s="6">
        <v>0.02</v>
      </c>
      <c r="E39" s="10">
        <v>11.18</v>
      </c>
      <c r="F39" s="8">
        <f t="shared" si="12"/>
        <v>2700</v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2700</v>
      </c>
      <c r="I39" s="15">
        <v>43122</v>
      </c>
      <c r="J39" s="10">
        <v>13</v>
      </c>
      <c r="K39" s="10">
        <v>11.42</v>
      </c>
      <c r="L39" s="8">
        <f t="shared" si="13"/>
        <v>2700</v>
      </c>
      <c r="M39" s="15">
        <v>43126</v>
      </c>
      <c r="N39" s="10">
        <v>10.5</v>
      </c>
      <c r="O39" s="10"/>
      <c r="P39" s="10"/>
      <c r="Q39" s="2"/>
      <c r="R39" s="2"/>
      <c r="S39" s="2"/>
      <c r="T39" s="2"/>
      <c r="U39" s="7">
        <f t="shared" si="14"/>
        <v>0.16279069767441864</v>
      </c>
      <c r="V39" s="7">
        <f t="shared" si="15"/>
        <v>6.0822898032200333E-2</v>
      </c>
      <c r="W39" s="21">
        <f t="shared" si="16"/>
        <v>2.6764705882352957</v>
      </c>
      <c r="X39" s="5">
        <f t="shared" si="17"/>
        <v>648</v>
      </c>
      <c r="Y39" s="7">
        <f t="shared" si="18"/>
        <v>2.1466905187835419E-2</v>
      </c>
      <c r="Z39" s="7">
        <f>IF(OR(AE39="",多次统计数据!$B$8=""),"",AE39-多次统计数据!$B$8)</f>
        <v>-2.8645131621428063E-2</v>
      </c>
      <c r="AA39" s="11">
        <f t="shared" si="19"/>
        <v>4</v>
      </c>
      <c r="AB39" s="7">
        <f>IF(OR(A39="",多次统计数据!$B$8="",多次统计数据!$B$6&lt;=0,多次统计数据!$B$6&gt;=1),"",1-POWER(1+多次统计数据!$B$8,-多次统计数据!$B$6/(1-多次统计数据!$B$6)))</f>
        <v>3.371231520420892E-2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20"/>
        <v>6.8773017203867422E-3</v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>
        <f t="shared" si="22"/>
        <v>11.18</v>
      </c>
      <c r="AP39" s="11">
        <f t="shared" si="23"/>
        <v>2700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>通过</v>
      </c>
    </row>
    <row r="40" spans="1:44" x14ac:dyDescent="0.15">
      <c r="A40" s="2">
        <v>39</v>
      </c>
      <c r="B40" s="2" t="s">
        <v>45</v>
      </c>
      <c r="C40" s="10">
        <v>94871</v>
      </c>
      <c r="D40" s="6">
        <v>0.02</v>
      </c>
      <c r="E40" s="10">
        <v>9.48</v>
      </c>
      <c r="F40" s="8">
        <f t="shared" si="12"/>
        <v>3900</v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3900</v>
      </c>
      <c r="I40" s="15">
        <v>43133</v>
      </c>
      <c r="J40" s="10">
        <v>10</v>
      </c>
      <c r="K40" s="10">
        <v>8.6300000000000008</v>
      </c>
      <c r="L40" s="8">
        <f t="shared" si="13"/>
        <v>3900</v>
      </c>
      <c r="M40" s="15">
        <v>43137</v>
      </c>
      <c r="N40" s="10">
        <v>9</v>
      </c>
      <c r="O40" s="10"/>
      <c r="P40" s="10"/>
      <c r="Q40" s="2"/>
      <c r="R40" s="2"/>
      <c r="S40" s="2"/>
      <c r="T40" s="2"/>
      <c r="U40" s="7">
        <f t="shared" si="14"/>
        <v>5.485232067510544E-2</v>
      </c>
      <c r="V40" s="7">
        <f t="shared" si="15"/>
        <v>5.0632911392405104E-2</v>
      </c>
      <c r="W40" s="21">
        <f t="shared" si="16"/>
        <v>1.0833333333333315</v>
      </c>
      <c r="X40" s="5">
        <f t="shared" si="17"/>
        <v>-3315</v>
      </c>
      <c r="Y40" s="7">
        <f t="shared" si="18"/>
        <v>-8.9662447257383968E-2</v>
      </c>
      <c r="Z40" s="7">
        <f>IF(OR(AE40="",多次统计数据!$B$8=""),"",AE40-多次统计数据!$B$8)</f>
        <v>-7.0464617992551076E-2</v>
      </c>
      <c r="AA40" s="11">
        <f t="shared" si="19"/>
        <v>4</v>
      </c>
      <c r="AB40" s="7">
        <f>IF(OR(A40="",多次统计数据!$B$8="",多次统计数据!$B$6&lt;=0,多次统计数据!$B$6&gt;=1),"",1-POWER(1+多次统计数据!$B$8,-多次统计数据!$B$6/(1-多次统计数据!$B$6)))</f>
        <v>3.371231520420892E-2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20"/>
        <v>-3.4942184650736265E-2</v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>
        <f t="shared" si="22"/>
        <v>9.48</v>
      </c>
      <c r="AP40" s="11">
        <f t="shared" si="23"/>
        <v>3900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>通过</v>
      </c>
    </row>
    <row r="41" spans="1:44" x14ac:dyDescent="0.15">
      <c r="A41" s="2">
        <v>40</v>
      </c>
      <c r="B41" s="2" t="s">
        <v>45</v>
      </c>
      <c r="C41" s="10">
        <v>91556</v>
      </c>
      <c r="D41" s="6">
        <v>0.02</v>
      </c>
      <c r="E41" s="10">
        <v>11.99</v>
      </c>
      <c r="F41" s="8">
        <f t="shared" si="12"/>
        <v>1800</v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1800</v>
      </c>
      <c r="I41" s="15">
        <v>43168</v>
      </c>
      <c r="J41" s="10">
        <v>14</v>
      </c>
      <c r="K41" s="10">
        <v>11.9</v>
      </c>
      <c r="L41" s="8">
        <f t="shared" si="13"/>
        <v>1800</v>
      </c>
      <c r="M41" s="15">
        <v>43178</v>
      </c>
      <c r="N41" s="10">
        <v>11</v>
      </c>
      <c r="O41" s="10"/>
      <c r="P41" s="10"/>
      <c r="Q41" s="2"/>
      <c r="R41" s="2"/>
      <c r="S41" s="2"/>
      <c r="T41" s="2"/>
      <c r="U41" s="7">
        <f t="shared" si="14"/>
        <v>0.16763969974979148</v>
      </c>
      <c r="V41" s="7">
        <f t="shared" si="15"/>
        <v>8.256880733944956E-2</v>
      </c>
      <c r="W41" s="21">
        <f t="shared" si="16"/>
        <v>2.0303030303030298</v>
      </c>
      <c r="X41" s="5">
        <f t="shared" si="17"/>
        <v>-162</v>
      </c>
      <c r="Y41" s="7">
        <f t="shared" si="18"/>
        <v>-7.5062552126772307E-3</v>
      </c>
      <c r="Z41" s="7">
        <f>IF(OR(AE41="",多次统计数据!$B$8=""),"",AE41-多次统计数据!$B$8)</f>
        <v>-3.7291842228179432E-2</v>
      </c>
      <c r="AA41" s="11">
        <f t="shared" si="19"/>
        <v>10</v>
      </c>
      <c r="AB41" s="7">
        <f>IF(OR(A41="",多次统计数据!$B$8="",多次统计数据!$B$6&lt;=0,多次统计数据!$B$6&gt;=1),"",1-POWER(1+多次统计数据!$B$8,-多次统计数据!$B$6/(1-多次统计数据!$B$6)))</f>
        <v>3.371231520420892E-2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20"/>
        <v>-1.7694088863646294E-3</v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>
        <f t="shared" si="22"/>
        <v>11.99</v>
      </c>
      <c r="AP41" s="11">
        <f t="shared" si="23"/>
        <v>1800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>通过</v>
      </c>
    </row>
    <row r="42" spans="1:44" x14ac:dyDescent="0.15">
      <c r="A42" s="2">
        <v>41</v>
      </c>
      <c r="B42" s="2" t="s">
        <v>45</v>
      </c>
      <c r="C42" s="10">
        <v>91394</v>
      </c>
      <c r="D42" s="6">
        <v>0.02</v>
      </c>
      <c r="E42" s="10">
        <v>11.6</v>
      </c>
      <c r="F42" s="8">
        <f t="shared" si="12"/>
        <v>3000</v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3000</v>
      </c>
      <c r="I42" s="15">
        <v>43234</v>
      </c>
      <c r="J42" s="10">
        <v>13</v>
      </c>
      <c r="K42" s="10">
        <v>11.84</v>
      </c>
      <c r="L42" s="8">
        <f t="shared" si="13"/>
        <v>3000</v>
      </c>
      <c r="M42" s="15">
        <v>43248</v>
      </c>
      <c r="N42" s="10">
        <v>11</v>
      </c>
      <c r="O42" s="10"/>
      <c r="P42" s="10"/>
      <c r="Q42" s="2"/>
      <c r="R42" s="2"/>
      <c r="S42" s="2"/>
      <c r="T42" s="2"/>
      <c r="U42" s="7">
        <f t="shared" si="14"/>
        <v>0.12068965517241383</v>
      </c>
      <c r="V42" s="7">
        <f t="shared" si="15"/>
        <v>5.1724137931034454E-2</v>
      </c>
      <c r="W42" s="21">
        <f t="shared" si="16"/>
        <v>2.3333333333333353</v>
      </c>
      <c r="X42" s="5">
        <f t="shared" si="17"/>
        <v>720</v>
      </c>
      <c r="Y42" s="7">
        <f t="shared" si="18"/>
        <v>2.0689655172413793E-2</v>
      </c>
      <c r="Z42" s="7">
        <f>IF(OR(AE42="",多次统计数据!$B$8=""),"",AE42-多次统计数据!$B$8)</f>
        <v>-2.7644454481058081E-2</v>
      </c>
      <c r="AA42" s="11">
        <f t="shared" si="19"/>
        <v>14</v>
      </c>
      <c r="AB42" s="7">
        <f>IF(OR(A42="",多次统计数据!$B$8="",多次统计数据!$B$6&lt;=0,多次统计数据!$B$6&gt;=1),"",1-POWER(1+多次统计数据!$B$8,-多次统计数据!$B$6/(1-多次统计数据!$B$6)))</f>
        <v>3.371231520420892E-2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20"/>
        <v>7.8779788607567236E-3</v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>
        <f t="shared" si="22"/>
        <v>11.6</v>
      </c>
      <c r="AP42" s="11">
        <f t="shared" si="23"/>
        <v>3000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>通过</v>
      </c>
    </row>
    <row r="43" spans="1:44" x14ac:dyDescent="0.15">
      <c r="A43" s="2">
        <v>42</v>
      </c>
      <c r="B43" s="2" t="s">
        <v>45</v>
      </c>
      <c r="C43" s="10">
        <v>92114</v>
      </c>
      <c r="D43" s="6">
        <v>0.02</v>
      </c>
      <c r="E43" s="10">
        <v>10.06</v>
      </c>
      <c r="F43" s="8">
        <f t="shared" si="12"/>
        <v>2400</v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2400</v>
      </c>
      <c r="I43" s="15">
        <v>43277</v>
      </c>
      <c r="J43" s="10">
        <v>12</v>
      </c>
      <c r="K43" s="10">
        <v>10.45</v>
      </c>
      <c r="L43" s="8">
        <f t="shared" si="13"/>
        <v>2400</v>
      </c>
      <c r="M43" s="15">
        <v>43283</v>
      </c>
      <c r="N43" s="10">
        <v>9.3000000000000007</v>
      </c>
      <c r="O43" s="10"/>
      <c r="P43" s="10"/>
      <c r="Q43" s="2"/>
      <c r="R43" s="2"/>
      <c r="S43" s="2"/>
      <c r="T43" s="2"/>
      <c r="U43" s="7">
        <f t="shared" si="14"/>
        <v>0.19284294234592439</v>
      </c>
      <c r="V43" s="7">
        <f t="shared" si="15"/>
        <v>7.5546719681908528E-2</v>
      </c>
      <c r="W43" s="21">
        <f t="shared" si="16"/>
        <v>2.5526315789473681</v>
      </c>
      <c r="X43" s="5">
        <f t="shared" si="17"/>
        <v>936</v>
      </c>
      <c r="Y43" s="7">
        <f t="shared" si="18"/>
        <v>3.8767395626242547E-2</v>
      </c>
      <c r="Z43" s="7">
        <f>IF(OR(AE43="",多次统计数据!$B$8=""),"",AE43-多次统计数据!$B$8)</f>
        <v>-2.5361111501486518E-2</v>
      </c>
      <c r="AA43" s="11">
        <f t="shared" si="19"/>
        <v>6</v>
      </c>
      <c r="AB43" s="7">
        <f>IF(OR(A43="",多次统计数据!$B$8="",多次统计数据!$B$6&lt;=0,多次统计数据!$B$6&gt;=1),"",1-POWER(1+多次统计数据!$B$8,-多次统计数据!$B$6/(1-多次统计数据!$B$6)))</f>
        <v>3.371231520420892E-2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20"/>
        <v>1.0161321840328289E-2</v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>
        <f t="shared" si="22"/>
        <v>10.06</v>
      </c>
      <c r="AP43" s="11">
        <f t="shared" si="23"/>
        <v>2400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>通过</v>
      </c>
    </row>
    <row r="44" spans="1:44" x14ac:dyDescent="0.15">
      <c r="A44" s="2">
        <v>43</v>
      </c>
      <c r="B44" s="2" t="s">
        <v>45</v>
      </c>
      <c r="C44" s="10">
        <v>93050</v>
      </c>
      <c r="D44" s="6">
        <v>0.02</v>
      </c>
      <c r="E44" s="10">
        <v>10.46</v>
      </c>
      <c r="F44" s="8">
        <f t="shared" si="12"/>
        <v>4000</v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4000</v>
      </c>
      <c r="I44" s="15">
        <v>43287</v>
      </c>
      <c r="J44" s="10">
        <v>12</v>
      </c>
      <c r="K44" s="10">
        <v>10.130000000000001</v>
      </c>
      <c r="L44" s="8">
        <f t="shared" si="13"/>
        <v>4000</v>
      </c>
      <c r="M44" s="15">
        <v>43292</v>
      </c>
      <c r="N44" s="10">
        <v>10</v>
      </c>
      <c r="O44" s="10"/>
      <c r="P44" s="10"/>
      <c r="Q44" s="2"/>
      <c r="R44" s="2"/>
      <c r="S44" s="2"/>
      <c r="T44" s="2"/>
      <c r="U44" s="7">
        <f t="shared" si="14"/>
        <v>0.14722753346080297</v>
      </c>
      <c r="V44" s="7">
        <f t="shared" si="15"/>
        <v>4.3977055449330865E-2</v>
      </c>
      <c r="W44" s="21">
        <f t="shared" si="16"/>
        <v>3.3478260869565135</v>
      </c>
      <c r="X44" s="5">
        <f t="shared" si="17"/>
        <v>-1320</v>
      </c>
      <c r="Y44" s="7">
        <f t="shared" si="18"/>
        <v>-3.1548757170172081E-2</v>
      </c>
      <c r="Z44" s="7">
        <f>IF(OR(AE44="",多次统计数据!$B$8=""),"",AE44-多次统计数据!$B$8)</f>
        <v>-4.970835488936988E-2</v>
      </c>
      <c r="AA44" s="11">
        <f t="shared" si="19"/>
        <v>5</v>
      </c>
      <c r="AB44" s="7">
        <f>IF(OR(A44="",多次统计数据!$B$8="",多次统计数据!$B$6&lt;=0,多次统计数据!$B$6&gt;=1),"",1-POWER(1+多次统计数据!$B$8,-多次统计数据!$B$6/(1-多次统计数据!$B$6)))</f>
        <v>3.371231520420892E-2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20"/>
        <v>-1.4185921547555078E-2</v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>
        <f t="shared" si="22"/>
        <v>10.46</v>
      </c>
      <c r="AP44" s="11">
        <f t="shared" si="23"/>
        <v>4000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>通过</v>
      </c>
    </row>
    <row r="45" spans="1:44" x14ac:dyDescent="0.15">
      <c r="A45" s="2">
        <v>44</v>
      </c>
      <c r="B45" s="2" t="s">
        <v>45</v>
      </c>
      <c r="C45" s="10">
        <v>91730</v>
      </c>
      <c r="D45" s="6">
        <v>0.02</v>
      </c>
      <c r="E45" s="10">
        <v>10.41</v>
      </c>
      <c r="F45" s="8">
        <f t="shared" si="12"/>
        <v>4400</v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4400</v>
      </c>
      <c r="I45" s="15">
        <v>43312</v>
      </c>
      <c r="J45" s="10">
        <v>12</v>
      </c>
      <c r="K45" s="10">
        <v>9.9</v>
      </c>
      <c r="L45" s="8">
        <f t="shared" si="13"/>
        <v>4400</v>
      </c>
      <c r="M45" s="15">
        <v>43314</v>
      </c>
      <c r="N45" s="10">
        <v>10</v>
      </c>
      <c r="O45" s="10"/>
      <c r="P45" s="10"/>
      <c r="Q45" s="2"/>
      <c r="R45" s="2"/>
      <c r="S45" s="2"/>
      <c r="T45" s="2"/>
      <c r="U45" s="7">
        <f t="shared" si="14"/>
        <v>0.15273775216138327</v>
      </c>
      <c r="V45" s="7">
        <f t="shared" si="15"/>
        <v>3.9385206532180611E-2</v>
      </c>
      <c r="W45" s="21">
        <f t="shared" si="16"/>
        <v>3.878048780487803</v>
      </c>
      <c r="X45" s="5">
        <f t="shared" si="17"/>
        <v>-2244</v>
      </c>
      <c r="Y45" s="7">
        <f t="shared" si="18"/>
        <v>-4.8991354466858789E-2</v>
      </c>
      <c r="Z45" s="7">
        <f>IF(OR(AE45="",多次统计数据!$B$8=""),"",AE45-多次统计数据!$B$8)</f>
        <v>-5.9985531564860702E-2</v>
      </c>
      <c r="AA45" s="11">
        <f t="shared" si="19"/>
        <v>2</v>
      </c>
      <c r="AB45" s="7">
        <f>IF(OR(A45="",多次统计数据!$B$8="",多次统计数据!$B$6&lt;=0,多次统计数据!$B$6&gt;=1),"",1-POWER(1+多次统计数据!$B$8,-多次统计数据!$B$6/(1-多次统计数据!$B$6)))</f>
        <v>3.371231520420892E-2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20"/>
        <v>-2.4463098223045897E-2</v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>
        <f t="shared" si="22"/>
        <v>10.41</v>
      </c>
      <c r="AP45" s="11">
        <f t="shared" si="23"/>
        <v>4400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>通过</v>
      </c>
    </row>
    <row r="46" spans="1:44" x14ac:dyDescent="0.15">
      <c r="A46" s="2">
        <v>45</v>
      </c>
      <c r="B46" s="2" t="s">
        <v>45</v>
      </c>
      <c r="C46" s="10">
        <v>89486</v>
      </c>
      <c r="D46" s="6">
        <v>0.02</v>
      </c>
      <c r="E46" s="10">
        <v>10.45</v>
      </c>
      <c r="F46" s="8">
        <f t="shared" si="12"/>
        <v>3900</v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3900</v>
      </c>
      <c r="I46" s="15">
        <v>43319</v>
      </c>
      <c r="J46" s="10">
        <v>12</v>
      </c>
      <c r="K46" s="10">
        <v>9.9499999999999993</v>
      </c>
      <c r="L46" s="8">
        <f t="shared" si="13"/>
        <v>3900</v>
      </c>
      <c r="M46" s="15">
        <v>43328</v>
      </c>
      <c r="N46" s="10">
        <v>10</v>
      </c>
      <c r="O46" s="10"/>
      <c r="P46" s="10"/>
      <c r="Q46" s="2"/>
      <c r="R46" s="2"/>
      <c r="S46" s="2"/>
      <c r="T46" s="2"/>
      <c r="U46" s="7">
        <f t="shared" si="14"/>
        <v>0.14832535885167472</v>
      </c>
      <c r="V46" s="7">
        <f t="shared" si="15"/>
        <v>4.3062200956937732E-2</v>
      </c>
      <c r="W46" s="21">
        <f t="shared" si="16"/>
        <v>3.4444444444444517</v>
      </c>
      <c r="X46" s="5">
        <f t="shared" si="17"/>
        <v>-1950</v>
      </c>
      <c r="Y46" s="7">
        <f t="shared" si="18"/>
        <v>-4.784688995215311E-2</v>
      </c>
      <c r="Z46" s="7">
        <f>IF(OR(AE46="",多次统计数据!$B$8=""),"",AE46-多次统计数据!$B$8)</f>
        <v>-5.7313551505549912E-2</v>
      </c>
      <c r="AA46" s="11">
        <f t="shared" si="19"/>
        <v>9</v>
      </c>
      <c r="AB46" s="7">
        <f>IF(OR(A46="",多次统计数据!$B$8="",多次统计数据!$B$6&lt;=0,多次统计数据!$B$6&gt;=1),"",1-POWER(1+多次统计数据!$B$8,-多次统计数据!$B$6/(1-多次统计数据!$B$6)))</f>
        <v>3.371231520420892E-2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20"/>
        <v>-2.179111816373511E-2</v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>
        <f t="shared" si="22"/>
        <v>10.45</v>
      </c>
      <c r="AP46" s="11">
        <f t="shared" si="23"/>
        <v>3900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>通过</v>
      </c>
    </row>
    <row r="47" spans="1:44" x14ac:dyDescent="0.15">
      <c r="A47" s="2">
        <v>46</v>
      </c>
      <c r="B47" s="2" t="s">
        <v>45</v>
      </c>
      <c r="C47" s="10">
        <v>87536</v>
      </c>
      <c r="D47" s="6">
        <v>0.02</v>
      </c>
      <c r="E47" s="10">
        <v>10.11</v>
      </c>
      <c r="F47" s="8">
        <f t="shared" si="12"/>
        <v>2100</v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2100</v>
      </c>
      <c r="I47" s="15">
        <v>43333</v>
      </c>
      <c r="J47" s="10">
        <v>12</v>
      </c>
      <c r="K47" s="10">
        <v>9.58</v>
      </c>
      <c r="L47" s="8">
        <f t="shared" si="13"/>
        <v>2100</v>
      </c>
      <c r="M47" s="15">
        <v>43348</v>
      </c>
      <c r="N47" s="10">
        <v>9.3000000000000007</v>
      </c>
      <c r="O47" s="10"/>
      <c r="P47" s="10"/>
      <c r="Q47" s="2"/>
      <c r="R47" s="2"/>
      <c r="S47" s="2"/>
      <c r="T47" s="2"/>
      <c r="U47" s="7">
        <f t="shared" si="14"/>
        <v>0.18694362017804161</v>
      </c>
      <c r="V47" s="7">
        <f t="shared" si="15"/>
        <v>8.0118694362017684E-2</v>
      </c>
      <c r="W47" s="21">
        <f t="shared" si="16"/>
        <v>2.3333333333333379</v>
      </c>
      <c r="X47" s="5">
        <f t="shared" si="17"/>
        <v>-1113</v>
      </c>
      <c r="Y47" s="7">
        <f t="shared" si="18"/>
        <v>-5.2423343224530169E-2</v>
      </c>
      <c r="Z47" s="7">
        <f>IF(OR(AE47="",多次统计数据!$B$8=""),"",AE47-多次统计数据!$B$8)</f>
        <v>-4.8237202122659258E-2</v>
      </c>
      <c r="AA47" s="11">
        <f t="shared" si="19"/>
        <v>15</v>
      </c>
      <c r="AB47" s="7">
        <f>IF(OR(A47="",多次统计数据!$B$8="",多次统计数据!$B$6&lt;=0,多次统计数据!$B$6&gt;=1),"",1-POWER(1+多次统计数据!$B$8,-多次统计数据!$B$6/(1-多次统计数据!$B$6)))</f>
        <v>3.371231520420892E-2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20"/>
        <v>-1.2714768780844453E-2</v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>
        <f t="shared" si="22"/>
        <v>10.11</v>
      </c>
      <c r="AP47" s="11">
        <f t="shared" si="23"/>
        <v>2100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>通过</v>
      </c>
    </row>
    <row r="48" spans="1:44" x14ac:dyDescent="0.15">
      <c r="A48" s="2">
        <v>47</v>
      </c>
      <c r="B48" s="2" t="s">
        <v>45</v>
      </c>
      <c r="C48" s="10">
        <v>86423</v>
      </c>
      <c r="D48" s="6">
        <v>0.02</v>
      </c>
      <c r="E48" s="10">
        <v>8.43</v>
      </c>
      <c r="F48" s="8">
        <f t="shared" si="12"/>
        <v>4000</v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4000</v>
      </c>
      <c r="I48" s="15">
        <v>43361</v>
      </c>
      <c r="J48" s="10">
        <v>9.5</v>
      </c>
      <c r="K48" s="10">
        <v>8.68</v>
      </c>
      <c r="L48" s="8">
        <f t="shared" si="13"/>
        <v>4000</v>
      </c>
      <c r="M48" s="15">
        <v>43368</v>
      </c>
      <c r="N48" s="10">
        <v>8</v>
      </c>
      <c r="O48" s="10"/>
      <c r="P48" s="10"/>
      <c r="Q48" s="2"/>
      <c r="R48" s="2"/>
      <c r="S48" s="2"/>
      <c r="T48" s="2"/>
      <c r="U48" s="7">
        <f t="shared" si="14"/>
        <v>0.12692763938315543</v>
      </c>
      <c r="V48" s="7">
        <f t="shared" si="15"/>
        <v>5.1008303677342791E-2</v>
      </c>
      <c r="W48" s="21">
        <f t="shared" si="16"/>
        <v>2.488372093023258</v>
      </c>
      <c r="X48" s="5">
        <f t="shared" si="17"/>
        <v>1000</v>
      </c>
      <c r="Y48" s="7">
        <f t="shared" si="18"/>
        <v>2.9655990510083038E-2</v>
      </c>
      <c r="Z48" s="7">
        <f>IF(OR(AE48="",多次统计数据!$B$8=""),"",AE48-多次统计数据!$B$8)</f>
        <v>-2.3951439509154515E-2</v>
      </c>
      <c r="AA48" s="11">
        <f t="shared" si="19"/>
        <v>7</v>
      </c>
      <c r="AB48" s="7">
        <f>IF(OR(A48="",多次统计数据!$B$8="",多次统计数据!$B$6&lt;=0,多次统计数据!$B$6&gt;=1),"",1-POWER(1+多次统计数据!$B$8,-多次统计数据!$B$6/(1-多次统计数据!$B$6)))</f>
        <v>3.371231520420892E-2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20"/>
        <v>1.1570993832660288E-2</v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>
        <f t="shared" si="22"/>
        <v>8.43</v>
      </c>
      <c r="AP48" s="11">
        <f t="shared" si="23"/>
        <v>4000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>通过</v>
      </c>
    </row>
    <row r="49" spans="1:44" x14ac:dyDescent="0.15">
      <c r="A49" s="2">
        <v>48</v>
      </c>
      <c r="B49" s="2" t="s">
        <v>45</v>
      </c>
      <c r="C49" s="10">
        <v>87423</v>
      </c>
      <c r="D49" s="6">
        <v>0.02</v>
      </c>
      <c r="E49" s="10">
        <v>7.16</v>
      </c>
      <c r="F49" s="8">
        <f t="shared" si="12"/>
        <v>2600</v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2600</v>
      </c>
      <c r="I49" s="15">
        <v>43385</v>
      </c>
      <c r="J49" s="10">
        <v>8</v>
      </c>
      <c r="K49" s="10">
        <v>7.05</v>
      </c>
      <c r="L49" s="8">
        <f t="shared" si="13"/>
        <v>2600</v>
      </c>
      <c r="M49" s="15">
        <v>43402</v>
      </c>
      <c r="N49" s="10">
        <v>6.5</v>
      </c>
      <c r="O49" s="10"/>
      <c r="P49" s="10"/>
      <c r="Q49" s="2"/>
      <c r="R49" s="2"/>
      <c r="S49" s="2"/>
      <c r="T49" s="2"/>
      <c r="U49" s="7">
        <f t="shared" si="14"/>
        <v>0.11731843575418992</v>
      </c>
      <c r="V49" s="7">
        <f t="shared" si="15"/>
        <v>9.2178770949720684E-2</v>
      </c>
      <c r="W49" s="21">
        <f t="shared" si="16"/>
        <v>1.2727272727272723</v>
      </c>
      <c r="X49" s="5">
        <f t="shared" si="17"/>
        <v>-286</v>
      </c>
      <c r="Y49" s="7">
        <f t="shared" si="18"/>
        <v>-1.5363128491620111E-2</v>
      </c>
      <c r="Z49" s="7">
        <f>IF(OR(AE49="",多次统计数据!$B$8=""),"",AE49-多次统计数据!$B$8)</f>
        <v>-3.8793883646654495E-2</v>
      </c>
      <c r="AA49" s="11">
        <f t="shared" si="19"/>
        <v>17</v>
      </c>
      <c r="AB49" s="7">
        <f>IF(OR(A49="",多次统计数据!$B$8="",多次统计数据!$B$6&lt;=0,多次统计数据!$B$6&gt;=1),"",1-POWER(1+多次统计数据!$B$8,-多次统计数据!$B$6/(1-多次统计数据!$B$6)))</f>
        <v>3.371231520420892E-2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20"/>
        <v>-3.2714503048396873E-3</v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>
        <f t="shared" si="22"/>
        <v>7.16</v>
      </c>
      <c r="AP49" s="11">
        <f t="shared" si="23"/>
        <v>2600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>通过</v>
      </c>
    </row>
    <row r="50" spans="1:44" x14ac:dyDescent="0.15">
      <c r="A50" s="2">
        <v>49</v>
      </c>
      <c r="B50" s="2" t="s">
        <v>45</v>
      </c>
      <c r="C50" s="10">
        <v>87137</v>
      </c>
      <c r="D50" s="6">
        <v>0.02</v>
      </c>
      <c r="E50" s="10">
        <v>7.14</v>
      </c>
      <c r="F50" s="8">
        <f t="shared" si="12"/>
        <v>3000</v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3000</v>
      </c>
      <c r="I50" s="15">
        <v>43413</v>
      </c>
      <c r="J50" s="10">
        <v>8</v>
      </c>
      <c r="K50" s="10">
        <v>8.0299999999999994</v>
      </c>
      <c r="L50" s="8">
        <f t="shared" si="13"/>
        <v>3000</v>
      </c>
      <c r="M50" s="15">
        <v>43423</v>
      </c>
      <c r="N50" s="10">
        <v>6.56</v>
      </c>
      <c r="O50" s="10"/>
      <c r="P50" s="10"/>
      <c r="Q50" s="2"/>
      <c r="R50" s="2"/>
      <c r="S50" s="2"/>
      <c r="T50" s="2"/>
      <c r="U50" s="7">
        <f t="shared" si="14"/>
        <v>0.12044817927170873</v>
      </c>
      <c r="V50" s="7">
        <f t="shared" si="15"/>
        <v>8.1232492997198896E-2</v>
      </c>
      <c r="W50" s="21">
        <f t="shared" si="16"/>
        <v>1.4827586206896555</v>
      </c>
      <c r="X50" s="5">
        <f t="shared" si="17"/>
        <v>2669.9999999999964</v>
      </c>
      <c r="Y50" s="7">
        <f t="shared" si="18"/>
        <v>0.12464985994397743</v>
      </c>
      <c r="Z50" s="7">
        <f>IF(OR(AE50="",多次统计数据!$B$8=""),"",AE50-多次统计数据!$B$8)</f>
        <v>-4.8810295753321797E-3</v>
      </c>
      <c r="AA50" s="11">
        <f t="shared" si="19"/>
        <v>10</v>
      </c>
      <c r="AB50" s="7">
        <f>IF(OR(A50="",多次统计数据!$B$8="",多次统计数据!$B$6&lt;=0,多次统计数据!$B$6&gt;=1),"",1-POWER(1+多次统计数据!$B$8,-多次统计数据!$B$6/(1-多次统计数据!$B$6)))</f>
        <v>3.371231520420892E-2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20"/>
        <v>3.0641403766482625E-2</v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>
        <f t="shared" si="22"/>
        <v>7.14</v>
      </c>
      <c r="AP50" s="11">
        <f t="shared" si="23"/>
        <v>3000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>通过</v>
      </c>
    </row>
    <row r="51" spans="1:44" x14ac:dyDescent="0.15">
      <c r="A51" s="2">
        <v>50</v>
      </c>
      <c r="B51" s="2" t="s">
        <v>45</v>
      </c>
      <c r="C51" s="10">
        <v>89807</v>
      </c>
      <c r="D51" s="6">
        <v>0.02</v>
      </c>
      <c r="E51" s="10">
        <v>7.54</v>
      </c>
      <c r="F51" s="8">
        <f t="shared" si="12"/>
        <v>3300</v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3300</v>
      </c>
      <c r="I51" s="15">
        <v>43431</v>
      </c>
      <c r="J51" s="10">
        <v>8.5</v>
      </c>
      <c r="K51" s="10">
        <v>7.49</v>
      </c>
      <c r="L51" s="8">
        <f t="shared" si="13"/>
        <v>3300</v>
      </c>
      <c r="M51" s="15">
        <v>43433</v>
      </c>
      <c r="N51" s="10">
        <v>7</v>
      </c>
      <c r="O51" s="10"/>
      <c r="P51" s="10"/>
      <c r="Q51" s="2"/>
      <c r="R51" s="2"/>
      <c r="S51" s="2"/>
      <c r="T51" s="2"/>
      <c r="U51" s="7">
        <f t="shared" si="14"/>
        <v>0.1273209549071618</v>
      </c>
      <c r="V51" s="7">
        <f t="shared" si="15"/>
        <v>7.161803713527852E-2</v>
      </c>
      <c r="W51" s="21">
        <f t="shared" si="16"/>
        <v>1.7777777777777777</v>
      </c>
      <c r="X51" s="5">
        <f t="shared" si="17"/>
        <v>-165</v>
      </c>
      <c r="Y51" s="7">
        <f t="shared" si="18"/>
        <v>-6.6312997347480109E-3</v>
      </c>
      <c r="Z51" s="7">
        <f>IF(OR(AE51="",多次统计数据!$B$8=""),"",AE51-多次统计数据!$B$8)</f>
        <v>-3.7359706605591569E-2</v>
      </c>
      <c r="AA51" s="11">
        <f t="shared" si="19"/>
        <v>2</v>
      </c>
      <c r="AB51" s="7">
        <f>IF(OR(A51="",多次统计数据!$B$8="",多次统计数据!$B$6&lt;=0,多次统计数据!$B$6&gt;=1),"",1-POWER(1+多次统计数据!$B$8,-多次统计数据!$B$6/(1-多次统计数据!$B$6)))</f>
        <v>3.371231520420892E-2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20"/>
        <v>-1.8372732637767658E-3</v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>
        <f t="shared" si="22"/>
        <v>7.54</v>
      </c>
      <c r="AP51" s="11">
        <f t="shared" si="23"/>
        <v>3300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>通过</v>
      </c>
    </row>
    <row r="52" spans="1:44" x14ac:dyDescent="0.15">
      <c r="A52" s="2">
        <v>51</v>
      </c>
      <c r="B52" s="2" t="s">
        <v>45</v>
      </c>
      <c r="C52" s="10">
        <v>89642</v>
      </c>
      <c r="D52" s="6">
        <v>0.02</v>
      </c>
      <c r="E52" s="10">
        <v>7.43</v>
      </c>
      <c r="F52" s="8">
        <f t="shared" si="12"/>
        <v>4100</v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4100</v>
      </c>
      <c r="I52" s="15">
        <v>43452</v>
      </c>
      <c r="J52" s="10">
        <v>8.5</v>
      </c>
      <c r="K52" s="10">
        <v>7.13</v>
      </c>
      <c r="L52" s="8">
        <f t="shared" si="13"/>
        <v>4100</v>
      </c>
      <c r="M52" s="15">
        <v>43455</v>
      </c>
      <c r="N52" s="10">
        <v>7</v>
      </c>
      <c r="O52" s="10"/>
      <c r="P52" s="10"/>
      <c r="Q52" s="2"/>
      <c r="R52" s="2"/>
      <c r="S52" s="2"/>
      <c r="T52" s="2"/>
      <c r="U52" s="7">
        <f t="shared" si="14"/>
        <v>0.14401076716016156</v>
      </c>
      <c r="V52" s="7">
        <f t="shared" si="15"/>
        <v>5.7873485868102252E-2</v>
      </c>
      <c r="W52" s="21">
        <f t="shared" si="16"/>
        <v>2.4883720930232585</v>
      </c>
      <c r="X52" s="5">
        <f t="shared" si="17"/>
        <v>-1230</v>
      </c>
      <c r="Y52" s="7">
        <f t="shared" si="18"/>
        <v>-4.0376850605652756E-2</v>
      </c>
      <c r="Z52" s="7">
        <f>IF(OR(AE52="",多次统计数据!$B$8=""),"",AE52-多次统计数据!$B$8)</f>
        <v>-4.9243680078835395E-2</v>
      </c>
      <c r="AA52" s="11">
        <f t="shared" si="19"/>
        <v>3</v>
      </c>
      <c r="AB52" s="7">
        <f>IF(OR(A52="",多次统计数据!$B$8="",多次统计数据!$B$6&lt;=0,多次统计数据!$B$6&gt;=1),"",1-POWER(1+多次统计数据!$B$8,-多次统计数据!$B$6/(1-多次统计数据!$B$6)))</f>
        <v>3.371231520420892E-2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20"/>
        <v>-1.3721246737020593E-2</v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>
        <f t="shared" si="22"/>
        <v>7.43</v>
      </c>
      <c r="AP52" s="11">
        <f t="shared" si="23"/>
        <v>4100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>通过</v>
      </c>
    </row>
    <row r="53" spans="1:44" x14ac:dyDescent="0.15">
      <c r="A53" s="2">
        <v>52</v>
      </c>
      <c r="B53" s="2" t="s">
        <v>45</v>
      </c>
      <c r="C53" s="10">
        <v>88412</v>
      </c>
      <c r="D53" s="6">
        <v>0.02</v>
      </c>
      <c r="E53" s="10">
        <v>6.79</v>
      </c>
      <c r="F53" s="8">
        <f t="shared" si="12"/>
        <v>2900</v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2900</v>
      </c>
      <c r="I53" s="15">
        <v>43468</v>
      </c>
      <c r="J53" s="10">
        <v>7.5</v>
      </c>
      <c r="K53" s="10">
        <v>6.84</v>
      </c>
      <c r="L53" s="8">
        <f t="shared" si="13"/>
        <v>2900</v>
      </c>
      <c r="M53" s="15">
        <v>43495</v>
      </c>
      <c r="N53" s="10">
        <v>6.2</v>
      </c>
      <c r="O53" s="10"/>
      <c r="P53" s="10"/>
      <c r="Q53" s="2"/>
      <c r="R53" s="2"/>
      <c r="S53" s="2"/>
      <c r="T53" s="2"/>
      <c r="U53" s="7">
        <f t="shared" si="14"/>
        <v>0.10456553755522827</v>
      </c>
      <c r="V53" s="7">
        <f t="shared" si="15"/>
        <v>8.6892488954344607E-2</v>
      </c>
      <c r="W53" s="21">
        <f t="shared" si="16"/>
        <v>1.2033898305084747</v>
      </c>
      <c r="X53" s="5">
        <f t="shared" si="17"/>
        <v>145</v>
      </c>
      <c r="Y53" s="7">
        <f t="shared" si="18"/>
        <v>7.3637702503681884E-3</v>
      </c>
      <c r="Z53" s="7">
        <f>IF(OR(AE53="",多次统计数据!$B$8=""),"",AE53-多次统计数据!$B$8)</f>
        <v>-3.3882384479669396E-2</v>
      </c>
      <c r="AA53" s="11">
        <f t="shared" si="19"/>
        <v>27</v>
      </c>
      <c r="AB53" s="7">
        <f>IF(OR(A53="",多次统计数据!$B$8="",多次统计数据!$B$6&lt;=0,多次统计数据!$B$6&gt;=1),"",1-POWER(1+多次统计数据!$B$8,-多次统计数据!$B$6/(1-多次统计数据!$B$6)))</f>
        <v>3.371231520420892E-2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20"/>
        <v>1.64004886214541E-3</v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>
        <f t="shared" si="22"/>
        <v>6.79</v>
      </c>
      <c r="AP53" s="11">
        <f t="shared" si="23"/>
        <v>2900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>通过</v>
      </c>
    </row>
    <row r="54" spans="1:44" x14ac:dyDescent="0.15">
      <c r="A54" s="2">
        <v>53</v>
      </c>
      <c r="B54" s="2" t="s">
        <v>45</v>
      </c>
      <c r="C54" s="10">
        <v>88557</v>
      </c>
      <c r="D54" s="6">
        <v>0.02</v>
      </c>
      <c r="E54" s="10">
        <v>9.2100000000000009</v>
      </c>
      <c r="F54" s="8">
        <f t="shared" si="12"/>
        <v>2400</v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2400</v>
      </c>
      <c r="I54" s="15">
        <v>43521</v>
      </c>
      <c r="J54" s="10">
        <v>10</v>
      </c>
      <c r="K54" s="10">
        <v>9.92</v>
      </c>
      <c r="L54" s="8">
        <f t="shared" si="13"/>
        <v>2400</v>
      </c>
      <c r="M54" s="15">
        <v>43538</v>
      </c>
      <c r="N54" s="10">
        <v>8.5</v>
      </c>
      <c r="O54" s="10"/>
      <c r="P54" s="10"/>
      <c r="Q54" s="2"/>
      <c r="R54" s="2"/>
      <c r="S54" s="2"/>
      <c r="T54" s="2"/>
      <c r="U54" s="7">
        <f t="shared" si="14"/>
        <v>8.5776330076004242E-2</v>
      </c>
      <c r="V54" s="7">
        <f t="shared" si="15"/>
        <v>7.7090119435396398E-2</v>
      </c>
      <c r="W54" s="21">
        <f t="shared" si="16"/>
        <v>1.1126760563380256</v>
      </c>
      <c r="X54" s="5">
        <f t="shared" si="17"/>
        <v>1703.9999999999964</v>
      </c>
      <c r="Y54" s="7">
        <f t="shared" si="18"/>
        <v>7.7090119435396134E-2</v>
      </c>
      <c r="Z54" s="7">
        <f>IF(OR(AE54="",多次统计数据!$B$8=""),"",AE54-多次统计数据!$B$8)</f>
        <v>-1.6280589105898996E-2</v>
      </c>
      <c r="AA54" s="11">
        <f t="shared" si="19"/>
        <v>17</v>
      </c>
      <c r="AB54" s="7">
        <f>IF(OR(A54="",多次统计数据!$B$8="",多次统计数据!$B$6&lt;=0,多次统计数据!$B$6&gt;=1),"",1-POWER(1+多次统计数据!$B$8,-多次统计数据!$B$6/(1-多次统计数据!$B$6)))</f>
        <v>3.371231520420892E-2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20"/>
        <v>1.9241844235915809E-2</v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>
        <f t="shared" si="22"/>
        <v>9.2100000000000009</v>
      </c>
      <c r="AP54" s="11">
        <f t="shared" si="23"/>
        <v>2400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>通过</v>
      </c>
    </row>
    <row r="55" spans="1:44" x14ac:dyDescent="0.15">
      <c r="A55" s="2">
        <v>54</v>
      </c>
      <c r="B55" s="2" t="s">
        <v>45</v>
      </c>
      <c r="C55" s="10">
        <v>90261</v>
      </c>
      <c r="D55" s="6">
        <v>0.02</v>
      </c>
      <c r="E55" s="10">
        <v>10.19</v>
      </c>
      <c r="F55" s="8">
        <f t="shared" si="12"/>
        <v>2600</v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2600</v>
      </c>
      <c r="I55" s="15">
        <v>43551</v>
      </c>
      <c r="J55" s="10">
        <v>12</v>
      </c>
      <c r="K55" s="10">
        <v>9.9600000000000009</v>
      </c>
      <c r="L55" s="8">
        <f t="shared" si="13"/>
        <v>2600</v>
      </c>
      <c r="M55" s="15">
        <v>43574</v>
      </c>
      <c r="N55" s="10">
        <v>9.5</v>
      </c>
      <c r="O55" s="10"/>
      <c r="P55" s="10"/>
      <c r="Q55" s="2"/>
      <c r="R55" s="2"/>
      <c r="S55" s="2"/>
      <c r="T55" s="2"/>
      <c r="U55" s="7">
        <f t="shared" si="14"/>
        <v>0.17762512266928368</v>
      </c>
      <c r="V55" s="7">
        <f t="shared" si="15"/>
        <v>6.7713444553483756E-2</v>
      </c>
      <c r="W55" s="21">
        <f t="shared" si="16"/>
        <v>2.6231884057971047</v>
      </c>
      <c r="X55" s="5">
        <f t="shared" si="17"/>
        <v>-597.99999999999636</v>
      </c>
      <c r="Y55" s="7">
        <f t="shared" si="18"/>
        <v>-2.2571148184494464E-2</v>
      </c>
      <c r="Z55" s="7">
        <f>IF(OR(AE55="",多次统计数据!$B$8=""),"",AE55-多次统计数据!$B$8)</f>
        <v>-4.2147664615565329E-2</v>
      </c>
      <c r="AA55" s="11">
        <f t="shared" si="19"/>
        <v>23</v>
      </c>
      <c r="AB55" s="7">
        <f>IF(OR(A55="",多次统计数据!$B$8="",多次统计数据!$B$6&lt;=0,多次统计数据!$B$6&gt;=1),"",1-POWER(1+多次统计数据!$B$8,-多次统计数据!$B$6/(1-多次统计数据!$B$6)))</f>
        <v>3.371231520420892E-2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20"/>
        <v>-6.6252312737505271E-3</v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>
        <f t="shared" si="22"/>
        <v>10.19</v>
      </c>
      <c r="AP55" s="11">
        <f t="shared" si="23"/>
        <v>2600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>通过</v>
      </c>
    </row>
    <row r="56" spans="1:44" x14ac:dyDescent="0.15">
      <c r="A56" s="2">
        <v>55</v>
      </c>
      <c r="B56" s="2" t="s">
        <v>45</v>
      </c>
      <c r="C56" s="10">
        <v>89663</v>
      </c>
      <c r="D56" s="6">
        <v>0.02</v>
      </c>
      <c r="E56" s="10">
        <v>9.14</v>
      </c>
      <c r="F56" s="8">
        <f t="shared" si="12"/>
        <v>2800</v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2800</v>
      </c>
      <c r="I56" s="15">
        <v>43581</v>
      </c>
      <c r="J56" s="10">
        <v>10</v>
      </c>
      <c r="K56" s="10">
        <v>8.1999999999999993</v>
      </c>
      <c r="L56" s="8">
        <f t="shared" si="13"/>
        <v>2800</v>
      </c>
      <c r="M56" s="15">
        <v>43584</v>
      </c>
      <c r="N56" s="10">
        <v>8.5</v>
      </c>
      <c r="O56" s="10"/>
      <c r="P56" s="10"/>
      <c r="Q56" s="2"/>
      <c r="R56" s="2"/>
      <c r="S56" s="2"/>
      <c r="T56" s="2"/>
      <c r="U56" s="7">
        <f t="shared" si="14"/>
        <v>9.4091903719912398E-2</v>
      </c>
      <c r="V56" s="7">
        <f t="shared" si="15"/>
        <v>7.0021881838074451E-2</v>
      </c>
      <c r="W56" s="21">
        <f t="shared" si="16"/>
        <v>1.343749999999998</v>
      </c>
      <c r="X56" s="5">
        <f t="shared" si="17"/>
        <v>-2632.0000000000036</v>
      </c>
      <c r="Y56" s="7">
        <f t="shared" si="18"/>
        <v>-0.10284463894967191</v>
      </c>
      <c r="Z56" s="7">
        <f>IF(OR(AE56="",多次统计数据!$B$8=""),"",AE56-多次统计数据!$B$8)</f>
        <v>-6.4876793557288343E-2</v>
      </c>
      <c r="AA56" s="11">
        <f t="shared" si="19"/>
        <v>3</v>
      </c>
      <c r="AB56" s="7">
        <f>IF(OR(A56="",多次统计数据!$B$8="",多次统计数据!$B$6&lt;=0,多次统计数据!$B$6&gt;=1),"",1-POWER(1+多次统计数据!$B$8,-多次统计数据!$B$6/(1-多次统计数据!$B$6)))</f>
        <v>3.371231520420892E-2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20"/>
        <v>-2.9354360215473534E-2</v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>
        <f t="shared" si="22"/>
        <v>9.14</v>
      </c>
      <c r="AP56" s="11">
        <f t="shared" si="23"/>
        <v>2800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>通过</v>
      </c>
    </row>
    <row r="57" spans="1:44" x14ac:dyDescent="0.15">
      <c r="A57" s="2">
        <v>56</v>
      </c>
      <c r="B57" s="2" t="s">
        <v>45</v>
      </c>
      <c r="C57" s="10">
        <v>87031</v>
      </c>
      <c r="D57" s="6">
        <v>0.02</v>
      </c>
      <c r="E57" s="10">
        <v>7.72</v>
      </c>
      <c r="F57" s="8">
        <f t="shared" si="12"/>
        <v>2400</v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2400</v>
      </c>
      <c r="I57" s="15">
        <v>43593</v>
      </c>
      <c r="J57" s="10">
        <v>9</v>
      </c>
      <c r="K57" s="10">
        <v>9.2200000000000006</v>
      </c>
      <c r="L57" s="8">
        <f t="shared" si="13"/>
        <v>2400</v>
      </c>
      <c r="M57" s="15">
        <v>43616</v>
      </c>
      <c r="N57" s="10">
        <v>7</v>
      </c>
      <c r="O57" s="10"/>
      <c r="P57" s="10"/>
      <c r="Q57" s="2"/>
      <c r="R57" s="2"/>
      <c r="S57" s="2"/>
      <c r="T57" s="2"/>
      <c r="U57" s="7">
        <f t="shared" si="14"/>
        <v>0.16580310880829019</v>
      </c>
      <c r="V57" s="7">
        <f t="shared" si="15"/>
        <v>9.3264248704663183E-2</v>
      </c>
      <c r="W57" s="21">
        <f t="shared" si="16"/>
        <v>1.7777777777777788</v>
      </c>
      <c r="X57" s="5">
        <f t="shared" si="17"/>
        <v>3600</v>
      </c>
      <c r="Y57" s="7">
        <f t="shared" si="18"/>
        <v>0.19430051813471502</v>
      </c>
      <c r="Z57" s="7">
        <f>IF(OR(AE57="",多次统计数据!$B$8=""),"",AE57-多次统计数据!$B$8)</f>
        <v>5.842137902914088E-3</v>
      </c>
      <c r="AA57" s="11">
        <f t="shared" si="19"/>
        <v>23</v>
      </c>
      <c r="AB57" s="7">
        <f>IF(OR(A57="",多次统计数据!$B$8="",多次统计数据!$B$6&lt;=0,多次统计数据!$B$6&gt;=1),"",1-POWER(1+多次统计数据!$B$8,-多次统计数据!$B$6/(1-多次统计数据!$B$6)))</f>
        <v>3.371231520420892E-2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20"/>
        <v>4.1364571244728893E-2</v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>
        <f t="shared" si="22"/>
        <v>7.72</v>
      </c>
      <c r="AP57" s="11">
        <f t="shared" si="23"/>
        <v>2400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>通过</v>
      </c>
    </row>
    <row r="58" spans="1:44" x14ac:dyDescent="0.15">
      <c r="A58" s="2">
        <v>57</v>
      </c>
      <c r="B58" s="2" t="s">
        <v>45</v>
      </c>
      <c r="C58" s="10">
        <v>90631</v>
      </c>
      <c r="D58" s="6">
        <v>0.02</v>
      </c>
      <c r="E58" s="10">
        <v>8.32</v>
      </c>
      <c r="F58" s="8">
        <f t="shared" si="12"/>
        <v>2200</v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2200</v>
      </c>
      <c r="I58" s="15">
        <v>43627</v>
      </c>
      <c r="J58" s="10">
        <v>9</v>
      </c>
      <c r="K58" s="10">
        <v>8.2200000000000006</v>
      </c>
      <c r="L58" s="8">
        <f t="shared" si="13"/>
        <v>2200</v>
      </c>
      <c r="M58" s="15">
        <v>43644</v>
      </c>
      <c r="N58" s="10">
        <v>7.5</v>
      </c>
      <c r="O58" s="10"/>
      <c r="P58" s="10"/>
      <c r="Q58" s="2"/>
      <c r="R58" s="2"/>
      <c r="S58" s="2"/>
      <c r="T58" s="2"/>
      <c r="U58" s="7">
        <f t="shared" si="14"/>
        <v>8.173076923076919E-2</v>
      </c>
      <c r="V58" s="7">
        <f t="shared" si="15"/>
        <v>9.8557692307692332E-2</v>
      </c>
      <c r="W58" s="21">
        <f t="shared" si="16"/>
        <v>0.82926829268292623</v>
      </c>
      <c r="X58" s="5">
        <f t="shared" si="17"/>
        <v>-220</v>
      </c>
      <c r="Y58" s="7">
        <f t="shared" si="18"/>
        <v>-1.201923076923077E-2</v>
      </c>
      <c r="Z58" s="7">
        <f>IF(OR(AE58="",多次统计数据!$B$8=""),"",AE58-多次统计数据!$B$8)</f>
        <v>-3.7949858836402749E-2</v>
      </c>
      <c r="AA58" s="11">
        <f t="shared" si="19"/>
        <v>17</v>
      </c>
      <c r="AB58" s="7">
        <f>IF(OR(A58="",多次统计数据!$B$8="",多次统计数据!$B$6&lt;=0,多次统计数据!$B$6&gt;=1),"",1-POWER(1+多次统计数据!$B$8,-多次统计数据!$B$6/(1-多次统计数据!$B$6)))</f>
        <v>3.371231520420892E-2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20"/>
        <v>-2.4274254945879444E-3</v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>
        <f t="shared" si="22"/>
        <v>8.32</v>
      </c>
      <c r="AP58" s="11">
        <f t="shared" si="23"/>
        <v>2200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>通过</v>
      </c>
    </row>
    <row r="59" spans="1:44" x14ac:dyDescent="0.15">
      <c r="A59" s="2">
        <v>58</v>
      </c>
      <c r="B59" s="2" t="s">
        <v>45</v>
      </c>
      <c r="C59" s="10">
        <v>90441</v>
      </c>
      <c r="D59" s="6">
        <v>0.02</v>
      </c>
      <c r="E59" s="10">
        <v>7.93</v>
      </c>
      <c r="F59" s="8">
        <f t="shared" si="12"/>
        <v>2800</v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2800</v>
      </c>
      <c r="I59" s="15">
        <v>43652</v>
      </c>
      <c r="J59" s="10">
        <v>9</v>
      </c>
      <c r="K59" s="10">
        <v>9.84</v>
      </c>
      <c r="L59" s="8">
        <f t="shared" si="13"/>
        <v>2800</v>
      </c>
      <c r="M59" s="15">
        <v>43718</v>
      </c>
      <c r="N59" s="10">
        <v>7.3</v>
      </c>
      <c r="O59" s="10"/>
      <c r="P59" s="10"/>
      <c r="Q59" s="2"/>
      <c r="R59" s="2"/>
      <c r="S59" s="2"/>
      <c r="T59" s="2"/>
      <c r="U59" s="7">
        <f t="shared" si="14"/>
        <v>0.13493064312736447</v>
      </c>
      <c r="V59" s="7">
        <f t="shared" si="15"/>
        <v>7.9445145018915503E-2</v>
      </c>
      <c r="W59" s="21">
        <f t="shared" si="16"/>
        <v>1.698412698412699</v>
      </c>
      <c r="X59" s="5">
        <f t="shared" si="17"/>
        <v>5348</v>
      </c>
      <c r="Y59" s="7">
        <f t="shared" si="18"/>
        <v>0.24085750315258511</v>
      </c>
      <c r="Z59" s="7">
        <f>IF(OR(AE59="",多次统计数据!$B$8=""),"",AE59-多次统计数据!$B$8)</f>
        <v>2.3610039762197756E-2</v>
      </c>
      <c r="AA59" s="11">
        <f t="shared" si="19"/>
        <v>66</v>
      </c>
      <c r="AB59" s="7">
        <f>IF(OR(A59="",多次统计数据!$B$8="",多次统计数据!$B$6&lt;=0,多次统计数据!$B$6&gt;=1),"",1-POWER(1+多次统计数据!$B$8,-多次统计数据!$B$6/(1-多次统计数据!$B$6)))</f>
        <v>3.371231520420892E-2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20"/>
        <v>5.913247310401256E-2</v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>
        <f t="shared" si="22"/>
        <v>7.93</v>
      </c>
      <c r="AP59" s="11">
        <f t="shared" si="23"/>
        <v>2800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>通过</v>
      </c>
    </row>
    <row r="60" spans="1:44" x14ac:dyDescent="0.15">
      <c r="A60" s="2">
        <v>59</v>
      </c>
      <c r="B60" s="2" t="s">
        <v>45</v>
      </c>
      <c r="C60" s="10">
        <v>95759</v>
      </c>
      <c r="D60" s="6">
        <v>0.02</v>
      </c>
      <c r="E60" s="10">
        <v>11.24</v>
      </c>
      <c r="F60" s="8">
        <f t="shared" si="12"/>
        <v>2500</v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2500</v>
      </c>
      <c r="I60" s="15">
        <v>43735</v>
      </c>
      <c r="J60" s="10">
        <v>12.5</v>
      </c>
      <c r="K60" s="10">
        <v>10.25</v>
      </c>
      <c r="L60" s="8">
        <f t="shared" si="13"/>
        <v>2500</v>
      </c>
      <c r="M60" s="15">
        <v>43755</v>
      </c>
      <c r="N60" s="10">
        <v>10.5</v>
      </c>
      <c r="O60" s="10"/>
      <c r="P60" s="10"/>
      <c r="Q60" s="2"/>
      <c r="R60" s="2"/>
      <c r="S60" s="2"/>
      <c r="T60" s="2"/>
      <c r="U60" s="7">
        <f t="shared" si="14"/>
        <v>0.11209964412811385</v>
      </c>
      <c r="V60" s="7">
        <f t="shared" si="15"/>
        <v>6.5836298932384366E-2</v>
      </c>
      <c r="W60" s="21">
        <f t="shared" si="16"/>
        <v>1.7027027027027017</v>
      </c>
      <c r="X60" s="5">
        <f t="shared" si="17"/>
        <v>-2475</v>
      </c>
      <c r="Y60" s="7">
        <f t="shared" si="18"/>
        <v>-8.8078291814946613E-2</v>
      </c>
      <c r="Z60" s="7">
        <f>IF(OR(AE60="",多次统计数据!$B$8=""),"",AE60-多次统计数据!$B$8)</f>
        <v>-6.1368567908800672E-2</v>
      </c>
      <c r="AA60" s="11">
        <f t="shared" si="19"/>
        <v>20</v>
      </c>
      <c r="AB60" s="7">
        <f>IF(OR(A60="",多次统计数据!$B$8="",多次统计数据!$B$6&lt;=0,多次统计数据!$B$6&gt;=1),"",1-POWER(1+多次统计数据!$B$8,-多次统计数据!$B$6/(1-多次统计数据!$B$6)))</f>
        <v>3.371231520420892E-2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20"/>
        <v>-2.5846134566985871E-2</v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>
        <f t="shared" si="22"/>
        <v>11.24</v>
      </c>
      <c r="AP60" s="11">
        <f t="shared" si="23"/>
        <v>2500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>通过</v>
      </c>
    </row>
    <row r="61" spans="1:44" x14ac:dyDescent="0.15">
      <c r="A61" s="2">
        <v>60</v>
      </c>
      <c r="B61" s="2" t="s">
        <v>45</v>
      </c>
      <c r="C61" s="10">
        <v>93284</v>
      </c>
      <c r="D61" s="6">
        <v>0.02</v>
      </c>
      <c r="E61" s="10">
        <v>9.7200000000000006</v>
      </c>
      <c r="F61" s="8">
        <f t="shared" si="12"/>
        <v>2500</v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2500</v>
      </c>
      <c r="I61" s="15">
        <v>43759</v>
      </c>
      <c r="J61" s="10">
        <v>10</v>
      </c>
      <c r="K61" s="10">
        <v>14.99</v>
      </c>
      <c r="L61" s="8">
        <f t="shared" si="13"/>
        <v>2500</v>
      </c>
      <c r="M61" s="15">
        <v>43810</v>
      </c>
      <c r="N61" s="10">
        <v>9</v>
      </c>
      <c r="O61" s="10"/>
      <c r="P61" s="10"/>
      <c r="Q61" s="2"/>
      <c r="R61" s="2"/>
      <c r="S61" s="2"/>
      <c r="T61" s="2"/>
      <c r="U61" s="7">
        <f t="shared" si="14"/>
        <v>2.8806584362139849E-2</v>
      </c>
      <c r="V61" s="7">
        <f t="shared" si="15"/>
        <v>7.4074074074074139E-2</v>
      </c>
      <c r="W61" s="21">
        <f t="shared" si="16"/>
        <v>0.38888888888888762</v>
      </c>
      <c r="X61" s="5">
        <f t="shared" si="17"/>
        <v>13175</v>
      </c>
      <c r="Y61" s="7">
        <f t="shared" si="18"/>
        <v>0.54218106995884774</v>
      </c>
      <c r="Z61" s="7">
        <f>IF(OR(AE61="",多次统计数据!$B$8=""),"",AE61-多次统计数据!$B$8)</f>
        <v>0.10571293392373986</v>
      </c>
      <c r="AA61" s="11">
        <f t="shared" si="19"/>
        <v>51</v>
      </c>
      <c r="AB61" s="7">
        <f>IF(OR(A61="",多次统计数据!$B$8="",多次统计数据!$B$6&lt;=0,多次统计数据!$B$6&gt;=1),"",1-POWER(1+多次统计数据!$B$8,-多次统计数据!$B$6/(1-多次统计数据!$B$6)))</f>
        <v>3.371231520420892E-2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20"/>
        <v>0.14123536726555466</v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>
        <f t="shared" si="22"/>
        <v>9.7200000000000006</v>
      </c>
      <c r="AP61" s="11">
        <f t="shared" si="23"/>
        <v>2500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>通过</v>
      </c>
    </row>
    <row r="62" spans="1:44" x14ac:dyDescent="0.15">
      <c r="A62" s="2">
        <v>61</v>
      </c>
      <c r="B62" s="2" t="s">
        <v>45</v>
      </c>
      <c r="C62" s="10">
        <v>106459</v>
      </c>
      <c r="D62" s="6">
        <v>0.02</v>
      </c>
      <c r="E62" s="10">
        <v>19.98</v>
      </c>
      <c r="F62" s="8">
        <f t="shared" si="12"/>
        <v>2100</v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2100</v>
      </c>
      <c r="I62" s="15">
        <v>43915</v>
      </c>
      <c r="J62" s="10">
        <v>24</v>
      </c>
      <c r="K62" s="10">
        <v>18.97</v>
      </c>
      <c r="L62" s="8">
        <f t="shared" si="13"/>
        <v>2100</v>
      </c>
      <c r="M62" s="15">
        <v>43917</v>
      </c>
      <c r="N62" s="10">
        <v>19</v>
      </c>
      <c r="O62" s="10"/>
      <c r="P62" s="10"/>
      <c r="Q62" s="2"/>
      <c r="R62" s="2"/>
      <c r="S62" s="2"/>
      <c r="T62" s="2"/>
      <c r="U62" s="7">
        <f t="shared" si="14"/>
        <v>0.20120120120120116</v>
      </c>
      <c r="V62" s="7">
        <f t="shared" si="15"/>
        <v>4.9049049049049068E-2</v>
      </c>
      <c r="W62" s="21">
        <f t="shared" si="16"/>
        <v>4.1020408163265278</v>
      </c>
      <c r="X62" s="5">
        <f t="shared" si="17"/>
        <v>-2121</v>
      </c>
      <c r="Y62" s="7">
        <f t="shared" si="18"/>
        <v>-5.0550550550550549E-2</v>
      </c>
      <c r="Z62" s="7">
        <f>IF(OR(AE62="",多次统计数据!$B$8=""),"",AE62-多次统计数据!$B$8)</f>
        <v>-5.5445596249600902E-2</v>
      </c>
      <c r="AA62" s="11">
        <f t="shared" si="19"/>
        <v>2</v>
      </c>
      <c r="AB62" s="7">
        <f>IF(OR(A62="",多次统计数据!$B$8="",多次统计数据!$B$6&lt;=0,多次统计数据!$B$6&gt;=1),"",1-POWER(1+多次统计数据!$B$8,-多次统计数据!$B$6/(1-多次统计数据!$B$6)))</f>
        <v>3.371231520420892E-2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20"/>
        <v>-1.9923162907786097E-2</v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>
        <f t="shared" si="22"/>
        <v>19.98</v>
      </c>
      <c r="AP62" s="11">
        <f t="shared" si="23"/>
        <v>2100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>通过</v>
      </c>
    </row>
    <row r="63" spans="1:44" x14ac:dyDescent="0.15">
      <c r="A63" s="2">
        <v>62</v>
      </c>
      <c r="B63" s="2" t="s">
        <v>45</v>
      </c>
      <c r="C63" s="10">
        <v>104338</v>
      </c>
      <c r="D63" s="6">
        <v>0.02</v>
      </c>
      <c r="E63" s="10">
        <v>28.54</v>
      </c>
      <c r="F63" s="8">
        <f>IF(OR(C63="",D63="",E63="",N63="",C63&lt;=0,D63&lt;=0,E63&lt;=N63),"",ROUNDDOWN((C63*D63)/(E63-N63)/100,0)*100)</f>
        <v>800</v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800</v>
      </c>
      <c r="I63" s="15">
        <v>44020</v>
      </c>
      <c r="J63" s="10">
        <v>30</v>
      </c>
      <c r="K63" s="10">
        <v>30.92</v>
      </c>
      <c r="L63" s="8">
        <f t="shared" si="13"/>
        <v>800</v>
      </c>
      <c r="M63" s="15">
        <v>44026</v>
      </c>
      <c r="N63" s="10">
        <v>26</v>
      </c>
      <c r="O63" s="10"/>
      <c r="P63" s="10"/>
      <c r="Q63" s="2"/>
      <c r="R63" s="2"/>
      <c r="S63" s="2"/>
      <c r="T63" s="2"/>
      <c r="U63" s="7">
        <f t="shared" si="14"/>
        <v>5.1156271899089029E-2</v>
      </c>
      <c r="V63" s="7">
        <f t="shared" si="15"/>
        <v>8.8997897687456168E-2</v>
      </c>
      <c r="W63" s="21">
        <f t="shared" si="16"/>
        <v>0.57480314960629975</v>
      </c>
      <c r="X63" s="5">
        <f t="shared" si="17"/>
        <v>1904</v>
      </c>
      <c r="Y63" s="7">
        <f t="shared" si="18"/>
        <v>8.339173090399439E-2</v>
      </c>
      <c r="Z63" s="7">
        <f>IF(OR(AE63="",多次统计数据!$B$8=""),"",AE63-多次统计数据!$B$8)</f>
        <v>-1.727404828555534E-2</v>
      </c>
      <c r="AA63" s="11">
        <f t="shared" si="19"/>
        <v>6</v>
      </c>
      <c r="AB63" s="7">
        <f>IF(OR(A63="",多次统计数据!$B$8="",多次统计数据!$B$6&lt;=0,多次统计数据!$B$6&gt;=1),"",1-POWER(1+多次统计数据!$B$8,-多次统计数据!$B$6/(1-多次统计数据!$B$6)))</f>
        <v>3.371231520420892E-2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20"/>
        <v>1.8248385056259465E-2</v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>
        <f t="shared" si="22"/>
        <v>28.54</v>
      </c>
      <c r="AP63" s="11">
        <f t="shared" si="23"/>
        <v>800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>通过</v>
      </c>
    </row>
    <row r="64" spans="1:44" x14ac:dyDescent="0.15">
      <c r="A64" s="2">
        <v>63</v>
      </c>
      <c r="B64" s="2" t="s">
        <v>45</v>
      </c>
      <c r="C64" s="10">
        <v>106242</v>
      </c>
      <c r="D64" s="6">
        <v>0.02</v>
      </c>
      <c r="E64" s="10">
        <v>23.54</v>
      </c>
      <c r="F64" s="8">
        <f t="shared" si="12"/>
        <v>1200</v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1200</v>
      </c>
      <c r="I64" s="15">
        <v>44070</v>
      </c>
      <c r="J64" s="10">
        <v>26</v>
      </c>
      <c r="K64" s="10">
        <v>23.74</v>
      </c>
      <c r="L64" s="8">
        <f t="shared" si="13"/>
        <v>1200</v>
      </c>
      <c r="M64" s="15">
        <v>44075</v>
      </c>
      <c r="N64" s="10">
        <v>21.79</v>
      </c>
      <c r="O64" s="10"/>
      <c r="P64" s="10"/>
      <c r="Q64" s="2"/>
      <c r="R64" s="2"/>
      <c r="S64" s="2"/>
      <c r="T64" s="2"/>
      <c r="U64" s="7">
        <f t="shared" si="14"/>
        <v>0.10450297366185221</v>
      </c>
      <c r="V64" s="7">
        <f t="shared" si="15"/>
        <v>7.4341546304163134E-2</v>
      </c>
      <c r="W64" s="21">
        <f t="shared" si="16"/>
        <v>1.4057142857142861</v>
      </c>
      <c r="X64" s="5">
        <f t="shared" si="17"/>
        <v>239.99999999999636</v>
      </c>
      <c r="Y64" s="7">
        <f t="shared" si="18"/>
        <v>8.4961767204756577E-3</v>
      </c>
      <c r="Z64" s="7">
        <f>IF(OR(AE64="",多次统计数据!$B$8=""),"",AE64-多次统计数据!$B$8)</f>
        <v>-3.3263439723471809E-2</v>
      </c>
      <c r="AA64" s="11">
        <f t="shared" si="19"/>
        <v>5</v>
      </c>
      <c r="AB64" s="7">
        <f>IF(OR(A64="",多次统计数据!$B$8="",多次统计数据!$B$6&lt;=0,多次统计数据!$B$6&gt;=1),"",1-POWER(1+多次统计数据!$B$8,-多次统计数据!$B$6/(1-多次统计数据!$B$6)))</f>
        <v>3.371231520420892E-2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20"/>
        <v>2.2589936183429939E-3</v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>
        <f t="shared" si="22"/>
        <v>23.54</v>
      </c>
      <c r="AP64" s="11">
        <f t="shared" si="23"/>
        <v>1200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>通过</v>
      </c>
    </row>
    <row r="65" spans="1:44" x14ac:dyDescent="0.15">
      <c r="A65" s="2">
        <v>64</v>
      </c>
      <c r="B65" s="2" t="s">
        <v>45</v>
      </c>
      <c r="C65" s="10">
        <v>106482</v>
      </c>
      <c r="D65" s="6">
        <v>0.02</v>
      </c>
      <c r="E65" s="10">
        <v>19.61</v>
      </c>
      <c r="F65" s="8">
        <f t="shared" si="12"/>
        <v>1900</v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1900</v>
      </c>
      <c r="I65" s="15">
        <v>44284</v>
      </c>
      <c r="J65" s="10">
        <v>24</v>
      </c>
      <c r="K65" s="10">
        <v>21.27</v>
      </c>
      <c r="L65" s="8">
        <f t="shared" si="13"/>
        <v>1900</v>
      </c>
      <c r="M65" s="15">
        <v>44292</v>
      </c>
      <c r="N65" s="10">
        <v>18.5</v>
      </c>
      <c r="O65" s="10"/>
      <c r="P65" s="10"/>
      <c r="Q65" s="2"/>
      <c r="R65" s="2"/>
      <c r="S65" s="2"/>
      <c r="T65" s="2"/>
      <c r="U65" s="7">
        <f t="shared" si="14"/>
        <v>0.22386537480877108</v>
      </c>
      <c r="V65" s="7">
        <f t="shared" si="15"/>
        <v>5.6603773584905634E-2</v>
      </c>
      <c r="W65" s="21">
        <f t="shared" si="16"/>
        <v>3.9549549549549576</v>
      </c>
      <c r="X65" s="5">
        <f t="shared" si="17"/>
        <v>3154</v>
      </c>
      <c r="Y65" s="7">
        <f t="shared" si="18"/>
        <v>8.4650688424273327E-2</v>
      </c>
      <c r="Z65" s="7">
        <f>IF(OR(AE65="",多次统计数据!$B$8=""),"",AE65-多次统计数据!$B$8)</f>
        <v>-5.9024036654375771E-3</v>
      </c>
      <c r="AA65" s="11">
        <f t="shared" si="19"/>
        <v>8</v>
      </c>
      <c r="AB65" s="7">
        <f>IF(OR(A65="",多次统计数据!$B$8="",多次统计数据!$B$6&lt;=0,多次统计数据!$B$6&gt;=1),"",1-POWER(1+多次统计数据!$B$8,-多次统计数据!$B$6/(1-多次统计数据!$B$6)))</f>
        <v>3.371231520420892E-2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20"/>
        <v>2.9620029676377228E-2</v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>
        <f t="shared" si="22"/>
        <v>19.61</v>
      </c>
      <c r="AP65" s="11">
        <f t="shared" si="23"/>
        <v>1900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>通过</v>
      </c>
    </row>
    <row r="66" spans="1:44" x14ac:dyDescent="0.15">
      <c r="A66" s="2">
        <v>65</v>
      </c>
      <c r="B66" s="2" t="s">
        <v>45</v>
      </c>
      <c r="C66" s="10">
        <v>109636</v>
      </c>
      <c r="D66" s="6">
        <v>0.02</v>
      </c>
      <c r="E66" s="10">
        <v>18.440000000000001</v>
      </c>
      <c r="F66" s="8">
        <f t="shared" ref="F66:F97" si="24">IF(OR(C66="",D66="",E66="",N66="",C66&lt;=0,D66&lt;=0,E66&lt;=N66),"",ROUNDDOWN((C66*D66)/(E66-N66)/100,0)*100)</f>
        <v>1500</v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1500</v>
      </c>
      <c r="I66" s="15">
        <v>44341</v>
      </c>
      <c r="J66" s="10">
        <v>20</v>
      </c>
      <c r="K66" s="10">
        <v>19.309999999999999</v>
      </c>
      <c r="L66" s="8">
        <f t="shared" ref="L66:L97" si="25">IF(K66="","",H66)</f>
        <v>1500</v>
      </c>
      <c r="M66" s="15">
        <v>44350</v>
      </c>
      <c r="N66" s="10">
        <v>17</v>
      </c>
      <c r="O66" s="10"/>
      <c r="P66" s="10"/>
      <c r="Q66" s="2"/>
      <c r="R66" s="2"/>
      <c r="S66" s="2"/>
      <c r="T66" s="2"/>
      <c r="U66" s="7">
        <f t="shared" ref="U66:U97" si="26">IF(OR(AO66="",J66="",AO66&lt;=0),"",(J66-AO66)/AO66)</f>
        <v>8.4598698481561749E-2</v>
      </c>
      <c r="V66" s="7">
        <f t="shared" ref="V66:V97" si="27">IF(OR(AO66="",N66="",AO66&lt;=0),"",(AO66-N66)/AO66)</f>
        <v>7.8091106290672521E-2</v>
      </c>
      <c r="W66" s="21">
        <f t="shared" ref="W66:W97" si="28">IF(OR(U66="",V66="",V66&lt;=0),"",U66/V66)</f>
        <v>1.0833333333333315</v>
      </c>
      <c r="X66" s="5">
        <f t="shared" ref="X66:X97" si="29">IF(OR(K66="",L66="",AP66=""),"",K66*L66-(E66*H66+IF(AND(AK66&lt;&gt;"",AL66&lt;&gt;""),AK66*AL66,0)+IF(AND(AM66&lt;&gt;"",AN66&lt;&gt;""),AM66*AN66,0))-IF(O66="",0,O66)-IF(P66="",0,P66))</f>
        <v>1304.9999999999927</v>
      </c>
      <c r="Y66" s="7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4.718004338394767E-2</v>
      </c>
      <c r="Z66" s="7">
        <f>IF(OR(AE66="",多次统计数据!$B$8=""),"",AE66-多次统计数据!$B$8)</f>
        <v>-2.3619408787836249E-2</v>
      </c>
      <c r="AA66" s="11">
        <f t="shared" ref="AA66:AA97" si="31">IF(OR(I66="",M66="",M66&lt;I66),"",M66-I66)</f>
        <v>9</v>
      </c>
      <c r="AB66" s="7">
        <f>IF(OR(A66="",多次统计数据!$B$8="",多次统计数据!$B$6&lt;=0,多次统计数据!$B$6&gt;=1),"",1-POWER(1+多次统计数据!$B$8,-多次统计数据!$B$6/(1-多次统计数据!$B$6)))</f>
        <v>3.371231520420892E-2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97" si="32">IF(OR(X66="",C66="",C66&lt;=0),"",X66/C66)</f>
        <v>1.1903024553978554E-2</v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 t="shared" ref="AO66:AO97" si="34">IF(OR(A66="",H66="",H66&lt;=0),"",(E66*H66+IF(AND(AK66&lt;&gt;"",AL66&lt;&gt;""),AK66*AL66,0)+IF(AND(AM66&lt;&gt;"",AN66&lt;&gt;""),AM66*AN66,0))/AP66)</f>
        <v>18.440000000000001</v>
      </c>
      <c r="AP66" s="11">
        <f t="shared" ref="AP66:AP97" si="35">IF(OR(A66="",H66="",H66&lt;=0),"",H66+IF(AL66="",0,AL66)+IF(AN66="",0,AN66))</f>
        <v>1500</v>
      </c>
      <c r="AQ66" s="5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>0</v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>通过</v>
      </c>
    </row>
    <row r="67" spans="1:44" x14ac:dyDescent="0.15">
      <c r="A67" s="2">
        <v>66</v>
      </c>
      <c r="B67" s="2" t="s">
        <v>45</v>
      </c>
      <c r="C67" s="10">
        <v>110941</v>
      </c>
      <c r="D67" s="6">
        <v>0.02</v>
      </c>
      <c r="E67" s="10">
        <v>18.73</v>
      </c>
      <c r="F67" s="8">
        <f t="shared" si="24"/>
        <v>2000</v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2000</v>
      </c>
      <c r="I67" s="15">
        <v>44467</v>
      </c>
      <c r="J67" s="10">
        <v>20</v>
      </c>
      <c r="K67" s="10">
        <v>19.75</v>
      </c>
      <c r="L67" s="8">
        <f t="shared" si="25"/>
        <v>2000</v>
      </c>
      <c r="M67" s="15">
        <v>44483</v>
      </c>
      <c r="N67" s="10">
        <v>17.670000000000002</v>
      </c>
      <c r="O67" s="10"/>
      <c r="P67" s="10"/>
      <c r="Q67" s="2"/>
      <c r="R67" s="2"/>
      <c r="S67" s="2"/>
      <c r="T67" s="2"/>
      <c r="U67" s="7">
        <f t="shared" si="26"/>
        <v>6.7805659369994636E-2</v>
      </c>
      <c r="V67" s="7">
        <f t="shared" si="27"/>
        <v>5.6593699946609649E-2</v>
      </c>
      <c r="W67" s="21">
        <f t="shared" si="28"/>
        <v>1.1981132075471708</v>
      </c>
      <c r="X67" s="5">
        <f t="shared" si="29"/>
        <v>2040</v>
      </c>
      <c r="Y67" s="7">
        <f t="shared" si="30"/>
        <v>5.445808862786973E-2</v>
      </c>
      <c r="Z67" s="7">
        <f>IF(OR(AE67="",多次统计数据!$B$8=""),"",AE67-多次统计数据!$B$8)</f>
        <v>-1.7134281080703043E-2</v>
      </c>
      <c r="AA67" s="11">
        <f t="shared" si="31"/>
        <v>16</v>
      </c>
      <c r="AB67" s="7">
        <f>IF(OR(A67="",多次统计数据!$B$8="",多次统计数据!$B$6&lt;=0,多次统计数据!$B$6&gt;=1),"",1-POWER(1+多次统计数据!$B$8,-多次统计数据!$B$6/(1-多次统计数据!$B$6)))</f>
        <v>3.371231520420892E-2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32"/>
        <v>1.8388152261111762E-2</v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>
        <f t="shared" si="34"/>
        <v>18.73</v>
      </c>
      <c r="AP67" s="11">
        <f t="shared" si="35"/>
        <v>2000</v>
      </c>
      <c r="AQ67" s="5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>0</v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>通过</v>
      </c>
    </row>
    <row r="68" spans="1:44" x14ac:dyDescent="0.15">
      <c r="A68" s="2">
        <v>67</v>
      </c>
      <c r="B68" s="2" t="s">
        <v>45</v>
      </c>
      <c r="C68" s="10">
        <v>112981</v>
      </c>
      <c r="D68" s="6">
        <v>0.02</v>
      </c>
      <c r="E68" s="10">
        <v>20.64</v>
      </c>
      <c r="F68" s="8">
        <f t="shared" si="24"/>
        <v>1900</v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1900</v>
      </c>
      <c r="I68" s="15">
        <v>44509</v>
      </c>
      <c r="J68" s="10">
        <v>23</v>
      </c>
      <c r="K68" s="10">
        <v>20.88</v>
      </c>
      <c r="L68" s="8">
        <f t="shared" si="25"/>
        <v>1900</v>
      </c>
      <c r="M68" s="15">
        <v>44512</v>
      </c>
      <c r="N68" s="10">
        <v>19.5</v>
      </c>
      <c r="O68" s="10"/>
      <c r="P68" s="10"/>
      <c r="Q68" s="2"/>
      <c r="R68" s="2"/>
      <c r="S68" s="2"/>
      <c r="T68" s="2"/>
      <c r="U68" s="7">
        <f t="shared" si="26"/>
        <v>0.1143410852713178</v>
      </c>
      <c r="V68" s="7">
        <f t="shared" si="27"/>
        <v>5.5232558139534912E-2</v>
      </c>
      <c r="W68" s="21">
        <f t="shared" si="28"/>
        <v>2.0701754385964897</v>
      </c>
      <c r="X68" s="5">
        <f t="shared" si="29"/>
        <v>456</v>
      </c>
      <c r="Y68" s="7">
        <f t="shared" si="30"/>
        <v>1.1627906976744186E-2</v>
      </c>
      <c r="Z68" s="7">
        <f>IF(OR(AE68="",多次统计数据!$B$8=""),"",AE68-多次统计数据!$B$8)</f>
        <v>-3.1486356479333504E-2</v>
      </c>
      <c r="AA68" s="11">
        <f t="shared" si="31"/>
        <v>3</v>
      </c>
      <c r="AB68" s="7">
        <f>IF(OR(A68="",多次统计数据!$B$8="",多次统计数据!$B$6&lt;=0,多次统计数据!$B$6&gt;=1),"",1-POWER(1+多次统计数据!$B$8,-多次统计数据!$B$6/(1-多次统计数据!$B$6)))</f>
        <v>3.371231520420892E-2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32"/>
        <v>4.0360768624813021E-3</v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>
        <f t="shared" si="34"/>
        <v>20.64</v>
      </c>
      <c r="AP68" s="11">
        <f t="shared" si="35"/>
        <v>1900</v>
      </c>
      <c r="AQ68" s="5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>0</v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>通过</v>
      </c>
    </row>
    <row r="69" spans="1:44" x14ac:dyDescent="0.15">
      <c r="A69" s="2">
        <v>68</v>
      </c>
      <c r="B69" s="2" t="s">
        <v>45</v>
      </c>
      <c r="C69" s="10">
        <v>113437</v>
      </c>
      <c r="D69" s="6">
        <v>0.02</v>
      </c>
      <c r="E69" s="10">
        <v>20.87</v>
      </c>
      <c r="F69" s="8">
        <f t="shared" si="24"/>
        <v>1600</v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1600</v>
      </c>
      <c r="I69" s="15">
        <v>44533</v>
      </c>
      <c r="J69" s="10">
        <v>23</v>
      </c>
      <c r="K69" s="10">
        <v>20.12</v>
      </c>
      <c r="L69" s="8">
        <f t="shared" si="25"/>
        <v>1600</v>
      </c>
      <c r="M69" s="15">
        <v>44544</v>
      </c>
      <c r="N69" s="10">
        <v>19.5</v>
      </c>
      <c r="O69" s="10"/>
      <c r="P69" s="10"/>
      <c r="Q69" s="2"/>
      <c r="R69" s="2"/>
      <c r="S69" s="2"/>
      <c r="T69" s="2"/>
      <c r="U69" s="7">
        <f t="shared" si="26"/>
        <v>0.10206037374221365</v>
      </c>
      <c r="V69" s="7">
        <f t="shared" si="27"/>
        <v>6.5644465740297128E-2</v>
      </c>
      <c r="W69" s="21">
        <f t="shared" si="28"/>
        <v>1.5547445255474432</v>
      </c>
      <c r="X69" s="5">
        <f t="shared" si="29"/>
        <v>-1200</v>
      </c>
      <c r="Y69" s="7">
        <f t="shared" si="30"/>
        <v>-3.5936751317680884E-2</v>
      </c>
      <c r="Z69" s="7">
        <f>IF(OR(AE69="",多次统计数据!$B$8=""),"",AE69-多次统计数据!$B$8)</f>
        <v>-4.6100992365766424E-2</v>
      </c>
      <c r="AA69" s="11">
        <f t="shared" si="31"/>
        <v>11</v>
      </c>
      <c r="AB69" s="7">
        <f>IF(OR(A69="",多次统计数据!$B$8="",多次统计数据!$B$6&lt;=0,多次统计数据!$B$6&gt;=1),"",1-POWER(1+多次统计数据!$B$8,-多次统计数据!$B$6/(1-多次统计数据!$B$6)))</f>
        <v>3.371231520420892E-2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32"/>
        <v>-1.0578559023951621E-2</v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>
        <f t="shared" si="34"/>
        <v>20.87</v>
      </c>
      <c r="AP69" s="11">
        <f t="shared" si="35"/>
        <v>1600</v>
      </c>
      <c r="AQ69" s="5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>0</v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>通过</v>
      </c>
    </row>
    <row r="70" spans="1:44" x14ac:dyDescent="0.15">
      <c r="A70" s="2">
        <v>69</v>
      </c>
      <c r="B70" s="2" t="s">
        <v>45</v>
      </c>
      <c r="C70" s="10">
        <v>112237</v>
      </c>
      <c r="D70" s="6">
        <v>0.02</v>
      </c>
      <c r="E70" s="10">
        <v>18.77</v>
      </c>
      <c r="F70" s="8">
        <f t="shared" si="24"/>
        <v>2300</v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2300</v>
      </c>
      <c r="I70" s="15">
        <v>44571</v>
      </c>
      <c r="J70" s="10">
        <v>20</v>
      </c>
      <c r="K70" s="10">
        <v>18.059999999999999</v>
      </c>
      <c r="L70" s="8">
        <f t="shared" si="25"/>
        <v>2300</v>
      </c>
      <c r="M70" s="15">
        <v>44581</v>
      </c>
      <c r="N70" s="10">
        <v>17.8</v>
      </c>
      <c r="O70" s="10"/>
      <c r="P70" s="10"/>
      <c r="Q70" s="2"/>
      <c r="R70" s="2"/>
      <c r="S70" s="2"/>
      <c r="T70" s="2"/>
      <c r="U70" s="7">
        <f t="shared" si="26"/>
        <v>6.5530101225359641E-2</v>
      </c>
      <c r="V70" s="7">
        <f t="shared" si="27"/>
        <v>5.1678209909429881E-2</v>
      </c>
      <c r="W70" s="21">
        <f t="shared" si="28"/>
        <v>1.268041237113404</v>
      </c>
      <c r="X70" s="5">
        <f t="shared" si="29"/>
        <v>-1633</v>
      </c>
      <c r="Y70" s="7">
        <f t="shared" si="30"/>
        <v>-3.7826318593500267E-2</v>
      </c>
      <c r="Z70" s="7">
        <f>IF(OR(AE70="",多次统计数据!$B$8=""),"",AE70-多次统计数据!$B$8)</f>
        <v>-5.0072002556957762E-2</v>
      </c>
      <c r="AA70" s="11">
        <f t="shared" si="31"/>
        <v>10</v>
      </c>
      <c r="AB70" s="7">
        <f>IF(OR(A70="",多次统计数据!$B$8="",多次统计数据!$B$6&lt;=0,多次统计数据!$B$6&gt;=1),"",1-POWER(1+多次统计数据!$B$8,-多次统计数据!$B$6/(1-多次统计数据!$B$6)))</f>
        <v>3.371231520420892E-2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32"/>
        <v>-1.4549569215142956E-2</v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>
        <f t="shared" si="34"/>
        <v>18.77</v>
      </c>
      <c r="AP70" s="11">
        <f t="shared" si="35"/>
        <v>2300</v>
      </c>
      <c r="AQ70" s="5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>0</v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>通过</v>
      </c>
    </row>
    <row r="71" spans="1:44" x14ac:dyDescent="0.15">
      <c r="A71" s="2">
        <v>70</v>
      </c>
      <c r="B71" s="2" t="s">
        <v>45</v>
      </c>
      <c r="C71" s="10">
        <v>110604</v>
      </c>
      <c r="D71" s="6">
        <v>0.02</v>
      </c>
      <c r="E71" s="10">
        <v>16.59</v>
      </c>
      <c r="F71" s="8">
        <f t="shared" si="24"/>
        <v>2000</v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2000</v>
      </c>
      <c r="I71" s="15">
        <v>44636</v>
      </c>
      <c r="J71" s="10">
        <v>18</v>
      </c>
      <c r="K71" s="10">
        <v>17.36</v>
      </c>
      <c r="L71" s="8">
        <f t="shared" si="25"/>
        <v>2000</v>
      </c>
      <c r="M71" s="15">
        <v>44641</v>
      </c>
      <c r="N71" s="10">
        <v>15.5</v>
      </c>
      <c r="O71" s="10"/>
      <c r="P71" s="10"/>
      <c r="Q71" s="2"/>
      <c r="R71" s="2"/>
      <c r="S71" s="2"/>
      <c r="T71" s="2"/>
      <c r="U71" s="7">
        <f t="shared" si="26"/>
        <v>8.4990958408679942E-2</v>
      </c>
      <c r="V71" s="7">
        <f t="shared" si="27"/>
        <v>6.5702230259192279E-2</v>
      </c>
      <c r="W71" s="21">
        <f t="shared" si="28"/>
        <v>1.2935779816513764</v>
      </c>
      <c r="X71" s="5">
        <f t="shared" si="29"/>
        <v>1540</v>
      </c>
      <c r="Y71" s="7">
        <f t="shared" si="30"/>
        <v>4.6413502109704644E-2</v>
      </c>
      <c r="Z71" s="7">
        <f>IF(OR(AE71="",多次统计数据!$B$8=""),"",AE71-多次统计数据!$B$8)</f>
        <v>-2.1598886272992703E-2</v>
      </c>
      <c r="AA71" s="11">
        <f t="shared" si="31"/>
        <v>5</v>
      </c>
      <c r="AB71" s="7">
        <f>IF(OR(A71="",多次统计数据!$B$8="",多次统计数据!$B$6&lt;=0,多次统计数据!$B$6&gt;=1),"",1-POWER(1+多次统计数据!$B$8,-多次统计数据!$B$6/(1-多次统计数据!$B$6)))</f>
        <v>3.371231520420892E-2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32"/>
        <v>1.3923547068822104E-2</v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>
        <f t="shared" si="34"/>
        <v>16.59</v>
      </c>
      <c r="AP71" s="11">
        <f t="shared" si="35"/>
        <v>2000</v>
      </c>
      <c r="AQ71" s="5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>0</v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>通过</v>
      </c>
    </row>
    <row r="72" spans="1:44" x14ac:dyDescent="0.15">
      <c r="A72" s="2">
        <v>71</v>
      </c>
      <c r="B72" s="2" t="s">
        <v>45</v>
      </c>
      <c r="C72" s="10">
        <v>112144</v>
      </c>
      <c r="D72" s="6">
        <v>0.02</v>
      </c>
      <c r="E72" s="10">
        <v>15</v>
      </c>
      <c r="F72" s="8">
        <f t="shared" si="24"/>
        <v>2200</v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2200</v>
      </c>
      <c r="I72" s="15">
        <v>44663</v>
      </c>
      <c r="J72" s="10">
        <v>17</v>
      </c>
      <c r="K72" s="10">
        <v>13.88</v>
      </c>
      <c r="L72" s="8">
        <f t="shared" si="25"/>
        <v>2200</v>
      </c>
      <c r="M72" s="15">
        <v>44673</v>
      </c>
      <c r="N72" s="10">
        <v>14</v>
      </c>
      <c r="O72" s="10"/>
      <c r="P72" s="10"/>
      <c r="Q72" s="2"/>
      <c r="R72" s="2"/>
      <c r="S72" s="2"/>
      <c r="T72" s="2"/>
      <c r="U72" s="7">
        <f t="shared" si="26"/>
        <v>0.13333333333333333</v>
      </c>
      <c r="V72" s="7">
        <f t="shared" si="27"/>
        <v>6.6666666666666666E-2</v>
      </c>
      <c r="W72" s="21">
        <f t="shared" si="28"/>
        <v>2</v>
      </c>
      <c r="X72" s="5">
        <f t="shared" si="29"/>
        <v>-2464</v>
      </c>
      <c r="Y72" s="7">
        <f t="shared" si="30"/>
        <v>-7.4666666666666673E-2</v>
      </c>
      <c r="Z72" s="7">
        <f>IF(OR(AE72="",多次统计数据!$B$8=""),"",AE72-多次统计数据!$B$8)</f>
        <v>-5.7494183948178054E-2</v>
      </c>
      <c r="AA72" s="11">
        <f t="shared" si="31"/>
        <v>10</v>
      </c>
      <c r="AB72" s="7">
        <f>IF(OR(A72="",多次统计数据!$B$8="",多次统计数据!$B$6&lt;=0,多次统计数据!$B$6&gt;=1),"",1-POWER(1+多次统计数据!$B$8,-多次统计数据!$B$6/(1-多次统计数据!$B$6)))</f>
        <v>3.371231520420892E-2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32"/>
        <v>-2.1971750606363246E-2</v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>
        <f t="shared" si="34"/>
        <v>15</v>
      </c>
      <c r="AP72" s="11">
        <f t="shared" si="35"/>
        <v>2200</v>
      </c>
      <c r="AQ72" s="5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>0</v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>通过</v>
      </c>
    </row>
    <row r="73" spans="1:44" x14ac:dyDescent="0.15">
      <c r="A73" s="2">
        <v>72</v>
      </c>
      <c r="B73" s="2" t="s">
        <v>45</v>
      </c>
      <c r="C73" s="10">
        <v>109680</v>
      </c>
      <c r="D73" s="6">
        <v>0.02</v>
      </c>
      <c r="E73" s="10">
        <v>13</v>
      </c>
      <c r="F73" s="8">
        <f t="shared" si="24"/>
        <v>2100</v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2100</v>
      </c>
      <c r="I73" s="15">
        <v>44678</v>
      </c>
      <c r="J73" s="10">
        <v>15</v>
      </c>
      <c r="K73" s="10">
        <v>14.18</v>
      </c>
      <c r="L73" s="8">
        <f t="shared" si="25"/>
        <v>2100</v>
      </c>
      <c r="M73" s="15">
        <v>44757</v>
      </c>
      <c r="N73" s="10">
        <v>12</v>
      </c>
      <c r="O73" s="10"/>
      <c r="P73" s="10"/>
      <c r="Q73" s="2"/>
      <c r="R73" s="2"/>
      <c r="S73" s="2"/>
      <c r="T73" s="2"/>
      <c r="U73" s="7">
        <f t="shared" si="26"/>
        <v>0.15384615384615385</v>
      </c>
      <c r="V73" s="7">
        <f t="shared" si="27"/>
        <v>7.6923076923076927E-2</v>
      </c>
      <c r="W73" s="21">
        <f t="shared" si="28"/>
        <v>2</v>
      </c>
      <c r="X73" s="5">
        <f t="shared" si="29"/>
        <v>2478</v>
      </c>
      <c r="Y73" s="7">
        <f t="shared" si="30"/>
        <v>9.0769230769230769E-2</v>
      </c>
      <c r="Z73" s="7">
        <f>IF(OR(AE73="",多次统计数据!$B$8=""),"",AE73-多次统计数据!$B$8)</f>
        <v>-1.2929435529998611E-2</v>
      </c>
      <c r="AA73" s="11">
        <f t="shared" si="31"/>
        <v>79</v>
      </c>
      <c r="AB73" s="7">
        <f>IF(OR(A73="",多次统计数据!$B$8="",多次统计数据!$B$6&lt;=0,多次统计数据!$B$6&gt;=1),"",1-POWER(1+多次统计数据!$B$8,-多次统计数据!$B$6/(1-多次统计数据!$B$6)))</f>
        <v>3.371231520420892E-2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32"/>
        <v>2.2592997811816194E-2</v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>
        <f t="shared" si="34"/>
        <v>13</v>
      </c>
      <c r="AP73" s="11">
        <f t="shared" si="35"/>
        <v>2100</v>
      </c>
      <c r="AQ73" s="5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>0</v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>通过</v>
      </c>
    </row>
    <row r="74" spans="1:44" x14ac:dyDescent="0.15">
      <c r="A74" s="2">
        <v>73</v>
      </c>
      <c r="B74" s="2" t="s">
        <v>45</v>
      </c>
      <c r="C74" s="10">
        <v>112158</v>
      </c>
      <c r="D74" s="6">
        <v>0.02</v>
      </c>
      <c r="E74" s="10">
        <v>15.74</v>
      </c>
      <c r="F74" s="8">
        <f t="shared" si="24"/>
        <v>1800</v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1800</v>
      </c>
      <c r="I74" s="15">
        <v>44763</v>
      </c>
      <c r="J74" s="10">
        <v>18</v>
      </c>
      <c r="K74" s="10">
        <v>19.95</v>
      </c>
      <c r="L74" s="8">
        <f t="shared" si="25"/>
        <v>1800</v>
      </c>
      <c r="M74" s="15">
        <v>44792</v>
      </c>
      <c r="N74" s="10">
        <v>14.5</v>
      </c>
      <c r="O74" s="10"/>
      <c r="P74" s="10"/>
      <c r="Q74" s="2"/>
      <c r="R74" s="2"/>
      <c r="S74" s="2"/>
      <c r="T74" s="2"/>
      <c r="U74" s="7">
        <f t="shared" si="26"/>
        <v>0.14358322744599744</v>
      </c>
      <c r="V74" s="7">
        <f t="shared" si="27"/>
        <v>7.8780177890724279E-2</v>
      </c>
      <c r="W74" s="21">
        <f t="shared" si="28"/>
        <v>1.8225806451612898</v>
      </c>
      <c r="X74" s="5">
        <f t="shared" si="29"/>
        <v>7578</v>
      </c>
      <c r="Y74" s="7">
        <f t="shared" si="30"/>
        <v>0.26747141041931383</v>
      </c>
      <c r="Z74" s="7">
        <f>IF(OR(AE74="",多次统计数据!$B$8=""),"",AE74-多次统计数据!$B$8)</f>
        <v>3.2042965470574863E-2</v>
      </c>
      <c r="AA74" s="11">
        <f t="shared" si="31"/>
        <v>29</v>
      </c>
      <c r="AB74" s="7">
        <f>IF(OR(A74="",多次统计数据!$B$8="",多次统计数据!$B$6&lt;=0,多次统计数据!$B$6&gt;=1),"",1-POWER(1+多次统计数据!$B$8,-多次统计数据!$B$6/(1-多次统计数据!$B$6)))</f>
        <v>3.371231520420892E-2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32"/>
        <v>6.7565398812389668E-2</v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>
        <f t="shared" si="34"/>
        <v>15.74</v>
      </c>
      <c r="AP74" s="11">
        <f t="shared" si="35"/>
        <v>1800</v>
      </c>
      <c r="AQ74" s="5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>0</v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>通过</v>
      </c>
    </row>
    <row r="75" spans="1:44" x14ac:dyDescent="0.15">
      <c r="A75" s="2">
        <v>74</v>
      </c>
      <c r="B75" s="2" t="s">
        <v>45</v>
      </c>
      <c r="C75" s="10">
        <v>119736</v>
      </c>
      <c r="D75" s="6">
        <v>0.02</v>
      </c>
      <c r="E75" s="10">
        <v>18.86</v>
      </c>
      <c r="F75" s="8">
        <f t="shared" si="24"/>
        <v>2700</v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2700</v>
      </c>
      <c r="I75" s="15">
        <v>44798</v>
      </c>
      <c r="J75" s="10">
        <v>23</v>
      </c>
      <c r="K75" s="10">
        <v>17.510000000000002</v>
      </c>
      <c r="L75" s="8">
        <f t="shared" si="25"/>
        <v>2700</v>
      </c>
      <c r="M75" s="15">
        <v>44805</v>
      </c>
      <c r="N75" s="10">
        <v>18</v>
      </c>
      <c r="O75" s="10"/>
      <c r="P75" s="10"/>
      <c r="Q75" s="2"/>
      <c r="R75" s="2"/>
      <c r="S75" s="2"/>
      <c r="T75" s="2"/>
      <c r="U75" s="7">
        <f t="shared" si="26"/>
        <v>0.21951219512195125</v>
      </c>
      <c r="V75" s="7">
        <f t="shared" si="27"/>
        <v>4.5599151643690321E-2</v>
      </c>
      <c r="W75" s="21">
        <f t="shared" si="28"/>
        <v>4.8139534883720971</v>
      </c>
      <c r="X75" s="5">
        <f t="shared" si="29"/>
        <v>-3644.9999999999927</v>
      </c>
      <c r="Y75" s="7">
        <f t="shared" si="30"/>
        <v>-7.1580063626723076E-2</v>
      </c>
      <c r="Z75" s="7">
        <f>IF(OR(AE75="",多次统计数据!$B$8=""),"",AE75-多次统计数据!$B$8)</f>
        <v>-6.5964405680960861E-2</v>
      </c>
      <c r="AA75" s="11">
        <f t="shared" si="31"/>
        <v>7</v>
      </c>
      <c r="AB75" s="7">
        <f>IF(OR(A75="",多次统计数据!$B$8="",多次统计数据!$B$6&lt;=0,多次统计数据!$B$6&gt;=1),"",1-POWER(1+多次统计数据!$B$8,-多次统计数据!$B$6/(1-多次统计数据!$B$6)))</f>
        <v>3.371231520420892E-2</v>
      </c>
      <c r="AC75" s="8" t="str">
        <f>IF(OR(AB75="",多次统计数据!$B$9=""),"",IF(多次统计数据!$B$9&lt;AB75,"低于上限","达到或超过上限"))</f>
        <v>低于上限</v>
      </c>
      <c r="AD75" s="2"/>
      <c r="AE75" s="7">
        <f t="shared" si="32"/>
        <v>-3.044197233914606E-2</v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>
        <f t="shared" si="34"/>
        <v>18.86</v>
      </c>
      <c r="AP75" s="11">
        <f t="shared" si="35"/>
        <v>2700</v>
      </c>
      <c r="AQ75" s="5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>0</v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>通过</v>
      </c>
    </row>
    <row r="76" spans="1:44" x14ac:dyDescent="0.15">
      <c r="A76" s="2">
        <v>75</v>
      </c>
      <c r="B76" s="2" t="s">
        <v>45</v>
      </c>
      <c r="C76" s="10">
        <v>116091</v>
      </c>
      <c r="D76" s="6">
        <v>0.02</v>
      </c>
      <c r="E76" s="10">
        <v>17.95</v>
      </c>
      <c r="F76" s="8">
        <f t="shared" si="24"/>
        <v>1600</v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1600</v>
      </c>
      <c r="I76" s="15">
        <v>44818</v>
      </c>
      <c r="J76" s="10">
        <v>20</v>
      </c>
      <c r="K76" s="10">
        <v>16.13</v>
      </c>
      <c r="L76" s="8">
        <f t="shared" si="25"/>
        <v>1600</v>
      </c>
      <c r="M76" s="15">
        <v>44827</v>
      </c>
      <c r="N76" s="10">
        <v>16.5</v>
      </c>
      <c r="O76" s="10"/>
      <c r="P76" s="10"/>
      <c r="Q76" s="2"/>
      <c r="R76" s="2"/>
      <c r="S76" s="2"/>
      <c r="T76" s="2"/>
      <c r="U76" s="7">
        <f t="shared" si="26"/>
        <v>0.11420612813370477</v>
      </c>
      <c r="V76" s="7">
        <f t="shared" si="27"/>
        <v>8.0779944289693553E-2</v>
      </c>
      <c r="W76" s="21">
        <f t="shared" si="28"/>
        <v>1.4137931034482771</v>
      </c>
      <c r="X76" s="5">
        <f t="shared" si="29"/>
        <v>-2912</v>
      </c>
      <c r="Y76" s="7">
        <f t="shared" si="30"/>
        <v>-0.10139275766016713</v>
      </c>
      <c r="Z76" s="7">
        <f>IF(OR(AE76="",多次统计数据!$B$8=""),"",AE76-多次统计数据!$B$8)</f>
        <v>-6.0606203832205968E-2</v>
      </c>
      <c r="AA76" s="11">
        <f t="shared" si="31"/>
        <v>9</v>
      </c>
      <c r="AB76" s="7">
        <f>IF(OR(A76="",多次统计数据!$B$8="",多次统计数据!$B$6&lt;=0,多次统计数据!$B$6&gt;=1),"",1-POWER(1+多次统计数据!$B$8,-多次统计数据!$B$6/(1-多次统计数据!$B$6)))</f>
        <v>3.371231520420892E-2</v>
      </c>
      <c r="AC76" s="8" t="str">
        <f>IF(OR(AB76="",多次统计数据!$B$9=""),"",IF(多次统计数据!$B$9&lt;AB76,"低于上限","达到或超过上限"))</f>
        <v>低于上限</v>
      </c>
      <c r="AD76" s="2"/>
      <c r="AE76" s="7">
        <f t="shared" si="32"/>
        <v>-2.508377049039116E-2</v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>
        <f t="shared" si="34"/>
        <v>17.95</v>
      </c>
      <c r="AP76" s="11">
        <f t="shared" si="35"/>
        <v>1600</v>
      </c>
      <c r="AQ76" s="5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>0</v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>通过</v>
      </c>
    </row>
    <row r="77" spans="1:44" x14ac:dyDescent="0.15">
      <c r="A77" s="2">
        <v>76</v>
      </c>
      <c r="B77" s="2" t="s">
        <v>45</v>
      </c>
      <c r="C77" s="10">
        <v>113179</v>
      </c>
      <c r="D77" s="6">
        <v>0.02</v>
      </c>
      <c r="E77" s="10">
        <v>14.52</v>
      </c>
      <c r="F77" s="8">
        <f t="shared" si="24"/>
        <v>2200</v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2200</v>
      </c>
      <c r="I77" s="15">
        <v>44846</v>
      </c>
      <c r="J77" s="10">
        <v>16</v>
      </c>
      <c r="K77" s="10">
        <v>17.73</v>
      </c>
      <c r="L77" s="8">
        <f t="shared" si="25"/>
        <v>2200</v>
      </c>
      <c r="M77" s="15">
        <v>44867</v>
      </c>
      <c r="N77" s="10">
        <v>13.5</v>
      </c>
      <c r="O77" s="10"/>
      <c r="P77" s="10"/>
      <c r="Q77" s="2"/>
      <c r="R77" s="2"/>
      <c r="S77" s="2"/>
      <c r="T77" s="2"/>
      <c r="U77" s="7">
        <f t="shared" si="26"/>
        <v>0.10192837465564741</v>
      </c>
      <c r="V77" s="7">
        <f t="shared" si="27"/>
        <v>7.0247933884297495E-2</v>
      </c>
      <c r="W77" s="21">
        <f t="shared" si="28"/>
        <v>1.4509803921568638</v>
      </c>
      <c r="X77" s="5">
        <f t="shared" si="29"/>
        <v>7062</v>
      </c>
      <c r="Y77" s="7">
        <f t="shared" si="30"/>
        <v>0.22107438016528927</v>
      </c>
      <c r="Z77" s="7">
        <f>IF(OR(AE77="",多次统计数据!$B$8=""),"",AE77-多次统计数据!$B$8)</f>
        <v>2.6874301034703806E-2</v>
      </c>
      <c r="AA77" s="11">
        <f t="shared" si="31"/>
        <v>21</v>
      </c>
      <c r="AB77" s="7">
        <f>IF(OR(A77="",多次统计数据!$B$8="",多次统计数据!$B$6&lt;=0,多次统计数据!$B$6&gt;=1),"",1-POWER(1+多次统计数据!$B$8,-多次统计数据!$B$6/(1-多次统计数据!$B$6)))</f>
        <v>3.371231520420892E-2</v>
      </c>
      <c r="AC77" s="8" t="str">
        <f>IF(OR(AB77="",多次统计数据!$B$9=""),"",IF(多次统计数据!$B$9&lt;AB77,"低于上限","达到或超过上限"))</f>
        <v>低于上限</v>
      </c>
      <c r="AD77" s="2"/>
      <c r="AE77" s="7">
        <f t="shared" si="32"/>
        <v>6.239673437651861E-2</v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>
        <f t="shared" si="34"/>
        <v>14.52</v>
      </c>
      <c r="AP77" s="11">
        <f t="shared" si="35"/>
        <v>2200</v>
      </c>
      <c r="AQ77" s="5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>0</v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>通过</v>
      </c>
    </row>
    <row r="78" spans="1:44" x14ac:dyDescent="0.15">
      <c r="A78" s="2">
        <v>77</v>
      </c>
      <c r="B78" s="2" t="s">
        <v>45</v>
      </c>
      <c r="C78" s="10">
        <v>120241</v>
      </c>
      <c r="D78" s="6">
        <v>0.02</v>
      </c>
      <c r="E78" s="10">
        <v>17.39</v>
      </c>
      <c r="F78" s="8">
        <f t="shared" si="24"/>
        <v>2700</v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2700</v>
      </c>
      <c r="I78" s="15">
        <v>44888</v>
      </c>
      <c r="J78" s="10">
        <v>20</v>
      </c>
      <c r="K78" s="10">
        <v>16.239999999999998</v>
      </c>
      <c r="L78" s="8">
        <f t="shared" si="25"/>
        <v>2700</v>
      </c>
      <c r="M78" s="15">
        <v>44903</v>
      </c>
      <c r="N78" s="10">
        <v>16.5</v>
      </c>
      <c r="O78" s="10"/>
      <c r="P78" s="10"/>
      <c r="Q78" s="2"/>
      <c r="R78" s="2"/>
      <c r="S78" s="2"/>
      <c r="T78" s="2"/>
      <c r="U78" s="7">
        <f t="shared" si="26"/>
        <v>0.15008625646923515</v>
      </c>
      <c r="V78" s="7">
        <f t="shared" si="27"/>
        <v>5.1178838412880998E-2</v>
      </c>
      <c r="W78" s="21">
        <f t="shared" si="28"/>
        <v>2.932584269662919</v>
      </c>
      <c r="X78" s="5">
        <f t="shared" si="29"/>
        <v>-3105.0000000000073</v>
      </c>
      <c r="Y78" s="7">
        <f t="shared" si="30"/>
        <v>-6.6129959746981173E-2</v>
      </c>
      <c r="Z78" s="7">
        <f>IF(OR(AE78="",多次统计数据!$B$8=""),"",AE78-多次统计数据!$B$8)</f>
        <v>-6.1345571871933541E-2</v>
      </c>
      <c r="AA78" s="11">
        <f t="shared" si="31"/>
        <v>15</v>
      </c>
      <c r="AB78" s="7">
        <f>IF(OR(A78="",多次统计数据!$B$8="",多次统计数据!$B$6&lt;=0,多次统计数据!$B$6&gt;=1),"",1-POWER(1+多次统计数据!$B$8,-多次统计数据!$B$6/(1-多次统计数据!$B$6)))</f>
        <v>3.371231520420892E-2</v>
      </c>
      <c r="AC78" s="8" t="str">
        <f>IF(OR(AB78="",多次统计数据!$B$9=""),"",IF(多次统计数据!$B$9&lt;AB78,"低于上限","达到或超过上限"))</f>
        <v>低于上限</v>
      </c>
      <c r="AD78" s="2"/>
      <c r="AE78" s="7">
        <f t="shared" si="32"/>
        <v>-2.582313853011874E-2</v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>
        <f t="shared" si="34"/>
        <v>17.39</v>
      </c>
      <c r="AP78" s="11">
        <f t="shared" si="35"/>
        <v>2700</v>
      </c>
      <c r="AQ78" s="5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>0</v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>通过</v>
      </c>
    </row>
    <row r="79" spans="1:44" x14ac:dyDescent="0.15">
      <c r="A79" s="2">
        <v>78</v>
      </c>
      <c r="B79" s="2" t="s">
        <v>45</v>
      </c>
      <c r="C79" s="10">
        <v>117136</v>
      </c>
      <c r="D79" s="6">
        <v>0.02</v>
      </c>
      <c r="E79" s="10">
        <v>17.690000000000001</v>
      </c>
      <c r="F79" s="8">
        <f t="shared" si="24"/>
        <v>3300</v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3300</v>
      </c>
      <c r="I79" s="15">
        <v>44914</v>
      </c>
      <c r="J79" s="10">
        <v>20</v>
      </c>
      <c r="K79" s="10">
        <v>16.52</v>
      </c>
      <c r="L79" s="8">
        <f t="shared" si="25"/>
        <v>3300</v>
      </c>
      <c r="M79" s="15">
        <v>44924</v>
      </c>
      <c r="N79" s="10">
        <v>17</v>
      </c>
      <c r="O79" s="10"/>
      <c r="P79" s="10"/>
      <c r="Q79" s="2"/>
      <c r="R79" s="2"/>
      <c r="S79" s="2"/>
      <c r="T79" s="2"/>
      <c r="U79" s="7">
        <f t="shared" si="26"/>
        <v>0.13058224985867714</v>
      </c>
      <c r="V79" s="7">
        <f t="shared" si="27"/>
        <v>3.9005087620124432E-2</v>
      </c>
      <c r="W79" s="21">
        <f t="shared" si="28"/>
        <v>3.347826086956514</v>
      </c>
      <c r="X79" s="5">
        <f t="shared" si="29"/>
        <v>-3861.0000000000073</v>
      </c>
      <c r="Y79" s="7">
        <f t="shared" si="30"/>
        <v>-6.6139061616732733E-2</v>
      </c>
      <c r="Z79" s="7">
        <f>IF(OR(AE79="",多次统计数据!$B$8=""),"",AE79-多次统计数据!$B$8)</f>
        <v>-6.8484118903896551E-2</v>
      </c>
      <c r="AA79" s="11">
        <f t="shared" si="31"/>
        <v>10</v>
      </c>
      <c r="AB79" s="7">
        <f>IF(OR(A79="",多次统计数据!$B$8="",多次统计数据!$B$6&lt;=0,多次统计数据!$B$6&gt;=1),"",1-POWER(1+多次统计数据!$B$8,-多次统计数据!$B$6/(1-多次统计数据!$B$6)))</f>
        <v>3.371231520420892E-2</v>
      </c>
      <c r="AC79" s="8" t="str">
        <f>IF(OR(AB79="",多次统计数据!$B$9=""),"",IF(多次统计数据!$B$9&lt;AB79,"低于上限","达到或超过上限"))</f>
        <v>低于上限</v>
      </c>
      <c r="AD79" s="2"/>
      <c r="AE79" s="7">
        <f t="shared" si="32"/>
        <v>-3.2961685562081747E-2</v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>
        <f t="shared" si="34"/>
        <v>17.690000000000001</v>
      </c>
      <c r="AP79" s="11">
        <f t="shared" si="35"/>
        <v>3300</v>
      </c>
      <c r="AQ79" s="5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>0</v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>通过</v>
      </c>
    </row>
    <row r="80" spans="1:44" x14ac:dyDescent="0.15">
      <c r="A80" s="2">
        <v>79</v>
      </c>
      <c r="B80" s="2" t="s">
        <v>45</v>
      </c>
      <c r="C80" s="10">
        <v>113275</v>
      </c>
      <c r="D80" s="6">
        <v>0.02</v>
      </c>
      <c r="E80" s="10">
        <v>19.059999999999999</v>
      </c>
      <c r="F80" s="8">
        <f t="shared" si="24"/>
        <v>2100</v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2100</v>
      </c>
      <c r="I80" s="15">
        <v>44958</v>
      </c>
      <c r="J80" s="10">
        <v>22</v>
      </c>
      <c r="K80" s="10">
        <v>18.45</v>
      </c>
      <c r="L80" s="8">
        <f t="shared" si="25"/>
        <v>2100</v>
      </c>
      <c r="M80" s="15">
        <v>44965</v>
      </c>
      <c r="N80" s="10">
        <v>18</v>
      </c>
      <c r="O80" s="10"/>
      <c r="P80" s="10"/>
      <c r="Q80" s="2"/>
      <c r="R80" s="2"/>
      <c r="S80" s="2"/>
      <c r="T80" s="2"/>
      <c r="U80" s="7">
        <f t="shared" si="26"/>
        <v>0.15424973767051425</v>
      </c>
      <c r="V80" s="7">
        <f t="shared" si="27"/>
        <v>5.5613850996851982E-2</v>
      </c>
      <c r="W80" s="21">
        <f t="shared" si="28"/>
        <v>2.7735849056603823</v>
      </c>
      <c r="X80" s="5">
        <f t="shared" si="29"/>
        <v>-1281</v>
      </c>
      <c r="Y80" s="7">
        <f t="shared" si="30"/>
        <v>-3.2004197271773345E-2</v>
      </c>
      <c r="Z80" s="7">
        <f>IF(OR(AE80="",多次统计数据!$B$8=""),"",AE80-多次统计数据!$B$8)</f>
        <v>-4.6831195204538267E-2</v>
      </c>
      <c r="AA80" s="11">
        <f t="shared" si="31"/>
        <v>7</v>
      </c>
      <c r="AB80" s="7">
        <f>IF(OR(A80="",多次统计数据!$B$8="",多次统计数据!$B$6&lt;=0,多次统计数据!$B$6&gt;=1),"",1-POWER(1+多次统计数据!$B$8,-多次统计数据!$B$6/(1-多次统计数据!$B$6)))</f>
        <v>3.371231520420892E-2</v>
      </c>
      <c r="AC80" s="8" t="str">
        <f>IF(OR(AB80="",多次统计数据!$B$9=""),"",IF(多次统计数据!$B$9&lt;AB80,"低于上限","达到或超过上限"))</f>
        <v>低于上限</v>
      </c>
      <c r="AD80" s="2"/>
      <c r="AE80" s="7">
        <f t="shared" si="32"/>
        <v>-1.1308761862723461E-2</v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>
        <f t="shared" si="34"/>
        <v>19.059999999999999</v>
      </c>
      <c r="AP80" s="11">
        <f t="shared" si="35"/>
        <v>2100</v>
      </c>
      <c r="AQ80" s="5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>0</v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>通过</v>
      </c>
    </row>
    <row r="81" spans="1:44" x14ac:dyDescent="0.15">
      <c r="A81" s="2">
        <v>80</v>
      </c>
      <c r="B81" s="2" t="s">
        <v>45</v>
      </c>
      <c r="C81" s="10">
        <v>111994</v>
      </c>
      <c r="D81" s="6">
        <v>0.02</v>
      </c>
      <c r="E81" s="10">
        <v>22.07</v>
      </c>
      <c r="F81" s="8">
        <f t="shared" si="24"/>
        <v>800</v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800</v>
      </c>
      <c r="I81" s="15">
        <v>44978</v>
      </c>
      <c r="J81" s="10">
        <v>25</v>
      </c>
      <c r="K81" s="10">
        <v>19.350000000000001</v>
      </c>
      <c r="L81" s="8">
        <f t="shared" si="25"/>
        <v>800</v>
      </c>
      <c r="M81" s="15">
        <v>45040</v>
      </c>
      <c r="N81" s="10">
        <v>19.5</v>
      </c>
      <c r="O81" s="10"/>
      <c r="P81" s="10"/>
      <c r="Q81" s="2"/>
      <c r="R81" s="2"/>
      <c r="S81" s="2"/>
      <c r="T81" s="2"/>
      <c r="U81" s="7">
        <f t="shared" si="26"/>
        <v>0.13275940190303578</v>
      </c>
      <c r="V81" s="7">
        <f t="shared" si="27"/>
        <v>0.1164476665156321</v>
      </c>
      <c r="W81" s="21">
        <f t="shared" si="28"/>
        <v>1.1400778210116729</v>
      </c>
      <c r="X81" s="5">
        <f t="shared" si="29"/>
        <v>-2175.9999999999982</v>
      </c>
      <c r="Y81" s="7">
        <f t="shared" si="30"/>
        <v>-0.12324422292705019</v>
      </c>
      <c r="Z81" s="7">
        <f>IF(OR(AE81="",多次统计数据!$B$8=""),"",AE81-多次统计数据!$B$8)</f>
        <v>-5.4952045642473753E-2</v>
      </c>
      <c r="AA81" s="11">
        <f t="shared" si="31"/>
        <v>62</v>
      </c>
      <c r="AB81" s="7">
        <f>IF(OR(A81="",多次统计数据!$B$8="",多次统计数据!$B$6&lt;=0,多次统计数据!$B$6&gt;=1),"",1-POWER(1+多次统计数据!$B$8,-多次统计数据!$B$6/(1-多次统计数据!$B$6)))</f>
        <v>3.371231520420892E-2</v>
      </c>
      <c r="AC81" s="8" t="str">
        <f>IF(OR(AB81="",多次统计数据!$B$9=""),"",IF(多次统计数据!$B$9&lt;AB81,"低于上限","达到或超过上限"))</f>
        <v>低于上限</v>
      </c>
      <c r="AD81" s="2"/>
      <c r="AE81" s="7">
        <f t="shared" si="32"/>
        <v>-1.9429612300658948E-2</v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>
        <f t="shared" si="34"/>
        <v>22.07</v>
      </c>
      <c r="AP81" s="11">
        <f t="shared" si="35"/>
        <v>800</v>
      </c>
      <c r="AQ81" s="5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>0</v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>通过</v>
      </c>
    </row>
    <row r="82" spans="1:44" x14ac:dyDescent="0.15">
      <c r="A82" s="2">
        <v>81</v>
      </c>
      <c r="B82" s="2" t="s">
        <v>45</v>
      </c>
      <c r="C82" s="10">
        <v>109818</v>
      </c>
      <c r="D82" s="6">
        <v>0.02</v>
      </c>
      <c r="E82" s="10">
        <v>18.02</v>
      </c>
      <c r="F82" s="8">
        <f t="shared" si="24"/>
        <v>1000</v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1000</v>
      </c>
      <c r="I82" s="15">
        <v>45042</v>
      </c>
      <c r="J82" s="10">
        <v>20</v>
      </c>
      <c r="K82" s="10">
        <v>18.96</v>
      </c>
      <c r="L82" s="8">
        <f t="shared" si="25"/>
        <v>1000</v>
      </c>
      <c r="M82" s="15">
        <v>45167</v>
      </c>
      <c r="N82" s="10">
        <v>16</v>
      </c>
      <c r="O82" s="10"/>
      <c r="P82" s="10"/>
      <c r="Q82" s="2"/>
      <c r="R82" s="2"/>
      <c r="S82" s="2"/>
      <c r="T82" s="2"/>
      <c r="U82" s="7">
        <f t="shared" si="26"/>
        <v>0.10987791342952277</v>
      </c>
      <c r="V82" s="7">
        <f t="shared" si="27"/>
        <v>0.11209766925638177</v>
      </c>
      <c r="W82" s="21">
        <f t="shared" si="28"/>
        <v>0.98019801980198062</v>
      </c>
      <c r="X82" s="5">
        <f t="shared" si="29"/>
        <v>940</v>
      </c>
      <c r="Y82" s="7">
        <f t="shared" si="30"/>
        <v>5.2164261931187568E-2</v>
      </c>
      <c r="Z82" s="7">
        <f>IF(OR(AE82="",多次统计数据!$B$8=""),"",AE82-多次统计数据!$B$8)</f>
        <v>-2.6962816521257156E-2</v>
      </c>
      <c r="AA82" s="11">
        <f t="shared" si="31"/>
        <v>125</v>
      </c>
      <c r="AB82" s="7">
        <f>IF(OR(A82="",多次统计数据!$B$8="",多次统计数据!$B$6&lt;=0,多次统计数据!$B$6&gt;=1),"",1-POWER(1+多次统计数据!$B$8,-多次统计数据!$B$6/(1-多次统计数据!$B$6)))</f>
        <v>3.371231520420892E-2</v>
      </c>
      <c r="AC82" s="8" t="str">
        <f>IF(OR(AB82="",多次统计数据!$B$9=""),"",IF(多次统计数据!$B$9&lt;AB82,"低于上限","达到或超过上限"))</f>
        <v>低于上限</v>
      </c>
      <c r="AD82" s="2"/>
      <c r="AE82" s="7">
        <f t="shared" si="32"/>
        <v>8.5596168205576504E-3</v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>
        <f t="shared" si="34"/>
        <v>18.02</v>
      </c>
      <c r="AP82" s="11">
        <f t="shared" si="35"/>
        <v>1000</v>
      </c>
      <c r="AQ82" s="5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>0</v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>通过</v>
      </c>
    </row>
    <row r="83" spans="1:44" x14ac:dyDescent="0.15">
      <c r="A83" s="2">
        <v>82</v>
      </c>
      <c r="B83" s="2" t="s">
        <v>45</v>
      </c>
      <c r="C83" s="10">
        <v>110758</v>
      </c>
      <c r="D83" s="6">
        <v>0.02</v>
      </c>
      <c r="E83" s="10">
        <v>18.66</v>
      </c>
      <c r="F83" s="8">
        <f t="shared" si="24"/>
        <v>1900</v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1900</v>
      </c>
      <c r="I83" s="15">
        <v>45216</v>
      </c>
      <c r="J83" s="10">
        <v>22</v>
      </c>
      <c r="K83" s="10">
        <v>21.44</v>
      </c>
      <c r="L83" s="8">
        <f t="shared" si="25"/>
        <v>1900</v>
      </c>
      <c r="M83" s="15">
        <v>45238</v>
      </c>
      <c r="N83" s="10">
        <v>17.5</v>
      </c>
      <c r="O83" s="10"/>
      <c r="P83" s="10"/>
      <c r="Q83" s="2"/>
      <c r="R83" s="2"/>
      <c r="S83" s="2"/>
      <c r="T83" s="2"/>
      <c r="U83" s="7">
        <f t="shared" si="26"/>
        <v>0.17899249732047159</v>
      </c>
      <c r="V83" s="7">
        <f t="shared" si="27"/>
        <v>6.2165058949624874E-2</v>
      </c>
      <c r="W83" s="21">
        <f t="shared" si="28"/>
        <v>2.8793103448275859</v>
      </c>
      <c r="X83" s="5">
        <f t="shared" si="29"/>
        <v>5282</v>
      </c>
      <c r="Y83" s="7">
        <f t="shared" si="30"/>
        <v>0.14898177920685959</v>
      </c>
      <c r="Z83" s="7">
        <f>IF(OR(AE83="",多次统计数据!$B$8=""),"",AE83-多次统计数据!$B$8)</f>
        <v>1.216712407164517E-2</v>
      </c>
      <c r="AA83" s="11">
        <f t="shared" si="31"/>
        <v>22</v>
      </c>
      <c r="AB83" s="7">
        <f>IF(OR(A83="",多次统计数据!$B$8="",多次统计数据!$B$6&lt;=0,多次统计数据!$B$6&gt;=1),"",1-POWER(1+多次统计数据!$B$8,-多次统计数据!$B$6/(1-多次统计数据!$B$6)))</f>
        <v>3.371231520420892E-2</v>
      </c>
      <c r="AC83" s="8" t="str">
        <f>IF(OR(AB83="",多次统计数据!$B$9=""),"",IF(多次统计数据!$B$9&lt;AB83,"低于上限","达到或超过上限"))</f>
        <v>低于上限</v>
      </c>
      <c r="AD83" s="2"/>
      <c r="AE83" s="7">
        <f t="shared" si="32"/>
        <v>4.7689557413459975E-2</v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>
        <f t="shared" si="34"/>
        <v>18.66</v>
      </c>
      <c r="AP83" s="11">
        <f t="shared" si="35"/>
        <v>1900</v>
      </c>
      <c r="AQ83" s="5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>0</v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>通过</v>
      </c>
    </row>
    <row r="84" spans="1:44" x14ac:dyDescent="0.15">
      <c r="A84" s="2">
        <v>83</v>
      </c>
      <c r="B84" s="2" t="s">
        <v>45</v>
      </c>
      <c r="C84" s="10">
        <v>116040</v>
      </c>
      <c r="D84" s="6">
        <v>0.02</v>
      </c>
      <c r="E84" s="10">
        <v>22.36</v>
      </c>
      <c r="F84" s="8">
        <f t="shared" si="24"/>
        <v>900</v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900</v>
      </c>
      <c r="I84" s="15">
        <v>45247</v>
      </c>
      <c r="J84" s="10">
        <v>25</v>
      </c>
      <c r="K84" s="10">
        <v>22.56</v>
      </c>
      <c r="L84" s="8">
        <f t="shared" si="25"/>
        <v>900</v>
      </c>
      <c r="M84" s="15">
        <v>45260</v>
      </c>
      <c r="N84" s="10">
        <v>20</v>
      </c>
      <c r="O84" s="10"/>
      <c r="P84" s="10"/>
      <c r="Q84" s="2"/>
      <c r="R84" s="2"/>
      <c r="S84" s="2"/>
      <c r="T84" s="2"/>
      <c r="U84" s="7">
        <f t="shared" si="26"/>
        <v>0.11806797853309484</v>
      </c>
      <c r="V84" s="7">
        <f t="shared" si="27"/>
        <v>0.10554561717352413</v>
      </c>
      <c r="W84" s="21">
        <f t="shared" si="28"/>
        <v>1.1186440677966105</v>
      </c>
      <c r="X84" s="5">
        <f t="shared" si="29"/>
        <v>180</v>
      </c>
      <c r="Y84" s="7">
        <f t="shared" si="30"/>
        <v>8.9445438282647581E-3</v>
      </c>
      <c r="Z84" s="7">
        <f>IF(OR(AE84="",多次统计数据!$B$8=""),"",AE84-多次统计数据!$B$8)</f>
        <v>-3.3971244096726902E-2</v>
      </c>
      <c r="AA84" s="11">
        <f t="shared" si="31"/>
        <v>13</v>
      </c>
      <c r="AB84" s="7">
        <f>IF(OR(A84="",多次统计数据!$B$8="",多次统计数据!$B$6&lt;=0,多次统计数据!$B$6&gt;=1),"",1-POWER(1+多次统计数据!$B$8,-多次统计数据!$B$6/(1-多次统计数据!$B$6)))</f>
        <v>3.371231520420892E-2</v>
      </c>
      <c r="AC84" s="8" t="str">
        <f>IF(OR(AB84="",多次统计数据!$B$9=""),"",IF(多次统计数据!$B$9&lt;AB84,"低于上限","达到或超过上限"))</f>
        <v>低于上限</v>
      </c>
      <c r="AD84" s="2"/>
      <c r="AE84" s="7">
        <f t="shared" si="32"/>
        <v>1.5511892450879006E-3</v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>
        <f t="shared" si="34"/>
        <v>22.36</v>
      </c>
      <c r="AP84" s="11">
        <f t="shared" si="35"/>
        <v>900</v>
      </c>
      <c r="AQ84" s="5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>0</v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>通过</v>
      </c>
    </row>
    <row r="85" spans="1:44" x14ac:dyDescent="0.15">
      <c r="A85" s="2">
        <v>84</v>
      </c>
      <c r="B85" s="2" t="s">
        <v>45</v>
      </c>
      <c r="C85" s="10">
        <v>116220</v>
      </c>
      <c r="D85" s="6">
        <v>0.02</v>
      </c>
      <c r="E85" s="10">
        <v>22.07</v>
      </c>
      <c r="F85" s="8">
        <f t="shared" si="24"/>
        <v>1100</v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1100</v>
      </c>
      <c r="I85" s="15">
        <v>45285</v>
      </c>
      <c r="J85" s="10">
        <v>25</v>
      </c>
      <c r="K85" s="10">
        <v>21.56</v>
      </c>
      <c r="L85" s="8">
        <f t="shared" si="25"/>
        <v>1100</v>
      </c>
      <c r="M85" s="15">
        <v>45294</v>
      </c>
      <c r="N85" s="10">
        <v>20</v>
      </c>
      <c r="O85" s="10"/>
      <c r="P85" s="10"/>
      <c r="Q85" s="2"/>
      <c r="R85" s="2"/>
      <c r="S85" s="2"/>
      <c r="T85" s="2"/>
      <c r="U85" s="7">
        <f t="shared" si="26"/>
        <v>0.13275940190303578</v>
      </c>
      <c r="V85" s="7">
        <f t="shared" si="27"/>
        <v>9.379247847757137E-2</v>
      </c>
      <c r="W85" s="21">
        <f t="shared" si="28"/>
        <v>1.4154589371980675</v>
      </c>
      <c r="X85" s="5">
        <f t="shared" si="29"/>
        <v>-561</v>
      </c>
      <c r="Y85" s="7">
        <f t="shared" si="30"/>
        <v>-2.3108291798821932E-2</v>
      </c>
      <c r="Z85" s="7">
        <f>IF(OR(AE85="",多次统计数据!$B$8=""),"",AE85-多次统计数据!$B$8)</f>
        <v>-4.0349485484303185E-2</v>
      </c>
      <c r="AA85" s="11">
        <f t="shared" si="31"/>
        <v>9</v>
      </c>
      <c r="AB85" s="7">
        <f>IF(OR(A85="",多次统计数据!$B$8="",多次统计数据!$B$6&lt;=0,多次统计数据!$B$6&gt;=1),"",1-POWER(1+多次统计数据!$B$8,-多次统计数据!$B$6/(1-多次统计数据!$B$6)))</f>
        <v>3.371231520420892E-2</v>
      </c>
      <c r="AC85" s="8" t="str">
        <f>IF(OR(AB85="",多次统计数据!$B$9=""),"",IF(多次统计数据!$B$9&lt;AB85,"低于上限","达到或超过上限"))</f>
        <v>低于上限</v>
      </c>
      <c r="AD85" s="2"/>
      <c r="AE85" s="7">
        <f t="shared" si="32"/>
        <v>-4.827052142488384E-3</v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>
        <f t="shared" si="34"/>
        <v>22.07</v>
      </c>
      <c r="AP85" s="11">
        <f t="shared" si="35"/>
        <v>1100</v>
      </c>
      <c r="AQ85" s="5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>0</v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>通过</v>
      </c>
    </row>
    <row r="86" spans="1:44" x14ac:dyDescent="0.15">
      <c r="A86" s="2">
        <v>85</v>
      </c>
      <c r="B86" s="2" t="s">
        <v>45</v>
      </c>
      <c r="C86" s="10">
        <v>115659</v>
      </c>
      <c r="D86" s="6">
        <v>0.02</v>
      </c>
      <c r="E86" s="10">
        <v>20.66</v>
      </c>
      <c r="F86" s="8">
        <f t="shared" si="24"/>
        <v>1900</v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1900</v>
      </c>
      <c r="I86" s="15">
        <v>45300</v>
      </c>
      <c r="J86" s="10">
        <v>25</v>
      </c>
      <c r="K86" s="10">
        <v>19.309999999999999</v>
      </c>
      <c r="L86" s="8">
        <f t="shared" si="25"/>
        <v>1900</v>
      </c>
      <c r="M86" s="15">
        <v>45317</v>
      </c>
      <c r="N86" s="10">
        <v>19.5</v>
      </c>
      <c r="O86" s="10"/>
      <c r="P86" s="10"/>
      <c r="Q86" s="2"/>
      <c r="R86" s="2"/>
      <c r="S86" s="2"/>
      <c r="T86" s="2"/>
      <c r="U86" s="7">
        <f t="shared" si="26"/>
        <v>0.21006776379477249</v>
      </c>
      <c r="V86" s="7">
        <f t="shared" si="27"/>
        <v>5.6147144240077454E-2</v>
      </c>
      <c r="W86" s="21">
        <f t="shared" si="28"/>
        <v>3.7413793103448265</v>
      </c>
      <c r="X86" s="5">
        <f t="shared" si="29"/>
        <v>-2565</v>
      </c>
      <c r="Y86" s="7">
        <f t="shared" si="30"/>
        <v>-6.5343659244917709E-2</v>
      </c>
      <c r="Z86" s="7">
        <f>IF(OR(AE86="",多次统计数据!$B$8=""),"",AE86-多次统计数据!$B$8)</f>
        <v>-5.7699695811661511E-2</v>
      </c>
      <c r="AA86" s="11">
        <f t="shared" si="31"/>
        <v>17</v>
      </c>
      <c r="AB86" s="7">
        <f>IF(OR(A86="",多次统计数据!$B$8="",多次统计数据!$B$6&lt;=0,多次统计数据!$B$6&gt;=1),"",1-POWER(1+多次统计数据!$B$8,-多次统计数据!$B$6/(1-多次统计数据!$B$6)))</f>
        <v>3.371231520420892E-2</v>
      </c>
      <c r="AC86" s="8" t="str">
        <f>IF(OR(AB86="",多次统计数据!$B$9=""),"",IF(多次统计数据!$B$9&lt;AB86,"低于上限","达到或超过上限"))</f>
        <v>低于上限</v>
      </c>
      <c r="AD86" s="2"/>
      <c r="AE86" s="7">
        <f t="shared" si="32"/>
        <v>-2.2177262469846703E-2</v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>
        <f t="shared" si="34"/>
        <v>20.66</v>
      </c>
      <c r="AP86" s="11">
        <f t="shared" si="35"/>
        <v>1900</v>
      </c>
      <c r="AQ86" s="5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>0</v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>通过</v>
      </c>
    </row>
    <row r="87" spans="1:44" x14ac:dyDescent="0.15">
      <c r="A87" s="2">
        <v>86</v>
      </c>
      <c r="B87" s="2" t="s">
        <v>45</v>
      </c>
      <c r="C87" s="10">
        <v>113094</v>
      </c>
      <c r="D87" s="6">
        <v>0.02</v>
      </c>
      <c r="E87" s="10">
        <v>17.670000000000002</v>
      </c>
      <c r="F87" s="8">
        <f t="shared" si="24"/>
        <v>3300</v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3300</v>
      </c>
      <c r="I87" s="15">
        <v>45321</v>
      </c>
      <c r="J87" s="10">
        <v>20</v>
      </c>
      <c r="K87" s="10">
        <v>23.56</v>
      </c>
      <c r="L87" s="8">
        <f t="shared" si="25"/>
        <v>3300</v>
      </c>
      <c r="M87" s="15">
        <v>45358</v>
      </c>
      <c r="N87" s="10">
        <v>17</v>
      </c>
      <c r="O87" s="10"/>
      <c r="P87" s="10"/>
      <c r="Q87" s="2"/>
      <c r="R87" s="2"/>
      <c r="S87" s="2"/>
      <c r="T87" s="2"/>
      <c r="U87" s="7">
        <f t="shared" si="26"/>
        <v>0.1318619128466326</v>
      </c>
      <c r="V87" s="7">
        <f t="shared" si="27"/>
        <v>3.791737408036229E-2</v>
      </c>
      <c r="W87" s="21">
        <f t="shared" si="28"/>
        <v>3.477611940298496</v>
      </c>
      <c r="X87" s="5">
        <f t="shared" si="29"/>
        <v>19436.999999999993</v>
      </c>
      <c r="Y87" s="7">
        <f t="shared" si="30"/>
        <v>0.33333333333333315</v>
      </c>
      <c r="Z87" s="7">
        <f>IF(OR(AE87="",多次统计数据!$B$8=""),"",AE87-多次统计数据!$B$8)</f>
        <v>0.1363434481373087</v>
      </c>
      <c r="AA87" s="11">
        <f t="shared" si="31"/>
        <v>37</v>
      </c>
      <c r="AB87" s="7">
        <f>IF(OR(A87="",多次统计数据!$B$8="",多次统计数据!$B$6&lt;=0,多次统计数据!$B$6&gt;=1),"",1-POWER(1+多次统计数据!$B$8,-多次统计数据!$B$6/(1-多次统计数据!$B$6)))</f>
        <v>3.371231520420892E-2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32"/>
        <v>0.17186588147912349</v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>
        <f t="shared" si="34"/>
        <v>17.670000000000002</v>
      </c>
      <c r="AP87" s="11">
        <f t="shared" si="35"/>
        <v>3300</v>
      </c>
      <c r="AQ87" s="5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>0</v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>通过</v>
      </c>
    </row>
    <row r="88" spans="1:44" x14ac:dyDescent="0.15">
      <c r="A88" s="2">
        <v>87</v>
      </c>
      <c r="B88" s="2" t="s">
        <v>45</v>
      </c>
      <c r="C88" s="10">
        <v>132531</v>
      </c>
      <c r="D88" s="6">
        <v>0.02</v>
      </c>
      <c r="E88" s="10">
        <v>25.4</v>
      </c>
      <c r="F88" s="8">
        <f t="shared" si="24"/>
        <v>1800</v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1800</v>
      </c>
      <c r="I88" s="15">
        <v>45370</v>
      </c>
      <c r="J88" s="10">
        <v>30</v>
      </c>
      <c r="K88" s="10">
        <v>22.7</v>
      </c>
      <c r="L88" s="8">
        <f t="shared" si="25"/>
        <v>1800</v>
      </c>
      <c r="M88" s="15">
        <v>45376</v>
      </c>
      <c r="N88" s="10">
        <v>24</v>
      </c>
      <c r="O88" s="10"/>
      <c r="P88" s="10"/>
      <c r="Q88" s="2"/>
      <c r="R88" s="2"/>
      <c r="S88" s="2"/>
      <c r="T88" s="2"/>
      <c r="U88" s="7">
        <f t="shared" si="26"/>
        <v>0.18110236220472448</v>
      </c>
      <c r="V88" s="7">
        <f t="shared" si="27"/>
        <v>5.5118110236220416E-2</v>
      </c>
      <c r="W88" s="21">
        <f t="shared" si="28"/>
        <v>3.2857142857142905</v>
      </c>
      <c r="X88" s="5">
        <f t="shared" si="29"/>
        <v>-4860</v>
      </c>
      <c r="Y88" s="7">
        <f t="shared" si="30"/>
        <v>-0.1062992125984252</v>
      </c>
      <c r="Z88" s="7">
        <f>IF(OR(AE88="",多次统计数据!$B$8=""),"",AE88-多次统计数据!$B$8)</f>
        <v>-7.2193099072851319E-2</v>
      </c>
      <c r="AA88" s="11">
        <f t="shared" si="31"/>
        <v>6</v>
      </c>
      <c r="AB88" s="7">
        <f>IF(OR(A88="",多次统计数据!$B$8="",多次统计数据!$B$6&lt;=0,多次统计数据!$B$6&gt;=1),"",1-POWER(1+多次统计数据!$B$8,-多次统计数据!$B$6/(1-多次统计数据!$B$6)))</f>
        <v>3.371231520420892E-2</v>
      </c>
      <c r="AC88" s="8" t="str">
        <f>IF(OR(AB88="",多次统计数据!$B$9=""),"",IF(多次统计数据!$B$9&lt;AB88,"低于上限","达到或超过上限"))</f>
        <v>低于上限</v>
      </c>
      <c r="AD88" s="2"/>
      <c r="AE88" s="7">
        <f t="shared" si="32"/>
        <v>-3.6670665731036514E-2</v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>
        <f t="shared" si="34"/>
        <v>25.4</v>
      </c>
      <c r="AP88" s="11">
        <f t="shared" si="35"/>
        <v>1800</v>
      </c>
      <c r="AQ88" s="5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>0</v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>通过</v>
      </c>
    </row>
    <row r="89" spans="1:44" x14ac:dyDescent="0.15">
      <c r="A89" s="2">
        <v>88</v>
      </c>
      <c r="B89" s="2" t="s">
        <v>45</v>
      </c>
      <c r="C89" s="10">
        <v>127671</v>
      </c>
      <c r="D89" s="6">
        <v>0.02</v>
      </c>
      <c r="E89" s="10">
        <v>20.52</v>
      </c>
      <c r="F89" s="8">
        <f t="shared" si="24"/>
        <v>1600</v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1600</v>
      </c>
      <c r="I89" s="15">
        <v>45399</v>
      </c>
      <c r="J89" s="10">
        <v>24</v>
      </c>
      <c r="K89" s="10">
        <v>22.15</v>
      </c>
      <c r="L89" s="8">
        <f t="shared" si="25"/>
        <v>1600</v>
      </c>
      <c r="M89" s="15">
        <v>45440</v>
      </c>
      <c r="N89" s="10">
        <v>19</v>
      </c>
      <c r="O89" s="10"/>
      <c r="P89" s="10"/>
      <c r="Q89" s="2"/>
      <c r="R89" s="2"/>
      <c r="S89" s="2"/>
      <c r="T89" s="2"/>
      <c r="U89" s="7">
        <f t="shared" si="26"/>
        <v>0.16959064327485382</v>
      </c>
      <c r="V89" s="7">
        <f t="shared" si="27"/>
        <v>7.4074074074074056E-2</v>
      </c>
      <c r="W89" s="21">
        <f t="shared" si="28"/>
        <v>2.289473684210527</v>
      </c>
      <c r="X89" s="5">
        <f t="shared" si="29"/>
        <v>2608</v>
      </c>
      <c r="Y89" s="7">
        <f t="shared" si="30"/>
        <v>7.9434697855750483E-2</v>
      </c>
      <c r="Z89" s="7">
        <f>IF(OR(AE89="",多次统计数据!$B$8=""),"",AE89-多次统计数据!$B$8)</f>
        <v>-1.5094928270185382E-2</v>
      </c>
      <c r="AA89" s="11">
        <f t="shared" si="31"/>
        <v>41</v>
      </c>
      <c r="AB89" s="7">
        <f>IF(OR(A89="",多次统计数据!$B$8="",多次统计数据!$B$6&lt;=0,多次统计数据!$B$6&gt;=1),"",1-POWER(1+多次统计数据!$B$8,-多次统计数据!$B$6/(1-多次统计数据!$B$6)))</f>
        <v>3.371231520420892E-2</v>
      </c>
      <c r="AC89" s="8" t="str">
        <f>IF(OR(AB89="",多次统计数据!$B$9=""),"",IF(多次统计数据!$B$9&lt;AB89,"低于上限","达到或超过上限"))</f>
        <v>低于上限</v>
      </c>
      <c r="AD89" s="2"/>
      <c r="AE89" s="7">
        <f t="shared" si="32"/>
        <v>2.0427505071629423E-2</v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>
        <f t="shared" si="34"/>
        <v>20.52</v>
      </c>
      <c r="AP89" s="11">
        <f t="shared" si="35"/>
        <v>1600</v>
      </c>
      <c r="AQ89" s="5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>0</v>
      </c>
      <c r="AR89" s="8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>通过</v>
      </c>
    </row>
    <row r="90" spans="1:44" x14ac:dyDescent="0.15">
      <c r="A90" s="2">
        <v>89</v>
      </c>
      <c r="B90" s="2" t="s">
        <v>45</v>
      </c>
      <c r="C90" s="10">
        <v>130279</v>
      </c>
      <c r="D90" s="6">
        <v>0.02</v>
      </c>
      <c r="E90" s="10">
        <v>23.2</v>
      </c>
      <c r="F90" s="8">
        <f t="shared" si="24"/>
        <v>1100</v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1100</v>
      </c>
      <c r="I90" s="15">
        <v>45484</v>
      </c>
      <c r="J90" s="10">
        <v>26</v>
      </c>
      <c r="K90" s="10">
        <v>22.99</v>
      </c>
      <c r="L90" s="8">
        <f t="shared" si="25"/>
        <v>1100</v>
      </c>
      <c r="M90" s="15">
        <v>45496</v>
      </c>
      <c r="N90" s="10">
        <v>21</v>
      </c>
      <c r="O90" s="10"/>
      <c r="P90" s="10"/>
      <c r="Q90" s="2"/>
      <c r="R90" s="2"/>
      <c r="S90" s="2"/>
      <c r="T90" s="2"/>
      <c r="U90" s="7">
        <f t="shared" si="26"/>
        <v>0.12068965517241383</v>
      </c>
      <c r="V90" s="7">
        <f t="shared" si="27"/>
        <v>9.4827586206896519E-2</v>
      </c>
      <c r="W90" s="21">
        <f t="shared" si="28"/>
        <v>1.2727272727272736</v>
      </c>
      <c r="X90" s="5">
        <f t="shared" si="29"/>
        <v>-231</v>
      </c>
      <c r="Y90" s="7">
        <f t="shared" si="30"/>
        <v>-9.0517241379310352E-3</v>
      </c>
      <c r="Z90" s="7">
        <f>IF(OR(AE90="",多次统计数据!$B$8=""),"",AE90-多次统计数据!$B$8)</f>
        <v>-3.7295551035380153E-2</v>
      </c>
      <c r="AA90" s="11">
        <f t="shared" si="31"/>
        <v>12</v>
      </c>
      <c r="AB90" s="7">
        <f>IF(OR(A90="",多次统计数据!$B$8="",多次统计数据!$B$6&lt;=0,多次统计数据!$B$6&gt;=1),"",1-POWER(1+多次统计数据!$B$8,-多次统计数据!$B$6/(1-多次统计数据!$B$6)))</f>
        <v>3.371231520420892E-2</v>
      </c>
      <c r="AC90" s="8" t="str">
        <f>IF(OR(AB90="",多次统计数据!$B$9=""),"",IF(多次统计数据!$B$9&lt;AB90,"低于上限","达到或超过上限"))</f>
        <v>低于上限</v>
      </c>
      <c r="AD90" s="2"/>
      <c r="AE90" s="7">
        <f t="shared" si="32"/>
        <v>-1.7731176935653482E-3</v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>
        <f t="shared" si="34"/>
        <v>23.2</v>
      </c>
      <c r="AP90" s="11">
        <f t="shared" si="35"/>
        <v>1100</v>
      </c>
      <c r="AQ90" s="5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>0</v>
      </c>
      <c r="AR90" s="8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>通过</v>
      </c>
    </row>
    <row r="91" spans="1:44" x14ac:dyDescent="0.15">
      <c r="A91" s="2">
        <v>90</v>
      </c>
      <c r="B91" s="2" t="s">
        <v>45</v>
      </c>
      <c r="C91" s="10">
        <v>130048</v>
      </c>
      <c r="D91" s="6">
        <v>0.02</v>
      </c>
      <c r="E91" s="10">
        <v>21.48</v>
      </c>
      <c r="F91" s="8">
        <f t="shared" si="24"/>
        <v>1700</v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1700</v>
      </c>
      <c r="I91" s="15">
        <v>45498</v>
      </c>
      <c r="J91" s="10">
        <v>25</v>
      </c>
      <c r="K91" s="10">
        <v>19.22</v>
      </c>
      <c r="L91" s="8">
        <f t="shared" si="25"/>
        <v>1700</v>
      </c>
      <c r="M91" s="15">
        <v>45524</v>
      </c>
      <c r="N91" s="10">
        <v>20</v>
      </c>
      <c r="O91" s="10"/>
      <c r="P91" s="10"/>
      <c r="Q91" s="2"/>
      <c r="R91" s="2"/>
      <c r="S91" s="2"/>
      <c r="T91" s="2"/>
      <c r="U91" s="7">
        <f t="shared" si="26"/>
        <v>0.16387337057728116</v>
      </c>
      <c r="V91" s="7">
        <f t="shared" si="27"/>
        <v>6.8901303538175071E-2</v>
      </c>
      <c r="W91" s="21">
        <f t="shared" si="28"/>
        <v>2.3783783783783772</v>
      </c>
      <c r="X91" s="5">
        <f t="shared" si="29"/>
        <v>-3842.0000000000036</v>
      </c>
      <c r="Y91" s="7">
        <f t="shared" si="30"/>
        <v>-0.10521415270018632</v>
      </c>
      <c r="Z91" s="7">
        <f>IF(OR(AE91="",多次统计数据!$B$8=""),"",AE91-多次统计数据!$B$8)</f>
        <v>-6.5065371333940816E-2</v>
      </c>
      <c r="AA91" s="11">
        <f t="shared" si="31"/>
        <v>26</v>
      </c>
      <c r="AB91" s="7">
        <f>IF(OR(A91="",多次统计数据!$B$8="",多次统计数据!$B$6&lt;=0,多次统计数据!$B$6&gt;=1),"",1-POWER(1+多次统计数据!$B$8,-多次统计数据!$B$6/(1-多次统计数据!$B$6)))</f>
        <v>3.371231520420892E-2</v>
      </c>
      <c r="AC91" s="8" t="str">
        <f>IF(OR(AB91="",多次统计数据!$B$9=""),"",IF(多次统计数据!$B$9&lt;AB91,"低于上限","达到或超过上限"))</f>
        <v>低于上限</v>
      </c>
      <c r="AD91" s="2"/>
      <c r="AE91" s="7">
        <f t="shared" si="32"/>
        <v>-2.9542937992126012E-2</v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>
        <f t="shared" si="34"/>
        <v>21.48</v>
      </c>
      <c r="AP91" s="11">
        <f t="shared" si="35"/>
        <v>1700</v>
      </c>
      <c r="AQ91" s="5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>0</v>
      </c>
      <c r="AR91" s="8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>通过</v>
      </c>
    </row>
    <row r="92" spans="1:44" x14ac:dyDescent="0.15">
      <c r="A92" s="2">
        <v>91</v>
      </c>
      <c r="B92" s="2" t="s">
        <v>45</v>
      </c>
      <c r="C92" s="10">
        <v>126206</v>
      </c>
      <c r="D92" s="6">
        <v>0.02</v>
      </c>
      <c r="E92" s="10">
        <v>18.829999999999998</v>
      </c>
      <c r="F92" s="8">
        <f t="shared" si="24"/>
        <v>1300</v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1300</v>
      </c>
      <c r="I92" s="15">
        <v>45539</v>
      </c>
      <c r="J92" s="10">
        <v>24.77</v>
      </c>
      <c r="K92" s="10">
        <v>24.77</v>
      </c>
      <c r="L92" s="8">
        <f t="shared" si="25"/>
        <v>1300</v>
      </c>
      <c r="M92" s="15">
        <v>45574</v>
      </c>
      <c r="N92" s="10">
        <v>17</v>
      </c>
      <c r="O92" s="10"/>
      <c r="P92" s="10"/>
      <c r="Q92" s="2"/>
      <c r="R92" s="2"/>
      <c r="S92" s="2"/>
      <c r="T92" s="2"/>
      <c r="U92" s="7">
        <f t="shared" si="26"/>
        <v>0.31545406266595866</v>
      </c>
      <c r="V92" s="7">
        <f t="shared" si="27"/>
        <v>9.7185342538502306E-2</v>
      </c>
      <c r="W92" s="21">
        <f t="shared" si="28"/>
        <v>3.2459016393442659</v>
      </c>
      <c r="X92" s="5">
        <f t="shared" si="29"/>
        <v>7722.0000000000036</v>
      </c>
      <c r="Y92" s="7">
        <f t="shared" si="30"/>
        <v>0.31545406266595877</v>
      </c>
      <c r="Z92" s="7">
        <f>IF(OR(AE92="",多次统计数据!$B$8=""),"",AE92-多次统计数据!$B$8)</f>
        <v>2.5663247212200091E-2</v>
      </c>
      <c r="AA92" s="11">
        <f t="shared" si="31"/>
        <v>35</v>
      </c>
      <c r="AB92" s="7">
        <f>IF(OR(A92="",多次统计数据!$B$8="",多次统计数据!$B$6&lt;=0,多次统计数据!$B$6&gt;=1),"",1-POWER(1+多次统计数据!$B$8,-多次统计数据!$B$6/(1-多次统计数据!$B$6)))</f>
        <v>3.371231520420892E-2</v>
      </c>
      <c r="AC92" s="8" t="str">
        <f>IF(OR(AB92="",多次统计数据!$B$9=""),"",IF(多次统计数据!$B$9&lt;AB92,"低于上限","达到或超过上限"))</f>
        <v>低于上限</v>
      </c>
      <c r="AD92" s="2"/>
      <c r="AE92" s="7">
        <f t="shared" si="32"/>
        <v>6.1185680554014896E-2</v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>
        <f t="shared" si="34"/>
        <v>18.829999999999998</v>
      </c>
      <c r="AP92" s="11">
        <f t="shared" si="35"/>
        <v>1300</v>
      </c>
      <c r="AQ92" s="5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>0</v>
      </c>
      <c r="AR92" s="8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>通过</v>
      </c>
    </row>
    <row r="93" spans="1:44" x14ac:dyDescent="0.15">
      <c r="A93" s="2">
        <v>92</v>
      </c>
      <c r="B93" s="2" t="s">
        <v>45</v>
      </c>
      <c r="C93" s="10">
        <v>133928</v>
      </c>
      <c r="D93" s="6">
        <v>0.02</v>
      </c>
      <c r="E93" s="10">
        <v>26.29</v>
      </c>
      <c r="F93" s="8">
        <f t="shared" si="24"/>
        <v>2000</v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2000</v>
      </c>
      <c r="I93" s="15">
        <v>45663</v>
      </c>
      <c r="J93" s="10">
        <v>30</v>
      </c>
      <c r="K93" s="10">
        <v>28.69</v>
      </c>
      <c r="L93" s="8">
        <f t="shared" si="25"/>
        <v>2000</v>
      </c>
      <c r="M93" s="15">
        <v>45678</v>
      </c>
      <c r="N93" s="10">
        <v>25</v>
      </c>
      <c r="O93" s="10"/>
      <c r="P93" s="10"/>
      <c r="Q93" s="2"/>
      <c r="R93" s="2"/>
      <c r="S93" s="2"/>
      <c r="T93" s="2"/>
      <c r="U93" s="7">
        <f t="shared" si="26"/>
        <v>0.14111829593001146</v>
      </c>
      <c r="V93" s="7">
        <f t="shared" si="27"/>
        <v>4.906808672499046E-2</v>
      </c>
      <c r="W93" s="21">
        <f t="shared" si="28"/>
        <v>2.8759689922480649</v>
      </c>
      <c r="X93" s="5">
        <f t="shared" si="29"/>
        <v>4800</v>
      </c>
      <c r="Y93" s="7">
        <f t="shared" si="30"/>
        <v>9.1289463674400911E-2</v>
      </c>
      <c r="Z93" s="7">
        <f>IF(OR(AE93="",多次统计数据!$B$8=""),"",AE93-多次统计数据!$B$8)</f>
        <v>3.1771957617098001E-4</v>
      </c>
      <c r="AA93" s="11">
        <f t="shared" si="31"/>
        <v>15</v>
      </c>
      <c r="AB93" s="7">
        <f>IF(OR(A93="",多次统计数据!$B$8="",多次统计数据!$B$6&lt;=0,多次统计数据!$B$6&gt;=1),"",1-POWER(1+多次统计数据!$B$8,-多次统计数据!$B$6/(1-多次统计数据!$B$6)))</f>
        <v>3.371231520420892E-2</v>
      </c>
      <c r="AC93" s="8" t="str">
        <f>IF(OR(AB93="",多次统计数据!$B$9=""),"",IF(多次统计数据!$B$9&lt;AB93,"低于上限","达到或超过上限"))</f>
        <v>低于上限</v>
      </c>
      <c r="AD93" s="2"/>
      <c r="AE93" s="7">
        <f t="shared" si="32"/>
        <v>3.5840152917985785E-2</v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>
        <f t="shared" si="34"/>
        <v>26.29</v>
      </c>
      <c r="AP93" s="11">
        <f t="shared" si="35"/>
        <v>2000</v>
      </c>
      <c r="AQ93" s="5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>0</v>
      </c>
      <c r="AR93" s="8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>通过</v>
      </c>
    </row>
    <row r="94" spans="1:44" x14ac:dyDescent="0.15">
      <c r="A94" s="2">
        <v>93</v>
      </c>
      <c r="B94" s="2" t="s">
        <v>45</v>
      </c>
      <c r="C94" s="10">
        <v>138728</v>
      </c>
      <c r="D94" s="6">
        <v>0.02</v>
      </c>
      <c r="E94" s="10">
        <v>28.3</v>
      </c>
      <c r="F94" s="8">
        <f t="shared" si="24"/>
        <v>1500</v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1500</v>
      </c>
      <c r="I94" s="15">
        <v>45719</v>
      </c>
      <c r="J94" s="10">
        <v>30</v>
      </c>
      <c r="K94" s="10">
        <v>28.57</v>
      </c>
      <c r="L94" s="8">
        <f t="shared" si="25"/>
        <v>1500</v>
      </c>
      <c r="M94" s="15">
        <v>45726</v>
      </c>
      <c r="N94" s="10">
        <v>26.5</v>
      </c>
      <c r="O94" s="10"/>
      <c r="P94" s="10"/>
      <c r="Q94" s="2"/>
      <c r="R94" s="2"/>
      <c r="S94" s="2"/>
      <c r="T94" s="2"/>
      <c r="U94" s="7">
        <f t="shared" si="26"/>
        <v>6.0070671378091849E-2</v>
      </c>
      <c r="V94" s="7">
        <f t="shared" si="27"/>
        <v>6.3604240282685534E-2</v>
      </c>
      <c r="W94" s="21">
        <f t="shared" si="28"/>
        <v>0.94444444444444375</v>
      </c>
      <c r="X94" s="5">
        <f t="shared" si="29"/>
        <v>405</v>
      </c>
      <c r="Y94" s="7">
        <f t="shared" si="30"/>
        <v>9.5406360424028277E-3</v>
      </c>
      <c r="Z94" s="7">
        <f>IF(OR(AE94="",多次统计数据!$B$8=""),"",AE94-多次统计数据!$B$8)</f>
        <v>-3.2603051529923911E-2</v>
      </c>
      <c r="AA94" s="11">
        <f t="shared" si="31"/>
        <v>7</v>
      </c>
      <c r="AB94" s="7">
        <f>IF(OR(A94="",多次统计数据!$B$8="",多次统计数据!$B$6&lt;=0,多次统计数据!$B$6&gt;=1),"",1-POWER(1+多次统计数据!$B$8,-多次统计数据!$B$6/(1-多次统计数据!$B$6)))</f>
        <v>3.371231520420892E-2</v>
      </c>
      <c r="AC94" s="8" t="str">
        <f>IF(OR(AB94="",多次统计数据!$B$9=""),"",IF(多次统计数据!$B$9&lt;AB94,"低于上限","达到或超过上限"))</f>
        <v>低于上限</v>
      </c>
      <c r="AD94" s="2"/>
      <c r="AE94" s="7">
        <f t="shared" si="32"/>
        <v>2.9193818118908943E-3</v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>
        <f t="shared" si="34"/>
        <v>28.3</v>
      </c>
      <c r="AP94" s="11">
        <f t="shared" si="35"/>
        <v>1500</v>
      </c>
      <c r="AQ94" s="5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>0</v>
      </c>
      <c r="AR94" s="8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>通过</v>
      </c>
    </row>
    <row r="95" spans="1:44" x14ac:dyDescent="0.15">
      <c r="A95" s="2">
        <v>94</v>
      </c>
      <c r="B95" s="2" t="s">
        <v>45</v>
      </c>
      <c r="C95" s="10">
        <v>139133</v>
      </c>
      <c r="D95" s="6">
        <v>0.02</v>
      </c>
      <c r="E95" s="10">
        <v>27.46</v>
      </c>
      <c r="F95" s="8">
        <f t="shared" si="24"/>
        <v>2800</v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2800</v>
      </c>
      <c r="I95" s="15">
        <v>45740</v>
      </c>
      <c r="J95" s="10">
        <v>30</v>
      </c>
      <c r="K95" s="10">
        <v>26.64</v>
      </c>
      <c r="L95" s="8">
        <f t="shared" si="25"/>
        <v>2800</v>
      </c>
      <c r="M95" s="15">
        <v>45747</v>
      </c>
      <c r="N95" s="10">
        <v>26.5</v>
      </c>
      <c r="O95" s="10"/>
      <c r="P95" s="10"/>
      <c r="Q95" s="2"/>
      <c r="R95" s="2"/>
      <c r="S95" s="2"/>
      <c r="T95" s="2"/>
      <c r="U95" s="7">
        <f t="shared" si="26"/>
        <v>9.249817916970135E-2</v>
      </c>
      <c r="V95" s="7">
        <f t="shared" si="27"/>
        <v>3.4959941733430477E-2</v>
      </c>
      <c r="W95" s="21">
        <f t="shared" si="28"/>
        <v>2.6458333333333299</v>
      </c>
      <c r="X95" s="5">
        <f t="shared" si="29"/>
        <v>-2296</v>
      </c>
      <c r="Y95" s="7">
        <f t="shared" si="30"/>
        <v>-2.9861616897305172E-2</v>
      </c>
      <c r="Z95" s="7">
        <f>IF(OR(AE95="",多次统计数据!$B$8=""),"",AE95-多次统计数据!$B$8)</f>
        <v>-5.2024629082580834E-2</v>
      </c>
      <c r="AA95" s="11">
        <f t="shared" si="31"/>
        <v>7</v>
      </c>
      <c r="AB95" s="7">
        <f>IF(OR(A95="",多次统计数据!$B$8="",多次统计数据!$B$6&lt;=0,多次统计数据!$B$6&gt;=1),"",1-POWER(1+多次统计数据!$B$8,-多次统计数据!$B$6/(1-多次统计数据!$B$6)))</f>
        <v>3.371231520420892E-2</v>
      </c>
      <c r="AC95" s="8" t="str">
        <f>IF(OR(AB95="",多次统计数据!$B$9=""),"",IF(多次统计数据!$B$9&lt;AB95,"低于上限","达到或超过上限"))</f>
        <v>低于上限</v>
      </c>
      <c r="AD95" s="2"/>
      <c r="AE95" s="7">
        <f t="shared" si="32"/>
        <v>-1.6502195740766029E-2</v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>
        <f t="shared" si="34"/>
        <v>27.46</v>
      </c>
      <c r="AP95" s="11">
        <f t="shared" si="35"/>
        <v>2800</v>
      </c>
      <c r="AQ95" s="5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>0</v>
      </c>
      <c r="AR95" s="8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>通过</v>
      </c>
    </row>
    <row r="96" spans="1:44" x14ac:dyDescent="0.15">
      <c r="A96" s="2">
        <v>95</v>
      </c>
      <c r="B96" s="2" t="s">
        <v>45</v>
      </c>
      <c r="C96" s="10">
        <v>136837</v>
      </c>
      <c r="D96" s="6">
        <v>0.02</v>
      </c>
      <c r="E96" s="10">
        <v>23.76</v>
      </c>
      <c r="F96" s="8">
        <f t="shared" si="24"/>
        <v>2100</v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2100</v>
      </c>
      <c r="I96" s="15">
        <v>45754</v>
      </c>
      <c r="J96" s="10">
        <v>30</v>
      </c>
      <c r="K96" s="10">
        <v>23.37</v>
      </c>
      <c r="L96" s="8">
        <f t="shared" si="25"/>
        <v>2100</v>
      </c>
      <c r="M96" s="15">
        <v>45818</v>
      </c>
      <c r="N96" s="10">
        <v>22.5</v>
      </c>
      <c r="O96" s="10"/>
      <c r="P96" s="10"/>
      <c r="Q96" s="2"/>
      <c r="R96" s="2"/>
      <c r="S96" s="2"/>
      <c r="T96" s="2"/>
      <c r="U96" s="7">
        <f t="shared" si="26"/>
        <v>0.26262626262626254</v>
      </c>
      <c r="V96" s="7">
        <f t="shared" si="27"/>
        <v>5.3030303030303094E-2</v>
      </c>
      <c r="W96" s="21">
        <f t="shared" si="28"/>
        <v>4.9523809523809446</v>
      </c>
      <c r="X96" s="5">
        <f t="shared" si="29"/>
        <v>-819</v>
      </c>
      <c r="Y96" s="7">
        <f t="shared" si="30"/>
        <v>-1.6414141414141416E-2</v>
      </c>
      <c r="Z96" s="7">
        <f>IF(OR(AE96="",多次统计数据!$B$8=""),"",AE96-多次统计数据!$B$8)</f>
        <v>-4.1507656636683883E-2</v>
      </c>
      <c r="AA96" s="11">
        <f t="shared" si="31"/>
        <v>64</v>
      </c>
      <c r="AB96" s="7">
        <f>IF(OR(A96="",多次统计数据!$B$8="",多次统计数据!$B$6&lt;=0,多次统计数据!$B$6&gt;=1),"",1-POWER(1+多次统计数据!$B$8,-多次统计数据!$B$6/(1-多次统计数据!$B$6)))</f>
        <v>3.371231520420892E-2</v>
      </c>
      <c r="AC96" s="8" t="str">
        <f>IF(OR(AB96="",多次统计数据!$B$9=""),"",IF(多次统计数据!$B$9&lt;AB96,"低于上限","达到或超过上限"))</f>
        <v>低于上限</v>
      </c>
      <c r="AD96" s="2"/>
      <c r="AE96" s="7">
        <f t="shared" si="32"/>
        <v>-5.9852232948690775E-3</v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>
        <f t="shared" si="34"/>
        <v>23.76</v>
      </c>
      <c r="AP96" s="11">
        <f t="shared" si="35"/>
        <v>2100</v>
      </c>
      <c r="AQ96" s="5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>0</v>
      </c>
      <c r="AR96" s="8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>通过</v>
      </c>
    </row>
    <row r="97" spans="1:44" x14ac:dyDescent="0.15">
      <c r="A97" s="2">
        <v>96</v>
      </c>
      <c r="B97" s="2" t="s">
        <v>45</v>
      </c>
      <c r="C97" s="10">
        <v>136018</v>
      </c>
      <c r="D97" s="6">
        <v>0.02</v>
      </c>
      <c r="E97" s="10">
        <v>22.97</v>
      </c>
      <c r="F97" s="8">
        <f t="shared" si="24"/>
        <v>2800</v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2800</v>
      </c>
      <c r="I97" s="15">
        <v>45821</v>
      </c>
      <c r="J97" s="10">
        <v>30</v>
      </c>
      <c r="K97" s="10">
        <v>25.21</v>
      </c>
      <c r="L97" s="8">
        <f t="shared" si="25"/>
        <v>2800</v>
      </c>
      <c r="M97" s="15">
        <v>45840</v>
      </c>
      <c r="N97" s="10">
        <v>22</v>
      </c>
      <c r="O97" s="10"/>
      <c r="P97" s="10"/>
      <c r="Q97" s="2"/>
      <c r="R97" s="2"/>
      <c r="S97" s="2"/>
      <c r="T97" s="2"/>
      <c r="U97" s="7">
        <f t="shared" si="26"/>
        <v>0.30605137135394</v>
      </c>
      <c r="V97" s="7">
        <f t="shared" si="27"/>
        <v>4.2228994340444012E-2</v>
      </c>
      <c r="W97" s="21">
        <f t="shared" si="28"/>
        <v>7.2474226804123809</v>
      </c>
      <c r="X97" s="5">
        <f t="shared" si="29"/>
        <v>6272</v>
      </c>
      <c r="Y97" s="7">
        <f t="shared" si="30"/>
        <v>9.7518502394427511E-2</v>
      </c>
      <c r="Z97" s="7">
        <f>IF(OR(AE97="",多次统计数据!$B$8=""),"",AE97-多次统计数据!$B$8)</f>
        <v>1.0589110718530151E-2</v>
      </c>
      <c r="AA97" s="11">
        <f t="shared" si="31"/>
        <v>19</v>
      </c>
      <c r="AB97" s="7">
        <f>IF(OR(A97="",多次统计数据!$B$8="",多次统计数据!$B$6&lt;=0,多次统计数据!$B$6&gt;=1),"",1-POWER(1+多次统计数据!$B$8,-多次统计数据!$B$6/(1-多次统计数据!$B$6)))</f>
        <v>3.371231520420892E-2</v>
      </c>
      <c r="AC97" s="8" t="str">
        <f>IF(OR(AB97="",多次统计数据!$B$9=""),"",IF(多次统计数据!$B$9&lt;AB97,"低于上限","达到或超过上限"))</f>
        <v>低于上限</v>
      </c>
      <c r="AD97" s="2"/>
      <c r="AE97" s="7">
        <f t="shared" si="32"/>
        <v>4.6111544060344956E-2</v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>
        <f t="shared" si="34"/>
        <v>22.97</v>
      </c>
      <c r="AP97" s="11">
        <f t="shared" si="35"/>
        <v>2800</v>
      </c>
      <c r="AQ97" s="5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>0</v>
      </c>
      <c r="AR97" s="8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>通过</v>
      </c>
    </row>
    <row r="98" spans="1:44" x14ac:dyDescent="0.15">
      <c r="A98" s="2">
        <v>97</v>
      </c>
      <c r="B98" s="2" t="s">
        <v>45</v>
      </c>
      <c r="C98" s="10">
        <v>142290</v>
      </c>
      <c r="D98" s="6">
        <v>0.02</v>
      </c>
      <c r="E98" s="10">
        <v>24.84</v>
      </c>
      <c r="F98" s="8">
        <f t="shared" ref="F98:F129" si="36">IF(OR(C98="",D98="",E98="",N98="",C98&lt;=0,D98&lt;=0,E98&lt;=N98),"",ROUNDDOWN((C98*D98)/(E98-N98)/100,0)*100)</f>
        <v>3300</v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8" s="2">
        <v>3300</v>
      </c>
      <c r="I98" s="15">
        <v>45845</v>
      </c>
      <c r="J98" s="10">
        <v>28</v>
      </c>
      <c r="K98" s="10">
        <v>25.8</v>
      </c>
      <c r="L98" s="8">
        <f t="shared" ref="L98:L103" si="37">IF(K98="","",H98)</f>
        <v>3300</v>
      </c>
      <c r="M98" s="15">
        <v>45861</v>
      </c>
      <c r="N98" s="10">
        <v>24</v>
      </c>
      <c r="O98" s="10"/>
      <c r="P98" s="10"/>
      <c r="Q98" s="2"/>
      <c r="R98" s="2"/>
      <c r="S98" s="2"/>
      <c r="T98" s="2"/>
      <c r="U98" s="7">
        <f t="shared" ref="U98:U129" si="38">IF(OR(AO98="",J98="",AO98&lt;=0),"",(J98-AO98)/AO98)</f>
        <v>0.12721417069243157</v>
      </c>
      <c r="V98" s="7">
        <f t="shared" ref="V98:V129" si="39">IF(OR(AO98="",N98="",AO98&lt;=0),"",(AO98-N98)/AO98)</f>
        <v>3.3816425120772944E-2</v>
      </c>
      <c r="W98" s="21">
        <f t="shared" ref="W98:W129" si="40">IF(OR(U98="",V98="",V98&lt;=0),"",U98/V98)</f>
        <v>3.7619047619047623</v>
      </c>
      <c r="X98" s="5">
        <f t="shared" ref="X98:X129" si="41">IF(OR(K98="",L98="",AP98=""),"",K98*L98-(E98*H98+IF(AND(AK98&lt;&gt;"",AL98&lt;&gt;""),AK98*AL98,0)+IF(AND(AM98&lt;&gt;"",AN98&lt;&gt;""),AM98*AN98,0))-IF(O98="",0,O98)-IF(P98="",0,P98))</f>
        <v>3168</v>
      </c>
      <c r="Y98" s="7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>3.864734299516908E-2</v>
      </c>
      <c r="Z98" s="7">
        <f>IF(OR(AE98="",多次统计数据!$B$8=""),"",AE98-多次统计数据!$B$8)</f>
        <v>-1.3258043714996337E-2</v>
      </c>
      <c r="AA98" s="11">
        <f t="shared" ref="AA98:AA129" si="43">IF(OR(I98="",M98="",M98&lt;I98),"",M98-I98)</f>
        <v>16</v>
      </c>
      <c r="AB98" s="7">
        <f>IF(OR(A98="",多次统计数据!$B$8="",多次统计数据!$B$6&lt;=0,多次统计数据!$B$6&gt;=1),"",1-POWER(1+多次统计数据!$B$8,-多次统计数据!$B$6/(1-多次统计数据!$B$6)))</f>
        <v>3.371231520420892E-2</v>
      </c>
      <c r="AC98" s="8" t="str">
        <f>IF(OR(AB98="",多次统计数据!$B$9=""),"",IF(多次统计数据!$B$9&lt;AB98,"低于上限","达到或超过上限"))</f>
        <v>低于上限</v>
      </c>
      <c r="AD98" s="2"/>
      <c r="AE98" s="7">
        <f t="shared" ref="AE98:AE129" si="44">IF(OR(X98="",C98="",C98&lt;=0),"",X98/C98)</f>
        <v>2.2264389626818468E-2</v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>
        <f t="shared" ref="AO98:AO129" si="46">IF(OR(A98="",H98="",H98&lt;=0),"",(E98*H98+IF(AND(AK98&lt;&gt;"",AL98&lt;&gt;""),AK98*AL98,0)+IF(AND(AM98&lt;&gt;"",AN98&lt;&gt;""),AM98*AN98,0))/AP98)</f>
        <v>24.84</v>
      </c>
      <c r="AP98" s="11">
        <f t="shared" ref="AP98:AP129" si="47">IF(OR(A98="",H98="",H98&lt;=0),"",H98+IF(AL98="",0,AL98)+IF(AN98="",0,AN98))</f>
        <v>3300</v>
      </c>
      <c r="AQ98" s="5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>0</v>
      </c>
      <c r="AR98" s="8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>通过</v>
      </c>
    </row>
    <row r="99" spans="1:44" x14ac:dyDescent="0.15">
      <c r="A99" s="2">
        <v>98</v>
      </c>
      <c r="B99" s="2" t="s">
        <v>45</v>
      </c>
      <c r="C99" s="10">
        <v>145458</v>
      </c>
      <c r="D99" s="6">
        <v>0.02</v>
      </c>
      <c r="E99" s="10">
        <v>27.42</v>
      </c>
      <c r="F99" s="8">
        <f t="shared" si="36"/>
        <v>3100</v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9" s="2">
        <v>3100</v>
      </c>
      <c r="I99" s="15">
        <v>45866</v>
      </c>
      <c r="J99" s="10">
        <v>30</v>
      </c>
      <c r="K99" s="10">
        <v>28.47</v>
      </c>
      <c r="L99" s="8">
        <f t="shared" si="37"/>
        <v>3100</v>
      </c>
      <c r="M99" s="15">
        <v>45883</v>
      </c>
      <c r="N99" s="10">
        <v>26.5</v>
      </c>
      <c r="O99" s="10"/>
      <c r="P99" s="10"/>
      <c r="Q99" s="2"/>
      <c r="R99" s="2"/>
      <c r="S99" s="2"/>
      <c r="T99" s="2"/>
      <c r="U99" s="7">
        <f t="shared" si="38"/>
        <v>9.4091903719912398E-2</v>
      </c>
      <c r="V99" s="7">
        <f t="shared" si="39"/>
        <v>3.3552151714077376E-2</v>
      </c>
      <c r="W99" s="21">
        <f t="shared" si="40"/>
        <v>2.8043478260869494</v>
      </c>
      <c r="X99" s="5">
        <f t="shared" si="41"/>
        <v>3255</v>
      </c>
      <c r="Y99" s="7">
        <f t="shared" si="42"/>
        <v>3.8293216630196934E-2</v>
      </c>
      <c r="Z99" s="7">
        <f>IF(OR(AE99="",多次统计数据!$B$8=""),"",AE99-多次统计数据!$B$8)</f>
        <v>-1.3144839809661194E-2</v>
      </c>
      <c r="AA99" s="11">
        <f t="shared" si="43"/>
        <v>17</v>
      </c>
      <c r="AB99" s="7">
        <f>IF(OR(A99="",多次统计数据!$B$8="",多次统计数据!$B$6&lt;=0,多次统计数据!$B$6&gt;=1),"",1-POWER(1+多次统计数据!$B$8,-多次统计数据!$B$6/(1-多次统计数据!$B$6)))</f>
        <v>3.371231520420892E-2</v>
      </c>
      <c r="AC99" s="8" t="str">
        <f>IF(OR(AB99="",多次统计数据!$B$9=""),"",IF(多次统计数据!$B$9&lt;AB99,"低于上限","达到或超过上限"))</f>
        <v>低于上限</v>
      </c>
      <c r="AD99" s="2"/>
      <c r="AE99" s="7">
        <f t="shared" si="44"/>
        <v>2.2377593532153611E-2</v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>
        <f t="shared" si="46"/>
        <v>27.42</v>
      </c>
      <c r="AP99" s="11">
        <f t="shared" si="47"/>
        <v>3100</v>
      </c>
      <c r="AQ99" s="5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>0</v>
      </c>
      <c r="AR99" s="8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>通过</v>
      </c>
    </row>
    <row r="100" spans="1:44" x14ac:dyDescent="0.15">
      <c r="A100" s="2">
        <v>99</v>
      </c>
      <c r="B100" s="2" t="s">
        <v>45</v>
      </c>
      <c r="C100" s="10">
        <v>148713</v>
      </c>
      <c r="D100" s="6">
        <v>0.02</v>
      </c>
      <c r="E100" s="10">
        <v>29.22</v>
      </c>
      <c r="F100" s="8">
        <f t="shared" si="36"/>
        <v>2400</v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0" s="2">
        <v>2400</v>
      </c>
      <c r="I100" s="15">
        <v>45883</v>
      </c>
      <c r="J100" s="10">
        <v>34</v>
      </c>
      <c r="K100" s="10">
        <v>29.42</v>
      </c>
      <c r="L100" s="8">
        <f t="shared" si="37"/>
        <v>2400</v>
      </c>
      <c r="M100" s="15">
        <v>45896</v>
      </c>
      <c r="N100" s="10">
        <v>28</v>
      </c>
      <c r="O100" s="10"/>
      <c r="P100" s="10"/>
      <c r="Q100" s="2"/>
      <c r="R100" s="2"/>
      <c r="S100" s="2"/>
      <c r="T100" s="2"/>
      <c r="U100" s="7">
        <f t="shared" si="38"/>
        <v>0.16358658453114311</v>
      </c>
      <c r="V100" s="7">
        <f t="shared" si="39"/>
        <v>4.1752224503764507E-2</v>
      </c>
      <c r="W100" s="21">
        <f t="shared" si="40"/>
        <v>3.9180327868852509</v>
      </c>
      <c r="X100" s="5">
        <f t="shared" si="41"/>
        <v>480</v>
      </c>
      <c r="Y100" s="7">
        <f t="shared" si="42"/>
        <v>6.8446269678302529E-3</v>
      </c>
      <c r="Z100" s="7">
        <f>IF(OR(AE100="",多次统计数据!$B$8=""),"",AE100-多次统计数据!$B$8)</f>
        <v>-3.2294739730630843E-2</v>
      </c>
      <c r="AA100" s="11">
        <f t="shared" si="43"/>
        <v>13</v>
      </c>
      <c r="AB100" s="7">
        <f>IF(OR(A100="",多次统计数据!$B$8="",多次统计数据!$B$6&lt;=0,多次统计数据!$B$6&gt;=1),"",1-POWER(1+多次统计数据!$B$8,-多次统计数据!$B$6/(1-多次统计数据!$B$6)))</f>
        <v>3.371231520420892E-2</v>
      </c>
      <c r="AC100" s="8" t="str">
        <f>IF(OR(AB100="",多次统计数据!$B$9=""),"",IF(多次统计数据!$B$9&lt;AB100,"低于上限","达到或超过上限"))</f>
        <v>低于上限</v>
      </c>
      <c r="AD100" s="2"/>
      <c r="AE100" s="7">
        <f t="shared" si="44"/>
        <v>3.2276936111839583E-3</v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>
        <f t="shared" si="46"/>
        <v>29.22</v>
      </c>
      <c r="AP100" s="11">
        <f t="shared" si="47"/>
        <v>2400</v>
      </c>
      <c r="AQ100" s="5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>0</v>
      </c>
      <c r="AR100" s="8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>通过</v>
      </c>
    </row>
    <row r="101" spans="1:44" x14ac:dyDescent="0.15">
      <c r="A101" s="2">
        <v>100</v>
      </c>
      <c r="B101" s="2" t="s">
        <v>45</v>
      </c>
      <c r="C101" s="10">
        <v>149193</v>
      </c>
      <c r="D101" s="6">
        <v>0.02</v>
      </c>
      <c r="E101" s="10">
        <v>43.86</v>
      </c>
      <c r="F101" s="8">
        <f t="shared" si="36"/>
        <v>700</v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1" s="2">
        <v>700</v>
      </c>
      <c r="I101" s="15">
        <v>45957</v>
      </c>
      <c r="J101" s="10">
        <v>48</v>
      </c>
      <c r="K101" s="10">
        <v>38.72</v>
      </c>
      <c r="L101" s="8">
        <f t="shared" si="37"/>
        <v>700</v>
      </c>
      <c r="M101" s="15">
        <v>45972</v>
      </c>
      <c r="N101" s="10">
        <v>40</v>
      </c>
      <c r="O101" s="10"/>
      <c r="P101" s="10"/>
      <c r="Q101" s="2"/>
      <c r="R101" s="2"/>
      <c r="S101" s="2"/>
      <c r="T101" s="2"/>
      <c r="U101" s="7">
        <f t="shared" si="38"/>
        <v>9.4391244870041052E-2</v>
      </c>
      <c r="V101" s="7">
        <f t="shared" si="39"/>
        <v>8.8007295941632452E-2</v>
      </c>
      <c r="W101" s="21">
        <f t="shared" si="40"/>
        <v>1.0725388601036272</v>
      </c>
      <c r="X101" s="5">
        <f t="shared" si="41"/>
        <v>-3598</v>
      </c>
      <c r="Y101" s="7">
        <f t="shared" si="42"/>
        <v>-0.11719106247150023</v>
      </c>
      <c r="Z101" s="7">
        <f>IF(OR(AE101="",多次统计数据!$B$8=""),"",AE101-多次统计数据!$B$8)</f>
        <v>-5.963884631025166E-2</v>
      </c>
      <c r="AA101" s="11">
        <f t="shared" si="43"/>
        <v>15</v>
      </c>
      <c r="AB101" s="7">
        <f>IF(OR(A101="",多次统计数据!$B$8="",多次统计数据!$B$6&lt;=0,多次统计数据!$B$6&gt;=1),"",1-POWER(1+多次统计数据!$B$8,-多次统计数据!$B$6/(1-多次统计数据!$B$6)))</f>
        <v>3.371231520420892E-2</v>
      </c>
      <c r="AC101" s="8" t="str">
        <f>IF(OR(AB101="",多次统计数据!$B$9=""),"",IF(多次统计数据!$B$9&lt;AB101,"低于上限","达到或超过上限"))</f>
        <v>低于上限</v>
      </c>
      <c r="AD101" s="2"/>
      <c r="AE101" s="7">
        <f t="shared" si="44"/>
        <v>-2.4116412968436855E-2</v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>
        <f t="shared" si="46"/>
        <v>43.86</v>
      </c>
      <c r="AP101" s="11">
        <f t="shared" si="47"/>
        <v>700</v>
      </c>
      <c r="AQ101" s="5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>0</v>
      </c>
      <c r="AR101" s="8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>通过</v>
      </c>
    </row>
    <row r="102" spans="1:44" x14ac:dyDescent="0.15">
      <c r="A102" s="2">
        <v>101</v>
      </c>
      <c r="B102" s="2" t="s">
        <v>45</v>
      </c>
      <c r="C102" s="10">
        <v>145595</v>
      </c>
      <c r="D102" s="6">
        <v>0.02</v>
      </c>
      <c r="E102" s="10">
        <v>35.17</v>
      </c>
      <c r="F102" s="8">
        <f t="shared" si="36"/>
        <v>2400</v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2" s="2">
        <v>2400</v>
      </c>
      <c r="I102" s="15">
        <v>45982</v>
      </c>
      <c r="J102" s="10">
        <v>40</v>
      </c>
      <c r="K102" s="19">
        <v>55.92</v>
      </c>
      <c r="L102" s="8">
        <f t="shared" si="37"/>
        <v>2400</v>
      </c>
      <c r="M102" s="15">
        <v>46044</v>
      </c>
      <c r="N102" s="10">
        <v>34</v>
      </c>
      <c r="O102" s="10"/>
      <c r="P102" s="10"/>
      <c r="Q102" s="2"/>
      <c r="R102" s="2"/>
      <c r="S102" s="2"/>
      <c r="T102" s="2"/>
      <c r="U102" s="7">
        <f t="shared" si="38"/>
        <v>0.13733295422234854</v>
      </c>
      <c r="V102" s="7">
        <f t="shared" si="39"/>
        <v>3.3266988911003742E-2</v>
      </c>
      <c r="W102" s="21">
        <f t="shared" si="40"/>
        <v>4.1282051282051206</v>
      </c>
      <c r="X102" s="5">
        <f t="shared" si="41"/>
        <v>49800</v>
      </c>
      <c r="Y102" s="7">
        <f t="shared" si="42"/>
        <v>0.58999147000284335</v>
      </c>
      <c r="Z102" s="7">
        <f>IF(OR(AE102="",多次统计数据!$B$8=""),"",AE102-多次统计数据!$B$8)</f>
        <v>0.30652227973212315</v>
      </c>
      <c r="AA102" s="11">
        <f t="shared" si="43"/>
        <v>62</v>
      </c>
      <c r="AB102" s="7">
        <f>IF(OR(A102="",多次统计数据!$B$8="",多次统计数据!$B$6&lt;=0,多次统计数据!$B$6&gt;=1),"",1-POWER(1+多次统计数据!$B$8,-多次统计数据!$B$6/(1-多次统计数据!$B$6)))</f>
        <v>3.371231520420892E-2</v>
      </c>
      <c r="AC102" s="8" t="str">
        <f>IF(OR(AB102="",多次统计数据!$B$9=""),"",IF(多次统计数据!$B$9&lt;AB102,"低于上限","达到或超过上限"))</f>
        <v>低于上限</v>
      </c>
      <c r="AD102" s="2"/>
      <c r="AE102" s="7">
        <f t="shared" si="44"/>
        <v>0.34204471307393797</v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>
        <f t="shared" si="46"/>
        <v>35.17</v>
      </c>
      <c r="AP102" s="11">
        <f t="shared" si="47"/>
        <v>2400</v>
      </c>
      <c r="AQ102" s="5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>0</v>
      </c>
      <c r="AR102" s="8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>通过</v>
      </c>
    </row>
    <row r="103" spans="1:44" x14ac:dyDescent="0.15">
      <c r="A103" s="2">
        <v>102</v>
      </c>
      <c r="B103" s="2" t="s">
        <v>45</v>
      </c>
      <c r="C103" s="10">
        <v>195395</v>
      </c>
      <c r="D103" s="6">
        <v>0.02</v>
      </c>
      <c r="E103" s="10">
        <v>48.97</v>
      </c>
      <c r="F103" s="8">
        <f t="shared" si="36"/>
        <v>1300</v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3" s="2">
        <v>1300</v>
      </c>
      <c r="I103" s="15">
        <v>46057</v>
      </c>
      <c r="J103" s="10">
        <v>60</v>
      </c>
      <c r="K103" s="10">
        <v>51.93</v>
      </c>
      <c r="L103" s="8">
        <f t="shared" si="37"/>
        <v>1300</v>
      </c>
      <c r="M103" s="15">
        <v>46080</v>
      </c>
      <c r="N103" s="10">
        <v>46</v>
      </c>
      <c r="O103" s="10"/>
      <c r="P103" s="10"/>
      <c r="Q103" s="2"/>
      <c r="R103" s="2"/>
      <c r="S103" s="2"/>
      <c r="T103" s="2"/>
      <c r="U103" s="7">
        <f t="shared" si="38"/>
        <v>0.22523994282213602</v>
      </c>
      <c r="V103" s="7">
        <f t="shared" si="39"/>
        <v>6.0649377169695713E-2</v>
      </c>
      <c r="W103" s="21">
        <f t="shared" si="40"/>
        <v>3.7138047138047154</v>
      </c>
      <c r="X103" s="5">
        <f t="shared" si="41"/>
        <v>3848</v>
      </c>
      <c r="Y103" s="7">
        <f t="shared" si="42"/>
        <v>6.044517051255871E-2</v>
      </c>
      <c r="Z103" s="7">
        <f>IF(OR(AE103="",多次统计数据!$B$8=""),"",AE103-多次统计数据!$B$8)</f>
        <v>-1.5828991851500315E-2</v>
      </c>
      <c r="AA103" s="11">
        <f t="shared" si="43"/>
        <v>23</v>
      </c>
      <c r="AB103" s="7">
        <f>IF(OR(A103="",多次统计数据!$B$8="",多次统计数据!$B$6&lt;=0,多次统计数据!$B$6&gt;=1),"",1-POWER(1+多次统计数据!$B$8,-多次统计数据!$B$6/(1-多次统计数据!$B$6)))</f>
        <v>3.371231520420892E-2</v>
      </c>
      <c r="AC103" s="8" t="str">
        <f>IF(OR(AB103="",多次统计数据!$B$9=""),"",IF(多次统计数据!$B$9&lt;AB103,"低于上限","达到或超过上限"))</f>
        <v>低于上限</v>
      </c>
      <c r="AD103" s="2"/>
      <c r="AE103" s="7">
        <f t="shared" si="44"/>
        <v>1.9693441490314489E-2</v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>
        <f t="shared" si="46"/>
        <v>48.97</v>
      </c>
      <c r="AP103" s="11">
        <f t="shared" si="47"/>
        <v>1300</v>
      </c>
      <c r="AQ103" s="5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>0</v>
      </c>
      <c r="AR103" s="8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>通过</v>
      </c>
    </row>
    <row r="104" spans="1:44" ht="27" customHeight="1" x14ac:dyDescent="0.15">
      <c r="A104" s="2">
        <v>103</v>
      </c>
      <c r="B104" s="2" t="s">
        <v>45</v>
      </c>
      <c r="C104" s="10">
        <v>199243</v>
      </c>
      <c r="D104" s="6">
        <v>0.02</v>
      </c>
      <c r="E104" s="10">
        <v>48.11</v>
      </c>
      <c r="F104" s="8">
        <f t="shared" si="36"/>
        <v>1800</v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4" s="2">
        <v>1800</v>
      </c>
      <c r="I104" s="15">
        <v>46085</v>
      </c>
      <c r="J104" s="10">
        <v>60</v>
      </c>
      <c r="K104" s="5">
        <v>44.26</v>
      </c>
      <c r="L104" s="8">
        <v>1800</v>
      </c>
      <c r="M104" s="22">
        <v>46101</v>
      </c>
      <c r="N104" s="10">
        <v>46</v>
      </c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>
        <f t="shared" si="38"/>
        <v>0.24714196632716692</v>
      </c>
      <c r="V104" s="7">
        <f t="shared" si="39"/>
        <v>4.3857825815838691E-2</v>
      </c>
      <c r="W104" s="21">
        <f t="shared" si="40"/>
        <v>5.6350710900473953</v>
      </c>
      <c r="X104" s="5">
        <f t="shared" si="41"/>
        <v>-6930</v>
      </c>
      <c r="Y104" s="7">
        <f t="shared" si="42"/>
        <v>-8.0024942839326541E-2</v>
      </c>
      <c r="Z104" s="7">
        <f>IF(OR(AE104="",多次统计数据!$B$8=""),"",AE104-多次统计数据!$B$8)</f>
        <v>-7.0304081881537653E-2</v>
      </c>
      <c r="AA104" s="11">
        <f t="shared" si="43"/>
        <v>16</v>
      </c>
      <c r="AB104" s="7">
        <f>IF(OR(A104="",多次统计数据!$B$8="",多次统计数据!$B$6&lt;=0,多次统计数据!$B$6&gt;=1),"",1-POWER(1+多次统计数据!$B$8,-多次统计数据!$B$6/(1-多次统计数据!$B$6)))</f>
        <v>3.371231520420892E-2</v>
      </c>
      <c r="AC104" s="8" t="str">
        <f>IF(OR(AB104="",多次统计数据!$B$9=""),"",IF(多次统计数据!$B$9&lt;AB104,"低于上限","达到或超过上限"))</f>
        <v>低于上限</v>
      </c>
      <c r="AD104" s="2"/>
      <c r="AE104" s="7">
        <f t="shared" si="44"/>
        <v>-3.4781648539722848E-2</v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>
        <f t="shared" si="46"/>
        <v>48.11</v>
      </c>
      <c r="AP104" s="11">
        <f t="shared" si="47"/>
        <v>1800</v>
      </c>
      <c r="AQ104" s="5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>0</v>
      </c>
      <c r="AR104" s="8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>通过</v>
      </c>
    </row>
    <row r="105" spans="1:44" x14ac:dyDescent="0.15">
      <c r="A105" s="2">
        <v>104</v>
      </c>
      <c r="B105" s="2" t="s">
        <v>45</v>
      </c>
      <c r="C105" s="10">
        <v>192313</v>
      </c>
      <c r="D105" s="6">
        <v>0.02</v>
      </c>
      <c r="E105" s="10">
        <v>43.44</v>
      </c>
      <c r="F105" s="8">
        <f t="shared" si="36"/>
        <v>1100</v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5" s="2">
        <v>1100</v>
      </c>
      <c r="I105" s="15">
        <v>46105</v>
      </c>
      <c r="J105" s="10">
        <v>50</v>
      </c>
      <c r="K105" s="5">
        <v>40.69</v>
      </c>
      <c r="L105" s="8">
        <v>1100</v>
      </c>
      <c r="M105" s="22">
        <v>46114</v>
      </c>
      <c r="N105" s="10">
        <v>40</v>
      </c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>
        <f t="shared" si="38"/>
        <v>0.15101289134438312</v>
      </c>
      <c r="V105" s="7">
        <f t="shared" si="39"/>
        <v>7.9189686924493505E-2</v>
      </c>
      <c r="W105" s="21">
        <f t="shared" si="40"/>
        <v>1.9069767441860483</v>
      </c>
      <c r="X105" s="5">
        <f t="shared" si="41"/>
        <v>-3025</v>
      </c>
      <c r="Y105" s="7">
        <f t="shared" si="42"/>
        <v>-6.3305709023941073E-2</v>
      </c>
      <c r="Z105" s="7">
        <f>IF(OR(AE105="",多次统计数据!$B$8=""),"",AE105-多次统计数据!$B$8)</f>
        <v>-5.1251999205796955E-2</v>
      </c>
      <c r="AA105" s="11">
        <f t="shared" si="43"/>
        <v>9</v>
      </c>
      <c r="AB105" s="7">
        <f>IF(OR(A105="",多次统计数据!$B$8="",多次统计数据!$B$6&lt;=0,多次统计数据!$B$6&gt;=1),"",1-POWER(1+多次统计数据!$B$8,-多次统计数据!$B$6/(1-多次统计数据!$B$6)))</f>
        <v>3.371231520420892E-2</v>
      </c>
      <c r="AC105" s="8" t="str">
        <f>IF(OR(AB105="",多次统计数据!$B$9=""),"",IF(多次统计数据!$B$9&lt;AB105,"低于上限","达到或超过上限"))</f>
        <v>低于上限</v>
      </c>
      <c r="AD105" s="2"/>
      <c r="AE105" s="7">
        <f t="shared" si="44"/>
        <v>-1.5729565863982154E-2</v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>
        <f t="shared" si="46"/>
        <v>43.44</v>
      </c>
      <c r="AP105" s="11">
        <f t="shared" si="47"/>
        <v>1100</v>
      </c>
      <c r="AQ105" s="5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>0</v>
      </c>
      <c r="AR105" s="8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>通过</v>
      </c>
    </row>
    <row r="106" spans="1:44" x14ac:dyDescent="0.15">
      <c r="A106" s="2">
        <v>105</v>
      </c>
      <c r="B106" s="2" t="s">
        <v>45</v>
      </c>
      <c r="C106" s="10">
        <v>189228</v>
      </c>
      <c r="D106" s="6">
        <v>0.02</v>
      </c>
      <c r="E106" s="10">
        <v>44.57</v>
      </c>
      <c r="F106" s="8">
        <f t="shared" si="36"/>
        <v>1400</v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6" s="2">
        <v>1400</v>
      </c>
      <c r="I106" s="15">
        <v>46120</v>
      </c>
      <c r="J106" s="10">
        <v>60</v>
      </c>
      <c r="K106" s="5">
        <v>47.16</v>
      </c>
      <c r="L106" s="8">
        <v>1400</v>
      </c>
      <c r="M106" s="22">
        <v>46135</v>
      </c>
      <c r="N106" s="10">
        <v>42</v>
      </c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>
        <f t="shared" si="38"/>
        <v>0.34619699349338118</v>
      </c>
      <c r="V106" s="7">
        <f t="shared" si="39"/>
        <v>5.7662104554633165E-2</v>
      </c>
      <c r="W106" s="21">
        <f t="shared" si="40"/>
        <v>6.0038910505836567</v>
      </c>
      <c r="X106" s="5">
        <f t="shared" si="41"/>
        <v>3626</v>
      </c>
      <c r="Y106" s="7">
        <f t="shared" si="42"/>
        <v>5.8110836885797622E-2</v>
      </c>
      <c r="Z106" s="7">
        <f>IF(OR(AE106="",多次统计数据!$B$8=""),"",AE106-多次统计数据!$B$8)</f>
        <v>-1.6360364303406112E-2</v>
      </c>
      <c r="AA106" s="11">
        <f t="shared" si="43"/>
        <v>15</v>
      </c>
      <c r="AB106" s="7">
        <f>IF(OR(A106="",多次统计数据!$B$8="",多次统计数据!$B$6&lt;=0,多次统计数据!$B$6&gt;=1),"",1-POWER(1+多次统计数据!$B$8,-多次统计数据!$B$6/(1-多次统计数据!$B$6)))</f>
        <v>3.371231520420892E-2</v>
      </c>
      <c r="AC106" s="8" t="str">
        <f>IF(OR(AB106="",多次统计数据!$B$9=""),"",IF(多次统计数据!$B$9&lt;AB106,"低于上限","达到或超过上限"))</f>
        <v>低于上限</v>
      </c>
      <c r="AD106" s="2"/>
      <c r="AE106" s="7">
        <f t="shared" si="44"/>
        <v>1.9162069038408693E-2</v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>
        <f t="shared" si="46"/>
        <v>44.57</v>
      </c>
      <c r="AP106" s="11">
        <f t="shared" si="47"/>
        <v>1400</v>
      </c>
      <c r="AQ106" s="5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>0</v>
      </c>
      <c r="AR106" s="8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>通过</v>
      </c>
    </row>
    <row r="107" spans="1:44" x14ac:dyDescent="0.15">
      <c r="A107" s="2">
        <v>106</v>
      </c>
      <c r="B107" s="2" t="s">
        <v>45</v>
      </c>
      <c r="C107" s="10">
        <v>192914</v>
      </c>
      <c r="D107" s="6">
        <v>0.02</v>
      </c>
      <c r="E107" s="10">
        <v>51.52</v>
      </c>
      <c r="F107" s="8">
        <f t="shared" si="36"/>
        <v>2500</v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7" s="2">
        <v>2500</v>
      </c>
      <c r="I107" s="15">
        <v>46139</v>
      </c>
      <c r="J107" s="10">
        <v>60</v>
      </c>
      <c r="K107" s="5">
        <v>57.32</v>
      </c>
      <c r="L107" s="8">
        <v>2500</v>
      </c>
      <c r="M107" s="22">
        <v>46156</v>
      </c>
      <c r="N107" s="10">
        <v>50</v>
      </c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>
        <f t="shared" si="38"/>
        <v>0.16459627329192539</v>
      </c>
      <c r="V107" s="7">
        <f t="shared" si="39"/>
        <v>2.9503105590062171E-2</v>
      </c>
      <c r="W107" s="21">
        <f t="shared" si="40"/>
        <v>5.5789473684210389</v>
      </c>
      <c r="X107" s="5">
        <f t="shared" si="41"/>
        <v>14499.999999999985</v>
      </c>
      <c r="Y107" s="7">
        <f t="shared" si="42"/>
        <v>0.11257763975155267</v>
      </c>
      <c r="Z107" s="7">
        <f>IF(OR(AE107="",多次统计数据!$B$8=""),"",AE107-多次统计数据!$B$8)</f>
        <v>3.9640592669775779E-2</v>
      </c>
      <c r="AA107" s="11">
        <f t="shared" si="43"/>
        <v>17</v>
      </c>
      <c r="AB107" s="7">
        <f>IF(OR(A107="",多次统计数据!$B$8="",多次统计数据!$B$6&lt;=0,多次统计数据!$B$6&gt;=1),"",1-POWER(1+多次统计数据!$B$8,-多次统计数据!$B$6/(1-多次统计数据!$B$6)))</f>
        <v>3.371231520420892E-2</v>
      </c>
      <c r="AC107" s="8" t="str">
        <f>IF(OR(AB107="",多次统计数据!$B$9=""),"",IF(多次统计数据!$B$9&lt;AB107,"低于上限","达到或超过上限"))</f>
        <v>低于上限</v>
      </c>
      <c r="AD107" s="2"/>
      <c r="AE107" s="7">
        <f t="shared" si="44"/>
        <v>7.5163026011590583E-2</v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>
        <f t="shared" si="46"/>
        <v>51.52</v>
      </c>
      <c r="AP107" s="11">
        <f t="shared" si="47"/>
        <v>2500</v>
      </c>
      <c r="AQ107" s="5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>0</v>
      </c>
      <c r="AR107" s="8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>通过</v>
      </c>
    </row>
    <row r="108" spans="1:44" x14ac:dyDescent="0.15">
      <c r="A108" s="2">
        <v>107</v>
      </c>
      <c r="B108" s="2" t="s">
        <v>45</v>
      </c>
      <c r="C108" s="10">
        <v>207414</v>
      </c>
      <c r="D108" s="6">
        <v>0.02</v>
      </c>
      <c r="E108" s="10">
        <v>56.94</v>
      </c>
      <c r="F108" s="8">
        <f t="shared" si="36"/>
        <v>2100</v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8" s="2">
        <v>2100</v>
      </c>
      <c r="I108" s="15">
        <v>46157</v>
      </c>
      <c r="J108" s="10">
        <v>65</v>
      </c>
      <c r="K108" s="5">
        <v>71.44</v>
      </c>
      <c r="L108" s="8">
        <v>2100</v>
      </c>
      <c r="M108" s="22">
        <v>46169</v>
      </c>
      <c r="N108" s="10">
        <v>55</v>
      </c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>
        <f t="shared" si="38"/>
        <v>0.14155251141552516</v>
      </c>
      <c r="V108" s="7">
        <f t="shared" si="39"/>
        <v>3.4070951879171016E-2</v>
      </c>
      <c r="W108" s="21">
        <f t="shared" si="40"/>
        <v>4.1546391752577385</v>
      </c>
      <c r="X108" s="5">
        <f t="shared" si="41"/>
        <v>30450</v>
      </c>
      <c r="Y108" s="7">
        <f t="shared" si="42"/>
        <v>0.25465402177730945</v>
      </c>
      <c r="Z108" s="7">
        <f>IF(OR(AE108="",多次统计数据!$B$8=""),"",AE108-多次统计数据!$B$8)</f>
        <v>0.11128540026633123</v>
      </c>
      <c r="AA108" s="11">
        <f t="shared" si="43"/>
        <v>12</v>
      </c>
      <c r="AB108" s="7">
        <f>IF(OR(A108="",多次统计数据!$B$8="",多次统计数据!$B$6&lt;=0,多次统计数据!$B$6&gt;=1),"",1-POWER(1+多次统计数据!$B$8,-多次统计数据!$B$6/(1-多次统计数据!$B$6)))</f>
        <v>3.371231520420892E-2</v>
      </c>
      <c r="AC108" s="8" t="str">
        <f>IF(OR(AB108="",多次统计数据!$B$9=""),"",IF(多次统计数据!$B$9&lt;AB108,"低于上限","达到或超过上限"))</f>
        <v>低于上限</v>
      </c>
      <c r="AD108" s="2"/>
      <c r="AE108" s="7">
        <f t="shared" si="44"/>
        <v>0.14680783360814603</v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>
        <f t="shared" si="46"/>
        <v>56.94</v>
      </c>
      <c r="AP108" s="11">
        <f t="shared" si="47"/>
        <v>2100</v>
      </c>
      <c r="AQ108" s="5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>0</v>
      </c>
      <c r="AR108" s="8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>通过</v>
      </c>
    </row>
    <row r="109" spans="1:44" x14ac:dyDescent="0.15">
      <c r="A109" s="2">
        <v>108</v>
      </c>
      <c r="B109" s="2" t="s">
        <v>45</v>
      </c>
      <c r="C109" s="10">
        <v>237864</v>
      </c>
      <c r="D109" s="6">
        <v>0.02</v>
      </c>
      <c r="E109" s="10">
        <v>63.84</v>
      </c>
      <c r="F109" s="8">
        <f t="shared" si="36"/>
        <v>1200</v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9" s="2">
        <v>1200</v>
      </c>
      <c r="I109" s="15">
        <v>46175</v>
      </c>
      <c r="J109" s="10">
        <v>75</v>
      </c>
      <c r="K109" s="5">
        <v>62.62</v>
      </c>
      <c r="L109" s="8">
        <v>1200</v>
      </c>
      <c r="M109" s="22">
        <v>46181</v>
      </c>
      <c r="N109" s="10">
        <v>60</v>
      </c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>
        <f t="shared" si="38"/>
        <v>0.17481203007518792</v>
      </c>
      <c r="V109" s="7">
        <f t="shared" si="39"/>
        <v>6.0150375939849676E-2</v>
      </c>
      <c r="W109" s="21">
        <f t="shared" si="40"/>
        <v>2.9062499999999964</v>
      </c>
      <c r="X109" s="5">
        <f t="shared" si="41"/>
        <v>-1464</v>
      </c>
      <c r="Y109" s="7">
        <f t="shared" si="42"/>
        <v>-1.9110275689223057E-2</v>
      </c>
      <c r="Z109" s="7">
        <f>IF(OR(AE109="",多次统计数据!$B$8=""),"",AE109-多次统计数据!$B$8)</f>
        <v>-4.1677210861742156E-2</v>
      </c>
      <c r="AA109" s="11">
        <f t="shared" si="43"/>
        <v>6</v>
      </c>
      <c r="AB109" s="7">
        <f>IF(OR(A109="",多次统计数据!$B$8="",多次统计数据!$B$6&lt;=0,多次统计数据!$B$6&gt;=1),"",1-POWER(1+多次统计数据!$B$8,-多次统计数据!$B$6/(1-多次统计数据!$B$6)))</f>
        <v>3.371231520420892E-2</v>
      </c>
      <c r="AC109" s="8" t="str">
        <f>IF(OR(AB109="",多次统计数据!$B$9=""),"",IF(多次统计数据!$B$9&lt;AB109,"低于上限","达到或超过上限"))</f>
        <v>低于上限</v>
      </c>
      <c r="AD109" s="2"/>
      <c r="AE109" s="7">
        <f t="shared" si="44"/>
        <v>-6.1547775199273531E-3</v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>
        <f t="shared" si="46"/>
        <v>63.84</v>
      </c>
      <c r="AP109" s="11">
        <f t="shared" si="47"/>
        <v>1200</v>
      </c>
      <c r="AQ109" s="5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>0</v>
      </c>
      <c r="AR109" s="8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>通过</v>
      </c>
    </row>
    <row r="110" spans="1:44" x14ac:dyDescent="0.15">
      <c r="A110" s="2">
        <v>109</v>
      </c>
      <c r="B110" s="2" t="s">
        <v>45</v>
      </c>
      <c r="C110" s="10">
        <v>236400</v>
      </c>
      <c r="D110" s="6">
        <v>0.02</v>
      </c>
      <c r="E110" s="10">
        <v>60.09</v>
      </c>
      <c r="F110" s="8">
        <f t="shared" si="36"/>
        <v>2200</v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0" s="2">
        <v>2200</v>
      </c>
      <c r="I110" s="15">
        <v>46184</v>
      </c>
      <c r="J110" s="10">
        <v>70</v>
      </c>
      <c r="K110" s="5">
        <v>57.22</v>
      </c>
      <c r="L110" s="8">
        <v>2200</v>
      </c>
      <c r="M110" s="22">
        <v>46185</v>
      </c>
      <c r="N110" s="10">
        <v>58</v>
      </c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>
        <f t="shared" si="38"/>
        <v>0.16491928773506401</v>
      </c>
      <c r="V110" s="7">
        <f t="shared" si="39"/>
        <v>3.478116159094697E-2</v>
      </c>
      <c r="W110" s="21">
        <f t="shared" si="40"/>
        <v>4.7416267942583632</v>
      </c>
      <c r="X110" s="5">
        <f t="shared" si="41"/>
        <v>-6314</v>
      </c>
      <c r="Y110" s="7">
        <f t="shared" si="42"/>
        <v>-4.7761690797137629E-2</v>
      </c>
      <c r="Z110" s="7">
        <f>IF(OR(AE110="",多次统计数据!$B$8=""),"",AE110-多次统计数据!$B$8)</f>
        <v>-6.2231401192914634E-2</v>
      </c>
      <c r="AA110" s="11">
        <f t="shared" si="43"/>
        <v>1</v>
      </c>
      <c r="AB110" s="7">
        <f>IF(OR(A110="",多次统计数据!$B$8="",多次统计数据!$B$6&lt;=0,多次统计数据!$B$6&gt;=1),"",1-POWER(1+多次统计数据!$B$8,-多次统计数据!$B$6/(1-多次统计数据!$B$6)))</f>
        <v>3.371231520420892E-2</v>
      </c>
      <c r="AC110" s="8" t="str">
        <f>IF(OR(AB110="",多次统计数据!$B$9=""),"",IF(多次统计数据!$B$9&lt;AB110,"低于上限","达到或超过上限"))</f>
        <v>低于上限</v>
      </c>
      <c r="AD110" s="2"/>
      <c r="AE110" s="7">
        <f t="shared" si="44"/>
        <v>-2.670896785109983E-2</v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>
        <f t="shared" si="46"/>
        <v>60.09</v>
      </c>
      <c r="AP110" s="11">
        <f t="shared" si="47"/>
        <v>2200</v>
      </c>
      <c r="AQ110" s="5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>0</v>
      </c>
      <c r="AR110" s="8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>通过</v>
      </c>
    </row>
    <row r="111" spans="1:44" x14ac:dyDescent="0.15">
      <c r="A111" s="2">
        <v>110</v>
      </c>
      <c r="B111" s="2" t="s">
        <v>45</v>
      </c>
      <c r="C111" s="10">
        <v>230086</v>
      </c>
      <c r="D111" s="6">
        <v>0.02</v>
      </c>
      <c r="E111" s="10">
        <v>61.54</v>
      </c>
      <c r="F111" s="8">
        <f t="shared" si="36"/>
        <v>1200</v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1" s="2">
        <v>1200</v>
      </c>
      <c r="I111" s="15">
        <v>46188</v>
      </c>
      <c r="J111" s="10">
        <v>70</v>
      </c>
      <c r="K111" s="5">
        <v>71.599999999999994</v>
      </c>
      <c r="L111" s="8">
        <v>1200</v>
      </c>
      <c r="M111" s="22">
        <v>46199</v>
      </c>
      <c r="N111" s="10">
        <v>58</v>
      </c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>
        <f t="shared" si="38"/>
        <v>0.13747156321091974</v>
      </c>
      <c r="V111" s="7">
        <f t="shared" si="39"/>
        <v>5.752356191095221E-2</v>
      </c>
      <c r="W111" s="21">
        <f t="shared" si="40"/>
        <v>2.3898305084745775</v>
      </c>
      <c r="X111" s="5">
        <f t="shared" si="41"/>
        <v>12072</v>
      </c>
      <c r="Y111" s="7">
        <f t="shared" si="42"/>
        <v>0.16347091322716933</v>
      </c>
      <c r="Z111" s="7">
        <f>IF(OR(AE111="",多次统计数据!$B$8=""),"",AE111-多次统计数据!$B$8)</f>
        <v>1.6944904957777521E-2</v>
      </c>
      <c r="AA111" s="11">
        <f t="shared" si="43"/>
        <v>11</v>
      </c>
      <c r="AB111" s="7">
        <f>IF(OR(A111="",多次统计数据!$B$8="",多次统计数据!$B$6&lt;=0,多次统计数据!$B$6&gt;=1),"",1-POWER(1+多次统计数据!$B$8,-多次统计数据!$B$6/(1-多次统计数据!$B$6)))</f>
        <v>3.371231520420892E-2</v>
      </c>
      <c r="AC111" s="8" t="str">
        <f>IF(OR(AB111="",多次统计数据!$B$9=""),"",IF(多次统计数据!$B$9&lt;AB111,"低于上限","达到或超过上限"))</f>
        <v>低于上限</v>
      </c>
      <c r="AD111" s="2"/>
      <c r="AE111" s="7">
        <f t="shared" si="44"/>
        <v>5.2467338299592325E-2</v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>
        <f t="shared" si="46"/>
        <v>61.54</v>
      </c>
      <c r="AP111" s="11">
        <f t="shared" si="47"/>
        <v>1200</v>
      </c>
      <c r="AQ111" s="5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>0</v>
      </c>
      <c r="AR111" s="8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>通过</v>
      </c>
    </row>
    <row r="112" spans="1:44" x14ac:dyDescent="0.15">
      <c r="A112" s="2">
        <v>111</v>
      </c>
      <c r="B112" s="2" t="s">
        <v>45</v>
      </c>
      <c r="C112" s="10">
        <v>242158</v>
      </c>
      <c r="D112" s="6">
        <v>0.02</v>
      </c>
      <c r="E112" s="10">
        <v>77.87</v>
      </c>
      <c r="F112" s="8">
        <f t="shared" si="36"/>
        <v>600</v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2" s="2">
        <v>600</v>
      </c>
      <c r="I112" s="15">
        <v>46217</v>
      </c>
      <c r="J112" s="10">
        <v>85</v>
      </c>
      <c r="K112" s="5">
        <v>78.709999999999994</v>
      </c>
      <c r="L112" s="8">
        <v>600</v>
      </c>
      <c r="M112" s="22">
        <v>46218</v>
      </c>
      <c r="N112" s="10">
        <v>70</v>
      </c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>
        <f t="shared" si="38"/>
        <v>9.156286117888783E-2</v>
      </c>
      <c r="V112" s="7">
        <f t="shared" si="39"/>
        <v>0.10106587902915121</v>
      </c>
      <c r="W112" s="21">
        <f t="shared" si="40"/>
        <v>0.90597204574332801</v>
      </c>
      <c r="X112" s="5">
        <f t="shared" si="41"/>
        <v>503.99999999999272</v>
      </c>
      <c r="Y112" s="7">
        <f t="shared" si="42"/>
        <v>1.0787209451650031E-2</v>
      </c>
      <c r="Z112" s="7">
        <f>IF(OR(AE112="",多次统计数据!$B$8=""),"",AE112-多次统计数据!$B$8)</f>
        <v>-3.3441147569715626E-2</v>
      </c>
      <c r="AA112" s="11">
        <f t="shared" si="43"/>
        <v>1</v>
      </c>
      <c r="AB112" s="7">
        <f>IF(OR(A112="",多次统计数据!$B$8="",多次统计数据!$B$6&lt;=0,多次统计数据!$B$6&gt;=1),"",1-POWER(1+多次统计数据!$B$8,-多次统计数据!$B$6/(1-多次统计数据!$B$6)))</f>
        <v>3.371231520420892E-2</v>
      </c>
      <c r="AC112" s="8" t="str">
        <f>IF(OR(AB112="",多次统计数据!$B$9=""),"",IF(多次统计数据!$B$9&lt;AB112,"低于上限","达到或超过上限"))</f>
        <v>低于上限</v>
      </c>
      <c r="AD112" s="2"/>
      <c r="AE112" s="7">
        <f t="shared" si="44"/>
        <v>2.081285772099178E-3</v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>
        <f t="shared" si="46"/>
        <v>77.87</v>
      </c>
      <c r="AP112" s="11">
        <f t="shared" si="47"/>
        <v>600</v>
      </c>
      <c r="AQ112" s="5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>0</v>
      </c>
      <c r="AR112" s="8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>通过</v>
      </c>
    </row>
    <row r="113" spans="1:44" x14ac:dyDescent="0.15">
      <c r="A113" s="2">
        <v>112</v>
      </c>
      <c r="B113" s="2" t="s">
        <v>45</v>
      </c>
      <c r="C113" s="10">
        <v>242662</v>
      </c>
      <c r="D113" s="6">
        <v>0.02</v>
      </c>
      <c r="E113" s="10">
        <v>56.73</v>
      </c>
      <c r="F113" s="8">
        <f t="shared" si="36"/>
        <v>1300</v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3" s="2">
        <v>1300</v>
      </c>
      <c r="I113" s="15">
        <v>46233</v>
      </c>
      <c r="J113" s="10">
        <v>60</v>
      </c>
      <c r="K113" s="5">
        <v>51.54</v>
      </c>
      <c r="L113" s="8">
        <v>1300</v>
      </c>
      <c r="M113" s="22">
        <v>46237</v>
      </c>
      <c r="N113" s="10">
        <v>53</v>
      </c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>
        <f t="shared" si="38"/>
        <v>5.7641459545214234E-2</v>
      </c>
      <c r="V113" s="7">
        <f t="shared" si="39"/>
        <v>6.575004406839409E-2</v>
      </c>
      <c r="W113" s="21">
        <f t="shared" si="40"/>
        <v>0.87667560321715987</v>
      </c>
      <c r="X113" s="5">
        <f t="shared" si="41"/>
        <v>-6747</v>
      </c>
      <c r="Y113" s="7">
        <f t="shared" si="42"/>
        <v>-9.1485986250661025E-2</v>
      </c>
      <c r="Z113" s="7">
        <f>IF(OR(AE113="",多次统计数据!$B$8=""),"",AE113-多次统计数据!$B$8)</f>
        <v>-6.3326539464734752E-2</v>
      </c>
      <c r="AA113" s="11">
        <f t="shared" si="43"/>
        <v>4</v>
      </c>
      <c r="AB113" s="7">
        <f>IF(OR(A113="",多次统计数据!$B$8="",多次统计数据!$B$6&lt;=0,多次统计数据!$B$6&gt;=1),"",1-POWER(1+多次统计数据!$B$8,-多次统计数据!$B$6/(1-多次统计数据!$B$6)))</f>
        <v>3.371231520420892E-2</v>
      </c>
      <c r="AC113" s="8" t="str">
        <f>IF(OR(AB113="",多次统计数据!$B$9=""),"",IF(多次统计数据!$B$9&lt;AB113,"低于上限","达到或超过上限"))</f>
        <v>低于上限</v>
      </c>
      <c r="AD113" s="2"/>
      <c r="AE113" s="7">
        <f t="shared" si="44"/>
        <v>-2.7804106122919947E-2</v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>
        <f t="shared" si="46"/>
        <v>56.73</v>
      </c>
      <c r="AP113" s="11">
        <f t="shared" si="47"/>
        <v>1300</v>
      </c>
      <c r="AQ113" s="5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>0</v>
      </c>
      <c r="AR113" s="8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>通过</v>
      </c>
    </row>
    <row r="114" spans="1:44" x14ac:dyDescent="0.15">
      <c r="A114" s="2">
        <v>113</v>
      </c>
      <c r="B114" s="2" t="s">
        <v>45</v>
      </c>
      <c r="C114" s="10">
        <v>235915</v>
      </c>
      <c r="D114" s="6">
        <v>0.02</v>
      </c>
      <c r="E114" s="10">
        <v>55.6</v>
      </c>
      <c r="F114" s="8">
        <f t="shared" si="36"/>
        <v>800</v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4" s="2">
        <v>800</v>
      </c>
      <c r="I114" s="15">
        <v>46238</v>
      </c>
      <c r="J114" s="10">
        <v>60</v>
      </c>
      <c r="K114" s="5">
        <v>62.06</v>
      </c>
      <c r="L114" s="8">
        <v>800</v>
      </c>
      <c r="M114" s="22">
        <v>46245</v>
      </c>
      <c r="N114" s="10">
        <v>50</v>
      </c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>
        <f t="shared" si="38"/>
        <v>7.913669064748198E-2</v>
      </c>
      <c r="V114" s="7">
        <f t="shared" si="39"/>
        <v>0.10071942446043168</v>
      </c>
      <c r="W114" s="21">
        <f t="shared" si="40"/>
        <v>0.78571428571428514</v>
      </c>
      <c r="X114" s="5">
        <f t="shared" si="41"/>
        <v>5168</v>
      </c>
      <c r="Y114" s="7">
        <f t="shared" si="42"/>
        <v>0.11618705035971223</v>
      </c>
      <c r="Z114" s="7">
        <f>IF(OR(AE114="",多次统计数据!$B$8=""),"",AE114-多次统计数据!$B$8)</f>
        <v>-1.3616238313944599E-2</v>
      </c>
      <c r="AA114" s="11">
        <f t="shared" si="43"/>
        <v>7</v>
      </c>
      <c r="AB114" s="7">
        <f>IF(OR(A114="",多次统计数据!$B$8="",多次统计数据!$B$6&lt;=0,多次统计数据!$B$6&gt;=1),"",1-POWER(1+多次统计数据!$B$8,-多次统计数据!$B$6/(1-多次统计数据!$B$6)))</f>
        <v>3.371231520420892E-2</v>
      </c>
      <c r="AC114" s="8" t="str">
        <f>IF(OR(AB114="",多次统计数据!$B$9=""),"",IF(多次统计数据!$B$9&lt;AB114,"低于上限","达到或超过上限"))</f>
        <v>低于上限</v>
      </c>
      <c r="AD114" s="2"/>
      <c r="AE114" s="7">
        <f t="shared" si="44"/>
        <v>2.1906195027870206E-2</v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>
        <f t="shared" si="46"/>
        <v>55.6</v>
      </c>
      <c r="AP114" s="11">
        <f t="shared" si="47"/>
        <v>800</v>
      </c>
      <c r="AQ114" s="5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>0</v>
      </c>
      <c r="AR114" s="8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>通过</v>
      </c>
    </row>
    <row r="115" spans="1:44" x14ac:dyDescent="0.15">
      <c r="A115" s="2">
        <v>114</v>
      </c>
      <c r="B115" s="2" t="s">
        <v>45</v>
      </c>
      <c r="C115" s="10">
        <v>241083</v>
      </c>
      <c r="D115" s="6">
        <v>0.02</v>
      </c>
      <c r="E115" s="10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2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1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>
        <f>IF(OR(A115="",多次统计数据!$B$8="",多次统计数据!$B$6&lt;=0,多次统计数据!$B$6&gt;=1),"",1-POWER(1+多次统计数据!$B$8,-多次统计数据!$B$6/(1-多次统计数据!$B$6)))</f>
        <v>3.371231520420892E-2</v>
      </c>
      <c r="AC115" s="8" t="str">
        <f>IF(OR(AB115="",多次统计数据!$B$9=""),"",IF(多次统计数据!$B$9&lt;AB115,"低于上限","达到或超过上限"))</f>
        <v>低于上限</v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>违规：第一批价格或股数缺失</v>
      </c>
    </row>
    <row r="116" spans="1:44" x14ac:dyDescent="0.15">
      <c r="A116" s="2"/>
      <c r="B116" s="2"/>
      <c r="C116" s="10"/>
      <c r="D116" s="6"/>
      <c r="E116" s="10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2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1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10"/>
      <c r="D117" s="6"/>
      <c r="E117" s="10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2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1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10"/>
      <c r="D118" s="6"/>
      <c r="E118" s="10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2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1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10"/>
      <c r="D119" s="6"/>
      <c r="E119" s="10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2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1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10"/>
      <c r="D120" s="6"/>
      <c r="E120" s="10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2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1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10"/>
      <c r="D121" s="6"/>
      <c r="E121" s="10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2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1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10"/>
      <c r="D122" s="6"/>
      <c r="E122" s="10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2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1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10"/>
      <c r="D123" s="6"/>
      <c r="E123" s="10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2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1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10"/>
      <c r="D124" s="6"/>
      <c r="E124" s="10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2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1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10"/>
      <c r="D125" s="6"/>
      <c r="E125" s="10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2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1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10"/>
      <c r="D126" s="6"/>
      <c r="E126" s="10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2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1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10"/>
      <c r="D127" s="6"/>
      <c r="E127" s="10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2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1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10"/>
      <c r="D128" s="6"/>
      <c r="E128" s="10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2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1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10"/>
      <c r="D129" s="6"/>
      <c r="E129" s="10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2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1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2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1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10"/>
      <c r="D131" s="6"/>
      <c r="E131" s="10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2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1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10"/>
      <c r="D132" s="6"/>
      <c r="E132" s="10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2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1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10"/>
      <c r="D133" s="6"/>
      <c r="E133" s="10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2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1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10"/>
      <c r="D134" s="6"/>
      <c r="E134" s="10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2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1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10"/>
      <c r="D135" s="6"/>
      <c r="E135" s="10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2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1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10"/>
      <c r="D136" s="6"/>
      <c r="E136" s="10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2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1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10"/>
      <c r="D137" s="6"/>
      <c r="E137" s="10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2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1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10"/>
      <c r="D138" s="6"/>
      <c r="E138" s="10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2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1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10"/>
      <c r="D139" s="6"/>
      <c r="E139" s="10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2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1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10"/>
      <c r="D140" s="6"/>
      <c r="E140" s="10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2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1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10"/>
      <c r="D141" s="6"/>
      <c r="E141" s="10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2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1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10"/>
      <c r="D142" s="6"/>
      <c r="E142" s="10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2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1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10"/>
      <c r="D143" s="6"/>
      <c r="E143" s="10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2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1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10"/>
      <c r="D144" s="6"/>
      <c r="E144" s="10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2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1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10"/>
      <c r="D145" s="6"/>
      <c r="E145" s="10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2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1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10"/>
      <c r="D146" s="6"/>
      <c r="E146" s="10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2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1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10"/>
      <c r="D147" s="6"/>
      <c r="E147" s="10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2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1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10"/>
      <c r="D148" s="6"/>
      <c r="E148" s="10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2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1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10"/>
      <c r="D149" s="6"/>
      <c r="E149" s="10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2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1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10"/>
      <c r="D150" s="6"/>
      <c r="E150" s="10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2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1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10"/>
      <c r="D151" s="6"/>
      <c r="E151" s="10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2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1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10"/>
      <c r="D152" s="6"/>
      <c r="E152" s="10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2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1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10"/>
      <c r="D153" s="6"/>
      <c r="E153" s="10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2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1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10"/>
      <c r="D154" s="6"/>
      <c r="E154" s="10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2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1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10"/>
      <c r="D155" s="6"/>
      <c r="E155" s="10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2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1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10"/>
      <c r="D156" s="6"/>
      <c r="E156" s="10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2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1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10"/>
      <c r="D157" s="6"/>
      <c r="E157" s="10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2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1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10"/>
      <c r="D158" s="6"/>
      <c r="E158" s="10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2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1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10"/>
      <c r="D159" s="6"/>
      <c r="E159" s="10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2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1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10"/>
      <c r="D160" s="6"/>
      <c r="E160" s="10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2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1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10"/>
      <c r="D161" s="6"/>
      <c r="E161" s="10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2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1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2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1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10"/>
      <c r="D163" s="6"/>
      <c r="E163" s="10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2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1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10"/>
      <c r="D164" s="6"/>
      <c r="E164" s="10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2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1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10"/>
      <c r="D165" s="6"/>
      <c r="E165" s="10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2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1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/>
      <c r="B166" s="2"/>
      <c r="C166" s="10"/>
      <c r="D166" s="6"/>
      <c r="E166" s="10"/>
      <c r="F166" s="8" t="str">
        <f t="shared" si="59"/>
        <v/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5"/>
      <c r="J166" s="10"/>
      <c r="K166" s="5" t="str">
        <f>IF(A166="","",IFERROR(LOOKUP(2,1/((持仓跟踪!$B$2:$B$497=A166)*(持仓跟踪!$X$2:$X$497="执行卖出")*(持仓跟踪!$Y$2:$Y$497&lt;&gt;"")),持仓跟踪!$Y$2:$Y$497),""))</f>
        <v/>
      </c>
      <c r="L166" s="8" t="str">
        <f>IF(A166="","",IFERROR(LOOKUP(2,1/((持仓跟踪!$B$2:$B$497=A166)*(持仓跟踪!$X$2:$X$497="执行卖出")*(持仓跟踪!$Z$2:$Z$497&lt;&gt;"")),持仓跟踪!$Z$2:$Z$497),""))</f>
        <v/>
      </c>
      <c r="M166" s="22" t="str">
        <f>IF(A166="","",IFERROR(LOOKUP(2,1/((持仓跟踪!$B$2:$B$497=A166)*(持仓跟踪!$X$2:$X$497="执行卖出")*(持仓跟踪!$H$2:$H$497&lt;&gt;"")),持仓跟踪!$H$2:$H$497),""))</f>
        <v/>
      </c>
      <c r="N166" s="10"/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 t="str">
        <f t="shared" si="60"/>
        <v/>
      </c>
      <c r="V166" s="7" t="str">
        <f t="shared" si="61"/>
        <v/>
      </c>
      <c r="W166" s="21" t="str">
        <f t="shared" si="62"/>
        <v/>
      </c>
      <c r="X166" s="5" t="str">
        <f t="shared" si="63"/>
        <v/>
      </c>
      <c r="Y166" s="7" t="str">
        <f t="shared" si="64"/>
        <v/>
      </c>
      <c r="Z166" s="7" t="str">
        <f>IF(OR(AE166="",多次统计数据!$B$8=""),"",AE166-多次统计数据!$B$8)</f>
        <v/>
      </c>
      <c r="AA166" s="11" t="str">
        <f t="shared" si="6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66"/>
        <v/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 t="str">
        <f t="shared" si="68"/>
        <v/>
      </c>
      <c r="AP166" s="11" t="str">
        <f t="shared" si="69"/>
        <v/>
      </c>
      <c r="AQ166" s="5" t="str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/>
      </c>
      <c r="AR166" s="8" t="str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 spans="1:44" x14ac:dyDescent="0.15">
      <c r="A167" s="2"/>
      <c r="B167" s="2"/>
      <c r="C167" s="10"/>
      <c r="D167" s="6"/>
      <c r="E167" s="10"/>
      <c r="F167" s="8" t="str">
        <f t="shared" si="59"/>
        <v/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5"/>
      <c r="J167" s="10"/>
      <c r="K167" s="5" t="str">
        <f>IF(A167="","",IFERROR(LOOKUP(2,1/((持仓跟踪!$B$2:$B$497=A167)*(持仓跟踪!$X$2:$X$497="执行卖出")*(持仓跟踪!$Y$2:$Y$497&lt;&gt;"")),持仓跟踪!$Y$2:$Y$497),""))</f>
        <v/>
      </c>
      <c r="L167" s="8" t="str">
        <f>IF(A167="","",IFERROR(LOOKUP(2,1/((持仓跟踪!$B$2:$B$497=A167)*(持仓跟踪!$X$2:$X$497="执行卖出")*(持仓跟踪!$Z$2:$Z$497&lt;&gt;"")),持仓跟踪!$Z$2:$Z$497),""))</f>
        <v/>
      </c>
      <c r="M167" s="22" t="str">
        <f>IF(A167="","",IFERROR(LOOKUP(2,1/((持仓跟踪!$B$2:$B$497=A167)*(持仓跟踪!$X$2:$X$497="执行卖出")*(持仓跟踪!$H$2:$H$497&lt;&gt;"")),持仓跟踪!$H$2:$H$497),""))</f>
        <v/>
      </c>
      <c r="N167" s="10"/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 t="str">
        <f t="shared" si="60"/>
        <v/>
      </c>
      <c r="V167" s="7" t="str">
        <f t="shared" si="61"/>
        <v/>
      </c>
      <c r="W167" s="21" t="str">
        <f t="shared" si="62"/>
        <v/>
      </c>
      <c r="X167" s="5" t="str">
        <f t="shared" si="63"/>
        <v/>
      </c>
      <c r="Y167" s="7" t="str">
        <f t="shared" si="64"/>
        <v/>
      </c>
      <c r="Z167" s="7" t="str">
        <f>IF(OR(AE167="",多次统计数据!$B$8=""),"",AE167-多次统计数据!$B$8)</f>
        <v/>
      </c>
      <c r="AA167" s="11" t="str">
        <f t="shared" si="6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66"/>
        <v/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 t="str">
        <f t="shared" si="68"/>
        <v/>
      </c>
      <c r="AP167" s="11" t="str">
        <f t="shared" si="69"/>
        <v/>
      </c>
      <c r="AQ167" s="5" t="str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/>
      </c>
      <c r="AR167" s="8" t="str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 spans="1:44" x14ac:dyDescent="0.15">
      <c r="A168" s="2"/>
      <c r="B168" s="2"/>
      <c r="C168" s="10"/>
      <c r="D168" s="6"/>
      <c r="E168" s="10"/>
      <c r="F168" s="8" t="str">
        <f t="shared" si="59"/>
        <v/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5"/>
      <c r="J168" s="10"/>
      <c r="K168" s="5" t="str">
        <f>IF(A168="","",IFERROR(LOOKUP(2,1/((持仓跟踪!$B$2:$B$497=A168)*(持仓跟踪!$X$2:$X$497="执行卖出")*(持仓跟踪!$Y$2:$Y$497&lt;&gt;"")),持仓跟踪!$Y$2:$Y$497),""))</f>
        <v/>
      </c>
      <c r="L168" s="8" t="str">
        <f>IF(A168="","",IFERROR(LOOKUP(2,1/((持仓跟踪!$B$2:$B$497=A168)*(持仓跟踪!$X$2:$X$497="执行卖出")*(持仓跟踪!$Z$2:$Z$497&lt;&gt;"")),持仓跟踪!$Z$2:$Z$497),""))</f>
        <v/>
      </c>
      <c r="M168" s="22" t="str">
        <f>IF(A168="","",IFERROR(LOOKUP(2,1/((持仓跟踪!$B$2:$B$497=A168)*(持仓跟踪!$X$2:$X$497="执行卖出")*(持仓跟踪!$H$2:$H$497&lt;&gt;"")),持仓跟踪!$H$2:$H$497),""))</f>
        <v/>
      </c>
      <c r="N168" s="10"/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 t="str">
        <f t="shared" si="60"/>
        <v/>
      </c>
      <c r="V168" s="7" t="str">
        <f t="shared" si="61"/>
        <v/>
      </c>
      <c r="W168" s="21" t="str">
        <f t="shared" si="62"/>
        <v/>
      </c>
      <c r="X168" s="5" t="str">
        <f t="shared" si="63"/>
        <v/>
      </c>
      <c r="Y168" s="7" t="str">
        <f t="shared" si="64"/>
        <v/>
      </c>
      <c r="Z168" s="7" t="str">
        <f>IF(OR(AE168="",多次统计数据!$B$8=""),"",AE168-多次统计数据!$B$8)</f>
        <v/>
      </c>
      <c r="AA168" s="11" t="str">
        <f t="shared" si="6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66"/>
        <v/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 t="str">
        <f t="shared" si="68"/>
        <v/>
      </c>
      <c r="AP168" s="11" t="str">
        <f t="shared" si="69"/>
        <v/>
      </c>
      <c r="AQ168" s="5" t="str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/>
      </c>
      <c r="AR168" s="8" t="str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 spans="1:44" x14ac:dyDescent="0.15">
      <c r="A169" s="2"/>
      <c r="B169" s="2"/>
      <c r="C169" s="10"/>
      <c r="D169" s="6"/>
      <c r="E169" s="10"/>
      <c r="F169" s="8" t="str">
        <f t="shared" si="59"/>
        <v/>
      </c>
      <c r="G169" s="8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5"/>
      <c r="J169" s="10"/>
      <c r="K169" s="5" t="str">
        <f>IF(A169="","",IFERROR(LOOKUP(2,1/((持仓跟踪!$B$2:$B$497=A169)*(持仓跟踪!$X$2:$X$497="执行卖出")*(持仓跟踪!$Y$2:$Y$497&lt;&gt;"")),持仓跟踪!$Y$2:$Y$497),""))</f>
        <v/>
      </c>
      <c r="L169" s="8" t="str">
        <f>IF(A169="","",IFERROR(LOOKUP(2,1/((持仓跟踪!$B$2:$B$497=A169)*(持仓跟踪!$X$2:$X$497="执行卖出")*(持仓跟踪!$Z$2:$Z$497&lt;&gt;"")),持仓跟踪!$Z$2:$Z$497),""))</f>
        <v/>
      </c>
      <c r="M169" s="22" t="str">
        <f>IF(A169="","",IFERROR(LOOKUP(2,1/((持仓跟踪!$B$2:$B$497=A169)*(持仓跟踪!$X$2:$X$497="执行卖出")*(持仓跟踪!$H$2:$H$497&lt;&gt;"")),持仓跟踪!$H$2:$H$497),""))</f>
        <v/>
      </c>
      <c r="N169" s="10"/>
      <c r="O169" s="10"/>
      <c r="P169" s="5" t="str">
        <f>IF(A169="","",IFERROR(LOOKUP(2,1/((持仓跟踪!$B$2:$B$497=A169)*(持仓跟踪!$X$2:$X$497="执行卖出")*(持仓跟踪!$AA$2:$AA$497&lt;&gt;"")),持仓跟踪!$AA$2:$AA$497),""))</f>
        <v/>
      </c>
      <c r="Q169" s="2"/>
      <c r="R169" s="2"/>
      <c r="S169" s="2"/>
      <c r="T169" s="2"/>
      <c r="U169" s="7" t="str">
        <f t="shared" si="60"/>
        <v/>
      </c>
      <c r="V169" s="7" t="str">
        <f t="shared" si="61"/>
        <v/>
      </c>
      <c r="W169" s="21" t="str">
        <f t="shared" si="62"/>
        <v/>
      </c>
      <c r="X169" s="5" t="str">
        <f t="shared" si="63"/>
        <v/>
      </c>
      <c r="Y169" s="7" t="str">
        <f t="shared" si="64"/>
        <v/>
      </c>
      <c r="Z169" s="7" t="str">
        <f>IF(OR(AE169="",多次统计数据!$B$8=""),"",AE169-多次统计数据!$B$8)</f>
        <v/>
      </c>
      <c r="AA169" s="11" t="str">
        <f t="shared" si="6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66"/>
        <v/>
      </c>
      <c r="AG169" s="2"/>
      <c r="AH169" s="2"/>
      <c r="AI169" s="2"/>
      <c r="AJ169" s="8" t="str">
        <f t="shared" si="67"/>
        <v/>
      </c>
      <c r="AK169" s="10"/>
      <c r="AL169" s="12"/>
      <c r="AM169" s="10"/>
      <c r="AN169" s="12"/>
      <c r="AO169" s="5" t="str">
        <f t="shared" si="68"/>
        <v/>
      </c>
      <c r="AP169" s="11" t="str">
        <f t="shared" si="69"/>
        <v/>
      </c>
      <c r="AQ169" s="5" t="str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/>
      </c>
      <c r="AR169" s="8" t="str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 spans="1:44" x14ac:dyDescent="0.15">
      <c r="A170" s="2"/>
      <c r="B170" s="2"/>
      <c r="C170" s="10"/>
      <c r="D170" s="6"/>
      <c r="E170" s="10"/>
      <c r="F170" s="8" t="str">
        <f t="shared" si="59"/>
        <v/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5"/>
      <c r="J170" s="10"/>
      <c r="K170" s="5" t="str">
        <f>IF(A170="","",IFERROR(LOOKUP(2,1/((持仓跟踪!$B$2:$B$497=A170)*(持仓跟踪!$X$2:$X$497="执行卖出")*(持仓跟踪!$Y$2:$Y$497&lt;&gt;"")),持仓跟踪!$Y$2:$Y$497),""))</f>
        <v/>
      </c>
      <c r="L170" s="8" t="str">
        <f>IF(A170="","",IFERROR(LOOKUP(2,1/((持仓跟踪!$B$2:$B$497=A170)*(持仓跟踪!$X$2:$X$497="执行卖出")*(持仓跟踪!$Z$2:$Z$497&lt;&gt;"")),持仓跟踪!$Z$2:$Z$497),""))</f>
        <v/>
      </c>
      <c r="M170" s="22" t="str">
        <f>IF(A170="","",IFERROR(LOOKUP(2,1/((持仓跟踪!$B$2:$B$497=A170)*(持仓跟踪!$X$2:$X$497="执行卖出")*(持仓跟踪!$H$2:$H$497&lt;&gt;"")),持仓跟踪!$H$2:$H$497),""))</f>
        <v/>
      </c>
      <c r="N170" s="10"/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 t="str">
        <f t="shared" si="60"/>
        <v/>
      </c>
      <c r="V170" s="7" t="str">
        <f t="shared" si="61"/>
        <v/>
      </c>
      <c r="W170" s="21" t="str">
        <f t="shared" si="62"/>
        <v/>
      </c>
      <c r="X170" s="5" t="str">
        <f t="shared" si="63"/>
        <v/>
      </c>
      <c r="Y170" s="7" t="str">
        <f t="shared" si="64"/>
        <v/>
      </c>
      <c r="Z170" s="7" t="str">
        <f>IF(OR(AE170="",多次统计数据!$B$8=""),"",AE170-多次统计数据!$B$8)</f>
        <v/>
      </c>
      <c r="AA170" s="11" t="str">
        <f t="shared" si="6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66"/>
        <v/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 t="str">
        <f t="shared" si="68"/>
        <v/>
      </c>
      <c r="AP170" s="11" t="str">
        <f t="shared" si="69"/>
        <v/>
      </c>
      <c r="AQ170" s="5" t="str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/>
      </c>
      <c r="AR170" s="8" t="str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 spans="1:44" x14ac:dyDescent="0.15">
      <c r="A171" s="2"/>
      <c r="B171" s="2"/>
      <c r="C171" s="10"/>
      <c r="D171" s="6"/>
      <c r="E171" s="10"/>
      <c r="F171" s="8" t="str">
        <f t="shared" si="59"/>
        <v/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5"/>
      <c r="J171" s="10"/>
      <c r="K171" s="5" t="str">
        <f>IF(A171="","",IFERROR(LOOKUP(2,1/((持仓跟踪!$B$2:$B$497=A171)*(持仓跟踪!$X$2:$X$497="执行卖出")*(持仓跟踪!$Y$2:$Y$497&lt;&gt;"")),持仓跟踪!$Y$2:$Y$497),""))</f>
        <v/>
      </c>
      <c r="L171" s="8" t="str">
        <f>IF(A171="","",IFERROR(LOOKUP(2,1/((持仓跟踪!$B$2:$B$497=A171)*(持仓跟踪!$X$2:$X$497="执行卖出")*(持仓跟踪!$Z$2:$Z$497&lt;&gt;"")),持仓跟踪!$Z$2:$Z$497),""))</f>
        <v/>
      </c>
      <c r="M171" s="22" t="str">
        <f>IF(A171="","",IFERROR(LOOKUP(2,1/((持仓跟踪!$B$2:$B$497=A171)*(持仓跟踪!$X$2:$X$497="执行卖出")*(持仓跟踪!$H$2:$H$497&lt;&gt;"")),持仓跟踪!$H$2:$H$497),""))</f>
        <v/>
      </c>
      <c r="N171" s="10"/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 t="str">
        <f t="shared" si="60"/>
        <v/>
      </c>
      <c r="V171" s="7" t="str">
        <f t="shared" si="61"/>
        <v/>
      </c>
      <c r="W171" s="21" t="str">
        <f t="shared" si="62"/>
        <v/>
      </c>
      <c r="X171" s="5" t="str">
        <f t="shared" si="63"/>
        <v/>
      </c>
      <c r="Y171" s="7" t="str">
        <f t="shared" si="64"/>
        <v/>
      </c>
      <c r="Z171" s="7" t="str">
        <f>IF(OR(AE171="",多次统计数据!$B$8=""),"",AE171-多次统计数据!$B$8)</f>
        <v/>
      </c>
      <c r="AA171" s="11" t="str">
        <f t="shared" si="6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66"/>
        <v/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 t="str">
        <f t="shared" si="68"/>
        <v/>
      </c>
      <c r="AP171" s="11" t="str">
        <f t="shared" si="69"/>
        <v/>
      </c>
      <c r="AQ171" s="5" t="str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/>
      </c>
      <c r="AR171" s="8" t="str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 spans="1:44" x14ac:dyDescent="0.15">
      <c r="A172" s="2"/>
      <c r="B172" s="2"/>
      <c r="C172" s="10"/>
      <c r="D172" s="6"/>
      <c r="E172" s="10"/>
      <c r="F172" s="8" t="str">
        <f t="shared" si="59"/>
        <v/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5"/>
      <c r="J172" s="10"/>
      <c r="K172" s="5" t="str">
        <f>IF(A172="","",IFERROR(LOOKUP(2,1/((持仓跟踪!$B$2:$B$497=A172)*(持仓跟踪!$X$2:$X$497="执行卖出")*(持仓跟踪!$Y$2:$Y$497&lt;&gt;"")),持仓跟踪!$Y$2:$Y$497),""))</f>
        <v/>
      </c>
      <c r="L172" s="8" t="str">
        <f>IF(A172="","",IFERROR(LOOKUP(2,1/((持仓跟踪!$B$2:$B$497=A172)*(持仓跟踪!$X$2:$X$497="执行卖出")*(持仓跟踪!$Z$2:$Z$497&lt;&gt;"")),持仓跟踪!$Z$2:$Z$497),""))</f>
        <v/>
      </c>
      <c r="M172" s="22" t="str">
        <f>IF(A172="","",IFERROR(LOOKUP(2,1/((持仓跟踪!$B$2:$B$497=A172)*(持仓跟踪!$X$2:$X$497="执行卖出")*(持仓跟踪!$H$2:$H$497&lt;&gt;"")),持仓跟踪!$H$2:$H$497),""))</f>
        <v/>
      </c>
      <c r="N172" s="10"/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 t="str">
        <f t="shared" si="60"/>
        <v/>
      </c>
      <c r="V172" s="7" t="str">
        <f t="shared" si="61"/>
        <v/>
      </c>
      <c r="W172" s="21" t="str">
        <f t="shared" si="62"/>
        <v/>
      </c>
      <c r="X172" s="5" t="str">
        <f t="shared" si="63"/>
        <v/>
      </c>
      <c r="Y172" s="7" t="str">
        <f t="shared" si="64"/>
        <v/>
      </c>
      <c r="Z172" s="7" t="str">
        <f>IF(OR(AE172="",多次统计数据!$B$8=""),"",AE172-多次统计数据!$B$8)</f>
        <v/>
      </c>
      <c r="AA172" s="11" t="str">
        <f t="shared" si="6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66"/>
        <v/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 t="str">
        <f t="shared" si="68"/>
        <v/>
      </c>
      <c r="AP172" s="11" t="str">
        <f t="shared" si="69"/>
        <v/>
      </c>
      <c r="AQ172" s="5" t="str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/>
      </c>
      <c r="AR172" s="8" t="str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 spans="1:44" x14ac:dyDescent="0.15">
      <c r="A173" s="2"/>
      <c r="B173" s="2"/>
      <c r="C173" s="10"/>
      <c r="D173" s="6"/>
      <c r="E173" s="10"/>
      <c r="F173" s="8" t="str">
        <f t="shared" si="59"/>
        <v/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5"/>
      <c r="J173" s="10"/>
      <c r="K173" s="5" t="str">
        <f>IF(A173="","",IFERROR(LOOKUP(2,1/((持仓跟踪!$B$2:$B$497=A173)*(持仓跟踪!$X$2:$X$497="执行卖出")*(持仓跟踪!$Y$2:$Y$497&lt;&gt;"")),持仓跟踪!$Y$2:$Y$497),""))</f>
        <v/>
      </c>
      <c r="L173" s="8" t="str">
        <f>IF(A173="","",IFERROR(LOOKUP(2,1/((持仓跟踪!$B$2:$B$497=A173)*(持仓跟踪!$X$2:$X$497="执行卖出")*(持仓跟踪!$Z$2:$Z$497&lt;&gt;"")),持仓跟踪!$Z$2:$Z$497),""))</f>
        <v/>
      </c>
      <c r="M173" s="22" t="str">
        <f>IF(A173="","",IFERROR(LOOKUP(2,1/((持仓跟踪!$B$2:$B$497=A173)*(持仓跟踪!$X$2:$X$497="执行卖出")*(持仓跟踪!$H$2:$H$497&lt;&gt;"")),持仓跟踪!$H$2:$H$497),""))</f>
        <v/>
      </c>
      <c r="N173" s="10"/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 t="str">
        <f t="shared" si="60"/>
        <v/>
      </c>
      <c r="V173" s="7" t="str">
        <f t="shared" si="61"/>
        <v/>
      </c>
      <c r="W173" s="21" t="str">
        <f t="shared" si="62"/>
        <v/>
      </c>
      <c r="X173" s="5" t="str">
        <f t="shared" si="63"/>
        <v/>
      </c>
      <c r="Y173" s="7" t="str">
        <f t="shared" si="64"/>
        <v/>
      </c>
      <c r="Z173" s="7" t="str">
        <f>IF(OR(AE173="",多次统计数据!$B$8=""),"",AE173-多次统计数据!$B$8)</f>
        <v/>
      </c>
      <c r="AA173" s="11" t="str">
        <f t="shared" si="6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66"/>
        <v/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 t="str">
        <f t="shared" si="68"/>
        <v/>
      </c>
      <c r="AP173" s="11" t="str">
        <f t="shared" si="69"/>
        <v/>
      </c>
      <c r="AQ173" s="5" t="str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/>
      </c>
      <c r="AR173" s="8" t="str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 spans="1:44" x14ac:dyDescent="0.15">
      <c r="A174" s="2"/>
      <c r="B174" s="2"/>
      <c r="C174" s="10"/>
      <c r="D174" s="6"/>
      <c r="E174" s="10"/>
      <c r="F174" s="8" t="str">
        <f t="shared" si="59"/>
        <v/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5"/>
      <c r="J174" s="10"/>
      <c r="K174" s="5" t="str">
        <f>IF(A174="","",IFERROR(LOOKUP(2,1/((持仓跟踪!$B$2:$B$497=A174)*(持仓跟踪!$X$2:$X$497="执行卖出")*(持仓跟踪!$Y$2:$Y$497&lt;&gt;"")),持仓跟踪!$Y$2:$Y$497),""))</f>
        <v/>
      </c>
      <c r="L174" s="8" t="str">
        <f>IF(A174="","",IFERROR(LOOKUP(2,1/((持仓跟踪!$B$2:$B$497=A174)*(持仓跟踪!$X$2:$X$497="执行卖出")*(持仓跟踪!$Z$2:$Z$497&lt;&gt;"")),持仓跟踪!$Z$2:$Z$497),""))</f>
        <v/>
      </c>
      <c r="M174" s="22" t="str">
        <f>IF(A174="","",IFERROR(LOOKUP(2,1/((持仓跟踪!$B$2:$B$497=A174)*(持仓跟踪!$X$2:$X$497="执行卖出")*(持仓跟踪!$H$2:$H$497&lt;&gt;"")),持仓跟踪!$H$2:$H$497),""))</f>
        <v/>
      </c>
      <c r="N174" s="10"/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 t="str">
        <f t="shared" si="60"/>
        <v/>
      </c>
      <c r="V174" s="7" t="str">
        <f t="shared" si="61"/>
        <v/>
      </c>
      <c r="W174" s="21" t="str">
        <f t="shared" si="62"/>
        <v/>
      </c>
      <c r="X174" s="5" t="str">
        <f t="shared" si="63"/>
        <v/>
      </c>
      <c r="Y174" s="7" t="str">
        <f t="shared" si="64"/>
        <v/>
      </c>
      <c r="Z174" s="7" t="str">
        <f>IF(OR(AE174="",多次统计数据!$B$8=""),"",AE174-多次统计数据!$B$8)</f>
        <v/>
      </c>
      <c r="AA174" s="11" t="str">
        <f t="shared" si="6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66"/>
        <v/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 t="str">
        <f t="shared" si="68"/>
        <v/>
      </c>
      <c r="AP174" s="11" t="str">
        <f t="shared" si="69"/>
        <v/>
      </c>
      <c r="AQ174" s="5" t="str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/>
      </c>
      <c r="AR174" s="8" t="str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 spans="1:44" x14ac:dyDescent="0.15">
      <c r="A175" s="2"/>
      <c r="B175" s="2"/>
      <c r="C175" s="10"/>
      <c r="D175" s="6"/>
      <c r="E175" s="10"/>
      <c r="F175" s="8" t="str">
        <f t="shared" si="59"/>
        <v/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5"/>
      <c r="J175" s="10"/>
      <c r="K175" s="5" t="str">
        <f>IF(A175="","",IFERROR(LOOKUP(2,1/((持仓跟踪!$B$2:$B$497=A175)*(持仓跟踪!$X$2:$X$497="执行卖出")*(持仓跟踪!$Y$2:$Y$497&lt;&gt;"")),持仓跟踪!$Y$2:$Y$497),""))</f>
        <v/>
      </c>
      <c r="L175" s="8" t="str">
        <f>IF(A175="","",IFERROR(LOOKUP(2,1/((持仓跟踪!$B$2:$B$497=A175)*(持仓跟踪!$X$2:$X$497="执行卖出")*(持仓跟踪!$Z$2:$Z$497&lt;&gt;"")),持仓跟踪!$Z$2:$Z$497),""))</f>
        <v/>
      </c>
      <c r="M175" s="22" t="str">
        <f>IF(A175="","",IFERROR(LOOKUP(2,1/((持仓跟踪!$B$2:$B$497=A175)*(持仓跟踪!$X$2:$X$497="执行卖出")*(持仓跟踪!$H$2:$H$497&lt;&gt;"")),持仓跟踪!$H$2:$H$497),""))</f>
        <v/>
      </c>
      <c r="N175" s="10"/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 t="str">
        <f t="shared" si="60"/>
        <v/>
      </c>
      <c r="V175" s="7" t="str">
        <f t="shared" si="61"/>
        <v/>
      </c>
      <c r="W175" s="21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1" t="str">
        <f t="shared" si="6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66"/>
        <v/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 t="str">
        <f t="shared" si="68"/>
        <v/>
      </c>
      <c r="AP175" s="11" t="str">
        <f t="shared" si="69"/>
        <v/>
      </c>
      <c r="AQ175" s="5" t="str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/>
      </c>
      <c r="AR175" s="8" t="str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 spans="1:44" x14ac:dyDescent="0.15">
      <c r="A176" s="2"/>
      <c r="B176" s="2"/>
      <c r="C176" s="10"/>
      <c r="D176" s="6"/>
      <c r="E176" s="10"/>
      <c r="F176" s="8" t="str">
        <f t="shared" si="59"/>
        <v/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5"/>
      <c r="J176" s="10"/>
      <c r="K176" s="5" t="str">
        <f>IF(A176="","",IFERROR(LOOKUP(2,1/((持仓跟踪!$B$2:$B$497=A176)*(持仓跟踪!$X$2:$X$497="执行卖出")*(持仓跟踪!$Y$2:$Y$497&lt;&gt;"")),持仓跟踪!$Y$2:$Y$497),""))</f>
        <v/>
      </c>
      <c r="L176" s="8" t="str">
        <f>IF(A176="","",IFERROR(LOOKUP(2,1/((持仓跟踪!$B$2:$B$497=A176)*(持仓跟踪!$X$2:$X$497="执行卖出")*(持仓跟踪!$Z$2:$Z$497&lt;&gt;"")),持仓跟踪!$Z$2:$Z$497),""))</f>
        <v/>
      </c>
      <c r="M176" s="22" t="str">
        <f>IF(A176="","",IFERROR(LOOKUP(2,1/((持仓跟踪!$B$2:$B$497=A176)*(持仓跟踪!$X$2:$X$497="执行卖出")*(持仓跟踪!$H$2:$H$497&lt;&gt;"")),持仓跟踪!$H$2:$H$497),""))</f>
        <v/>
      </c>
      <c r="N176" s="10"/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21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1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 t="str">
        <f t="shared" si="68"/>
        <v/>
      </c>
      <c r="AP176" s="11" t="str">
        <f t="shared" si="69"/>
        <v/>
      </c>
      <c r="AQ176" s="5" t="str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/>
      </c>
      <c r="AR176" s="8" t="str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spans="1:44" x14ac:dyDescent="0.15">
      <c r="A177" s="2"/>
      <c r="B177" s="2"/>
      <c r="C177" s="10"/>
      <c r="D177" s="6"/>
      <c r="E177" s="10"/>
      <c r="F177" s="8" t="str">
        <f t="shared" si="59"/>
        <v/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5"/>
      <c r="J177" s="10"/>
      <c r="K177" s="5" t="str">
        <f>IF(A177="","",IFERROR(LOOKUP(2,1/((持仓跟踪!$B$2:$B$497=A177)*(持仓跟踪!$X$2:$X$497="执行卖出")*(持仓跟踪!$Y$2:$Y$497&lt;&gt;"")),持仓跟踪!$Y$2:$Y$497),""))</f>
        <v/>
      </c>
      <c r="L177" s="8" t="str">
        <f>IF(A177="","",IFERROR(LOOKUP(2,1/((持仓跟踪!$B$2:$B$497=A177)*(持仓跟踪!$X$2:$X$497="执行卖出")*(持仓跟踪!$Z$2:$Z$497&lt;&gt;"")),持仓跟踪!$Z$2:$Z$497),""))</f>
        <v/>
      </c>
      <c r="M177" s="22" t="str">
        <f>IF(A177="","",IFERROR(LOOKUP(2,1/((持仓跟踪!$B$2:$B$497=A177)*(持仓跟踪!$X$2:$X$497="执行卖出")*(持仓跟踪!$H$2:$H$497&lt;&gt;"")),持仓跟踪!$H$2:$H$497),""))</f>
        <v/>
      </c>
      <c r="N177" s="10"/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21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1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 t="str">
        <f t="shared" si="68"/>
        <v/>
      </c>
      <c r="AP177" s="11" t="str">
        <f t="shared" si="69"/>
        <v/>
      </c>
      <c r="AQ177" s="5" t="str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/>
      </c>
      <c r="AR177" s="8" t="str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spans="1:44" x14ac:dyDescent="0.15">
      <c r="A178" s="2"/>
      <c r="B178" s="2"/>
      <c r="C178" s="10"/>
      <c r="D178" s="6"/>
      <c r="E178" s="10"/>
      <c r="F178" s="8" t="str">
        <f t="shared" si="59"/>
        <v/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5"/>
      <c r="J178" s="10"/>
      <c r="K178" s="5" t="str">
        <f>IF(A178="","",IFERROR(LOOKUP(2,1/((持仓跟踪!$B$2:$B$497=A178)*(持仓跟踪!$X$2:$X$497="执行卖出")*(持仓跟踪!$Y$2:$Y$497&lt;&gt;"")),持仓跟踪!$Y$2:$Y$497),""))</f>
        <v/>
      </c>
      <c r="L178" s="8" t="str">
        <f>IF(A178="","",IFERROR(LOOKUP(2,1/((持仓跟踪!$B$2:$B$497=A178)*(持仓跟踪!$X$2:$X$497="执行卖出")*(持仓跟踪!$Z$2:$Z$497&lt;&gt;"")),持仓跟踪!$Z$2:$Z$497),""))</f>
        <v/>
      </c>
      <c r="M178" s="22" t="str">
        <f>IF(A178="","",IFERROR(LOOKUP(2,1/((持仓跟踪!$B$2:$B$497=A178)*(持仓跟踪!$X$2:$X$497="执行卖出")*(持仓跟踪!$H$2:$H$497&lt;&gt;"")),持仓跟踪!$H$2:$H$497),""))</f>
        <v/>
      </c>
      <c r="N178" s="10"/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21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1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 t="str">
        <f t="shared" si="68"/>
        <v/>
      </c>
      <c r="AP178" s="11" t="str">
        <f t="shared" si="69"/>
        <v/>
      </c>
      <c r="AQ178" s="5" t="str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/>
      </c>
      <c r="AR178" s="8" t="str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spans="1:44" x14ac:dyDescent="0.15">
      <c r="A179" s="2"/>
      <c r="B179" s="2"/>
      <c r="C179" s="10"/>
      <c r="D179" s="6"/>
      <c r="E179" s="10"/>
      <c r="F179" s="8" t="str">
        <f t="shared" si="59"/>
        <v/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5"/>
      <c r="J179" s="10"/>
      <c r="K179" s="5" t="str">
        <f>IF(A179="","",IFERROR(LOOKUP(2,1/((持仓跟踪!$B$2:$B$497=A179)*(持仓跟踪!$X$2:$X$497="执行卖出")*(持仓跟踪!$Y$2:$Y$497&lt;&gt;"")),持仓跟踪!$Y$2:$Y$497),""))</f>
        <v/>
      </c>
      <c r="L179" s="8" t="str">
        <f>IF(A179="","",IFERROR(LOOKUP(2,1/((持仓跟踪!$B$2:$B$497=A179)*(持仓跟踪!$X$2:$X$497="执行卖出")*(持仓跟踪!$Z$2:$Z$497&lt;&gt;"")),持仓跟踪!$Z$2:$Z$497),""))</f>
        <v/>
      </c>
      <c r="M179" s="22" t="str">
        <f>IF(A179="","",IFERROR(LOOKUP(2,1/((持仓跟踪!$B$2:$B$497=A179)*(持仓跟踪!$X$2:$X$497="执行卖出")*(持仓跟踪!$H$2:$H$497&lt;&gt;"")),持仓跟踪!$H$2:$H$497),""))</f>
        <v/>
      </c>
      <c r="N179" s="10"/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21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1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 t="str">
        <f t="shared" si="68"/>
        <v/>
      </c>
      <c r="AP179" s="11" t="str">
        <f t="shared" si="69"/>
        <v/>
      </c>
      <c r="AQ179" s="5" t="str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/>
      </c>
      <c r="AR179" s="8" t="str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spans="1:44" x14ac:dyDescent="0.15">
      <c r="A180" s="2"/>
      <c r="B180" s="2"/>
      <c r="C180" s="10"/>
      <c r="D180" s="6"/>
      <c r="E180" s="10"/>
      <c r="F180" s="8" t="str">
        <f t="shared" si="59"/>
        <v/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5"/>
      <c r="J180" s="10"/>
      <c r="K180" s="5" t="str">
        <f>IF(A180="","",IFERROR(LOOKUP(2,1/((持仓跟踪!$B$2:$B$497=A180)*(持仓跟踪!$X$2:$X$497="执行卖出")*(持仓跟踪!$Y$2:$Y$497&lt;&gt;"")),持仓跟踪!$Y$2:$Y$497),""))</f>
        <v/>
      </c>
      <c r="L180" s="8" t="str">
        <f>IF(A180="","",IFERROR(LOOKUP(2,1/((持仓跟踪!$B$2:$B$497=A180)*(持仓跟踪!$X$2:$X$497="执行卖出")*(持仓跟踪!$Z$2:$Z$497&lt;&gt;"")),持仓跟踪!$Z$2:$Z$497),""))</f>
        <v/>
      </c>
      <c r="M180" s="22" t="str">
        <f>IF(A180="","",IFERROR(LOOKUP(2,1/((持仓跟踪!$B$2:$B$497=A180)*(持仓跟踪!$X$2:$X$497="执行卖出")*(持仓跟踪!$H$2:$H$497&lt;&gt;"")),持仓跟踪!$H$2:$H$497),""))</f>
        <v/>
      </c>
      <c r="N180" s="10"/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21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1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 t="str">
        <f t="shared" si="68"/>
        <v/>
      </c>
      <c r="AP180" s="11" t="str">
        <f t="shared" si="69"/>
        <v/>
      </c>
      <c r="AQ180" s="5" t="str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/>
      </c>
      <c r="AR180" s="8" t="str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spans="1:44" x14ac:dyDescent="0.15">
      <c r="A181" s="2"/>
      <c r="B181" s="2"/>
      <c r="C181" s="10"/>
      <c r="D181" s="6"/>
      <c r="E181" s="10"/>
      <c r="F181" s="8" t="str">
        <f t="shared" si="59"/>
        <v/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5"/>
      <c r="J181" s="10"/>
      <c r="K181" s="5" t="str">
        <f>IF(A181="","",IFERROR(LOOKUP(2,1/((持仓跟踪!$B$2:$B$497=A181)*(持仓跟踪!$X$2:$X$497="执行卖出")*(持仓跟踪!$Y$2:$Y$497&lt;&gt;"")),持仓跟踪!$Y$2:$Y$497),""))</f>
        <v/>
      </c>
      <c r="L181" s="8" t="str">
        <f>IF(A181="","",IFERROR(LOOKUP(2,1/((持仓跟踪!$B$2:$B$497=A181)*(持仓跟踪!$X$2:$X$497="执行卖出")*(持仓跟踪!$Z$2:$Z$497&lt;&gt;"")),持仓跟踪!$Z$2:$Z$497),""))</f>
        <v/>
      </c>
      <c r="M181" s="22" t="str">
        <f>IF(A181="","",IFERROR(LOOKUP(2,1/((持仓跟踪!$B$2:$B$497=A181)*(持仓跟踪!$X$2:$X$497="执行卖出")*(持仓跟踪!$H$2:$H$497&lt;&gt;"")),持仓跟踪!$H$2:$H$497),""))</f>
        <v/>
      </c>
      <c r="N181" s="10"/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21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1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 t="str">
        <f t="shared" si="68"/>
        <v/>
      </c>
      <c r="AP181" s="11" t="str">
        <f t="shared" si="69"/>
        <v/>
      </c>
      <c r="AQ181" s="5" t="str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/>
      </c>
      <c r="AR181" s="8" t="str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spans="1:44" x14ac:dyDescent="0.15">
      <c r="A182" s="2"/>
      <c r="B182" s="2"/>
      <c r="C182" s="10"/>
      <c r="D182" s="6"/>
      <c r="E182" s="10"/>
      <c r="F182" s="8" t="str">
        <f t="shared" si="59"/>
        <v/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5"/>
      <c r="J182" s="10"/>
      <c r="K182" s="5" t="str">
        <f>IF(A182="","",IFERROR(LOOKUP(2,1/((持仓跟踪!$B$2:$B$497=A182)*(持仓跟踪!$X$2:$X$497="执行卖出")*(持仓跟踪!$Y$2:$Y$497&lt;&gt;"")),持仓跟踪!$Y$2:$Y$497),""))</f>
        <v/>
      </c>
      <c r="L182" s="8" t="str">
        <f>IF(A182="","",IFERROR(LOOKUP(2,1/((持仓跟踪!$B$2:$B$497=A182)*(持仓跟踪!$X$2:$X$497="执行卖出")*(持仓跟踪!$Z$2:$Z$497&lt;&gt;"")),持仓跟踪!$Z$2:$Z$497),""))</f>
        <v/>
      </c>
      <c r="M182" s="22" t="str">
        <f>IF(A182="","",IFERROR(LOOKUP(2,1/((持仓跟踪!$B$2:$B$497=A182)*(持仓跟踪!$X$2:$X$497="执行卖出")*(持仓跟踪!$H$2:$H$497&lt;&gt;"")),持仓跟踪!$H$2:$H$497),""))</f>
        <v/>
      </c>
      <c r="N182" s="10"/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21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1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 t="str">
        <f t="shared" si="68"/>
        <v/>
      </c>
      <c r="AP182" s="11" t="str">
        <f t="shared" si="69"/>
        <v/>
      </c>
      <c r="AQ182" s="5" t="str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/>
      </c>
      <c r="AR182" s="8" t="str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spans="1:44" x14ac:dyDescent="0.15">
      <c r="A183" s="2"/>
      <c r="B183" s="2"/>
      <c r="C183" s="10"/>
      <c r="D183" s="6"/>
      <c r="E183" s="10"/>
      <c r="F183" s="8" t="str">
        <f t="shared" si="59"/>
        <v/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5"/>
      <c r="J183" s="10"/>
      <c r="K183" s="5" t="str">
        <f>IF(A183="","",IFERROR(LOOKUP(2,1/((持仓跟踪!$B$2:$B$497=A183)*(持仓跟踪!$X$2:$X$497="执行卖出")*(持仓跟踪!$Y$2:$Y$497&lt;&gt;"")),持仓跟踪!$Y$2:$Y$497),""))</f>
        <v/>
      </c>
      <c r="L183" s="8" t="str">
        <f>IF(A183="","",IFERROR(LOOKUP(2,1/((持仓跟踪!$B$2:$B$497=A183)*(持仓跟踪!$X$2:$X$497="执行卖出")*(持仓跟踪!$Z$2:$Z$497&lt;&gt;"")),持仓跟踪!$Z$2:$Z$497),""))</f>
        <v/>
      </c>
      <c r="M183" s="22" t="str">
        <f>IF(A183="","",IFERROR(LOOKUP(2,1/((持仓跟踪!$B$2:$B$497=A183)*(持仓跟踪!$X$2:$X$497="执行卖出")*(持仓跟踪!$H$2:$H$497&lt;&gt;"")),持仓跟踪!$H$2:$H$497),""))</f>
        <v/>
      </c>
      <c r="N183" s="10"/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21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1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 t="str">
        <f t="shared" si="68"/>
        <v/>
      </c>
      <c r="AP183" s="11" t="str">
        <f t="shared" si="69"/>
        <v/>
      </c>
      <c r="AQ183" s="5" t="str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/>
      </c>
      <c r="AR183" s="8" t="str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spans="1:44" x14ac:dyDescent="0.15">
      <c r="A184" s="2"/>
      <c r="B184" s="2"/>
      <c r="C184" s="10"/>
      <c r="D184" s="6"/>
      <c r="E184" s="10"/>
      <c r="F184" s="8" t="str">
        <f t="shared" si="59"/>
        <v/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5"/>
      <c r="J184" s="10"/>
      <c r="K184" s="5" t="str">
        <f>IF(A184="","",IFERROR(LOOKUP(2,1/((持仓跟踪!$B$2:$B$497=A184)*(持仓跟踪!$X$2:$X$497="执行卖出")*(持仓跟踪!$Y$2:$Y$497&lt;&gt;"")),持仓跟踪!$Y$2:$Y$497),""))</f>
        <v/>
      </c>
      <c r="L184" s="8" t="str">
        <f>IF(A184="","",IFERROR(LOOKUP(2,1/((持仓跟踪!$B$2:$B$497=A184)*(持仓跟踪!$X$2:$X$497="执行卖出")*(持仓跟踪!$Z$2:$Z$497&lt;&gt;"")),持仓跟踪!$Z$2:$Z$497),""))</f>
        <v/>
      </c>
      <c r="M184" s="22" t="str">
        <f>IF(A184="","",IFERROR(LOOKUP(2,1/((持仓跟踪!$B$2:$B$497=A184)*(持仓跟踪!$X$2:$X$497="执行卖出")*(持仓跟踪!$H$2:$H$497&lt;&gt;"")),持仓跟踪!$H$2:$H$497),""))</f>
        <v/>
      </c>
      <c r="N184" s="10"/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21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1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 t="str">
        <f t="shared" si="68"/>
        <v/>
      </c>
      <c r="AP184" s="11" t="str">
        <f t="shared" si="69"/>
        <v/>
      </c>
      <c r="AQ184" s="5" t="str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/>
      </c>
      <c r="AR184" s="8" t="str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spans="1:44" x14ac:dyDescent="0.15">
      <c r="A185" s="2"/>
      <c r="B185" s="2"/>
      <c r="C185" s="10"/>
      <c r="D185" s="6"/>
      <c r="E185" s="10"/>
      <c r="F185" s="8" t="str">
        <f t="shared" si="59"/>
        <v/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5"/>
      <c r="J185" s="10"/>
      <c r="K185" s="5" t="str">
        <f>IF(A185="","",IFERROR(LOOKUP(2,1/((持仓跟踪!$B$2:$B$497=A185)*(持仓跟踪!$X$2:$X$497="执行卖出")*(持仓跟踪!$Y$2:$Y$497&lt;&gt;"")),持仓跟踪!$Y$2:$Y$497),""))</f>
        <v/>
      </c>
      <c r="L185" s="8" t="str">
        <f>IF(A185="","",IFERROR(LOOKUP(2,1/((持仓跟踪!$B$2:$B$497=A185)*(持仓跟踪!$X$2:$X$497="执行卖出")*(持仓跟踪!$Z$2:$Z$497&lt;&gt;"")),持仓跟踪!$Z$2:$Z$497),""))</f>
        <v/>
      </c>
      <c r="M185" s="22" t="str">
        <f>IF(A185="","",IFERROR(LOOKUP(2,1/((持仓跟踪!$B$2:$B$497=A185)*(持仓跟踪!$X$2:$X$497="执行卖出")*(持仓跟踪!$H$2:$H$497&lt;&gt;"")),持仓跟踪!$H$2:$H$497),""))</f>
        <v/>
      </c>
      <c r="N185" s="10"/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21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1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 t="str">
        <f t="shared" si="68"/>
        <v/>
      </c>
      <c r="AP185" s="11" t="str">
        <f t="shared" si="69"/>
        <v/>
      </c>
      <c r="AQ185" s="5" t="str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/>
      </c>
      <c r="AR185" s="8" t="str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spans="1:44" x14ac:dyDescent="0.15">
      <c r="A186" s="2"/>
      <c r="B186" s="2"/>
      <c r="C186" s="10"/>
      <c r="D186" s="6"/>
      <c r="E186" s="10"/>
      <c r="F186" s="8" t="str">
        <f t="shared" si="59"/>
        <v/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5"/>
      <c r="J186" s="10"/>
      <c r="K186" s="5" t="str">
        <f>IF(A186="","",IFERROR(LOOKUP(2,1/((持仓跟踪!$B$2:$B$497=A186)*(持仓跟踪!$X$2:$X$497="执行卖出")*(持仓跟踪!$Y$2:$Y$497&lt;&gt;"")),持仓跟踪!$Y$2:$Y$497),""))</f>
        <v/>
      </c>
      <c r="L186" s="8" t="str">
        <f>IF(A186="","",IFERROR(LOOKUP(2,1/((持仓跟踪!$B$2:$B$497=A186)*(持仓跟踪!$X$2:$X$497="执行卖出")*(持仓跟踪!$Z$2:$Z$497&lt;&gt;"")),持仓跟踪!$Z$2:$Z$497),""))</f>
        <v/>
      </c>
      <c r="M186" s="22" t="str">
        <f>IF(A186="","",IFERROR(LOOKUP(2,1/((持仓跟踪!$B$2:$B$497=A186)*(持仓跟踪!$X$2:$X$497="执行卖出")*(持仓跟踪!$H$2:$H$497&lt;&gt;"")),持仓跟踪!$H$2:$H$497),""))</f>
        <v/>
      </c>
      <c r="N186" s="10"/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21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1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 t="str">
        <f t="shared" si="68"/>
        <v/>
      </c>
      <c r="AP186" s="11" t="str">
        <f t="shared" si="69"/>
        <v/>
      </c>
      <c r="AQ186" s="5" t="str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/>
      </c>
      <c r="AR186" s="8" t="str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spans="1:44" x14ac:dyDescent="0.15">
      <c r="A187" s="2"/>
      <c r="B187" s="2"/>
      <c r="C187" s="10"/>
      <c r="D187" s="6"/>
      <c r="E187" s="10"/>
      <c r="F187" s="8" t="str">
        <f t="shared" si="59"/>
        <v/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5"/>
      <c r="J187" s="10"/>
      <c r="K187" s="5" t="str">
        <f>IF(A187="","",IFERROR(LOOKUP(2,1/((持仓跟踪!$B$2:$B$497=A187)*(持仓跟踪!$X$2:$X$497="执行卖出")*(持仓跟踪!$Y$2:$Y$497&lt;&gt;"")),持仓跟踪!$Y$2:$Y$497),""))</f>
        <v/>
      </c>
      <c r="L187" s="8" t="str">
        <f>IF(A187="","",IFERROR(LOOKUP(2,1/((持仓跟踪!$B$2:$B$497=A187)*(持仓跟踪!$X$2:$X$497="执行卖出")*(持仓跟踪!$Z$2:$Z$497&lt;&gt;"")),持仓跟踪!$Z$2:$Z$497),""))</f>
        <v/>
      </c>
      <c r="M187" s="22" t="str">
        <f>IF(A187="","",IFERROR(LOOKUP(2,1/((持仓跟踪!$B$2:$B$497=A187)*(持仓跟踪!$X$2:$X$497="执行卖出")*(持仓跟踪!$H$2:$H$497&lt;&gt;"")),持仓跟踪!$H$2:$H$497),""))</f>
        <v/>
      </c>
      <c r="N187" s="10"/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21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1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 t="str">
        <f t="shared" si="68"/>
        <v/>
      </c>
      <c r="AP187" s="11" t="str">
        <f t="shared" si="69"/>
        <v/>
      </c>
      <c r="AQ187" s="5" t="str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/>
      </c>
      <c r="AR187" s="8" t="str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spans="1:44" x14ac:dyDescent="0.15">
      <c r="A188" s="2"/>
      <c r="B188" s="2"/>
      <c r="C188" s="10"/>
      <c r="D188" s="6"/>
      <c r="E188" s="10"/>
      <c r="F188" s="8" t="str">
        <f t="shared" si="59"/>
        <v/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 t="str">
        <f>IF(A188="","",IFERROR(LOOKUP(2,1/((持仓跟踪!$B$2:$B$497=A188)*(持仓跟踪!$X$2:$X$497="执行卖出")*(持仓跟踪!$Y$2:$Y$497&lt;&gt;"")),持仓跟踪!$Y$2:$Y$497),""))</f>
        <v/>
      </c>
      <c r="L188" s="8" t="str">
        <f>IF(A188="","",IFERROR(LOOKUP(2,1/((持仓跟踪!$B$2:$B$497=A188)*(持仓跟踪!$X$2:$X$497="执行卖出")*(持仓跟踪!$Z$2:$Z$497&lt;&gt;"")),持仓跟踪!$Z$2:$Z$497),""))</f>
        <v/>
      </c>
      <c r="M188" s="22" t="str">
        <f>IF(A188="","",IFERROR(LOOKUP(2,1/((持仓跟踪!$B$2:$B$497=A188)*(持仓跟踪!$X$2:$X$497="执行卖出")*(持仓跟踪!$H$2:$H$497&lt;&gt;"")),持仓跟踪!$H$2:$H$497),""))</f>
        <v/>
      </c>
      <c r="N188" s="10"/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21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1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 t="str">
        <f t="shared" si="68"/>
        <v/>
      </c>
      <c r="AP188" s="11" t="str">
        <f t="shared" si="69"/>
        <v/>
      </c>
      <c r="AQ188" s="5" t="str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/>
      </c>
      <c r="AR188" s="8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spans="1:44" x14ac:dyDescent="0.15">
      <c r="A189" s="2"/>
      <c r="B189" s="2"/>
      <c r="C189" s="10"/>
      <c r="D189" s="6"/>
      <c r="E189" s="10"/>
      <c r="F189" s="8" t="str">
        <f t="shared" si="59"/>
        <v/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 t="str">
        <f>IF(A189="","",IFERROR(LOOKUP(2,1/((持仓跟踪!$B$2:$B$497=A189)*(持仓跟踪!$X$2:$X$497="执行卖出")*(持仓跟踪!$Y$2:$Y$497&lt;&gt;"")),持仓跟踪!$Y$2:$Y$497),""))</f>
        <v/>
      </c>
      <c r="L189" s="8" t="str">
        <f>IF(A189="","",IFERROR(LOOKUP(2,1/((持仓跟踪!$B$2:$B$497=A189)*(持仓跟踪!$X$2:$X$497="执行卖出")*(持仓跟踪!$Z$2:$Z$497&lt;&gt;"")),持仓跟踪!$Z$2:$Z$497),""))</f>
        <v/>
      </c>
      <c r="M189" s="22" t="str">
        <f>IF(A189="","",IFERROR(LOOKUP(2,1/((持仓跟踪!$B$2:$B$497=A189)*(持仓跟踪!$X$2:$X$497="执行卖出")*(持仓跟踪!$H$2:$H$497&lt;&gt;"")),持仓跟踪!$H$2:$H$497),""))</f>
        <v/>
      </c>
      <c r="N189" s="10"/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21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1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 t="str">
        <f t="shared" si="68"/>
        <v/>
      </c>
      <c r="AP189" s="11" t="str">
        <f t="shared" si="69"/>
        <v/>
      </c>
      <c r="AQ189" s="5" t="str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/>
      </c>
      <c r="AR189" s="8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spans="1:44" x14ac:dyDescent="0.15">
      <c r="A190" s="2"/>
      <c r="B190" s="2"/>
      <c r="C190" s="10"/>
      <c r="D190" s="6"/>
      <c r="E190" s="10"/>
      <c r="F190" s="8" t="str">
        <f t="shared" si="59"/>
        <v/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 t="str">
        <f>IF(A190="","",IFERROR(LOOKUP(2,1/((持仓跟踪!$B$2:$B$497=A190)*(持仓跟踪!$X$2:$X$497="执行卖出")*(持仓跟踪!$Y$2:$Y$497&lt;&gt;"")),持仓跟踪!$Y$2:$Y$497),""))</f>
        <v/>
      </c>
      <c r="L190" s="8" t="str">
        <f>IF(A190="","",IFERROR(LOOKUP(2,1/((持仓跟踪!$B$2:$B$497=A190)*(持仓跟踪!$X$2:$X$497="执行卖出")*(持仓跟踪!$Z$2:$Z$497&lt;&gt;"")),持仓跟踪!$Z$2:$Z$497),""))</f>
        <v/>
      </c>
      <c r="M190" s="22" t="str">
        <f>IF(A190="","",IFERROR(LOOKUP(2,1/((持仓跟踪!$B$2:$B$497=A190)*(持仓跟踪!$X$2:$X$497="执行卖出")*(持仓跟踪!$H$2:$H$497&lt;&gt;"")),持仓跟踪!$H$2:$H$497),""))</f>
        <v/>
      </c>
      <c r="N190" s="10"/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21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1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 t="str">
        <f t="shared" si="68"/>
        <v/>
      </c>
      <c r="AP190" s="11" t="str">
        <f t="shared" si="69"/>
        <v/>
      </c>
      <c r="AQ190" s="5" t="str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/>
      </c>
      <c r="AR190" s="8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spans="1:44" x14ac:dyDescent="0.15">
      <c r="A191" s="2"/>
      <c r="B191" s="2"/>
      <c r="C191" s="10"/>
      <c r="D191" s="6"/>
      <c r="E191" s="10"/>
      <c r="F191" s="8" t="str">
        <f t="shared" si="59"/>
        <v/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5"/>
      <c r="J191" s="10"/>
      <c r="K191" s="5" t="str">
        <f>IF(A191="","",IFERROR(LOOKUP(2,1/((持仓跟踪!$B$2:$B$497=A191)*(持仓跟踪!$X$2:$X$497="执行卖出")*(持仓跟踪!$Y$2:$Y$497&lt;&gt;"")),持仓跟踪!$Y$2:$Y$497),""))</f>
        <v/>
      </c>
      <c r="L191" s="8" t="str">
        <f>IF(A191="","",IFERROR(LOOKUP(2,1/((持仓跟踪!$B$2:$B$497=A191)*(持仓跟踪!$X$2:$X$497="执行卖出")*(持仓跟踪!$Z$2:$Z$497&lt;&gt;"")),持仓跟踪!$Z$2:$Z$497),""))</f>
        <v/>
      </c>
      <c r="M191" s="22" t="str">
        <f>IF(A191="","",IFERROR(LOOKUP(2,1/((持仓跟踪!$B$2:$B$497=A191)*(持仓跟踪!$X$2:$X$497="执行卖出")*(持仓跟踪!$H$2:$H$497&lt;&gt;"")),持仓跟踪!$H$2:$H$497),""))</f>
        <v/>
      </c>
      <c r="N191" s="10"/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21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1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 t="str">
        <f t="shared" si="68"/>
        <v/>
      </c>
      <c r="AP191" s="11" t="str">
        <f t="shared" si="69"/>
        <v/>
      </c>
      <c r="AQ191" s="5" t="str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/>
      </c>
      <c r="AR191" s="8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spans="1:44" x14ac:dyDescent="0.15">
      <c r="A192" s="2"/>
      <c r="B192" s="2"/>
      <c r="C192" s="10"/>
      <c r="D192" s="6"/>
      <c r="E192" s="10"/>
      <c r="F192" s="8" t="str">
        <f t="shared" si="59"/>
        <v/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5"/>
      <c r="J192" s="10"/>
      <c r="K192" s="5" t="str">
        <f>IF(A192="","",IFERROR(LOOKUP(2,1/((持仓跟踪!$B$2:$B$497=A192)*(持仓跟踪!$X$2:$X$497="执行卖出")*(持仓跟踪!$Y$2:$Y$497&lt;&gt;"")),持仓跟踪!$Y$2:$Y$497),""))</f>
        <v/>
      </c>
      <c r="L192" s="8" t="str">
        <f>IF(A192="","",IFERROR(LOOKUP(2,1/((持仓跟踪!$B$2:$B$497=A192)*(持仓跟踪!$X$2:$X$497="执行卖出")*(持仓跟踪!$Z$2:$Z$497&lt;&gt;"")),持仓跟踪!$Z$2:$Z$497),""))</f>
        <v/>
      </c>
      <c r="M192" s="22" t="str">
        <f>IF(A192="","",IFERROR(LOOKUP(2,1/((持仓跟踪!$B$2:$B$497=A192)*(持仓跟踪!$X$2:$X$497="执行卖出")*(持仓跟踪!$H$2:$H$497&lt;&gt;"")),持仓跟踪!$H$2:$H$497),""))</f>
        <v/>
      </c>
      <c r="N192" s="10"/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21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1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 t="str">
        <f t="shared" si="68"/>
        <v/>
      </c>
      <c r="AP192" s="11" t="str">
        <f t="shared" si="69"/>
        <v/>
      </c>
      <c r="AQ192" s="5" t="str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/>
      </c>
      <c r="AR192" s="8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spans="1:44" x14ac:dyDescent="0.15">
      <c r="A193" s="2"/>
      <c r="B193" s="2"/>
      <c r="C193" s="10"/>
      <c r="D193" s="6"/>
      <c r="E193" s="10"/>
      <c r="F193" s="8" t="str">
        <f t="shared" si="59"/>
        <v/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5"/>
      <c r="J193" s="10"/>
      <c r="K193" s="5" t="str">
        <f>IF(A193="","",IFERROR(LOOKUP(2,1/((持仓跟踪!$B$2:$B$497=A193)*(持仓跟踪!$X$2:$X$497="执行卖出")*(持仓跟踪!$Y$2:$Y$497&lt;&gt;"")),持仓跟踪!$Y$2:$Y$497),""))</f>
        <v/>
      </c>
      <c r="L193" s="8" t="str">
        <f>IF(A193="","",IFERROR(LOOKUP(2,1/((持仓跟踪!$B$2:$B$497=A193)*(持仓跟踪!$X$2:$X$497="执行卖出")*(持仓跟踪!$Z$2:$Z$497&lt;&gt;"")),持仓跟踪!$Z$2:$Z$497),""))</f>
        <v/>
      </c>
      <c r="M193" s="22" t="str">
        <f>IF(A193="","",IFERROR(LOOKUP(2,1/((持仓跟踪!$B$2:$B$497=A193)*(持仓跟踪!$X$2:$X$497="执行卖出")*(持仓跟踪!$H$2:$H$497&lt;&gt;"")),持仓跟踪!$H$2:$H$497),""))</f>
        <v/>
      </c>
      <c r="N193" s="10"/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21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1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 t="str">
        <f t="shared" si="68"/>
        <v/>
      </c>
      <c r="AP193" s="11" t="str">
        <f t="shared" si="69"/>
        <v/>
      </c>
      <c r="AQ193" s="5" t="str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/>
      </c>
      <c r="AR193" s="8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spans="1:44" x14ac:dyDescent="0.15">
      <c r="A194" s="2"/>
      <c r="B194" s="2"/>
      <c r="C194" s="10"/>
      <c r="D194" s="6"/>
      <c r="E194" s="10"/>
      <c r="F194" s="8" t="str">
        <f t="shared" ref="F194:F201" si="70">IF(OR(C194="",D194="",E194="",N194="",C194&lt;=0,D194&lt;=0,E194&lt;=N194),"",ROUNDDOWN((C194*D194)/(E194-N194)/100,0)*100)</f>
        <v/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5"/>
      <c r="J194" s="10"/>
      <c r="K194" s="5" t="str">
        <f>IF(A194="","",IFERROR(LOOKUP(2,1/((持仓跟踪!$B$2:$B$497=A194)*(持仓跟踪!$X$2:$X$497="执行卖出")*(持仓跟踪!$Y$2:$Y$497&lt;&gt;"")),持仓跟踪!$Y$2:$Y$497),""))</f>
        <v/>
      </c>
      <c r="L194" s="8" t="str">
        <f>IF(A194="","",IFERROR(LOOKUP(2,1/((持仓跟踪!$B$2:$B$497=A194)*(持仓跟踪!$X$2:$X$497="执行卖出")*(持仓跟踪!$Z$2:$Z$497&lt;&gt;"")),持仓跟踪!$Z$2:$Z$497),""))</f>
        <v/>
      </c>
      <c r="M194" s="22" t="str">
        <f>IF(A194="","",IFERROR(LOOKUP(2,1/((持仓跟踪!$B$2:$B$497=A194)*(持仓跟踪!$X$2:$X$497="执行卖出")*(持仓跟踪!$H$2:$H$497&lt;&gt;"")),持仓跟踪!$H$2:$H$497),""))</f>
        <v/>
      </c>
      <c r="N194" s="10"/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21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1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 t="str">
        <f t="shared" ref="AO194:AO201" si="79">IF(OR(A194="",H194="",H194&lt;=0),"",(E194*H194+IF(AND(AK194&lt;&gt;"",AL194&lt;&gt;""),AK194*AL194,0)+IF(AND(AM194&lt;&gt;"",AN194&lt;&gt;""),AM194*AN194,0))/AP194)</f>
        <v/>
      </c>
      <c r="AP194" s="11" t="str">
        <f t="shared" ref="AP194:AP201" si="80">IF(OR(A194="",H194="",H194&lt;=0),"",H194+IF(AL194="",0,AL194)+IF(AN194="",0,AN194))</f>
        <v/>
      </c>
      <c r="AQ194" s="5" t="str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/>
      </c>
      <c r="AR194" s="8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spans="1:44" x14ac:dyDescent="0.15">
      <c r="A195" s="2"/>
      <c r="B195" s="2"/>
      <c r="C195" s="10"/>
      <c r="D195" s="6"/>
      <c r="E195" s="10"/>
      <c r="F195" s="8" t="str">
        <f t="shared" si="70"/>
        <v/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5"/>
      <c r="J195" s="10"/>
      <c r="K195" s="5" t="str">
        <f>IF(A195="","",IFERROR(LOOKUP(2,1/((持仓跟踪!$B$2:$B$497=A195)*(持仓跟踪!$X$2:$X$497="执行卖出")*(持仓跟踪!$Y$2:$Y$497&lt;&gt;"")),持仓跟踪!$Y$2:$Y$497),""))</f>
        <v/>
      </c>
      <c r="L195" s="8" t="str">
        <f>IF(A195="","",IFERROR(LOOKUP(2,1/((持仓跟踪!$B$2:$B$497=A195)*(持仓跟踪!$X$2:$X$497="执行卖出")*(持仓跟踪!$Z$2:$Z$497&lt;&gt;"")),持仓跟踪!$Z$2:$Z$497),""))</f>
        <v/>
      </c>
      <c r="M195" s="22" t="str">
        <f>IF(A195="","",IFERROR(LOOKUP(2,1/((持仓跟踪!$B$2:$B$497=A195)*(持仓跟踪!$X$2:$X$497="执行卖出")*(持仓跟踪!$H$2:$H$497&lt;&gt;"")),持仓跟踪!$H$2:$H$497),""))</f>
        <v/>
      </c>
      <c r="N195" s="10"/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21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1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 t="str">
        <f t="shared" si="79"/>
        <v/>
      </c>
      <c r="AP195" s="11" t="str">
        <f t="shared" si="80"/>
        <v/>
      </c>
      <c r="AQ195" s="5" t="str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/>
      </c>
      <c r="AR195" s="8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spans="1:44" x14ac:dyDescent="0.15">
      <c r="A196" s="2"/>
      <c r="B196" s="2"/>
      <c r="C196" s="10"/>
      <c r="D196" s="6"/>
      <c r="E196" s="10"/>
      <c r="F196" s="8" t="str">
        <f t="shared" si="70"/>
        <v/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5"/>
      <c r="J196" s="10"/>
      <c r="K196" s="5" t="str">
        <f>IF(A196="","",IFERROR(LOOKUP(2,1/((持仓跟踪!$B$2:$B$497=A196)*(持仓跟踪!$X$2:$X$497="执行卖出")*(持仓跟踪!$Y$2:$Y$497&lt;&gt;"")),持仓跟踪!$Y$2:$Y$497),""))</f>
        <v/>
      </c>
      <c r="L196" s="8" t="str">
        <f>IF(A196="","",IFERROR(LOOKUP(2,1/((持仓跟踪!$B$2:$B$497=A196)*(持仓跟踪!$X$2:$X$497="执行卖出")*(持仓跟踪!$Z$2:$Z$497&lt;&gt;"")),持仓跟踪!$Z$2:$Z$497),""))</f>
        <v/>
      </c>
      <c r="M196" s="22" t="str">
        <f>IF(A196="","",IFERROR(LOOKUP(2,1/((持仓跟踪!$B$2:$B$497=A196)*(持仓跟踪!$X$2:$X$497="执行卖出")*(持仓跟踪!$H$2:$H$497&lt;&gt;"")),持仓跟踪!$H$2:$H$497),""))</f>
        <v/>
      </c>
      <c r="N196" s="10"/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21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1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 t="str">
        <f t="shared" si="79"/>
        <v/>
      </c>
      <c r="AP196" s="11" t="str">
        <f t="shared" si="80"/>
        <v/>
      </c>
      <c r="AQ196" s="5" t="str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/>
      </c>
      <c r="AR196" s="8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spans="1:44" x14ac:dyDescent="0.15">
      <c r="A197" s="2"/>
      <c r="B197" s="2"/>
      <c r="C197" s="10"/>
      <c r="D197" s="6"/>
      <c r="E197" s="10"/>
      <c r="F197" s="8" t="str">
        <f t="shared" si="70"/>
        <v/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5"/>
      <c r="J197" s="10"/>
      <c r="K197" s="5" t="str">
        <f>IF(A197="","",IFERROR(LOOKUP(2,1/((持仓跟踪!$B$2:$B$497=A197)*(持仓跟踪!$X$2:$X$497="执行卖出")*(持仓跟踪!$Y$2:$Y$497&lt;&gt;"")),持仓跟踪!$Y$2:$Y$497),""))</f>
        <v/>
      </c>
      <c r="L197" s="8" t="str">
        <f>IF(A197="","",IFERROR(LOOKUP(2,1/((持仓跟踪!$B$2:$B$497=A197)*(持仓跟踪!$X$2:$X$497="执行卖出")*(持仓跟踪!$Z$2:$Z$497&lt;&gt;"")),持仓跟踪!$Z$2:$Z$497),""))</f>
        <v/>
      </c>
      <c r="M197" s="22" t="str">
        <f>IF(A197="","",IFERROR(LOOKUP(2,1/((持仓跟踪!$B$2:$B$497=A197)*(持仓跟踪!$X$2:$X$497="执行卖出")*(持仓跟踪!$H$2:$H$497&lt;&gt;"")),持仓跟踪!$H$2:$H$497),""))</f>
        <v/>
      </c>
      <c r="N197" s="10"/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21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1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 t="str">
        <f t="shared" si="79"/>
        <v/>
      </c>
      <c r="AP197" s="11" t="str">
        <f t="shared" si="80"/>
        <v/>
      </c>
      <c r="AQ197" s="5" t="str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/>
      </c>
      <c r="AR197" s="8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spans="1:44" x14ac:dyDescent="0.15">
      <c r="A198" s="2"/>
      <c r="B198" s="2"/>
      <c r="C198" s="10"/>
      <c r="D198" s="6"/>
      <c r="E198" s="10"/>
      <c r="F198" s="8" t="str">
        <f t="shared" si="70"/>
        <v/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5"/>
      <c r="J198" s="10"/>
      <c r="K198" s="5" t="str">
        <f>IF(A198="","",IFERROR(LOOKUP(2,1/((持仓跟踪!$B$2:$B$497=A198)*(持仓跟踪!$X$2:$X$497="执行卖出")*(持仓跟踪!$Y$2:$Y$497&lt;&gt;"")),持仓跟踪!$Y$2:$Y$497),""))</f>
        <v/>
      </c>
      <c r="L198" s="8" t="str">
        <f>IF(A198="","",IFERROR(LOOKUP(2,1/((持仓跟踪!$B$2:$B$497=A198)*(持仓跟踪!$X$2:$X$497="执行卖出")*(持仓跟踪!$Z$2:$Z$497&lt;&gt;"")),持仓跟踪!$Z$2:$Z$497),""))</f>
        <v/>
      </c>
      <c r="M198" s="22" t="str">
        <f>IF(A198="","",IFERROR(LOOKUP(2,1/((持仓跟踪!$B$2:$B$497=A198)*(持仓跟踪!$X$2:$X$497="执行卖出")*(持仓跟踪!$H$2:$H$497&lt;&gt;"")),持仓跟踪!$H$2:$H$497),""))</f>
        <v/>
      </c>
      <c r="N198" s="10"/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21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1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 t="str">
        <f t="shared" si="79"/>
        <v/>
      </c>
      <c r="AP198" s="11" t="str">
        <f t="shared" si="80"/>
        <v/>
      </c>
      <c r="AQ198" s="5" t="str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/>
      </c>
      <c r="AR198" s="8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spans="1:44" x14ac:dyDescent="0.15">
      <c r="A199" s="2"/>
      <c r="B199" s="2"/>
      <c r="C199" s="10"/>
      <c r="D199" s="6"/>
      <c r="E199" s="10"/>
      <c r="F199" s="8" t="str">
        <f t="shared" si="70"/>
        <v/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5"/>
      <c r="J199" s="10"/>
      <c r="K199" s="5" t="str">
        <f>IF(A199="","",IFERROR(LOOKUP(2,1/((持仓跟踪!$B$2:$B$497=A199)*(持仓跟踪!$X$2:$X$497="执行卖出")*(持仓跟踪!$Y$2:$Y$497&lt;&gt;"")),持仓跟踪!$Y$2:$Y$497),""))</f>
        <v/>
      </c>
      <c r="L199" s="8" t="str">
        <f>IF(A199="","",IFERROR(LOOKUP(2,1/((持仓跟踪!$B$2:$B$497=A199)*(持仓跟踪!$X$2:$X$497="执行卖出")*(持仓跟踪!$Z$2:$Z$497&lt;&gt;"")),持仓跟踪!$Z$2:$Z$497),""))</f>
        <v/>
      </c>
      <c r="M199" s="22" t="str">
        <f>IF(A199="","",IFERROR(LOOKUP(2,1/((持仓跟踪!$B$2:$B$497=A199)*(持仓跟踪!$X$2:$X$497="执行卖出")*(持仓跟踪!$H$2:$H$497&lt;&gt;"")),持仓跟踪!$H$2:$H$497),""))</f>
        <v/>
      </c>
      <c r="N199" s="10"/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21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1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 t="str">
        <f t="shared" si="79"/>
        <v/>
      </c>
      <c r="AP199" s="11" t="str">
        <f t="shared" si="80"/>
        <v/>
      </c>
      <c r="AQ199" s="5" t="str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/>
      </c>
      <c r="AR199" s="8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spans="1:44" x14ac:dyDescent="0.15">
      <c r="A200" s="2"/>
      <c r="B200" s="2"/>
      <c r="C200" s="10"/>
      <c r="D200" s="6"/>
      <c r="E200" s="10"/>
      <c r="F200" s="8" t="str">
        <f t="shared" si="70"/>
        <v/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5"/>
      <c r="J200" s="10"/>
      <c r="K200" s="5" t="str">
        <f>IF(A200="","",IFERROR(LOOKUP(2,1/((持仓跟踪!$B$2:$B$497=A200)*(持仓跟踪!$X$2:$X$497="执行卖出")*(持仓跟踪!$Y$2:$Y$497&lt;&gt;"")),持仓跟踪!$Y$2:$Y$497),""))</f>
        <v/>
      </c>
      <c r="L200" s="8" t="str">
        <f>IF(A200="","",IFERROR(LOOKUP(2,1/((持仓跟踪!$B$2:$B$497=A200)*(持仓跟踪!$X$2:$X$497="执行卖出")*(持仓跟踪!$Z$2:$Z$497&lt;&gt;"")),持仓跟踪!$Z$2:$Z$497),""))</f>
        <v/>
      </c>
      <c r="M200" s="22" t="str">
        <f>IF(A200="","",IFERROR(LOOKUP(2,1/((持仓跟踪!$B$2:$B$497=A200)*(持仓跟踪!$X$2:$X$497="执行卖出")*(持仓跟踪!$H$2:$H$497&lt;&gt;"")),持仓跟踪!$H$2:$H$497),""))</f>
        <v/>
      </c>
      <c r="N200" s="10"/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21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1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 t="str">
        <f t="shared" si="79"/>
        <v/>
      </c>
      <c r="AP200" s="11" t="str">
        <f t="shared" si="80"/>
        <v/>
      </c>
      <c r="AQ200" s="5" t="str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/>
      </c>
      <c r="AR200" s="8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spans="1:44" x14ac:dyDescent="0.15">
      <c r="A201" s="2"/>
      <c r="B201" s="2"/>
      <c r="C201" s="10"/>
      <c r="D201" s="6"/>
      <c r="E201" s="10"/>
      <c r="F201" s="8" t="str">
        <f t="shared" si="70"/>
        <v/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5"/>
      <c r="J201" s="10"/>
      <c r="K201" s="5" t="str">
        <f>IF(A201="","",IFERROR(LOOKUP(2,1/((持仓跟踪!$B$2:$B$497=A201)*(持仓跟踪!$X$2:$X$497="执行卖出")*(持仓跟踪!$Y$2:$Y$497&lt;&gt;"")),持仓跟踪!$Y$2:$Y$497),""))</f>
        <v/>
      </c>
      <c r="L201" s="8" t="str">
        <f>IF(A201="","",IFERROR(LOOKUP(2,1/((持仓跟踪!$B$2:$B$497=A201)*(持仓跟踪!$X$2:$X$497="执行卖出")*(持仓跟踪!$Z$2:$Z$497&lt;&gt;"")),持仓跟踪!$Z$2:$Z$497),""))</f>
        <v/>
      </c>
      <c r="M201" s="22" t="str">
        <f>IF(A201="","",IFERROR(LOOKUP(2,1/((持仓跟踪!$B$2:$B$497=A201)*(持仓跟踪!$X$2:$X$497="执行卖出")*(持仓跟踪!$H$2:$H$497&lt;&gt;"")),持仓跟踪!$H$2:$H$497),""))</f>
        <v/>
      </c>
      <c r="N201" s="10"/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21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1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 t="str">
        <f t="shared" si="79"/>
        <v/>
      </c>
      <c r="AP201" s="11" t="str">
        <f t="shared" si="80"/>
        <v/>
      </c>
      <c r="AQ201" s="5" t="str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/>
      </c>
      <c r="AR201" s="8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phoneticPr fontId="5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A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C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9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8" t="s">
        <v>46</v>
      </c>
      <c r="B1" s="18" t="s">
        <v>0</v>
      </c>
      <c r="C1" s="18" t="s">
        <v>1</v>
      </c>
      <c r="D1" s="18" t="s">
        <v>47</v>
      </c>
      <c r="E1" s="18" t="s">
        <v>48</v>
      </c>
      <c r="F1" s="18" t="s">
        <v>49</v>
      </c>
      <c r="G1" s="18" t="s">
        <v>50</v>
      </c>
      <c r="H1" s="18" t="s">
        <v>51</v>
      </c>
      <c r="I1" s="18" t="s">
        <v>52</v>
      </c>
      <c r="J1" s="18" t="s">
        <v>53</v>
      </c>
      <c r="K1" s="18" t="s">
        <v>54</v>
      </c>
      <c r="L1" s="18" t="s">
        <v>55</v>
      </c>
      <c r="M1" s="18" t="s">
        <v>56</v>
      </c>
      <c r="N1" s="18" t="s">
        <v>57</v>
      </c>
      <c r="O1" s="18" t="s">
        <v>58</v>
      </c>
      <c r="P1" s="18" t="s">
        <v>59</v>
      </c>
      <c r="Q1" s="18" t="s">
        <v>60</v>
      </c>
      <c r="R1" s="18" t="s">
        <v>61</v>
      </c>
      <c r="S1" s="18" t="s">
        <v>62</v>
      </c>
      <c r="T1" s="18" t="s">
        <v>63</v>
      </c>
      <c r="U1" s="18" t="s">
        <v>64</v>
      </c>
      <c r="V1" s="18" t="s">
        <v>65</v>
      </c>
      <c r="W1" s="18" t="s">
        <v>66</v>
      </c>
      <c r="X1" s="18" t="s">
        <v>67</v>
      </c>
      <c r="Y1" s="18" t="s">
        <v>10</v>
      </c>
      <c r="Z1" s="18" t="s">
        <v>68</v>
      </c>
      <c r="AA1" s="18" t="s">
        <v>15</v>
      </c>
      <c r="AB1" s="18" t="s">
        <v>69</v>
      </c>
      <c r="AC1" s="18" t="s">
        <v>70</v>
      </c>
    </row>
    <row r="2" spans="1:29" x14ac:dyDescent="0.15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spans="1:29" x14ac:dyDescent="0.15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spans="1:29" x14ac:dyDescent="0.15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spans="1:29" x14ac:dyDescent="0.15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spans="1:29" x14ac:dyDescent="0.15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spans="1:29" x14ac:dyDescent="0.15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spans="1:29" x14ac:dyDescent="0.15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spans="1:29" x14ac:dyDescent="0.15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spans="1:29" x14ac:dyDescent="0.15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spans="1:29" x14ac:dyDescent="0.15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spans="1:29" x14ac:dyDescent="0.15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spans="1:29" x14ac:dyDescent="0.15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spans="1:29" x14ac:dyDescent="0.15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spans="1:29" x14ac:dyDescent="0.15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spans="1:29" x14ac:dyDescent="0.15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spans="1:29" x14ac:dyDescent="0.15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spans="1:29" x14ac:dyDescent="0.15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spans="1:29" x14ac:dyDescent="0.15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spans="1:29" x14ac:dyDescent="0.15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spans="1:29" x14ac:dyDescent="0.15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spans="1:29" x14ac:dyDescent="0.15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spans="1:29" x14ac:dyDescent="0.15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spans="1:29" x14ac:dyDescent="0.15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spans="1:29" x14ac:dyDescent="0.15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spans="1:29" x14ac:dyDescent="0.15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spans="1:29" x14ac:dyDescent="0.15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spans="1:29" x14ac:dyDescent="0.15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spans="1:29" x14ac:dyDescent="0.15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spans="1:29" x14ac:dyDescent="0.15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spans="1:29" x14ac:dyDescent="0.15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spans="1:29" x14ac:dyDescent="0.15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spans="1:29" x14ac:dyDescent="0.15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spans="1:29" x14ac:dyDescent="0.15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spans="1:29" x14ac:dyDescent="0.15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spans="1:29" x14ac:dyDescent="0.15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spans="1:29" x14ac:dyDescent="0.15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spans="1:29" x14ac:dyDescent="0.15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spans="1:29" x14ac:dyDescent="0.15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spans="1:29" x14ac:dyDescent="0.15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spans="1:29" x14ac:dyDescent="0.15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spans="1:29" x14ac:dyDescent="0.15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spans="1:29" x14ac:dyDescent="0.15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spans="1:29" x14ac:dyDescent="0.15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spans="1:29" x14ac:dyDescent="0.15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spans="1:29" x14ac:dyDescent="0.15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spans="1:29" x14ac:dyDescent="0.15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spans="1:29" x14ac:dyDescent="0.15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spans="1:29" x14ac:dyDescent="0.15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spans="1:29" x14ac:dyDescent="0.15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spans="1:29" x14ac:dyDescent="0.15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spans="1:29" x14ac:dyDescent="0.15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spans="1:29" x14ac:dyDescent="0.15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spans="1:29" x14ac:dyDescent="0.15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spans="1:29" x14ac:dyDescent="0.15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spans="1:29" x14ac:dyDescent="0.15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spans="1:29" x14ac:dyDescent="0.15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spans="1:29" x14ac:dyDescent="0.15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spans="1:29" x14ac:dyDescent="0.15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spans="1:29" x14ac:dyDescent="0.15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spans="1:29" x14ac:dyDescent="0.15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spans="1:29" x14ac:dyDescent="0.15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spans="1:29" x14ac:dyDescent="0.15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spans="1:29" x14ac:dyDescent="0.15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spans="1:29" x14ac:dyDescent="0.15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spans="1:29" x14ac:dyDescent="0.15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spans="1:29" x14ac:dyDescent="0.15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spans="1:29" x14ac:dyDescent="0.15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spans="1:29" x14ac:dyDescent="0.15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spans="1:29" x14ac:dyDescent="0.15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spans="1:29" x14ac:dyDescent="0.15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spans="1:29" x14ac:dyDescent="0.15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spans="1:29" x14ac:dyDescent="0.15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spans="1:29" x14ac:dyDescent="0.15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spans="1:29" x14ac:dyDescent="0.15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spans="1:29" x14ac:dyDescent="0.15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spans="1:29" x14ac:dyDescent="0.15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spans="1:29" x14ac:dyDescent="0.15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spans="1:29" x14ac:dyDescent="0.15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spans="1:29" x14ac:dyDescent="0.15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spans="1:29" x14ac:dyDescent="0.15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spans="1:29" x14ac:dyDescent="0.15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spans="1:29" x14ac:dyDescent="0.15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spans="1:29" x14ac:dyDescent="0.15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spans="1:29" x14ac:dyDescent="0.15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spans="1:29" x14ac:dyDescent="0.15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spans="1:29" x14ac:dyDescent="0.15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spans="1:29" x14ac:dyDescent="0.15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spans="1:29" x14ac:dyDescent="0.15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spans="1:29" x14ac:dyDescent="0.15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spans="1:29" x14ac:dyDescent="0.15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spans="1:29" x14ac:dyDescent="0.15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spans="1:29" x14ac:dyDescent="0.15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spans="1:29" x14ac:dyDescent="0.15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spans="1:29" x14ac:dyDescent="0.15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spans="1:29" x14ac:dyDescent="0.15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spans="1:29" x14ac:dyDescent="0.15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spans="1:29" x14ac:dyDescent="0.15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spans="1:29" x14ac:dyDescent="0.15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spans="1:29" x14ac:dyDescent="0.15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spans="1:29" x14ac:dyDescent="0.15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spans="1:29" x14ac:dyDescent="0.15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spans="1:29" x14ac:dyDescent="0.15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spans="1:29" x14ac:dyDescent="0.15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spans="1:29" x14ac:dyDescent="0.15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spans="1:29" x14ac:dyDescent="0.15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spans="1:29" x14ac:dyDescent="0.15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spans="1:29" x14ac:dyDescent="0.15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spans="1:29" x14ac:dyDescent="0.15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spans="1:29" x14ac:dyDescent="0.15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spans="1:29" x14ac:dyDescent="0.15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spans="1:29" x14ac:dyDescent="0.15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spans="1:29" x14ac:dyDescent="0.15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spans="1:29" x14ac:dyDescent="0.15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spans="1:29" x14ac:dyDescent="0.15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spans="1:29" x14ac:dyDescent="0.15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spans="1:29" x14ac:dyDescent="0.15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spans="1:29" x14ac:dyDescent="0.15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spans="1:29" x14ac:dyDescent="0.15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spans="1:29" x14ac:dyDescent="0.15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spans="1:29" x14ac:dyDescent="0.15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spans="1:29" x14ac:dyDescent="0.15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spans="1:29" x14ac:dyDescent="0.15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spans="1:29" x14ac:dyDescent="0.15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spans="1:29" x14ac:dyDescent="0.15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spans="1:29" x14ac:dyDescent="0.15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spans="1:29" x14ac:dyDescent="0.15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spans="1:29" x14ac:dyDescent="0.15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spans="1:29" x14ac:dyDescent="0.15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spans="1:29" x14ac:dyDescent="0.15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spans="1:29" x14ac:dyDescent="0.15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spans="1:29" x14ac:dyDescent="0.15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spans="1:29" x14ac:dyDescent="0.15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spans="1:29" x14ac:dyDescent="0.15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spans="1:29" x14ac:dyDescent="0.15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spans="1:29" x14ac:dyDescent="0.15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spans="1:29" x14ac:dyDescent="0.15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spans="1:29" x14ac:dyDescent="0.15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spans="1:29" x14ac:dyDescent="0.15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spans="1:29" x14ac:dyDescent="0.15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spans="1:29" x14ac:dyDescent="0.15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spans="1:29" x14ac:dyDescent="0.15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spans="1:29" x14ac:dyDescent="0.15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spans="1:29" x14ac:dyDescent="0.15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spans="1:29" x14ac:dyDescent="0.15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spans="1:29" x14ac:dyDescent="0.15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spans="1:29" x14ac:dyDescent="0.15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spans="1:29" x14ac:dyDescent="0.15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spans="1:29" x14ac:dyDescent="0.15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spans="1:29" x14ac:dyDescent="0.15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spans="1:29" x14ac:dyDescent="0.15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spans="1:29" x14ac:dyDescent="0.15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spans="1:29" x14ac:dyDescent="0.15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spans="1:29" x14ac:dyDescent="0.15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spans="1:29" x14ac:dyDescent="0.15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spans="1:29" x14ac:dyDescent="0.15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spans="1:29" x14ac:dyDescent="0.15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spans="1:29" x14ac:dyDescent="0.15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spans="1:29" x14ac:dyDescent="0.15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spans="1:29" x14ac:dyDescent="0.15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spans="1:29" x14ac:dyDescent="0.15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spans="1:29" x14ac:dyDescent="0.15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spans="1:29" x14ac:dyDescent="0.15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spans="1:29" x14ac:dyDescent="0.15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spans="1:29" x14ac:dyDescent="0.15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spans="1:29" x14ac:dyDescent="0.15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spans="1:29" x14ac:dyDescent="0.15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spans="1:29" x14ac:dyDescent="0.15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spans="1:29" x14ac:dyDescent="0.15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spans="1:29" x14ac:dyDescent="0.15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spans="1:29" x14ac:dyDescent="0.15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spans="1:29" x14ac:dyDescent="0.15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spans="1:29" x14ac:dyDescent="0.15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spans="1:29" x14ac:dyDescent="0.15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spans="1:29" x14ac:dyDescent="0.15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spans="1:29" x14ac:dyDescent="0.15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spans="1:29" x14ac:dyDescent="0.15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spans="1:29" x14ac:dyDescent="0.15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spans="1:29" x14ac:dyDescent="0.15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spans="1:29" x14ac:dyDescent="0.15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spans="1:29" x14ac:dyDescent="0.15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spans="1:29" x14ac:dyDescent="0.15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spans="1:29" x14ac:dyDescent="0.15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spans="1:29" x14ac:dyDescent="0.15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spans="1:29" x14ac:dyDescent="0.15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spans="1:29" x14ac:dyDescent="0.15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spans="1:29" x14ac:dyDescent="0.15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spans="1:29" x14ac:dyDescent="0.15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spans="1:29" x14ac:dyDescent="0.15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spans="1:29" x14ac:dyDescent="0.15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spans="1:29" x14ac:dyDescent="0.15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spans="1:29" x14ac:dyDescent="0.15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spans="1:29" x14ac:dyDescent="0.15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spans="1:29" x14ac:dyDescent="0.15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spans="1:29" x14ac:dyDescent="0.15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spans="1:29" x14ac:dyDescent="0.15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spans="1:29" x14ac:dyDescent="0.15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spans="1:29" x14ac:dyDescent="0.15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spans="1:29" x14ac:dyDescent="0.15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spans="1:29" x14ac:dyDescent="0.15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spans="1:29" x14ac:dyDescent="0.15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spans="1:29" x14ac:dyDescent="0.15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spans="1:29" x14ac:dyDescent="0.15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spans="1:29" x14ac:dyDescent="0.15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spans="1:29" x14ac:dyDescent="0.15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spans="1:29" x14ac:dyDescent="0.15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spans="1:29" x14ac:dyDescent="0.15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spans="1:29" x14ac:dyDescent="0.15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spans="1:29" x14ac:dyDescent="0.15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spans="1:29" x14ac:dyDescent="0.15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spans="1:29" x14ac:dyDescent="0.15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spans="1:29" x14ac:dyDescent="0.15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spans="1:29" x14ac:dyDescent="0.15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spans="1:29" x14ac:dyDescent="0.15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spans="1:29" x14ac:dyDescent="0.15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spans="1:29" x14ac:dyDescent="0.15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spans="1:29" x14ac:dyDescent="0.15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spans="1:29" x14ac:dyDescent="0.15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spans="1:29" x14ac:dyDescent="0.15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spans="1:29" x14ac:dyDescent="0.15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spans="1:29" x14ac:dyDescent="0.15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spans="1:29" x14ac:dyDescent="0.15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spans="1:29" x14ac:dyDescent="0.15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spans="1:29" x14ac:dyDescent="0.15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spans="1:29" x14ac:dyDescent="0.15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spans="1:29" x14ac:dyDescent="0.15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spans="1:29" x14ac:dyDescent="0.15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spans="1:29" x14ac:dyDescent="0.15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spans="1:29" x14ac:dyDescent="0.15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spans="1:29" x14ac:dyDescent="0.15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spans="1:29" x14ac:dyDescent="0.15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spans="1:29" x14ac:dyDescent="0.15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spans="1:29" x14ac:dyDescent="0.15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spans="1:29" x14ac:dyDescent="0.15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spans="1:29" x14ac:dyDescent="0.15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spans="1:29" x14ac:dyDescent="0.15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spans="1:29" x14ac:dyDescent="0.15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spans="1:29" x14ac:dyDescent="0.15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spans="1:29" x14ac:dyDescent="0.15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spans="1:29" x14ac:dyDescent="0.15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spans="1:29" x14ac:dyDescent="0.15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spans="1:29" x14ac:dyDescent="0.15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spans="1:29" x14ac:dyDescent="0.15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spans="1:29" x14ac:dyDescent="0.15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spans="1:29" x14ac:dyDescent="0.15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spans="1:29" x14ac:dyDescent="0.15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spans="1:29" x14ac:dyDescent="0.15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spans="1:29" x14ac:dyDescent="0.15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spans="1:29" x14ac:dyDescent="0.15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spans="1:29" x14ac:dyDescent="0.15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spans="1:29" x14ac:dyDescent="0.15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spans="1:29" x14ac:dyDescent="0.15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spans="1:29" x14ac:dyDescent="0.15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spans="1:29" x14ac:dyDescent="0.15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spans="1:29" x14ac:dyDescent="0.15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spans="1:29" x14ac:dyDescent="0.15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spans="1:29" x14ac:dyDescent="0.15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spans="1:29" x14ac:dyDescent="0.15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spans="1:29" x14ac:dyDescent="0.15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spans="1:29" x14ac:dyDescent="0.15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spans="1:29" x14ac:dyDescent="0.15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spans="1:29" x14ac:dyDescent="0.15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spans="1:29" x14ac:dyDescent="0.15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spans="1:29" x14ac:dyDescent="0.15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spans="1:29" x14ac:dyDescent="0.15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spans="1:29" x14ac:dyDescent="0.15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spans="1:29" x14ac:dyDescent="0.15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spans="1:29" x14ac:dyDescent="0.15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spans="1:29" x14ac:dyDescent="0.15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spans="1:29" x14ac:dyDescent="0.15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spans="1:29" x14ac:dyDescent="0.15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spans="1:29" x14ac:dyDescent="0.15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spans="1:29" x14ac:dyDescent="0.15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spans="1:29" x14ac:dyDescent="0.15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spans="1:29" x14ac:dyDescent="0.15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spans="1:29" x14ac:dyDescent="0.15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spans="1:29" x14ac:dyDescent="0.15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spans="1:29" x14ac:dyDescent="0.15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spans="1:29" x14ac:dyDescent="0.15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spans="1:29" x14ac:dyDescent="0.15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spans="1:29" x14ac:dyDescent="0.15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spans="1:29" x14ac:dyDescent="0.15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spans="1:29" x14ac:dyDescent="0.15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spans="1:29" x14ac:dyDescent="0.15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spans="1:29" x14ac:dyDescent="0.15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spans="1:29" x14ac:dyDescent="0.15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spans="1:29" x14ac:dyDescent="0.15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spans="1:29" x14ac:dyDescent="0.15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spans="1:29" x14ac:dyDescent="0.15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spans="1:29" x14ac:dyDescent="0.15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spans="1:29" x14ac:dyDescent="0.15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spans="1:29" x14ac:dyDescent="0.15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spans="1:29" x14ac:dyDescent="0.15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spans="1:29" x14ac:dyDescent="0.15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spans="1:29" x14ac:dyDescent="0.15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spans="1:29" x14ac:dyDescent="0.15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spans="1:29" x14ac:dyDescent="0.15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spans="1:29" x14ac:dyDescent="0.15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spans="1:29" x14ac:dyDescent="0.15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spans="1:29" x14ac:dyDescent="0.15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spans="1:29" x14ac:dyDescent="0.15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spans="1:29" x14ac:dyDescent="0.15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spans="1:29" x14ac:dyDescent="0.15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spans="1:29" x14ac:dyDescent="0.15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spans="1:29" x14ac:dyDescent="0.15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spans="1:29" x14ac:dyDescent="0.15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spans="1:29" x14ac:dyDescent="0.15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spans="1:29" x14ac:dyDescent="0.15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spans="1:29" x14ac:dyDescent="0.15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spans="1:29" x14ac:dyDescent="0.15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spans="1:29" x14ac:dyDescent="0.15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spans="1:29" x14ac:dyDescent="0.15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spans="1:29" x14ac:dyDescent="0.15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spans="1:29" x14ac:dyDescent="0.15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spans="1:29" x14ac:dyDescent="0.15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spans="1:29" x14ac:dyDescent="0.15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spans="1:29" x14ac:dyDescent="0.15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spans="1:29" x14ac:dyDescent="0.15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spans="1:29" x14ac:dyDescent="0.15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spans="1:29" x14ac:dyDescent="0.15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spans="1:29" x14ac:dyDescent="0.15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spans="1:29" x14ac:dyDescent="0.15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spans="1:29" x14ac:dyDescent="0.15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spans="1:29" x14ac:dyDescent="0.15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spans="1:29" x14ac:dyDescent="0.15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spans="1:29" x14ac:dyDescent="0.15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spans="1:29" x14ac:dyDescent="0.15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spans="1:29" x14ac:dyDescent="0.15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spans="1:29" x14ac:dyDescent="0.15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spans="1:29" x14ac:dyDescent="0.15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spans="1:29" x14ac:dyDescent="0.15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spans="1:29" x14ac:dyDescent="0.15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spans="1:29" x14ac:dyDescent="0.15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spans="1:29" x14ac:dyDescent="0.15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spans="1:29" x14ac:dyDescent="0.15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spans="1:29" x14ac:dyDescent="0.15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spans="1:29" x14ac:dyDescent="0.15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spans="1:29" x14ac:dyDescent="0.15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spans="1:29" x14ac:dyDescent="0.15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spans="1:29" x14ac:dyDescent="0.15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spans="1:29" x14ac:dyDescent="0.15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spans="1:29" x14ac:dyDescent="0.15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spans="1:29" x14ac:dyDescent="0.15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spans="1:29" x14ac:dyDescent="0.15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spans="1:29" x14ac:dyDescent="0.15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spans="1:29" x14ac:dyDescent="0.15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spans="1:29" x14ac:dyDescent="0.15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spans="1:29" x14ac:dyDescent="0.15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spans="1:29" x14ac:dyDescent="0.15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spans="1:29" x14ac:dyDescent="0.15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spans="1:29" x14ac:dyDescent="0.15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spans="1:29" x14ac:dyDescent="0.15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spans="1:29" x14ac:dyDescent="0.15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spans="1:29" x14ac:dyDescent="0.15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spans="1:29" x14ac:dyDescent="0.15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spans="1:29" x14ac:dyDescent="0.15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spans="1:29" x14ac:dyDescent="0.15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spans="1:29" x14ac:dyDescent="0.15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spans="1:29" x14ac:dyDescent="0.15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phoneticPr fontId="6" type="noConversion"/>
  <conditionalFormatting sqref="A2:AC497">
    <cfRule type="expression" dxfId="7" priority="1">
      <formula>$A2="止损计划"</formula>
    </cfRule>
  </conditionalFormatting>
  <conditionalFormatting sqref="W2:W497">
    <cfRule type="expression" dxfId="6" priority="2">
      <formula>LEFT($W2,4)="触发止损"</formula>
    </cfRule>
  </conditionalFormatting>
  <conditionalFormatting sqref="AB2:AC497">
    <cfRule type="expression" dxfId="5" priority="3">
      <formula>OR(LEFT($AB2,2)="违规",ISNUMBER(SEARCH("无效",$AC2)))</formula>
    </cfRule>
  </conditionalFormatting>
  <dataValidations count="8">
    <dataValidation type="list" allowBlank="1" sqref="A2:A497" xr:uid="{00000000-0002-0000-0100-000000000000}">
      <formula1>"止损计划,每日跟踪"</formula1>
    </dataValidation>
    <dataValidation type="list" allowBlank="1" sqref="B2:B497" xr:uid="{00000000-0002-0000-0100-000001000000}">
      <formula1>_TradeIds</formula1>
    </dataValidation>
    <dataValidation type="whole" operator="greaterThanOrEqual" allowBlank="1" sqref="D2:D497" xr:uid="{00000000-0002-0000-0100-000002000000}">
      <formula1>1</formula1>
    </dataValidation>
    <dataValidation type="date" allowBlank="1" sqref="H2:H497" xr:uid="{00000000-0002-0000-0100-000003000000}">
      <formula1>DATE(2000,1,1)</formula1>
      <formula2>DATE(2100,12,31)</formula2>
    </dataValidation>
    <dataValidation type="list" allowBlank="1" sqref="L2:L497" xr:uid="{00000000-0002-0000-0100-000004000000}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 xr:uid="{00000000-0002-0000-0100-000005000000}">
      <formula1>0</formula1>
    </dataValidation>
    <dataValidation type="list" allowBlank="1" sqref="X2:X497" xr:uid="{00000000-0002-0000-0100-000006000000}">
      <formula1>"继续持有,执行卖出"</formula1>
    </dataValidation>
    <dataValidation type="decimal" operator="greaterThanOrEqual" allowBlank="1" sqref="AA2:AA49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2" activePane="bottomLeft" state="frozen"/>
      <selection pane="bottomLeft" activeCell="A2" sqref="A2 J6 I2:I7 J70:K70 J76:J77 I10:I92 A10:A93 I93:L93 A96:A101 I96:I102 A103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71</v>
      </c>
      <c r="D1" s="1" t="s">
        <v>72</v>
      </c>
      <c r="E1" s="1" t="s">
        <v>51</v>
      </c>
      <c r="F1" s="1" t="s">
        <v>73</v>
      </c>
      <c r="G1" s="1" t="s">
        <v>74</v>
      </c>
      <c r="H1" s="1" t="s">
        <v>75</v>
      </c>
      <c r="I1" s="1" t="s">
        <v>76</v>
      </c>
      <c r="J1" t="s">
        <v>31</v>
      </c>
      <c r="K1" t="s">
        <v>77</v>
      </c>
      <c r="L1" t="s">
        <v>78</v>
      </c>
    </row>
    <row r="2" spans="1:12" ht="27" customHeight="1" x14ac:dyDescent="0.15">
      <c r="A2" s="2"/>
      <c r="B2" s="2"/>
      <c r="C2" s="2"/>
      <c r="D2" s="2"/>
      <c r="E2" s="15"/>
      <c r="F2" s="2"/>
      <c r="G2" s="2"/>
      <c r="H2" s="2"/>
      <c r="I2" s="2"/>
    </row>
    <row r="3" spans="1:12" ht="40.5" customHeight="1" x14ac:dyDescent="0.15">
      <c r="A3" s="2"/>
      <c r="B3" s="2"/>
      <c r="C3" s="2"/>
      <c r="D3" s="2"/>
      <c r="E3" s="15"/>
      <c r="F3" s="2"/>
      <c r="G3" s="2"/>
      <c r="H3" s="2"/>
      <c r="I3" s="2"/>
    </row>
    <row r="4" spans="1:12" ht="27" customHeight="1" x14ac:dyDescent="0.15">
      <c r="A4" s="2"/>
      <c r="B4" s="2"/>
      <c r="C4" s="2"/>
      <c r="D4" s="2"/>
      <c r="E4" s="15"/>
      <c r="F4" s="2"/>
      <c r="G4" s="2"/>
      <c r="H4" s="2"/>
      <c r="I4" s="2"/>
    </row>
    <row r="5" spans="1:12" ht="27" customHeight="1" x14ac:dyDescent="0.15">
      <c r="A5" s="2"/>
      <c r="B5" s="2"/>
      <c r="C5" s="2"/>
      <c r="D5" s="2"/>
      <c r="E5" s="15"/>
      <c r="F5" s="2"/>
      <c r="G5" s="2"/>
      <c r="H5" s="2"/>
      <c r="I5" s="2"/>
    </row>
    <row r="6" spans="1:12" ht="27" customHeight="1" x14ac:dyDescent="0.15">
      <c r="A6" s="2"/>
      <c r="B6" s="2"/>
      <c r="C6" s="2"/>
      <c r="D6" s="2"/>
      <c r="E6" s="15"/>
      <c r="F6" s="2"/>
      <c r="G6" s="2"/>
      <c r="H6" s="2"/>
      <c r="I6" s="2"/>
    </row>
    <row r="7" spans="1:12" x14ac:dyDescent="0.15">
      <c r="A7" s="2"/>
      <c r="B7" s="2"/>
      <c r="C7" s="2"/>
      <c r="D7" s="2"/>
      <c r="E7" s="15"/>
      <c r="F7" s="2"/>
      <c r="G7" s="2"/>
      <c r="H7" s="2"/>
      <c r="I7" s="2"/>
    </row>
    <row r="8" spans="1:12" x14ac:dyDescent="0.15">
      <c r="A8" s="2"/>
      <c r="B8" s="2"/>
      <c r="C8" s="2"/>
      <c r="D8" s="2"/>
      <c r="E8" s="15"/>
      <c r="F8" s="2"/>
      <c r="G8" s="2"/>
      <c r="H8" s="2"/>
      <c r="I8" s="2"/>
    </row>
    <row r="9" spans="1:12" x14ac:dyDescent="0.15">
      <c r="A9" s="2"/>
      <c r="B9" s="2"/>
      <c r="C9" s="2"/>
      <c r="D9" s="2"/>
      <c r="E9" s="15"/>
      <c r="F9" s="2"/>
      <c r="G9" s="2"/>
      <c r="H9" s="2"/>
      <c r="I9" s="2"/>
    </row>
    <row r="10" spans="1:12" ht="27" customHeight="1" x14ac:dyDescent="0.15">
      <c r="A10" s="2"/>
      <c r="B10" s="2"/>
      <c r="C10" s="2"/>
      <c r="D10" s="2"/>
      <c r="E10" s="15"/>
      <c r="F10" s="2"/>
      <c r="G10" s="2"/>
      <c r="H10" s="2"/>
      <c r="I10" s="2"/>
    </row>
    <row r="11" spans="1:12" ht="27" customHeight="1" x14ac:dyDescent="0.15">
      <c r="A11" s="2"/>
      <c r="B11" s="2"/>
      <c r="C11" s="2"/>
      <c r="D11" s="2"/>
      <c r="E11" s="15"/>
      <c r="F11" s="2"/>
      <c r="G11" s="2"/>
      <c r="H11" s="2"/>
      <c r="I11" s="2"/>
    </row>
    <row r="12" spans="1:12" ht="27" customHeight="1" x14ac:dyDescent="0.15">
      <c r="A12" s="2"/>
      <c r="B12" s="2"/>
      <c r="C12" s="2"/>
      <c r="D12" s="2"/>
      <c r="E12" s="15"/>
      <c r="F12" s="2"/>
      <c r="G12" s="2"/>
      <c r="H12" s="2"/>
      <c r="I12" s="2"/>
    </row>
    <row r="13" spans="1:12" ht="27" customHeight="1" x14ac:dyDescent="0.15">
      <c r="A13" s="2"/>
      <c r="B13" s="2"/>
      <c r="C13" s="2"/>
      <c r="D13" s="2"/>
      <c r="E13" s="15"/>
      <c r="F13" s="2"/>
      <c r="G13" s="2"/>
      <c r="H13" s="2"/>
      <c r="I13" s="2"/>
    </row>
    <row r="14" spans="1:12" ht="27" customHeight="1" x14ac:dyDescent="0.15">
      <c r="A14" s="2"/>
      <c r="B14" s="2"/>
      <c r="C14" s="2"/>
      <c r="D14" s="2"/>
      <c r="E14" s="15"/>
      <c r="F14" s="2"/>
      <c r="G14" s="2"/>
      <c r="H14" s="2"/>
      <c r="I14" s="2"/>
    </row>
    <row r="15" spans="1:12" ht="27" customHeight="1" x14ac:dyDescent="0.15">
      <c r="A15" s="2"/>
      <c r="B15" s="2"/>
      <c r="C15" s="2"/>
      <c r="D15" s="2"/>
      <c r="E15" s="15"/>
      <c r="F15" s="2"/>
      <c r="G15" s="2"/>
      <c r="H15" s="2"/>
      <c r="I15" s="2"/>
    </row>
    <row r="16" spans="1:12" ht="40.5" customHeight="1" x14ac:dyDescent="0.15">
      <c r="A16" s="2"/>
      <c r="B16" s="2"/>
      <c r="C16" s="2"/>
      <c r="D16" s="2"/>
      <c r="E16" s="15"/>
      <c r="F16" s="2"/>
      <c r="G16" s="2"/>
      <c r="H16" s="2"/>
      <c r="I16" s="2"/>
    </row>
    <row r="17" spans="1:9" ht="27" customHeight="1" x14ac:dyDescent="0.15">
      <c r="A17" s="2"/>
      <c r="B17" s="2"/>
      <c r="C17" s="2"/>
      <c r="D17" s="2"/>
      <c r="E17" s="15"/>
      <c r="F17" s="2"/>
      <c r="G17" s="2"/>
      <c r="H17" s="2"/>
      <c r="I17" s="2"/>
    </row>
    <row r="18" spans="1:9" ht="27" customHeight="1" x14ac:dyDescent="0.15">
      <c r="A18" s="2"/>
      <c r="B18" s="2"/>
      <c r="C18" s="2"/>
      <c r="D18" s="2"/>
      <c r="E18" s="15"/>
      <c r="F18" s="2"/>
      <c r="G18" s="2"/>
      <c r="H18" s="2"/>
      <c r="I18" s="2"/>
    </row>
    <row r="19" spans="1:9" ht="27" customHeight="1" x14ac:dyDescent="0.15">
      <c r="A19" s="2"/>
      <c r="B19" s="2"/>
      <c r="C19" s="2"/>
      <c r="D19" s="2"/>
      <c r="E19" s="15"/>
      <c r="F19" s="2"/>
      <c r="G19" s="2"/>
      <c r="H19" s="2"/>
      <c r="I19" s="2"/>
    </row>
    <row r="20" spans="1:9" ht="27" customHeight="1" x14ac:dyDescent="0.15">
      <c r="A20" s="2"/>
      <c r="B20" s="2"/>
      <c r="C20" s="2"/>
      <c r="D20" s="2"/>
      <c r="E20" s="15"/>
      <c r="F20" s="2"/>
      <c r="G20" s="2"/>
      <c r="H20" s="2"/>
      <c r="I20" s="2"/>
    </row>
    <row r="21" spans="1:9" ht="27" customHeight="1" x14ac:dyDescent="0.15">
      <c r="A21" s="2"/>
      <c r="B21" s="2"/>
      <c r="C21" s="2"/>
      <c r="D21" s="2"/>
      <c r="E21" s="15"/>
      <c r="F21" s="2"/>
      <c r="G21" s="2"/>
      <c r="H21" s="2"/>
      <c r="I21" s="2"/>
    </row>
    <row r="22" spans="1:9" ht="27" customHeight="1" x14ac:dyDescent="0.15">
      <c r="A22" s="2"/>
      <c r="B22" s="2"/>
      <c r="C22" s="2"/>
      <c r="D22" s="2"/>
      <c r="E22" s="15"/>
      <c r="F22" s="2"/>
      <c r="G22" s="2"/>
      <c r="H22" s="2"/>
      <c r="I22" s="2"/>
    </row>
    <row r="23" spans="1:9" ht="40.5" customHeight="1" x14ac:dyDescent="0.15">
      <c r="A23" s="2"/>
      <c r="B23" s="2"/>
      <c r="C23" s="2"/>
      <c r="D23" s="2"/>
      <c r="E23" s="15"/>
      <c r="F23" s="2"/>
      <c r="G23" s="2"/>
      <c r="H23" s="2"/>
      <c r="I23" s="2"/>
    </row>
    <row r="24" spans="1:9" ht="27" customHeight="1" x14ac:dyDescent="0.15">
      <c r="A24" s="2"/>
      <c r="B24" s="2"/>
      <c r="C24" s="2"/>
      <c r="D24" s="2"/>
      <c r="E24" s="15"/>
      <c r="F24" s="2"/>
      <c r="G24" s="2"/>
      <c r="H24" s="2"/>
      <c r="I24" s="2"/>
    </row>
    <row r="25" spans="1:9" ht="27" customHeight="1" x14ac:dyDescent="0.15">
      <c r="A25" s="2"/>
      <c r="B25" s="2"/>
      <c r="C25" s="2"/>
      <c r="D25" s="2"/>
      <c r="E25" s="15"/>
      <c r="F25" s="2"/>
      <c r="G25" s="2"/>
      <c r="H25" s="2"/>
      <c r="I25" s="2"/>
    </row>
    <row r="26" spans="1:9" ht="40.5" customHeight="1" x14ac:dyDescent="0.15">
      <c r="A26" s="2"/>
      <c r="B26" s="2"/>
      <c r="C26" s="2"/>
      <c r="D26" s="2"/>
      <c r="E26" s="15"/>
      <c r="F26" s="2"/>
      <c r="G26" s="2"/>
      <c r="H26" s="2"/>
      <c r="I26" s="2"/>
    </row>
    <row r="27" spans="1:9" ht="27" customHeight="1" x14ac:dyDescent="0.15">
      <c r="A27" s="2"/>
      <c r="B27" s="2"/>
      <c r="C27" s="2"/>
      <c r="D27" s="2"/>
      <c r="E27" s="15"/>
      <c r="F27" s="2"/>
      <c r="G27" s="2"/>
      <c r="H27" s="2"/>
      <c r="I27" s="2"/>
    </row>
    <row r="28" spans="1:9" ht="27" customHeight="1" x14ac:dyDescent="0.15">
      <c r="A28" s="2"/>
      <c r="B28" s="2"/>
      <c r="C28" s="2"/>
      <c r="D28" s="2"/>
      <c r="E28" s="15"/>
      <c r="F28" s="2"/>
      <c r="G28" s="2"/>
      <c r="H28" s="2"/>
      <c r="I28" s="2"/>
    </row>
    <row r="29" spans="1:9" ht="27" customHeight="1" x14ac:dyDescent="0.15">
      <c r="A29" s="2"/>
      <c r="B29" s="2"/>
      <c r="C29" s="2"/>
      <c r="D29" s="2"/>
      <c r="E29" s="15"/>
      <c r="F29" s="2"/>
      <c r="G29" s="2"/>
      <c r="H29" s="2"/>
      <c r="I29" s="2"/>
    </row>
    <row r="30" spans="1:9" ht="27" customHeight="1" x14ac:dyDescent="0.15">
      <c r="A30" s="2"/>
      <c r="B30" s="2"/>
      <c r="C30" s="2"/>
      <c r="D30" s="2"/>
      <c r="E30" s="15"/>
      <c r="F30" s="2"/>
      <c r="G30" s="2"/>
      <c r="H30" s="2"/>
      <c r="I30" s="2"/>
    </row>
    <row r="31" spans="1:9" ht="27" customHeight="1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9" ht="27" customHeight="1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ht="27" customHeight="1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ht="27" customHeight="1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ht="40.5" customHeight="1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ht="27" customHeight="1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ht="27" customHeight="1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ht="27" customHeight="1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ht="27" customHeight="1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ht="27" customHeight="1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ht="27" customHeight="1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ht="27" customHeight="1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ht="27" customHeight="1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ht="27" customHeight="1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ht="27" customHeight="1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ht="27" customHeight="1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ht="27" customHeight="1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ht="27" customHeight="1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ht="27" customHeight="1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ht="27" customHeight="1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ht="27" customHeight="1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ht="27" customHeight="1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ht="27" customHeight="1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11" ht="27" customHeight="1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11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11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11" ht="27" customHeight="1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11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11" ht="40.5" customHeight="1" x14ac:dyDescent="0.15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spans="1:11" ht="54" customHeight="1" x14ac:dyDescent="0.15">
      <c r="A71" s="2"/>
      <c r="B71" s="2"/>
      <c r="C71" s="2"/>
      <c r="D71" s="2"/>
      <c r="E71" s="15"/>
      <c r="F71" s="2"/>
      <c r="G71" s="2"/>
      <c r="H71" s="2"/>
      <c r="I71" s="13"/>
    </row>
    <row r="72" spans="1:11" ht="54" customHeight="1" x14ac:dyDescent="0.15">
      <c r="A72" s="2"/>
      <c r="B72" s="2"/>
      <c r="C72" s="2"/>
      <c r="D72" s="2"/>
      <c r="E72" s="15"/>
      <c r="F72" s="2"/>
      <c r="G72" s="2"/>
      <c r="H72" s="2"/>
      <c r="I72" s="13"/>
    </row>
    <row r="73" spans="1:11" ht="67.5" customHeight="1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11" ht="27" customHeight="1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11" ht="94.5" customHeight="1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11" ht="40.5" customHeight="1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11" ht="27" customHeight="1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11" ht="67.5" customHeight="1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11" ht="67.5" customHeight="1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12" ht="54" customHeight="1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12" ht="67.5" customHeight="1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12" ht="27" customHeight="1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12" ht="67.5" customHeight="1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12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12" ht="27" customHeight="1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12" ht="54" customHeight="1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12" ht="81" customHeight="1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12" ht="94.5" customHeight="1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12" ht="121.5" customHeight="1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12" ht="67.5" customHeight="1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12" ht="108" customHeight="1" x14ac:dyDescent="0.15">
      <c r="A92" s="2"/>
      <c r="B92" s="2"/>
      <c r="C92" s="2"/>
      <c r="D92" s="2"/>
      <c r="E92" s="15"/>
      <c r="F92" s="2"/>
      <c r="G92" s="2"/>
      <c r="H92" s="2"/>
      <c r="I92" s="13"/>
    </row>
    <row r="93" spans="1:12" ht="243" customHeight="1" x14ac:dyDescent="0.15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12" ht="27" customHeight="1" x14ac:dyDescent="0.15">
      <c r="A96" s="2"/>
      <c r="B96" s="2"/>
      <c r="C96" s="2"/>
      <c r="D96" s="2"/>
      <c r="E96" s="15"/>
      <c r="F96" s="2"/>
      <c r="G96" s="2"/>
      <c r="H96" s="2"/>
      <c r="I96" s="13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13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13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13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13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5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5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5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5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5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5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5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5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5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5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5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5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5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5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5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5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5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5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5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5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5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5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5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5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5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5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5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5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5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5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5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5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5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5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5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5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5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5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5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5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5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5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5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5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5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5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5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5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5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5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5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5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5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5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5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5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5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5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5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5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5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5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5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5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5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5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5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5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5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5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5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5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5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5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5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5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5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5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5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5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5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5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5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5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5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5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5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5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5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5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5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5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5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5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5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5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5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5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5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5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5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5"/>
      <c r="F501" s="2"/>
      <c r="G501" s="2"/>
      <c r="H501" s="2"/>
      <c r="I501" s="2"/>
    </row>
  </sheetData>
  <phoneticPr fontId="6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79</v>
      </c>
      <c r="B1" s="3" t="s">
        <v>80</v>
      </c>
      <c r="C1" s="3" t="s">
        <v>81</v>
      </c>
    </row>
    <row r="2" spans="1:3" x14ac:dyDescent="0.15">
      <c r="A2" s="4" t="s">
        <v>82</v>
      </c>
      <c r="B2" s="8">
        <f>COUNT(单次交易!M2:M201)</f>
        <v>113</v>
      </c>
      <c r="C2" s="4" t="s">
        <v>83</v>
      </c>
    </row>
    <row r="3" spans="1:3" x14ac:dyDescent="0.15">
      <c r="A3" s="4" t="s">
        <v>84</v>
      </c>
      <c r="B3" s="8">
        <f>COUNTIF(单次交易!X2:X201,"&gt;0")</f>
        <v>56</v>
      </c>
      <c r="C3" s="4" t="s">
        <v>85</v>
      </c>
    </row>
    <row r="4" spans="1:3" x14ac:dyDescent="0.15">
      <c r="A4" s="4" t="s">
        <v>86</v>
      </c>
      <c r="B4" s="8">
        <f>COUNTIF(单次交易!X2:X201,"&lt;0")</f>
        <v>57</v>
      </c>
      <c r="C4" s="4" t="s">
        <v>87</v>
      </c>
    </row>
    <row r="5" spans="1:3" x14ac:dyDescent="0.15">
      <c r="A5" s="4" t="s">
        <v>88</v>
      </c>
      <c r="B5" s="8">
        <f>COUNTIFS(单次交易!M2:M201,"&lt;&gt;",单次交易!X2:X201,"=0")</f>
        <v>0</v>
      </c>
      <c r="C5" s="4" t="s">
        <v>89</v>
      </c>
    </row>
    <row r="6" spans="1:3" x14ac:dyDescent="0.15">
      <c r="A6" s="4" t="s">
        <v>90</v>
      </c>
      <c r="B6" s="7">
        <f>IFERROR(B3/(B3+B4),"")</f>
        <v>0.49557522123893805</v>
      </c>
      <c r="C6" s="4" t="s">
        <v>91</v>
      </c>
    </row>
    <row r="7" spans="1:3" x14ac:dyDescent="0.15">
      <c r="A7" s="4" t="s">
        <v>92</v>
      </c>
      <c r="B7" s="7">
        <f>IFERROR(B4/(B3+B4),"")</f>
        <v>0.50442477876106195</v>
      </c>
      <c r="C7" s="4" t="s">
        <v>93</v>
      </c>
    </row>
    <row r="8" spans="1:3" x14ac:dyDescent="0.15">
      <c r="A8" s="4" t="s">
        <v>94</v>
      </c>
      <c r="B8" s="7">
        <f>IFERROR(AVERAGEIF(单次交易!X2:X201,"&gt;0",单次交易!AE2:AE201),"")</f>
        <v>3.5522433341814805E-2</v>
      </c>
      <c r="C8" s="4" t="s">
        <v>95</v>
      </c>
    </row>
    <row r="9" spans="1:3" x14ac:dyDescent="0.15">
      <c r="A9" s="4" t="s">
        <v>96</v>
      </c>
      <c r="B9" s="7">
        <f>IFERROR(-AVERAGEIF(单次交易!X2:X201,"&lt;0",单次交易!AE2:AE201),"")</f>
        <v>1.7436465086299483E-2</v>
      </c>
      <c r="C9" s="4" t="s">
        <v>97</v>
      </c>
    </row>
    <row r="10" spans="1:3" x14ac:dyDescent="0.15">
      <c r="A10" s="4" t="s">
        <v>98</v>
      </c>
      <c r="B10" s="8">
        <f>SUMIF(单次交易!X2:X201,"&gt;0",单次交易!AA2:AA201)</f>
        <v>1053</v>
      </c>
      <c r="C10" s="4" t="s">
        <v>99</v>
      </c>
    </row>
    <row r="11" spans="1:3" x14ac:dyDescent="0.15">
      <c r="A11" s="4" t="s">
        <v>100</v>
      </c>
      <c r="B11" s="8">
        <f>SUMIF(单次交易!X2:X201,"&lt;0",单次交易!AA2:AA201)</f>
        <v>696</v>
      </c>
      <c r="C11" s="4" t="s">
        <v>99</v>
      </c>
    </row>
    <row r="12" spans="1:3" x14ac:dyDescent="0.15">
      <c r="A12" s="4" t="s">
        <v>101</v>
      </c>
      <c r="B12" s="5">
        <f>IFERROR(SUMPRODUCT(单次交易!AO2:AO201,单次交易!AP2:AP201)/COUNT(单次交易!AP2:AP201),"")</f>
        <v>38656.017699115044</v>
      </c>
      <c r="C12" s="4" t="s">
        <v>102</v>
      </c>
    </row>
    <row r="13" spans="1:3" x14ac:dyDescent="0.15">
      <c r="A13" s="4" t="s">
        <v>103</v>
      </c>
      <c r="B13" s="7">
        <f>IF(OR(B6="",B7="",B8="",B9=""),"",B6*B8-B7*B9)</f>
        <v>8.8086527187837028E-3</v>
      </c>
      <c r="C13" s="4" t="s">
        <v>104</v>
      </c>
    </row>
    <row r="14" spans="1:3" x14ac:dyDescent="0.15">
      <c r="A14" s="4" t="s">
        <v>105</v>
      </c>
      <c r="B14" s="7">
        <f>IF(COUNT(单次交易!AE2:AE201)=0,"",EXP(SUMPRODUCT(IFERROR(LN(1+单次交易!AE2:AE201),0)))-1)</f>
        <v>2.6973298186308003E-3</v>
      </c>
      <c r="C14" s="4" t="s">
        <v>106</v>
      </c>
    </row>
  </sheetData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A33" sqref="A3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79</v>
      </c>
      <c r="B1" s="9" t="s">
        <v>107</v>
      </c>
      <c r="C1" s="9" t="s">
        <v>108</v>
      </c>
    </row>
    <row r="2" spans="1:3" x14ac:dyDescent="0.15">
      <c r="A2" s="4" t="s">
        <v>109</v>
      </c>
      <c r="B2" s="10">
        <v>100000</v>
      </c>
      <c r="C2" s="4" t="s">
        <v>110</v>
      </c>
    </row>
    <row r="3" spans="1:3" x14ac:dyDescent="0.15">
      <c r="A3" s="4" t="s">
        <v>111</v>
      </c>
      <c r="B3" s="5">
        <f>IF(B2="","",B2+SUM(单次交易!X2:X201))</f>
        <v>241082.99999999994</v>
      </c>
      <c r="C3" s="4" t="s">
        <v>112</v>
      </c>
    </row>
    <row r="4" spans="1:3" x14ac:dyDescent="0.15">
      <c r="A4" s="4" t="s">
        <v>113</v>
      </c>
      <c r="B4" s="6">
        <v>0.02</v>
      </c>
      <c r="C4" s="4" t="s">
        <v>114</v>
      </c>
    </row>
    <row r="5" spans="1:3" x14ac:dyDescent="0.15">
      <c r="A5" s="4" t="s">
        <v>115</v>
      </c>
      <c r="B5" s="5">
        <f>IF(B3="","",B3*B4)</f>
        <v>4821.6599999999989</v>
      </c>
      <c r="C5" s="4" t="s">
        <v>116</v>
      </c>
    </row>
    <row r="6" spans="1:3" x14ac:dyDescent="0.15">
      <c r="A6" s="4" t="s">
        <v>117</v>
      </c>
      <c r="B6" s="6">
        <v>0.06</v>
      </c>
      <c r="C6" s="4" t="s">
        <v>118</v>
      </c>
    </row>
    <row r="7" spans="1:3" x14ac:dyDescent="0.15">
      <c r="A7" s="4" t="s">
        <v>119</v>
      </c>
      <c r="B7" s="5">
        <f>IF(B3="","",B3*B6)</f>
        <v>14464.979999999996</v>
      </c>
      <c r="C7" s="4" t="s">
        <v>120</v>
      </c>
    </row>
    <row r="8" spans="1:3" x14ac:dyDescent="0.15">
      <c r="A8" s="4" t="s">
        <v>121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122</v>
      </c>
    </row>
    <row r="9" spans="1:3" x14ac:dyDescent="0.15">
      <c r="A9" s="4" t="s">
        <v>123</v>
      </c>
      <c r="B9" s="5">
        <f>IFERROR(SUM(单次交易!AQ2:AQ201),0)</f>
        <v>0</v>
      </c>
      <c r="C9" s="4" t="s">
        <v>124</v>
      </c>
    </row>
    <row r="10" spans="1:3" x14ac:dyDescent="0.15">
      <c r="A10" s="4" t="s">
        <v>125</v>
      </c>
      <c r="B10" s="5">
        <f>IF(OR(B7="",B9=""),"",B7-B9)</f>
        <v>14464.979999999996</v>
      </c>
      <c r="C10" s="4" t="s">
        <v>126</v>
      </c>
    </row>
    <row r="11" spans="1:3" x14ac:dyDescent="0.15">
      <c r="A11" s="4" t="s">
        <v>127</v>
      </c>
      <c r="B11" s="7">
        <f>IF(OR(B2="",B3="",B2&lt;=0),"",B3/B2-1)</f>
        <v>1.4108299999999994</v>
      </c>
      <c r="C11" s="4" t="s">
        <v>128</v>
      </c>
    </row>
    <row r="12" spans="1:3" x14ac:dyDescent="0.15">
      <c r="A12" s="4"/>
      <c r="B12" s="4"/>
      <c r="C12" s="4"/>
    </row>
    <row r="13" spans="1:3" x14ac:dyDescent="0.15">
      <c r="A13" s="4" t="s">
        <v>129</v>
      </c>
      <c r="B13" s="6">
        <v>0.06</v>
      </c>
      <c r="C13" s="4" t="s">
        <v>130</v>
      </c>
    </row>
    <row r="14" spans="1:3" x14ac:dyDescent="0.15">
      <c r="A14" s="4" t="s">
        <v>131</v>
      </c>
      <c r="B14" s="11">
        <f>IFERROR(LOOKUP(2,1/((单次交易!$M$2:$M$201&lt;&gt;"")*(单次交易!$X$2:$X$201&gt;0)),ROW(单次交易!$X$2:$X$201)-1),0)</f>
        <v>113</v>
      </c>
      <c r="C14" s="4" t="s">
        <v>132</v>
      </c>
    </row>
    <row r="15" spans="1:3" x14ac:dyDescent="0.15">
      <c r="A15" s="4" t="s">
        <v>133</v>
      </c>
      <c r="B15" s="11">
        <f>IFERROR(LOOKUP(2,1/(单次交易!$M$2:$M$201&lt;&gt;""),ROW(单次交易!$M$2:$M$201)-1),0)</f>
        <v>113</v>
      </c>
      <c r="C15" s="4" t="s">
        <v>134</v>
      </c>
    </row>
    <row r="16" spans="1:3" x14ac:dyDescent="0.15">
      <c r="A16" s="4" t="s">
        <v>135</v>
      </c>
      <c r="B16" s="12">
        <v>112</v>
      </c>
      <c r="C16" s="4" t="s">
        <v>136</v>
      </c>
    </row>
    <row r="17" spans="1:3" ht="27" x14ac:dyDescent="0.15">
      <c r="A17" s="4" t="s">
        <v>137</v>
      </c>
      <c r="B17" s="13" t="s">
        <v>138</v>
      </c>
      <c r="C17" s="14" t="s">
        <v>139</v>
      </c>
    </row>
    <row r="18" spans="1:3" x14ac:dyDescent="0.15">
      <c r="A18" s="4" t="s">
        <v>140</v>
      </c>
      <c r="B18" s="11">
        <f>MAX(B14,IF(AND(ISNUMBER(B16),B16&gt;=1,B16&lt;=B15,B17&lt;&gt;""),B16,0))</f>
        <v>113</v>
      </c>
      <c r="C18" s="4" t="s">
        <v>141</v>
      </c>
    </row>
    <row r="19" spans="1:3" x14ac:dyDescent="0.15">
      <c r="A19" s="4" t="s">
        <v>142</v>
      </c>
      <c r="B19" s="5">
        <f>IF(B2="","",IF(B18=0,B2,B2+SUM(单次交易!$X$2:INDEX(单次交易!$X:$X,B18+1))))</f>
        <v>241082.99999999994</v>
      </c>
      <c r="C19" s="4" t="s">
        <v>143</v>
      </c>
    </row>
    <row r="20" spans="1:3" x14ac:dyDescent="0.15">
      <c r="A20" s="4" t="s">
        <v>144</v>
      </c>
      <c r="B20" s="5">
        <f>IF(B18&gt;=B15,0,-SUMPRODUCT((ROW(单次交易!$X$2:$X$201)-1&gt;B18)*(单次交易!$M$2:$M$201&lt;&gt;"")*(IFERROR(单次交易!$X$2:$X$201,0)&lt;0)*IFERROR(单次交易!$X$2:$X$201,0)))</f>
        <v>0</v>
      </c>
      <c r="C20" s="4" t="s">
        <v>145</v>
      </c>
    </row>
    <row r="21" spans="1:3" x14ac:dyDescent="0.15">
      <c r="A21" s="4" t="s">
        <v>146</v>
      </c>
      <c r="B21" s="7">
        <f>IF(OR(B19="",B19&lt;=0),"",B20/B19)</f>
        <v>0</v>
      </c>
      <c r="C21" s="4" t="s">
        <v>147</v>
      </c>
    </row>
    <row r="22" spans="1:3" x14ac:dyDescent="0.15">
      <c r="A22" s="4" t="s">
        <v>148</v>
      </c>
      <c r="B22" s="7">
        <f>IF(OR(B13="",B13&lt;=0,B21=""),"",B21/B13)</f>
        <v>0</v>
      </c>
      <c r="C22" s="4" t="s">
        <v>149</v>
      </c>
    </row>
    <row r="23" spans="1:3" x14ac:dyDescent="0.15">
      <c r="A23" s="4" t="s">
        <v>150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正常</v>
      </c>
      <c r="C23" s="4" t="s">
        <v>151</v>
      </c>
    </row>
  </sheetData>
  <phoneticPr fontId="6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79</v>
      </c>
      <c r="B1" s="3" t="s">
        <v>107</v>
      </c>
      <c r="C1" s="3" t="s">
        <v>81</v>
      </c>
    </row>
    <row r="2" spans="1:3" x14ac:dyDescent="0.15">
      <c r="A2" s="4" t="s">
        <v>152</v>
      </c>
      <c r="B2" s="5">
        <f>账户数据!B3</f>
        <v>241082.99999999994</v>
      </c>
      <c r="C2" s="4" t="s">
        <v>153</v>
      </c>
    </row>
    <row r="3" spans="1:3" x14ac:dyDescent="0.15">
      <c r="A3" s="4" t="s">
        <v>154</v>
      </c>
      <c r="B3" s="6">
        <v>0.1</v>
      </c>
      <c r="C3" s="4" t="s">
        <v>155</v>
      </c>
    </row>
    <row r="4" spans="1:3" x14ac:dyDescent="0.15">
      <c r="A4" s="4" t="s">
        <v>156</v>
      </c>
      <c r="B4" s="5">
        <f>IF(OR(B2="",B3=""),"",B2*B3)</f>
        <v>24108.299999999996</v>
      </c>
      <c r="C4" s="4" t="s">
        <v>157</v>
      </c>
    </row>
    <row r="5" spans="1:3" x14ac:dyDescent="0.15">
      <c r="A5" s="4" t="s">
        <v>101</v>
      </c>
      <c r="B5" s="5">
        <f>多次统计数据!B12</f>
        <v>38656.017699115044</v>
      </c>
      <c r="C5" s="4" t="s">
        <v>158</v>
      </c>
    </row>
    <row r="6" spans="1:3" x14ac:dyDescent="0.15">
      <c r="A6" s="4" t="s">
        <v>159</v>
      </c>
      <c r="B6" s="7">
        <f>多次统计数据!B13</f>
        <v>8.8086527187837028E-3</v>
      </c>
      <c r="C6" s="4" t="s">
        <v>160</v>
      </c>
    </row>
    <row r="7" spans="1:3" x14ac:dyDescent="0.15">
      <c r="A7" s="4" t="s">
        <v>161</v>
      </c>
      <c r="B7" s="8">
        <f>IF(OR(B3="",B6="",B3&lt;=0,B6&lt;=0),"暂不可计算",ROUNDUP(LN(1+B3)/LN(1+B6),0))</f>
        <v>11</v>
      </c>
      <c r="C7" s="4" t="s">
        <v>162</v>
      </c>
    </row>
  </sheetData>
  <phoneticPr fontId="6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163</v>
      </c>
      <c r="B1" s="1" t="s">
        <v>164</v>
      </c>
      <c r="C1" s="1" t="s">
        <v>165</v>
      </c>
    </row>
    <row r="2" spans="1:3" x14ac:dyDescent="0.15">
      <c r="A2" s="2" t="s">
        <v>166</v>
      </c>
      <c r="B2" s="2" t="s">
        <v>167</v>
      </c>
      <c r="C2" s="2" t="s">
        <v>168</v>
      </c>
    </row>
    <row r="3" spans="1:3" x14ac:dyDescent="0.15">
      <c r="A3" s="2" t="s">
        <v>169</v>
      </c>
      <c r="B3" s="2" t="s">
        <v>170</v>
      </c>
      <c r="C3" s="2" t="s">
        <v>171</v>
      </c>
    </row>
    <row r="4" spans="1:3" x14ac:dyDescent="0.15">
      <c r="A4" s="2" t="s">
        <v>172</v>
      </c>
      <c r="B4" s="2" t="s">
        <v>173</v>
      </c>
      <c r="C4" s="2" t="s">
        <v>174</v>
      </c>
    </row>
    <row r="5" spans="1:3" x14ac:dyDescent="0.15">
      <c r="A5" s="2" t="s">
        <v>175</v>
      </c>
      <c r="B5" s="2" t="s">
        <v>170</v>
      </c>
      <c r="C5" s="2" t="s">
        <v>176</v>
      </c>
    </row>
    <row r="6" spans="1:3" x14ac:dyDescent="0.15">
      <c r="A6" s="2" t="s">
        <v>53</v>
      </c>
      <c r="B6" s="2" t="s">
        <v>177</v>
      </c>
      <c r="C6" s="2" t="s">
        <v>178</v>
      </c>
    </row>
    <row r="7" spans="1:3" x14ac:dyDescent="0.15">
      <c r="A7" s="2" t="s">
        <v>179</v>
      </c>
      <c r="B7" s="2" t="s">
        <v>173</v>
      </c>
      <c r="C7" s="2" t="s">
        <v>180</v>
      </c>
    </row>
    <row r="8" spans="1:3" x14ac:dyDescent="0.15">
      <c r="A8" s="2" t="s">
        <v>181</v>
      </c>
      <c r="B8" s="2" t="s">
        <v>173</v>
      </c>
      <c r="C8" s="2" t="s">
        <v>182</v>
      </c>
    </row>
    <row r="9" spans="1:3" x14ac:dyDescent="0.15">
      <c r="A9" s="2" t="s">
        <v>183</v>
      </c>
      <c r="B9" s="2" t="s">
        <v>184</v>
      </c>
      <c r="C9" s="2" t="s">
        <v>185</v>
      </c>
    </row>
    <row r="10" spans="1:3" x14ac:dyDescent="0.15">
      <c r="A10" s="2" t="s">
        <v>186</v>
      </c>
      <c r="B10" s="2" t="s">
        <v>187</v>
      </c>
      <c r="C10" s="2" t="s">
        <v>188</v>
      </c>
    </row>
    <row r="11" spans="1:3" x14ac:dyDescent="0.15">
      <c r="A11" s="2" t="s">
        <v>189</v>
      </c>
      <c r="B11" s="2" t="s">
        <v>187</v>
      </c>
      <c r="C11" s="2" t="s">
        <v>190</v>
      </c>
    </row>
    <row r="12" spans="1:3" x14ac:dyDescent="0.15">
      <c r="A12" s="2" t="s">
        <v>191</v>
      </c>
      <c r="B12" s="2" t="s">
        <v>167</v>
      </c>
      <c r="C12" s="2" t="s">
        <v>192</v>
      </c>
    </row>
    <row r="13" spans="1:3" x14ac:dyDescent="0.15">
      <c r="A13" s="2" t="s">
        <v>193</v>
      </c>
      <c r="B13" s="2" t="s">
        <v>167</v>
      </c>
      <c r="C13" s="2" t="s">
        <v>194</v>
      </c>
    </row>
    <row r="14" spans="1:3" x14ac:dyDescent="0.15">
      <c r="A14" s="2" t="s">
        <v>195</v>
      </c>
      <c r="B14" s="2" t="s">
        <v>170</v>
      </c>
      <c r="C14" s="2" t="s">
        <v>196</v>
      </c>
    </row>
    <row r="15" spans="1:3" x14ac:dyDescent="0.15">
      <c r="A15" s="2" t="s">
        <v>197</v>
      </c>
      <c r="B15" s="2" t="s">
        <v>170</v>
      </c>
      <c r="C15" s="2" t="s">
        <v>198</v>
      </c>
    </row>
    <row r="16" spans="1:3" x14ac:dyDescent="0.15">
      <c r="A16" s="2" t="s">
        <v>199</v>
      </c>
      <c r="B16" s="2" t="s">
        <v>177</v>
      </c>
      <c r="C16" s="2" t="s">
        <v>200</v>
      </c>
    </row>
    <row r="17" spans="1:3" x14ac:dyDescent="0.15">
      <c r="A17" s="2" t="s">
        <v>201</v>
      </c>
      <c r="B17" s="2" t="s">
        <v>173</v>
      </c>
      <c r="C17" s="2" t="s">
        <v>202</v>
      </c>
    </row>
    <row r="18" spans="1:3" x14ac:dyDescent="0.15">
      <c r="A18" s="2" t="s">
        <v>203</v>
      </c>
      <c r="B18" s="2" t="s">
        <v>184</v>
      </c>
      <c r="C18" s="2" t="s">
        <v>204</v>
      </c>
    </row>
    <row r="19" spans="1:3" x14ac:dyDescent="0.15">
      <c r="A19" s="2" t="s">
        <v>205</v>
      </c>
      <c r="B19" s="2" t="s">
        <v>177</v>
      </c>
      <c r="C19" s="2" t="s">
        <v>206</v>
      </c>
    </row>
    <row r="20" spans="1:3" x14ac:dyDescent="0.15">
      <c r="A20" s="2" t="s">
        <v>207</v>
      </c>
      <c r="B20" s="2" t="s">
        <v>208</v>
      </c>
      <c r="C20" s="2" t="s">
        <v>209</v>
      </c>
    </row>
    <row r="21" spans="1:3" x14ac:dyDescent="0.15">
      <c r="A21" s="2" t="s">
        <v>210</v>
      </c>
      <c r="B21" s="2" t="s">
        <v>211</v>
      </c>
      <c r="C21" s="2" t="s">
        <v>212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6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2026-07-26T00:10:00Z</dcterms:created>
  <dcterms:modified xsi:type="dcterms:W3CDTF">2026-09-08T01:26:21Z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