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个人相关\学习\股票\learn_socks\"/>
    </mc:Choice>
  </mc:AlternateContent>
  <xr:revisionPtr revIDLastSave="0" documentId="13_ncr:1_{43ACDB87-F855-4F75-B303-F7123E4C032D}" xr6:coauthVersionLast="47" xr6:coauthVersionMax="47" xr10:uidLastSave="{00000000-0000-0000-0000-000000000000}"/>
  <bookViews>
    <workbookView xWindow="-120" yWindow="-120" windowWidth="29040" windowHeight="8460" xr2:uid="{00000000-000D-0000-FFFF-FFFF00000000}"/>
  </bookViews>
  <sheets>
    <sheet name="单次交易" sheetId="1" r:id="rId1"/>
    <sheet name="加仓管理" sheetId="2" r:id="rId2"/>
    <sheet name="多次统计数据" sheetId="3" r:id="rId3"/>
    <sheet name="账户数据" sheetId="4" r:id="rId4"/>
    <sheet name="目标收益" sheetId="5" r:id="rId5"/>
  </sheets>
  <definedNames>
    <definedName name="_AccountRiskLimit">账户数据!$B$7</definedName>
    <definedName name="_LockStatus">账户数据!$B$23</definedName>
    <definedName name="_TradeIds">单次交易!$A$2:$A$201</definedName>
  </definedNames>
  <calcPr calcId="181029"/>
</workbook>
</file>

<file path=xl/calcChain.xml><?xml version="1.0" encoding="utf-8"?>
<calcChain xmlns="http://schemas.openxmlformats.org/spreadsheetml/2006/main">
  <c r="B15" i="4" l="1"/>
  <c r="B2" i="3"/>
  <c r="R1001" i="2"/>
  <c r="L1001" i="2"/>
  <c r="M1001" i="2" s="1"/>
  <c r="J1001" i="2"/>
  <c r="I1001" i="2"/>
  <c r="O1001" i="2" s="1"/>
  <c r="H1001" i="2"/>
  <c r="R1000" i="2"/>
  <c r="L1000" i="2"/>
  <c r="J1000" i="2"/>
  <c r="I1000" i="2"/>
  <c r="O1000" i="2" s="1"/>
  <c r="H1000" i="2"/>
  <c r="R999" i="2"/>
  <c r="L999" i="2"/>
  <c r="J999" i="2"/>
  <c r="I999" i="2"/>
  <c r="O999" i="2" s="1"/>
  <c r="H999" i="2"/>
  <c r="R998" i="2"/>
  <c r="L998" i="2"/>
  <c r="J998" i="2"/>
  <c r="I998" i="2"/>
  <c r="O998" i="2" s="1"/>
  <c r="H998" i="2"/>
  <c r="R997" i="2"/>
  <c r="L997" i="2"/>
  <c r="M997" i="2" s="1"/>
  <c r="N997" i="2" s="1"/>
  <c r="J997" i="2"/>
  <c r="I997" i="2"/>
  <c r="O997" i="2" s="1"/>
  <c r="H997" i="2"/>
  <c r="R996" i="2"/>
  <c r="L996" i="2"/>
  <c r="M996" i="2" s="1"/>
  <c r="J996" i="2"/>
  <c r="I996" i="2"/>
  <c r="O996" i="2" s="1"/>
  <c r="P996" i="2" s="1"/>
  <c r="H996" i="2"/>
  <c r="R995" i="2"/>
  <c r="L995" i="2"/>
  <c r="J995" i="2"/>
  <c r="I995" i="2"/>
  <c r="O995" i="2" s="1"/>
  <c r="H995" i="2"/>
  <c r="R994" i="2"/>
  <c r="L994" i="2"/>
  <c r="J994" i="2"/>
  <c r="I994" i="2"/>
  <c r="O994" i="2" s="1"/>
  <c r="H994" i="2"/>
  <c r="R993" i="2"/>
  <c r="L993" i="2"/>
  <c r="M993" i="2" s="1"/>
  <c r="N993" i="2" s="1"/>
  <c r="J993" i="2"/>
  <c r="I993" i="2"/>
  <c r="O993" i="2" s="1"/>
  <c r="Q993" i="2" s="1"/>
  <c r="H993" i="2"/>
  <c r="R992" i="2"/>
  <c r="L992" i="2"/>
  <c r="J992" i="2"/>
  <c r="I992" i="2"/>
  <c r="O992" i="2" s="1"/>
  <c r="H992" i="2"/>
  <c r="R991" i="2"/>
  <c r="L991" i="2"/>
  <c r="J991" i="2"/>
  <c r="I991" i="2"/>
  <c r="O991" i="2" s="1"/>
  <c r="H991" i="2"/>
  <c r="R990" i="2"/>
  <c r="L990" i="2"/>
  <c r="J990" i="2"/>
  <c r="I990" i="2"/>
  <c r="O990" i="2" s="1"/>
  <c r="H990" i="2"/>
  <c r="R989" i="2"/>
  <c r="L989" i="2"/>
  <c r="J989" i="2"/>
  <c r="I989" i="2"/>
  <c r="O989" i="2" s="1"/>
  <c r="H989" i="2"/>
  <c r="R988" i="2"/>
  <c r="L988" i="2"/>
  <c r="J988" i="2"/>
  <c r="I988" i="2"/>
  <c r="O988" i="2" s="1"/>
  <c r="H988" i="2"/>
  <c r="R987" i="2"/>
  <c r="L987" i="2"/>
  <c r="J987" i="2"/>
  <c r="I987" i="2"/>
  <c r="O987" i="2" s="1"/>
  <c r="H987" i="2"/>
  <c r="R986" i="2"/>
  <c r="L986" i="2"/>
  <c r="J986" i="2"/>
  <c r="I986" i="2"/>
  <c r="O986" i="2" s="1"/>
  <c r="H986" i="2"/>
  <c r="R985" i="2"/>
  <c r="L985" i="2"/>
  <c r="J985" i="2"/>
  <c r="I985" i="2"/>
  <c r="O985" i="2" s="1"/>
  <c r="H985" i="2"/>
  <c r="R984" i="2"/>
  <c r="L984" i="2"/>
  <c r="J984" i="2"/>
  <c r="I984" i="2"/>
  <c r="H984" i="2"/>
  <c r="R983" i="2"/>
  <c r="L983" i="2"/>
  <c r="J983" i="2"/>
  <c r="I983" i="2"/>
  <c r="O983" i="2" s="1"/>
  <c r="H983" i="2"/>
  <c r="R982" i="2"/>
  <c r="L982" i="2"/>
  <c r="M982" i="2" s="1"/>
  <c r="N982" i="2" s="1"/>
  <c r="J982" i="2"/>
  <c r="I982" i="2"/>
  <c r="O982" i="2" s="1"/>
  <c r="Q982" i="2" s="1"/>
  <c r="H982" i="2"/>
  <c r="R981" i="2"/>
  <c r="L981" i="2"/>
  <c r="J981" i="2"/>
  <c r="I981" i="2"/>
  <c r="O981" i="2" s="1"/>
  <c r="H981" i="2"/>
  <c r="R980" i="2"/>
  <c r="L980" i="2"/>
  <c r="J980" i="2"/>
  <c r="I980" i="2"/>
  <c r="O980" i="2" s="1"/>
  <c r="H980" i="2"/>
  <c r="R979" i="2"/>
  <c r="L979" i="2"/>
  <c r="J979" i="2"/>
  <c r="I979" i="2"/>
  <c r="O979" i="2" s="1"/>
  <c r="H979" i="2"/>
  <c r="R978" i="2"/>
  <c r="L978" i="2"/>
  <c r="M978" i="2" s="1"/>
  <c r="N978" i="2" s="1"/>
  <c r="J978" i="2"/>
  <c r="I978" i="2"/>
  <c r="O978" i="2" s="1"/>
  <c r="H978" i="2"/>
  <c r="R977" i="2"/>
  <c r="L977" i="2"/>
  <c r="M977" i="2" s="1"/>
  <c r="N977" i="2" s="1"/>
  <c r="J977" i="2"/>
  <c r="I977" i="2"/>
  <c r="O977" i="2" s="1"/>
  <c r="H977" i="2"/>
  <c r="R976" i="2"/>
  <c r="L976" i="2"/>
  <c r="M976" i="2" s="1"/>
  <c r="N976" i="2" s="1"/>
  <c r="J976" i="2"/>
  <c r="I976" i="2"/>
  <c r="H976" i="2"/>
  <c r="R975" i="2"/>
  <c r="L975" i="2"/>
  <c r="M975" i="2" s="1"/>
  <c r="N975" i="2" s="1"/>
  <c r="J975" i="2"/>
  <c r="I975" i="2"/>
  <c r="O975" i="2" s="1"/>
  <c r="H975" i="2"/>
  <c r="R974" i="2"/>
  <c r="L974" i="2"/>
  <c r="M974" i="2" s="1"/>
  <c r="N974" i="2" s="1"/>
  <c r="J974" i="2"/>
  <c r="I974" i="2"/>
  <c r="H974" i="2"/>
  <c r="R973" i="2"/>
  <c r="L973" i="2"/>
  <c r="J973" i="2"/>
  <c r="I973" i="2"/>
  <c r="O973" i="2" s="1"/>
  <c r="H973" i="2"/>
  <c r="R972" i="2"/>
  <c r="L972" i="2"/>
  <c r="J972" i="2"/>
  <c r="I972" i="2"/>
  <c r="O972" i="2" s="1"/>
  <c r="H972" i="2"/>
  <c r="R971" i="2"/>
  <c r="L971" i="2"/>
  <c r="J971" i="2"/>
  <c r="I971" i="2"/>
  <c r="O971" i="2" s="1"/>
  <c r="Q971" i="2" s="1"/>
  <c r="H971" i="2"/>
  <c r="R970" i="2"/>
  <c r="L970" i="2"/>
  <c r="M970" i="2" s="1"/>
  <c r="N970" i="2" s="1"/>
  <c r="J970" i="2"/>
  <c r="I970" i="2"/>
  <c r="O970" i="2" s="1"/>
  <c r="H970" i="2"/>
  <c r="R969" i="2"/>
  <c r="L969" i="2"/>
  <c r="J969" i="2"/>
  <c r="I969" i="2"/>
  <c r="O969" i="2" s="1"/>
  <c r="H969" i="2"/>
  <c r="R968" i="2"/>
  <c r="L968" i="2"/>
  <c r="J968" i="2"/>
  <c r="I968" i="2"/>
  <c r="O968" i="2" s="1"/>
  <c r="Q968" i="2" s="1"/>
  <c r="H968" i="2"/>
  <c r="R967" i="2"/>
  <c r="L967" i="2"/>
  <c r="J967" i="2"/>
  <c r="I967" i="2"/>
  <c r="O967" i="2" s="1"/>
  <c r="H967" i="2"/>
  <c r="R966" i="2"/>
  <c r="L966" i="2"/>
  <c r="M966" i="2" s="1"/>
  <c r="N966" i="2" s="1"/>
  <c r="J966" i="2"/>
  <c r="I966" i="2"/>
  <c r="H966" i="2"/>
  <c r="R965" i="2"/>
  <c r="L965" i="2"/>
  <c r="J965" i="2"/>
  <c r="I965" i="2"/>
  <c r="O965" i="2" s="1"/>
  <c r="H965" i="2"/>
  <c r="R964" i="2"/>
  <c r="L964" i="2"/>
  <c r="M964" i="2" s="1"/>
  <c r="J964" i="2"/>
  <c r="I964" i="2"/>
  <c r="O964" i="2" s="1"/>
  <c r="Q964" i="2" s="1"/>
  <c r="H964" i="2"/>
  <c r="R963" i="2"/>
  <c r="L963" i="2"/>
  <c r="J963" i="2"/>
  <c r="I963" i="2"/>
  <c r="O963" i="2" s="1"/>
  <c r="H963" i="2"/>
  <c r="R962" i="2"/>
  <c r="L962" i="2"/>
  <c r="M962" i="2" s="1"/>
  <c r="N962" i="2" s="1"/>
  <c r="J962" i="2"/>
  <c r="I962" i="2"/>
  <c r="O962" i="2" s="1"/>
  <c r="Q962" i="2" s="1"/>
  <c r="H962" i="2"/>
  <c r="R961" i="2"/>
  <c r="L961" i="2"/>
  <c r="J961" i="2"/>
  <c r="I961" i="2"/>
  <c r="O961" i="2" s="1"/>
  <c r="H961" i="2"/>
  <c r="R960" i="2"/>
  <c r="L960" i="2"/>
  <c r="J960" i="2"/>
  <c r="I960" i="2"/>
  <c r="O960" i="2" s="1"/>
  <c r="Q960" i="2" s="1"/>
  <c r="H960" i="2"/>
  <c r="R959" i="2"/>
  <c r="L959" i="2"/>
  <c r="J959" i="2"/>
  <c r="I959" i="2"/>
  <c r="H959" i="2"/>
  <c r="R958" i="2"/>
  <c r="L958" i="2"/>
  <c r="M958" i="2" s="1"/>
  <c r="N958" i="2" s="1"/>
  <c r="J958" i="2"/>
  <c r="I958" i="2"/>
  <c r="O958" i="2" s="1"/>
  <c r="H958" i="2"/>
  <c r="R957" i="2"/>
  <c r="L957" i="2"/>
  <c r="M957" i="2" s="1"/>
  <c r="N957" i="2" s="1"/>
  <c r="J957" i="2"/>
  <c r="I957" i="2"/>
  <c r="O957" i="2" s="1"/>
  <c r="H957" i="2"/>
  <c r="R956" i="2"/>
  <c r="L956" i="2"/>
  <c r="J956" i="2"/>
  <c r="I956" i="2"/>
  <c r="O956" i="2" s="1"/>
  <c r="H956" i="2"/>
  <c r="R955" i="2"/>
  <c r="L955" i="2"/>
  <c r="J955" i="2"/>
  <c r="I955" i="2"/>
  <c r="O955" i="2" s="1"/>
  <c r="P955" i="2" s="1"/>
  <c r="H955" i="2"/>
  <c r="R954" i="2"/>
  <c r="L954" i="2"/>
  <c r="J954" i="2"/>
  <c r="I954" i="2"/>
  <c r="O954" i="2" s="1"/>
  <c r="H954" i="2"/>
  <c r="R953" i="2"/>
  <c r="L953" i="2"/>
  <c r="J953" i="2"/>
  <c r="I953" i="2"/>
  <c r="O953" i="2" s="1"/>
  <c r="H953" i="2"/>
  <c r="R952" i="2"/>
  <c r="L952" i="2"/>
  <c r="J952" i="2"/>
  <c r="I952" i="2"/>
  <c r="O952" i="2" s="1"/>
  <c r="H952" i="2"/>
  <c r="R951" i="2"/>
  <c r="L951" i="2"/>
  <c r="J951" i="2"/>
  <c r="I951" i="2"/>
  <c r="O951" i="2" s="1"/>
  <c r="H951" i="2"/>
  <c r="R950" i="2"/>
  <c r="L950" i="2"/>
  <c r="J950" i="2"/>
  <c r="I950" i="2"/>
  <c r="O950" i="2" s="1"/>
  <c r="H950" i="2"/>
  <c r="R949" i="2"/>
  <c r="L949" i="2"/>
  <c r="J949" i="2"/>
  <c r="I949" i="2"/>
  <c r="O949" i="2" s="1"/>
  <c r="H949" i="2"/>
  <c r="R948" i="2"/>
  <c r="L948" i="2"/>
  <c r="J948" i="2"/>
  <c r="I948" i="2"/>
  <c r="O948" i="2" s="1"/>
  <c r="H948" i="2"/>
  <c r="R947" i="2"/>
  <c r="L947" i="2"/>
  <c r="M947" i="2" s="1"/>
  <c r="N947" i="2" s="1"/>
  <c r="J947" i="2"/>
  <c r="I947" i="2"/>
  <c r="H947" i="2"/>
  <c r="R946" i="2"/>
  <c r="L946" i="2"/>
  <c r="M946" i="2" s="1"/>
  <c r="N946" i="2" s="1"/>
  <c r="J946" i="2"/>
  <c r="I946" i="2"/>
  <c r="O946" i="2" s="1"/>
  <c r="Q946" i="2" s="1"/>
  <c r="H946" i="2"/>
  <c r="R945" i="2"/>
  <c r="L945" i="2"/>
  <c r="M945" i="2" s="1"/>
  <c r="N945" i="2" s="1"/>
  <c r="J945" i="2"/>
  <c r="I945" i="2"/>
  <c r="O945" i="2" s="1"/>
  <c r="H945" i="2"/>
  <c r="R944" i="2"/>
  <c r="L944" i="2"/>
  <c r="J944" i="2"/>
  <c r="I944" i="2"/>
  <c r="O944" i="2" s="1"/>
  <c r="H944" i="2"/>
  <c r="R943" i="2"/>
  <c r="L943" i="2"/>
  <c r="M943" i="2" s="1"/>
  <c r="N943" i="2" s="1"/>
  <c r="J943" i="2"/>
  <c r="I943" i="2"/>
  <c r="O943" i="2" s="1"/>
  <c r="H943" i="2"/>
  <c r="R942" i="2"/>
  <c r="L942" i="2"/>
  <c r="M942" i="2" s="1"/>
  <c r="N942" i="2" s="1"/>
  <c r="J942" i="2"/>
  <c r="I942" i="2"/>
  <c r="O942" i="2" s="1"/>
  <c r="H942" i="2"/>
  <c r="R941" i="2"/>
  <c r="L941" i="2"/>
  <c r="M941" i="2" s="1"/>
  <c r="N941" i="2" s="1"/>
  <c r="J941" i="2"/>
  <c r="I941" i="2"/>
  <c r="O941" i="2" s="1"/>
  <c r="Q941" i="2" s="1"/>
  <c r="H941" i="2"/>
  <c r="R940" i="2"/>
  <c r="L940" i="2"/>
  <c r="J940" i="2"/>
  <c r="I940" i="2"/>
  <c r="O940" i="2" s="1"/>
  <c r="H940" i="2"/>
  <c r="R939" i="2"/>
  <c r="L939" i="2"/>
  <c r="M939" i="2" s="1"/>
  <c r="N939" i="2" s="1"/>
  <c r="J939" i="2"/>
  <c r="I939" i="2"/>
  <c r="O939" i="2" s="1"/>
  <c r="P939" i="2" s="1"/>
  <c r="H939" i="2"/>
  <c r="R938" i="2"/>
  <c r="L938" i="2"/>
  <c r="J938" i="2"/>
  <c r="I938" i="2"/>
  <c r="O938" i="2" s="1"/>
  <c r="H938" i="2"/>
  <c r="R937" i="2"/>
  <c r="L937" i="2"/>
  <c r="J937" i="2"/>
  <c r="I937" i="2"/>
  <c r="O937" i="2" s="1"/>
  <c r="H937" i="2"/>
  <c r="R936" i="2"/>
  <c r="L936" i="2"/>
  <c r="M936" i="2" s="1"/>
  <c r="N936" i="2" s="1"/>
  <c r="J936" i="2"/>
  <c r="I936" i="2"/>
  <c r="O936" i="2" s="1"/>
  <c r="Q936" i="2" s="1"/>
  <c r="H936" i="2"/>
  <c r="R935" i="2"/>
  <c r="L935" i="2"/>
  <c r="J935" i="2"/>
  <c r="I935" i="2"/>
  <c r="O935" i="2" s="1"/>
  <c r="H935" i="2"/>
  <c r="R934" i="2"/>
  <c r="L934" i="2"/>
  <c r="M934" i="2" s="1"/>
  <c r="N934" i="2" s="1"/>
  <c r="J934" i="2"/>
  <c r="I934" i="2"/>
  <c r="O934" i="2" s="1"/>
  <c r="H934" i="2"/>
  <c r="R933" i="2"/>
  <c r="L933" i="2"/>
  <c r="J933" i="2"/>
  <c r="I933" i="2"/>
  <c r="O933" i="2" s="1"/>
  <c r="Q933" i="2" s="1"/>
  <c r="H933" i="2"/>
  <c r="R932" i="2"/>
  <c r="L932" i="2"/>
  <c r="M932" i="2" s="1"/>
  <c r="N932" i="2" s="1"/>
  <c r="J932" i="2"/>
  <c r="I932" i="2"/>
  <c r="O932" i="2" s="1"/>
  <c r="H932" i="2"/>
  <c r="R931" i="2"/>
  <c r="L931" i="2"/>
  <c r="J931" i="2"/>
  <c r="I931" i="2"/>
  <c r="H931" i="2"/>
  <c r="R930" i="2"/>
  <c r="L930" i="2"/>
  <c r="M930" i="2" s="1"/>
  <c r="N930" i="2" s="1"/>
  <c r="J930" i="2"/>
  <c r="I930" i="2"/>
  <c r="O930" i="2" s="1"/>
  <c r="Q930" i="2" s="1"/>
  <c r="H930" i="2"/>
  <c r="R929" i="2"/>
  <c r="L929" i="2"/>
  <c r="J929" i="2"/>
  <c r="I929" i="2"/>
  <c r="O929" i="2" s="1"/>
  <c r="H929" i="2"/>
  <c r="R928" i="2"/>
  <c r="L928" i="2"/>
  <c r="M928" i="2" s="1"/>
  <c r="N928" i="2" s="1"/>
  <c r="J928" i="2"/>
  <c r="I928" i="2"/>
  <c r="O928" i="2" s="1"/>
  <c r="P928" i="2" s="1"/>
  <c r="H928" i="2"/>
  <c r="R927" i="2"/>
  <c r="L927" i="2"/>
  <c r="M927" i="2" s="1"/>
  <c r="N927" i="2" s="1"/>
  <c r="J927" i="2"/>
  <c r="I927" i="2"/>
  <c r="O927" i="2" s="1"/>
  <c r="H927" i="2"/>
  <c r="R926" i="2"/>
  <c r="L926" i="2"/>
  <c r="J926" i="2"/>
  <c r="I926" i="2"/>
  <c r="O926" i="2" s="1"/>
  <c r="H926" i="2"/>
  <c r="R925" i="2"/>
  <c r="L925" i="2"/>
  <c r="J925" i="2"/>
  <c r="I925" i="2"/>
  <c r="O925" i="2" s="1"/>
  <c r="H925" i="2"/>
  <c r="R924" i="2"/>
  <c r="L924" i="2"/>
  <c r="M924" i="2" s="1"/>
  <c r="J924" i="2"/>
  <c r="I924" i="2"/>
  <c r="O924" i="2" s="1"/>
  <c r="H924" i="2"/>
  <c r="R923" i="2"/>
  <c r="L923" i="2"/>
  <c r="J923" i="2"/>
  <c r="I923" i="2"/>
  <c r="O923" i="2" s="1"/>
  <c r="P923" i="2" s="1"/>
  <c r="H923" i="2"/>
  <c r="R922" i="2"/>
  <c r="L922" i="2"/>
  <c r="M922" i="2" s="1"/>
  <c r="N922" i="2" s="1"/>
  <c r="J922" i="2"/>
  <c r="I922" i="2"/>
  <c r="O922" i="2" s="1"/>
  <c r="Q922" i="2" s="1"/>
  <c r="H922" i="2"/>
  <c r="R921" i="2"/>
  <c r="L921" i="2"/>
  <c r="M921" i="2" s="1"/>
  <c r="J921" i="2"/>
  <c r="I921" i="2"/>
  <c r="O921" i="2" s="1"/>
  <c r="H921" i="2"/>
  <c r="R920" i="2"/>
  <c r="L920" i="2"/>
  <c r="J920" i="2"/>
  <c r="I920" i="2"/>
  <c r="O920" i="2" s="1"/>
  <c r="H920" i="2"/>
  <c r="R919" i="2"/>
  <c r="L919" i="2"/>
  <c r="J919" i="2"/>
  <c r="I919" i="2"/>
  <c r="O919" i="2" s="1"/>
  <c r="Q919" i="2" s="1"/>
  <c r="H919" i="2"/>
  <c r="R918" i="2"/>
  <c r="L918" i="2"/>
  <c r="M918" i="2" s="1"/>
  <c r="N918" i="2" s="1"/>
  <c r="J918" i="2"/>
  <c r="I918" i="2"/>
  <c r="O918" i="2" s="1"/>
  <c r="H918" i="2"/>
  <c r="R917" i="2"/>
  <c r="L917" i="2"/>
  <c r="M917" i="2" s="1"/>
  <c r="N917" i="2" s="1"/>
  <c r="J917" i="2"/>
  <c r="I917" i="2"/>
  <c r="O917" i="2" s="1"/>
  <c r="H917" i="2"/>
  <c r="R916" i="2"/>
  <c r="L916" i="2"/>
  <c r="M916" i="2" s="1"/>
  <c r="N916" i="2" s="1"/>
  <c r="J916" i="2"/>
  <c r="I916" i="2"/>
  <c r="O916" i="2" s="1"/>
  <c r="H916" i="2"/>
  <c r="R915" i="2"/>
  <c r="L915" i="2"/>
  <c r="J915" i="2"/>
  <c r="I915" i="2"/>
  <c r="H915" i="2"/>
  <c r="R914" i="2"/>
  <c r="L914" i="2"/>
  <c r="J914" i="2"/>
  <c r="I914" i="2"/>
  <c r="O914" i="2" s="1"/>
  <c r="H914" i="2"/>
  <c r="R913" i="2"/>
  <c r="L913" i="2"/>
  <c r="J913" i="2"/>
  <c r="I913" i="2"/>
  <c r="O913" i="2" s="1"/>
  <c r="H913" i="2"/>
  <c r="R912" i="2"/>
  <c r="L912" i="2"/>
  <c r="J912" i="2"/>
  <c r="I912" i="2"/>
  <c r="O912" i="2" s="1"/>
  <c r="Q912" i="2" s="1"/>
  <c r="H912" i="2"/>
  <c r="R911" i="2"/>
  <c r="L911" i="2"/>
  <c r="J911" i="2"/>
  <c r="I911" i="2"/>
  <c r="O911" i="2" s="1"/>
  <c r="H911" i="2"/>
  <c r="R910" i="2"/>
  <c r="O910" i="2"/>
  <c r="Q910" i="2" s="1"/>
  <c r="L910" i="2"/>
  <c r="J910" i="2"/>
  <c r="I910" i="2"/>
  <c r="H910" i="2"/>
  <c r="R909" i="2"/>
  <c r="L909" i="2"/>
  <c r="M909" i="2" s="1"/>
  <c r="J909" i="2"/>
  <c r="I909" i="2"/>
  <c r="O909" i="2" s="1"/>
  <c r="H909" i="2"/>
  <c r="R908" i="2"/>
  <c r="L908" i="2"/>
  <c r="J908" i="2"/>
  <c r="I908" i="2"/>
  <c r="O908" i="2" s="1"/>
  <c r="H908" i="2"/>
  <c r="R907" i="2"/>
  <c r="L907" i="2"/>
  <c r="J907" i="2"/>
  <c r="I907" i="2"/>
  <c r="H907" i="2"/>
  <c r="R906" i="2"/>
  <c r="L906" i="2"/>
  <c r="M906" i="2" s="1"/>
  <c r="N906" i="2" s="1"/>
  <c r="J906" i="2"/>
  <c r="I906" i="2"/>
  <c r="O906" i="2" s="1"/>
  <c r="H906" i="2"/>
  <c r="R905" i="2"/>
  <c r="L905" i="2"/>
  <c r="M905" i="2" s="1"/>
  <c r="N905" i="2" s="1"/>
  <c r="J905" i="2"/>
  <c r="I905" i="2"/>
  <c r="O905" i="2" s="1"/>
  <c r="H905" i="2"/>
  <c r="R904" i="2"/>
  <c r="L904" i="2"/>
  <c r="M904" i="2" s="1"/>
  <c r="J904" i="2"/>
  <c r="I904" i="2"/>
  <c r="O904" i="2" s="1"/>
  <c r="Q904" i="2" s="1"/>
  <c r="H904" i="2"/>
  <c r="R903" i="2"/>
  <c r="L903" i="2"/>
  <c r="M903" i="2" s="1"/>
  <c r="N903" i="2" s="1"/>
  <c r="J903" i="2"/>
  <c r="I903" i="2"/>
  <c r="O903" i="2" s="1"/>
  <c r="H903" i="2"/>
  <c r="R902" i="2"/>
  <c r="L902" i="2"/>
  <c r="M902" i="2" s="1"/>
  <c r="N902" i="2" s="1"/>
  <c r="J902" i="2"/>
  <c r="I902" i="2"/>
  <c r="O902" i="2" s="1"/>
  <c r="H902" i="2"/>
  <c r="R901" i="2"/>
  <c r="L901" i="2"/>
  <c r="M901" i="2" s="1"/>
  <c r="N901" i="2" s="1"/>
  <c r="J901" i="2"/>
  <c r="I901" i="2"/>
  <c r="O901" i="2" s="1"/>
  <c r="Q901" i="2" s="1"/>
  <c r="H901" i="2"/>
  <c r="R900" i="2"/>
  <c r="L900" i="2"/>
  <c r="J900" i="2"/>
  <c r="I900" i="2"/>
  <c r="O900" i="2" s="1"/>
  <c r="H900" i="2"/>
  <c r="R899" i="2"/>
  <c r="L899" i="2"/>
  <c r="J899" i="2"/>
  <c r="I899" i="2"/>
  <c r="O899" i="2" s="1"/>
  <c r="H899" i="2"/>
  <c r="R898" i="2"/>
  <c r="L898" i="2"/>
  <c r="J898" i="2"/>
  <c r="I898" i="2"/>
  <c r="O898" i="2" s="1"/>
  <c r="Q898" i="2" s="1"/>
  <c r="H898" i="2"/>
  <c r="R897" i="2"/>
  <c r="L897" i="2"/>
  <c r="J897" i="2"/>
  <c r="I897" i="2"/>
  <c r="O897" i="2" s="1"/>
  <c r="H897" i="2"/>
  <c r="R896" i="2"/>
  <c r="L896" i="2"/>
  <c r="J896" i="2"/>
  <c r="I896" i="2"/>
  <c r="H896" i="2"/>
  <c r="R895" i="2"/>
  <c r="L895" i="2"/>
  <c r="J895" i="2"/>
  <c r="I895" i="2"/>
  <c r="O895" i="2" s="1"/>
  <c r="P895" i="2" s="1"/>
  <c r="H895" i="2"/>
  <c r="R894" i="2"/>
  <c r="L894" i="2"/>
  <c r="J894" i="2"/>
  <c r="I894" i="2"/>
  <c r="H894" i="2"/>
  <c r="R893" i="2"/>
  <c r="L893" i="2"/>
  <c r="J893" i="2"/>
  <c r="I893" i="2"/>
  <c r="O893" i="2" s="1"/>
  <c r="Q893" i="2" s="1"/>
  <c r="H893" i="2"/>
  <c r="R892" i="2"/>
  <c r="L892" i="2"/>
  <c r="M892" i="2" s="1"/>
  <c r="N892" i="2" s="1"/>
  <c r="J892" i="2"/>
  <c r="I892" i="2"/>
  <c r="O892" i="2" s="1"/>
  <c r="H892" i="2"/>
  <c r="R891" i="2"/>
  <c r="L891" i="2"/>
  <c r="J891" i="2"/>
  <c r="I891" i="2"/>
  <c r="O891" i="2" s="1"/>
  <c r="Q891" i="2" s="1"/>
  <c r="H891" i="2"/>
  <c r="R890" i="2"/>
  <c r="L890" i="2"/>
  <c r="M890" i="2" s="1"/>
  <c r="N890" i="2" s="1"/>
  <c r="J890" i="2"/>
  <c r="I890" i="2"/>
  <c r="O890" i="2" s="1"/>
  <c r="H890" i="2"/>
  <c r="R889" i="2"/>
  <c r="L889" i="2"/>
  <c r="J889" i="2"/>
  <c r="I889" i="2"/>
  <c r="O889" i="2" s="1"/>
  <c r="H889" i="2"/>
  <c r="R888" i="2"/>
  <c r="L888" i="2"/>
  <c r="M888" i="2" s="1"/>
  <c r="J888" i="2"/>
  <c r="I888" i="2"/>
  <c r="O888" i="2" s="1"/>
  <c r="H888" i="2"/>
  <c r="R887" i="2"/>
  <c r="L887" i="2"/>
  <c r="J887" i="2"/>
  <c r="I887" i="2"/>
  <c r="O887" i="2" s="1"/>
  <c r="Q887" i="2" s="1"/>
  <c r="H887" i="2"/>
  <c r="R886" i="2"/>
  <c r="L886" i="2"/>
  <c r="M886" i="2" s="1"/>
  <c r="N886" i="2" s="1"/>
  <c r="J886" i="2"/>
  <c r="I886" i="2"/>
  <c r="H886" i="2"/>
  <c r="R885" i="2"/>
  <c r="L885" i="2"/>
  <c r="M885" i="2" s="1"/>
  <c r="J885" i="2"/>
  <c r="I885" i="2"/>
  <c r="O885" i="2" s="1"/>
  <c r="H885" i="2"/>
  <c r="R884" i="2"/>
  <c r="L884" i="2"/>
  <c r="J884" i="2"/>
  <c r="I884" i="2"/>
  <c r="H884" i="2"/>
  <c r="R883" i="2"/>
  <c r="L883" i="2"/>
  <c r="M883" i="2" s="1"/>
  <c r="J883" i="2"/>
  <c r="I883" i="2"/>
  <c r="H883" i="2"/>
  <c r="R882" i="2"/>
  <c r="L882" i="2"/>
  <c r="M882" i="2" s="1"/>
  <c r="N882" i="2" s="1"/>
  <c r="J882" i="2"/>
  <c r="I882" i="2"/>
  <c r="O882" i="2" s="1"/>
  <c r="Q882" i="2" s="1"/>
  <c r="H882" i="2"/>
  <c r="R881" i="2"/>
  <c r="L881" i="2"/>
  <c r="M881" i="2" s="1"/>
  <c r="N881" i="2" s="1"/>
  <c r="J881" i="2"/>
  <c r="I881" i="2"/>
  <c r="O881" i="2" s="1"/>
  <c r="H881" i="2"/>
  <c r="R880" i="2"/>
  <c r="L880" i="2"/>
  <c r="J880" i="2"/>
  <c r="I880" i="2"/>
  <c r="O880" i="2" s="1"/>
  <c r="Q880" i="2" s="1"/>
  <c r="H880" i="2"/>
  <c r="R879" i="2"/>
  <c r="L879" i="2"/>
  <c r="J879" i="2"/>
  <c r="I879" i="2"/>
  <c r="O879" i="2" s="1"/>
  <c r="H879" i="2"/>
  <c r="R878" i="2"/>
  <c r="L878" i="2"/>
  <c r="J878" i="2"/>
  <c r="I878" i="2"/>
  <c r="O878" i="2" s="1"/>
  <c r="P878" i="2" s="1"/>
  <c r="H878" i="2"/>
  <c r="R877" i="2"/>
  <c r="L877" i="2"/>
  <c r="J877" i="2"/>
  <c r="I877" i="2"/>
  <c r="O877" i="2" s="1"/>
  <c r="H877" i="2"/>
  <c r="R876" i="2"/>
  <c r="L876" i="2"/>
  <c r="J876" i="2"/>
  <c r="I876" i="2"/>
  <c r="O876" i="2" s="1"/>
  <c r="H876" i="2"/>
  <c r="R875" i="2"/>
  <c r="L875" i="2"/>
  <c r="J875" i="2"/>
  <c r="I875" i="2"/>
  <c r="O875" i="2" s="1"/>
  <c r="Q875" i="2" s="1"/>
  <c r="H875" i="2"/>
  <c r="R874" i="2"/>
  <c r="L874" i="2"/>
  <c r="J874" i="2"/>
  <c r="I874" i="2"/>
  <c r="O874" i="2" s="1"/>
  <c r="H874" i="2"/>
  <c r="R873" i="2"/>
  <c r="L873" i="2"/>
  <c r="M873" i="2" s="1"/>
  <c r="N873" i="2" s="1"/>
  <c r="J873" i="2"/>
  <c r="I873" i="2"/>
  <c r="O873" i="2" s="1"/>
  <c r="H873" i="2"/>
  <c r="R872" i="2"/>
  <c r="L872" i="2"/>
  <c r="J872" i="2"/>
  <c r="I872" i="2"/>
  <c r="O872" i="2" s="1"/>
  <c r="H872" i="2"/>
  <c r="R871" i="2"/>
  <c r="L871" i="2"/>
  <c r="J871" i="2"/>
  <c r="I871" i="2"/>
  <c r="O871" i="2" s="1"/>
  <c r="Q871" i="2" s="1"/>
  <c r="H871" i="2"/>
  <c r="R870" i="2"/>
  <c r="L870" i="2"/>
  <c r="J870" i="2"/>
  <c r="I870" i="2"/>
  <c r="O870" i="2" s="1"/>
  <c r="H870" i="2"/>
  <c r="R869" i="2"/>
  <c r="L869" i="2"/>
  <c r="M869" i="2" s="1"/>
  <c r="J869" i="2"/>
  <c r="I869" i="2"/>
  <c r="O869" i="2" s="1"/>
  <c r="H869" i="2"/>
  <c r="R868" i="2"/>
  <c r="L868" i="2"/>
  <c r="J868" i="2"/>
  <c r="I868" i="2"/>
  <c r="H868" i="2"/>
  <c r="R867" i="2"/>
  <c r="L867" i="2"/>
  <c r="M867" i="2" s="1"/>
  <c r="J867" i="2"/>
  <c r="I867" i="2"/>
  <c r="O867" i="2" s="1"/>
  <c r="H867" i="2"/>
  <c r="R866" i="2"/>
  <c r="L866" i="2"/>
  <c r="J866" i="2"/>
  <c r="I866" i="2"/>
  <c r="H866" i="2"/>
  <c r="R865" i="2"/>
  <c r="L865" i="2"/>
  <c r="J865" i="2"/>
  <c r="I865" i="2"/>
  <c r="O865" i="2" s="1"/>
  <c r="P865" i="2" s="1"/>
  <c r="H865" i="2"/>
  <c r="R864" i="2"/>
  <c r="L864" i="2"/>
  <c r="J864" i="2"/>
  <c r="I864" i="2"/>
  <c r="H864" i="2"/>
  <c r="R863" i="2"/>
  <c r="L863" i="2"/>
  <c r="J863" i="2"/>
  <c r="I863" i="2"/>
  <c r="H863" i="2"/>
  <c r="R862" i="2"/>
  <c r="L862" i="2"/>
  <c r="M862" i="2" s="1"/>
  <c r="N862" i="2" s="1"/>
  <c r="J862" i="2"/>
  <c r="I862" i="2"/>
  <c r="O862" i="2" s="1"/>
  <c r="H862" i="2"/>
  <c r="R861" i="2"/>
  <c r="L861" i="2"/>
  <c r="J861" i="2"/>
  <c r="I861" i="2"/>
  <c r="O861" i="2" s="1"/>
  <c r="H861" i="2"/>
  <c r="R860" i="2"/>
  <c r="L860" i="2"/>
  <c r="J860" i="2"/>
  <c r="I860" i="2"/>
  <c r="O860" i="2" s="1"/>
  <c r="H860" i="2"/>
  <c r="R859" i="2"/>
  <c r="L859" i="2"/>
  <c r="J859" i="2"/>
  <c r="I859" i="2"/>
  <c r="H859" i="2"/>
  <c r="R858" i="2"/>
  <c r="L858" i="2"/>
  <c r="M858" i="2" s="1"/>
  <c r="J858" i="2"/>
  <c r="I858" i="2"/>
  <c r="H858" i="2"/>
  <c r="R857" i="2"/>
  <c r="L857" i="2"/>
  <c r="M857" i="2" s="1"/>
  <c r="N857" i="2" s="1"/>
  <c r="J857" i="2"/>
  <c r="I857" i="2"/>
  <c r="O857" i="2" s="1"/>
  <c r="H857" i="2"/>
  <c r="R856" i="2"/>
  <c r="L856" i="2"/>
  <c r="J856" i="2"/>
  <c r="I856" i="2"/>
  <c r="O856" i="2" s="1"/>
  <c r="Q856" i="2" s="1"/>
  <c r="H856" i="2"/>
  <c r="R855" i="2"/>
  <c r="L855" i="2"/>
  <c r="M855" i="2" s="1"/>
  <c r="N855" i="2" s="1"/>
  <c r="J855" i="2"/>
  <c r="I855" i="2"/>
  <c r="H855" i="2"/>
  <c r="R854" i="2"/>
  <c r="L854" i="2"/>
  <c r="J854" i="2"/>
  <c r="I854" i="2"/>
  <c r="O854" i="2" s="1"/>
  <c r="Q854" i="2" s="1"/>
  <c r="H854" i="2"/>
  <c r="R853" i="2"/>
  <c r="L853" i="2"/>
  <c r="J853" i="2"/>
  <c r="I853" i="2"/>
  <c r="O853" i="2" s="1"/>
  <c r="H853" i="2"/>
  <c r="R852" i="2"/>
  <c r="L852" i="2"/>
  <c r="J852" i="2"/>
  <c r="I852" i="2"/>
  <c r="O852" i="2" s="1"/>
  <c r="Q852" i="2" s="1"/>
  <c r="H852" i="2"/>
  <c r="R851" i="2"/>
  <c r="L851" i="2"/>
  <c r="J851" i="2"/>
  <c r="I851" i="2"/>
  <c r="O851" i="2" s="1"/>
  <c r="H851" i="2"/>
  <c r="R850" i="2"/>
  <c r="L850" i="2"/>
  <c r="M850" i="2" s="1"/>
  <c r="N850" i="2" s="1"/>
  <c r="J850" i="2"/>
  <c r="I850" i="2"/>
  <c r="O850" i="2" s="1"/>
  <c r="Q850" i="2" s="1"/>
  <c r="H850" i="2"/>
  <c r="R849" i="2"/>
  <c r="L849" i="2"/>
  <c r="J849" i="2"/>
  <c r="I849" i="2"/>
  <c r="O849" i="2" s="1"/>
  <c r="H849" i="2"/>
  <c r="R848" i="2"/>
  <c r="L848" i="2"/>
  <c r="M848" i="2" s="1"/>
  <c r="N848" i="2" s="1"/>
  <c r="J848" i="2"/>
  <c r="I848" i="2"/>
  <c r="O848" i="2" s="1"/>
  <c r="Q848" i="2" s="1"/>
  <c r="H848" i="2"/>
  <c r="R847" i="2"/>
  <c r="L847" i="2"/>
  <c r="J847" i="2"/>
  <c r="I847" i="2"/>
  <c r="O847" i="2" s="1"/>
  <c r="H847" i="2"/>
  <c r="R846" i="2"/>
  <c r="L846" i="2"/>
  <c r="M846" i="2" s="1"/>
  <c r="N846" i="2" s="1"/>
  <c r="J846" i="2"/>
  <c r="I846" i="2"/>
  <c r="H846" i="2"/>
  <c r="R845" i="2"/>
  <c r="L845" i="2"/>
  <c r="M845" i="2" s="1"/>
  <c r="N845" i="2" s="1"/>
  <c r="J845" i="2"/>
  <c r="I845" i="2"/>
  <c r="O845" i="2" s="1"/>
  <c r="H845" i="2"/>
  <c r="R844" i="2"/>
  <c r="L844" i="2"/>
  <c r="J844" i="2"/>
  <c r="I844" i="2"/>
  <c r="O844" i="2" s="1"/>
  <c r="H844" i="2"/>
  <c r="R843" i="2"/>
  <c r="L843" i="2"/>
  <c r="M843" i="2" s="1"/>
  <c r="N843" i="2" s="1"/>
  <c r="J843" i="2"/>
  <c r="I843" i="2"/>
  <c r="O843" i="2" s="1"/>
  <c r="P843" i="2" s="1"/>
  <c r="H843" i="2"/>
  <c r="R842" i="2"/>
  <c r="L842" i="2"/>
  <c r="M842" i="2" s="1"/>
  <c r="N842" i="2" s="1"/>
  <c r="J842" i="2"/>
  <c r="I842" i="2"/>
  <c r="O842" i="2" s="1"/>
  <c r="H842" i="2"/>
  <c r="R841" i="2"/>
  <c r="L841" i="2"/>
  <c r="J841" i="2"/>
  <c r="I841" i="2"/>
  <c r="O841" i="2" s="1"/>
  <c r="P841" i="2" s="1"/>
  <c r="H841" i="2"/>
  <c r="R840" i="2"/>
  <c r="L840" i="2"/>
  <c r="J840" i="2"/>
  <c r="I840" i="2"/>
  <c r="O840" i="2" s="1"/>
  <c r="H840" i="2"/>
  <c r="R839" i="2"/>
  <c r="L839" i="2"/>
  <c r="M839" i="2" s="1"/>
  <c r="J839" i="2"/>
  <c r="I839" i="2"/>
  <c r="O839" i="2" s="1"/>
  <c r="H839" i="2"/>
  <c r="R838" i="2"/>
  <c r="L838" i="2"/>
  <c r="M838" i="2" s="1"/>
  <c r="N838" i="2" s="1"/>
  <c r="J838" i="2"/>
  <c r="I838" i="2"/>
  <c r="O838" i="2" s="1"/>
  <c r="H838" i="2"/>
  <c r="R837" i="2"/>
  <c r="L837" i="2"/>
  <c r="M837" i="2" s="1"/>
  <c r="N837" i="2" s="1"/>
  <c r="J837" i="2"/>
  <c r="I837" i="2"/>
  <c r="O837" i="2" s="1"/>
  <c r="Q837" i="2" s="1"/>
  <c r="H837" i="2"/>
  <c r="R836" i="2"/>
  <c r="L836" i="2"/>
  <c r="J836" i="2"/>
  <c r="I836" i="2"/>
  <c r="O836" i="2" s="1"/>
  <c r="H836" i="2"/>
  <c r="R835" i="2"/>
  <c r="L835" i="2"/>
  <c r="M835" i="2" s="1"/>
  <c r="N835" i="2" s="1"/>
  <c r="J835" i="2"/>
  <c r="I835" i="2"/>
  <c r="H835" i="2"/>
  <c r="R834" i="2"/>
  <c r="L834" i="2"/>
  <c r="J834" i="2"/>
  <c r="I834" i="2"/>
  <c r="O834" i="2" s="1"/>
  <c r="Q834" i="2" s="1"/>
  <c r="H834" i="2"/>
  <c r="R833" i="2"/>
  <c r="L833" i="2"/>
  <c r="M833" i="2" s="1"/>
  <c r="N833" i="2" s="1"/>
  <c r="J833" i="2"/>
  <c r="I833" i="2"/>
  <c r="O833" i="2" s="1"/>
  <c r="H833" i="2"/>
  <c r="R832" i="2"/>
  <c r="L832" i="2"/>
  <c r="J832" i="2"/>
  <c r="I832" i="2"/>
  <c r="O832" i="2" s="1"/>
  <c r="H832" i="2"/>
  <c r="R831" i="2"/>
  <c r="L831" i="2"/>
  <c r="J831" i="2"/>
  <c r="I831" i="2"/>
  <c r="O831" i="2" s="1"/>
  <c r="H831" i="2"/>
  <c r="R830" i="2"/>
  <c r="L830" i="2"/>
  <c r="J830" i="2"/>
  <c r="I830" i="2"/>
  <c r="O830" i="2" s="1"/>
  <c r="H830" i="2"/>
  <c r="R829" i="2"/>
  <c r="L829" i="2"/>
  <c r="J829" i="2"/>
  <c r="I829" i="2"/>
  <c r="O829" i="2" s="1"/>
  <c r="H829" i="2"/>
  <c r="R828" i="2"/>
  <c r="L828" i="2"/>
  <c r="J828" i="2"/>
  <c r="I828" i="2"/>
  <c r="O828" i="2" s="1"/>
  <c r="P828" i="2" s="1"/>
  <c r="H828" i="2"/>
  <c r="R827" i="2"/>
  <c r="L827" i="2"/>
  <c r="J827" i="2"/>
  <c r="I827" i="2"/>
  <c r="O827" i="2" s="1"/>
  <c r="Q827" i="2" s="1"/>
  <c r="H827" i="2"/>
  <c r="R826" i="2"/>
  <c r="L826" i="2"/>
  <c r="J826" i="2"/>
  <c r="I826" i="2"/>
  <c r="H826" i="2"/>
  <c r="R825" i="2"/>
  <c r="L825" i="2"/>
  <c r="M825" i="2" s="1"/>
  <c r="N825" i="2" s="1"/>
  <c r="J825" i="2"/>
  <c r="I825" i="2"/>
  <c r="O825" i="2" s="1"/>
  <c r="H825" i="2"/>
  <c r="R824" i="2"/>
  <c r="L824" i="2"/>
  <c r="J824" i="2"/>
  <c r="I824" i="2"/>
  <c r="O824" i="2" s="1"/>
  <c r="H824" i="2"/>
  <c r="R823" i="2"/>
  <c r="L823" i="2"/>
  <c r="M823" i="2" s="1"/>
  <c r="N823" i="2" s="1"/>
  <c r="J823" i="2"/>
  <c r="I823" i="2"/>
  <c r="O823" i="2" s="1"/>
  <c r="H823" i="2"/>
  <c r="R822" i="2"/>
  <c r="L822" i="2"/>
  <c r="M822" i="2" s="1"/>
  <c r="N822" i="2" s="1"/>
  <c r="J822" i="2"/>
  <c r="I822" i="2"/>
  <c r="O822" i="2" s="1"/>
  <c r="H822" i="2"/>
  <c r="R821" i="2"/>
  <c r="L821" i="2"/>
  <c r="M821" i="2" s="1"/>
  <c r="N821" i="2" s="1"/>
  <c r="J821" i="2"/>
  <c r="I821" i="2"/>
  <c r="O821" i="2" s="1"/>
  <c r="H821" i="2"/>
  <c r="R820" i="2"/>
  <c r="L820" i="2"/>
  <c r="J820" i="2"/>
  <c r="I820" i="2"/>
  <c r="O820" i="2" s="1"/>
  <c r="H820" i="2"/>
  <c r="R819" i="2"/>
  <c r="L819" i="2"/>
  <c r="M819" i="2" s="1"/>
  <c r="N819" i="2" s="1"/>
  <c r="J819" i="2"/>
  <c r="I819" i="2"/>
  <c r="O819" i="2" s="1"/>
  <c r="H819" i="2"/>
  <c r="R818" i="2"/>
  <c r="L818" i="2"/>
  <c r="J818" i="2"/>
  <c r="I818" i="2"/>
  <c r="O818" i="2" s="1"/>
  <c r="H818" i="2"/>
  <c r="R817" i="2"/>
  <c r="L817" i="2"/>
  <c r="J817" i="2"/>
  <c r="I817" i="2"/>
  <c r="O817" i="2" s="1"/>
  <c r="H817" i="2"/>
  <c r="R816" i="2"/>
  <c r="L816" i="2"/>
  <c r="J816" i="2"/>
  <c r="I816" i="2"/>
  <c r="H816" i="2"/>
  <c r="R815" i="2"/>
  <c r="L815" i="2"/>
  <c r="J815" i="2"/>
  <c r="I815" i="2"/>
  <c r="O815" i="2" s="1"/>
  <c r="H815" i="2"/>
  <c r="R814" i="2"/>
  <c r="L814" i="2"/>
  <c r="J814" i="2"/>
  <c r="I814" i="2"/>
  <c r="H814" i="2"/>
  <c r="R813" i="2"/>
  <c r="L813" i="2"/>
  <c r="J813" i="2"/>
  <c r="I813" i="2"/>
  <c r="O813" i="2" s="1"/>
  <c r="H813" i="2"/>
  <c r="R812" i="2"/>
  <c r="L812" i="2"/>
  <c r="J812" i="2"/>
  <c r="I812" i="2"/>
  <c r="H812" i="2"/>
  <c r="R811" i="2"/>
  <c r="L811" i="2"/>
  <c r="J811" i="2"/>
  <c r="I811" i="2"/>
  <c r="O811" i="2" s="1"/>
  <c r="H811" i="2"/>
  <c r="R810" i="2"/>
  <c r="L810" i="2"/>
  <c r="J810" i="2"/>
  <c r="I810" i="2"/>
  <c r="O810" i="2" s="1"/>
  <c r="Q810" i="2" s="1"/>
  <c r="H810" i="2"/>
  <c r="R809" i="2"/>
  <c r="L809" i="2"/>
  <c r="J809" i="2"/>
  <c r="I809" i="2"/>
  <c r="O809" i="2" s="1"/>
  <c r="H809" i="2"/>
  <c r="R808" i="2"/>
  <c r="L808" i="2"/>
  <c r="J808" i="2"/>
  <c r="I808" i="2"/>
  <c r="O808" i="2" s="1"/>
  <c r="Q808" i="2" s="1"/>
  <c r="H808" i="2"/>
  <c r="R807" i="2"/>
  <c r="L807" i="2"/>
  <c r="M807" i="2" s="1"/>
  <c r="N807" i="2" s="1"/>
  <c r="J807" i="2"/>
  <c r="I807" i="2"/>
  <c r="O807" i="2" s="1"/>
  <c r="H807" i="2"/>
  <c r="R806" i="2"/>
  <c r="L806" i="2"/>
  <c r="M806" i="2" s="1"/>
  <c r="J806" i="2"/>
  <c r="I806" i="2"/>
  <c r="O806" i="2" s="1"/>
  <c r="Q806" i="2" s="1"/>
  <c r="H806" i="2"/>
  <c r="R805" i="2"/>
  <c r="L805" i="2"/>
  <c r="J805" i="2"/>
  <c r="I805" i="2"/>
  <c r="O805" i="2" s="1"/>
  <c r="P805" i="2" s="1"/>
  <c r="H805" i="2"/>
  <c r="R804" i="2"/>
  <c r="L804" i="2"/>
  <c r="J804" i="2"/>
  <c r="I804" i="2"/>
  <c r="H804" i="2"/>
  <c r="R803" i="2"/>
  <c r="L803" i="2"/>
  <c r="J803" i="2"/>
  <c r="I803" i="2"/>
  <c r="O803" i="2" s="1"/>
  <c r="Q803" i="2" s="1"/>
  <c r="H803" i="2"/>
  <c r="R802" i="2"/>
  <c r="L802" i="2"/>
  <c r="J802" i="2"/>
  <c r="I802" i="2"/>
  <c r="O802" i="2" s="1"/>
  <c r="H802" i="2"/>
  <c r="R801" i="2"/>
  <c r="L801" i="2"/>
  <c r="J801" i="2"/>
  <c r="I801" i="2"/>
  <c r="O801" i="2" s="1"/>
  <c r="Q801" i="2" s="1"/>
  <c r="H801" i="2"/>
  <c r="R800" i="2"/>
  <c r="L800" i="2"/>
  <c r="J800" i="2"/>
  <c r="I800" i="2"/>
  <c r="H800" i="2"/>
  <c r="R799" i="2"/>
  <c r="L799" i="2"/>
  <c r="J799" i="2"/>
  <c r="I799" i="2"/>
  <c r="O799" i="2" s="1"/>
  <c r="H799" i="2"/>
  <c r="R798" i="2"/>
  <c r="L798" i="2"/>
  <c r="J798" i="2"/>
  <c r="I798" i="2"/>
  <c r="O798" i="2" s="1"/>
  <c r="H798" i="2"/>
  <c r="R797" i="2"/>
  <c r="L797" i="2"/>
  <c r="M797" i="2" s="1"/>
  <c r="N797" i="2" s="1"/>
  <c r="J797" i="2"/>
  <c r="I797" i="2"/>
  <c r="O797" i="2" s="1"/>
  <c r="H797" i="2"/>
  <c r="R796" i="2"/>
  <c r="L796" i="2"/>
  <c r="M796" i="2" s="1"/>
  <c r="N796" i="2" s="1"/>
  <c r="J796" i="2"/>
  <c r="I796" i="2"/>
  <c r="O796" i="2" s="1"/>
  <c r="H796" i="2"/>
  <c r="R795" i="2"/>
  <c r="L795" i="2"/>
  <c r="J795" i="2"/>
  <c r="I795" i="2"/>
  <c r="O795" i="2" s="1"/>
  <c r="Q795" i="2" s="1"/>
  <c r="H795" i="2"/>
  <c r="R794" i="2"/>
  <c r="L794" i="2"/>
  <c r="M794" i="2" s="1"/>
  <c r="J794" i="2"/>
  <c r="I794" i="2"/>
  <c r="O794" i="2" s="1"/>
  <c r="P794" i="2" s="1"/>
  <c r="H794" i="2"/>
  <c r="R793" i="2"/>
  <c r="L793" i="2"/>
  <c r="J793" i="2"/>
  <c r="I793" i="2"/>
  <c r="O793" i="2" s="1"/>
  <c r="H793" i="2"/>
  <c r="R792" i="2"/>
  <c r="L792" i="2"/>
  <c r="J792" i="2"/>
  <c r="I792" i="2"/>
  <c r="H792" i="2"/>
  <c r="R791" i="2"/>
  <c r="L791" i="2"/>
  <c r="J791" i="2"/>
  <c r="I791" i="2"/>
  <c r="O791" i="2" s="1"/>
  <c r="H791" i="2"/>
  <c r="R790" i="2"/>
  <c r="L790" i="2"/>
  <c r="M790" i="2" s="1"/>
  <c r="J790" i="2"/>
  <c r="I790" i="2"/>
  <c r="O790" i="2" s="1"/>
  <c r="Q790" i="2" s="1"/>
  <c r="H790" i="2"/>
  <c r="R789" i="2"/>
  <c r="L789" i="2"/>
  <c r="J789" i="2"/>
  <c r="I789" i="2"/>
  <c r="O789" i="2" s="1"/>
  <c r="H789" i="2"/>
  <c r="R788" i="2"/>
  <c r="L788" i="2"/>
  <c r="J788" i="2"/>
  <c r="I788" i="2"/>
  <c r="H788" i="2"/>
  <c r="R787" i="2"/>
  <c r="L787" i="2"/>
  <c r="J787" i="2"/>
  <c r="I787" i="2"/>
  <c r="O787" i="2" s="1"/>
  <c r="H787" i="2"/>
  <c r="R786" i="2"/>
  <c r="L786" i="2"/>
  <c r="J786" i="2"/>
  <c r="I786" i="2"/>
  <c r="H786" i="2"/>
  <c r="R785" i="2"/>
  <c r="L785" i="2"/>
  <c r="J785" i="2"/>
  <c r="I785" i="2"/>
  <c r="H785" i="2"/>
  <c r="R784" i="2"/>
  <c r="L784" i="2"/>
  <c r="J784" i="2"/>
  <c r="I784" i="2"/>
  <c r="O784" i="2" s="1"/>
  <c r="Q784" i="2" s="1"/>
  <c r="H784" i="2"/>
  <c r="R783" i="2"/>
  <c r="L783" i="2"/>
  <c r="J783" i="2"/>
  <c r="I783" i="2"/>
  <c r="H783" i="2"/>
  <c r="R782" i="2"/>
  <c r="L782" i="2"/>
  <c r="M782" i="2" s="1"/>
  <c r="N782" i="2" s="1"/>
  <c r="J782" i="2"/>
  <c r="I782" i="2"/>
  <c r="O782" i="2" s="1"/>
  <c r="H782" i="2"/>
  <c r="R781" i="2"/>
  <c r="L781" i="2"/>
  <c r="J781" i="2"/>
  <c r="I781" i="2"/>
  <c r="O781" i="2" s="1"/>
  <c r="Q781" i="2" s="1"/>
  <c r="H781" i="2"/>
  <c r="R780" i="2"/>
  <c r="L780" i="2"/>
  <c r="J780" i="2"/>
  <c r="I780" i="2"/>
  <c r="H780" i="2"/>
  <c r="R779" i="2"/>
  <c r="L779" i="2"/>
  <c r="J779" i="2"/>
  <c r="I779" i="2"/>
  <c r="O779" i="2" s="1"/>
  <c r="H779" i="2"/>
  <c r="R778" i="2"/>
  <c r="L778" i="2"/>
  <c r="J778" i="2"/>
  <c r="I778" i="2"/>
  <c r="O778" i="2" s="1"/>
  <c r="H778" i="2"/>
  <c r="R777" i="2"/>
  <c r="L777" i="2"/>
  <c r="M777" i="2" s="1"/>
  <c r="N777" i="2" s="1"/>
  <c r="J777" i="2"/>
  <c r="I777" i="2"/>
  <c r="O777" i="2" s="1"/>
  <c r="Q777" i="2" s="1"/>
  <c r="H777" i="2"/>
  <c r="R776" i="2"/>
  <c r="L776" i="2"/>
  <c r="J776" i="2"/>
  <c r="I776" i="2"/>
  <c r="O776" i="2" s="1"/>
  <c r="H776" i="2"/>
  <c r="R775" i="2"/>
  <c r="L775" i="2"/>
  <c r="J775" i="2"/>
  <c r="I775" i="2"/>
  <c r="H775" i="2"/>
  <c r="R774" i="2"/>
  <c r="L774" i="2"/>
  <c r="J774" i="2"/>
  <c r="I774" i="2"/>
  <c r="O774" i="2" s="1"/>
  <c r="H774" i="2"/>
  <c r="R773" i="2"/>
  <c r="L773" i="2"/>
  <c r="J773" i="2"/>
  <c r="I773" i="2"/>
  <c r="O773" i="2" s="1"/>
  <c r="H773" i="2"/>
  <c r="R772" i="2"/>
  <c r="L772" i="2"/>
  <c r="M772" i="2" s="1"/>
  <c r="N772" i="2" s="1"/>
  <c r="J772" i="2"/>
  <c r="I772" i="2"/>
  <c r="H772" i="2"/>
  <c r="R771" i="2"/>
  <c r="L771" i="2"/>
  <c r="M771" i="2" s="1"/>
  <c r="N771" i="2" s="1"/>
  <c r="J771" i="2"/>
  <c r="I771" i="2"/>
  <c r="O771" i="2" s="1"/>
  <c r="H771" i="2"/>
  <c r="R770" i="2"/>
  <c r="L770" i="2"/>
  <c r="M770" i="2" s="1"/>
  <c r="N770" i="2" s="1"/>
  <c r="J770" i="2"/>
  <c r="I770" i="2"/>
  <c r="O770" i="2" s="1"/>
  <c r="Q770" i="2" s="1"/>
  <c r="H770" i="2"/>
  <c r="R769" i="2"/>
  <c r="L769" i="2"/>
  <c r="M769" i="2" s="1"/>
  <c r="J769" i="2"/>
  <c r="I769" i="2"/>
  <c r="O769" i="2" s="1"/>
  <c r="P769" i="2" s="1"/>
  <c r="H769" i="2"/>
  <c r="R768" i="2"/>
  <c r="L768" i="2"/>
  <c r="M768" i="2" s="1"/>
  <c r="N768" i="2" s="1"/>
  <c r="J768" i="2"/>
  <c r="I768" i="2"/>
  <c r="O768" i="2" s="1"/>
  <c r="H768" i="2"/>
  <c r="R767" i="2"/>
  <c r="L767" i="2"/>
  <c r="J767" i="2"/>
  <c r="I767" i="2"/>
  <c r="O767" i="2" s="1"/>
  <c r="H767" i="2"/>
  <c r="R766" i="2"/>
  <c r="L766" i="2"/>
  <c r="M766" i="2" s="1"/>
  <c r="J766" i="2"/>
  <c r="I766" i="2"/>
  <c r="O766" i="2" s="1"/>
  <c r="H766" i="2"/>
  <c r="R765" i="2"/>
  <c r="L765" i="2"/>
  <c r="M765" i="2" s="1"/>
  <c r="N765" i="2" s="1"/>
  <c r="J765" i="2"/>
  <c r="I765" i="2"/>
  <c r="O765" i="2" s="1"/>
  <c r="H765" i="2"/>
  <c r="R764" i="2"/>
  <c r="L764" i="2"/>
  <c r="J764" i="2"/>
  <c r="I764" i="2"/>
  <c r="O764" i="2" s="1"/>
  <c r="Q764" i="2" s="1"/>
  <c r="H764" i="2"/>
  <c r="R763" i="2"/>
  <c r="L763" i="2"/>
  <c r="M763" i="2" s="1"/>
  <c r="J763" i="2"/>
  <c r="I763" i="2"/>
  <c r="O763" i="2" s="1"/>
  <c r="H763" i="2"/>
  <c r="R762" i="2"/>
  <c r="L762" i="2"/>
  <c r="M762" i="2" s="1"/>
  <c r="J762" i="2"/>
  <c r="I762" i="2"/>
  <c r="O762" i="2" s="1"/>
  <c r="H762" i="2"/>
  <c r="R761" i="2"/>
  <c r="L761" i="2"/>
  <c r="J761" i="2"/>
  <c r="I761" i="2"/>
  <c r="O761" i="2" s="1"/>
  <c r="H761" i="2"/>
  <c r="R760" i="2"/>
  <c r="L760" i="2"/>
  <c r="J760" i="2"/>
  <c r="I760" i="2"/>
  <c r="H760" i="2"/>
  <c r="R759" i="2"/>
  <c r="L759" i="2"/>
  <c r="J759" i="2"/>
  <c r="I759" i="2"/>
  <c r="H759" i="2"/>
  <c r="R758" i="2"/>
  <c r="L758" i="2"/>
  <c r="J758" i="2"/>
  <c r="I758" i="2"/>
  <c r="H758" i="2"/>
  <c r="R757" i="2"/>
  <c r="L757" i="2"/>
  <c r="M757" i="2" s="1"/>
  <c r="N757" i="2" s="1"/>
  <c r="J757" i="2"/>
  <c r="I757" i="2"/>
  <c r="O757" i="2" s="1"/>
  <c r="P757" i="2" s="1"/>
  <c r="H757" i="2"/>
  <c r="R756" i="2"/>
  <c r="L756" i="2"/>
  <c r="J756" i="2"/>
  <c r="I756" i="2"/>
  <c r="O756" i="2" s="1"/>
  <c r="H756" i="2"/>
  <c r="R755" i="2"/>
  <c r="L755" i="2"/>
  <c r="J755" i="2"/>
  <c r="I755" i="2"/>
  <c r="H755" i="2"/>
  <c r="R754" i="2"/>
  <c r="L754" i="2"/>
  <c r="J754" i="2"/>
  <c r="I754" i="2"/>
  <c r="O754" i="2" s="1"/>
  <c r="Q754" i="2" s="1"/>
  <c r="H754" i="2"/>
  <c r="R753" i="2"/>
  <c r="L753" i="2"/>
  <c r="J753" i="2"/>
  <c r="I753" i="2"/>
  <c r="O753" i="2" s="1"/>
  <c r="H753" i="2"/>
  <c r="R752" i="2"/>
  <c r="L752" i="2"/>
  <c r="J752" i="2"/>
  <c r="I752" i="2"/>
  <c r="H752" i="2"/>
  <c r="R751" i="2"/>
  <c r="L751" i="2"/>
  <c r="M751" i="2" s="1"/>
  <c r="N751" i="2" s="1"/>
  <c r="J751" i="2"/>
  <c r="I751" i="2"/>
  <c r="O751" i="2" s="1"/>
  <c r="H751" i="2"/>
  <c r="R750" i="2"/>
  <c r="L750" i="2"/>
  <c r="J750" i="2"/>
  <c r="I750" i="2"/>
  <c r="H750" i="2"/>
  <c r="R749" i="2"/>
  <c r="L749" i="2"/>
  <c r="M749" i="2" s="1"/>
  <c r="J749" i="2"/>
  <c r="I749" i="2"/>
  <c r="O749" i="2" s="1"/>
  <c r="P749" i="2" s="1"/>
  <c r="H749" i="2"/>
  <c r="R748" i="2"/>
  <c r="L748" i="2"/>
  <c r="M748" i="2" s="1"/>
  <c r="N748" i="2" s="1"/>
  <c r="J748" i="2"/>
  <c r="I748" i="2"/>
  <c r="H748" i="2"/>
  <c r="R747" i="2"/>
  <c r="L747" i="2"/>
  <c r="J747" i="2"/>
  <c r="I747" i="2"/>
  <c r="O747" i="2" s="1"/>
  <c r="H747" i="2"/>
  <c r="R746" i="2"/>
  <c r="L746" i="2"/>
  <c r="J746" i="2"/>
  <c r="I746" i="2"/>
  <c r="O746" i="2" s="1"/>
  <c r="H746" i="2"/>
  <c r="R745" i="2"/>
  <c r="L745" i="2"/>
  <c r="J745" i="2"/>
  <c r="I745" i="2"/>
  <c r="H745" i="2"/>
  <c r="R744" i="2"/>
  <c r="L744" i="2"/>
  <c r="J744" i="2"/>
  <c r="I744" i="2"/>
  <c r="O744" i="2" s="1"/>
  <c r="H744" i="2"/>
  <c r="R743" i="2"/>
  <c r="L743" i="2"/>
  <c r="J743" i="2"/>
  <c r="I743" i="2"/>
  <c r="O743" i="2" s="1"/>
  <c r="H743" i="2"/>
  <c r="R742" i="2"/>
  <c r="L742" i="2"/>
  <c r="J742" i="2"/>
  <c r="I742" i="2"/>
  <c r="O742" i="2" s="1"/>
  <c r="H742" i="2"/>
  <c r="R741" i="2"/>
  <c r="L741" i="2"/>
  <c r="M741" i="2" s="1"/>
  <c r="N741" i="2" s="1"/>
  <c r="J741" i="2"/>
  <c r="I741" i="2"/>
  <c r="O741" i="2" s="1"/>
  <c r="Q741" i="2" s="1"/>
  <c r="H741" i="2"/>
  <c r="R740" i="2"/>
  <c r="L740" i="2"/>
  <c r="J740" i="2"/>
  <c r="I740" i="2"/>
  <c r="O740" i="2" s="1"/>
  <c r="H740" i="2"/>
  <c r="R739" i="2"/>
  <c r="L739" i="2"/>
  <c r="J739" i="2"/>
  <c r="I739" i="2"/>
  <c r="H739" i="2"/>
  <c r="R738" i="2"/>
  <c r="L738" i="2"/>
  <c r="J738" i="2"/>
  <c r="I738" i="2"/>
  <c r="O738" i="2" s="1"/>
  <c r="Q738" i="2" s="1"/>
  <c r="H738" i="2"/>
  <c r="R737" i="2"/>
  <c r="L737" i="2"/>
  <c r="M737" i="2" s="1"/>
  <c r="N737" i="2" s="1"/>
  <c r="J737" i="2"/>
  <c r="I737" i="2"/>
  <c r="O737" i="2" s="1"/>
  <c r="Q737" i="2" s="1"/>
  <c r="H737" i="2"/>
  <c r="R736" i="2"/>
  <c r="L736" i="2"/>
  <c r="J736" i="2"/>
  <c r="I736" i="2"/>
  <c r="O736" i="2" s="1"/>
  <c r="H736" i="2"/>
  <c r="R735" i="2"/>
  <c r="L735" i="2"/>
  <c r="M735" i="2" s="1"/>
  <c r="N735" i="2" s="1"/>
  <c r="J735" i="2"/>
  <c r="I735" i="2"/>
  <c r="O735" i="2" s="1"/>
  <c r="Q735" i="2" s="1"/>
  <c r="H735" i="2"/>
  <c r="R734" i="2"/>
  <c r="L734" i="2"/>
  <c r="J734" i="2"/>
  <c r="I734" i="2"/>
  <c r="O734" i="2" s="1"/>
  <c r="H734" i="2"/>
  <c r="R733" i="2"/>
  <c r="L733" i="2"/>
  <c r="M733" i="2" s="1"/>
  <c r="J733" i="2"/>
  <c r="I733" i="2"/>
  <c r="O733" i="2" s="1"/>
  <c r="Q733" i="2" s="1"/>
  <c r="H733" i="2"/>
  <c r="R732" i="2"/>
  <c r="L732" i="2"/>
  <c r="J732" i="2"/>
  <c r="I732" i="2"/>
  <c r="O732" i="2" s="1"/>
  <c r="H732" i="2"/>
  <c r="R731" i="2"/>
  <c r="L731" i="2"/>
  <c r="M731" i="2" s="1"/>
  <c r="N731" i="2" s="1"/>
  <c r="J731" i="2"/>
  <c r="I731" i="2"/>
  <c r="O731" i="2" s="1"/>
  <c r="H731" i="2"/>
  <c r="R730" i="2"/>
  <c r="L730" i="2"/>
  <c r="J730" i="2"/>
  <c r="I730" i="2"/>
  <c r="O730" i="2" s="1"/>
  <c r="H730" i="2"/>
  <c r="R729" i="2"/>
  <c r="L729" i="2"/>
  <c r="M729" i="2" s="1"/>
  <c r="J729" i="2"/>
  <c r="I729" i="2"/>
  <c r="O729" i="2" s="1"/>
  <c r="H729" i="2"/>
  <c r="R728" i="2"/>
  <c r="L728" i="2"/>
  <c r="J728" i="2"/>
  <c r="I728" i="2"/>
  <c r="O728" i="2" s="1"/>
  <c r="H728" i="2"/>
  <c r="R727" i="2"/>
  <c r="L727" i="2"/>
  <c r="M727" i="2" s="1"/>
  <c r="N727" i="2" s="1"/>
  <c r="J727" i="2"/>
  <c r="I727" i="2"/>
  <c r="O727" i="2" s="1"/>
  <c r="H727" i="2"/>
  <c r="R726" i="2"/>
  <c r="L726" i="2"/>
  <c r="J726" i="2"/>
  <c r="I726" i="2"/>
  <c r="O726" i="2" s="1"/>
  <c r="P726" i="2" s="1"/>
  <c r="H726" i="2"/>
  <c r="R725" i="2"/>
  <c r="L725" i="2"/>
  <c r="J725" i="2"/>
  <c r="I725" i="2"/>
  <c r="O725" i="2" s="1"/>
  <c r="H725" i="2"/>
  <c r="R724" i="2"/>
  <c r="L724" i="2"/>
  <c r="M724" i="2" s="1"/>
  <c r="J724" i="2"/>
  <c r="I724" i="2"/>
  <c r="O724" i="2" s="1"/>
  <c r="H724" i="2"/>
  <c r="R723" i="2"/>
  <c r="L723" i="2"/>
  <c r="J723" i="2"/>
  <c r="I723" i="2"/>
  <c r="H723" i="2"/>
  <c r="R722" i="2"/>
  <c r="L722" i="2"/>
  <c r="M722" i="2" s="1"/>
  <c r="J722" i="2"/>
  <c r="I722" i="2"/>
  <c r="O722" i="2" s="1"/>
  <c r="H722" i="2"/>
  <c r="R721" i="2"/>
  <c r="L721" i="2"/>
  <c r="M721" i="2" s="1"/>
  <c r="N721" i="2" s="1"/>
  <c r="J721" i="2"/>
  <c r="I721" i="2"/>
  <c r="O721" i="2" s="1"/>
  <c r="Q721" i="2" s="1"/>
  <c r="H721" i="2"/>
  <c r="R720" i="2"/>
  <c r="L720" i="2"/>
  <c r="J720" i="2"/>
  <c r="I720" i="2"/>
  <c r="O720" i="2" s="1"/>
  <c r="H720" i="2"/>
  <c r="R719" i="2"/>
  <c r="L719" i="2"/>
  <c r="M719" i="2" s="1"/>
  <c r="N719" i="2" s="1"/>
  <c r="J719" i="2"/>
  <c r="I719" i="2"/>
  <c r="O719" i="2" s="1"/>
  <c r="H719" i="2"/>
  <c r="R718" i="2"/>
  <c r="L718" i="2"/>
  <c r="J718" i="2"/>
  <c r="I718" i="2"/>
  <c r="H718" i="2"/>
  <c r="R717" i="2"/>
  <c r="L717" i="2"/>
  <c r="M717" i="2" s="1"/>
  <c r="N717" i="2" s="1"/>
  <c r="J717" i="2"/>
  <c r="I717" i="2"/>
  <c r="O717" i="2" s="1"/>
  <c r="Q717" i="2" s="1"/>
  <c r="H717" i="2"/>
  <c r="R716" i="2"/>
  <c r="L716" i="2"/>
  <c r="J716" i="2"/>
  <c r="I716" i="2"/>
  <c r="O716" i="2" s="1"/>
  <c r="H716" i="2"/>
  <c r="R715" i="2"/>
  <c r="L715" i="2"/>
  <c r="J715" i="2"/>
  <c r="I715" i="2"/>
  <c r="O715" i="2" s="1"/>
  <c r="P715" i="2" s="1"/>
  <c r="H715" i="2"/>
  <c r="R714" i="2"/>
  <c r="L714" i="2"/>
  <c r="J714" i="2"/>
  <c r="I714" i="2"/>
  <c r="O714" i="2" s="1"/>
  <c r="H714" i="2"/>
  <c r="R713" i="2"/>
  <c r="L713" i="2"/>
  <c r="M713" i="2" s="1"/>
  <c r="J713" i="2"/>
  <c r="I713" i="2"/>
  <c r="O713" i="2" s="1"/>
  <c r="H713" i="2"/>
  <c r="R712" i="2"/>
  <c r="L712" i="2"/>
  <c r="M712" i="2" s="1"/>
  <c r="N712" i="2" s="1"/>
  <c r="J712" i="2"/>
  <c r="I712" i="2"/>
  <c r="O712" i="2" s="1"/>
  <c r="H712" i="2"/>
  <c r="R711" i="2"/>
  <c r="L711" i="2"/>
  <c r="M711" i="2" s="1"/>
  <c r="N711" i="2" s="1"/>
  <c r="J711" i="2"/>
  <c r="I711" i="2"/>
  <c r="O711" i="2" s="1"/>
  <c r="Q711" i="2" s="1"/>
  <c r="H711" i="2"/>
  <c r="R710" i="2"/>
  <c r="L710" i="2"/>
  <c r="M710" i="2" s="1"/>
  <c r="N710" i="2" s="1"/>
  <c r="J710" i="2"/>
  <c r="I710" i="2"/>
  <c r="O710" i="2" s="1"/>
  <c r="H710" i="2"/>
  <c r="R709" i="2"/>
  <c r="L709" i="2"/>
  <c r="J709" i="2"/>
  <c r="I709" i="2"/>
  <c r="O709" i="2" s="1"/>
  <c r="H709" i="2"/>
  <c r="R708" i="2"/>
  <c r="L708" i="2"/>
  <c r="M708" i="2" s="1"/>
  <c r="N708" i="2" s="1"/>
  <c r="J708" i="2"/>
  <c r="I708" i="2"/>
  <c r="H708" i="2"/>
  <c r="R707" i="2"/>
  <c r="L707" i="2"/>
  <c r="J707" i="2"/>
  <c r="I707" i="2"/>
  <c r="O707" i="2" s="1"/>
  <c r="H707" i="2"/>
  <c r="R706" i="2"/>
  <c r="L706" i="2"/>
  <c r="M706" i="2" s="1"/>
  <c r="N706" i="2" s="1"/>
  <c r="J706" i="2"/>
  <c r="I706" i="2"/>
  <c r="O706" i="2" s="1"/>
  <c r="Q706" i="2" s="1"/>
  <c r="H706" i="2"/>
  <c r="R705" i="2"/>
  <c r="L705" i="2"/>
  <c r="J705" i="2"/>
  <c r="I705" i="2"/>
  <c r="O705" i="2" s="1"/>
  <c r="H705" i="2"/>
  <c r="R704" i="2"/>
  <c r="L704" i="2"/>
  <c r="M704" i="2" s="1"/>
  <c r="J704" i="2"/>
  <c r="I704" i="2"/>
  <c r="H704" i="2"/>
  <c r="R703" i="2"/>
  <c r="L703" i="2"/>
  <c r="J703" i="2"/>
  <c r="I703" i="2"/>
  <c r="O703" i="2" s="1"/>
  <c r="Q703" i="2" s="1"/>
  <c r="H703" i="2"/>
  <c r="R702" i="2"/>
  <c r="L702" i="2"/>
  <c r="M702" i="2" s="1"/>
  <c r="J702" i="2"/>
  <c r="I702" i="2"/>
  <c r="O702" i="2" s="1"/>
  <c r="Q702" i="2" s="1"/>
  <c r="H702" i="2"/>
  <c r="R701" i="2"/>
  <c r="L701" i="2"/>
  <c r="M701" i="2" s="1"/>
  <c r="J701" i="2"/>
  <c r="I701" i="2"/>
  <c r="O701" i="2" s="1"/>
  <c r="Q701" i="2" s="1"/>
  <c r="H701" i="2"/>
  <c r="R700" i="2"/>
  <c r="L700" i="2"/>
  <c r="J700" i="2"/>
  <c r="I700" i="2"/>
  <c r="O700" i="2" s="1"/>
  <c r="P700" i="2" s="1"/>
  <c r="H700" i="2"/>
  <c r="R699" i="2"/>
  <c r="L699" i="2"/>
  <c r="J699" i="2"/>
  <c r="I699" i="2"/>
  <c r="H699" i="2"/>
  <c r="R698" i="2"/>
  <c r="L698" i="2"/>
  <c r="M698" i="2" s="1"/>
  <c r="N698" i="2" s="1"/>
  <c r="J698" i="2"/>
  <c r="I698" i="2"/>
  <c r="O698" i="2" s="1"/>
  <c r="Q698" i="2" s="1"/>
  <c r="H698" i="2"/>
  <c r="R697" i="2"/>
  <c r="L697" i="2"/>
  <c r="M697" i="2" s="1"/>
  <c r="N697" i="2" s="1"/>
  <c r="J697" i="2"/>
  <c r="I697" i="2"/>
  <c r="O697" i="2" s="1"/>
  <c r="P697" i="2" s="1"/>
  <c r="H697" i="2"/>
  <c r="R696" i="2"/>
  <c r="L696" i="2"/>
  <c r="J696" i="2"/>
  <c r="I696" i="2"/>
  <c r="O696" i="2" s="1"/>
  <c r="H696" i="2"/>
  <c r="R695" i="2"/>
  <c r="L695" i="2"/>
  <c r="J695" i="2"/>
  <c r="I695" i="2"/>
  <c r="O695" i="2" s="1"/>
  <c r="H695" i="2"/>
  <c r="R694" i="2"/>
  <c r="L694" i="2"/>
  <c r="M694" i="2" s="1"/>
  <c r="J694" i="2"/>
  <c r="I694" i="2"/>
  <c r="O694" i="2" s="1"/>
  <c r="H694" i="2"/>
  <c r="R693" i="2"/>
  <c r="L693" i="2"/>
  <c r="J693" i="2"/>
  <c r="I693" i="2"/>
  <c r="O693" i="2" s="1"/>
  <c r="Q693" i="2" s="1"/>
  <c r="H693" i="2"/>
  <c r="R692" i="2"/>
  <c r="L692" i="2"/>
  <c r="J692" i="2"/>
  <c r="I692" i="2"/>
  <c r="H692" i="2"/>
  <c r="R691" i="2"/>
  <c r="L691" i="2"/>
  <c r="M691" i="2" s="1"/>
  <c r="N691" i="2" s="1"/>
  <c r="J691" i="2"/>
  <c r="I691" i="2"/>
  <c r="O691" i="2" s="1"/>
  <c r="H691" i="2"/>
  <c r="R690" i="2"/>
  <c r="L690" i="2"/>
  <c r="J690" i="2"/>
  <c r="I690" i="2"/>
  <c r="O690" i="2" s="1"/>
  <c r="P690" i="2" s="1"/>
  <c r="H690" i="2"/>
  <c r="R689" i="2"/>
  <c r="L689" i="2"/>
  <c r="M689" i="2" s="1"/>
  <c r="J689" i="2"/>
  <c r="I689" i="2"/>
  <c r="O689" i="2" s="1"/>
  <c r="Q689" i="2" s="1"/>
  <c r="H689" i="2"/>
  <c r="R688" i="2"/>
  <c r="L688" i="2"/>
  <c r="J688" i="2"/>
  <c r="I688" i="2"/>
  <c r="O688" i="2" s="1"/>
  <c r="H688" i="2"/>
  <c r="R687" i="2"/>
  <c r="L687" i="2"/>
  <c r="J687" i="2"/>
  <c r="I687" i="2"/>
  <c r="H687" i="2"/>
  <c r="R686" i="2"/>
  <c r="L686" i="2"/>
  <c r="J686" i="2"/>
  <c r="I686" i="2"/>
  <c r="O686" i="2" s="1"/>
  <c r="H686" i="2"/>
  <c r="R685" i="2"/>
  <c r="L685" i="2"/>
  <c r="M685" i="2" s="1"/>
  <c r="N685" i="2" s="1"/>
  <c r="J685" i="2"/>
  <c r="I685" i="2"/>
  <c r="O685" i="2" s="1"/>
  <c r="Q685" i="2" s="1"/>
  <c r="H685" i="2"/>
  <c r="R684" i="2"/>
  <c r="L684" i="2"/>
  <c r="M684" i="2" s="1"/>
  <c r="J684" i="2"/>
  <c r="I684" i="2"/>
  <c r="H684" i="2"/>
  <c r="R683" i="2"/>
  <c r="L683" i="2"/>
  <c r="M683" i="2" s="1"/>
  <c r="J683" i="2"/>
  <c r="I683" i="2"/>
  <c r="H683" i="2"/>
  <c r="R682" i="2"/>
  <c r="L682" i="2"/>
  <c r="J682" i="2"/>
  <c r="I682" i="2"/>
  <c r="O682" i="2" s="1"/>
  <c r="H682" i="2"/>
  <c r="R681" i="2"/>
  <c r="L681" i="2"/>
  <c r="J681" i="2"/>
  <c r="I681" i="2"/>
  <c r="O681" i="2" s="1"/>
  <c r="H681" i="2"/>
  <c r="R680" i="2"/>
  <c r="L680" i="2"/>
  <c r="J680" i="2"/>
  <c r="I680" i="2"/>
  <c r="O680" i="2" s="1"/>
  <c r="H680" i="2"/>
  <c r="R679" i="2"/>
  <c r="L679" i="2"/>
  <c r="J679" i="2"/>
  <c r="I679" i="2"/>
  <c r="O679" i="2" s="1"/>
  <c r="H679" i="2"/>
  <c r="R678" i="2"/>
  <c r="L678" i="2"/>
  <c r="J678" i="2"/>
  <c r="I678" i="2"/>
  <c r="O678" i="2" s="1"/>
  <c r="P678" i="2" s="1"/>
  <c r="H678" i="2"/>
  <c r="R677" i="2"/>
  <c r="L677" i="2"/>
  <c r="J677" i="2"/>
  <c r="I677" i="2"/>
  <c r="O677" i="2" s="1"/>
  <c r="H677" i="2"/>
  <c r="R676" i="2"/>
  <c r="L676" i="2"/>
  <c r="J676" i="2"/>
  <c r="I676" i="2"/>
  <c r="O676" i="2" s="1"/>
  <c r="P676" i="2" s="1"/>
  <c r="H676" i="2"/>
  <c r="R675" i="2"/>
  <c r="L675" i="2"/>
  <c r="M675" i="2" s="1"/>
  <c r="N675" i="2" s="1"/>
  <c r="J675" i="2"/>
  <c r="I675" i="2"/>
  <c r="O675" i="2" s="1"/>
  <c r="H675" i="2"/>
  <c r="R674" i="2"/>
  <c r="L674" i="2"/>
  <c r="M674" i="2" s="1"/>
  <c r="J674" i="2"/>
  <c r="I674" i="2"/>
  <c r="O674" i="2" s="1"/>
  <c r="H674" i="2"/>
  <c r="R673" i="2"/>
  <c r="L673" i="2"/>
  <c r="J673" i="2"/>
  <c r="I673" i="2"/>
  <c r="O673" i="2" s="1"/>
  <c r="Q673" i="2" s="1"/>
  <c r="H673" i="2"/>
  <c r="R672" i="2"/>
  <c r="L672" i="2"/>
  <c r="M672" i="2" s="1"/>
  <c r="N672" i="2" s="1"/>
  <c r="J672" i="2"/>
  <c r="I672" i="2"/>
  <c r="H672" i="2"/>
  <c r="R671" i="2"/>
  <c r="L671" i="2"/>
  <c r="M671" i="2" s="1"/>
  <c r="N671" i="2" s="1"/>
  <c r="J671" i="2"/>
  <c r="I671" i="2"/>
  <c r="O671" i="2" s="1"/>
  <c r="Q671" i="2" s="1"/>
  <c r="H671" i="2"/>
  <c r="R670" i="2"/>
  <c r="L670" i="2"/>
  <c r="M670" i="2" s="1"/>
  <c r="N670" i="2" s="1"/>
  <c r="J670" i="2"/>
  <c r="I670" i="2"/>
  <c r="O670" i="2" s="1"/>
  <c r="H670" i="2"/>
  <c r="R669" i="2"/>
  <c r="L669" i="2"/>
  <c r="M669" i="2" s="1"/>
  <c r="J669" i="2"/>
  <c r="I669" i="2"/>
  <c r="O669" i="2" s="1"/>
  <c r="H669" i="2"/>
  <c r="R668" i="2"/>
  <c r="L668" i="2"/>
  <c r="J668" i="2"/>
  <c r="I668" i="2"/>
  <c r="H668" i="2"/>
  <c r="R667" i="2"/>
  <c r="L667" i="2"/>
  <c r="J667" i="2"/>
  <c r="I667" i="2"/>
  <c r="O667" i="2" s="1"/>
  <c r="Q667" i="2" s="1"/>
  <c r="H667" i="2"/>
  <c r="R666" i="2"/>
  <c r="L666" i="2"/>
  <c r="M666" i="2" s="1"/>
  <c r="J666" i="2"/>
  <c r="I666" i="2"/>
  <c r="O666" i="2" s="1"/>
  <c r="Q666" i="2" s="1"/>
  <c r="H666" i="2"/>
  <c r="R665" i="2"/>
  <c r="L665" i="2"/>
  <c r="M665" i="2" s="1"/>
  <c r="J665" i="2"/>
  <c r="I665" i="2"/>
  <c r="O665" i="2" s="1"/>
  <c r="H665" i="2"/>
  <c r="R664" i="2"/>
  <c r="L664" i="2"/>
  <c r="M664" i="2" s="1"/>
  <c r="J664" i="2"/>
  <c r="I664" i="2"/>
  <c r="O664" i="2" s="1"/>
  <c r="P664" i="2" s="1"/>
  <c r="H664" i="2"/>
  <c r="R663" i="2"/>
  <c r="L663" i="2"/>
  <c r="J663" i="2"/>
  <c r="I663" i="2"/>
  <c r="O663" i="2" s="1"/>
  <c r="H663" i="2"/>
  <c r="R662" i="2"/>
  <c r="L662" i="2"/>
  <c r="M662" i="2" s="1"/>
  <c r="N662" i="2" s="1"/>
  <c r="J662" i="2"/>
  <c r="I662" i="2"/>
  <c r="O662" i="2" s="1"/>
  <c r="Q662" i="2" s="1"/>
  <c r="H662" i="2"/>
  <c r="R661" i="2"/>
  <c r="L661" i="2"/>
  <c r="M661" i="2" s="1"/>
  <c r="N661" i="2" s="1"/>
  <c r="J661" i="2"/>
  <c r="I661" i="2"/>
  <c r="H661" i="2"/>
  <c r="R660" i="2"/>
  <c r="L660" i="2"/>
  <c r="J660" i="2"/>
  <c r="I660" i="2"/>
  <c r="O660" i="2" s="1"/>
  <c r="Q660" i="2" s="1"/>
  <c r="H660" i="2"/>
  <c r="R659" i="2"/>
  <c r="L659" i="2"/>
  <c r="M659" i="2" s="1"/>
  <c r="J659" i="2"/>
  <c r="I659" i="2"/>
  <c r="O659" i="2" s="1"/>
  <c r="P659" i="2" s="1"/>
  <c r="H659" i="2"/>
  <c r="R658" i="2"/>
  <c r="L658" i="2"/>
  <c r="J658" i="2"/>
  <c r="I658" i="2"/>
  <c r="O658" i="2" s="1"/>
  <c r="Q658" i="2" s="1"/>
  <c r="H658" i="2"/>
  <c r="R657" i="2"/>
  <c r="L657" i="2"/>
  <c r="J657" i="2"/>
  <c r="I657" i="2"/>
  <c r="O657" i="2" s="1"/>
  <c r="Q657" i="2" s="1"/>
  <c r="H657" i="2"/>
  <c r="R656" i="2"/>
  <c r="L656" i="2"/>
  <c r="J656" i="2"/>
  <c r="I656" i="2"/>
  <c r="H656" i="2"/>
  <c r="R655" i="2"/>
  <c r="L655" i="2"/>
  <c r="M655" i="2" s="1"/>
  <c r="N655" i="2" s="1"/>
  <c r="J655" i="2"/>
  <c r="I655" i="2"/>
  <c r="O655" i="2" s="1"/>
  <c r="H655" i="2"/>
  <c r="R654" i="2"/>
  <c r="L654" i="2"/>
  <c r="J654" i="2"/>
  <c r="I654" i="2"/>
  <c r="H654" i="2"/>
  <c r="R653" i="2"/>
  <c r="L653" i="2"/>
  <c r="J653" i="2"/>
  <c r="I653" i="2"/>
  <c r="O653" i="2" s="1"/>
  <c r="H653" i="2"/>
  <c r="R652" i="2"/>
  <c r="L652" i="2"/>
  <c r="M652" i="2" s="1"/>
  <c r="N652" i="2" s="1"/>
  <c r="J652" i="2"/>
  <c r="I652" i="2"/>
  <c r="O652" i="2" s="1"/>
  <c r="P652" i="2" s="1"/>
  <c r="H652" i="2"/>
  <c r="R651" i="2"/>
  <c r="L651" i="2"/>
  <c r="M651" i="2" s="1"/>
  <c r="N651" i="2" s="1"/>
  <c r="J651" i="2"/>
  <c r="I651" i="2"/>
  <c r="H651" i="2"/>
  <c r="R650" i="2"/>
  <c r="L650" i="2"/>
  <c r="M650" i="2" s="1"/>
  <c r="N650" i="2" s="1"/>
  <c r="J650" i="2"/>
  <c r="I650" i="2"/>
  <c r="O650" i="2" s="1"/>
  <c r="Q650" i="2" s="1"/>
  <c r="H650" i="2"/>
  <c r="R649" i="2"/>
  <c r="L649" i="2"/>
  <c r="J649" i="2"/>
  <c r="I649" i="2"/>
  <c r="O649" i="2" s="1"/>
  <c r="Q649" i="2" s="1"/>
  <c r="H649" i="2"/>
  <c r="R648" i="2"/>
  <c r="L648" i="2"/>
  <c r="J648" i="2"/>
  <c r="I648" i="2"/>
  <c r="O648" i="2" s="1"/>
  <c r="H648" i="2"/>
  <c r="R647" i="2"/>
  <c r="L647" i="2"/>
  <c r="J647" i="2"/>
  <c r="I647" i="2"/>
  <c r="O647" i="2" s="1"/>
  <c r="P647" i="2" s="1"/>
  <c r="H647" i="2"/>
  <c r="R646" i="2"/>
  <c r="L646" i="2"/>
  <c r="J646" i="2"/>
  <c r="I646" i="2"/>
  <c r="H646" i="2"/>
  <c r="R645" i="2"/>
  <c r="L645" i="2"/>
  <c r="J645" i="2"/>
  <c r="I645" i="2"/>
  <c r="O645" i="2" s="1"/>
  <c r="H645" i="2"/>
  <c r="R644" i="2"/>
  <c r="L644" i="2"/>
  <c r="J644" i="2"/>
  <c r="I644" i="2"/>
  <c r="O644" i="2" s="1"/>
  <c r="H644" i="2"/>
  <c r="R643" i="2"/>
  <c r="L643" i="2"/>
  <c r="M643" i="2" s="1"/>
  <c r="N643" i="2" s="1"/>
  <c r="J643" i="2"/>
  <c r="I643" i="2"/>
  <c r="O643" i="2" s="1"/>
  <c r="P643" i="2" s="1"/>
  <c r="H643" i="2"/>
  <c r="R642" i="2"/>
  <c r="L642" i="2"/>
  <c r="J642" i="2"/>
  <c r="I642" i="2"/>
  <c r="O642" i="2" s="1"/>
  <c r="H642" i="2"/>
  <c r="R641" i="2"/>
  <c r="L641" i="2"/>
  <c r="M641" i="2" s="1"/>
  <c r="N641" i="2" s="1"/>
  <c r="J641" i="2"/>
  <c r="I641" i="2"/>
  <c r="O641" i="2" s="1"/>
  <c r="H641" i="2"/>
  <c r="R640" i="2"/>
  <c r="L640" i="2"/>
  <c r="J640" i="2"/>
  <c r="I640" i="2"/>
  <c r="O640" i="2" s="1"/>
  <c r="H640" i="2"/>
  <c r="R639" i="2"/>
  <c r="L639" i="2"/>
  <c r="M639" i="2" s="1"/>
  <c r="N639" i="2" s="1"/>
  <c r="J639" i="2"/>
  <c r="I639" i="2"/>
  <c r="O639" i="2" s="1"/>
  <c r="H639" i="2"/>
  <c r="R638" i="2"/>
  <c r="L638" i="2"/>
  <c r="J638" i="2"/>
  <c r="I638" i="2"/>
  <c r="H638" i="2"/>
  <c r="R637" i="2"/>
  <c r="L637" i="2"/>
  <c r="J637" i="2"/>
  <c r="I637" i="2"/>
  <c r="O637" i="2" s="1"/>
  <c r="H637" i="2"/>
  <c r="R636" i="2"/>
  <c r="L636" i="2"/>
  <c r="J636" i="2"/>
  <c r="I636" i="2"/>
  <c r="O636" i="2" s="1"/>
  <c r="H636" i="2"/>
  <c r="R635" i="2"/>
  <c r="L635" i="2"/>
  <c r="J635" i="2"/>
  <c r="I635" i="2"/>
  <c r="O635" i="2" s="1"/>
  <c r="P635" i="2" s="1"/>
  <c r="H635" i="2"/>
  <c r="R634" i="2"/>
  <c r="L634" i="2"/>
  <c r="J634" i="2"/>
  <c r="I634" i="2"/>
  <c r="O634" i="2" s="1"/>
  <c r="Q634" i="2" s="1"/>
  <c r="H634" i="2"/>
  <c r="R633" i="2"/>
  <c r="L633" i="2"/>
  <c r="J633" i="2"/>
  <c r="I633" i="2"/>
  <c r="O633" i="2" s="1"/>
  <c r="H633" i="2"/>
  <c r="R632" i="2"/>
  <c r="L632" i="2"/>
  <c r="M632" i="2" s="1"/>
  <c r="N632" i="2" s="1"/>
  <c r="J632" i="2"/>
  <c r="I632" i="2"/>
  <c r="O632" i="2" s="1"/>
  <c r="H632" i="2"/>
  <c r="R631" i="2"/>
  <c r="L631" i="2"/>
  <c r="M631" i="2" s="1"/>
  <c r="N631" i="2" s="1"/>
  <c r="J631" i="2"/>
  <c r="I631" i="2"/>
  <c r="O631" i="2" s="1"/>
  <c r="Q631" i="2" s="1"/>
  <c r="H631" i="2"/>
  <c r="R630" i="2"/>
  <c r="L630" i="2"/>
  <c r="J630" i="2"/>
  <c r="I630" i="2"/>
  <c r="O630" i="2" s="1"/>
  <c r="Q630" i="2" s="1"/>
  <c r="H630" i="2"/>
  <c r="R629" i="2"/>
  <c r="L629" i="2"/>
  <c r="M629" i="2" s="1"/>
  <c r="J629" i="2"/>
  <c r="I629" i="2"/>
  <c r="O629" i="2" s="1"/>
  <c r="P629" i="2" s="1"/>
  <c r="H629" i="2"/>
  <c r="R628" i="2"/>
  <c r="L628" i="2"/>
  <c r="M628" i="2" s="1"/>
  <c r="N628" i="2" s="1"/>
  <c r="J628" i="2"/>
  <c r="I628" i="2"/>
  <c r="O628" i="2" s="1"/>
  <c r="H628" i="2"/>
  <c r="R627" i="2"/>
  <c r="L627" i="2"/>
  <c r="J627" i="2"/>
  <c r="I627" i="2"/>
  <c r="O627" i="2" s="1"/>
  <c r="H627" i="2"/>
  <c r="R626" i="2"/>
  <c r="L626" i="2"/>
  <c r="M626" i="2" s="1"/>
  <c r="N626" i="2" s="1"/>
  <c r="J626" i="2"/>
  <c r="I626" i="2"/>
  <c r="O626" i="2" s="1"/>
  <c r="Q626" i="2" s="1"/>
  <c r="H626" i="2"/>
  <c r="R625" i="2"/>
  <c r="L625" i="2"/>
  <c r="J625" i="2"/>
  <c r="I625" i="2"/>
  <c r="O625" i="2" s="1"/>
  <c r="P625" i="2" s="1"/>
  <c r="H625" i="2"/>
  <c r="R624" i="2"/>
  <c r="L624" i="2"/>
  <c r="J624" i="2"/>
  <c r="I624" i="2"/>
  <c r="O624" i="2" s="1"/>
  <c r="Q624" i="2" s="1"/>
  <c r="H624" i="2"/>
  <c r="R623" i="2"/>
  <c r="L623" i="2"/>
  <c r="M623" i="2" s="1"/>
  <c r="J623" i="2"/>
  <c r="I623" i="2"/>
  <c r="H623" i="2"/>
  <c r="R622" i="2"/>
  <c r="L622" i="2"/>
  <c r="M622" i="2" s="1"/>
  <c r="N622" i="2" s="1"/>
  <c r="J622" i="2"/>
  <c r="I622" i="2"/>
  <c r="O622" i="2" s="1"/>
  <c r="Q622" i="2" s="1"/>
  <c r="H622" i="2"/>
  <c r="R621" i="2"/>
  <c r="L621" i="2"/>
  <c r="M621" i="2" s="1"/>
  <c r="N621" i="2" s="1"/>
  <c r="J621" i="2"/>
  <c r="I621" i="2"/>
  <c r="O621" i="2" s="1"/>
  <c r="H621" i="2"/>
  <c r="R620" i="2"/>
  <c r="L620" i="2"/>
  <c r="J620" i="2"/>
  <c r="I620" i="2"/>
  <c r="O620" i="2" s="1"/>
  <c r="H620" i="2"/>
  <c r="R619" i="2"/>
  <c r="L619" i="2"/>
  <c r="M619" i="2" s="1"/>
  <c r="N619" i="2" s="1"/>
  <c r="J619" i="2"/>
  <c r="I619" i="2"/>
  <c r="O619" i="2" s="1"/>
  <c r="H619" i="2"/>
  <c r="R618" i="2"/>
  <c r="L618" i="2"/>
  <c r="M618" i="2" s="1"/>
  <c r="N618" i="2" s="1"/>
  <c r="J618" i="2"/>
  <c r="I618" i="2"/>
  <c r="O618" i="2" s="1"/>
  <c r="H618" i="2"/>
  <c r="R617" i="2"/>
  <c r="L617" i="2"/>
  <c r="M617" i="2" s="1"/>
  <c r="N617" i="2" s="1"/>
  <c r="J617" i="2"/>
  <c r="I617" i="2"/>
  <c r="O617" i="2" s="1"/>
  <c r="H617" i="2"/>
  <c r="R616" i="2"/>
  <c r="L616" i="2"/>
  <c r="J616" i="2"/>
  <c r="I616" i="2"/>
  <c r="H616" i="2"/>
  <c r="R615" i="2"/>
  <c r="L615" i="2"/>
  <c r="J615" i="2"/>
  <c r="I615" i="2"/>
  <c r="O615" i="2" s="1"/>
  <c r="Q615" i="2" s="1"/>
  <c r="H615" i="2"/>
  <c r="R614" i="2"/>
  <c r="L614" i="2"/>
  <c r="J614" i="2"/>
  <c r="I614" i="2"/>
  <c r="H614" i="2"/>
  <c r="R613" i="2"/>
  <c r="L613" i="2"/>
  <c r="M613" i="2" s="1"/>
  <c r="N613" i="2" s="1"/>
  <c r="J613" i="2"/>
  <c r="I613" i="2"/>
  <c r="O613" i="2" s="1"/>
  <c r="H613" i="2"/>
  <c r="R612" i="2"/>
  <c r="L612" i="2"/>
  <c r="M612" i="2" s="1"/>
  <c r="N612" i="2" s="1"/>
  <c r="J612" i="2"/>
  <c r="I612" i="2"/>
  <c r="O612" i="2" s="1"/>
  <c r="Q612" i="2" s="1"/>
  <c r="H612" i="2"/>
  <c r="R611" i="2"/>
  <c r="L611" i="2"/>
  <c r="M611" i="2" s="1"/>
  <c r="N611" i="2" s="1"/>
  <c r="J611" i="2"/>
  <c r="I611" i="2"/>
  <c r="O611" i="2" s="1"/>
  <c r="H611" i="2"/>
  <c r="R610" i="2"/>
  <c r="L610" i="2"/>
  <c r="J610" i="2"/>
  <c r="I610" i="2"/>
  <c r="O610" i="2" s="1"/>
  <c r="H610" i="2"/>
  <c r="R609" i="2"/>
  <c r="L609" i="2"/>
  <c r="M609" i="2" s="1"/>
  <c r="J609" i="2"/>
  <c r="I609" i="2"/>
  <c r="O609" i="2" s="1"/>
  <c r="H609" i="2"/>
  <c r="R608" i="2"/>
  <c r="L608" i="2"/>
  <c r="J608" i="2"/>
  <c r="I608" i="2"/>
  <c r="O608" i="2" s="1"/>
  <c r="Q608" i="2" s="1"/>
  <c r="H608" i="2"/>
  <c r="R607" i="2"/>
  <c r="L607" i="2"/>
  <c r="J607" i="2"/>
  <c r="I607" i="2"/>
  <c r="O607" i="2" s="1"/>
  <c r="P607" i="2" s="1"/>
  <c r="H607" i="2"/>
  <c r="R606" i="2"/>
  <c r="L606" i="2"/>
  <c r="M606" i="2" s="1"/>
  <c r="J606" i="2"/>
  <c r="I606" i="2"/>
  <c r="O606" i="2" s="1"/>
  <c r="H606" i="2"/>
  <c r="R605" i="2"/>
  <c r="L605" i="2"/>
  <c r="M605" i="2" s="1"/>
  <c r="N605" i="2" s="1"/>
  <c r="J605" i="2"/>
  <c r="I605" i="2"/>
  <c r="O605" i="2" s="1"/>
  <c r="H605" i="2"/>
  <c r="R604" i="2"/>
  <c r="L604" i="2"/>
  <c r="J604" i="2"/>
  <c r="I604" i="2"/>
  <c r="H604" i="2"/>
  <c r="R603" i="2"/>
  <c r="L603" i="2"/>
  <c r="M603" i="2" s="1"/>
  <c r="N603" i="2" s="1"/>
  <c r="J603" i="2"/>
  <c r="I603" i="2"/>
  <c r="O603" i="2" s="1"/>
  <c r="P603" i="2" s="1"/>
  <c r="H603" i="2"/>
  <c r="R602" i="2"/>
  <c r="L602" i="2"/>
  <c r="M602" i="2" s="1"/>
  <c r="J602" i="2"/>
  <c r="I602" i="2"/>
  <c r="O602" i="2" s="1"/>
  <c r="Q602" i="2" s="1"/>
  <c r="H602" i="2"/>
  <c r="R601" i="2"/>
  <c r="L601" i="2"/>
  <c r="J601" i="2"/>
  <c r="I601" i="2"/>
  <c r="H601" i="2"/>
  <c r="R600" i="2"/>
  <c r="L600" i="2"/>
  <c r="J600" i="2"/>
  <c r="I600" i="2"/>
  <c r="O600" i="2" s="1"/>
  <c r="P600" i="2" s="1"/>
  <c r="H600" i="2"/>
  <c r="R599" i="2"/>
  <c r="L599" i="2"/>
  <c r="M599" i="2" s="1"/>
  <c r="N599" i="2" s="1"/>
  <c r="J599" i="2"/>
  <c r="I599" i="2"/>
  <c r="O599" i="2" s="1"/>
  <c r="H599" i="2"/>
  <c r="R598" i="2"/>
  <c r="L598" i="2"/>
  <c r="J598" i="2"/>
  <c r="I598" i="2"/>
  <c r="H598" i="2"/>
  <c r="R597" i="2"/>
  <c r="L597" i="2"/>
  <c r="J597" i="2"/>
  <c r="I597" i="2"/>
  <c r="O597" i="2" s="1"/>
  <c r="H597" i="2"/>
  <c r="R596" i="2"/>
  <c r="L596" i="2"/>
  <c r="J596" i="2"/>
  <c r="I596" i="2"/>
  <c r="O596" i="2" s="1"/>
  <c r="H596" i="2"/>
  <c r="R595" i="2"/>
  <c r="L595" i="2"/>
  <c r="M595" i="2" s="1"/>
  <c r="N595" i="2" s="1"/>
  <c r="J595" i="2"/>
  <c r="I595" i="2"/>
  <c r="H595" i="2"/>
  <c r="R594" i="2"/>
  <c r="L594" i="2"/>
  <c r="J594" i="2"/>
  <c r="I594" i="2"/>
  <c r="O594" i="2" s="1"/>
  <c r="H594" i="2"/>
  <c r="R593" i="2"/>
  <c r="L593" i="2"/>
  <c r="M593" i="2" s="1"/>
  <c r="N593" i="2" s="1"/>
  <c r="J593" i="2"/>
  <c r="I593" i="2"/>
  <c r="O593" i="2" s="1"/>
  <c r="H593" i="2"/>
  <c r="R592" i="2"/>
  <c r="L592" i="2"/>
  <c r="J592" i="2"/>
  <c r="I592" i="2"/>
  <c r="O592" i="2" s="1"/>
  <c r="H592" i="2"/>
  <c r="R591" i="2"/>
  <c r="L591" i="2"/>
  <c r="M591" i="2" s="1"/>
  <c r="N591" i="2" s="1"/>
  <c r="J591" i="2"/>
  <c r="I591" i="2"/>
  <c r="O591" i="2" s="1"/>
  <c r="Q591" i="2" s="1"/>
  <c r="H591" i="2"/>
  <c r="R590" i="2"/>
  <c r="L590" i="2"/>
  <c r="J590" i="2"/>
  <c r="I590" i="2"/>
  <c r="O590" i="2" s="1"/>
  <c r="H590" i="2"/>
  <c r="R589" i="2"/>
  <c r="L589" i="2"/>
  <c r="J589" i="2"/>
  <c r="I589" i="2"/>
  <c r="O589" i="2" s="1"/>
  <c r="H589" i="2"/>
  <c r="R588" i="2"/>
  <c r="L588" i="2"/>
  <c r="J588" i="2"/>
  <c r="I588" i="2"/>
  <c r="O588" i="2" s="1"/>
  <c r="H588" i="2"/>
  <c r="R587" i="2"/>
  <c r="L587" i="2"/>
  <c r="J587" i="2"/>
  <c r="I587" i="2"/>
  <c r="O587" i="2" s="1"/>
  <c r="H587" i="2"/>
  <c r="R586" i="2"/>
  <c r="L586" i="2"/>
  <c r="M586" i="2" s="1"/>
  <c r="N586" i="2" s="1"/>
  <c r="J586" i="2"/>
  <c r="I586" i="2"/>
  <c r="O586" i="2" s="1"/>
  <c r="P586" i="2" s="1"/>
  <c r="H586" i="2"/>
  <c r="R585" i="2"/>
  <c r="L585" i="2"/>
  <c r="M585" i="2" s="1"/>
  <c r="N585" i="2" s="1"/>
  <c r="J585" i="2"/>
  <c r="I585" i="2"/>
  <c r="O585" i="2" s="1"/>
  <c r="H585" i="2"/>
  <c r="R584" i="2"/>
  <c r="L584" i="2"/>
  <c r="J584" i="2"/>
  <c r="I584" i="2"/>
  <c r="H584" i="2"/>
  <c r="R583" i="2"/>
  <c r="L583" i="2"/>
  <c r="M583" i="2" s="1"/>
  <c r="N583" i="2" s="1"/>
  <c r="J583" i="2"/>
  <c r="I583" i="2"/>
  <c r="O583" i="2" s="1"/>
  <c r="H583" i="2"/>
  <c r="R582" i="2"/>
  <c r="L582" i="2"/>
  <c r="M582" i="2" s="1"/>
  <c r="N582" i="2" s="1"/>
  <c r="J582" i="2"/>
  <c r="I582" i="2"/>
  <c r="O582" i="2" s="1"/>
  <c r="H582" i="2"/>
  <c r="R581" i="2"/>
  <c r="L581" i="2"/>
  <c r="M581" i="2" s="1"/>
  <c r="J581" i="2"/>
  <c r="I581" i="2"/>
  <c r="O581" i="2" s="1"/>
  <c r="H581" i="2"/>
  <c r="R580" i="2"/>
  <c r="L580" i="2"/>
  <c r="J580" i="2"/>
  <c r="I580" i="2"/>
  <c r="O580" i="2" s="1"/>
  <c r="Q580" i="2" s="1"/>
  <c r="H580" i="2"/>
  <c r="R579" i="2"/>
  <c r="L579" i="2"/>
  <c r="J579" i="2"/>
  <c r="I579" i="2"/>
  <c r="H579" i="2"/>
  <c r="R578" i="2"/>
  <c r="L578" i="2"/>
  <c r="J578" i="2"/>
  <c r="I578" i="2"/>
  <c r="O578" i="2" s="1"/>
  <c r="Q578" i="2" s="1"/>
  <c r="H578" i="2"/>
  <c r="R577" i="2"/>
  <c r="L577" i="2"/>
  <c r="M577" i="2" s="1"/>
  <c r="N577" i="2" s="1"/>
  <c r="J577" i="2"/>
  <c r="I577" i="2"/>
  <c r="O577" i="2" s="1"/>
  <c r="P577" i="2" s="1"/>
  <c r="H577" i="2"/>
  <c r="R576" i="2"/>
  <c r="L576" i="2"/>
  <c r="J576" i="2"/>
  <c r="I576" i="2"/>
  <c r="O576" i="2" s="1"/>
  <c r="H576" i="2"/>
  <c r="R575" i="2"/>
  <c r="L575" i="2"/>
  <c r="M575" i="2" s="1"/>
  <c r="J575" i="2"/>
  <c r="I575" i="2"/>
  <c r="O575" i="2" s="1"/>
  <c r="Q575" i="2" s="1"/>
  <c r="H575" i="2"/>
  <c r="R574" i="2"/>
  <c r="L574" i="2"/>
  <c r="J574" i="2"/>
  <c r="I574" i="2"/>
  <c r="O574" i="2" s="1"/>
  <c r="H574" i="2"/>
  <c r="R573" i="2"/>
  <c r="L573" i="2"/>
  <c r="M573" i="2" s="1"/>
  <c r="N573" i="2" s="1"/>
  <c r="J573" i="2"/>
  <c r="I573" i="2"/>
  <c r="O573" i="2" s="1"/>
  <c r="H573" i="2"/>
  <c r="R572" i="2"/>
  <c r="L572" i="2"/>
  <c r="J572" i="2"/>
  <c r="I572" i="2"/>
  <c r="O572" i="2" s="1"/>
  <c r="H572" i="2"/>
  <c r="R571" i="2"/>
  <c r="L571" i="2"/>
  <c r="M571" i="2" s="1"/>
  <c r="N571" i="2" s="1"/>
  <c r="J571" i="2"/>
  <c r="I571" i="2"/>
  <c r="H571" i="2"/>
  <c r="R570" i="2"/>
  <c r="L570" i="2"/>
  <c r="M570" i="2" s="1"/>
  <c r="J570" i="2"/>
  <c r="I570" i="2"/>
  <c r="O570" i="2" s="1"/>
  <c r="H570" i="2"/>
  <c r="R569" i="2"/>
  <c r="L569" i="2"/>
  <c r="J569" i="2"/>
  <c r="I569" i="2"/>
  <c r="O569" i="2" s="1"/>
  <c r="Q569" i="2" s="1"/>
  <c r="H569" i="2"/>
  <c r="R568" i="2"/>
  <c r="L568" i="2"/>
  <c r="J568" i="2"/>
  <c r="I568" i="2"/>
  <c r="O568" i="2" s="1"/>
  <c r="H568" i="2"/>
  <c r="R567" i="2"/>
  <c r="L567" i="2"/>
  <c r="J567" i="2"/>
  <c r="I567" i="2"/>
  <c r="O567" i="2" s="1"/>
  <c r="H567" i="2"/>
  <c r="R566" i="2"/>
  <c r="L566" i="2"/>
  <c r="M566" i="2" s="1"/>
  <c r="N566" i="2" s="1"/>
  <c r="J566" i="2"/>
  <c r="I566" i="2"/>
  <c r="O566" i="2" s="1"/>
  <c r="H566" i="2"/>
  <c r="R565" i="2"/>
  <c r="L565" i="2"/>
  <c r="J565" i="2"/>
  <c r="I565" i="2"/>
  <c r="O565" i="2" s="1"/>
  <c r="H565" i="2"/>
  <c r="R564" i="2"/>
  <c r="L564" i="2"/>
  <c r="J564" i="2"/>
  <c r="I564" i="2"/>
  <c r="O564" i="2" s="1"/>
  <c r="H564" i="2"/>
  <c r="R563" i="2"/>
  <c r="L563" i="2"/>
  <c r="J563" i="2"/>
  <c r="I563" i="2"/>
  <c r="H563" i="2"/>
  <c r="R562" i="2"/>
  <c r="L562" i="2"/>
  <c r="M562" i="2" s="1"/>
  <c r="J562" i="2"/>
  <c r="I562" i="2"/>
  <c r="O562" i="2" s="1"/>
  <c r="H562" i="2"/>
  <c r="R561" i="2"/>
  <c r="L561" i="2"/>
  <c r="M561" i="2" s="1"/>
  <c r="J561" i="2"/>
  <c r="I561" i="2"/>
  <c r="H561" i="2"/>
  <c r="R560" i="2"/>
  <c r="L560" i="2"/>
  <c r="J560" i="2"/>
  <c r="I560" i="2"/>
  <c r="O560" i="2" s="1"/>
  <c r="Q560" i="2" s="1"/>
  <c r="H560" i="2"/>
  <c r="R559" i="2"/>
  <c r="L559" i="2"/>
  <c r="J559" i="2"/>
  <c r="I559" i="2"/>
  <c r="O559" i="2" s="1"/>
  <c r="P559" i="2" s="1"/>
  <c r="H559" i="2"/>
  <c r="R558" i="2"/>
  <c r="L558" i="2"/>
  <c r="M558" i="2" s="1"/>
  <c r="N558" i="2" s="1"/>
  <c r="J558" i="2"/>
  <c r="I558" i="2"/>
  <c r="O558" i="2" s="1"/>
  <c r="H558" i="2"/>
  <c r="R557" i="2"/>
  <c r="L557" i="2"/>
  <c r="M557" i="2" s="1"/>
  <c r="N557" i="2" s="1"/>
  <c r="J557" i="2"/>
  <c r="I557" i="2"/>
  <c r="O557" i="2" s="1"/>
  <c r="Q557" i="2" s="1"/>
  <c r="H557" i="2"/>
  <c r="R556" i="2"/>
  <c r="L556" i="2"/>
  <c r="M556" i="2" s="1"/>
  <c r="N556" i="2" s="1"/>
  <c r="J556" i="2"/>
  <c r="I556" i="2"/>
  <c r="O556" i="2" s="1"/>
  <c r="H556" i="2"/>
  <c r="R555" i="2"/>
  <c r="L555" i="2"/>
  <c r="M555" i="2" s="1"/>
  <c r="J555" i="2"/>
  <c r="I555" i="2"/>
  <c r="O555" i="2" s="1"/>
  <c r="Q555" i="2" s="1"/>
  <c r="H555" i="2"/>
  <c r="R554" i="2"/>
  <c r="L554" i="2"/>
  <c r="J554" i="2"/>
  <c r="I554" i="2"/>
  <c r="O554" i="2" s="1"/>
  <c r="P554" i="2" s="1"/>
  <c r="H554" i="2"/>
  <c r="R553" i="2"/>
  <c r="L553" i="2"/>
  <c r="M553" i="2" s="1"/>
  <c r="N553" i="2" s="1"/>
  <c r="J553" i="2"/>
  <c r="I553" i="2"/>
  <c r="H553" i="2"/>
  <c r="R552" i="2"/>
  <c r="L552" i="2"/>
  <c r="M552" i="2" s="1"/>
  <c r="J552" i="2"/>
  <c r="I552" i="2"/>
  <c r="O552" i="2" s="1"/>
  <c r="H552" i="2"/>
  <c r="R551" i="2"/>
  <c r="L551" i="2"/>
  <c r="M551" i="2" s="1"/>
  <c r="N551" i="2" s="1"/>
  <c r="J551" i="2"/>
  <c r="I551" i="2"/>
  <c r="O551" i="2" s="1"/>
  <c r="Q551" i="2" s="1"/>
  <c r="H551" i="2"/>
  <c r="R550" i="2"/>
  <c r="L550" i="2"/>
  <c r="M550" i="2" s="1"/>
  <c r="J550" i="2"/>
  <c r="I550" i="2"/>
  <c r="H550" i="2"/>
  <c r="R549" i="2"/>
  <c r="L549" i="2"/>
  <c r="M549" i="2" s="1"/>
  <c r="J549" i="2"/>
  <c r="I549" i="2"/>
  <c r="O549" i="2" s="1"/>
  <c r="Q549" i="2" s="1"/>
  <c r="H549" i="2"/>
  <c r="R548" i="2"/>
  <c r="L548" i="2"/>
  <c r="M548" i="2" s="1"/>
  <c r="N548" i="2" s="1"/>
  <c r="J548" i="2"/>
  <c r="I548" i="2"/>
  <c r="O548" i="2" s="1"/>
  <c r="Q548" i="2" s="1"/>
  <c r="H548" i="2"/>
  <c r="R547" i="2"/>
  <c r="L547" i="2"/>
  <c r="M547" i="2" s="1"/>
  <c r="N547" i="2" s="1"/>
  <c r="J547" i="2"/>
  <c r="I547" i="2"/>
  <c r="O547" i="2" s="1"/>
  <c r="H547" i="2"/>
  <c r="R546" i="2"/>
  <c r="L546" i="2"/>
  <c r="M546" i="2" s="1"/>
  <c r="N546" i="2" s="1"/>
  <c r="J546" i="2"/>
  <c r="I546" i="2"/>
  <c r="O546" i="2" s="1"/>
  <c r="H546" i="2"/>
  <c r="R545" i="2"/>
  <c r="L545" i="2"/>
  <c r="J545" i="2"/>
  <c r="I545" i="2"/>
  <c r="O545" i="2" s="1"/>
  <c r="H545" i="2"/>
  <c r="R544" i="2"/>
  <c r="L544" i="2"/>
  <c r="J544" i="2"/>
  <c r="I544" i="2"/>
  <c r="O544" i="2" s="1"/>
  <c r="H544" i="2"/>
  <c r="R543" i="2"/>
  <c r="L543" i="2"/>
  <c r="M543" i="2" s="1"/>
  <c r="N543" i="2" s="1"/>
  <c r="J543" i="2"/>
  <c r="I543" i="2"/>
  <c r="O543" i="2" s="1"/>
  <c r="Q543" i="2" s="1"/>
  <c r="H543" i="2"/>
  <c r="R542" i="2"/>
  <c r="L542" i="2"/>
  <c r="J542" i="2"/>
  <c r="I542" i="2"/>
  <c r="O542" i="2" s="1"/>
  <c r="Q542" i="2" s="1"/>
  <c r="H542" i="2"/>
  <c r="R541" i="2"/>
  <c r="L541" i="2"/>
  <c r="J541" i="2"/>
  <c r="I541" i="2"/>
  <c r="H541" i="2"/>
  <c r="R540" i="2"/>
  <c r="L540" i="2"/>
  <c r="J540" i="2"/>
  <c r="I540" i="2"/>
  <c r="O540" i="2" s="1"/>
  <c r="H540" i="2"/>
  <c r="R539" i="2"/>
  <c r="L539" i="2"/>
  <c r="M539" i="2" s="1"/>
  <c r="N539" i="2" s="1"/>
  <c r="J539" i="2"/>
  <c r="I539" i="2"/>
  <c r="O539" i="2" s="1"/>
  <c r="H539" i="2"/>
  <c r="R538" i="2"/>
  <c r="L538" i="2"/>
  <c r="J538" i="2"/>
  <c r="I538" i="2"/>
  <c r="O538" i="2" s="1"/>
  <c r="Q538" i="2" s="1"/>
  <c r="H538" i="2"/>
  <c r="R537" i="2"/>
  <c r="L537" i="2"/>
  <c r="M537" i="2" s="1"/>
  <c r="J537" i="2"/>
  <c r="I537" i="2"/>
  <c r="O537" i="2" s="1"/>
  <c r="P537" i="2" s="1"/>
  <c r="H537" i="2"/>
  <c r="R536" i="2"/>
  <c r="L536" i="2"/>
  <c r="J536" i="2"/>
  <c r="I536" i="2"/>
  <c r="O536" i="2" s="1"/>
  <c r="H536" i="2"/>
  <c r="R535" i="2"/>
  <c r="L535" i="2"/>
  <c r="J535" i="2"/>
  <c r="I535" i="2"/>
  <c r="O535" i="2" s="1"/>
  <c r="H535" i="2"/>
  <c r="R534" i="2"/>
  <c r="L534" i="2"/>
  <c r="J534" i="2"/>
  <c r="I534" i="2"/>
  <c r="O534" i="2" s="1"/>
  <c r="H534" i="2"/>
  <c r="R533" i="2"/>
  <c r="L533" i="2"/>
  <c r="M533" i="2" s="1"/>
  <c r="N533" i="2" s="1"/>
  <c r="J533" i="2"/>
  <c r="I533" i="2"/>
  <c r="H533" i="2"/>
  <c r="R532" i="2"/>
  <c r="L532" i="2"/>
  <c r="J532" i="2"/>
  <c r="I532" i="2"/>
  <c r="O532" i="2" s="1"/>
  <c r="H532" i="2"/>
  <c r="R531" i="2"/>
  <c r="L531" i="2"/>
  <c r="M531" i="2" s="1"/>
  <c r="J531" i="2"/>
  <c r="I531" i="2"/>
  <c r="O531" i="2" s="1"/>
  <c r="H531" i="2"/>
  <c r="R530" i="2"/>
  <c r="L530" i="2"/>
  <c r="J530" i="2"/>
  <c r="I530" i="2"/>
  <c r="O530" i="2" s="1"/>
  <c r="H530" i="2"/>
  <c r="R529" i="2"/>
  <c r="L529" i="2"/>
  <c r="J529" i="2"/>
  <c r="I529" i="2"/>
  <c r="O529" i="2" s="1"/>
  <c r="H529" i="2"/>
  <c r="R528" i="2"/>
  <c r="L528" i="2"/>
  <c r="J528" i="2"/>
  <c r="I528" i="2"/>
  <c r="H528" i="2"/>
  <c r="R527" i="2"/>
  <c r="L527" i="2"/>
  <c r="J527" i="2"/>
  <c r="I527" i="2"/>
  <c r="O527" i="2" s="1"/>
  <c r="Q527" i="2" s="1"/>
  <c r="H527" i="2"/>
  <c r="R526" i="2"/>
  <c r="L526" i="2"/>
  <c r="M526" i="2" s="1"/>
  <c r="N526" i="2" s="1"/>
  <c r="J526" i="2"/>
  <c r="I526" i="2"/>
  <c r="H526" i="2"/>
  <c r="R525" i="2"/>
  <c r="L525" i="2"/>
  <c r="J525" i="2"/>
  <c r="I525" i="2"/>
  <c r="O525" i="2" s="1"/>
  <c r="H525" i="2"/>
  <c r="R524" i="2"/>
  <c r="L524" i="2"/>
  <c r="M524" i="2" s="1"/>
  <c r="J524" i="2"/>
  <c r="I524" i="2"/>
  <c r="H524" i="2"/>
  <c r="R523" i="2"/>
  <c r="L523" i="2"/>
  <c r="M523" i="2" s="1"/>
  <c r="J523" i="2"/>
  <c r="I523" i="2"/>
  <c r="O523" i="2" s="1"/>
  <c r="H523" i="2"/>
  <c r="R522" i="2"/>
  <c r="L522" i="2"/>
  <c r="J522" i="2"/>
  <c r="I522" i="2"/>
  <c r="O522" i="2" s="1"/>
  <c r="Q522" i="2" s="1"/>
  <c r="H522" i="2"/>
  <c r="R521" i="2"/>
  <c r="L521" i="2"/>
  <c r="J521" i="2"/>
  <c r="I521" i="2"/>
  <c r="O521" i="2" s="1"/>
  <c r="Q521" i="2" s="1"/>
  <c r="H521" i="2"/>
  <c r="R520" i="2"/>
  <c r="L520" i="2"/>
  <c r="J520" i="2"/>
  <c r="I520" i="2"/>
  <c r="O520" i="2" s="1"/>
  <c r="Q520" i="2" s="1"/>
  <c r="H520" i="2"/>
  <c r="R519" i="2"/>
  <c r="L519" i="2"/>
  <c r="J519" i="2"/>
  <c r="I519" i="2"/>
  <c r="O519" i="2" s="1"/>
  <c r="Q519" i="2" s="1"/>
  <c r="H519" i="2"/>
  <c r="R518" i="2"/>
  <c r="L518" i="2"/>
  <c r="M518" i="2" s="1"/>
  <c r="J518" i="2"/>
  <c r="I518" i="2"/>
  <c r="H518" i="2"/>
  <c r="R517" i="2"/>
  <c r="L517" i="2"/>
  <c r="J517" i="2"/>
  <c r="I517" i="2"/>
  <c r="O517" i="2" s="1"/>
  <c r="P517" i="2" s="1"/>
  <c r="H517" i="2"/>
  <c r="R516" i="2"/>
  <c r="L516" i="2"/>
  <c r="M516" i="2" s="1"/>
  <c r="N516" i="2" s="1"/>
  <c r="J516" i="2"/>
  <c r="I516" i="2"/>
  <c r="O516" i="2" s="1"/>
  <c r="Q516" i="2" s="1"/>
  <c r="H516" i="2"/>
  <c r="R515" i="2"/>
  <c r="L515" i="2"/>
  <c r="M515" i="2" s="1"/>
  <c r="J515" i="2"/>
  <c r="I515" i="2"/>
  <c r="O515" i="2" s="1"/>
  <c r="H515" i="2"/>
  <c r="R514" i="2"/>
  <c r="L514" i="2"/>
  <c r="J514" i="2"/>
  <c r="I514" i="2"/>
  <c r="O514" i="2" s="1"/>
  <c r="H514" i="2"/>
  <c r="R513" i="2"/>
  <c r="L513" i="2"/>
  <c r="J513" i="2"/>
  <c r="I513" i="2"/>
  <c r="O513" i="2" s="1"/>
  <c r="H513" i="2"/>
  <c r="R512" i="2"/>
  <c r="L512" i="2"/>
  <c r="J512" i="2"/>
  <c r="I512" i="2"/>
  <c r="O512" i="2" s="1"/>
  <c r="Q512" i="2" s="1"/>
  <c r="H512" i="2"/>
  <c r="R511" i="2"/>
  <c r="L511" i="2"/>
  <c r="J511" i="2"/>
  <c r="I511" i="2"/>
  <c r="O511" i="2" s="1"/>
  <c r="H511" i="2"/>
  <c r="R510" i="2"/>
  <c r="L510" i="2"/>
  <c r="J510" i="2"/>
  <c r="I510" i="2"/>
  <c r="H510" i="2"/>
  <c r="R509" i="2"/>
  <c r="L509" i="2"/>
  <c r="J509" i="2"/>
  <c r="I509" i="2"/>
  <c r="O509" i="2" s="1"/>
  <c r="H509" i="2"/>
  <c r="R508" i="2"/>
  <c r="L508" i="2"/>
  <c r="J508" i="2"/>
  <c r="I508" i="2"/>
  <c r="O508" i="2" s="1"/>
  <c r="Q508" i="2" s="1"/>
  <c r="H508" i="2"/>
  <c r="R507" i="2"/>
  <c r="L507" i="2"/>
  <c r="J507" i="2"/>
  <c r="I507" i="2"/>
  <c r="O507" i="2" s="1"/>
  <c r="H507" i="2"/>
  <c r="R506" i="2"/>
  <c r="L506" i="2"/>
  <c r="M506" i="2" s="1"/>
  <c r="N506" i="2" s="1"/>
  <c r="J506" i="2"/>
  <c r="I506" i="2"/>
  <c r="O506" i="2" s="1"/>
  <c r="H506" i="2"/>
  <c r="R505" i="2"/>
  <c r="L505" i="2"/>
  <c r="J505" i="2"/>
  <c r="I505" i="2"/>
  <c r="O505" i="2" s="1"/>
  <c r="H505" i="2"/>
  <c r="R504" i="2"/>
  <c r="L504" i="2"/>
  <c r="M504" i="2" s="1"/>
  <c r="J504" i="2"/>
  <c r="I504" i="2"/>
  <c r="O504" i="2" s="1"/>
  <c r="Q504" i="2" s="1"/>
  <c r="H504" i="2"/>
  <c r="R503" i="2"/>
  <c r="L503" i="2"/>
  <c r="M503" i="2" s="1"/>
  <c r="N503" i="2" s="1"/>
  <c r="J503" i="2"/>
  <c r="I503" i="2"/>
  <c r="O503" i="2" s="1"/>
  <c r="H503" i="2"/>
  <c r="R502" i="2"/>
  <c r="L502" i="2"/>
  <c r="M502" i="2" s="1"/>
  <c r="N502" i="2" s="1"/>
  <c r="J502" i="2"/>
  <c r="I502" i="2"/>
  <c r="O502" i="2" s="1"/>
  <c r="Q502" i="2" s="1"/>
  <c r="H502" i="2"/>
  <c r="R501" i="2"/>
  <c r="L501" i="2"/>
  <c r="M501" i="2" s="1"/>
  <c r="J501" i="2"/>
  <c r="I501" i="2"/>
  <c r="O501" i="2" s="1"/>
  <c r="Q501" i="2" s="1"/>
  <c r="H501" i="2"/>
  <c r="R500" i="2"/>
  <c r="L500" i="2"/>
  <c r="J500" i="2"/>
  <c r="I500" i="2"/>
  <c r="O500" i="2" s="1"/>
  <c r="Q500" i="2" s="1"/>
  <c r="H500" i="2"/>
  <c r="R499" i="2"/>
  <c r="L499" i="2"/>
  <c r="M499" i="2" s="1"/>
  <c r="J499" i="2"/>
  <c r="I499" i="2"/>
  <c r="O499" i="2" s="1"/>
  <c r="H499" i="2"/>
  <c r="R498" i="2"/>
  <c r="L498" i="2"/>
  <c r="M498" i="2" s="1"/>
  <c r="N498" i="2" s="1"/>
  <c r="J498" i="2"/>
  <c r="I498" i="2"/>
  <c r="O498" i="2" s="1"/>
  <c r="H498" i="2"/>
  <c r="R497" i="2"/>
  <c r="L497" i="2"/>
  <c r="J497" i="2"/>
  <c r="I497" i="2"/>
  <c r="O497" i="2" s="1"/>
  <c r="Q497" i="2" s="1"/>
  <c r="H497" i="2"/>
  <c r="R496" i="2"/>
  <c r="L496" i="2"/>
  <c r="J496" i="2"/>
  <c r="I496" i="2"/>
  <c r="O496" i="2" s="1"/>
  <c r="H496" i="2"/>
  <c r="R495" i="2"/>
  <c r="L495" i="2"/>
  <c r="J495" i="2"/>
  <c r="I495" i="2"/>
  <c r="O495" i="2" s="1"/>
  <c r="Q495" i="2" s="1"/>
  <c r="H495" i="2"/>
  <c r="R494" i="2"/>
  <c r="L494" i="2"/>
  <c r="J494" i="2"/>
  <c r="I494" i="2"/>
  <c r="O494" i="2" s="1"/>
  <c r="H494" i="2"/>
  <c r="R493" i="2"/>
  <c r="L493" i="2"/>
  <c r="J493" i="2"/>
  <c r="I493" i="2"/>
  <c r="H493" i="2"/>
  <c r="R492" i="2"/>
  <c r="L492" i="2"/>
  <c r="J492" i="2"/>
  <c r="I492" i="2"/>
  <c r="O492" i="2" s="1"/>
  <c r="P492" i="2" s="1"/>
  <c r="H492" i="2"/>
  <c r="R491" i="2"/>
  <c r="L491" i="2"/>
  <c r="J491" i="2"/>
  <c r="I491" i="2"/>
  <c r="O491" i="2" s="1"/>
  <c r="H491" i="2"/>
  <c r="R490" i="2"/>
  <c r="L490" i="2"/>
  <c r="M490" i="2" s="1"/>
  <c r="J490" i="2"/>
  <c r="I490" i="2"/>
  <c r="O490" i="2" s="1"/>
  <c r="H490" i="2"/>
  <c r="R489" i="2"/>
  <c r="L489" i="2"/>
  <c r="J489" i="2"/>
  <c r="I489" i="2"/>
  <c r="O489" i="2" s="1"/>
  <c r="Q489" i="2" s="1"/>
  <c r="H489" i="2"/>
  <c r="R488" i="2"/>
  <c r="L488" i="2"/>
  <c r="J488" i="2"/>
  <c r="I488" i="2"/>
  <c r="O488" i="2" s="1"/>
  <c r="H488" i="2"/>
  <c r="R487" i="2"/>
  <c r="L487" i="2"/>
  <c r="J487" i="2"/>
  <c r="I487" i="2"/>
  <c r="H487" i="2"/>
  <c r="R486" i="2"/>
  <c r="L486" i="2"/>
  <c r="J486" i="2"/>
  <c r="I486" i="2"/>
  <c r="O486" i="2" s="1"/>
  <c r="H486" i="2"/>
  <c r="R485" i="2"/>
  <c r="L485" i="2"/>
  <c r="J485" i="2"/>
  <c r="I485" i="2"/>
  <c r="H485" i="2"/>
  <c r="R484" i="2"/>
  <c r="L484" i="2"/>
  <c r="J484" i="2"/>
  <c r="I484" i="2"/>
  <c r="H484" i="2"/>
  <c r="R483" i="2"/>
  <c r="L483" i="2"/>
  <c r="M483" i="2" s="1"/>
  <c r="N483" i="2" s="1"/>
  <c r="J483" i="2"/>
  <c r="I483" i="2"/>
  <c r="O483" i="2" s="1"/>
  <c r="Q483" i="2" s="1"/>
  <c r="H483" i="2"/>
  <c r="R482" i="2"/>
  <c r="L482" i="2"/>
  <c r="J482" i="2"/>
  <c r="I482" i="2"/>
  <c r="O482" i="2" s="1"/>
  <c r="H482" i="2"/>
  <c r="R481" i="2"/>
  <c r="L481" i="2"/>
  <c r="M481" i="2" s="1"/>
  <c r="N481" i="2" s="1"/>
  <c r="J481" i="2"/>
  <c r="I481" i="2"/>
  <c r="H481" i="2"/>
  <c r="R480" i="2"/>
  <c r="L480" i="2"/>
  <c r="J480" i="2"/>
  <c r="I480" i="2"/>
  <c r="O480" i="2" s="1"/>
  <c r="Q480" i="2" s="1"/>
  <c r="H480" i="2"/>
  <c r="R479" i="2"/>
  <c r="L479" i="2"/>
  <c r="M479" i="2" s="1"/>
  <c r="N479" i="2" s="1"/>
  <c r="J479" i="2"/>
  <c r="I479" i="2"/>
  <c r="O479" i="2" s="1"/>
  <c r="H479" i="2"/>
  <c r="R478" i="2"/>
  <c r="L478" i="2"/>
  <c r="M478" i="2" s="1"/>
  <c r="N478" i="2" s="1"/>
  <c r="J478" i="2"/>
  <c r="I478" i="2"/>
  <c r="O478" i="2" s="1"/>
  <c r="Q478" i="2" s="1"/>
  <c r="H478" i="2"/>
  <c r="R477" i="2"/>
  <c r="L477" i="2"/>
  <c r="M477" i="2" s="1"/>
  <c r="J477" i="2"/>
  <c r="I477" i="2"/>
  <c r="O477" i="2" s="1"/>
  <c r="Q477" i="2" s="1"/>
  <c r="H477" i="2"/>
  <c r="R476" i="2"/>
  <c r="L476" i="2"/>
  <c r="M476" i="2" s="1"/>
  <c r="N476" i="2" s="1"/>
  <c r="J476" i="2"/>
  <c r="I476" i="2"/>
  <c r="O476" i="2" s="1"/>
  <c r="H476" i="2"/>
  <c r="R475" i="2"/>
  <c r="L475" i="2"/>
  <c r="M475" i="2" s="1"/>
  <c r="J475" i="2"/>
  <c r="I475" i="2"/>
  <c r="O475" i="2" s="1"/>
  <c r="Q475" i="2" s="1"/>
  <c r="H475" i="2"/>
  <c r="R474" i="2"/>
  <c r="L474" i="2"/>
  <c r="M474" i="2" s="1"/>
  <c r="J474" i="2"/>
  <c r="I474" i="2"/>
  <c r="O474" i="2" s="1"/>
  <c r="H474" i="2"/>
  <c r="R473" i="2"/>
  <c r="L473" i="2"/>
  <c r="J473" i="2"/>
  <c r="I473" i="2"/>
  <c r="O473" i="2" s="1"/>
  <c r="Q473" i="2" s="1"/>
  <c r="H473" i="2"/>
  <c r="R472" i="2"/>
  <c r="L472" i="2"/>
  <c r="M472" i="2" s="1"/>
  <c r="N472" i="2" s="1"/>
  <c r="J472" i="2"/>
  <c r="I472" i="2"/>
  <c r="O472" i="2" s="1"/>
  <c r="H472" i="2"/>
  <c r="R471" i="2"/>
  <c r="L471" i="2"/>
  <c r="M471" i="2" s="1"/>
  <c r="N471" i="2" s="1"/>
  <c r="J471" i="2"/>
  <c r="I471" i="2"/>
  <c r="O471" i="2" s="1"/>
  <c r="Q471" i="2" s="1"/>
  <c r="H471" i="2"/>
  <c r="R470" i="2"/>
  <c r="L470" i="2"/>
  <c r="J470" i="2"/>
  <c r="I470" i="2"/>
  <c r="H470" i="2"/>
  <c r="R469" i="2"/>
  <c r="L469" i="2"/>
  <c r="M469" i="2" s="1"/>
  <c r="J469" i="2"/>
  <c r="I469" i="2"/>
  <c r="O469" i="2" s="1"/>
  <c r="H469" i="2"/>
  <c r="R468" i="2"/>
  <c r="L468" i="2"/>
  <c r="M468" i="2" s="1"/>
  <c r="J468" i="2"/>
  <c r="I468" i="2"/>
  <c r="O468" i="2" s="1"/>
  <c r="P468" i="2" s="1"/>
  <c r="H468" i="2"/>
  <c r="R467" i="2"/>
  <c r="L467" i="2"/>
  <c r="M467" i="2" s="1"/>
  <c r="N467" i="2" s="1"/>
  <c r="J467" i="2"/>
  <c r="I467" i="2"/>
  <c r="O467" i="2" s="1"/>
  <c r="H467" i="2"/>
  <c r="R466" i="2"/>
  <c r="L466" i="2"/>
  <c r="J466" i="2"/>
  <c r="I466" i="2"/>
  <c r="H466" i="2"/>
  <c r="R465" i="2"/>
  <c r="L465" i="2"/>
  <c r="J465" i="2"/>
  <c r="I465" i="2"/>
  <c r="O465" i="2" s="1"/>
  <c r="P465" i="2" s="1"/>
  <c r="H465" i="2"/>
  <c r="R464" i="2"/>
  <c r="L464" i="2"/>
  <c r="M464" i="2" s="1"/>
  <c r="J464" i="2"/>
  <c r="I464" i="2"/>
  <c r="O464" i="2" s="1"/>
  <c r="P464" i="2" s="1"/>
  <c r="H464" i="2"/>
  <c r="R463" i="2"/>
  <c r="L463" i="2"/>
  <c r="J463" i="2"/>
  <c r="I463" i="2"/>
  <c r="O463" i="2" s="1"/>
  <c r="H463" i="2"/>
  <c r="R462" i="2"/>
  <c r="L462" i="2"/>
  <c r="M462" i="2" s="1"/>
  <c r="N462" i="2" s="1"/>
  <c r="J462" i="2"/>
  <c r="I462" i="2"/>
  <c r="O462" i="2" s="1"/>
  <c r="Q462" i="2" s="1"/>
  <c r="H462" i="2"/>
  <c r="R461" i="2"/>
  <c r="L461" i="2"/>
  <c r="J461" i="2"/>
  <c r="I461" i="2"/>
  <c r="O461" i="2" s="1"/>
  <c r="H461" i="2"/>
  <c r="R460" i="2"/>
  <c r="L460" i="2"/>
  <c r="J460" i="2"/>
  <c r="I460" i="2"/>
  <c r="O460" i="2" s="1"/>
  <c r="H460" i="2"/>
  <c r="R459" i="2"/>
  <c r="L459" i="2"/>
  <c r="J459" i="2"/>
  <c r="I459" i="2"/>
  <c r="O459" i="2" s="1"/>
  <c r="H459" i="2"/>
  <c r="R458" i="2"/>
  <c r="L458" i="2"/>
  <c r="J458" i="2"/>
  <c r="I458" i="2"/>
  <c r="O458" i="2" s="1"/>
  <c r="H458" i="2"/>
  <c r="R457" i="2"/>
  <c r="L457" i="2"/>
  <c r="J457" i="2"/>
  <c r="I457" i="2"/>
  <c r="O457" i="2" s="1"/>
  <c r="H457" i="2"/>
  <c r="R456" i="2"/>
  <c r="L456" i="2"/>
  <c r="J456" i="2"/>
  <c r="I456" i="2"/>
  <c r="H456" i="2"/>
  <c r="R455" i="2"/>
  <c r="L455" i="2"/>
  <c r="J455" i="2"/>
  <c r="I455" i="2"/>
  <c r="O455" i="2" s="1"/>
  <c r="Q455" i="2" s="1"/>
  <c r="H455" i="2"/>
  <c r="R454" i="2"/>
  <c r="L454" i="2"/>
  <c r="M454" i="2" s="1"/>
  <c r="J454" i="2"/>
  <c r="I454" i="2"/>
  <c r="H454" i="2"/>
  <c r="R453" i="2"/>
  <c r="L453" i="2"/>
  <c r="J453" i="2"/>
  <c r="I453" i="2"/>
  <c r="H453" i="2"/>
  <c r="R452" i="2"/>
  <c r="L452" i="2"/>
  <c r="M452" i="2" s="1"/>
  <c r="J452" i="2"/>
  <c r="I452" i="2"/>
  <c r="O452" i="2" s="1"/>
  <c r="H452" i="2"/>
  <c r="R451" i="2"/>
  <c r="L451" i="2"/>
  <c r="M451" i="2" s="1"/>
  <c r="N451" i="2" s="1"/>
  <c r="J451" i="2"/>
  <c r="I451" i="2"/>
  <c r="O451" i="2" s="1"/>
  <c r="P451" i="2" s="1"/>
  <c r="H451" i="2"/>
  <c r="R450" i="2"/>
  <c r="L450" i="2"/>
  <c r="J450" i="2"/>
  <c r="I450" i="2"/>
  <c r="O450" i="2" s="1"/>
  <c r="H450" i="2"/>
  <c r="R449" i="2"/>
  <c r="L449" i="2"/>
  <c r="J449" i="2"/>
  <c r="I449" i="2"/>
  <c r="O449" i="2" s="1"/>
  <c r="H449" i="2"/>
  <c r="R448" i="2"/>
  <c r="L448" i="2"/>
  <c r="J448" i="2"/>
  <c r="I448" i="2"/>
  <c r="O448" i="2" s="1"/>
  <c r="H448" i="2"/>
  <c r="R447" i="2"/>
  <c r="L447" i="2"/>
  <c r="J447" i="2"/>
  <c r="I447" i="2"/>
  <c r="H447" i="2"/>
  <c r="R446" i="2"/>
  <c r="L446" i="2"/>
  <c r="J446" i="2"/>
  <c r="I446" i="2"/>
  <c r="H446" i="2"/>
  <c r="R445" i="2"/>
  <c r="L445" i="2"/>
  <c r="J445" i="2"/>
  <c r="I445" i="2"/>
  <c r="O445" i="2" s="1"/>
  <c r="H445" i="2"/>
  <c r="R444" i="2"/>
  <c r="L444" i="2"/>
  <c r="J444" i="2"/>
  <c r="I444" i="2"/>
  <c r="O444" i="2" s="1"/>
  <c r="H444" i="2"/>
  <c r="R443" i="2"/>
  <c r="L443" i="2"/>
  <c r="M443" i="2" s="1"/>
  <c r="N443" i="2" s="1"/>
  <c r="J443" i="2"/>
  <c r="I443" i="2"/>
  <c r="O443" i="2" s="1"/>
  <c r="H443" i="2"/>
  <c r="R442" i="2"/>
  <c r="L442" i="2"/>
  <c r="J442" i="2"/>
  <c r="I442" i="2"/>
  <c r="O442" i="2" s="1"/>
  <c r="H442" i="2"/>
  <c r="R441" i="2"/>
  <c r="L441" i="2"/>
  <c r="J441" i="2"/>
  <c r="I441" i="2"/>
  <c r="O441" i="2" s="1"/>
  <c r="H441" i="2"/>
  <c r="R440" i="2"/>
  <c r="L440" i="2"/>
  <c r="J440" i="2"/>
  <c r="I440" i="2"/>
  <c r="O440" i="2" s="1"/>
  <c r="P440" i="2" s="1"/>
  <c r="H440" i="2"/>
  <c r="R439" i="2"/>
  <c r="L439" i="2"/>
  <c r="M439" i="2" s="1"/>
  <c r="J439" i="2"/>
  <c r="I439" i="2"/>
  <c r="O439" i="2" s="1"/>
  <c r="P439" i="2" s="1"/>
  <c r="H439" i="2"/>
  <c r="R438" i="2"/>
  <c r="L438" i="2"/>
  <c r="M438" i="2" s="1"/>
  <c r="N438" i="2" s="1"/>
  <c r="J438" i="2"/>
  <c r="I438" i="2"/>
  <c r="O438" i="2" s="1"/>
  <c r="P438" i="2" s="1"/>
  <c r="H438" i="2"/>
  <c r="R437" i="2"/>
  <c r="L437" i="2"/>
  <c r="M437" i="2" s="1"/>
  <c r="N437" i="2" s="1"/>
  <c r="J437" i="2"/>
  <c r="I437" i="2"/>
  <c r="O437" i="2" s="1"/>
  <c r="H437" i="2"/>
  <c r="R436" i="2"/>
  <c r="L436" i="2"/>
  <c r="J436" i="2"/>
  <c r="I436" i="2"/>
  <c r="H436" i="2"/>
  <c r="R435" i="2"/>
  <c r="L435" i="2"/>
  <c r="M435" i="2" s="1"/>
  <c r="J435" i="2"/>
  <c r="I435" i="2"/>
  <c r="O435" i="2" s="1"/>
  <c r="H435" i="2"/>
  <c r="R434" i="2"/>
  <c r="L434" i="2"/>
  <c r="J434" i="2"/>
  <c r="I434" i="2"/>
  <c r="O434" i="2" s="1"/>
  <c r="Q434" i="2" s="1"/>
  <c r="H434" i="2"/>
  <c r="R433" i="2"/>
  <c r="L433" i="2"/>
  <c r="M433" i="2" s="1"/>
  <c r="J433" i="2"/>
  <c r="I433" i="2"/>
  <c r="H433" i="2"/>
  <c r="R432" i="2"/>
  <c r="L432" i="2"/>
  <c r="J432" i="2"/>
  <c r="I432" i="2"/>
  <c r="H432" i="2"/>
  <c r="R431" i="2"/>
  <c r="L431" i="2"/>
  <c r="J431" i="2"/>
  <c r="I431" i="2"/>
  <c r="O431" i="2" s="1"/>
  <c r="P431" i="2" s="1"/>
  <c r="H431" i="2"/>
  <c r="R430" i="2"/>
  <c r="L430" i="2"/>
  <c r="M430" i="2" s="1"/>
  <c r="N430" i="2" s="1"/>
  <c r="J430" i="2"/>
  <c r="I430" i="2"/>
  <c r="O430" i="2" s="1"/>
  <c r="H430" i="2"/>
  <c r="R429" i="2"/>
  <c r="L429" i="2"/>
  <c r="J429" i="2"/>
  <c r="I429" i="2"/>
  <c r="H429" i="2"/>
  <c r="R428" i="2"/>
  <c r="L428" i="2"/>
  <c r="J428" i="2"/>
  <c r="I428" i="2"/>
  <c r="O428" i="2" s="1"/>
  <c r="H428" i="2"/>
  <c r="R427" i="2"/>
  <c r="L427" i="2"/>
  <c r="J427" i="2"/>
  <c r="I427" i="2"/>
  <c r="O427" i="2" s="1"/>
  <c r="Q427" i="2" s="1"/>
  <c r="H427" i="2"/>
  <c r="R426" i="2"/>
  <c r="L426" i="2"/>
  <c r="J426" i="2"/>
  <c r="I426" i="2"/>
  <c r="O426" i="2" s="1"/>
  <c r="H426" i="2"/>
  <c r="R425" i="2"/>
  <c r="L425" i="2"/>
  <c r="J425" i="2"/>
  <c r="I425" i="2"/>
  <c r="O425" i="2" s="1"/>
  <c r="P425" i="2" s="1"/>
  <c r="H425" i="2"/>
  <c r="R424" i="2"/>
  <c r="L424" i="2"/>
  <c r="M424" i="2" s="1"/>
  <c r="N424" i="2" s="1"/>
  <c r="J424" i="2"/>
  <c r="I424" i="2"/>
  <c r="O424" i="2" s="1"/>
  <c r="H424" i="2"/>
  <c r="R423" i="2"/>
  <c r="L423" i="2"/>
  <c r="M423" i="2" s="1"/>
  <c r="N423" i="2" s="1"/>
  <c r="J423" i="2"/>
  <c r="I423" i="2"/>
  <c r="O423" i="2" s="1"/>
  <c r="Q423" i="2" s="1"/>
  <c r="H423" i="2"/>
  <c r="R422" i="2"/>
  <c r="L422" i="2"/>
  <c r="M422" i="2" s="1"/>
  <c r="J422" i="2"/>
  <c r="I422" i="2"/>
  <c r="O422" i="2" s="1"/>
  <c r="H422" i="2"/>
  <c r="R421" i="2"/>
  <c r="L421" i="2"/>
  <c r="J421" i="2"/>
  <c r="I421" i="2"/>
  <c r="O421" i="2" s="1"/>
  <c r="Q421" i="2" s="1"/>
  <c r="H421" i="2"/>
  <c r="R420" i="2"/>
  <c r="L420" i="2"/>
  <c r="M420" i="2" s="1"/>
  <c r="J420" i="2"/>
  <c r="I420" i="2"/>
  <c r="O420" i="2" s="1"/>
  <c r="P420" i="2" s="1"/>
  <c r="H420" i="2"/>
  <c r="R419" i="2"/>
  <c r="L419" i="2"/>
  <c r="J419" i="2"/>
  <c r="I419" i="2"/>
  <c r="O419" i="2" s="1"/>
  <c r="H419" i="2"/>
  <c r="R418" i="2"/>
  <c r="L418" i="2"/>
  <c r="M418" i="2" s="1"/>
  <c r="J418" i="2"/>
  <c r="I418" i="2"/>
  <c r="O418" i="2" s="1"/>
  <c r="P418" i="2" s="1"/>
  <c r="H418" i="2"/>
  <c r="R417" i="2"/>
  <c r="L417" i="2"/>
  <c r="J417" i="2"/>
  <c r="I417" i="2"/>
  <c r="O417" i="2" s="1"/>
  <c r="H417" i="2"/>
  <c r="R416" i="2"/>
  <c r="L416" i="2"/>
  <c r="J416" i="2"/>
  <c r="I416" i="2"/>
  <c r="O416" i="2" s="1"/>
  <c r="Q416" i="2" s="1"/>
  <c r="H416" i="2"/>
  <c r="R415" i="2"/>
  <c r="L415" i="2"/>
  <c r="M415" i="2" s="1"/>
  <c r="N415" i="2" s="1"/>
  <c r="J415" i="2"/>
  <c r="I415" i="2"/>
  <c r="O415" i="2" s="1"/>
  <c r="H415" i="2"/>
  <c r="R414" i="2"/>
  <c r="L414" i="2"/>
  <c r="M414" i="2" s="1"/>
  <c r="N414" i="2" s="1"/>
  <c r="J414" i="2"/>
  <c r="I414" i="2"/>
  <c r="O414" i="2" s="1"/>
  <c r="H414" i="2"/>
  <c r="R413" i="2"/>
  <c r="L413" i="2"/>
  <c r="M413" i="2" s="1"/>
  <c r="N413" i="2" s="1"/>
  <c r="J413" i="2"/>
  <c r="I413" i="2"/>
  <c r="O413" i="2" s="1"/>
  <c r="Q413" i="2" s="1"/>
  <c r="H413" i="2"/>
  <c r="R412" i="2"/>
  <c r="L412" i="2"/>
  <c r="M412" i="2" s="1"/>
  <c r="N412" i="2" s="1"/>
  <c r="J412" i="2"/>
  <c r="I412" i="2"/>
  <c r="O412" i="2" s="1"/>
  <c r="Q412" i="2" s="1"/>
  <c r="H412" i="2"/>
  <c r="R411" i="2"/>
  <c r="L411" i="2"/>
  <c r="M411" i="2" s="1"/>
  <c r="N411" i="2" s="1"/>
  <c r="J411" i="2"/>
  <c r="I411" i="2"/>
  <c r="O411" i="2" s="1"/>
  <c r="Q411" i="2" s="1"/>
  <c r="H411" i="2"/>
  <c r="R410" i="2"/>
  <c r="L410" i="2"/>
  <c r="J410" i="2"/>
  <c r="I410" i="2"/>
  <c r="O410" i="2" s="1"/>
  <c r="H410" i="2"/>
  <c r="R409" i="2"/>
  <c r="L409" i="2"/>
  <c r="J409" i="2"/>
  <c r="I409" i="2"/>
  <c r="O409" i="2" s="1"/>
  <c r="Q409" i="2" s="1"/>
  <c r="H409" i="2"/>
  <c r="R408" i="2"/>
  <c r="L408" i="2"/>
  <c r="M408" i="2" s="1"/>
  <c r="J408" i="2"/>
  <c r="I408" i="2"/>
  <c r="O408" i="2" s="1"/>
  <c r="H408" i="2"/>
  <c r="R407" i="2"/>
  <c r="L407" i="2"/>
  <c r="J407" i="2"/>
  <c r="I407" i="2"/>
  <c r="H407" i="2"/>
  <c r="R406" i="2"/>
  <c r="L406" i="2"/>
  <c r="J406" i="2"/>
  <c r="I406" i="2"/>
  <c r="O406" i="2" s="1"/>
  <c r="H406" i="2"/>
  <c r="R405" i="2"/>
  <c r="L405" i="2"/>
  <c r="M405" i="2" s="1"/>
  <c r="J405" i="2"/>
  <c r="I405" i="2"/>
  <c r="O405" i="2" s="1"/>
  <c r="H405" i="2"/>
  <c r="R404" i="2"/>
  <c r="L404" i="2"/>
  <c r="J404" i="2"/>
  <c r="I404" i="2"/>
  <c r="O404" i="2" s="1"/>
  <c r="H404" i="2"/>
  <c r="R403" i="2"/>
  <c r="L403" i="2"/>
  <c r="J403" i="2"/>
  <c r="I403" i="2"/>
  <c r="O403" i="2" s="1"/>
  <c r="H403" i="2"/>
  <c r="R402" i="2"/>
  <c r="L402" i="2"/>
  <c r="M402" i="2" s="1"/>
  <c r="N402" i="2" s="1"/>
  <c r="J402" i="2"/>
  <c r="I402" i="2"/>
  <c r="O402" i="2" s="1"/>
  <c r="P402" i="2" s="1"/>
  <c r="H402" i="2"/>
  <c r="R401" i="2"/>
  <c r="L401" i="2"/>
  <c r="M401" i="2" s="1"/>
  <c r="J401" i="2"/>
  <c r="I401" i="2"/>
  <c r="H401" i="2"/>
  <c r="R400" i="2"/>
  <c r="L400" i="2"/>
  <c r="J400" i="2"/>
  <c r="I400" i="2"/>
  <c r="O400" i="2" s="1"/>
  <c r="H400" i="2"/>
  <c r="R399" i="2"/>
  <c r="L399" i="2"/>
  <c r="J399" i="2"/>
  <c r="I399" i="2"/>
  <c r="H399" i="2"/>
  <c r="R398" i="2"/>
  <c r="L398" i="2"/>
  <c r="J398" i="2"/>
  <c r="I398" i="2"/>
  <c r="O398" i="2" s="1"/>
  <c r="H398" i="2"/>
  <c r="R397" i="2"/>
  <c r="L397" i="2"/>
  <c r="M397" i="2" s="1"/>
  <c r="N397" i="2" s="1"/>
  <c r="J397" i="2"/>
  <c r="I397" i="2"/>
  <c r="O397" i="2" s="1"/>
  <c r="H397" i="2"/>
  <c r="R396" i="2"/>
  <c r="L396" i="2"/>
  <c r="J396" i="2"/>
  <c r="I396" i="2"/>
  <c r="O396" i="2" s="1"/>
  <c r="H396" i="2"/>
  <c r="R395" i="2"/>
  <c r="L395" i="2"/>
  <c r="J395" i="2"/>
  <c r="I395" i="2"/>
  <c r="O395" i="2" s="1"/>
  <c r="H395" i="2"/>
  <c r="R394" i="2"/>
  <c r="L394" i="2"/>
  <c r="J394" i="2"/>
  <c r="I394" i="2"/>
  <c r="O394" i="2" s="1"/>
  <c r="H394" i="2"/>
  <c r="R393" i="2"/>
  <c r="L393" i="2"/>
  <c r="J393" i="2"/>
  <c r="I393" i="2"/>
  <c r="O393" i="2" s="1"/>
  <c r="H393" i="2"/>
  <c r="R392" i="2"/>
  <c r="L392" i="2"/>
  <c r="J392" i="2"/>
  <c r="I392" i="2"/>
  <c r="O392" i="2" s="1"/>
  <c r="H392" i="2"/>
  <c r="R391" i="2"/>
  <c r="L391" i="2"/>
  <c r="M391" i="2" s="1"/>
  <c r="N391" i="2" s="1"/>
  <c r="J391" i="2"/>
  <c r="I391" i="2"/>
  <c r="H391" i="2"/>
  <c r="R390" i="2"/>
  <c r="L390" i="2"/>
  <c r="J390" i="2"/>
  <c r="I390" i="2"/>
  <c r="O390" i="2" s="1"/>
  <c r="Q390" i="2" s="1"/>
  <c r="H390" i="2"/>
  <c r="R389" i="2"/>
  <c r="L389" i="2"/>
  <c r="J389" i="2"/>
  <c r="I389" i="2"/>
  <c r="O389" i="2" s="1"/>
  <c r="Q389" i="2" s="1"/>
  <c r="H389" i="2"/>
  <c r="R388" i="2"/>
  <c r="L388" i="2"/>
  <c r="J388" i="2"/>
  <c r="I388" i="2"/>
  <c r="O388" i="2" s="1"/>
  <c r="H388" i="2"/>
  <c r="R387" i="2"/>
  <c r="L387" i="2"/>
  <c r="M387" i="2" s="1"/>
  <c r="N387" i="2" s="1"/>
  <c r="J387" i="2"/>
  <c r="I387" i="2"/>
  <c r="H387" i="2"/>
  <c r="R386" i="2"/>
  <c r="L386" i="2"/>
  <c r="J386" i="2"/>
  <c r="I386" i="2"/>
  <c r="O386" i="2" s="1"/>
  <c r="Q386" i="2" s="1"/>
  <c r="H386" i="2"/>
  <c r="R385" i="2"/>
  <c r="L385" i="2"/>
  <c r="J385" i="2"/>
  <c r="I385" i="2"/>
  <c r="O385" i="2" s="1"/>
  <c r="Q385" i="2" s="1"/>
  <c r="H385" i="2"/>
  <c r="R384" i="2"/>
  <c r="L384" i="2"/>
  <c r="J384" i="2"/>
  <c r="I384" i="2"/>
  <c r="H384" i="2"/>
  <c r="R383" i="2"/>
  <c r="L383" i="2"/>
  <c r="J383" i="2"/>
  <c r="I383" i="2"/>
  <c r="H383" i="2"/>
  <c r="R382" i="2"/>
  <c r="L382" i="2"/>
  <c r="M382" i="2" s="1"/>
  <c r="N382" i="2" s="1"/>
  <c r="J382" i="2"/>
  <c r="I382" i="2"/>
  <c r="O382" i="2" s="1"/>
  <c r="P382" i="2" s="1"/>
  <c r="H382" i="2"/>
  <c r="R381" i="2"/>
  <c r="L381" i="2"/>
  <c r="M381" i="2" s="1"/>
  <c r="J381" i="2"/>
  <c r="I381" i="2"/>
  <c r="H381" i="2"/>
  <c r="R380" i="2"/>
  <c r="L380" i="2"/>
  <c r="M380" i="2" s="1"/>
  <c r="J380" i="2"/>
  <c r="I380" i="2"/>
  <c r="O380" i="2" s="1"/>
  <c r="H380" i="2"/>
  <c r="R379" i="2"/>
  <c r="L379" i="2"/>
  <c r="M379" i="2" s="1"/>
  <c r="N379" i="2" s="1"/>
  <c r="J379" i="2"/>
  <c r="I379" i="2"/>
  <c r="O379" i="2" s="1"/>
  <c r="H379" i="2"/>
  <c r="R378" i="2"/>
  <c r="L378" i="2"/>
  <c r="M378" i="2" s="1"/>
  <c r="J378" i="2"/>
  <c r="I378" i="2"/>
  <c r="O378" i="2" s="1"/>
  <c r="Q378" i="2" s="1"/>
  <c r="H378" i="2"/>
  <c r="R377" i="2"/>
  <c r="L377" i="2"/>
  <c r="J377" i="2"/>
  <c r="I377" i="2"/>
  <c r="H377" i="2"/>
  <c r="R376" i="2"/>
  <c r="L376" i="2"/>
  <c r="M376" i="2" s="1"/>
  <c r="N376" i="2" s="1"/>
  <c r="J376" i="2"/>
  <c r="I376" i="2"/>
  <c r="O376" i="2" s="1"/>
  <c r="Q376" i="2" s="1"/>
  <c r="H376" i="2"/>
  <c r="R375" i="2"/>
  <c r="L375" i="2"/>
  <c r="J375" i="2"/>
  <c r="I375" i="2"/>
  <c r="O375" i="2" s="1"/>
  <c r="Q375" i="2" s="1"/>
  <c r="H375" i="2"/>
  <c r="R374" i="2"/>
  <c r="L374" i="2"/>
  <c r="J374" i="2"/>
  <c r="I374" i="2"/>
  <c r="O374" i="2" s="1"/>
  <c r="Q374" i="2" s="1"/>
  <c r="H374" i="2"/>
  <c r="R373" i="2"/>
  <c r="L373" i="2"/>
  <c r="J373" i="2"/>
  <c r="I373" i="2"/>
  <c r="O373" i="2" s="1"/>
  <c r="Q373" i="2" s="1"/>
  <c r="H373" i="2"/>
  <c r="R372" i="2"/>
  <c r="L372" i="2"/>
  <c r="J372" i="2"/>
  <c r="I372" i="2"/>
  <c r="O372" i="2" s="1"/>
  <c r="P372" i="2" s="1"/>
  <c r="H372" i="2"/>
  <c r="R371" i="2"/>
  <c r="L371" i="2"/>
  <c r="J371" i="2"/>
  <c r="I371" i="2"/>
  <c r="O371" i="2" s="1"/>
  <c r="H371" i="2"/>
  <c r="R370" i="2"/>
  <c r="L370" i="2"/>
  <c r="M370" i="2" s="1"/>
  <c r="J370" i="2"/>
  <c r="I370" i="2"/>
  <c r="O370" i="2" s="1"/>
  <c r="H370" i="2"/>
  <c r="R369" i="2"/>
  <c r="L369" i="2"/>
  <c r="M369" i="2" s="1"/>
  <c r="J369" i="2"/>
  <c r="I369" i="2"/>
  <c r="H369" i="2"/>
  <c r="R368" i="2"/>
  <c r="L368" i="2"/>
  <c r="J368" i="2"/>
  <c r="I368" i="2"/>
  <c r="H368" i="2"/>
  <c r="R367" i="2"/>
  <c r="L367" i="2"/>
  <c r="M367" i="2" s="1"/>
  <c r="N367" i="2" s="1"/>
  <c r="J367" i="2"/>
  <c r="I367" i="2"/>
  <c r="O367" i="2" s="1"/>
  <c r="H367" i="2"/>
  <c r="R366" i="2"/>
  <c r="L366" i="2"/>
  <c r="J366" i="2"/>
  <c r="I366" i="2"/>
  <c r="O366" i="2" s="1"/>
  <c r="H366" i="2"/>
  <c r="R365" i="2"/>
  <c r="L365" i="2"/>
  <c r="J365" i="2"/>
  <c r="I365" i="2"/>
  <c r="H365" i="2"/>
  <c r="R364" i="2"/>
  <c r="L364" i="2"/>
  <c r="M364" i="2" s="1"/>
  <c r="N364" i="2" s="1"/>
  <c r="J364" i="2"/>
  <c r="I364" i="2"/>
  <c r="O364" i="2" s="1"/>
  <c r="H364" i="2"/>
  <c r="R363" i="2"/>
  <c r="L363" i="2"/>
  <c r="J363" i="2"/>
  <c r="I363" i="2"/>
  <c r="O363" i="2" s="1"/>
  <c r="Q363" i="2" s="1"/>
  <c r="H363" i="2"/>
  <c r="R362" i="2"/>
  <c r="L362" i="2"/>
  <c r="J362" i="2"/>
  <c r="I362" i="2"/>
  <c r="O362" i="2" s="1"/>
  <c r="H362" i="2"/>
  <c r="R361" i="2"/>
  <c r="L361" i="2"/>
  <c r="M361" i="2" s="1"/>
  <c r="N361" i="2" s="1"/>
  <c r="J361" i="2"/>
  <c r="I361" i="2"/>
  <c r="H361" i="2"/>
  <c r="R360" i="2"/>
  <c r="L360" i="2"/>
  <c r="M360" i="2" s="1"/>
  <c r="J360" i="2"/>
  <c r="I360" i="2"/>
  <c r="O360" i="2" s="1"/>
  <c r="H360" i="2"/>
  <c r="R359" i="2"/>
  <c r="L359" i="2"/>
  <c r="M359" i="2" s="1"/>
  <c r="N359" i="2" s="1"/>
  <c r="J359" i="2"/>
  <c r="I359" i="2"/>
  <c r="O359" i="2" s="1"/>
  <c r="Q359" i="2" s="1"/>
  <c r="H359" i="2"/>
  <c r="R358" i="2"/>
  <c r="L358" i="2"/>
  <c r="M358" i="2" s="1"/>
  <c r="J358" i="2"/>
  <c r="I358" i="2"/>
  <c r="O358" i="2" s="1"/>
  <c r="H358" i="2"/>
  <c r="R357" i="2"/>
  <c r="L357" i="2"/>
  <c r="M357" i="2" s="1"/>
  <c r="J357" i="2"/>
  <c r="I357" i="2"/>
  <c r="O357" i="2" s="1"/>
  <c r="Q357" i="2" s="1"/>
  <c r="H357" i="2"/>
  <c r="R356" i="2"/>
  <c r="L356" i="2"/>
  <c r="M356" i="2" s="1"/>
  <c r="J356" i="2"/>
  <c r="I356" i="2"/>
  <c r="O356" i="2" s="1"/>
  <c r="H356" i="2"/>
  <c r="R355" i="2"/>
  <c r="L355" i="2"/>
  <c r="M355" i="2" s="1"/>
  <c r="J355" i="2"/>
  <c r="I355" i="2"/>
  <c r="O355" i="2" s="1"/>
  <c r="H355" i="2"/>
  <c r="R354" i="2"/>
  <c r="L354" i="2"/>
  <c r="J354" i="2"/>
  <c r="I354" i="2"/>
  <c r="H354" i="2"/>
  <c r="R353" i="2"/>
  <c r="L353" i="2"/>
  <c r="J353" i="2"/>
  <c r="I353" i="2"/>
  <c r="H353" i="2"/>
  <c r="R352" i="2"/>
  <c r="L352" i="2"/>
  <c r="J352" i="2"/>
  <c r="I352" i="2"/>
  <c r="H352" i="2"/>
  <c r="R351" i="2"/>
  <c r="L351" i="2"/>
  <c r="M351" i="2" s="1"/>
  <c r="N351" i="2" s="1"/>
  <c r="J351" i="2"/>
  <c r="I351" i="2"/>
  <c r="O351" i="2" s="1"/>
  <c r="H351" i="2"/>
  <c r="R350" i="2"/>
  <c r="L350" i="2"/>
  <c r="M350" i="2" s="1"/>
  <c r="N350" i="2" s="1"/>
  <c r="J350" i="2"/>
  <c r="I350" i="2"/>
  <c r="O350" i="2" s="1"/>
  <c r="Q350" i="2" s="1"/>
  <c r="H350" i="2"/>
  <c r="R349" i="2"/>
  <c r="L349" i="2"/>
  <c r="M349" i="2" s="1"/>
  <c r="N349" i="2" s="1"/>
  <c r="J349" i="2"/>
  <c r="I349" i="2"/>
  <c r="O349" i="2" s="1"/>
  <c r="H349" i="2"/>
  <c r="R348" i="2"/>
  <c r="L348" i="2"/>
  <c r="M348" i="2" s="1"/>
  <c r="N348" i="2" s="1"/>
  <c r="J348" i="2"/>
  <c r="I348" i="2"/>
  <c r="O348" i="2" s="1"/>
  <c r="H348" i="2"/>
  <c r="R347" i="2"/>
  <c r="L347" i="2"/>
  <c r="J347" i="2"/>
  <c r="I347" i="2"/>
  <c r="O347" i="2" s="1"/>
  <c r="Q347" i="2" s="1"/>
  <c r="H347" i="2"/>
  <c r="R346" i="2"/>
  <c r="L346" i="2"/>
  <c r="J346" i="2"/>
  <c r="I346" i="2"/>
  <c r="O346" i="2" s="1"/>
  <c r="H346" i="2"/>
  <c r="R345" i="2"/>
  <c r="L345" i="2"/>
  <c r="J345" i="2"/>
  <c r="I345" i="2"/>
  <c r="O345" i="2" s="1"/>
  <c r="H345" i="2"/>
  <c r="R344" i="2"/>
  <c r="L344" i="2"/>
  <c r="J344" i="2"/>
  <c r="I344" i="2"/>
  <c r="H344" i="2"/>
  <c r="R343" i="2"/>
  <c r="L343" i="2"/>
  <c r="M343" i="2" s="1"/>
  <c r="N343" i="2" s="1"/>
  <c r="J343" i="2"/>
  <c r="I343" i="2"/>
  <c r="O343" i="2" s="1"/>
  <c r="H343" i="2"/>
  <c r="R342" i="2"/>
  <c r="L342" i="2"/>
  <c r="M342" i="2" s="1"/>
  <c r="J342" i="2"/>
  <c r="I342" i="2"/>
  <c r="O342" i="2" s="1"/>
  <c r="H342" i="2"/>
  <c r="R341" i="2"/>
  <c r="L341" i="2"/>
  <c r="M341" i="2" s="1"/>
  <c r="N341" i="2" s="1"/>
  <c r="J341" i="2"/>
  <c r="I341" i="2"/>
  <c r="O341" i="2" s="1"/>
  <c r="H341" i="2"/>
  <c r="R340" i="2"/>
  <c r="L340" i="2"/>
  <c r="M340" i="2" s="1"/>
  <c r="J340" i="2"/>
  <c r="I340" i="2"/>
  <c r="O340" i="2" s="1"/>
  <c r="Q340" i="2" s="1"/>
  <c r="H340" i="2"/>
  <c r="R339" i="2"/>
  <c r="L339" i="2"/>
  <c r="M339" i="2" s="1"/>
  <c r="N339" i="2" s="1"/>
  <c r="J339" i="2"/>
  <c r="I339" i="2"/>
  <c r="H339" i="2"/>
  <c r="R338" i="2"/>
  <c r="L338" i="2"/>
  <c r="M338" i="2" s="1"/>
  <c r="J338" i="2"/>
  <c r="I338" i="2"/>
  <c r="O338" i="2" s="1"/>
  <c r="H338" i="2"/>
  <c r="R337" i="2"/>
  <c r="L337" i="2"/>
  <c r="M337" i="2" s="1"/>
  <c r="N337" i="2" s="1"/>
  <c r="J337" i="2"/>
  <c r="I337" i="2"/>
  <c r="O337" i="2" s="1"/>
  <c r="Q337" i="2" s="1"/>
  <c r="H337" i="2"/>
  <c r="R336" i="2"/>
  <c r="L336" i="2"/>
  <c r="M336" i="2" s="1"/>
  <c r="J336" i="2"/>
  <c r="I336" i="2"/>
  <c r="O336" i="2" s="1"/>
  <c r="Q336" i="2" s="1"/>
  <c r="H336" i="2"/>
  <c r="R335" i="2"/>
  <c r="L335" i="2"/>
  <c r="M335" i="2" s="1"/>
  <c r="N335" i="2" s="1"/>
  <c r="J335" i="2"/>
  <c r="I335" i="2"/>
  <c r="H335" i="2"/>
  <c r="R334" i="2"/>
  <c r="L334" i="2"/>
  <c r="J334" i="2"/>
  <c r="I334" i="2"/>
  <c r="H334" i="2"/>
  <c r="R333" i="2"/>
  <c r="L333" i="2"/>
  <c r="M333" i="2" s="1"/>
  <c r="N333" i="2" s="1"/>
  <c r="J333" i="2"/>
  <c r="I333" i="2"/>
  <c r="H333" i="2"/>
  <c r="R332" i="2"/>
  <c r="L332" i="2"/>
  <c r="J332" i="2"/>
  <c r="I332" i="2"/>
  <c r="O332" i="2" s="1"/>
  <c r="P332" i="2" s="1"/>
  <c r="H332" i="2"/>
  <c r="R331" i="2"/>
  <c r="L331" i="2"/>
  <c r="M331" i="2" s="1"/>
  <c r="N331" i="2" s="1"/>
  <c r="J331" i="2"/>
  <c r="I331" i="2"/>
  <c r="O331" i="2" s="1"/>
  <c r="Q331" i="2" s="1"/>
  <c r="H331" i="2"/>
  <c r="R330" i="2"/>
  <c r="L330" i="2"/>
  <c r="M330" i="2" s="1"/>
  <c r="J330" i="2"/>
  <c r="I330" i="2"/>
  <c r="O330" i="2" s="1"/>
  <c r="H330" i="2"/>
  <c r="R329" i="2"/>
  <c r="L329" i="2"/>
  <c r="M329" i="2" s="1"/>
  <c r="N329" i="2" s="1"/>
  <c r="J329" i="2"/>
  <c r="I329" i="2"/>
  <c r="H329" i="2"/>
  <c r="R328" i="2"/>
  <c r="L328" i="2"/>
  <c r="M328" i="2" s="1"/>
  <c r="N328" i="2" s="1"/>
  <c r="J328" i="2"/>
  <c r="I328" i="2"/>
  <c r="O328" i="2" s="1"/>
  <c r="Q328" i="2" s="1"/>
  <c r="H328" i="2"/>
  <c r="R327" i="2"/>
  <c r="L327" i="2"/>
  <c r="M327" i="2" s="1"/>
  <c r="J327" i="2"/>
  <c r="I327" i="2"/>
  <c r="O327" i="2" s="1"/>
  <c r="Q327" i="2" s="1"/>
  <c r="H327" i="2"/>
  <c r="R326" i="2"/>
  <c r="L326" i="2"/>
  <c r="M326" i="2" s="1"/>
  <c r="N326" i="2" s="1"/>
  <c r="J326" i="2"/>
  <c r="I326" i="2"/>
  <c r="O326" i="2" s="1"/>
  <c r="H326" i="2"/>
  <c r="R325" i="2"/>
  <c r="L325" i="2"/>
  <c r="M325" i="2" s="1"/>
  <c r="J325" i="2"/>
  <c r="I325" i="2"/>
  <c r="O325" i="2" s="1"/>
  <c r="H325" i="2"/>
  <c r="R324" i="2"/>
  <c r="L324" i="2"/>
  <c r="J324" i="2"/>
  <c r="I324" i="2"/>
  <c r="H324" i="2"/>
  <c r="R323" i="2"/>
  <c r="L323" i="2"/>
  <c r="J323" i="2"/>
  <c r="I323" i="2"/>
  <c r="O323" i="2" s="1"/>
  <c r="Q323" i="2" s="1"/>
  <c r="H323" i="2"/>
  <c r="R322" i="2"/>
  <c r="L322" i="2"/>
  <c r="J322" i="2"/>
  <c r="I322" i="2"/>
  <c r="O322" i="2" s="1"/>
  <c r="P322" i="2" s="1"/>
  <c r="H322" i="2"/>
  <c r="R321" i="2"/>
  <c r="L321" i="2"/>
  <c r="J321" i="2"/>
  <c r="I321" i="2"/>
  <c r="O321" i="2" s="1"/>
  <c r="H321" i="2"/>
  <c r="R320" i="2"/>
  <c r="L320" i="2"/>
  <c r="J320" i="2"/>
  <c r="I320" i="2"/>
  <c r="O320" i="2" s="1"/>
  <c r="Q320" i="2" s="1"/>
  <c r="H320" i="2"/>
  <c r="R319" i="2"/>
  <c r="L319" i="2"/>
  <c r="J319" i="2"/>
  <c r="I319" i="2"/>
  <c r="O319" i="2" s="1"/>
  <c r="H319" i="2"/>
  <c r="R318" i="2"/>
  <c r="L318" i="2"/>
  <c r="J318" i="2"/>
  <c r="I318" i="2"/>
  <c r="O318" i="2" s="1"/>
  <c r="Q318" i="2" s="1"/>
  <c r="H318" i="2"/>
  <c r="R317" i="2"/>
  <c r="L317" i="2"/>
  <c r="J317" i="2"/>
  <c r="I317" i="2"/>
  <c r="O317" i="2" s="1"/>
  <c r="P317" i="2" s="1"/>
  <c r="H317" i="2"/>
  <c r="R316" i="2"/>
  <c r="L316" i="2"/>
  <c r="M316" i="2" s="1"/>
  <c r="J316" i="2"/>
  <c r="I316" i="2"/>
  <c r="O316" i="2" s="1"/>
  <c r="H316" i="2"/>
  <c r="R315" i="2"/>
  <c r="L315" i="2"/>
  <c r="J315" i="2"/>
  <c r="I315" i="2"/>
  <c r="O315" i="2" s="1"/>
  <c r="Q315" i="2" s="1"/>
  <c r="H315" i="2"/>
  <c r="R314" i="2"/>
  <c r="L314" i="2"/>
  <c r="J314" i="2"/>
  <c r="I314" i="2"/>
  <c r="O314" i="2" s="1"/>
  <c r="H314" i="2"/>
  <c r="R313" i="2"/>
  <c r="L313" i="2"/>
  <c r="J313" i="2"/>
  <c r="I313" i="2"/>
  <c r="H313" i="2"/>
  <c r="R312" i="2"/>
  <c r="L312" i="2"/>
  <c r="J312" i="2"/>
  <c r="I312" i="2"/>
  <c r="O312" i="2" s="1"/>
  <c r="H312" i="2"/>
  <c r="R311" i="2"/>
  <c r="L311" i="2"/>
  <c r="M311" i="2" s="1"/>
  <c r="N311" i="2" s="1"/>
  <c r="J311" i="2"/>
  <c r="I311" i="2"/>
  <c r="O311" i="2" s="1"/>
  <c r="H311" i="2"/>
  <c r="R310" i="2"/>
  <c r="L310" i="2"/>
  <c r="J310" i="2"/>
  <c r="I310" i="2"/>
  <c r="O310" i="2" s="1"/>
  <c r="Q310" i="2" s="1"/>
  <c r="H310" i="2"/>
  <c r="R309" i="2"/>
  <c r="L309" i="2"/>
  <c r="J309" i="2"/>
  <c r="I309" i="2"/>
  <c r="H309" i="2"/>
  <c r="R308" i="2"/>
  <c r="L308" i="2"/>
  <c r="J308" i="2"/>
  <c r="I308" i="2"/>
  <c r="O308" i="2" s="1"/>
  <c r="Q308" i="2" s="1"/>
  <c r="H308" i="2"/>
  <c r="R307" i="2"/>
  <c r="L307" i="2"/>
  <c r="J307" i="2"/>
  <c r="I307" i="2"/>
  <c r="O307" i="2" s="1"/>
  <c r="H307" i="2"/>
  <c r="R306" i="2"/>
  <c r="L306" i="2"/>
  <c r="M306" i="2" s="1"/>
  <c r="N306" i="2" s="1"/>
  <c r="J306" i="2"/>
  <c r="I306" i="2"/>
  <c r="O306" i="2" s="1"/>
  <c r="Q306" i="2" s="1"/>
  <c r="H306" i="2"/>
  <c r="R305" i="2"/>
  <c r="L305" i="2"/>
  <c r="M305" i="2" s="1"/>
  <c r="J305" i="2"/>
  <c r="I305" i="2"/>
  <c r="O305" i="2" s="1"/>
  <c r="H305" i="2"/>
  <c r="R304" i="2"/>
  <c r="L304" i="2"/>
  <c r="M304" i="2" s="1"/>
  <c r="J304" i="2"/>
  <c r="I304" i="2"/>
  <c r="O304" i="2" s="1"/>
  <c r="H304" i="2"/>
  <c r="R303" i="2"/>
  <c r="L303" i="2"/>
  <c r="M303" i="2" s="1"/>
  <c r="J303" i="2"/>
  <c r="I303" i="2"/>
  <c r="O303" i="2" s="1"/>
  <c r="Q303" i="2" s="1"/>
  <c r="H303" i="2"/>
  <c r="R302" i="2"/>
  <c r="L302" i="2"/>
  <c r="J302" i="2"/>
  <c r="I302" i="2"/>
  <c r="O302" i="2" s="1"/>
  <c r="H302" i="2"/>
  <c r="R301" i="2"/>
  <c r="L301" i="2"/>
  <c r="M301" i="2" s="1"/>
  <c r="N301" i="2" s="1"/>
  <c r="J301" i="2"/>
  <c r="I301" i="2"/>
  <c r="O301" i="2" s="1"/>
  <c r="H301" i="2"/>
  <c r="R300" i="2"/>
  <c r="L300" i="2"/>
  <c r="J300" i="2"/>
  <c r="I300" i="2"/>
  <c r="O300" i="2" s="1"/>
  <c r="P300" i="2" s="1"/>
  <c r="H300" i="2"/>
  <c r="R299" i="2"/>
  <c r="L299" i="2"/>
  <c r="J299" i="2"/>
  <c r="I299" i="2"/>
  <c r="O299" i="2" s="1"/>
  <c r="H299" i="2"/>
  <c r="R298" i="2"/>
  <c r="L298" i="2"/>
  <c r="J298" i="2"/>
  <c r="I298" i="2"/>
  <c r="O298" i="2" s="1"/>
  <c r="Q298" i="2" s="1"/>
  <c r="H298" i="2"/>
  <c r="R297" i="2"/>
  <c r="L297" i="2"/>
  <c r="J297" i="2"/>
  <c r="I297" i="2"/>
  <c r="O297" i="2" s="1"/>
  <c r="H297" i="2"/>
  <c r="R296" i="2"/>
  <c r="L296" i="2"/>
  <c r="M296" i="2" s="1"/>
  <c r="J296" i="2"/>
  <c r="I296" i="2"/>
  <c r="O296" i="2" s="1"/>
  <c r="Q296" i="2" s="1"/>
  <c r="H296" i="2"/>
  <c r="R295" i="2"/>
  <c r="L295" i="2"/>
  <c r="M295" i="2" s="1"/>
  <c r="N295" i="2" s="1"/>
  <c r="J295" i="2"/>
  <c r="I295" i="2"/>
  <c r="O295" i="2" s="1"/>
  <c r="P295" i="2" s="1"/>
  <c r="H295" i="2"/>
  <c r="R294" i="2"/>
  <c r="L294" i="2"/>
  <c r="M294" i="2" s="1"/>
  <c r="J294" i="2"/>
  <c r="I294" i="2"/>
  <c r="O294" i="2" s="1"/>
  <c r="H294" i="2"/>
  <c r="R293" i="2"/>
  <c r="L293" i="2"/>
  <c r="M293" i="2" s="1"/>
  <c r="N293" i="2" s="1"/>
  <c r="J293" i="2"/>
  <c r="I293" i="2"/>
  <c r="O293" i="2" s="1"/>
  <c r="P293" i="2" s="1"/>
  <c r="H293" i="2"/>
  <c r="R292" i="2"/>
  <c r="L292" i="2"/>
  <c r="M292" i="2" s="1"/>
  <c r="J292" i="2"/>
  <c r="I292" i="2"/>
  <c r="O292" i="2" s="1"/>
  <c r="H292" i="2"/>
  <c r="R291" i="2"/>
  <c r="L291" i="2"/>
  <c r="J291" i="2"/>
  <c r="I291" i="2"/>
  <c r="O291" i="2" s="1"/>
  <c r="H291" i="2"/>
  <c r="R290" i="2"/>
  <c r="L290" i="2"/>
  <c r="J290" i="2"/>
  <c r="I290" i="2"/>
  <c r="O290" i="2" s="1"/>
  <c r="H290" i="2"/>
  <c r="R289" i="2"/>
  <c r="L289" i="2"/>
  <c r="M289" i="2" s="1"/>
  <c r="N289" i="2" s="1"/>
  <c r="J289" i="2"/>
  <c r="I289" i="2"/>
  <c r="O289" i="2" s="1"/>
  <c r="H289" i="2"/>
  <c r="R288" i="2"/>
  <c r="L288" i="2"/>
  <c r="J288" i="2"/>
  <c r="I288" i="2"/>
  <c r="O288" i="2" s="1"/>
  <c r="H288" i="2"/>
  <c r="R287" i="2"/>
  <c r="L287" i="2"/>
  <c r="M287" i="2" s="1"/>
  <c r="N287" i="2" s="1"/>
  <c r="J287" i="2"/>
  <c r="I287" i="2"/>
  <c r="H287" i="2"/>
  <c r="R286" i="2"/>
  <c r="L286" i="2"/>
  <c r="M286" i="2" s="1"/>
  <c r="N286" i="2" s="1"/>
  <c r="J286" i="2"/>
  <c r="I286" i="2"/>
  <c r="O286" i="2" s="1"/>
  <c r="Q286" i="2" s="1"/>
  <c r="H286" i="2"/>
  <c r="R285" i="2"/>
  <c r="L285" i="2"/>
  <c r="M285" i="2" s="1"/>
  <c r="N285" i="2" s="1"/>
  <c r="J285" i="2"/>
  <c r="I285" i="2"/>
  <c r="O285" i="2" s="1"/>
  <c r="P285" i="2" s="1"/>
  <c r="H285" i="2"/>
  <c r="R284" i="2"/>
  <c r="L284" i="2"/>
  <c r="J284" i="2"/>
  <c r="I284" i="2"/>
  <c r="O284" i="2" s="1"/>
  <c r="H284" i="2"/>
  <c r="R283" i="2"/>
  <c r="L283" i="2"/>
  <c r="J283" i="2"/>
  <c r="I283" i="2"/>
  <c r="O283" i="2" s="1"/>
  <c r="H283" i="2"/>
  <c r="R282" i="2"/>
  <c r="L282" i="2"/>
  <c r="J282" i="2"/>
  <c r="I282" i="2"/>
  <c r="H282" i="2"/>
  <c r="R281" i="2"/>
  <c r="L281" i="2"/>
  <c r="M281" i="2" s="1"/>
  <c r="N281" i="2" s="1"/>
  <c r="J281" i="2"/>
  <c r="I281" i="2"/>
  <c r="O281" i="2" s="1"/>
  <c r="H281" i="2"/>
  <c r="R280" i="2"/>
  <c r="L280" i="2"/>
  <c r="J280" i="2"/>
  <c r="I280" i="2"/>
  <c r="H280" i="2"/>
  <c r="R279" i="2"/>
  <c r="L279" i="2"/>
  <c r="M279" i="2" s="1"/>
  <c r="J279" i="2"/>
  <c r="I279" i="2"/>
  <c r="O279" i="2" s="1"/>
  <c r="H279" i="2"/>
  <c r="R278" i="2"/>
  <c r="L278" i="2"/>
  <c r="J278" i="2"/>
  <c r="I278" i="2"/>
  <c r="O278" i="2" s="1"/>
  <c r="P278" i="2" s="1"/>
  <c r="H278" i="2"/>
  <c r="R277" i="2"/>
  <c r="L277" i="2"/>
  <c r="J277" i="2"/>
  <c r="I277" i="2"/>
  <c r="H277" i="2"/>
  <c r="R276" i="2"/>
  <c r="L276" i="2"/>
  <c r="M276" i="2" s="1"/>
  <c r="N276" i="2" s="1"/>
  <c r="J276" i="2"/>
  <c r="I276" i="2"/>
  <c r="O276" i="2" s="1"/>
  <c r="Q276" i="2" s="1"/>
  <c r="H276" i="2"/>
  <c r="R275" i="2"/>
  <c r="L275" i="2"/>
  <c r="M275" i="2" s="1"/>
  <c r="N275" i="2" s="1"/>
  <c r="J275" i="2"/>
  <c r="I275" i="2"/>
  <c r="O275" i="2" s="1"/>
  <c r="H275" i="2"/>
  <c r="R274" i="2"/>
  <c r="L274" i="2"/>
  <c r="M274" i="2" s="1"/>
  <c r="J274" i="2"/>
  <c r="I274" i="2"/>
  <c r="O274" i="2" s="1"/>
  <c r="Q274" i="2" s="1"/>
  <c r="H274" i="2"/>
  <c r="R273" i="2"/>
  <c r="L273" i="2"/>
  <c r="M273" i="2" s="1"/>
  <c r="N273" i="2" s="1"/>
  <c r="J273" i="2"/>
  <c r="I273" i="2"/>
  <c r="H273" i="2"/>
  <c r="R272" i="2"/>
  <c r="L272" i="2"/>
  <c r="J272" i="2"/>
  <c r="I272" i="2"/>
  <c r="O272" i="2" s="1"/>
  <c r="H272" i="2"/>
  <c r="R271" i="2"/>
  <c r="L271" i="2"/>
  <c r="M271" i="2" s="1"/>
  <c r="J271" i="2"/>
  <c r="I271" i="2"/>
  <c r="O271" i="2" s="1"/>
  <c r="H271" i="2"/>
  <c r="R270" i="2"/>
  <c r="L270" i="2"/>
  <c r="J270" i="2"/>
  <c r="I270" i="2"/>
  <c r="O270" i="2" s="1"/>
  <c r="H270" i="2"/>
  <c r="R269" i="2"/>
  <c r="L269" i="2"/>
  <c r="M269" i="2" s="1"/>
  <c r="N269" i="2" s="1"/>
  <c r="J269" i="2"/>
  <c r="I269" i="2"/>
  <c r="H269" i="2"/>
  <c r="R268" i="2"/>
  <c r="L268" i="2"/>
  <c r="J268" i="2"/>
  <c r="I268" i="2"/>
  <c r="O268" i="2" s="1"/>
  <c r="H268" i="2"/>
  <c r="R267" i="2"/>
  <c r="L267" i="2"/>
  <c r="J267" i="2"/>
  <c r="I267" i="2"/>
  <c r="H267" i="2"/>
  <c r="R266" i="2"/>
  <c r="L266" i="2"/>
  <c r="M266" i="2" s="1"/>
  <c r="N266" i="2" s="1"/>
  <c r="J266" i="2"/>
  <c r="I266" i="2"/>
  <c r="H266" i="2"/>
  <c r="R265" i="2"/>
  <c r="L265" i="2"/>
  <c r="M265" i="2" s="1"/>
  <c r="N265" i="2" s="1"/>
  <c r="J265" i="2"/>
  <c r="I265" i="2"/>
  <c r="O265" i="2" s="1"/>
  <c r="P265" i="2" s="1"/>
  <c r="H265" i="2"/>
  <c r="R264" i="2"/>
  <c r="L264" i="2"/>
  <c r="M264" i="2" s="1"/>
  <c r="N264" i="2" s="1"/>
  <c r="J264" i="2"/>
  <c r="I264" i="2"/>
  <c r="O264" i="2" s="1"/>
  <c r="H264" i="2"/>
  <c r="R263" i="2"/>
  <c r="L263" i="2"/>
  <c r="J263" i="2"/>
  <c r="I263" i="2"/>
  <c r="O263" i="2" s="1"/>
  <c r="Q263" i="2" s="1"/>
  <c r="H263" i="2"/>
  <c r="R262" i="2"/>
  <c r="L262" i="2"/>
  <c r="M262" i="2" s="1"/>
  <c r="N262" i="2" s="1"/>
  <c r="J262" i="2"/>
  <c r="I262" i="2"/>
  <c r="O262" i="2" s="1"/>
  <c r="Q262" i="2" s="1"/>
  <c r="H262" i="2"/>
  <c r="R261" i="2"/>
  <c r="L261" i="2"/>
  <c r="J261" i="2"/>
  <c r="I261" i="2"/>
  <c r="O261" i="2" s="1"/>
  <c r="H261" i="2"/>
  <c r="R260" i="2"/>
  <c r="L260" i="2"/>
  <c r="M260" i="2" s="1"/>
  <c r="N260" i="2" s="1"/>
  <c r="J260" i="2"/>
  <c r="I260" i="2"/>
  <c r="O260" i="2" s="1"/>
  <c r="H260" i="2"/>
  <c r="R259" i="2"/>
  <c r="L259" i="2"/>
  <c r="J259" i="2"/>
  <c r="I259" i="2"/>
  <c r="O259" i="2" s="1"/>
  <c r="H259" i="2"/>
  <c r="R258" i="2"/>
  <c r="L258" i="2"/>
  <c r="M258" i="2" s="1"/>
  <c r="N258" i="2" s="1"/>
  <c r="J258" i="2"/>
  <c r="I258" i="2"/>
  <c r="O258" i="2" s="1"/>
  <c r="H258" i="2"/>
  <c r="R257" i="2"/>
  <c r="L257" i="2"/>
  <c r="M257" i="2" s="1"/>
  <c r="J257" i="2"/>
  <c r="I257" i="2"/>
  <c r="O257" i="2" s="1"/>
  <c r="P257" i="2" s="1"/>
  <c r="H257" i="2"/>
  <c r="R256" i="2"/>
  <c r="L256" i="2"/>
  <c r="J256" i="2"/>
  <c r="I256" i="2"/>
  <c r="O256" i="2" s="1"/>
  <c r="H256" i="2"/>
  <c r="R255" i="2"/>
  <c r="L255" i="2"/>
  <c r="M255" i="2" s="1"/>
  <c r="J255" i="2"/>
  <c r="I255" i="2"/>
  <c r="O255" i="2" s="1"/>
  <c r="H255" i="2"/>
  <c r="R254" i="2"/>
  <c r="L254" i="2"/>
  <c r="M254" i="2" s="1"/>
  <c r="N254" i="2" s="1"/>
  <c r="J254" i="2"/>
  <c r="I254" i="2"/>
  <c r="O254" i="2" s="1"/>
  <c r="H254" i="2"/>
  <c r="R253" i="2"/>
  <c r="L253" i="2"/>
  <c r="M253" i="2" s="1"/>
  <c r="J253" i="2"/>
  <c r="I253" i="2"/>
  <c r="O253" i="2" s="1"/>
  <c r="H253" i="2"/>
  <c r="R252" i="2"/>
  <c r="L252" i="2"/>
  <c r="J252" i="2"/>
  <c r="I252" i="2"/>
  <c r="O252" i="2" s="1"/>
  <c r="H252" i="2"/>
  <c r="R251" i="2"/>
  <c r="L251" i="2"/>
  <c r="M251" i="2" s="1"/>
  <c r="J251" i="2"/>
  <c r="I251" i="2"/>
  <c r="O251" i="2" s="1"/>
  <c r="P251" i="2" s="1"/>
  <c r="H251" i="2"/>
  <c r="R250" i="2"/>
  <c r="L250" i="2"/>
  <c r="J250" i="2"/>
  <c r="I250" i="2"/>
  <c r="O250" i="2" s="1"/>
  <c r="Q250" i="2" s="1"/>
  <c r="H250" i="2"/>
  <c r="R249" i="2"/>
  <c r="L249" i="2"/>
  <c r="J249" i="2"/>
  <c r="I249" i="2"/>
  <c r="O249" i="2" s="1"/>
  <c r="H249" i="2"/>
  <c r="R248" i="2"/>
  <c r="L248" i="2"/>
  <c r="J248" i="2"/>
  <c r="I248" i="2"/>
  <c r="O248" i="2" s="1"/>
  <c r="Q248" i="2" s="1"/>
  <c r="H248" i="2"/>
  <c r="R247" i="2"/>
  <c r="L247" i="2"/>
  <c r="M247" i="2" s="1"/>
  <c r="J247" i="2"/>
  <c r="I247" i="2"/>
  <c r="H247" i="2"/>
  <c r="R246" i="2"/>
  <c r="L246" i="2"/>
  <c r="J246" i="2"/>
  <c r="I246" i="2"/>
  <c r="O246" i="2" s="1"/>
  <c r="H246" i="2"/>
  <c r="R245" i="2"/>
  <c r="L245" i="2"/>
  <c r="J245" i="2"/>
  <c r="I245" i="2"/>
  <c r="O245" i="2" s="1"/>
  <c r="H245" i="2"/>
  <c r="R244" i="2"/>
  <c r="L244" i="2"/>
  <c r="J244" i="2"/>
  <c r="I244" i="2"/>
  <c r="O244" i="2" s="1"/>
  <c r="H244" i="2"/>
  <c r="R243" i="2"/>
  <c r="L243" i="2"/>
  <c r="J243" i="2"/>
  <c r="I243" i="2"/>
  <c r="O243" i="2" s="1"/>
  <c r="H243" i="2"/>
  <c r="R242" i="2"/>
  <c r="L242" i="2"/>
  <c r="J242" i="2"/>
  <c r="I242" i="2"/>
  <c r="O242" i="2" s="1"/>
  <c r="H242" i="2"/>
  <c r="R241" i="2"/>
  <c r="L241" i="2"/>
  <c r="J241" i="2"/>
  <c r="I241" i="2"/>
  <c r="O241" i="2" s="1"/>
  <c r="H241" i="2"/>
  <c r="R240" i="2"/>
  <c r="L240" i="2"/>
  <c r="J240" i="2"/>
  <c r="I240" i="2"/>
  <c r="O240" i="2" s="1"/>
  <c r="P240" i="2" s="1"/>
  <c r="H240" i="2"/>
  <c r="R239" i="2"/>
  <c r="L239" i="2"/>
  <c r="J239" i="2"/>
  <c r="I239" i="2"/>
  <c r="O239" i="2" s="1"/>
  <c r="Q239" i="2" s="1"/>
  <c r="H239" i="2"/>
  <c r="R238" i="2"/>
  <c r="L238" i="2"/>
  <c r="J238" i="2"/>
  <c r="I238" i="2"/>
  <c r="O238" i="2" s="1"/>
  <c r="H238" i="2"/>
  <c r="R237" i="2"/>
  <c r="L237" i="2"/>
  <c r="M237" i="2" s="1"/>
  <c r="J237" i="2"/>
  <c r="I237" i="2"/>
  <c r="O237" i="2" s="1"/>
  <c r="P237" i="2" s="1"/>
  <c r="H237" i="2"/>
  <c r="R236" i="2"/>
  <c r="L236" i="2"/>
  <c r="J236" i="2"/>
  <c r="I236" i="2"/>
  <c r="O236" i="2" s="1"/>
  <c r="H236" i="2"/>
  <c r="R235" i="2"/>
  <c r="L235" i="2"/>
  <c r="M235" i="2" s="1"/>
  <c r="N235" i="2" s="1"/>
  <c r="J235" i="2"/>
  <c r="I235" i="2"/>
  <c r="H235" i="2"/>
  <c r="R234" i="2"/>
  <c r="L234" i="2"/>
  <c r="M234" i="2" s="1"/>
  <c r="N234" i="2" s="1"/>
  <c r="J234" i="2"/>
  <c r="I234" i="2"/>
  <c r="O234" i="2" s="1"/>
  <c r="H234" i="2"/>
  <c r="R233" i="2"/>
  <c r="L233" i="2"/>
  <c r="J233" i="2"/>
  <c r="I233" i="2"/>
  <c r="O233" i="2" s="1"/>
  <c r="H233" i="2"/>
  <c r="R232" i="2"/>
  <c r="L232" i="2"/>
  <c r="J232" i="2"/>
  <c r="I232" i="2"/>
  <c r="O232" i="2" s="1"/>
  <c r="Q232" i="2" s="1"/>
  <c r="H232" i="2"/>
  <c r="R231" i="2"/>
  <c r="L231" i="2"/>
  <c r="M231" i="2" s="1"/>
  <c r="N231" i="2" s="1"/>
  <c r="J231" i="2"/>
  <c r="I231" i="2"/>
  <c r="O231" i="2" s="1"/>
  <c r="H231" i="2"/>
  <c r="R230" i="2"/>
  <c r="L230" i="2"/>
  <c r="J230" i="2"/>
  <c r="I230" i="2"/>
  <c r="O230" i="2" s="1"/>
  <c r="Q230" i="2" s="1"/>
  <c r="H230" i="2"/>
  <c r="R229" i="2"/>
  <c r="L229" i="2"/>
  <c r="J229" i="2"/>
  <c r="I229" i="2"/>
  <c r="O229" i="2" s="1"/>
  <c r="H229" i="2"/>
  <c r="R228" i="2"/>
  <c r="L228" i="2"/>
  <c r="J228" i="2"/>
  <c r="I228" i="2"/>
  <c r="H228" i="2"/>
  <c r="R227" i="2"/>
  <c r="L227" i="2"/>
  <c r="J227" i="2"/>
  <c r="I227" i="2"/>
  <c r="H227" i="2"/>
  <c r="R226" i="2"/>
  <c r="L226" i="2"/>
  <c r="J226" i="2"/>
  <c r="I226" i="2"/>
  <c r="O226" i="2" s="1"/>
  <c r="H226" i="2"/>
  <c r="R225" i="2"/>
  <c r="L225" i="2"/>
  <c r="M225" i="2" s="1"/>
  <c r="N225" i="2" s="1"/>
  <c r="J225" i="2"/>
  <c r="I225" i="2"/>
  <c r="H225" i="2"/>
  <c r="R224" i="2"/>
  <c r="L224" i="2"/>
  <c r="M224" i="2" s="1"/>
  <c r="N224" i="2" s="1"/>
  <c r="J224" i="2"/>
  <c r="I224" i="2"/>
  <c r="H224" i="2"/>
  <c r="R223" i="2"/>
  <c r="L223" i="2"/>
  <c r="M223" i="2" s="1"/>
  <c r="J223" i="2"/>
  <c r="I223" i="2"/>
  <c r="O223" i="2" s="1"/>
  <c r="H223" i="2"/>
  <c r="R222" i="2"/>
  <c r="L222" i="2"/>
  <c r="M222" i="2" s="1"/>
  <c r="N222" i="2" s="1"/>
  <c r="J222" i="2"/>
  <c r="I222" i="2"/>
  <c r="H222" i="2"/>
  <c r="R221" i="2"/>
  <c r="L221" i="2"/>
  <c r="M221" i="2" s="1"/>
  <c r="N221" i="2" s="1"/>
  <c r="J221" i="2"/>
  <c r="I221" i="2"/>
  <c r="O221" i="2" s="1"/>
  <c r="H221" i="2"/>
  <c r="R220" i="2"/>
  <c r="L220" i="2"/>
  <c r="M220" i="2" s="1"/>
  <c r="N220" i="2" s="1"/>
  <c r="J220" i="2"/>
  <c r="I220" i="2"/>
  <c r="O220" i="2" s="1"/>
  <c r="H220" i="2"/>
  <c r="R219" i="2"/>
  <c r="L219" i="2"/>
  <c r="J219" i="2"/>
  <c r="I219" i="2"/>
  <c r="O219" i="2" s="1"/>
  <c r="H219" i="2"/>
  <c r="R218" i="2"/>
  <c r="L218" i="2"/>
  <c r="M218" i="2" s="1"/>
  <c r="N218" i="2" s="1"/>
  <c r="J218" i="2"/>
  <c r="I218" i="2"/>
  <c r="O218" i="2" s="1"/>
  <c r="H218" i="2"/>
  <c r="R217" i="2"/>
  <c r="L217" i="2"/>
  <c r="J217" i="2"/>
  <c r="I217" i="2"/>
  <c r="O217" i="2" s="1"/>
  <c r="H217" i="2"/>
  <c r="R216" i="2"/>
  <c r="L216" i="2"/>
  <c r="J216" i="2"/>
  <c r="I216" i="2"/>
  <c r="O216" i="2" s="1"/>
  <c r="H216" i="2"/>
  <c r="R215" i="2"/>
  <c r="L215" i="2"/>
  <c r="M215" i="2" s="1"/>
  <c r="J215" i="2"/>
  <c r="I215" i="2"/>
  <c r="O215" i="2" s="1"/>
  <c r="Q215" i="2" s="1"/>
  <c r="H215" i="2"/>
  <c r="R214" i="2"/>
  <c r="L214" i="2"/>
  <c r="M214" i="2" s="1"/>
  <c r="N214" i="2" s="1"/>
  <c r="J214" i="2"/>
  <c r="I214" i="2"/>
  <c r="H214" i="2"/>
  <c r="R213" i="2"/>
  <c r="L213" i="2"/>
  <c r="M213" i="2" s="1"/>
  <c r="N213" i="2" s="1"/>
  <c r="J213" i="2"/>
  <c r="I213" i="2"/>
  <c r="O213" i="2" s="1"/>
  <c r="H213" i="2"/>
  <c r="R212" i="2"/>
  <c r="L212" i="2"/>
  <c r="M212" i="2" s="1"/>
  <c r="N212" i="2" s="1"/>
  <c r="J212" i="2"/>
  <c r="I212" i="2"/>
  <c r="O212" i="2" s="1"/>
  <c r="H212" i="2"/>
  <c r="R211" i="2"/>
  <c r="L211" i="2"/>
  <c r="J211" i="2"/>
  <c r="I211" i="2"/>
  <c r="O211" i="2" s="1"/>
  <c r="Q211" i="2" s="1"/>
  <c r="H211" i="2"/>
  <c r="R210" i="2"/>
  <c r="L210" i="2"/>
  <c r="J210" i="2"/>
  <c r="I210" i="2"/>
  <c r="O210" i="2" s="1"/>
  <c r="P210" i="2" s="1"/>
  <c r="H210" i="2"/>
  <c r="R209" i="2"/>
  <c r="L209" i="2"/>
  <c r="J209" i="2"/>
  <c r="I209" i="2"/>
  <c r="O209" i="2" s="1"/>
  <c r="Q209" i="2" s="1"/>
  <c r="H209" i="2"/>
  <c r="R208" i="2"/>
  <c r="L208" i="2"/>
  <c r="J208" i="2"/>
  <c r="I208" i="2"/>
  <c r="O208" i="2" s="1"/>
  <c r="Q208" i="2" s="1"/>
  <c r="H208" i="2"/>
  <c r="R207" i="2"/>
  <c r="L207" i="2"/>
  <c r="J207" i="2"/>
  <c r="I207" i="2"/>
  <c r="O207" i="2" s="1"/>
  <c r="P207" i="2" s="1"/>
  <c r="H207" i="2"/>
  <c r="R206" i="2"/>
  <c r="L206" i="2"/>
  <c r="M206" i="2" s="1"/>
  <c r="N206" i="2" s="1"/>
  <c r="J206" i="2"/>
  <c r="I206" i="2"/>
  <c r="O206" i="2" s="1"/>
  <c r="H206" i="2"/>
  <c r="R205" i="2"/>
  <c r="L205" i="2"/>
  <c r="M205" i="2" s="1"/>
  <c r="N205" i="2" s="1"/>
  <c r="J205" i="2"/>
  <c r="I205" i="2"/>
  <c r="O205" i="2" s="1"/>
  <c r="H205" i="2"/>
  <c r="R204" i="2"/>
  <c r="L204" i="2"/>
  <c r="M204" i="2" s="1"/>
  <c r="N204" i="2" s="1"/>
  <c r="J204" i="2"/>
  <c r="I204" i="2"/>
  <c r="O204" i="2" s="1"/>
  <c r="H204" i="2"/>
  <c r="R203" i="2"/>
  <c r="L203" i="2"/>
  <c r="M203" i="2" s="1"/>
  <c r="J203" i="2"/>
  <c r="I203" i="2"/>
  <c r="O203" i="2" s="1"/>
  <c r="H203" i="2"/>
  <c r="R202" i="2"/>
  <c r="L202" i="2"/>
  <c r="M202" i="2" s="1"/>
  <c r="N202" i="2" s="1"/>
  <c r="J202" i="2"/>
  <c r="I202" i="2"/>
  <c r="O202" i="2" s="1"/>
  <c r="Q202" i="2" s="1"/>
  <c r="H202" i="2"/>
  <c r="R201" i="2"/>
  <c r="L201" i="2"/>
  <c r="M201" i="2" s="1"/>
  <c r="N201" i="2" s="1"/>
  <c r="J201" i="2"/>
  <c r="I201" i="2"/>
  <c r="O201" i="2" s="1"/>
  <c r="P201" i="2" s="1"/>
  <c r="H201" i="2"/>
  <c r="R200" i="2"/>
  <c r="L200" i="2"/>
  <c r="M200" i="2" s="1"/>
  <c r="N200" i="2" s="1"/>
  <c r="J200" i="2"/>
  <c r="I200" i="2"/>
  <c r="O200" i="2" s="1"/>
  <c r="H200" i="2"/>
  <c r="R199" i="2"/>
  <c r="L199" i="2"/>
  <c r="J199" i="2"/>
  <c r="I199" i="2"/>
  <c r="O199" i="2" s="1"/>
  <c r="Q199" i="2" s="1"/>
  <c r="H199" i="2"/>
  <c r="R198" i="2"/>
  <c r="L198" i="2"/>
  <c r="J198" i="2"/>
  <c r="I198" i="2"/>
  <c r="O198" i="2" s="1"/>
  <c r="H198" i="2"/>
  <c r="R197" i="2"/>
  <c r="L197" i="2"/>
  <c r="M197" i="2" s="1"/>
  <c r="J197" i="2"/>
  <c r="I197" i="2"/>
  <c r="O197" i="2" s="1"/>
  <c r="H197" i="2"/>
  <c r="R196" i="2"/>
  <c r="L196" i="2"/>
  <c r="M196" i="2" s="1"/>
  <c r="N196" i="2" s="1"/>
  <c r="J196" i="2"/>
  <c r="I196" i="2"/>
  <c r="O196" i="2" s="1"/>
  <c r="P196" i="2" s="1"/>
  <c r="H196" i="2"/>
  <c r="R195" i="2"/>
  <c r="L195" i="2"/>
  <c r="M195" i="2" s="1"/>
  <c r="N195" i="2" s="1"/>
  <c r="J195" i="2"/>
  <c r="I195" i="2"/>
  <c r="O195" i="2" s="1"/>
  <c r="Q195" i="2" s="1"/>
  <c r="H195" i="2"/>
  <c r="R194" i="2"/>
  <c r="L194" i="2"/>
  <c r="J194" i="2"/>
  <c r="I194" i="2"/>
  <c r="O194" i="2" s="1"/>
  <c r="H194" i="2"/>
  <c r="R193" i="2"/>
  <c r="L193" i="2"/>
  <c r="M193" i="2" s="1"/>
  <c r="J193" i="2"/>
  <c r="I193" i="2"/>
  <c r="O193" i="2" s="1"/>
  <c r="H193" i="2"/>
  <c r="R192" i="2"/>
  <c r="L192" i="2"/>
  <c r="J192" i="2"/>
  <c r="I192" i="2"/>
  <c r="O192" i="2" s="1"/>
  <c r="Q192" i="2" s="1"/>
  <c r="H192" i="2"/>
  <c r="R191" i="2"/>
  <c r="L191" i="2"/>
  <c r="J191" i="2"/>
  <c r="I191" i="2"/>
  <c r="O191" i="2" s="1"/>
  <c r="H191" i="2"/>
  <c r="R190" i="2"/>
  <c r="L190" i="2"/>
  <c r="J190" i="2"/>
  <c r="I190" i="2"/>
  <c r="O190" i="2" s="1"/>
  <c r="P190" i="2" s="1"/>
  <c r="H190" i="2"/>
  <c r="R189" i="2"/>
  <c r="L189" i="2"/>
  <c r="M189" i="2" s="1"/>
  <c r="J189" i="2"/>
  <c r="I189" i="2"/>
  <c r="O189" i="2" s="1"/>
  <c r="H189" i="2"/>
  <c r="R188" i="2"/>
  <c r="L188" i="2"/>
  <c r="J188" i="2"/>
  <c r="I188" i="2"/>
  <c r="O188" i="2" s="1"/>
  <c r="Q188" i="2" s="1"/>
  <c r="H188" i="2"/>
  <c r="R187" i="2"/>
  <c r="L187" i="2"/>
  <c r="J187" i="2"/>
  <c r="I187" i="2"/>
  <c r="O187" i="2" s="1"/>
  <c r="Q187" i="2" s="1"/>
  <c r="H187" i="2"/>
  <c r="R186" i="2"/>
  <c r="L186" i="2"/>
  <c r="J186" i="2"/>
  <c r="I186" i="2"/>
  <c r="O186" i="2" s="1"/>
  <c r="Q186" i="2" s="1"/>
  <c r="H186" i="2"/>
  <c r="R185" i="2"/>
  <c r="L185" i="2"/>
  <c r="J185" i="2"/>
  <c r="I185" i="2"/>
  <c r="O185" i="2" s="1"/>
  <c r="H185" i="2"/>
  <c r="R184" i="2"/>
  <c r="L184" i="2"/>
  <c r="M184" i="2" s="1"/>
  <c r="J184" i="2"/>
  <c r="I184" i="2"/>
  <c r="O184" i="2" s="1"/>
  <c r="Q184" i="2" s="1"/>
  <c r="H184" i="2"/>
  <c r="R183" i="2"/>
  <c r="L183" i="2"/>
  <c r="J183" i="2"/>
  <c r="I183" i="2"/>
  <c r="O183" i="2" s="1"/>
  <c r="H183" i="2"/>
  <c r="R182" i="2"/>
  <c r="L182" i="2"/>
  <c r="M182" i="2" s="1"/>
  <c r="J182" i="2"/>
  <c r="I182" i="2"/>
  <c r="O182" i="2" s="1"/>
  <c r="H182" i="2"/>
  <c r="R181" i="2"/>
  <c r="L181" i="2"/>
  <c r="M181" i="2" s="1"/>
  <c r="N181" i="2" s="1"/>
  <c r="J181" i="2"/>
  <c r="I181" i="2"/>
  <c r="H181" i="2"/>
  <c r="R180" i="2"/>
  <c r="L180" i="2"/>
  <c r="J180" i="2"/>
  <c r="I180" i="2"/>
  <c r="O180" i="2" s="1"/>
  <c r="P180" i="2" s="1"/>
  <c r="H180" i="2"/>
  <c r="R179" i="2"/>
  <c r="L179" i="2"/>
  <c r="M179" i="2" s="1"/>
  <c r="J179" i="2"/>
  <c r="I179" i="2"/>
  <c r="O179" i="2" s="1"/>
  <c r="H179" i="2"/>
  <c r="R178" i="2"/>
  <c r="L178" i="2"/>
  <c r="M178" i="2" s="1"/>
  <c r="N178" i="2" s="1"/>
  <c r="J178" i="2"/>
  <c r="I178" i="2"/>
  <c r="O178" i="2" s="1"/>
  <c r="Q178" i="2" s="1"/>
  <c r="H178" i="2"/>
  <c r="R177" i="2"/>
  <c r="L177" i="2"/>
  <c r="M177" i="2" s="1"/>
  <c r="J177" i="2"/>
  <c r="I177" i="2"/>
  <c r="H177" i="2"/>
  <c r="R176" i="2"/>
  <c r="L176" i="2"/>
  <c r="J176" i="2"/>
  <c r="I176" i="2"/>
  <c r="O176" i="2" s="1"/>
  <c r="Q176" i="2" s="1"/>
  <c r="H176" i="2"/>
  <c r="R175" i="2"/>
  <c r="L175" i="2"/>
  <c r="M175" i="2" s="1"/>
  <c r="N175" i="2" s="1"/>
  <c r="J175" i="2"/>
  <c r="I175" i="2"/>
  <c r="O175" i="2" s="1"/>
  <c r="H175" i="2"/>
  <c r="R174" i="2"/>
  <c r="L174" i="2"/>
  <c r="M174" i="2" s="1"/>
  <c r="J174" i="2"/>
  <c r="I174" i="2"/>
  <c r="O174" i="2" s="1"/>
  <c r="H174" i="2"/>
  <c r="R173" i="2"/>
  <c r="L173" i="2"/>
  <c r="M173" i="2" s="1"/>
  <c r="N173" i="2" s="1"/>
  <c r="J173" i="2"/>
  <c r="I173" i="2"/>
  <c r="O173" i="2" s="1"/>
  <c r="Q173" i="2" s="1"/>
  <c r="H173" i="2"/>
  <c r="R172" i="2"/>
  <c r="L172" i="2"/>
  <c r="J172" i="2"/>
  <c r="I172" i="2"/>
  <c r="O172" i="2" s="1"/>
  <c r="H172" i="2"/>
  <c r="R171" i="2"/>
  <c r="L171" i="2"/>
  <c r="M171" i="2" s="1"/>
  <c r="N171" i="2" s="1"/>
  <c r="J171" i="2"/>
  <c r="I171" i="2"/>
  <c r="O171" i="2" s="1"/>
  <c r="Q171" i="2" s="1"/>
  <c r="H171" i="2"/>
  <c r="R170" i="2"/>
  <c r="L170" i="2"/>
  <c r="J170" i="2"/>
  <c r="I170" i="2"/>
  <c r="O170" i="2" s="1"/>
  <c r="H170" i="2"/>
  <c r="R169" i="2"/>
  <c r="L169" i="2"/>
  <c r="M169" i="2" s="1"/>
  <c r="J169" i="2"/>
  <c r="I169" i="2"/>
  <c r="O169" i="2" s="1"/>
  <c r="H169" i="2"/>
  <c r="R168" i="2"/>
  <c r="L168" i="2"/>
  <c r="J168" i="2"/>
  <c r="I168" i="2"/>
  <c r="O168" i="2" s="1"/>
  <c r="H168" i="2"/>
  <c r="R167" i="2"/>
  <c r="L167" i="2"/>
  <c r="M167" i="2" s="1"/>
  <c r="N167" i="2" s="1"/>
  <c r="J167" i="2"/>
  <c r="I167" i="2"/>
  <c r="O167" i="2" s="1"/>
  <c r="H167" i="2"/>
  <c r="R166" i="2"/>
  <c r="L166" i="2"/>
  <c r="J166" i="2"/>
  <c r="I166" i="2"/>
  <c r="O166" i="2" s="1"/>
  <c r="H166" i="2"/>
  <c r="R165" i="2"/>
  <c r="L165" i="2"/>
  <c r="M165" i="2" s="1"/>
  <c r="N165" i="2" s="1"/>
  <c r="J165" i="2"/>
  <c r="I165" i="2"/>
  <c r="H165" i="2"/>
  <c r="R164" i="2"/>
  <c r="L164" i="2"/>
  <c r="J164" i="2"/>
  <c r="I164" i="2"/>
  <c r="O164" i="2" s="1"/>
  <c r="P164" i="2" s="1"/>
  <c r="H164" i="2"/>
  <c r="R163" i="2"/>
  <c r="L163" i="2"/>
  <c r="J163" i="2"/>
  <c r="I163" i="2"/>
  <c r="O163" i="2" s="1"/>
  <c r="H163" i="2"/>
  <c r="R162" i="2"/>
  <c r="L162" i="2"/>
  <c r="J162" i="2"/>
  <c r="I162" i="2"/>
  <c r="O162" i="2" s="1"/>
  <c r="Q162" i="2" s="1"/>
  <c r="H162" i="2"/>
  <c r="R161" i="2"/>
  <c r="L161" i="2"/>
  <c r="M161" i="2" s="1"/>
  <c r="N161" i="2" s="1"/>
  <c r="J161" i="2"/>
  <c r="I161" i="2"/>
  <c r="H161" i="2"/>
  <c r="R160" i="2"/>
  <c r="L160" i="2"/>
  <c r="M160" i="2" s="1"/>
  <c r="J160" i="2"/>
  <c r="I160" i="2"/>
  <c r="O160" i="2" s="1"/>
  <c r="H160" i="2"/>
  <c r="R159" i="2"/>
  <c r="L159" i="2"/>
  <c r="J159" i="2"/>
  <c r="I159" i="2"/>
  <c r="O159" i="2" s="1"/>
  <c r="H159" i="2"/>
  <c r="R158" i="2"/>
  <c r="L158" i="2"/>
  <c r="J158" i="2"/>
  <c r="I158" i="2"/>
  <c r="O158" i="2" s="1"/>
  <c r="P158" i="2" s="1"/>
  <c r="H158" i="2"/>
  <c r="R157" i="2"/>
  <c r="L157" i="2"/>
  <c r="J157" i="2"/>
  <c r="I157" i="2"/>
  <c r="O157" i="2" s="1"/>
  <c r="Q157" i="2" s="1"/>
  <c r="H157" i="2"/>
  <c r="R156" i="2"/>
  <c r="L156" i="2"/>
  <c r="J156" i="2"/>
  <c r="I156" i="2"/>
  <c r="O156" i="2" s="1"/>
  <c r="H156" i="2"/>
  <c r="R155" i="2"/>
  <c r="L155" i="2"/>
  <c r="J155" i="2"/>
  <c r="I155" i="2"/>
  <c r="O155" i="2" s="1"/>
  <c r="H155" i="2"/>
  <c r="R154" i="2"/>
  <c r="L154" i="2"/>
  <c r="M154" i="2" s="1"/>
  <c r="J154" i="2"/>
  <c r="I154" i="2"/>
  <c r="O154" i="2" s="1"/>
  <c r="H154" i="2"/>
  <c r="R153" i="2"/>
  <c r="L153" i="2"/>
  <c r="J153" i="2"/>
  <c r="I153" i="2"/>
  <c r="O153" i="2" s="1"/>
  <c r="P153" i="2" s="1"/>
  <c r="H153" i="2"/>
  <c r="R152" i="2"/>
  <c r="L152" i="2"/>
  <c r="M152" i="2" s="1"/>
  <c r="N152" i="2" s="1"/>
  <c r="J152" i="2"/>
  <c r="I152" i="2"/>
  <c r="O152" i="2" s="1"/>
  <c r="H152" i="2"/>
  <c r="R151" i="2"/>
  <c r="L151" i="2"/>
  <c r="M151" i="2" s="1"/>
  <c r="J151" i="2"/>
  <c r="I151" i="2"/>
  <c r="O151" i="2" s="1"/>
  <c r="H151" i="2"/>
  <c r="R150" i="2"/>
  <c r="L150" i="2"/>
  <c r="J150" i="2"/>
  <c r="I150" i="2"/>
  <c r="O150" i="2" s="1"/>
  <c r="H150" i="2"/>
  <c r="R149" i="2"/>
  <c r="L149" i="2"/>
  <c r="J149" i="2"/>
  <c r="I149" i="2"/>
  <c r="O149" i="2" s="1"/>
  <c r="H149" i="2"/>
  <c r="R148" i="2"/>
  <c r="L148" i="2"/>
  <c r="J148" i="2"/>
  <c r="I148" i="2"/>
  <c r="O148" i="2" s="1"/>
  <c r="Q148" i="2" s="1"/>
  <c r="H148" i="2"/>
  <c r="R147" i="2"/>
  <c r="L147" i="2"/>
  <c r="J147" i="2"/>
  <c r="I147" i="2"/>
  <c r="O147" i="2" s="1"/>
  <c r="H147" i="2"/>
  <c r="R146" i="2"/>
  <c r="L146" i="2"/>
  <c r="M146" i="2" s="1"/>
  <c r="N146" i="2" s="1"/>
  <c r="J146" i="2"/>
  <c r="I146" i="2"/>
  <c r="O146" i="2" s="1"/>
  <c r="H146" i="2"/>
  <c r="R145" i="2"/>
  <c r="L145" i="2"/>
  <c r="M145" i="2" s="1"/>
  <c r="N145" i="2" s="1"/>
  <c r="J145" i="2"/>
  <c r="I145" i="2"/>
  <c r="O145" i="2" s="1"/>
  <c r="H145" i="2"/>
  <c r="R144" i="2"/>
  <c r="L144" i="2"/>
  <c r="M144" i="2" s="1"/>
  <c r="N144" i="2" s="1"/>
  <c r="J144" i="2"/>
  <c r="I144" i="2"/>
  <c r="O144" i="2" s="1"/>
  <c r="H144" i="2"/>
  <c r="R143" i="2"/>
  <c r="L143" i="2"/>
  <c r="J143" i="2"/>
  <c r="I143" i="2"/>
  <c r="O143" i="2" s="1"/>
  <c r="H143" i="2"/>
  <c r="R142" i="2"/>
  <c r="L142" i="2"/>
  <c r="M142" i="2" s="1"/>
  <c r="N142" i="2" s="1"/>
  <c r="J142" i="2"/>
  <c r="I142" i="2"/>
  <c r="O142" i="2" s="1"/>
  <c r="P142" i="2" s="1"/>
  <c r="H142" i="2"/>
  <c r="R141" i="2"/>
  <c r="L141" i="2"/>
  <c r="M141" i="2" s="1"/>
  <c r="N141" i="2" s="1"/>
  <c r="J141" i="2"/>
  <c r="I141" i="2"/>
  <c r="O141" i="2" s="1"/>
  <c r="P141" i="2" s="1"/>
  <c r="H141" i="2"/>
  <c r="R140" i="2"/>
  <c r="L140" i="2"/>
  <c r="M140" i="2" s="1"/>
  <c r="N140" i="2" s="1"/>
  <c r="J140" i="2"/>
  <c r="I140" i="2"/>
  <c r="O140" i="2" s="1"/>
  <c r="Q140" i="2" s="1"/>
  <c r="H140" i="2"/>
  <c r="R139" i="2"/>
  <c r="L139" i="2"/>
  <c r="J139" i="2"/>
  <c r="I139" i="2"/>
  <c r="O139" i="2" s="1"/>
  <c r="H139" i="2"/>
  <c r="R138" i="2"/>
  <c r="L138" i="2"/>
  <c r="J138" i="2"/>
  <c r="I138" i="2"/>
  <c r="O138" i="2" s="1"/>
  <c r="H138" i="2"/>
  <c r="R137" i="2"/>
  <c r="L137" i="2"/>
  <c r="M137" i="2" s="1"/>
  <c r="J137" i="2"/>
  <c r="I137" i="2"/>
  <c r="O137" i="2" s="1"/>
  <c r="Q137" i="2" s="1"/>
  <c r="H137" i="2"/>
  <c r="R136" i="2"/>
  <c r="L136" i="2"/>
  <c r="M136" i="2" s="1"/>
  <c r="N136" i="2" s="1"/>
  <c r="J136" i="2"/>
  <c r="I136" i="2"/>
  <c r="O136" i="2" s="1"/>
  <c r="H136" i="2"/>
  <c r="R135" i="2"/>
  <c r="L135" i="2"/>
  <c r="J135" i="2"/>
  <c r="I135" i="2"/>
  <c r="O135" i="2" s="1"/>
  <c r="Q135" i="2" s="1"/>
  <c r="H135" i="2"/>
  <c r="R134" i="2"/>
  <c r="L134" i="2"/>
  <c r="M134" i="2" s="1"/>
  <c r="N134" i="2" s="1"/>
  <c r="J134" i="2"/>
  <c r="I134" i="2"/>
  <c r="O134" i="2" s="1"/>
  <c r="H134" i="2"/>
  <c r="R133" i="2"/>
  <c r="L133" i="2"/>
  <c r="M133" i="2" s="1"/>
  <c r="J133" i="2"/>
  <c r="I133" i="2"/>
  <c r="O133" i="2" s="1"/>
  <c r="H133" i="2"/>
  <c r="R132" i="2"/>
  <c r="L132" i="2"/>
  <c r="M132" i="2" s="1"/>
  <c r="N132" i="2" s="1"/>
  <c r="J132" i="2"/>
  <c r="I132" i="2"/>
  <c r="O132" i="2" s="1"/>
  <c r="H132" i="2"/>
  <c r="J131" i="2"/>
  <c r="I131" i="2"/>
  <c r="O131" i="2" s="1"/>
  <c r="H131" i="2"/>
  <c r="J130" i="2"/>
  <c r="I130" i="2"/>
  <c r="O130" i="2" s="1"/>
  <c r="H130" i="2"/>
  <c r="J129" i="2"/>
  <c r="I129" i="2"/>
  <c r="H129" i="2"/>
  <c r="J128" i="2"/>
  <c r="I128" i="2"/>
  <c r="O128" i="2" s="1"/>
  <c r="H128" i="2"/>
  <c r="J127" i="2"/>
  <c r="I127" i="2"/>
  <c r="O127" i="2" s="1"/>
  <c r="H127" i="2"/>
  <c r="J126" i="2"/>
  <c r="I126" i="2"/>
  <c r="O126" i="2" s="1"/>
  <c r="H126" i="2"/>
  <c r="J125" i="2"/>
  <c r="I125" i="2"/>
  <c r="O125" i="2" s="1"/>
  <c r="H125" i="2"/>
  <c r="J124" i="2"/>
  <c r="I124" i="2"/>
  <c r="O124" i="2" s="1"/>
  <c r="H124" i="2"/>
  <c r="J123" i="2"/>
  <c r="I123" i="2"/>
  <c r="O123" i="2" s="1"/>
  <c r="H123" i="2"/>
  <c r="J122" i="2"/>
  <c r="I122" i="2"/>
  <c r="O122" i="2" s="1"/>
  <c r="H122" i="2"/>
  <c r="J121" i="2"/>
  <c r="I121" i="2"/>
  <c r="O121" i="2" s="1"/>
  <c r="H121" i="2"/>
  <c r="J120" i="2"/>
  <c r="I120" i="2"/>
  <c r="O120" i="2" s="1"/>
  <c r="H120" i="2"/>
  <c r="R119" i="2"/>
  <c r="J119" i="2"/>
  <c r="I119" i="2"/>
  <c r="O119" i="2" s="1"/>
  <c r="H119" i="2"/>
  <c r="J118" i="2"/>
  <c r="I118" i="2"/>
  <c r="O118" i="2" s="1"/>
  <c r="H118" i="2"/>
  <c r="J117" i="2"/>
  <c r="I117" i="2"/>
  <c r="O117" i="2" s="1"/>
  <c r="H117" i="2"/>
  <c r="J116" i="2"/>
  <c r="I116" i="2"/>
  <c r="O116" i="2" s="1"/>
  <c r="H116" i="2"/>
  <c r="J115" i="2"/>
  <c r="I115" i="2"/>
  <c r="O115" i="2" s="1"/>
  <c r="H115" i="2"/>
  <c r="J114" i="2"/>
  <c r="I114" i="2"/>
  <c r="O114" i="2" s="1"/>
  <c r="H114" i="2"/>
  <c r="J113" i="2"/>
  <c r="I113" i="2"/>
  <c r="O113" i="2" s="1"/>
  <c r="H113" i="2"/>
  <c r="J112" i="2"/>
  <c r="I112" i="2"/>
  <c r="O112" i="2" s="1"/>
  <c r="H112" i="2"/>
  <c r="R111" i="2"/>
  <c r="J111" i="2"/>
  <c r="I111" i="2"/>
  <c r="O111" i="2" s="1"/>
  <c r="H111" i="2"/>
  <c r="J110" i="2"/>
  <c r="I110" i="2"/>
  <c r="O110" i="2" s="1"/>
  <c r="H110" i="2"/>
  <c r="J109" i="2"/>
  <c r="I109" i="2"/>
  <c r="O109" i="2" s="1"/>
  <c r="H109" i="2"/>
  <c r="J108" i="2"/>
  <c r="I108" i="2"/>
  <c r="O108" i="2" s="1"/>
  <c r="H108" i="2"/>
  <c r="J107" i="2"/>
  <c r="I107" i="2"/>
  <c r="O107" i="2" s="1"/>
  <c r="H107" i="2"/>
  <c r="J106" i="2"/>
  <c r="I106" i="2"/>
  <c r="H106" i="2"/>
  <c r="J105" i="2"/>
  <c r="I105" i="2"/>
  <c r="O105" i="2" s="1"/>
  <c r="H105" i="2"/>
  <c r="J104" i="2"/>
  <c r="I104" i="2"/>
  <c r="O104" i="2" s="1"/>
  <c r="H104" i="2"/>
  <c r="J103" i="2"/>
  <c r="I103" i="2"/>
  <c r="O103" i="2" s="1"/>
  <c r="H103" i="2"/>
  <c r="R102" i="2"/>
  <c r="J102" i="2"/>
  <c r="I102" i="2"/>
  <c r="O102" i="2" s="1"/>
  <c r="H102" i="2"/>
  <c r="J101" i="2"/>
  <c r="I101" i="2"/>
  <c r="H101" i="2"/>
  <c r="R100" i="2"/>
  <c r="J100" i="2"/>
  <c r="I100" i="2"/>
  <c r="O100" i="2" s="1"/>
  <c r="H100" i="2"/>
  <c r="J99" i="2"/>
  <c r="I99" i="2"/>
  <c r="O99" i="2" s="1"/>
  <c r="H99" i="2"/>
  <c r="J98" i="2"/>
  <c r="I98" i="2"/>
  <c r="O98" i="2" s="1"/>
  <c r="H98" i="2"/>
  <c r="J97" i="2"/>
  <c r="I97" i="2"/>
  <c r="O97" i="2" s="1"/>
  <c r="H97" i="2"/>
  <c r="J96" i="2"/>
  <c r="I96" i="2"/>
  <c r="O96" i="2" s="1"/>
  <c r="H96" i="2"/>
  <c r="J95" i="2"/>
  <c r="I95" i="2"/>
  <c r="O95" i="2" s="1"/>
  <c r="H95" i="2"/>
  <c r="J94" i="2"/>
  <c r="I94" i="2"/>
  <c r="O94" i="2" s="1"/>
  <c r="H94" i="2"/>
  <c r="J93" i="2"/>
  <c r="I93" i="2"/>
  <c r="O93" i="2" s="1"/>
  <c r="H93" i="2"/>
  <c r="J92" i="2"/>
  <c r="I92" i="2"/>
  <c r="O92" i="2" s="1"/>
  <c r="H92" i="2"/>
  <c r="J91" i="2"/>
  <c r="I91" i="2"/>
  <c r="O91" i="2" s="1"/>
  <c r="H91" i="2"/>
  <c r="J90" i="2"/>
  <c r="I90" i="2"/>
  <c r="O90" i="2" s="1"/>
  <c r="H90" i="2"/>
  <c r="J89" i="2"/>
  <c r="I89" i="2"/>
  <c r="O89" i="2" s="1"/>
  <c r="H89" i="2"/>
  <c r="J88" i="2"/>
  <c r="I88" i="2"/>
  <c r="O88" i="2" s="1"/>
  <c r="H88" i="2"/>
  <c r="J87" i="2"/>
  <c r="I87" i="2"/>
  <c r="O87" i="2" s="1"/>
  <c r="H87" i="2"/>
  <c r="J86" i="2"/>
  <c r="I86" i="2"/>
  <c r="O86" i="2" s="1"/>
  <c r="H86" i="2"/>
  <c r="J85" i="2"/>
  <c r="I85" i="2"/>
  <c r="O85" i="2" s="1"/>
  <c r="H85" i="2"/>
  <c r="J84" i="2"/>
  <c r="I84" i="2"/>
  <c r="O84" i="2" s="1"/>
  <c r="H84" i="2"/>
  <c r="J83" i="2"/>
  <c r="I83" i="2"/>
  <c r="O83" i="2" s="1"/>
  <c r="H83" i="2"/>
  <c r="J82" i="2"/>
  <c r="I82" i="2"/>
  <c r="O82" i="2" s="1"/>
  <c r="H82" i="2"/>
  <c r="J81" i="2"/>
  <c r="I81" i="2"/>
  <c r="O81" i="2" s="1"/>
  <c r="H81" i="2"/>
  <c r="J80" i="2"/>
  <c r="I80" i="2"/>
  <c r="O80" i="2" s="1"/>
  <c r="H80" i="2"/>
  <c r="J79" i="2"/>
  <c r="I79" i="2"/>
  <c r="O79" i="2" s="1"/>
  <c r="H79" i="2"/>
  <c r="J78" i="2"/>
  <c r="I78" i="2"/>
  <c r="O78" i="2" s="1"/>
  <c r="H78" i="2"/>
  <c r="J77" i="2"/>
  <c r="I77" i="2"/>
  <c r="O77" i="2" s="1"/>
  <c r="H77" i="2"/>
  <c r="J76" i="2"/>
  <c r="I76" i="2"/>
  <c r="O76" i="2" s="1"/>
  <c r="H76" i="2"/>
  <c r="J75" i="2"/>
  <c r="I75" i="2"/>
  <c r="O75" i="2" s="1"/>
  <c r="H75" i="2"/>
  <c r="J74" i="2"/>
  <c r="I74" i="2"/>
  <c r="O74" i="2" s="1"/>
  <c r="H74" i="2"/>
  <c r="J73" i="2"/>
  <c r="I73" i="2"/>
  <c r="O73" i="2" s="1"/>
  <c r="H73" i="2"/>
  <c r="J72" i="2"/>
  <c r="I72" i="2"/>
  <c r="O72" i="2" s="1"/>
  <c r="H72" i="2"/>
  <c r="J71" i="2"/>
  <c r="I71" i="2"/>
  <c r="O71" i="2" s="1"/>
  <c r="H71" i="2"/>
  <c r="R70" i="2"/>
  <c r="J70" i="2"/>
  <c r="I70" i="2"/>
  <c r="O70" i="2" s="1"/>
  <c r="H70" i="2"/>
  <c r="J69" i="2"/>
  <c r="I69" i="2"/>
  <c r="O69" i="2" s="1"/>
  <c r="H69" i="2"/>
  <c r="J68" i="2"/>
  <c r="I68" i="2"/>
  <c r="O68" i="2" s="1"/>
  <c r="H68" i="2"/>
  <c r="J67" i="2"/>
  <c r="I67" i="2"/>
  <c r="O67" i="2" s="1"/>
  <c r="H67" i="2"/>
  <c r="J66" i="2"/>
  <c r="I66" i="2"/>
  <c r="H66" i="2"/>
  <c r="J65" i="2"/>
  <c r="I65" i="2"/>
  <c r="O65" i="2" s="1"/>
  <c r="H65" i="2"/>
  <c r="J64" i="2"/>
  <c r="I64" i="2"/>
  <c r="O64" i="2" s="1"/>
  <c r="H64" i="2"/>
  <c r="J63" i="2"/>
  <c r="I63" i="2"/>
  <c r="O63" i="2" s="1"/>
  <c r="H63" i="2"/>
  <c r="R62" i="2"/>
  <c r="AR57" i="1" s="1"/>
  <c r="L62" i="2"/>
  <c r="M62" i="2" s="1"/>
  <c r="N62" i="2" s="1"/>
  <c r="J62" i="2"/>
  <c r="I62" i="2"/>
  <c r="O62" i="2" s="1"/>
  <c r="H62" i="2"/>
  <c r="J61" i="2"/>
  <c r="I61" i="2"/>
  <c r="O61" i="2" s="1"/>
  <c r="Q61" i="2" s="1"/>
  <c r="H61" i="2"/>
  <c r="J60" i="2"/>
  <c r="I60" i="2"/>
  <c r="O60" i="2" s="1"/>
  <c r="H60" i="2"/>
  <c r="J59" i="2"/>
  <c r="I59" i="2"/>
  <c r="O59" i="2" s="1"/>
  <c r="H59" i="2"/>
  <c r="J58" i="2"/>
  <c r="I58" i="2"/>
  <c r="O58" i="2" s="1"/>
  <c r="H58" i="2"/>
  <c r="J57" i="2"/>
  <c r="I57" i="2"/>
  <c r="O57" i="2" s="1"/>
  <c r="H57" i="2"/>
  <c r="J56" i="2"/>
  <c r="I56" i="2"/>
  <c r="O56" i="2" s="1"/>
  <c r="H56" i="2"/>
  <c r="R55" i="2"/>
  <c r="J55" i="2"/>
  <c r="I55" i="2"/>
  <c r="O55" i="2" s="1"/>
  <c r="H55" i="2"/>
  <c r="R54" i="2"/>
  <c r="J54" i="2"/>
  <c r="I54" i="2"/>
  <c r="O54" i="2" s="1"/>
  <c r="H54" i="2"/>
  <c r="J53" i="2"/>
  <c r="I53" i="2"/>
  <c r="O53" i="2" s="1"/>
  <c r="H53" i="2"/>
  <c r="J52" i="2"/>
  <c r="I52" i="2"/>
  <c r="O52" i="2" s="1"/>
  <c r="H52" i="2"/>
  <c r="J51" i="2"/>
  <c r="I51" i="2"/>
  <c r="O51" i="2" s="1"/>
  <c r="H51" i="2"/>
  <c r="J50" i="2"/>
  <c r="I50" i="2"/>
  <c r="O50" i="2" s="1"/>
  <c r="H50" i="2"/>
  <c r="J49" i="2"/>
  <c r="I49" i="2"/>
  <c r="O49" i="2" s="1"/>
  <c r="H49" i="2"/>
  <c r="J48" i="2"/>
  <c r="I48" i="2"/>
  <c r="O48" i="2" s="1"/>
  <c r="H48" i="2"/>
  <c r="J47" i="2"/>
  <c r="I47" i="2"/>
  <c r="O47" i="2" s="1"/>
  <c r="H47" i="2"/>
  <c r="J46" i="2"/>
  <c r="I46" i="2"/>
  <c r="H46" i="2"/>
  <c r="J45" i="2"/>
  <c r="I45" i="2"/>
  <c r="O45" i="2" s="1"/>
  <c r="H45" i="2"/>
  <c r="J44" i="2"/>
  <c r="I44" i="2"/>
  <c r="H44" i="2"/>
  <c r="R43" i="2"/>
  <c r="J43" i="2"/>
  <c r="I43" i="2"/>
  <c r="H43" i="2"/>
  <c r="J42" i="2"/>
  <c r="I42" i="2"/>
  <c r="O42" i="2" s="1"/>
  <c r="H42" i="2"/>
  <c r="J41" i="2"/>
  <c r="I41" i="2"/>
  <c r="O41" i="2" s="1"/>
  <c r="H41" i="2"/>
  <c r="J40" i="2"/>
  <c r="I40" i="2"/>
  <c r="O40" i="2" s="1"/>
  <c r="H40" i="2"/>
  <c r="J39" i="2"/>
  <c r="I39" i="2"/>
  <c r="O39" i="2" s="1"/>
  <c r="H39" i="2"/>
  <c r="J38" i="2"/>
  <c r="I38" i="2"/>
  <c r="O38" i="2" s="1"/>
  <c r="H38" i="2"/>
  <c r="J37" i="2"/>
  <c r="I37" i="2"/>
  <c r="O37" i="2" s="1"/>
  <c r="H37" i="2"/>
  <c r="J36" i="2"/>
  <c r="I36" i="2"/>
  <c r="O36" i="2" s="1"/>
  <c r="H36" i="2"/>
  <c r="J35" i="2"/>
  <c r="I35" i="2"/>
  <c r="O35" i="2" s="1"/>
  <c r="H35" i="2"/>
  <c r="J34" i="2"/>
  <c r="I34" i="2"/>
  <c r="H34" i="2"/>
  <c r="J33" i="2"/>
  <c r="I33" i="2"/>
  <c r="H33" i="2"/>
  <c r="J32" i="2"/>
  <c r="I32" i="2"/>
  <c r="O32" i="2" s="1"/>
  <c r="H32" i="2"/>
  <c r="J31" i="2"/>
  <c r="I31" i="2"/>
  <c r="O31" i="2" s="1"/>
  <c r="H31" i="2"/>
  <c r="R30" i="2"/>
  <c r="J30" i="2"/>
  <c r="I30" i="2"/>
  <c r="O30" i="2" s="1"/>
  <c r="H30" i="2"/>
  <c r="J29" i="2"/>
  <c r="I29" i="2"/>
  <c r="O29" i="2" s="1"/>
  <c r="Q29" i="2" s="1"/>
  <c r="H29" i="2"/>
  <c r="J28" i="2"/>
  <c r="I28" i="2"/>
  <c r="O28" i="2" s="1"/>
  <c r="H28" i="2"/>
  <c r="J27" i="2"/>
  <c r="I27" i="2"/>
  <c r="O27" i="2" s="1"/>
  <c r="H27" i="2"/>
  <c r="J26" i="2"/>
  <c r="I26" i="2"/>
  <c r="O26" i="2" s="1"/>
  <c r="H26" i="2"/>
  <c r="J25" i="2"/>
  <c r="I25" i="2"/>
  <c r="O25" i="2" s="1"/>
  <c r="H25" i="2"/>
  <c r="J24" i="2"/>
  <c r="I24" i="2"/>
  <c r="O24" i="2" s="1"/>
  <c r="H24" i="2"/>
  <c r="J23" i="2"/>
  <c r="I23" i="2"/>
  <c r="O23" i="2" s="1"/>
  <c r="H23" i="2"/>
  <c r="J22" i="2"/>
  <c r="I22" i="2"/>
  <c r="H22" i="2"/>
  <c r="J21" i="2"/>
  <c r="I21" i="2"/>
  <c r="O21" i="2" s="1"/>
  <c r="H21" i="2"/>
  <c r="J20" i="2"/>
  <c r="I20" i="2"/>
  <c r="O20" i="2" s="1"/>
  <c r="H20" i="2"/>
  <c r="J19" i="2"/>
  <c r="I19" i="2"/>
  <c r="H19" i="2"/>
  <c r="J18" i="2"/>
  <c r="I18" i="2"/>
  <c r="O18" i="2" s="1"/>
  <c r="H18" i="2"/>
  <c r="J17" i="2"/>
  <c r="I17" i="2"/>
  <c r="O17" i="2" s="1"/>
  <c r="H17" i="2"/>
  <c r="J16" i="2"/>
  <c r="I16" i="2"/>
  <c r="O16" i="2" s="1"/>
  <c r="H16" i="2"/>
  <c r="J15" i="2"/>
  <c r="I15" i="2"/>
  <c r="O15" i="2" s="1"/>
  <c r="H15" i="2"/>
  <c r="J14" i="2"/>
  <c r="I14" i="2"/>
  <c r="O14" i="2" s="1"/>
  <c r="H14" i="2"/>
  <c r="R13" i="2"/>
  <c r="J13" i="2"/>
  <c r="I13" i="2"/>
  <c r="O13" i="2" s="1"/>
  <c r="H13" i="2"/>
  <c r="J12" i="2"/>
  <c r="I12" i="2"/>
  <c r="O12" i="2" s="1"/>
  <c r="H12" i="2"/>
  <c r="J11" i="2"/>
  <c r="I11" i="2"/>
  <c r="O11" i="2" s="1"/>
  <c r="H11" i="2"/>
  <c r="R10" i="2"/>
  <c r="J10" i="2"/>
  <c r="I10" i="2"/>
  <c r="O10" i="2" s="1"/>
  <c r="H10" i="2"/>
  <c r="J9" i="2"/>
  <c r="I9" i="2"/>
  <c r="O9" i="2" s="1"/>
  <c r="H9" i="2"/>
  <c r="R8" i="2"/>
  <c r="J8" i="2"/>
  <c r="I8" i="2"/>
  <c r="O8" i="2" s="1"/>
  <c r="H8" i="2"/>
  <c r="J7" i="2"/>
  <c r="I7" i="2"/>
  <c r="O7" i="2" s="1"/>
  <c r="H7" i="2"/>
  <c r="J6" i="2"/>
  <c r="I6" i="2"/>
  <c r="O6" i="2" s="1"/>
  <c r="H6" i="2"/>
  <c r="R5" i="2"/>
  <c r="J5" i="2"/>
  <c r="I5" i="2"/>
  <c r="O5" i="2" s="1"/>
  <c r="H5" i="2"/>
  <c r="J4" i="2"/>
  <c r="I4" i="2"/>
  <c r="O4" i="2" s="1"/>
  <c r="H4" i="2"/>
  <c r="J3" i="2"/>
  <c r="I3" i="2"/>
  <c r="O3" i="2" s="1"/>
  <c r="Q3" i="2" s="1"/>
  <c r="H3" i="2"/>
  <c r="J2" i="2"/>
  <c r="I2" i="2"/>
  <c r="O2" i="2" s="1"/>
  <c r="H2" i="2"/>
  <c r="AR201" i="1"/>
  <c r="AQ201" i="1"/>
  <c r="AP201" i="1"/>
  <c r="AO201" i="1"/>
  <c r="AL201" i="1"/>
  <c r="AK201" i="1"/>
  <c r="AM201" i="1" s="1"/>
  <c r="AJ201" i="1"/>
  <c r="AA201" i="1"/>
  <c r="V201" i="1"/>
  <c r="U201" i="1"/>
  <c r="L201" i="1"/>
  <c r="X201" i="1" s="1"/>
  <c r="AE201" i="1" s="1"/>
  <c r="G201" i="1"/>
  <c r="F201" i="1"/>
  <c r="AR200" i="1"/>
  <c r="AQ200" i="1"/>
  <c r="AP200" i="1"/>
  <c r="L200" i="1" s="1"/>
  <c r="AO200" i="1"/>
  <c r="V200" i="1" s="1"/>
  <c r="AL200" i="1"/>
  <c r="AK200" i="1"/>
  <c r="AN200" i="1" s="1"/>
  <c r="AJ200" i="1"/>
  <c r="AA200" i="1"/>
  <c r="G200" i="1"/>
  <c r="F200" i="1"/>
  <c r="AR199" i="1"/>
  <c r="AQ199" i="1"/>
  <c r="AP199" i="1"/>
  <c r="AO199" i="1"/>
  <c r="U199" i="1" s="1"/>
  <c r="AL199" i="1"/>
  <c r="AK199" i="1"/>
  <c r="AN199" i="1" s="1"/>
  <c r="AJ199" i="1"/>
  <c r="AA199" i="1"/>
  <c r="V199" i="1"/>
  <c r="L199" i="1"/>
  <c r="G199" i="1"/>
  <c r="F199" i="1"/>
  <c r="AR198" i="1"/>
  <c r="AQ198" i="1"/>
  <c r="AP198" i="1"/>
  <c r="L198" i="1" s="1"/>
  <c r="AO198" i="1"/>
  <c r="V198" i="1" s="1"/>
  <c r="AL198" i="1"/>
  <c r="AK198" i="1"/>
  <c r="AN198" i="1" s="1"/>
  <c r="AJ198" i="1"/>
  <c r="AA198" i="1"/>
  <c r="G198" i="1"/>
  <c r="F198" i="1"/>
  <c r="AR197" i="1"/>
  <c r="AQ197" i="1"/>
  <c r="AP197" i="1"/>
  <c r="L197" i="1" s="1"/>
  <c r="AO197" i="1"/>
  <c r="V197" i="1" s="1"/>
  <c r="AL197" i="1"/>
  <c r="AK197" i="1"/>
  <c r="AN197" i="1" s="1"/>
  <c r="AJ197" i="1"/>
  <c r="AA197" i="1"/>
  <c r="G197" i="1"/>
  <c r="F197" i="1"/>
  <c r="AR196" i="1"/>
  <c r="AQ196" i="1"/>
  <c r="AP196" i="1"/>
  <c r="L196" i="1" s="1"/>
  <c r="AO196" i="1"/>
  <c r="V196" i="1" s="1"/>
  <c r="AL196" i="1"/>
  <c r="AK196" i="1"/>
  <c r="AM196" i="1" s="1"/>
  <c r="AJ196" i="1"/>
  <c r="AA196" i="1"/>
  <c r="G196" i="1"/>
  <c r="F196" i="1"/>
  <c r="AR195" i="1"/>
  <c r="AQ195" i="1"/>
  <c r="AP195" i="1"/>
  <c r="L195" i="1" s="1"/>
  <c r="AO195" i="1"/>
  <c r="AL195" i="1"/>
  <c r="AK195" i="1"/>
  <c r="AM195" i="1" s="1"/>
  <c r="AJ195" i="1"/>
  <c r="AA195" i="1"/>
  <c r="G195" i="1"/>
  <c r="F195" i="1"/>
  <c r="AR194" i="1"/>
  <c r="AQ194" i="1"/>
  <c r="AP194" i="1"/>
  <c r="L194" i="1" s="1"/>
  <c r="AO194" i="1"/>
  <c r="U194" i="1" s="1"/>
  <c r="AL194" i="1"/>
  <c r="AK194" i="1"/>
  <c r="AM194" i="1" s="1"/>
  <c r="AJ194" i="1"/>
  <c r="AA194" i="1"/>
  <c r="G194" i="1"/>
  <c r="F194" i="1"/>
  <c r="AR193" i="1"/>
  <c r="AQ193" i="1"/>
  <c r="AP193" i="1"/>
  <c r="AO193" i="1"/>
  <c r="AL193" i="1"/>
  <c r="AK193" i="1"/>
  <c r="AN193" i="1" s="1"/>
  <c r="AJ193" i="1"/>
  <c r="AA193" i="1"/>
  <c r="L193" i="1"/>
  <c r="G193" i="1"/>
  <c r="F193" i="1"/>
  <c r="AR192" i="1"/>
  <c r="AQ192" i="1"/>
  <c r="AP192" i="1"/>
  <c r="L192" i="1" s="1"/>
  <c r="AO192" i="1"/>
  <c r="V192" i="1" s="1"/>
  <c r="AL192" i="1"/>
  <c r="AK192" i="1"/>
  <c r="AN192" i="1" s="1"/>
  <c r="AJ192" i="1"/>
  <c r="AA192" i="1"/>
  <c r="G192" i="1"/>
  <c r="F192" i="1"/>
  <c r="AR191" i="1"/>
  <c r="AQ191" i="1"/>
  <c r="AP191" i="1"/>
  <c r="L191" i="1" s="1"/>
  <c r="AO191" i="1"/>
  <c r="U191" i="1" s="1"/>
  <c r="AL191" i="1"/>
  <c r="AK191" i="1"/>
  <c r="AN191" i="1" s="1"/>
  <c r="AJ191" i="1"/>
  <c r="AA191" i="1"/>
  <c r="G191" i="1"/>
  <c r="F191" i="1"/>
  <c r="AR190" i="1"/>
  <c r="AQ190" i="1"/>
  <c r="AP190" i="1"/>
  <c r="L190" i="1" s="1"/>
  <c r="AO190" i="1"/>
  <c r="V190" i="1" s="1"/>
  <c r="AL190" i="1"/>
  <c r="AK190" i="1"/>
  <c r="AJ190" i="1"/>
  <c r="AA190" i="1"/>
  <c r="G190" i="1"/>
  <c r="F190" i="1"/>
  <c r="AR189" i="1"/>
  <c r="AQ189" i="1"/>
  <c r="AP189" i="1"/>
  <c r="L189" i="1" s="1"/>
  <c r="AO189" i="1"/>
  <c r="V189" i="1" s="1"/>
  <c r="AL189" i="1"/>
  <c r="AK189" i="1"/>
  <c r="AN189" i="1" s="1"/>
  <c r="AJ189" i="1"/>
  <c r="AA189" i="1"/>
  <c r="G189" i="1"/>
  <c r="F189" i="1"/>
  <c r="AR188" i="1"/>
  <c r="AQ188" i="1"/>
  <c r="AP188" i="1"/>
  <c r="L188" i="1" s="1"/>
  <c r="AO188" i="1"/>
  <c r="V188" i="1" s="1"/>
  <c r="AL188" i="1"/>
  <c r="AK188" i="1"/>
  <c r="AM188" i="1" s="1"/>
  <c r="AJ188" i="1"/>
  <c r="AA188" i="1"/>
  <c r="G188" i="1"/>
  <c r="F188" i="1"/>
  <c r="AR187" i="1"/>
  <c r="AQ187" i="1"/>
  <c r="AP187" i="1"/>
  <c r="L187" i="1" s="1"/>
  <c r="AO187" i="1"/>
  <c r="AL187" i="1"/>
  <c r="AK187" i="1"/>
  <c r="AN187" i="1" s="1"/>
  <c r="AJ187" i="1"/>
  <c r="AA187" i="1"/>
  <c r="G187" i="1"/>
  <c r="F187" i="1"/>
  <c r="AR186" i="1"/>
  <c r="AQ186" i="1"/>
  <c r="AP186" i="1"/>
  <c r="L186" i="1" s="1"/>
  <c r="AO186" i="1"/>
  <c r="AL186" i="1"/>
  <c r="AK186" i="1"/>
  <c r="AM186" i="1" s="1"/>
  <c r="AJ186" i="1"/>
  <c r="AA186" i="1"/>
  <c r="G186" i="1"/>
  <c r="F186" i="1"/>
  <c r="AR185" i="1"/>
  <c r="AQ185" i="1"/>
  <c r="AP185" i="1"/>
  <c r="L185" i="1" s="1"/>
  <c r="AO185" i="1"/>
  <c r="AL185" i="1"/>
  <c r="AK185" i="1"/>
  <c r="AJ185" i="1"/>
  <c r="AA185" i="1"/>
  <c r="G185" i="1"/>
  <c r="F185" i="1"/>
  <c r="AR184" i="1"/>
  <c r="AQ184" i="1"/>
  <c r="AP184" i="1"/>
  <c r="L184" i="1" s="1"/>
  <c r="AO184" i="1"/>
  <c r="V184" i="1" s="1"/>
  <c r="AL184" i="1"/>
  <c r="AK184" i="1"/>
  <c r="AM184" i="1" s="1"/>
  <c r="AJ184" i="1"/>
  <c r="AA184" i="1"/>
  <c r="G184" i="1"/>
  <c r="F184" i="1"/>
  <c r="AR183" i="1"/>
  <c r="AQ183" i="1"/>
  <c r="AP183" i="1"/>
  <c r="L183" i="1" s="1"/>
  <c r="AO183" i="1"/>
  <c r="U183" i="1" s="1"/>
  <c r="AL183" i="1"/>
  <c r="AK183" i="1"/>
  <c r="AN183" i="1" s="1"/>
  <c r="AJ183" i="1"/>
  <c r="AA183" i="1"/>
  <c r="G183" i="1"/>
  <c r="F183" i="1"/>
  <c r="AR182" i="1"/>
  <c r="AQ182" i="1"/>
  <c r="AP182" i="1"/>
  <c r="L182" i="1" s="1"/>
  <c r="AO182" i="1"/>
  <c r="U182" i="1" s="1"/>
  <c r="AL182" i="1"/>
  <c r="AK182" i="1"/>
  <c r="AN182" i="1" s="1"/>
  <c r="AJ182" i="1"/>
  <c r="AA182" i="1"/>
  <c r="G182" i="1"/>
  <c r="F182" i="1"/>
  <c r="AR181" i="1"/>
  <c r="AQ181" i="1"/>
  <c r="AP181" i="1"/>
  <c r="AO181" i="1"/>
  <c r="U181" i="1" s="1"/>
  <c r="AL181" i="1"/>
  <c r="AK181" i="1"/>
  <c r="AM181" i="1" s="1"/>
  <c r="AJ181" i="1"/>
  <c r="AA181" i="1"/>
  <c r="L181" i="1"/>
  <c r="G181" i="1"/>
  <c r="F181" i="1"/>
  <c r="AR180" i="1"/>
  <c r="AQ180" i="1"/>
  <c r="AP180" i="1"/>
  <c r="L180" i="1" s="1"/>
  <c r="AO180" i="1"/>
  <c r="AL180" i="1"/>
  <c r="AK180" i="1"/>
  <c r="AN180" i="1" s="1"/>
  <c r="AJ180" i="1"/>
  <c r="AA180" i="1"/>
  <c r="G180" i="1"/>
  <c r="F180" i="1"/>
  <c r="AR179" i="1"/>
  <c r="AQ179" i="1"/>
  <c r="AP179" i="1"/>
  <c r="L179" i="1" s="1"/>
  <c r="AO179" i="1"/>
  <c r="V179" i="1" s="1"/>
  <c r="AL179" i="1"/>
  <c r="AK179" i="1"/>
  <c r="AM179" i="1" s="1"/>
  <c r="AJ179" i="1"/>
  <c r="AA179" i="1"/>
  <c r="G179" i="1"/>
  <c r="F179" i="1"/>
  <c r="AR178" i="1"/>
  <c r="AQ178" i="1"/>
  <c r="AP178" i="1"/>
  <c r="L178" i="1" s="1"/>
  <c r="AO178" i="1"/>
  <c r="V178" i="1" s="1"/>
  <c r="AL178" i="1"/>
  <c r="AK178" i="1"/>
  <c r="AN178" i="1" s="1"/>
  <c r="AJ178" i="1"/>
  <c r="AA178" i="1"/>
  <c r="G178" i="1"/>
  <c r="F178" i="1"/>
  <c r="AR177" i="1"/>
  <c r="AQ177" i="1"/>
  <c r="AP177" i="1"/>
  <c r="L177" i="1" s="1"/>
  <c r="AO177" i="1"/>
  <c r="U177" i="1" s="1"/>
  <c r="AL177" i="1"/>
  <c r="AK177" i="1"/>
  <c r="AN177" i="1" s="1"/>
  <c r="AJ177" i="1"/>
  <c r="AA177" i="1"/>
  <c r="G177" i="1"/>
  <c r="F177" i="1"/>
  <c r="AR176" i="1"/>
  <c r="AQ176" i="1"/>
  <c r="AP176" i="1"/>
  <c r="L176" i="1" s="1"/>
  <c r="AO176" i="1"/>
  <c r="V176" i="1" s="1"/>
  <c r="AL176" i="1"/>
  <c r="AK176" i="1"/>
  <c r="AM176" i="1" s="1"/>
  <c r="AJ176" i="1"/>
  <c r="AA176" i="1"/>
  <c r="G176" i="1"/>
  <c r="F176" i="1"/>
  <c r="AR175" i="1"/>
  <c r="AQ175" i="1"/>
  <c r="AP175" i="1"/>
  <c r="L175" i="1" s="1"/>
  <c r="AO175" i="1"/>
  <c r="AL175" i="1"/>
  <c r="AK175" i="1"/>
  <c r="AN175" i="1" s="1"/>
  <c r="AJ175" i="1"/>
  <c r="AA175" i="1"/>
  <c r="G175" i="1"/>
  <c r="F175" i="1"/>
  <c r="AR174" i="1"/>
  <c r="AQ174" i="1"/>
  <c r="AP174" i="1"/>
  <c r="L174" i="1" s="1"/>
  <c r="AO174" i="1"/>
  <c r="AL174" i="1"/>
  <c r="AK174" i="1"/>
  <c r="AN174" i="1" s="1"/>
  <c r="AJ174" i="1"/>
  <c r="AA174" i="1"/>
  <c r="G174" i="1"/>
  <c r="F174" i="1"/>
  <c r="AR173" i="1"/>
  <c r="AQ173" i="1"/>
  <c r="AP173" i="1"/>
  <c r="L173" i="1" s="1"/>
  <c r="AO173" i="1"/>
  <c r="U173" i="1" s="1"/>
  <c r="AL173" i="1"/>
  <c r="AK173" i="1"/>
  <c r="AM173" i="1" s="1"/>
  <c r="AJ173" i="1"/>
  <c r="AA173" i="1"/>
  <c r="G173" i="1"/>
  <c r="F173" i="1"/>
  <c r="AR172" i="1"/>
  <c r="AQ172" i="1"/>
  <c r="AP172" i="1"/>
  <c r="L172" i="1" s="1"/>
  <c r="AO172" i="1"/>
  <c r="AL172" i="1"/>
  <c r="AK172" i="1"/>
  <c r="AN172" i="1" s="1"/>
  <c r="AJ172" i="1"/>
  <c r="AA172" i="1"/>
  <c r="G172" i="1"/>
  <c r="F172" i="1"/>
  <c r="AR171" i="1"/>
  <c r="AQ171" i="1"/>
  <c r="AP171" i="1"/>
  <c r="L171" i="1" s="1"/>
  <c r="AO171" i="1"/>
  <c r="U171" i="1" s="1"/>
  <c r="AL171" i="1"/>
  <c r="AK171" i="1"/>
  <c r="AN171" i="1" s="1"/>
  <c r="AJ171" i="1"/>
  <c r="AA171" i="1"/>
  <c r="G171" i="1"/>
  <c r="F171" i="1"/>
  <c r="AR170" i="1"/>
  <c r="AQ170" i="1"/>
  <c r="AP170" i="1"/>
  <c r="L170" i="1" s="1"/>
  <c r="AO170" i="1"/>
  <c r="V170" i="1" s="1"/>
  <c r="AL170" i="1"/>
  <c r="AK170" i="1"/>
  <c r="AJ170" i="1"/>
  <c r="AA170" i="1"/>
  <c r="G170" i="1"/>
  <c r="F170" i="1"/>
  <c r="AR169" i="1"/>
  <c r="AQ169" i="1"/>
  <c r="AP169" i="1"/>
  <c r="L169" i="1" s="1"/>
  <c r="AO169" i="1"/>
  <c r="V169" i="1" s="1"/>
  <c r="AL169" i="1"/>
  <c r="AK169" i="1"/>
  <c r="AN169" i="1" s="1"/>
  <c r="AJ169" i="1"/>
  <c r="AA169" i="1"/>
  <c r="G169" i="1"/>
  <c r="F169" i="1"/>
  <c r="AR168" i="1"/>
  <c r="AQ168" i="1"/>
  <c r="AP168" i="1"/>
  <c r="L168" i="1" s="1"/>
  <c r="AO168" i="1"/>
  <c r="AL168" i="1"/>
  <c r="AK168" i="1"/>
  <c r="AN168" i="1" s="1"/>
  <c r="AJ168" i="1"/>
  <c r="AA168" i="1"/>
  <c r="V168" i="1"/>
  <c r="U168" i="1"/>
  <c r="G168" i="1"/>
  <c r="F168" i="1"/>
  <c r="AR167" i="1"/>
  <c r="AQ167" i="1"/>
  <c r="AP167" i="1"/>
  <c r="L167" i="1" s="1"/>
  <c r="AO167" i="1"/>
  <c r="AL167" i="1"/>
  <c r="AK167" i="1"/>
  <c r="AM167" i="1" s="1"/>
  <c r="AJ167" i="1"/>
  <c r="AA167" i="1"/>
  <c r="G167" i="1"/>
  <c r="F167" i="1"/>
  <c r="AR166" i="1"/>
  <c r="AQ166" i="1"/>
  <c r="AP166" i="1"/>
  <c r="L166" i="1" s="1"/>
  <c r="AO166" i="1"/>
  <c r="U166" i="1" s="1"/>
  <c r="AL166" i="1"/>
  <c r="AK166" i="1"/>
  <c r="AM166" i="1" s="1"/>
  <c r="AJ166" i="1"/>
  <c r="AA166" i="1"/>
  <c r="G166" i="1"/>
  <c r="F166" i="1"/>
  <c r="AR165" i="1"/>
  <c r="AQ165" i="1"/>
  <c r="AP165" i="1"/>
  <c r="L165" i="1" s="1"/>
  <c r="AO165" i="1"/>
  <c r="AL165" i="1"/>
  <c r="AK165" i="1"/>
  <c r="AN165" i="1" s="1"/>
  <c r="AJ165" i="1"/>
  <c r="AA165" i="1"/>
  <c r="G165" i="1"/>
  <c r="F165" i="1"/>
  <c r="AR164" i="1"/>
  <c r="AQ164" i="1"/>
  <c r="AP164" i="1"/>
  <c r="AO164" i="1"/>
  <c r="AL164" i="1"/>
  <c r="AK164" i="1"/>
  <c r="AN164" i="1" s="1"/>
  <c r="AJ164" i="1"/>
  <c r="AA164" i="1"/>
  <c r="L164" i="1"/>
  <c r="G164" i="1"/>
  <c r="F164" i="1"/>
  <c r="AR163" i="1"/>
  <c r="AQ163" i="1"/>
  <c r="AP163" i="1"/>
  <c r="L163" i="1" s="1"/>
  <c r="AO163" i="1"/>
  <c r="U163" i="1" s="1"/>
  <c r="AL163" i="1"/>
  <c r="AK163" i="1"/>
  <c r="AN163" i="1" s="1"/>
  <c r="AJ163" i="1"/>
  <c r="AA163" i="1"/>
  <c r="G163" i="1"/>
  <c r="F163" i="1"/>
  <c r="AR162" i="1"/>
  <c r="AQ162" i="1"/>
  <c r="AP162" i="1"/>
  <c r="L162" i="1" s="1"/>
  <c r="AO162" i="1"/>
  <c r="AL162" i="1"/>
  <c r="AK162" i="1"/>
  <c r="AN162" i="1" s="1"/>
  <c r="AJ162" i="1"/>
  <c r="AA162" i="1"/>
  <c r="G162" i="1"/>
  <c r="F162" i="1"/>
  <c r="AR161" i="1"/>
  <c r="AQ161" i="1"/>
  <c r="AP161" i="1"/>
  <c r="L161" i="1" s="1"/>
  <c r="AO161" i="1"/>
  <c r="U161" i="1" s="1"/>
  <c r="AL161" i="1"/>
  <c r="AK161" i="1"/>
  <c r="AM161" i="1" s="1"/>
  <c r="AJ161" i="1"/>
  <c r="AA161" i="1"/>
  <c r="G161" i="1"/>
  <c r="F161" i="1"/>
  <c r="AR160" i="1"/>
  <c r="AQ160" i="1"/>
  <c r="AP160" i="1"/>
  <c r="L160" i="1" s="1"/>
  <c r="AO160" i="1"/>
  <c r="V160" i="1" s="1"/>
  <c r="AL160" i="1"/>
  <c r="AK160" i="1"/>
  <c r="AM160" i="1" s="1"/>
  <c r="AJ160" i="1"/>
  <c r="AA160" i="1"/>
  <c r="G160" i="1"/>
  <c r="F160" i="1"/>
  <c r="AR159" i="1"/>
  <c r="AQ159" i="1"/>
  <c r="AP159" i="1"/>
  <c r="L159" i="1" s="1"/>
  <c r="AO159" i="1"/>
  <c r="V159" i="1" s="1"/>
  <c r="AL159" i="1"/>
  <c r="AK159" i="1"/>
  <c r="AM159" i="1" s="1"/>
  <c r="AJ159" i="1"/>
  <c r="AA159" i="1"/>
  <c r="G159" i="1"/>
  <c r="F159" i="1"/>
  <c r="AR158" i="1"/>
  <c r="AQ158" i="1"/>
  <c r="AP158" i="1"/>
  <c r="L158" i="1" s="1"/>
  <c r="AO158" i="1"/>
  <c r="V158" i="1" s="1"/>
  <c r="AL158" i="1"/>
  <c r="AK158" i="1"/>
  <c r="AN158" i="1" s="1"/>
  <c r="AJ158" i="1"/>
  <c r="AA158" i="1"/>
  <c r="G158" i="1"/>
  <c r="F158" i="1"/>
  <c r="AR157" i="1"/>
  <c r="AQ157" i="1"/>
  <c r="AP157" i="1"/>
  <c r="L157" i="1" s="1"/>
  <c r="AO157" i="1"/>
  <c r="V157" i="1" s="1"/>
  <c r="AL157" i="1"/>
  <c r="AK157" i="1"/>
  <c r="AN157" i="1" s="1"/>
  <c r="AJ157" i="1"/>
  <c r="AA157" i="1"/>
  <c r="G157" i="1"/>
  <c r="F157" i="1"/>
  <c r="AR156" i="1"/>
  <c r="AQ156" i="1"/>
  <c r="AP156" i="1"/>
  <c r="L156" i="1" s="1"/>
  <c r="AO156" i="1"/>
  <c r="V156" i="1" s="1"/>
  <c r="AL156" i="1"/>
  <c r="AK156" i="1"/>
  <c r="AM156" i="1" s="1"/>
  <c r="AJ156" i="1"/>
  <c r="AA156" i="1"/>
  <c r="G156" i="1"/>
  <c r="F156" i="1"/>
  <c r="AR155" i="1"/>
  <c r="AQ155" i="1"/>
  <c r="AP155" i="1"/>
  <c r="L155" i="1" s="1"/>
  <c r="AO155" i="1"/>
  <c r="V155" i="1" s="1"/>
  <c r="AL155" i="1"/>
  <c r="AK155" i="1"/>
  <c r="AJ155" i="1"/>
  <c r="AA155" i="1"/>
  <c r="G155" i="1"/>
  <c r="F155" i="1"/>
  <c r="AR154" i="1"/>
  <c r="AQ154" i="1"/>
  <c r="AP154" i="1"/>
  <c r="L154" i="1" s="1"/>
  <c r="AO154" i="1"/>
  <c r="V154" i="1" s="1"/>
  <c r="AL154" i="1"/>
  <c r="AK154" i="1"/>
  <c r="AN154" i="1" s="1"/>
  <c r="AJ154" i="1"/>
  <c r="AA154" i="1"/>
  <c r="G154" i="1"/>
  <c r="F154" i="1"/>
  <c r="AR153" i="1"/>
  <c r="AQ153" i="1"/>
  <c r="AP153" i="1"/>
  <c r="L153" i="1" s="1"/>
  <c r="AO153" i="1"/>
  <c r="AL153" i="1"/>
  <c r="AK153" i="1"/>
  <c r="AM153" i="1" s="1"/>
  <c r="AJ153" i="1"/>
  <c r="AA153" i="1"/>
  <c r="G153" i="1"/>
  <c r="F153" i="1"/>
  <c r="AR152" i="1"/>
  <c r="AQ152" i="1"/>
  <c r="AP152" i="1"/>
  <c r="L152" i="1" s="1"/>
  <c r="AO152" i="1"/>
  <c r="V152" i="1" s="1"/>
  <c r="AL152" i="1"/>
  <c r="AK152" i="1"/>
  <c r="AN152" i="1" s="1"/>
  <c r="AJ152" i="1"/>
  <c r="AA152" i="1"/>
  <c r="G152" i="1"/>
  <c r="F152" i="1"/>
  <c r="AR151" i="1"/>
  <c r="AQ151" i="1"/>
  <c r="AP151" i="1"/>
  <c r="AO151" i="1"/>
  <c r="AL151" i="1"/>
  <c r="AK151" i="1"/>
  <c r="AN151" i="1" s="1"/>
  <c r="AJ151" i="1"/>
  <c r="AA151" i="1"/>
  <c r="L151" i="1"/>
  <c r="G151" i="1"/>
  <c r="F151" i="1"/>
  <c r="AR150" i="1"/>
  <c r="AQ150" i="1"/>
  <c r="AP150" i="1"/>
  <c r="L150" i="1" s="1"/>
  <c r="AO150" i="1"/>
  <c r="X150" i="1" s="1"/>
  <c r="Y150" i="1" s="1"/>
  <c r="AL150" i="1"/>
  <c r="AK150" i="1"/>
  <c r="AN150" i="1" s="1"/>
  <c r="AJ150" i="1"/>
  <c r="AA150" i="1"/>
  <c r="V150" i="1"/>
  <c r="G150" i="1"/>
  <c r="F150" i="1"/>
  <c r="AR149" i="1"/>
  <c r="AQ149" i="1"/>
  <c r="AP149" i="1"/>
  <c r="L149" i="1" s="1"/>
  <c r="AO149" i="1"/>
  <c r="U149" i="1" s="1"/>
  <c r="AL149" i="1"/>
  <c r="AK149" i="1"/>
  <c r="AN149" i="1" s="1"/>
  <c r="AJ149" i="1"/>
  <c r="AA149" i="1"/>
  <c r="G149" i="1"/>
  <c r="F149" i="1"/>
  <c r="AR148" i="1"/>
  <c r="AQ148" i="1"/>
  <c r="AP148" i="1"/>
  <c r="L148" i="1" s="1"/>
  <c r="AO148" i="1"/>
  <c r="AL148" i="1"/>
  <c r="AK148" i="1"/>
  <c r="AN148" i="1" s="1"/>
  <c r="AJ148" i="1"/>
  <c r="AA148" i="1"/>
  <c r="G148" i="1"/>
  <c r="F148" i="1"/>
  <c r="AR147" i="1"/>
  <c r="AQ147" i="1"/>
  <c r="AP147" i="1"/>
  <c r="L147" i="1" s="1"/>
  <c r="AO147" i="1"/>
  <c r="V147" i="1" s="1"/>
  <c r="AL147" i="1"/>
  <c r="AK147" i="1"/>
  <c r="AN147" i="1" s="1"/>
  <c r="AJ147" i="1"/>
  <c r="AA147" i="1"/>
  <c r="G147" i="1"/>
  <c r="F147" i="1"/>
  <c r="AR146" i="1"/>
  <c r="AQ146" i="1"/>
  <c r="AP146" i="1"/>
  <c r="L146" i="1" s="1"/>
  <c r="AO146" i="1"/>
  <c r="U146" i="1" s="1"/>
  <c r="AL146" i="1"/>
  <c r="AK146" i="1"/>
  <c r="AM146" i="1" s="1"/>
  <c r="AJ146" i="1"/>
  <c r="AA146" i="1"/>
  <c r="G146" i="1"/>
  <c r="F146" i="1"/>
  <c r="AR145" i="1"/>
  <c r="AQ145" i="1"/>
  <c r="AP145" i="1"/>
  <c r="L145" i="1" s="1"/>
  <c r="AO145" i="1"/>
  <c r="U145" i="1" s="1"/>
  <c r="AL145" i="1"/>
  <c r="AK145" i="1"/>
  <c r="AN145" i="1" s="1"/>
  <c r="AJ145" i="1"/>
  <c r="AA145" i="1"/>
  <c r="G145" i="1"/>
  <c r="F145" i="1"/>
  <c r="AR144" i="1"/>
  <c r="AQ144" i="1"/>
  <c r="AP144" i="1"/>
  <c r="L144" i="1" s="1"/>
  <c r="AO144" i="1"/>
  <c r="AL144" i="1"/>
  <c r="AK144" i="1"/>
  <c r="AM144" i="1" s="1"/>
  <c r="AJ144" i="1"/>
  <c r="AA144" i="1"/>
  <c r="G144" i="1"/>
  <c r="F144" i="1"/>
  <c r="AR143" i="1"/>
  <c r="AQ143" i="1"/>
  <c r="AP143" i="1"/>
  <c r="L143" i="1" s="1"/>
  <c r="AO143" i="1"/>
  <c r="U143" i="1" s="1"/>
  <c r="AL143" i="1"/>
  <c r="AK143" i="1"/>
  <c r="AN143" i="1" s="1"/>
  <c r="AJ143" i="1"/>
  <c r="AA143" i="1"/>
  <c r="G143" i="1"/>
  <c r="F143" i="1"/>
  <c r="AR142" i="1"/>
  <c r="AQ142" i="1"/>
  <c r="AP142" i="1"/>
  <c r="L142" i="1" s="1"/>
  <c r="AO142" i="1"/>
  <c r="U142" i="1" s="1"/>
  <c r="AL142" i="1"/>
  <c r="AK142" i="1"/>
  <c r="AJ142" i="1"/>
  <c r="AA142" i="1"/>
  <c r="G142" i="1"/>
  <c r="F142" i="1"/>
  <c r="AR141" i="1"/>
  <c r="AQ141" i="1"/>
  <c r="AP141" i="1"/>
  <c r="L141" i="1" s="1"/>
  <c r="AO141" i="1"/>
  <c r="AL141" i="1"/>
  <c r="AK141" i="1"/>
  <c r="AM141" i="1" s="1"/>
  <c r="AJ141" i="1"/>
  <c r="AA141" i="1"/>
  <c r="G141" i="1"/>
  <c r="F141" i="1"/>
  <c r="AR140" i="1"/>
  <c r="AQ140" i="1"/>
  <c r="AP140" i="1"/>
  <c r="L140" i="1" s="1"/>
  <c r="AO140" i="1"/>
  <c r="U140" i="1" s="1"/>
  <c r="AL140" i="1"/>
  <c r="AK140" i="1"/>
  <c r="AM140" i="1" s="1"/>
  <c r="AJ140" i="1"/>
  <c r="AA140" i="1"/>
  <c r="G140" i="1"/>
  <c r="F140" i="1"/>
  <c r="AR139" i="1"/>
  <c r="AQ139" i="1"/>
  <c r="AP139" i="1"/>
  <c r="L139" i="1" s="1"/>
  <c r="AO139" i="1"/>
  <c r="AL139" i="1"/>
  <c r="AK139" i="1"/>
  <c r="AM139" i="1" s="1"/>
  <c r="AJ139" i="1"/>
  <c r="AA139" i="1"/>
  <c r="G139" i="1"/>
  <c r="F139" i="1"/>
  <c r="AR138" i="1"/>
  <c r="AQ138" i="1"/>
  <c r="AP138" i="1"/>
  <c r="L138" i="1" s="1"/>
  <c r="AO138" i="1"/>
  <c r="V138" i="1" s="1"/>
  <c r="AL138" i="1"/>
  <c r="AK138" i="1"/>
  <c r="AM138" i="1" s="1"/>
  <c r="AJ138" i="1"/>
  <c r="AA138" i="1"/>
  <c r="F138" i="1"/>
  <c r="AP137" i="1"/>
  <c r="L137" i="1" s="1"/>
  <c r="AO137" i="1"/>
  <c r="X137" i="1" s="1"/>
  <c r="AE137" i="1" s="1"/>
  <c r="AL137" i="1"/>
  <c r="AK137" i="1"/>
  <c r="AN137" i="1" s="1"/>
  <c r="AJ137" i="1"/>
  <c r="AA137" i="1"/>
  <c r="F137" i="1"/>
  <c r="AP136" i="1"/>
  <c r="L136" i="1" s="1"/>
  <c r="AO136" i="1"/>
  <c r="V136" i="1" s="1"/>
  <c r="AL136" i="1"/>
  <c r="AK136" i="1"/>
  <c r="AM136" i="1" s="1"/>
  <c r="AJ136" i="1"/>
  <c r="AA136" i="1"/>
  <c r="F136" i="1"/>
  <c r="AP135" i="1"/>
  <c r="L135" i="1" s="1"/>
  <c r="AO135" i="1"/>
  <c r="V135" i="1" s="1"/>
  <c r="AL135" i="1"/>
  <c r="AK135" i="1"/>
  <c r="AJ135" i="1"/>
  <c r="AA135" i="1"/>
  <c r="F135" i="1"/>
  <c r="AP134" i="1"/>
  <c r="L134" i="1" s="1"/>
  <c r="AO134" i="1"/>
  <c r="V134" i="1" s="1"/>
  <c r="AL134" i="1"/>
  <c r="AK134" i="1"/>
  <c r="AN134" i="1" s="1"/>
  <c r="AJ134" i="1"/>
  <c r="AA134" i="1"/>
  <c r="F134" i="1"/>
  <c r="AP133" i="1"/>
  <c r="L133" i="1" s="1"/>
  <c r="AO133" i="1"/>
  <c r="V133" i="1" s="1"/>
  <c r="AL133" i="1"/>
  <c r="AK133" i="1"/>
  <c r="AM133" i="1" s="1"/>
  <c r="AJ133" i="1"/>
  <c r="AA133" i="1"/>
  <c r="F133" i="1"/>
  <c r="AL132" i="1"/>
  <c r="AP132" i="1" s="1"/>
  <c r="L132" i="1" s="1"/>
  <c r="AK132" i="1"/>
  <c r="AN132" i="1" s="1"/>
  <c r="AJ132" i="1"/>
  <c r="AA132" i="1"/>
  <c r="F132" i="1"/>
  <c r="AL131" i="1"/>
  <c r="AP131" i="1" s="1"/>
  <c r="AK131" i="1"/>
  <c r="AN131" i="1" s="1"/>
  <c r="AJ131" i="1"/>
  <c r="AA131" i="1"/>
  <c r="F131" i="1"/>
  <c r="AL130" i="1"/>
  <c r="AP130" i="1" s="1"/>
  <c r="L130" i="1" s="1"/>
  <c r="AK130" i="1"/>
  <c r="AN130" i="1" s="1"/>
  <c r="AJ130" i="1"/>
  <c r="AA130" i="1"/>
  <c r="F130" i="1"/>
  <c r="AL129" i="1"/>
  <c r="AP129" i="1" s="1"/>
  <c r="AK129" i="1"/>
  <c r="AM129" i="1" s="1"/>
  <c r="AJ129" i="1"/>
  <c r="AA129" i="1"/>
  <c r="F129" i="1"/>
  <c r="AQ128" i="1"/>
  <c r="AL128" i="1"/>
  <c r="AP128" i="1" s="1"/>
  <c r="AK128" i="1"/>
  <c r="AN128" i="1" s="1"/>
  <c r="AJ128" i="1"/>
  <c r="AA128" i="1"/>
  <c r="F128" i="1"/>
  <c r="AL127" i="1"/>
  <c r="AP127" i="1" s="1"/>
  <c r="AK127" i="1"/>
  <c r="AN127" i="1" s="1"/>
  <c r="AJ127" i="1"/>
  <c r="AA127" i="1"/>
  <c r="F127" i="1"/>
  <c r="AL126" i="1"/>
  <c r="AP126" i="1" s="1"/>
  <c r="AK126" i="1"/>
  <c r="AN126" i="1" s="1"/>
  <c r="AJ126" i="1"/>
  <c r="AA126" i="1"/>
  <c r="F126" i="1"/>
  <c r="AL125" i="1"/>
  <c r="AP125" i="1" s="1"/>
  <c r="AK125" i="1"/>
  <c r="AN125" i="1" s="1"/>
  <c r="AJ125" i="1"/>
  <c r="AA125" i="1"/>
  <c r="F125" i="1"/>
  <c r="AL124" i="1"/>
  <c r="AP124" i="1" s="1"/>
  <c r="AK124" i="1"/>
  <c r="AN124" i="1" s="1"/>
  <c r="AJ124" i="1"/>
  <c r="AA124" i="1"/>
  <c r="F124" i="1"/>
  <c r="AQ123" i="1"/>
  <c r="AL123" i="1"/>
  <c r="AP123" i="1" s="1"/>
  <c r="AK123" i="1"/>
  <c r="AN123" i="1" s="1"/>
  <c r="AJ123" i="1"/>
  <c r="AA123" i="1"/>
  <c r="F123" i="1"/>
  <c r="AL122" i="1"/>
  <c r="AP122" i="1" s="1"/>
  <c r="AK122" i="1"/>
  <c r="AN122" i="1" s="1"/>
  <c r="AJ122" i="1"/>
  <c r="AA122" i="1"/>
  <c r="F122" i="1"/>
  <c r="AQ121" i="1"/>
  <c r="AL121" i="1"/>
  <c r="AP121" i="1" s="1"/>
  <c r="AK121" i="1"/>
  <c r="AN121" i="1" s="1"/>
  <c r="AJ121" i="1"/>
  <c r="AA121" i="1"/>
  <c r="G121" i="1"/>
  <c r="F121" i="1"/>
  <c r="AQ120" i="1"/>
  <c r="AL120" i="1"/>
  <c r="AP120" i="1" s="1"/>
  <c r="AO120" i="1" s="1"/>
  <c r="AK120" i="1"/>
  <c r="AN120" i="1" s="1"/>
  <c r="AJ120" i="1"/>
  <c r="AA120" i="1"/>
  <c r="G120" i="1"/>
  <c r="F120" i="1"/>
  <c r="AQ119" i="1"/>
  <c r="AL119" i="1"/>
  <c r="AP119" i="1" s="1"/>
  <c r="AK119" i="1"/>
  <c r="AN119" i="1" s="1"/>
  <c r="AJ119" i="1"/>
  <c r="AA119" i="1"/>
  <c r="G119" i="1"/>
  <c r="F119" i="1"/>
  <c r="AQ118" i="1"/>
  <c r="AL118" i="1"/>
  <c r="AP118" i="1" s="1"/>
  <c r="L118" i="1" s="1"/>
  <c r="AK118" i="1"/>
  <c r="AM118" i="1" s="1"/>
  <c r="AJ118" i="1"/>
  <c r="AA118" i="1"/>
  <c r="G118" i="1"/>
  <c r="F118" i="1"/>
  <c r="AQ117" i="1"/>
  <c r="AL117" i="1"/>
  <c r="AP117" i="1" s="1"/>
  <c r="AK117" i="1"/>
  <c r="AM117" i="1" s="1"/>
  <c r="AJ117" i="1"/>
  <c r="AA117" i="1"/>
  <c r="G117" i="1"/>
  <c r="F117" i="1"/>
  <c r="AQ116" i="1"/>
  <c r="AL116" i="1"/>
  <c r="AP116" i="1" s="1"/>
  <c r="AO116" i="1" s="1"/>
  <c r="V116" i="1" s="1"/>
  <c r="AK116" i="1"/>
  <c r="AN116" i="1" s="1"/>
  <c r="AJ116" i="1"/>
  <c r="AA116" i="1"/>
  <c r="G116" i="1"/>
  <c r="F116" i="1"/>
  <c r="AQ115" i="1"/>
  <c r="AL115" i="1"/>
  <c r="AP115" i="1" s="1"/>
  <c r="AK115" i="1"/>
  <c r="AN115" i="1" s="1"/>
  <c r="AJ115" i="1"/>
  <c r="AA115" i="1"/>
  <c r="G115" i="1"/>
  <c r="F115" i="1"/>
  <c r="AQ114" i="1"/>
  <c r="AL114" i="1"/>
  <c r="AP114" i="1" s="1"/>
  <c r="AK114" i="1"/>
  <c r="AM114" i="1" s="1"/>
  <c r="AJ114" i="1"/>
  <c r="AA114" i="1"/>
  <c r="G114" i="1"/>
  <c r="F114" i="1"/>
  <c r="AQ113" i="1"/>
  <c r="AL113" i="1"/>
  <c r="AP113" i="1" s="1"/>
  <c r="L113" i="1" s="1"/>
  <c r="AK113" i="1"/>
  <c r="AM113" i="1" s="1"/>
  <c r="AJ113" i="1"/>
  <c r="AA113" i="1"/>
  <c r="G113" i="1"/>
  <c r="F113" i="1"/>
  <c r="AQ112" i="1"/>
  <c r="AL112" i="1"/>
  <c r="AP112" i="1" s="1"/>
  <c r="AO112" i="1" s="1"/>
  <c r="U112" i="1" s="1"/>
  <c r="AK112" i="1"/>
  <c r="AJ112" i="1"/>
  <c r="AA112" i="1"/>
  <c r="G112" i="1"/>
  <c r="F112" i="1"/>
  <c r="AQ111" i="1"/>
  <c r="AL111" i="1"/>
  <c r="AP111" i="1" s="1"/>
  <c r="AK111" i="1"/>
  <c r="AN111" i="1" s="1"/>
  <c r="AJ111" i="1"/>
  <c r="AA111" i="1"/>
  <c r="G111" i="1"/>
  <c r="F111" i="1"/>
  <c r="AQ110" i="1"/>
  <c r="AL110" i="1"/>
  <c r="AP110" i="1" s="1"/>
  <c r="AO110" i="1" s="1"/>
  <c r="AK110" i="1"/>
  <c r="AN110" i="1" s="1"/>
  <c r="AJ110" i="1"/>
  <c r="AA110" i="1"/>
  <c r="G110" i="1"/>
  <c r="F110" i="1"/>
  <c r="AQ109" i="1"/>
  <c r="AL109" i="1"/>
  <c r="AP109" i="1" s="1"/>
  <c r="AK109" i="1"/>
  <c r="AN109" i="1" s="1"/>
  <c r="AJ109" i="1"/>
  <c r="AA109" i="1"/>
  <c r="G109" i="1"/>
  <c r="F109" i="1"/>
  <c r="AQ108" i="1"/>
  <c r="AL108" i="1"/>
  <c r="AP108" i="1" s="1"/>
  <c r="AO108" i="1" s="1"/>
  <c r="V108" i="1" s="1"/>
  <c r="AK108" i="1"/>
  <c r="AM108" i="1" s="1"/>
  <c r="AJ108" i="1"/>
  <c r="AA108" i="1"/>
  <c r="G108" i="1"/>
  <c r="F108" i="1"/>
  <c r="AQ107" i="1"/>
  <c r="AL107" i="1"/>
  <c r="AP107" i="1" s="1"/>
  <c r="AO107" i="1" s="1"/>
  <c r="U107" i="1" s="1"/>
  <c r="AK107" i="1"/>
  <c r="AN107" i="1" s="1"/>
  <c r="AJ107" i="1"/>
  <c r="AA107" i="1"/>
  <c r="G107" i="1"/>
  <c r="F107" i="1"/>
  <c r="AQ106" i="1"/>
  <c r="AL106" i="1"/>
  <c r="AP106" i="1" s="1"/>
  <c r="L106" i="1" s="1"/>
  <c r="AK106" i="1"/>
  <c r="AM106" i="1" s="1"/>
  <c r="AJ106" i="1"/>
  <c r="AA106" i="1"/>
  <c r="G106" i="1"/>
  <c r="F106" i="1"/>
  <c r="AQ105" i="1"/>
  <c r="AL105" i="1"/>
  <c r="AP105" i="1" s="1"/>
  <c r="AK105" i="1"/>
  <c r="AM105" i="1" s="1"/>
  <c r="AJ105" i="1"/>
  <c r="AA105" i="1"/>
  <c r="G105" i="1"/>
  <c r="F105" i="1"/>
  <c r="AQ104" i="1"/>
  <c r="AL104" i="1"/>
  <c r="AP104" i="1" s="1"/>
  <c r="AO104" i="1" s="1"/>
  <c r="V104" i="1" s="1"/>
  <c r="AK104" i="1"/>
  <c r="AN104" i="1" s="1"/>
  <c r="AJ104" i="1"/>
  <c r="AA104" i="1"/>
  <c r="G104" i="1"/>
  <c r="F104" i="1"/>
  <c r="AQ103" i="1"/>
  <c r="AL103" i="1"/>
  <c r="AP103" i="1" s="1"/>
  <c r="AK103" i="1"/>
  <c r="AM103" i="1" s="1"/>
  <c r="AJ103" i="1"/>
  <c r="AA103" i="1"/>
  <c r="G103" i="1"/>
  <c r="F103" i="1"/>
  <c r="AQ102" i="1"/>
  <c r="AL102" i="1"/>
  <c r="AP102" i="1" s="1"/>
  <c r="AO102" i="1" s="1"/>
  <c r="AK102" i="1"/>
  <c r="AN102" i="1" s="1"/>
  <c r="AJ102" i="1"/>
  <c r="AA102" i="1"/>
  <c r="G102" i="1"/>
  <c r="F102" i="1"/>
  <c r="AQ101" i="1"/>
  <c r="AL101" i="1"/>
  <c r="AP101" i="1" s="1"/>
  <c r="L101" i="1" s="1"/>
  <c r="AK101" i="1"/>
  <c r="AN101" i="1" s="1"/>
  <c r="AJ101" i="1"/>
  <c r="AA101" i="1"/>
  <c r="G101" i="1"/>
  <c r="F101" i="1"/>
  <c r="AQ100" i="1"/>
  <c r="AL100" i="1"/>
  <c r="AP100" i="1" s="1"/>
  <c r="AK100" i="1"/>
  <c r="AM100" i="1" s="1"/>
  <c r="AJ100" i="1"/>
  <c r="AA100" i="1"/>
  <c r="G100" i="1"/>
  <c r="F100" i="1"/>
  <c r="AQ99" i="1"/>
  <c r="AL99" i="1"/>
  <c r="AP99" i="1" s="1"/>
  <c r="AO99" i="1" s="1"/>
  <c r="V99" i="1" s="1"/>
  <c r="AK99" i="1"/>
  <c r="AM99" i="1" s="1"/>
  <c r="AJ99" i="1"/>
  <c r="AA99" i="1"/>
  <c r="G99" i="1"/>
  <c r="F99" i="1"/>
  <c r="AQ98" i="1"/>
  <c r="AL98" i="1"/>
  <c r="AP98" i="1" s="1"/>
  <c r="L98" i="1" s="1"/>
  <c r="AK98" i="1"/>
  <c r="AJ98" i="1"/>
  <c r="AA98" i="1"/>
  <c r="G98" i="1"/>
  <c r="F98" i="1"/>
  <c r="AQ97" i="1"/>
  <c r="AL97" i="1"/>
  <c r="AP97" i="1" s="1"/>
  <c r="AO97" i="1" s="1"/>
  <c r="V97" i="1" s="1"/>
  <c r="AK97" i="1"/>
  <c r="AM97" i="1" s="1"/>
  <c r="AJ97" i="1"/>
  <c r="AA97" i="1"/>
  <c r="G97" i="1"/>
  <c r="F97" i="1"/>
  <c r="AQ96" i="1"/>
  <c r="AL96" i="1"/>
  <c r="AP96" i="1" s="1"/>
  <c r="AO96" i="1" s="1"/>
  <c r="AK96" i="1"/>
  <c r="AM96" i="1" s="1"/>
  <c r="AJ96" i="1"/>
  <c r="AA96" i="1"/>
  <c r="G96" i="1"/>
  <c r="F96" i="1"/>
  <c r="AQ95" i="1"/>
  <c r="AL95" i="1"/>
  <c r="AP95" i="1" s="1"/>
  <c r="AK95" i="1"/>
  <c r="AM95" i="1" s="1"/>
  <c r="AJ95" i="1"/>
  <c r="AA95" i="1"/>
  <c r="G95" i="1"/>
  <c r="F95" i="1"/>
  <c r="AQ94" i="1"/>
  <c r="AL94" i="1"/>
  <c r="AP94" i="1" s="1"/>
  <c r="AK94" i="1"/>
  <c r="AN94" i="1" s="1"/>
  <c r="AJ94" i="1"/>
  <c r="AA94" i="1"/>
  <c r="G94" i="1"/>
  <c r="F94" i="1"/>
  <c r="AQ93" i="1"/>
  <c r="AL93" i="1"/>
  <c r="AP93" i="1" s="1"/>
  <c r="AO93" i="1" s="1"/>
  <c r="AK93" i="1"/>
  <c r="AJ93" i="1"/>
  <c r="AA93" i="1"/>
  <c r="G93" i="1"/>
  <c r="F93" i="1"/>
  <c r="AQ92" i="1"/>
  <c r="AL92" i="1"/>
  <c r="AP92" i="1" s="1"/>
  <c r="AO92" i="1" s="1"/>
  <c r="V92" i="1" s="1"/>
  <c r="AK92" i="1"/>
  <c r="AM92" i="1" s="1"/>
  <c r="AJ92" i="1"/>
  <c r="AA92" i="1"/>
  <c r="G92" i="1"/>
  <c r="F92" i="1"/>
  <c r="AQ91" i="1"/>
  <c r="AL91" i="1"/>
  <c r="AP91" i="1" s="1"/>
  <c r="AO91" i="1" s="1"/>
  <c r="U91" i="1" s="1"/>
  <c r="AK91" i="1"/>
  <c r="AN91" i="1" s="1"/>
  <c r="AJ91" i="1"/>
  <c r="AA91" i="1"/>
  <c r="G91" i="1"/>
  <c r="F91" i="1"/>
  <c r="AQ90" i="1"/>
  <c r="AL90" i="1"/>
  <c r="AP90" i="1" s="1"/>
  <c r="AK90" i="1"/>
  <c r="AM90" i="1" s="1"/>
  <c r="AJ90" i="1"/>
  <c r="AA90" i="1"/>
  <c r="G90" i="1"/>
  <c r="F90" i="1"/>
  <c r="AQ89" i="1"/>
  <c r="AL89" i="1"/>
  <c r="AP89" i="1" s="1"/>
  <c r="AK89" i="1"/>
  <c r="AJ89" i="1"/>
  <c r="AA89" i="1"/>
  <c r="G89" i="1"/>
  <c r="F89" i="1"/>
  <c r="AQ88" i="1"/>
  <c r="AL88" i="1"/>
  <c r="AP88" i="1" s="1"/>
  <c r="AO88" i="1" s="1"/>
  <c r="AK88" i="1"/>
  <c r="AM88" i="1" s="1"/>
  <c r="AJ88" i="1"/>
  <c r="AA88" i="1"/>
  <c r="G88" i="1"/>
  <c r="F88" i="1"/>
  <c r="AQ87" i="1"/>
  <c r="AL87" i="1"/>
  <c r="AP87" i="1" s="1"/>
  <c r="AK87" i="1"/>
  <c r="AN87" i="1" s="1"/>
  <c r="AJ87" i="1"/>
  <c r="AA87" i="1"/>
  <c r="G87" i="1"/>
  <c r="F87" i="1"/>
  <c r="AQ86" i="1"/>
  <c r="AL86" i="1"/>
  <c r="AP86" i="1" s="1"/>
  <c r="AK86" i="1"/>
  <c r="AN86" i="1" s="1"/>
  <c r="AJ86" i="1"/>
  <c r="AA86" i="1"/>
  <c r="G86" i="1"/>
  <c r="F86" i="1"/>
  <c r="AQ85" i="1"/>
  <c r="AL85" i="1"/>
  <c r="AP85" i="1" s="1"/>
  <c r="AK85" i="1"/>
  <c r="AM85" i="1" s="1"/>
  <c r="AJ85" i="1"/>
  <c r="AA85" i="1"/>
  <c r="G85" i="1"/>
  <c r="F85" i="1"/>
  <c r="AQ84" i="1"/>
  <c r="AL84" i="1"/>
  <c r="AP84" i="1" s="1"/>
  <c r="AK84" i="1"/>
  <c r="AN84" i="1" s="1"/>
  <c r="AJ84" i="1"/>
  <c r="AA84" i="1"/>
  <c r="G84" i="1"/>
  <c r="F84" i="1"/>
  <c r="AQ83" i="1"/>
  <c r="AL83" i="1"/>
  <c r="AP83" i="1" s="1"/>
  <c r="AK83" i="1"/>
  <c r="AN83" i="1" s="1"/>
  <c r="AJ83" i="1"/>
  <c r="AA83" i="1"/>
  <c r="G83" i="1"/>
  <c r="F83" i="1"/>
  <c r="AQ82" i="1"/>
  <c r="AL82" i="1"/>
  <c r="AP82" i="1" s="1"/>
  <c r="L82" i="1" s="1"/>
  <c r="AK82" i="1"/>
  <c r="AM82" i="1" s="1"/>
  <c r="AJ82" i="1"/>
  <c r="AA82" i="1"/>
  <c r="G82" i="1"/>
  <c r="F82" i="1"/>
  <c r="AQ81" i="1"/>
  <c r="AL81" i="1"/>
  <c r="AP81" i="1" s="1"/>
  <c r="AO81" i="1" s="1"/>
  <c r="V81" i="1" s="1"/>
  <c r="AK81" i="1"/>
  <c r="AN81" i="1" s="1"/>
  <c r="AJ81" i="1"/>
  <c r="AA81" i="1"/>
  <c r="G81" i="1"/>
  <c r="F81" i="1"/>
  <c r="AQ80" i="1"/>
  <c r="AL80" i="1"/>
  <c r="AP80" i="1" s="1"/>
  <c r="AK80" i="1"/>
  <c r="AN80" i="1" s="1"/>
  <c r="AJ80" i="1"/>
  <c r="AA80" i="1"/>
  <c r="G80" i="1"/>
  <c r="F80" i="1"/>
  <c r="AQ79" i="1"/>
  <c r="AL79" i="1"/>
  <c r="AP79" i="1" s="1"/>
  <c r="L79" i="1" s="1"/>
  <c r="AK79" i="1"/>
  <c r="AN79" i="1" s="1"/>
  <c r="AJ79" i="1"/>
  <c r="AA79" i="1"/>
  <c r="G79" i="1"/>
  <c r="F79" i="1"/>
  <c r="AQ78" i="1"/>
  <c r="AL78" i="1"/>
  <c r="AP78" i="1" s="1"/>
  <c r="AK78" i="1"/>
  <c r="AN78" i="1" s="1"/>
  <c r="AJ78" i="1"/>
  <c r="AA78" i="1"/>
  <c r="G78" i="1"/>
  <c r="F78" i="1"/>
  <c r="AQ77" i="1"/>
  <c r="AL77" i="1"/>
  <c r="AP77" i="1" s="1"/>
  <c r="AO77" i="1" s="1"/>
  <c r="V77" i="1" s="1"/>
  <c r="AK77" i="1"/>
  <c r="AM77" i="1" s="1"/>
  <c r="AJ77" i="1"/>
  <c r="AA77" i="1"/>
  <c r="G77" i="1"/>
  <c r="F77" i="1"/>
  <c r="AQ76" i="1"/>
  <c r="AL76" i="1"/>
  <c r="AP76" i="1" s="1"/>
  <c r="AK76" i="1"/>
  <c r="AM76" i="1" s="1"/>
  <c r="AJ76" i="1"/>
  <c r="AA76" i="1"/>
  <c r="G76" i="1"/>
  <c r="F76" i="1"/>
  <c r="AQ75" i="1"/>
  <c r="AL75" i="1"/>
  <c r="AP75" i="1" s="1"/>
  <c r="AK75" i="1"/>
  <c r="AN75" i="1" s="1"/>
  <c r="AJ75" i="1"/>
  <c r="AA75" i="1"/>
  <c r="G75" i="1"/>
  <c r="F75" i="1"/>
  <c r="AQ74" i="1"/>
  <c r="AL74" i="1"/>
  <c r="AP74" i="1" s="1"/>
  <c r="AK74" i="1"/>
  <c r="AN74" i="1" s="1"/>
  <c r="AJ74" i="1"/>
  <c r="AA74" i="1"/>
  <c r="G74" i="1"/>
  <c r="F74" i="1"/>
  <c r="AQ73" i="1"/>
  <c r="AL73" i="1"/>
  <c r="AP73" i="1" s="1"/>
  <c r="AK73" i="1"/>
  <c r="AN73" i="1" s="1"/>
  <c r="AJ73" i="1"/>
  <c r="AA73" i="1"/>
  <c r="G73" i="1"/>
  <c r="F73" i="1"/>
  <c r="AQ72" i="1"/>
  <c r="AL72" i="1"/>
  <c r="AP72" i="1" s="1"/>
  <c r="L72" i="1" s="1"/>
  <c r="AK72" i="1"/>
  <c r="AN72" i="1" s="1"/>
  <c r="AJ72" i="1"/>
  <c r="AA72" i="1"/>
  <c r="G72" i="1"/>
  <c r="F72" i="1"/>
  <c r="AQ71" i="1"/>
  <c r="AL71" i="1"/>
  <c r="AP71" i="1" s="1"/>
  <c r="AO71" i="1" s="1"/>
  <c r="AK71" i="1"/>
  <c r="AN71" i="1" s="1"/>
  <c r="AJ71" i="1"/>
  <c r="AA71" i="1"/>
  <c r="G71" i="1"/>
  <c r="F71" i="1"/>
  <c r="AQ70" i="1"/>
  <c r="AL70" i="1"/>
  <c r="AP70" i="1" s="1"/>
  <c r="AK70" i="1"/>
  <c r="AN70" i="1" s="1"/>
  <c r="AJ70" i="1"/>
  <c r="AA70" i="1"/>
  <c r="G70" i="1"/>
  <c r="F70" i="1"/>
  <c r="AQ69" i="1"/>
  <c r="AL69" i="1"/>
  <c r="AP69" i="1" s="1"/>
  <c r="AO69" i="1" s="1"/>
  <c r="V69" i="1" s="1"/>
  <c r="AK69" i="1"/>
  <c r="AN69" i="1" s="1"/>
  <c r="AJ69" i="1"/>
  <c r="AA69" i="1"/>
  <c r="G69" i="1"/>
  <c r="F69" i="1"/>
  <c r="AQ68" i="1"/>
  <c r="AL68" i="1"/>
  <c r="AP68" i="1" s="1"/>
  <c r="AK68" i="1"/>
  <c r="AM68" i="1" s="1"/>
  <c r="AJ68" i="1"/>
  <c r="AA68" i="1"/>
  <c r="G68" i="1"/>
  <c r="F68" i="1"/>
  <c r="AQ67" i="1"/>
  <c r="AL67" i="1"/>
  <c r="AP67" i="1" s="1"/>
  <c r="AK67" i="1"/>
  <c r="AM67" i="1" s="1"/>
  <c r="AJ67" i="1"/>
  <c r="AA67" i="1"/>
  <c r="G67" i="1"/>
  <c r="F67" i="1"/>
  <c r="AQ66" i="1"/>
  <c r="AL66" i="1"/>
  <c r="AP66" i="1" s="1"/>
  <c r="AK66" i="1"/>
  <c r="AM66" i="1" s="1"/>
  <c r="AJ66" i="1"/>
  <c r="AA66" i="1"/>
  <c r="G66" i="1"/>
  <c r="F66" i="1"/>
  <c r="AQ65" i="1"/>
  <c r="AM65" i="1"/>
  <c r="AL65" i="1"/>
  <c r="AP65" i="1" s="1"/>
  <c r="AK65" i="1"/>
  <c r="AN65" i="1" s="1"/>
  <c r="AJ65" i="1"/>
  <c r="AA65" i="1"/>
  <c r="G65" i="1"/>
  <c r="F65" i="1"/>
  <c r="AQ64" i="1"/>
  <c r="AL64" i="1"/>
  <c r="AP64" i="1" s="1"/>
  <c r="AK64" i="1"/>
  <c r="AM64" i="1" s="1"/>
  <c r="AJ64" i="1"/>
  <c r="AA64" i="1"/>
  <c r="G64" i="1"/>
  <c r="F64" i="1"/>
  <c r="AQ63" i="1"/>
  <c r="AL63" i="1"/>
  <c r="AP63" i="1" s="1"/>
  <c r="AK63" i="1"/>
  <c r="AN63" i="1" s="1"/>
  <c r="AJ63" i="1"/>
  <c r="AA63" i="1"/>
  <c r="G63" i="1"/>
  <c r="F63" i="1"/>
  <c r="AQ62" i="1"/>
  <c r="AL62" i="1"/>
  <c r="AP62" i="1" s="1"/>
  <c r="AK62" i="1"/>
  <c r="AN62" i="1" s="1"/>
  <c r="AJ62" i="1"/>
  <c r="AA62" i="1"/>
  <c r="G62" i="1"/>
  <c r="F62" i="1"/>
  <c r="AQ61" i="1"/>
  <c r="AL61" i="1"/>
  <c r="AP61" i="1" s="1"/>
  <c r="AK61" i="1"/>
  <c r="AN61" i="1" s="1"/>
  <c r="AJ61" i="1"/>
  <c r="AA61" i="1"/>
  <c r="G61" i="1"/>
  <c r="F61" i="1"/>
  <c r="AQ60" i="1"/>
  <c r="AL60" i="1"/>
  <c r="AP60" i="1" s="1"/>
  <c r="AK60" i="1"/>
  <c r="AM60" i="1" s="1"/>
  <c r="AJ60" i="1"/>
  <c r="AA60" i="1"/>
  <c r="G60" i="1"/>
  <c r="F60" i="1"/>
  <c r="AQ59" i="1"/>
  <c r="AL59" i="1"/>
  <c r="AP59" i="1" s="1"/>
  <c r="AK59" i="1"/>
  <c r="AN59" i="1" s="1"/>
  <c r="AJ59" i="1"/>
  <c r="AA59" i="1"/>
  <c r="G59" i="1"/>
  <c r="F59" i="1"/>
  <c r="AQ58" i="1"/>
  <c r="AL58" i="1"/>
  <c r="AP58" i="1" s="1"/>
  <c r="AO58" i="1" s="1"/>
  <c r="U58" i="1" s="1"/>
  <c r="AK58" i="1"/>
  <c r="AM58" i="1" s="1"/>
  <c r="AJ58" i="1"/>
  <c r="AA58" i="1"/>
  <c r="G58" i="1"/>
  <c r="F58" i="1"/>
  <c r="AQ57" i="1"/>
  <c r="AL57" i="1"/>
  <c r="AP57" i="1" s="1"/>
  <c r="AK57" i="1"/>
  <c r="AN57" i="1" s="1"/>
  <c r="AJ57" i="1"/>
  <c r="AA57" i="1"/>
  <c r="G57" i="1"/>
  <c r="F57" i="1"/>
  <c r="AQ56" i="1"/>
  <c r="AL56" i="1"/>
  <c r="AP56" i="1" s="1"/>
  <c r="AK56" i="1"/>
  <c r="AN56" i="1" s="1"/>
  <c r="AJ56" i="1"/>
  <c r="AA56" i="1"/>
  <c r="G56" i="1"/>
  <c r="F56" i="1"/>
  <c r="AQ55" i="1"/>
  <c r="AL55" i="1"/>
  <c r="AP55" i="1" s="1"/>
  <c r="AK55" i="1"/>
  <c r="AN55" i="1" s="1"/>
  <c r="AJ55" i="1"/>
  <c r="AA55" i="1"/>
  <c r="G55" i="1"/>
  <c r="F55" i="1"/>
  <c r="AQ54" i="1"/>
  <c r="AL54" i="1"/>
  <c r="AP54" i="1" s="1"/>
  <c r="AK54" i="1"/>
  <c r="AM54" i="1" s="1"/>
  <c r="AJ54" i="1"/>
  <c r="AA54" i="1"/>
  <c r="G54" i="1"/>
  <c r="F54" i="1"/>
  <c r="AQ53" i="1"/>
  <c r="AL53" i="1"/>
  <c r="AP53" i="1" s="1"/>
  <c r="AK53" i="1"/>
  <c r="AN53" i="1" s="1"/>
  <c r="AJ53" i="1"/>
  <c r="AA53" i="1"/>
  <c r="G53" i="1"/>
  <c r="F53" i="1"/>
  <c r="AQ52" i="1"/>
  <c r="AL52" i="1"/>
  <c r="AP52" i="1" s="1"/>
  <c r="L52" i="1" s="1"/>
  <c r="AK52" i="1"/>
  <c r="AM52" i="1" s="1"/>
  <c r="AJ52" i="1"/>
  <c r="AA52" i="1"/>
  <c r="G52" i="1"/>
  <c r="F52" i="1"/>
  <c r="AQ51" i="1"/>
  <c r="AL51" i="1"/>
  <c r="AP51" i="1" s="1"/>
  <c r="AO51" i="1" s="1"/>
  <c r="U51" i="1" s="1"/>
  <c r="AK51" i="1"/>
  <c r="AJ51" i="1"/>
  <c r="AA51" i="1"/>
  <c r="G51" i="1"/>
  <c r="F51" i="1"/>
  <c r="AQ50" i="1"/>
  <c r="AL50" i="1"/>
  <c r="AP50" i="1" s="1"/>
  <c r="AO50" i="1" s="1"/>
  <c r="V50" i="1" s="1"/>
  <c r="AK50" i="1"/>
  <c r="AN50" i="1" s="1"/>
  <c r="AJ50" i="1"/>
  <c r="AA50" i="1"/>
  <c r="G50" i="1"/>
  <c r="F50" i="1"/>
  <c r="AQ49" i="1"/>
  <c r="AL49" i="1"/>
  <c r="AP49" i="1" s="1"/>
  <c r="AK49" i="1"/>
  <c r="AN49" i="1" s="1"/>
  <c r="AJ49" i="1"/>
  <c r="AA49" i="1"/>
  <c r="G49" i="1"/>
  <c r="F49" i="1"/>
  <c r="AQ48" i="1"/>
  <c r="AL48" i="1"/>
  <c r="AP48" i="1" s="1"/>
  <c r="AK48" i="1"/>
  <c r="AN48" i="1" s="1"/>
  <c r="AJ48" i="1"/>
  <c r="AA48" i="1"/>
  <c r="G48" i="1"/>
  <c r="F48" i="1"/>
  <c r="AQ47" i="1"/>
  <c r="AL47" i="1"/>
  <c r="AP47" i="1" s="1"/>
  <c r="AK47" i="1"/>
  <c r="AN47" i="1" s="1"/>
  <c r="AJ47" i="1"/>
  <c r="AA47" i="1"/>
  <c r="G47" i="1"/>
  <c r="F47" i="1"/>
  <c r="AQ46" i="1"/>
  <c r="AL46" i="1"/>
  <c r="AP46" i="1" s="1"/>
  <c r="L46" i="1" s="1"/>
  <c r="AK46" i="1"/>
  <c r="AJ46" i="1"/>
  <c r="AA46" i="1"/>
  <c r="G46" i="1"/>
  <c r="F46" i="1"/>
  <c r="AQ45" i="1"/>
  <c r="AL45" i="1"/>
  <c r="AP45" i="1" s="1"/>
  <c r="AK45" i="1"/>
  <c r="AN45" i="1" s="1"/>
  <c r="AJ45" i="1"/>
  <c r="AA45" i="1"/>
  <c r="G45" i="1"/>
  <c r="F45" i="1"/>
  <c r="AQ44" i="1"/>
  <c r="AL44" i="1"/>
  <c r="AP44" i="1" s="1"/>
  <c r="AK44" i="1"/>
  <c r="AM44" i="1" s="1"/>
  <c r="AJ44" i="1"/>
  <c r="AA44" i="1"/>
  <c r="G44" i="1"/>
  <c r="F44" i="1"/>
  <c r="AQ43" i="1"/>
  <c r="AL43" i="1"/>
  <c r="AP43" i="1" s="1"/>
  <c r="AK43" i="1"/>
  <c r="AN43" i="1" s="1"/>
  <c r="AJ43" i="1"/>
  <c r="AA43" i="1"/>
  <c r="G43" i="1"/>
  <c r="F43" i="1"/>
  <c r="AQ42" i="1"/>
  <c r="AL42" i="1"/>
  <c r="AP42" i="1" s="1"/>
  <c r="AO42" i="1" s="1"/>
  <c r="U42" i="1" s="1"/>
  <c r="AK42" i="1"/>
  <c r="AM42" i="1" s="1"/>
  <c r="AJ42" i="1"/>
  <c r="AA42" i="1"/>
  <c r="G42" i="1"/>
  <c r="F42" i="1"/>
  <c r="AQ41" i="1"/>
  <c r="AL41" i="1"/>
  <c r="AP41" i="1" s="1"/>
  <c r="AO41" i="1" s="1"/>
  <c r="V41" i="1" s="1"/>
  <c r="AK41" i="1"/>
  <c r="AN41" i="1" s="1"/>
  <c r="AJ41" i="1"/>
  <c r="AA41" i="1"/>
  <c r="G41" i="1"/>
  <c r="F41" i="1"/>
  <c r="AQ40" i="1"/>
  <c r="AL40" i="1"/>
  <c r="AP40" i="1" s="1"/>
  <c r="AK40" i="1"/>
  <c r="AN40" i="1" s="1"/>
  <c r="AJ40" i="1"/>
  <c r="AA40" i="1"/>
  <c r="G40" i="1"/>
  <c r="F40" i="1"/>
  <c r="AQ39" i="1"/>
  <c r="AL39" i="1"/>
  <c r="AP39" i="1" s="1"/>
  <c r="AK39" i="1"/>
  <c r="AM39" i="1" s="1"/>
  <c r="AJ39" i="1"/>
  <c r="AA39" i="1"/>
  <c r="G39" i="1"/>
  <c r="F39" i="1"/>
  <c r="AQ38" i="1"/>
  <c r="AL38" i="1"/>
  <c r="AP38" i="1" s="1"/>
  <c r="AK38" i="1"/>
  <c r="AN38" i="1" s="1"/>
  <c r="AJ38" i="1"/>
  <c r="AA38" i="1"/>
  <c r="G38" i="1"/>
  <c r="F38" i="1"/>
  <c r="AQ37" i="1"/>
  <c r="AL37" i="1"/>
  <c r="AP37" i="1" s="1"/>
  <c r="AO37" i="1" s="1"/>
  <c r="AK37" i="1"/>
  <c r="AN37" i="1" s="1"/>
  <c r="AJ37" i="1"/>
  <c r="AA37" i="1"/>
  <c r="G37" i="1"/>
  <c r="F37" i="1"/>
  <c r="AQ36" i="1"/>
  <c r="AL36" i="1"/>
  <c r="AP36" i="1" s="1"/>
  <c r="AO36" i="1" s="1"/>
  <c r="AK36" i="1"/>
  <c r="AM36" i="1" s="1"/>
  <c r="AJ36" i="1"/>
  <c r="AA36" i="1"/>
  <c r="G36" i="1"/>
  <c r="F36" i="1"/>
  <c r="AQ35" i="1"/>
  <c r="AL35" i="1"/>
  <c r="AP35" i="1" s="1"/>
  <c r="AK35" i="1"/>
  <c r="AN35" i="1" s="1"/>
  <c r="AJ35" i="1"/>
  <c r="AA35" i="1"/>
  <c r="G35" i="1"/>
  <c r="F35" i="1"/>
  <c r="AQ34" i="1"/>
  <c r="AL34" i="1"/>
  <c r="AP34" i="1" s="1"/>
  <c r="AK34" i="1"/>
  <c r="AJ34" i="1"/>
  <c r="AA34" i="1"/>
  <c r="G34" i="1"/>
  <c r="F34" i="1"/>
  <c r="AQ33" i="1"/>
  <c r="AL33" i="1"/>
  <c r="AP33" i="1" s="1"/>
  <c r="AK33" i="1"/>
  <c r="AN33" i="1" s="1"/>
  <c r="AJ33" i="1"/>
  <c r="AA33" i="1"/>
  <c r="G33" i="1"/>
  <c r="F33" i="1"/>
  <c r="AQ32" i="1"/>
  <c r="AL32" i="1"/>
  <c r="AP32" i="1" s="1"/>
  <c r="L32" i="1" s="1"/>
  <c r="AK32" i="1"/>
  <c r="AN32" i="1" s="1"/>
  <c r="AJ32" i="1"/>
  <c r="AA32" i="1"/>
  <c r="G32" i="1"/>
  <c r="F32" i="1"/>
  <c r="AQ31" i="1"/>
  <c r="AL31" i="1"/>
  <c r="AP31" i="1" s="1"/>
  <c r="AK31" i="1"/>
  <c r="AN31" i="1" s="1"/>
  <c r="AJ31" i="1"/>
  <c r="AA31" i="1"/>
  <c r="G31" i="1"/>
  <c r="F31" i="1"/>
  <c r="AQ30" i="1"/>
  <c r="AL30" i="1"/>
  <c r="AP30" i="1" s="1"/>
  <c r="AK30" i="1"/>
  <c r="AJ30" i="1"/>
  <c r="AA30" i="1"/>
  <c r="G30" i="1"/>
  <c r="F30" i="1"/>
  <c r="AQ29" i="1"/>
  <c r="AL29" i="1"/>
  <c r="AP29" i="1" s="1"/>
  <c r="AO29" i="1" s="1"/>
  <c r="V29" i="1" s="1"/>
  <c r="AK29" i="1"/>
  <c r="AN29" i="1" s="1"/>
  <c r="AJ29" i="1"/>
  <c r="AA29" i="1"/>
  <c r="G29" i="1"/>
  <c r="F29" i="1"/>
  <c r="AQ28" i="1"/>
  <c r="AL28" i="1"/>
  <c r="AP28" i="1" s="1"/>
  <c r="AK28" i="1"/>
  <c r="AM28" i="1" s="1"/>
  <c r="AJ28" i="1"/>
  <c r="AA28" i="1"/>
  <c r="G28" i="1"/>
  <c r="F28" i="1"/>
  <c r="AQ27" i="1"/>
  <c r="AL27" i="1"/>
  <c r="AP27" i="1" s="1"/>
  <c r="L27" i="1" s="1"/>
  <c r="AK27" i="1"/>
  <c r="AM27" i="1" s="1"/>
  <c r="AJ27" i="1"/>
  <c r="AA27" i="1"/>
  <c r="G27" i="1"/>
  <c r="F27" i="1"/>
  <c r="AQ26" i="1"/>
  <c r="AL26" i="1"/>
  <c r="AP26" i="1" s="1"/>
  <c r="AK26" i="1"/>
  <c r="AM26" i="1" s="1"/>
  <c r="AJ26" i="1"/>
  <c r="AA26" i="1"/>
  <c r="G26" i="1"/>
  <c r="F26" i="1"/>
  <c r="AQ25" i="1"/>
  <c r="AL25" i="1"/>
  <c r="AP25" i="1" s="1"/>
  <c r="L25" i="1" s="1"/>
  <c r="AK25" i="1"/>
  <c r="AN25" i="1" s="1"/>
  <c r="AJ25" i="1"/>
  <c r="AA25" i="1"/>
  <c r="G25" i="1"/>
  <c r="F25" i="1"/>
  <c r="AQ24" i="1"/>
  <c r="AL24" i="1"/>
  <c r="AP24" i="1" s="1"/>
  <c r="AK24" i="1"/>
  <c r="AM24" i="1" s="1"/>
  <c r="AJ24" i="1"/>
  <c r="AA24" i="1"/>
  <c r="G24" i="1"/>
  <c r="F24" i="1"/>
  <c r="AQ23" i="1"/>
  <c r="AL23" i="1"/>
  <c r="AP23" i="1" s="1"/>
  <c r="AK23" i="1"/>
  <c r="AJ23" i="1"/>
  <c r="AA23" i="1"/>
  <c r="G23" i="1"/>
  <c r="F23" i="1"/>
  <c r="AQ22" i="1"/>
  <c r="AL22" i="1"/>
  <c r="AP22" i="1" s="1"/>
  <c r="AK22" i="1"/>
  <c r="AN22" i="1" s="1"/>
  <c r="AJ22" i="1"/>
  <c r="AA22" i="1"/>
  <c r="G22" i="1"/>
  <c r="F22" i="1"/>
  <c r="AQ21" i="1"/>
  <c r="AL21" i="1"/>
  <c r="AP21" i="1" s="1"/>
  <c r="L21" i="1" s="1"/>
  <c r="AK21" i="1"/>
  <c r="AN21" i="1" s="1"/>
  <c r="AJ21" i="1"/>
  <c r="AA21" i="1"/>
  <c r="G21" i="1"/>
  <c r="F21" i="1"/>
  <c r="AQ20" i="1"/>
  <c r="AL20" i="1"/>
  <c r="AP20" i="1" s="1"/>
  <c r="AK20" i="1"/>
  <c r="AN20" i="1" s="1"/>
  <c r="AJ20" i="1"/>
  <c r="AA20" i="1"/>
  <c r="G20" i="1"/>
  <c r="F20" i="1"/>
  <c r="AQ19" i="1"/>
  <c r="AL19" i="1"/>
  <c r="AP19" i="1" s="1"/>
  <c r="AK19" i="1"/>
  <c r="AN19" i="1" s="1"/>
  <c r="AJ19" i="1"/>
  <c r="AA19" i="1"/>
  <c r="G19" i="1"/>
  <c r="F19" i="1"/>
  <c r="AQ18" i="1"/>
  <c r="AL18" i="1"/>
  <c r="AP18" i="1" s="1"/>
  <c r="AO18" i="1" s="1"/>
  <c r="V18" i="1" s="1"/>
  <c r="AK18" i="1"/>
  <c r="AJ18" i="1"/>
  <c r="AA18" i="1"/>
  <c r="G18" i="1"/>
  <c r="F18" i="1"/>
  <c r="AQ17" i="1"/>
  <c r="AL17" i="1"/>
  <c r="AP17" i="1" s="1"/>
  <c r="AK17" i="1"/>
  <c r="AJ17" i="1"/>
  <c r="AA17" i="1"/>
  <c r="G17" i="1"/>
  <c r="F17" i="1"/>
  <c r="AQ16" i="1"/>
  <c r="AL16" i="1"/>
  <c r="AP16" i="1" s="1"/>
  <c r="AK16" i="1"/>
  <c r="AN16" i="1" s="1"/>
  <c r="AJ16" i="1"/>
  <c r="AA16" i="1"/>
  <c r="G16" i="1"/>
  <c r="F16" i="1"/>
  <c r="AQ15" i="1"/>
  <c r="AL15" i="1"/>
  <c r="AP15" i="1" s="1"/>
  <c r="AK15" i="1"/>
  <c r="AJ15" i="1"/>
  <c r="AA15" i="1"/>
  <c r="G15" i="1"/>
  <c r="F15" i="1"/>
  <c r="AQ14" i="1"/>
  <c r="AL14" i="1"/>
  <c r="AP14" i="1" s="1"/>
  <c r="AK14" i="1"/>
  <c r="AN14" i="1" s="1"/>
  <c r="AJ14" i="1"/>
  <c r="AA14" i="1"/>
  <c r="G14" i="1"/>
  <c r="F14" i="1"/>
  <c r="AQ13" i="1"/>
  <c r="AL13" i="1"/>
  <c r="AP13" i="1" s="1"/>
  <c r="AK13" i="1"/>
  <c r="AJ13" i="1"/>
  <c r="AA13" i="1"/>
  <c r="G13" i="1"/>
  <c r="F13" i="1"/>
  <c r="AQ12" i="1"/>
  <c r="AL12" i="1"/>
  <c r="AP12" i="1" s="1"/>
  <c r="AK12" i="1"/>
  <c r="AM12" i="1" s="1"/>
  <c r="AJ12" i="1"/>
  <c r="AA12" i="1"/>
  <c r="G12" i="1"/>
  <c r="F12" i="1"/>
  <c r="AQ11" i="1"/>
  <c r="AL11" i="1"/>
  <c r="AP11" i="1" s="1"/>
  <c r="L11" i="1" s="1"/>
  <c r="AK11" i="1"/>
  <c r="AN11" i="1" s="1"/>
  <c r="AJ11" i="1"/>
  <c r="AA11" i="1"/>
  <c r="G11" i="1"/>
  <c r="F11" i="1"/>
  <c r="AQ10" i="1"/>
  <c r="AL10" i="1"/>
  <c r="AP10" i="1" s="1"/>
  <c r="AO10" i="1" s="1"/>
  <c r="V10" i="1" s="1"/>
  <c r="AK10" i="1"/>
  <c r="AN10" i="1" s="1"/>
  <c r="AJ10" i="1"/>
  <c r="AA10" i="1"/>
  <c r="G10" i="1"/>
  <c r="F10" i="1"/>
  <c r="AQ9" i="1"/>
  <c r="AL9" i="1"/>
  <c r="AP9" i="1" s="1"/>
  <c r="AK9" i="1"/>
  <c r="AJ9" i="1"/>
  <c r="AA9" i="1"/>
  <c r="G9" i="1"/>
  <c r="F9" i="1"/>
  <c r="AQ8" i="1"/>
  <c r="AL8" i="1"/>
  <c r="AP8" i="1" s="1"/>
  <c r="AO8" i="1" s="1"/>
  <c r="V8" i="1" s="1"/>
  <c r="AK8" i="1"/>
  <c r="AM8" i="1" s="1"/>
  <c r="AJ8" i="1"/>
  <c r="AA8" i="1"/>
  <c r="G8" i="1"/>
  <c r="F8" i="1"/>
  <c r="AQ7" i="1"/>
  <c r="AL7" i="1"/>
  <c r="AP7" i="1" s="1"/>
  <c r="AO7" i="1" s="1"/>
  <c r="AK7" i="1"/>
  <c r="AJ7" i="1"/>
  <c r="AA7" i="1"/>
  <c r="G7" i="1"/>
  <c r="F7" i="1"/>
  <c r="AQ6" i="1"/>
  <c r="AL6" i="1"/>
  <c r="AP6" i="1" s="1"/>
  <c r="AO6" i="1" s="1"/>
  <c r="AK6" i="1"/>
  <c r="AM6" i="1" s="1"/>
  <c r="AJ6" i="1"/>
  <c r="AA6" i="1"/>
  <c r="G6" i="1"/>
  <c r="F6" i="1"/>
  <c r="AQ5" i="1"/>
  <c r="AL5" i="1"/>
  <c r="AP5" i="1" s="1"/>
  <c r="L5" i="1" s="1"/>
  <c r="AK5" i="1"/>
  <c r="AN5" i="1" s="1"/>
  <c r="AJ5" i="1"/>
  <c r="AA5" i="1"/>
  <c r="G5" i="1"/>
  <c r="F5" i="1"/>
  <c r="AQ4" i="1"/>
  <c r="AL4" i="1"/>
  <c r="AP4" i="1" s="1"/>
  <c r="AK4" i="1"/>
  <c r="AM4" i="1" s="1"/>
  <c r="AJ4" i="1"/>
  <c r="AA4" i="1"/>
  <c r="G4" i="1"/>
  <c r="F4" i="1"/>
  <c r="AQ3" i="1"/>
  <c r="AL3" i="1"/>
  <c r="AP3" i="1" s="1"/>
  <c r="AK3" i="1"/>
  <c r="AN3" i="1" s="1"/>
  <c r="AJ3" i="1"/>
  <c r="AA3" i="1"/>
  <c r="G3" i="1"/>
  <c r="F3" i="1"/>
  <c r="AQ2" i="1"/>
  <c r="AL2" i="1"/>
  <c r="AP2" i="1" s="1"/>
  <c r="AO2" i="1" s="1"/>
  <c r="U2" i="1" s="1"/>
  <c r="AK2" i="1"/>
  <c r="AM2" i="1" s="1"/>
  <c r="AJ2" i="1"/>
  <c r="AA2" i="1"/>
  <c r="G2" i="1"/>
  <c r="F2" i="1"/>
  <c r="AQ137" i="1" l="1"/>
  <c r="AQ136" i="1"/>
  <c r="AQ135" i="1"/>
  <c r="AQ134" i="1"/>
  <c r="AQ133" i="1"/>
  <c r="L66" i="1"/>
  <c r="AO66" i="1"/>
  <c r="V66" i="1" s="1"/>
  <c r="W168" i="1"/>
  <c r="X148" i="1"/>
  <c r="U170" i="1"/>
  <c r="L104" i="1"/>
  <c r="V182" i="1"/>
  <c r="U188" i="1"/>
  <c r="W188" i="1" s="1"/>
  <c r="X155" i="1"/>
  <c r="Y155" i="1" s="1"/>
  <c r="L129" i="1"/>
  <c r="X129" i="1" s="1"/>
  <c r="AE129" i="1" s="1"/>
  <c r="AO129" i="1"/>
  <c r="U129" i="1" s="1"/>
  <c r="AM110" i="1"/>
  <c r="AN139" i="1"/>
  <c r="AM152" i="1"/>
  <c r="X141" i="1"/>
  <c r="Y141" i="1" s="1"/>
  <c r="L42" i="1"/>
  <c r="X42" i="1" s="1"/>
  <c r="Y42" i="1" s="1"/>
  <c r="U159" i="1"/>
  <c r="W159" i="1" s="1"/>
  <c r="AM183" i="1"/>
  <c r="AN12" i="1"/>
  <c r="AM86" i="1"/>
  <c r="AN118" i="1"/>
  <c r="U150" i="1"/>
  <c r="W150" i="1" s="1"/>
  <c r="X158" i="1"/>
  <c r="AE158" i="1" s="1"/>
  <c r="W170" i="1"/>
  <c r="X193" i="1"/>
  <c r="Y193" i="1" s="1"/>
  <c r="X178" i="1"/>
  <c r="AE178" i="1" s="1"/>
  <c r="X171" i="1"/>
  <c r="AE171" i="1" s="1"/>
  <c r="X66" i="1"/>
  <c r="AE66" i="1" s="1"/>
  <c r="X170" i="1"/>
  <c r="Y170" i="1" s="1"/>
  <c r="X191" i="1"/>
  <c r="Y191" i="1" s="1"/>
  <c r="X138" i="1"/>
  <c r="Y138" i="1" s="1"/>
  <c r="V171" i="1"/>
  <c r="W171" i="1" s="1"/>
  <c r="X135" i="1"/>
  <c r="Y135" i="1" s="1"/>
  <c r="U179" i="1"/>
  <c r="U196" i="1"/>
  <c r="W196" i="1" s="1"/>
  <c r="U135" i="1"/>
  <c r="W135" i="1" s="1"/>
  <c r="X181" i="1"/>
  <c r="Y181" i="1" s="1"/>
  <c r="V181" i="1"/>
  <c r="W181" i="1" s="1"/>
  <c r="AO49" i="1"/>
  <c r="V49" i="1" s="1"/>
  <c r="L49" i="1"/>
  <c r="L80" i="1"/>
  <c r="AO80" i="1"/>
  <c r="U80" i="1" s="1"/>
  <c r="L126" i="1"/>
  <c r="AO126" i="1"/>
  <c r="U126" i="1" s="1"/>
  <c r="L114" i="1"/>
  <c r="AO114" i="1"/>
  <c r="U114" i="1" s="1"/>
  <c r="L123" i="1"/>
  <c r="AO123" i="1"/>
  <c r="U123" i="1" s="1"/>
  <c r="AQ127" i="1"/>
  <c r="L127" i="1"/>
  <c r="AO127" i="1"/>
  <c r="V127" i="1" s="1"/>
  <c r="L128" i="1"/>
  <c r="AO128" i="1"/>
  <c r="U128" i="1" s="1"/>
  <c r="L95" i="1"/>
  <c r="AO95" i="1"/>
  <c r="U95" i="1" s="1"/>
  <c r="L131" i="1"/>
  <c r="AO131" i="1"/>
  <c r="U131" i="1" s="1"/>
  <c r="L19" i="1"/>
  <c r="AO19" i="1"/>
  <c r="U19" i="1" s="1"/>
  <c r="AN8" i="1"/>
  <c r="AM16" i="1"/>
  <c r="AN82" i="1"/>
  <c r="AN95" i="1"/>
  <c r="AM116" i="1"/>
  <c r="AN160" i="1"/>
  <c r="AN173" i="1"/>
  <c r="W182" i="1"/>
  <c r="AN97" i="1"/>
  <c r="X188" i="1"/>
  <c r="AE188" i="1" s="1"/>
  <c r="AN195" i="1"/>
  <c r="AN186" i="1"/>
  <c r="AN144" i="1"/>
  <c r="AM168" i="1"/>
  <c r="L2" i="1"/>
  <c r="X2" i="1" s="1"/>
  <c r="AE2" i="1" s="1"/>
  <c r="AM131" i="1"/>
  <c r="V143" i="1"/>
  <c r="W143" i="1" s="1"/>
  <c r="X179" i="1"/>
  <c r="Y179" i="1" s="1"/>
  <c r="AM69" i="1"/>
  <c r="AN77" i="1"/>
  <c r="AM80" i="1"/>
  <c r="AN67" i="1"/>
  <c r="X162" i="1"/>
  <c r="Y162" i="1" s="1"/>
  <c r="AM19" i="1"/>
  <c r="AN27" i="1"/>
  <c r="U156" i="1"/>
  <c r="W156" i="1" s="1"/>
  <c r="U178" i="1"/>
  <c r="W178" i="1" s="1"/>
  <c r="AM45" i="1"/>
  <c r="AO118" i="1"/>
  <c r="V118" i="1" s="1"/>
  <c r="AM41" i="1"/>
  <c r="U198" i="1"/>
  <c r="W198" i="1" s="1"/>
  <c r="X136" i="1"/>
  <c r="Y136" i="1" s="1"/>
  <c r="AM177" i="1"/>
  <c r="AN6" i="1"/>
  <c r="AM14" i="1"/>
  <c r="AM157" i="1"/>
  <c r="AN188" i="1"/>
  <c r="AO25" i="1"/>
  <c r="X25" i="1" s="1"/>
  <c r="AE25" i="1" s="1"/>
  <c r="L92" i="1"/>
  <c r="X92" i="1" s="1"/>
  <c r="AE92" i="1" s="1"/>
  <c r="L102" i="1"/>
  <c r="X102" i="1" s="1"/>
  <c r="AM123" i="1"/>
  <c r="U147" i="1"/>
  <c r="W147" i="1" s="1"/>
  <c r="X159" i="1"/>
  <c r="AE159" i="1" s="1"/>
  <c r="X147" i="1"/>
  <c r="Y147" i="1" s="1"/>
  <c r="U77" i="1"/>
  <c r="W77" i="1" s="1"/>
  <c r="U92" i="1"/>
  <c r="W92" i="1" s="1"/>
  <c r="AM107" i="1"/>
  <c r="AM78" i="1"/>
  <c r="L37" i="1"/>
  <c r="X37" i="1" s="1"/>
  <c r="U158" i="1"/>
  <c r="AO5" i="1"/>
  <c r="V5" i="1" s="1"/>
  <c r="AM20" i="1"/>
  <c r="U138" i="1"/>
  <c r="W138" i="1" s="1"/>
  <c r="V191" i="1"/>
  <c r="W191" i="1" s="1"/>
  <c r="AQ132" i="1"/>
  <c r="AO132" i="1"/>
  <c r="V132" i="1" s="1"/>
  <c r="K456" i="2"/>
  <c r="K752" i="2"/>
  <c r="K788" i="2"/>
  <c r="AQ131" i="1"/>
  <c r="AO130" i="1"/>
  <c r="U130" i="1" s="1"/>
  <c r="AQ130" i="1"/>
  <c r="AQ129" i="1"/>
  <c r="P130" i="2"/>
  <c r="K898" i="2"/>
  <c r="AQ126" i="1"/>
  <c r="K269" i="2"/>
  <c r="L90" i="1"/>
  <c r="AO90" i="1"/>
  <c r="L124" i="1"/>
  <c r="AO124" i="1"/>
  <c r="V124" i="1" s="1"/>
  <c r="L30" i="1"/>
  <c r="X30" i="1" s="1"/>
  <c r="Y30" i="1" s="1"/>
  <c r="AO30" i="1"/>
  <c r="L44" i="1"/>
  <c r="AO44" i="1"/>
  <c r="U44" i="1" s="1"/>
  <c r="L40" i="1"/>
  <c r="AO40" i="1"/>
  <c r="L33" i="1"/>
  <c r="AO33" i="1"/>
  <c r="V33" i="1" s="1"/>
  <c r="L63" i="1"/>
  <c r="AO63" i="1"/>
  <c r="U63" i="1" s="1"/>
  <c r="AO83" i="1"/>
  <c r="L83" i="1"/>
  <c r="L39" i="1"/>
  <c r="AO39" i="1"/>
  <c r="V39" i="1" s="1"/>
  <c r="AO48" i="1"/>
  <c r="U48" i="1" s="1"/>
  <c r="L48" i="1"/>
  <c r="L100" i="1"/>
  <c r="AO100" i="1"/>
  <c r="V100" i="1" s="1"/>
  <c r="AO60" i="1"/>
  <c r="U60" i="1" s="1"/>
  <c r="L60" i="1"/>
  <c r="L70" i="1"/>
  <c r="AO70" i="1"/>
  <c r="L9" i="1"/>
  <c r="AO9" i="1"/>
  <c r="V9" i="1" s="1"/>
  <c r="AO61" i="1"/>
  <c r="L61" i="1"/>
  <c r="AO34" i="1"/>
  <c r="L34" i="1"/>
  <c r="X34" i="1" s="1"/>
  <c r="AE34" i="1" s="1"/>
  <c r="L64" i="1"/>
  <c r="AO64" i="1"/>
  <c r="V64" i="1" s="1"/>
  <c r="AO74" i="1"/>
  <c r="L74" i="1"/>
  <c r="L84" i="1"/>
  <c r="AO84" i="1"/>
  <c r="V84" i="1" s="1"/>
  <c r="L20" i="1"/>
  <c r="AO20" i="1"/>
  <c r="L28" i="1"/>
  <c r="AO28" i="1"/>
  <c r="AO16" i="1"/>
  <c r="L16" i="1"/>
  <c r="L24" i="1"/>
  <c r="AO24" i="1"/>
  <c r="AO103" i="1"/>
  <c r="U103" i="1" s="1"/>
  <c r="L103" i="1"/>
  <c r="X103" i="1" s="1"/>
  <c r="AO111" i="1"/>
  <c r="L111" i="1"/>
  <c r="L17" i="1"/>
  <c r="AO17" i="1"/>
  <c r="V17" i="1" s="1"/>
  <c r="L26" i="1"/>
  <c r="AO26" i="1"/>
  <c r="U26" i="1" s="1"/>
  <c r="AN76" i="1"/>
  <c r="AM187" i="1"/>
  <c r="AM104" i="1"/>
  <c r="AN26" i="1"/>
  <c r="AN96" i="1"/>
  <c r="AN166" i="1"/>
  <c r="X167" i="1"/>
  <c r="AE167" i="1" s="1"/>
  <c r="X195" i="1"/>
  <c r="Y195" i="1" s="1"/>
  <c r="AM197" i="1"/>
  <c r="X172" i="1"/>
  <c r="Y172" i="1" s="1"/>
  <c r="AM174" i="1"/>
  <c r="AN106" i="1"/>
  <c r="AM128" i="1"/>
  <c r="AO32" i="1"/>
  <c r="X32" i="1" s="1"/>
  <c r="AN100" i="1"/>
  <c r="AM119" i="1"/>
  <c r="AN156" i="1"/>
  <c r="AN179" i="1"/>
  <c r="AN194" i="1"/>
  <c r="AM189" i="1"/>
  <c r="AN42" i="1"/>
  <c r="L58" i="1"/>
  <c r="X58" i="1" s="1"/>
  <c r="AN64" i="1"/>
  <c r="AM109" i="1"/>
  <c r="AN113" i="1"/>
  <c r="L120" i="1"/>
  <c r="X120" i="1" s="1"/>
  <c r="AM145" i="1"/>
  <c r="AN153" i="1"/>
  <c r="U155" i="1"/>
  <c r="W155" i="1" s="1"/>
  <c r="V163" i="1"/>
  <c r="W163" i="1" s="1"/>
  <c r="AN184" i="1"/>
  <c r="X180" i="1"/>
  <c r="Y180" i="1" s="1"/>
  <c r="AN54" i="1"/>
  <c r="AO82" i="1"/>
  <c r="AM48" i="1"/>
  <c r="AM74" i="1"/>
  <c r="AM50" i="1"/>
  <c r="AM164" i="1"/>
  <c r="AM199" i="1"/>
  <c r="AO11" i="1"/>
  <c r="U11" i="1" s="1"/>
  <c r="AM70" i="1"/>
  <c r="AM79" i="1"/>
  <c r="AN117" i="1"/>
  <c r="X143" i="1"/>
  <c r="Y143" i="1" s="1"/>
  <c r="AN2" i="1"/>
  <c r="AM148" i="1"/>
  <c r="AN85" i="1"/>
  <c r="AM84" i="1"/>
  <c r="AO21" i="1"/>
  <c r="U21" i="1" s="1"/>
  <c r="AN133" i="1"/>
  <c r="AN136" i="1"/>
  <c r="AN146" i="1"/>
  <c r="AM162" i="1"/>
  <c r="AM61" i="1"/>
  <c r="AM169" i="1"/>
  <c r="AN52" i="1"/>
  <c r="AM57" i="1"/>
  <c r="AM143" i="1"/>
  <c r="AM151" i="1"/>
  <c r="AO52" i="1"/>
  <c r="X52" i="1" s="1"/>
  <c r="AN44" i="1"/>
  <c r="AO113" i="1"/>
  <c r="X113" i="1" s="1"/>
  <c r="AM122" i="1"/>
  <c r="AM132" i="1"/>
  <c r="AN140" i="1"/>
  <c r="AM158" i="1"/>
  <c r="AN92" i="1"/>
  <c r="U97" i="1"/>
  <c r="W97" i="1" s="1"/>
  <c r="AN103" i="1"/>
  <c r="AN105" i="1"/>
  <c r="AM134" i="1"/>
  <c r="AM137" i="1"/>
  <c r="U160" i="1"/>
  <c r="W160" i="1" s="1"/>
  <c r="AM175" i="1"/>
  <c r="AM149" i="1"/>
  <c r="AM154" i="1"/>
  <c r="AM38" i="1"/>
  <c r="AO106" i="1"/>
  <c r="V106" i="1" s="1"/>
  <c r="X151" i="1"/>
  <c r="Y151" i="1" s="1"/>
  <c r="AN159" i="1"/>
  <c r="AN176" i="1"/>
  <c r="W199" i="1"/>
  <c r="AM22" i="1"/>
  <c r="U69" i="1"/>
  <c r="W69" i="1" s="1"/>
  <c r="V183" i="1"/>
  <c r="W183" i="1" s="1"/>
  <c r="AM33" i="1"/>
  <c r="L97" i="1"/>
  <c r="X97" i="1" s="1"/>
  <c r="AE97" i="1" s="1"/>
  <c r="AM37" i="1"/>
  <c r="AN39" i="1"/>
  <c r="U41" i="1"/>
  <c r="W41" i="1" s="1"/>
  <c r="AM49" i="1"/>
  <c r="L71" i="1"/>
  <c r="X71" i="1" s="1"/>
  <c r="AM35" i="1"/>
  <c r="AN58" i="1"/>
  <c r="AM120" i="1"/>
  <c r="U152" i="1"/>
  <c r="W152" i="1" s="1"/>
  <c r="U8" i="1"/>
  <c r="W8" i="1" s="1"/>
  <c r="L10" i="1"/>
  <c r="X10" i="1" s="1"/>
  <c r="AE10" i="1" s="1"/>
  <c r="AM191" i="1"/>
  <c r="U10" i="1"/>
  <c r="W10" i="1" s="1"/>
  <c r="AM31" i="1"/>
  <c r="AN88" i="1"/>
  <c r="AN99" i="1"/>
  <c r="AM101" i="1"/>
  <c r="L112" i="1"/>
  <c r="X112" i="1" s="1"/>
  <c r="AN129" i="1"/>
  <c r="U136" i="1"/>
  <c r="W136" i="1" s="1"/>
  <c r="U190" i="1"/>
  <c r="W190" i="1" s="1"/>
  <c r="AN108" i="1"/>
  <c r="AM91" i="1"/>
  <c r="AM182" i="1"/>
  <c r="AM11" i="1"/>
  <c r="AM40" i="1"/>
  <c r="AN28" i="1"/>
  <c r="L91" i="1"/>
  <c r="X91" i="1" s="1"/>
  <c r="AN36" i="1"/>
  <c r="AM115" i="1"/>
  <c r="AM130" i="1"/>
  <c r="AM81" i="1"/>
  <c r="V91" i="1"/>
  <c r="W91" i="1" s="1"/>
  <c r="X174" i="1"/>
  <c r="X196" i="1"/>
  <c r="AE196" i="1" s="1"/>
  <c r="X173" i="1"/>
  <c r="Y173" i="1" s="1"/>
  <c r="X134" i="1"/>
  <c r="Y134" i="1" s="1"/>
  <c r="X157" i="1"/>
  <c r="X166" i="1"/>
  <c r="X156" i="1"/>
  <c r="AE156" i="1" s="1"/>
  <c r="X177" i="1"/>
  <c r="Y177" i="1" s="1"/>
  <c r="V112" i="1"/>
  <c r="W112" i="1" s="1"/>
  <c r="X146" i="1"/>
  <c r="Y146" i="1" s="1"/>
  <c r="U157" i="1"/>
  <c r="W157" i="1" s="1"/>
  <c r="V161" i="1"/>
  <c r="W161" i="1" s="1"/>
  <c r="U169" i="1"/>
  <c r="W169" i="1" s="1"/>
  <c r="V177" i="1"/>
  <c r="W177" i="1" s="1"/>
  <c r="U200" i="1"/>
  <c r="W200" i="1" s="1"/>
  <c r="W179" i="1"/>
  <c r="X200" i="1"/>
  <c r="AE200" i="1" s="1"/>
  <c r="X104" i="1"/>
  <c r="Y104" i="1" s="1"/>
  <c r="V126" i="1"/>
  <c r="W126" i="1" s="1"/>
  <c r="U137" i="1"/>
  <c r="U154" i="1"/>
  <c r="W154" i="1" s="1"/>
  <c r="X161" i="1"/>
  <c r="Y161" i="1" s="1"/>
  <c r="U184" i="1"/>
  <c r="W184" i="1" s="1"/>
  <c r="X197" i="1"/>
  <c r="AE197" i="1" s="1"/>
  <c r="X163" i="1"/>
  <c r="W201" i="1"/>
  <c r="W158" i="1"/>
  <c r="V137" i="1"/>
  <c r="V140" i="1"/>
  <c r="W140" i="1" s="1"/>
  <c r="V166" i="1"/>
  <c r="W166" i="1" s="1"/>
  <c r="U180" i="1"/>
  <c r="X184" i="1"/>
  <c r="X189" i="1"/>
  <c r="AE189" i="1" s="1"/>
  <c r="V146" i="1"/>
  <c r="W146" i="1" s="1"/>
  <c r="X169" i="1"/>
  <c r="AE169" i="1" s="1"/>
  <c r="X182" i="1"/>
  <c r="Y182" i="1" s="1"/>
  <c r="X198" i="1"/>
  <c r="AE198" i="1" s="1"/>
  <c r="X140" i="1"/>
  <c r="Y140" i="1" s="1"/>
  <c r="V180" i="1"/>
  <c r="X187" i="1"/>
  <c r="Y187" i="1" s="1"/>
  <c r="U189" i="1"/>
  <c r="W189" i="1" s="1"/>
  <c r="X192" i="1"/>
  <c r="AE192" i="1" s="1"/>
  <c r="X145" i="1"/>
  <c r="X168" i="1"/>
  <c r="AE168" i="1" s="1"/>
  <c r="U134" i="1"/>
  <c r="W134" i="1" s="1"/>
  <c r="V2" i="1"/>
  <c r="W2" i="1" s="1"/>
  <c r="V58" i="1"/>
  <c r="W58" i="1" s="1"/>
  <c r="V128" i="1"/>
  <c r="W128" i="1" s="1"/>
  <c r="V145" i="1"/>
  <c r="W145" i="1" s="1"/>
  <c r="X183" i="1"/>
  <c r="AE183" i="1" s="1"/>
  <c r="X190" i="1"/>
  <c r="U192" i="1"/>
  <c r="W192" i="1" s="1"/>
  <c r="X199" i="1"/>
  <c r="AE199" i="1" s="1"/>
  <c r="U66" i="1"/>
  <c r="W66" i="1" s="1"/>
  <c r="U133" i="1"/>
  <c r="W133" i="1" s="1"/>
  <c r="X160" i="1"/>
  <c r="AE160" i="1" s="1"/>
  <c r="K966" i="2"/>
  <c r="L38" i="1"/>
  <c r="AO38" i="1"/>
  <c r="V36" i="1"/>
  <c r="U36" i="1"/>
  <c r="L54" i="1"/>
  <c r="AO54" i="1"/>
  <c r="U88" i="1"/>
  <c r="V88" i="1"/>
  <c r="AO94" i="1"/>
  <c r="L94" i="1"/>
  <c r="AM18" i="1"/>
  <c r="AN18" i="1"/>
  <c r="L14" i="1"/>
  <c r="AO14" i="1"/>
  <c r="L57" i="1"/>
  <c r="AO57" i="1"/>
  <c r="V6" i="1"/>
  <c r="U6" i="1"/>
  <c r="L12" i="1"/>
  <c r="AO12" i="1"/>
  <c r="AO59" i="1"/>
  <c r="L59" i="1"/>
  <c r="V71" i="1"/>
  <c r="U71" i="1"/>
  <c r="L13" i="1"/>
  <c r="AO13" i="1"/>
  <c r="L4" i="1"/>
  <c r="AO4" i="1"/>
  <c r="L22" i="1"/>
  <c r="AO22" i="1"/>
  <c r="V7" i="1"/>
  <c r="U7" i="1"/>
  <c r="U120" i="1"/>
  <c r="V120" i="1"/>
  <c r="L7" i="1"/>
  <c r="X7" i="1" s="1"/>
  <c r="U93" i="1"/>
  <c r="V93" i="1"/>
  <c r="L56" i="1"/>
  <c r="AO56" i="1"/>
  <c r="L3" i="1"/>
  <c r="AO3" i="1"/>
  <c r="AO53" i="1"/>
  <c r="L53" i="1"/>
  <c r="AO89" i="1"/>
  <c r="L89" i="1"/>
  <c r="AM13" i="1"/>
  <c r="AN13" i="1"/>
  <c r="AO47" i="1"/>
  <c r="L47" i="1"/>
  <c r="X5" i="1"/>
  <c r="L23" i="1"/>
  <c r="AO23" i="1"/>
  <c r="AO68" i="1"/>
  <c r="L68" i="1"/>
  <c r="L87" i="1"/>
  <c r="AO87" i="1"/>
  <c r="L121" i="1"/>
  <c r="AO121" i="1"/>
  <c r="AM9" i="1"/>
  <c r="AN9" i="1"/>
  <c r="L15" i="1"/>
  <c r="AO15" i="1"/>
  <c r="AO31" i="1"/>
  <c r="L31" i="1"/>
  <c r="AM127" i="1"/>
  <c r="AE155" i="1"/>
  <c r="AN4" i="1"/>
  <c r="L6" i="1"/>
  <c r="X6" i="1" s="1"/>
  <c r="V42" i="1"/>
  <c r="W42" i="1" s="1"/>
  <c r="L77" i="1"/>
  <c r="X77" i="1" s="1"/>
  <c r="AM121" i="1"/>
  <c r="AE148" i="1"/>
  <c r="Y148" i="1"/>
  <c r="V187" i="1"/>
  <c r="U187" i="1"/>
  <c r="AN190" i="1"/>
  <c r="AM190" i="1"/>
  <c r="L73" i="1"/>
  <c r="AO73" i="1"/>
  <c r="AM21" i="1"/>
  <c r="AM32" i="1"/>
  <c r="AN93" i="1"/>
  <c r="AM93" i="1"/>
  <c r="AN170" i="1"/>
  <c r="AM170" i="1"/>
  <c r="X176" i="1"/>
  <c r="AM63" i="1"/>
  <c r="AM163" i="1"/>
  <c r="AE162" i="1"/>
  <c r="AM172" i="1"/>
  <c r="V175" i="1"/>
  <c r="U175" i="1"/>
  <c r="Y201" i="1"/>
  <c r="AO46" i="1"/>
  <c r="L75" i="1"/>
  <c r="AO75" i="1"/>
  <c r="L88" i="1"/>
  <c r="X88" i="1" s="1"/>
  <c r="U108" i="1"/>
  <c r="W108" i="1" s="1"/>
  <c r="AM126" i="1"/>
  <c r="X175" i="1"/>
  <c r="AM3" i="1"/>
  <c r="AM53" i="1"/>
  <c r="AM59" i="1"/>
  <c r="AM72" i="1"/>
  <c r="AM75" i="1"/>
  <c r="AM83" i="1"/>
  <c r="L108" i="1"/>
  <c r="X108" i="1" s="1"/>
  <c r="AO109" i="1"/>
  <c r="L109" i="1"/>
  <c r="X133" i="1"/>
  <c r="X152" i="1"/>
  <c r="AN15" i="1"/>
  <c r="AM15" i="1"/>
  <c r="L18" i="1"/>
  <c r="X18" i="1" s="1"/>
  <c r="AN24" i="1"/>
  <c r="L41" i="1"/>
  <c r="X41" i="1" s="1"/>
  <c r="AO72" i="1"/>
  <c r="X72" i="1" s="1"/>
  <c r="L86" i="1"/>
  <c r="AO86" i="1"/>
  <c r="AN114" i="1"/>
  <c r="L116" i="1"/>
  <c r="X116" i="1" s="1"/>
  <c r="AM124" i="1"/>
  <c r="V141" i="1"/>
  <c r="U141" i="1"/>
  <c r="V148" i="1"/>
  <c r="U148" i="1"/>
  <c r="V172" i="1"/>
  <c r="U172" i="1"/>
  <c r="W172" i="1" s="1"/>
  <c r="U197" i="1"/>
  <c r="W197" i="1" s="1"/>
  <c r="V110" i="1"/>
  <c r="U110" i="1"/>
  <c r="V96" i="1"/>
  <c r="U96" i="1"/>
  <c r="V102" i="1"/>
  <c r="U102" i="1"/>
  <c r="V37" i="1"/>
  <c r="U37" i="1"/>
  <c r="AM47" i="1"/>
  <c r="L78" i="1"/>
  <c r="AO78" i="1"/>
  <c r="AM98" i="1"/>
  <c r="AN98" i="1"/>
  <c r="V63" i="1"/>
  <c r="AN66" i="1"/>
  <c r="AO101" i="1"/>
  <c r="AE147" i="1"/>
  <c r="AE172" i="1"/>
  <c r="L65" i="1"/>
  <c r="AO65" i="1"/>
  <c r="AE191" i="1"/>
  <c r="X153" i="1"/>
  <c r="AN181" i="1"/>
  <c r="AN60" i="1"/>
  <c r="L115" i="1"/>
  <c r="AO115" i="1"/>
  <c r="U18" i="1"/>
  <c r="W18" i="1" s="1"/>
  <c r="L35" i="1"/>
  <c r="AO35" i="1"/>
  <c r="U186" i="1"/>
  <c r="V186" i="1"/>
  <c r="L29" i="1"/>
  <c r="X29" i="1" s="1"/>
  <c r="AN34" i="1"/>
  <c r="AM34" i="1"/>
  <c r="V51" i="1"/>
  <c r="W51" i="1" s="1"/>
  <c r="L62" i="1"/>
  <c r="AO62" i="1"/>
  <c r="AN68" i="1"/>
  <c r="AM94" i="1"/>
  <c r="AM111" i="1"/>
  <c r="V144" i="1"/>
  <c r="U144" i="1"/>
  <c r="AE150" i="1"/>
  <c r="X186" i="1"/>
  <c r="V194" i="1"/>
  <c r="W194" i="1" s="1"/>
  <c r="V195" i="1"/>
  <c r="U195" i="1"/>
  <c r="W195" i="1" s="1"/>
  <c r="AO67" i="1"/>
  <c r="L67" i="1"/>
  <c r="AO76" i="1"/>
  <c r="L76" i="1"/>
  <c r="AN138" i="1"/>
  <c r="L93" i="1"/>
  <c r="X93" i="1" s="1"/>
  <c r="L99" i="1"/>
  <c r="X99" i="1" s="1"/>
  <c r="L96" i="1"/>
  <c r="X96" i="1" s="1"/>
  <c r="U99" i="1"/>
  <c r="W99" i="1" s="1"/>
  <c r="L110" i="1"/>
  <c r="X110" i="1" s="1"/>
  <c r="AO117" i="1"/>
  <c r="L117" i="1"/>
  <c r="AQ122" i="1"/>
  <c r="AO122" i="1"/>
  <c r="V122" i="1" s="1"/>
  <c r="L8" i="1"/>
  <c r="X8" i="1" s="1"/>
  <c r="AN23" i="1"/>
  <c r="AM23" i="1"/>
  <c r="AO27" i="1"/>
  <c r="U29" i="1"/>
  <c r="W29" i="1" s="1"/>
  <c r="AM55" i="1"/>
  <c r="AM62" i="1"/>
  <c r="L81" i="1"/>
  <c r="X81" i="1" s="1"/>
  <c r="U176" i="1"/>
  <c r="W176" i="1" s="1"/>
  <c r="AM73" i="1"/>
  <c r="L105" i="1"/>
  <c r="AO105" i="1"/>
  <c r="AM25" i="1"/>
  <c r="AN7" i="1"/>
  <c r="AM7" i="1"/>
  <c r="AM56" i="1"/>
  <c r="V185" i="1"/>
  <c r="U185" i="1"/>
  <c r="AM43" i="1"/>
  <c r="AO43" i="1"/>
  <c r="L43" i="1"/>
  <c r="AO98" i="1"/>
  <c r="U81" i="1"/>
  <c r="W81" i="1" s="1"/>
  <c r="L36" i="1"/>
  <c r="X36" i="1" s="1"/>
  <c r="L45" i="1"/>
  <c r="AO45" i="1"/>
  <c r="L50" i="1"/>
  <c r="X50" i="1" s="1"/>
  <c r="U104" i="1"/>
  <c r="W104" i="1" s="1"/>
  <c r="L107" i="1"/>
  <c r="X107" i="1" s="1"/>
  <c r="AN135" i="1"/>
  <c r="AM135" i="1"/>
  <c r="X142" i="1"/>
  <c r="AM147" i="1"/>
  <c r="U153" i="1"/>
  <c r="V153" i="1"/>
  <c r="X194" i="1"/>
  <c r="Y137" i="1"/>
  <c r="AN89" i="1"/>
  <c r="AM89" i="1"/>
  <c r="AN112" i="1"/>
  <c r="AM112" i="1"/>
  <c r="U50" i="1"/>
  <c r="W50" i="1" s="1"/>
  <c r="AM71" i="1"/>
  <c r="AM102" i="1"/>
  <c r="V107" i="1"/>
  <c r="W107" i="1" s="1"/>
  <c r="L125" i="1"/>
  <c r="AO125" i="1"/>
  <c r="V125" i="1" s="1"/>
  <c r="V142" i="1"/>
  <c r="W142" i="1" s="1"/>
  <c r="V149" i="1"/>
  <c r="W149" i="1" s="1"/>
  <c r="AN167" i="1"/>
  <c r="AM171" i="1"/>
  <c r="AN51" i="1"/>
  <c r="AM51" i="1"/>
  <c r="AM87" i="1"/>
  <c r="AN90" i="1"/>
  <c r="X139" i="1"/>
  <c r="V139" i="1"/>
  <c r="AN142" i="1"/>
  <c r="AM142" i="1"/>
  <c r="X164" i="1"/>
  <c r="V164" i="1"/>
  <c r="U164" i="1"/>
  <c r="AN17" i="1"/>
  <c r="AM17" i="1"/>
  <c r="AM29" i="1"/>
  <c r="AM155" i="1"/>
  <c r="AN155" i="1"/>
  <c r="AN46" i="1"/>
  <c r="AM46" i="1"/>
  <c r="L51" i="1"/>
  <c r="X51" i="1" s="1"/>
  <c r="U116" i="1"/>
  <c r="W116" i="1" s="1"/>
  <c r="AN30" i="1"/>
  <c r="AM30" i="1"/>
  <c r="L55" i="1"/>
  <c r="AO55" i="1"/>
  <c r="U139" i="1"/>
  <c r="AM5" i="1"/>
  <c r="AM10" i="1"/>
  <c r="L69" i="1"/>
  <c r="X69" i="1" s="1"/>
  <c r="AO79" i="1"/>
  <c r="X79" i="1" s="1"/>
  <c r="V167" i="1"/>
  <c r="U167" i="1"/>
  <c r="AN185" i="1"/>
  <c r="AM185" i="1"/>
  <c r="X149" i="1"/>
  <c r="V173" i="1"/>
  <c r="W173" i="1" s="1"/>
  <c r="AO119" i="1"/>
  <c r="L119" i="1"/>
  <c r="V174" i="1"/>
  <c r="U174" i="1"/>
  <c r="AM193" i="1"/>
  <c r="AN196" i="1"/>
  <c r="V162" i="1"/>
  <c r="U162" i="1"/>
  <c r="X185" i="1"/>
  <c r="V193" i="1"/>
  <c r="U193" i="1"/>
  <c r="U151" i="1"/>
  <c r="V151" i="1"/>
  <c r="X144" i="1"/>
  <c r="L85" i="1"/>
  <c r="AO85" i="1"/>
  <c r="U100" i="1"/>
  <c r="AM165" i="1"/>
  <c r="AM192" i="1"/>
  <c r="AN141" i="1"/>
  <c r="AM150" i="1"/>
  <c r="AN161" i="1"/>
  <c r="V165" i="1"/>
  <c r="U165" i="1"/>
  <c r="X154" i="1"/>
  <c r="X165" i="1"/>
  <c r="AM180" i="1"/>
  <c r="AN201" i="1"/>
  <c r="AM178" i="1"/>
  <c r="AM200" i="1"/>
  <c r="AM198" i="1"/>
  <c r="AQ125" i="1"/>
  <c r="P58" i="2"/>
  <c r="P65" i="2"/>
  <c r="K421" i="2"/>
  <c r="AM125" i="1"/>
  <c r="K638" i="2"/>
  <c r="K192" i="2"/>
  <c r="K339" i="2"/>
  <c r="K322" i="2"/>
  <c r="K382" i="2"/>
  <c r="K251" i="2"/>
  <c r="AQ124" i="1"/>
  <c r="K180" i="2"/>
  <c r="K559" i="2"/>
  <c r="K153" i="2"/>
  <c r="P328" i="2"/>
  <c r="K290" i="2"/>
  <c r="Q559" i="2"/>
  <c r="P475" i="2"/>
  <c r="O788" i="2"/>
  <c r="Q788" i="2" s="1"/>
  <c r="P173" i="2"/>
  <c r="K558" i="2"/>
  <c r="K240" i="2"/>
  <c r="Q35" i="2"/>
  <c r="K222" i="2"/>
  <c r="K910" i="2"/>
  <c r="K755" i="2"/>
  <c r="Q450" i="2"/>
  <c r="P450" i="2"/>
  <c r="P428" i="2"/>
  <c r="Q428" i="2"/>
  <c r="K197" i="2"/>
  <c r="K201" i="2"/>
  <c r="P735" i="2"/>
  <c r="K770" i="2"/>
  <c r="K860" i="2"/>
  <c r="K375" i="2"/>
  <c r="K743" i="2"/>
  <c r="K943" i="2"/>
  <c r="K119" i="2"/>
  <c r="L119" i="2" s="1"/>
  <c r="M119" i="2" s="1"/>
  <c r="N119" i="2" s="1"/>
  <c r="K296" i="2"/>
  <c r="K395" i="2"/>
  <c r="P649" i="2"/>
  <c r="P770" i="2"/>
  <c r="K837" i="2"/>
  <c r="K411" i="2"/>
  <c r="K244" i="2"/>
  <c r="K495" i="2"/>
  <c r="K735" i="2"/>
  <c r="P693" i="2"/>
  <c r="K278" i="2"/>
  <c r="K353" i="2"/>
  <c r="K643" i="2"/>
  <c r="K150" i="2"/>
  <c r="K307" i="2"/>
  <c r="K789" i="2"/>
  <c r="K908" i="2"/>
  <c r="K107" i="2"/>
  <c r="L107" i="2" s="1"/>
  <c r="M107" i="2" s="1"/>
  <c r="N107" i="2" s="1"/>
  <c r="K818" i="2"/>
  <c r="K431" i="2"/>
  <c r="Q97" i="2"/>
  <c r="K109" i="2"/>
  <c r="L109" i="2" s="1"/>
  <c r="M109" i="2" s="1"/>
  <c r="N109" i="2" s="1"/>
  <c r="P262" i="2"/>
  <c r="P337" i="2"/>
  <c r="Q431" i="2"/>
  <c r="Q517" i="2"/>
  <c r="K886" i="2"/>
  <c r="K327" i="2"/>
  <c r="K711" i="2"/>
  <c r="K904" i="2"/>
  <c r="K202" i="2"/>
  <c r="K517" i="2"/>
  <c r="K33" i="2"/>
  <c r="L33" i="2" s="1"/>
  <c r="M33" i="2" s="1"/>
  <c r="N33" i="2" s="1"/>
  <c r="K46" i="2"/>
  <c r="L46" i="2" s="1"/>
  <c r="M46" i="2" s="1"/>
  <c r="N46" i="2" s="1"/>
  <c r="K424" i="2"/>
  <c r="K428" i="2"/>
  <c r="N435" i="2"/>
  <c r="K372" i="2"/>
  <c r="K552" i="2"/>
  <c r="P834" i="2"/>
  <c r="Q607" i="2"/>
  <c r="K690" i="2"/>
  <c r="K787" i="2"/>
  <c r="K505" i="2"/>
  <c r="K402" i="2"/>
  <c r="K548" i="2"/>
  <c r="Q697" i="2"/>
  <c r="P912" i="2"/>
  <c r="Q180" i="2"/>
  <c r="K585" i="2"/>
  <c r="K96" i="2"/>
  <c r="L96" i="2" s="1"/>
  <c r="M96" i="2" s="1"/>
  <c r="N96" i="2" s="1"/>
  <c r="K600" i="2"/>
  <c r="K791" i="2"/>
  <c r="P60" i="2"/>
  <c r="P192" i="2"/>
  <c r="K660" i="2"/>
  <c r="K958" i="2"/>
  <c r="P139" i="2"/>
  <c r="Q139" i="2"/>
  <c r="Q380" i="2"/>
  <c r="P380" i="2"/>
  <c r="Q443" i="2"/>
  <c r="P443" i="2"/>
  <c r="P358" i="2"/>
  <c r="Q358" i="2"/>
  <c r="Q546" i="2"/>
  <c r="P546" i="2"/>
  <c r="Q744" i="2"/>
  <c r="P744" i="2"/>
  <c r="P888" i="2"/>
  <c r="Q888" i="2"/>
  <c r="K132" i="2"/>
  <c r="N294" i="2"/>
  <c r="K624" i="2"/>
  <c r="K271" i="2"/>
  <c r="O407" i="2"/>
  <c r="K407" i="2"/>
  <c r="Q644" i="2"/>
  <c r="P644" i="2"/>
  <c r="Q869" i="2"/>
  <c r="P869" i="2"/>
  <c r="K380" i="2"/>
  <c r="K507" i="2"/>
  <c r="K511" i="2"/>
  <c r="K515" i="2"/>
  <c r="P535" i="2"/>
  <c r="Q535" i="2"/>
  <c r="P908" i="2"/>
  <c r="Q908" i="2"/>
  <c r="K237" i="2"/>
  <c r="K527" i="2"/>
  <c r="P698" i="2"/>
  <c r="K869" i="2"/>
  <c r="P248" i="2"/>
  <c r="K388" i="2"/>
  <c r="P400" i="2"/>
  <c r="Q400" i="2"/>
  <c r="N683" i="2"/>
  <c r="K842" i="2"/>
  <c r="Q237" i="2"/>
  <c r="K373" i="2"/>
  <c r="K400" i="2"/>
  <c r="Q586" i="2"/>
  <c r="K811" i="2"/>
  <c r="K823" i="2"/>
  <c r="K940" i="2"/>
  <c r="K960" i="2"/>
  <c r="K489" i="2"/>
  <c r="Q669" i="2"/>
  <c r="P669" i="2"/>
  <c r="K773" i="2"/>
  <c r="P373" i="2"/>
  <c r="K331" i="2"/>
  <c r="P370" i="2"/>
  <c r="Q370" i="2"/>
  <c r="K937" i="2"/>
  <c r="K218" i="2"/>
  <c r="Q610" i="2"/>
  <c r="P610" i="2"/>
  <c r="K234" i="2"/>
  <c r="P320" i="2"/>
  <c r="K754" i="2"/>
  <c r="P777" i="2"/>
  <c r="K781" i="2"/>
  <c r="K275" i="2"/>
  <c r="P403" i="2"/>
  <c r="Q403" i="2"/>
  <c r="K488" i="2"/>
  <c r="K500" i="2"/>
  <c r="K195" i="2"/>
  <c r="K381" i="2"/>
  <c r="O381" i="2"/>
  <c r="P381" i="2" s="1"/>
  <c r="K413" i="2"/>
  <c r="K568" i="2"/>
  <c r="K572" i="2"/>
  <c r="K650" i="2"/>
  <c r="K3" i="2"/>
  <c r="L3" i="2" s="1"/>
  <c r="M3" i="2" s="1"/>
  <c r="N3" i="2" s="1"/>
  <c r="K936" i="2"/>
  <c r="K226" i="2"/>
  <c r="K504" i="2"/>
  <c r="O222" i="2"/>
  <c r="Q222" i="2" s="1"/>
  <c r="K575" i="2"/>
  <c r="K980" i="2"/>
  <c r="Q304" i="2"/>
  <c r="P304" i="2"/>
  <c r="P350" i="2"/>
  <c r="P204" i="2"/>
  <c r="Q204" i="2"/>
  <c r="P482" i="2"/>
  <c r="Q482" i="2"/>
  <c r="P596" i="2"/>
  <c r="Q596" i="2"/>
  <c r="K721" i="2"/>
  <c r="K115" i="2"/>
  <c r="L115" i="2" s="1"/>
  <c r="M115" i="2" s="1"/>
  <c r="K241" i="2"/>
  <c r="P284" i="2"/>
  <c r="Q284" i="2"/>
  <c r="K284" i="2"/>
  <c r="Q142" i="2"/>
  <c r="K204" i="2"/>
  <c r="K305" i="2"/>
  <c r="K317" i="2"/>
  <c r="K332" i="2"/>
  <c r="P650" i="2"/>
  <c r="Q821" i="2"/>
  <c r="P821" i="2"/>
  <c r="P325" i="2"/>
  <c r="Q325" i="2"/>
  <c r="K425" i="2"/>
  <c r="Q537" i="2"/>
  <c r="K549" i="2"/>
  <c r="K747" i="2"/>
  <c r="P15" i="2"/>
  <c r="Q158" i="2"/>
  <c r="K166" i="2"/>
  <c r="K857" i="2"/>
  <c r="Q32" i="2"/>
  <c r="Q83" i="2"/>
  <c r="Q402" i="2"/>
  <c r="K608" i="2"/>
  <c r="K740" i="2"/>
  <c r="K872" i="2"/>
  <c r="K546" i="2"/>
  <c r="K636" i="2"/>
  <c r="K662" i="2"/>
  <c r="K854" i="2"/>
  <c r="K325" i="2"/>
  <c r="K355" i="2"/>
  <c r="K455" i="2"/>
  <c r="K508" i="2"/>
  <c r="K535" i="2"/>
  <c r="K926" i="2"/>
  <c r="K949" i="2"/>
  <c r="K137" i="2"/>
  <c r="K208" i="2"/>
  <c r="K242" i="2"/>
  <c r="K463" i="2"/>
  <c r="K599" i="2"/>
  <c r="K621" i="2"/>
  <c r="K666" i="2"/>
  <c r="K696" i="2"/>
  <c r="N722" i="2"/>
  <c r="K730" i="2"/>
  <c r="K832" i="2"/>
  <c r="K862" i="2"/>
  <c r="P17" i="2"/>
  <c r="K148" i="2"/>
  <c r="K152" i="2"/>
  <c r="K227" i="2"/>
  <c r="K318" i="2"/>
  <c r="K329" i="2"/>
  <c r="K340" i="2"/>
  <c r="K441" i="2"/>
  <c r="P580" i="2"/>
  <c r="N606" i="2"/>
  <c r="K644" i="2"/>
  <c r="K703" i="2"/>
  <c r="K741" i="2"/>
  <c r="K809" i="2"/>
  <c r="Q843" i="2"/>
  <c r="K881" i="2"/>
  <c r="P378" i="2"/>
  <c r="P385" i="2"/>
  <c r="P666" i="2"/>
  <c r="K418" i="2"/>
  <c r="K43" i="2"/>
  <c r="L43" i="2" s="1"/>
  <c r="M43" i="2" s="1"/>
  <c r="N43" i="2" s="1"/>
  <c r="K141" i="2"/>
  <c r="P171" i="2"/>
  <c r="K285" i="2"/>
  <c r="K348" i="2"/>
  <c r="P501" i="2"/>
  <c r="K539" i="2"/>
  <c r="K543" i="2"/>
  <c r="K596" i="2"/>
  <c r="K80" i="2"/>
  <c r="L80" i="2" s="1"/>
  <c r="M80" i="2" s="1"/>
  <c r="N80" i="2" s="1"/>
  <c r="Q300" i="2"/>
  <c r="K423" i="2"/>
  <c r="K449" i="2"/>
  <c r="K464" i="2"/>
  <c r="K494" i="2"/>
  <c r="Q603" i="2"/>
  <c r="K310" i="2"/>
  <c r="K814" i="2"/>
  <c r="Q164" i="2"/>
  <c r="Q293" i="2"/>
  <c r="K319" i="2"/>
  <c r="K345" i="2"/>
  <c r="K521" i="2"/>
  <c r="K551" i="2"/>
  <c r="K555" i="2"/>
  <c r="K589" i="2"/>
  <c r="K799" i="2"/>
  <c r="K920" i="2"/>
  <c r="K219" i="2"/>
  <c r="K38" i="2"/>
  <c r="L38" i="2" s="1"/>
  <c r="M38" i="2" s="1"/>
  <c r="K142" i="2"/>
  <c r="Q153" i="2"/>
  <c r="K286" i="2"/>
  <c r="K376" i="2"/>
  <c r="K435" i="2"/>
  <c r="K450" i="2"/>
  <c r="K578" i="2"/>
  <c r="K611" i="2"/>
  <c r="K664" i="2"/>
  <c r="K746" i="2"/>
  <c r="Q757" i="2"/>
  <c r="O814" i="2"/>
  <c r="Q814" i="2" s="1"/>
  <c r="K856" i="2"/>
  <c r="K875" i="2"/>
  <c r="O886" i="2"/>
  <c r="Q886" i="2" s="1"/>
  <c r="P62" i="2"/>
  <c r="M616" i="2"/>
  <c r="N616" i="2" s="1"/>
  <c r="K835" i="2"/>
  <c r="N575" i="2"/>
  <c r="M893" i="2"/>
  <c r="N893" i="2" s="1"/>
  <c r="N674" i="2"/>
  <c r="Q93" i="2"/>
  <c r="Q123" i="2"/>
  <c r="Q21" i="2"/>
  <c r="M482" i="2"/>
  <c r="N482" i="2" s="1"/>
  <c r="N401" i="2"/>
  <c r="N357" i="2"/>
  <c r="P24" i="2"/>
  <c r="Q7" i="2"/>
  <c r="P13" i="2"/>
  <c r="Q31" i="2"/>
  <c r="K610" i="2"/>
  <c r="K959" i="2"/>
  <c r="N665" i="2"/>
  <c r="Q25" i="2"/>
  <c r="P51" i="2"/>
  <c r="P57" i="2"/>
  <c r="Q81" i="2"/>
  <c r="Q119" i="2"/>
  <c r="K368" i="2"/>
  <c r="N418" i="2"/>
  <c r="Q536" i="2"/>
  <c r="P536" i="2"/>
  <c r="K2" i="2"/>
  <c r="L2" i="2" s="1"/>
  <c r="M2" i="2" s="1"/>
  <c r="N2" i="2" s="1"/>
  <c r="K590" i="2"/>
  <c r="Q281" i="2"/>
  <c r="P281" i="2"/>
  <c r="K335" i="2"/>
  <c r="O335" i="2"/>
  <c r="Q335" i="2" s="1"/>
  <c r="P701" i="2"/>
  <c r="Q753" i="2"/>
  <c r="P753" i="2"/>
  <c r="P152" i="2"/>
  <c r="Q152" i="2"/>
  <c r="Q809" i="2"/>
  <c r="P809" i="2"/>
  <c r="O33" i="2"/>
  <c r="Q33" i="2" s="1"/>
  <c r="O526" i="2"/>
  <c r="Q526" i="2" s="1"/>
  <c r="K526" i="2"/>
  <c r="P627" i="2"/>
  <c r="Q627" i="2"/>
  <c r="P673" i="2"/>
  <c r="Q923" i="2"/>
  <c r="Q28" i="2"/>
  <c r="O46" i="2"/>
  <c r="Q46" i="2" s="1"/>
  <c r="P260" i="2"/>
  <c r="Q260" i="2"/>
  <c r="P311" i="2"/>
  <c r="Q311" i="2"/>
  <c r="P347" i="2"/>
  <c r="P412" i="2"/>
  <c r="K652" i="2"/>
  <c r="Q743" i="2"/>
  <c r="P743" i="2"/>
  <c r="K683" i="2"/>
  <c r="O683" i="2"/>
  <c r="K882" i="2"/>
  <c r="K816" i="2"/>
  <c r="O816" i="2"/>
  <c r="P306" i="2"/>
  <c r="M314" i="2"/>
  <c r="N314" i="2" s="1"/>
  <c r="Q794" i="2"/>
  <c r="P930" i="2"/>
  <c r="Q141" i="2"/>
  <c r="Q175" i="2"/>
  <c r="P175" i="2"/>
  <c r="K584" i="2"/>
  <c r="O584" i="2"/>
  <c r="P584" i="2" s="1"/>
  <c r="K692" i="2"/>
  <c r="O692" i="2"/>
  <c r="P692" i="2" s="1"/>
  <c r="O344" i="2"/>
  <c r="Q344" i="2" s="1"/>
  <c r="K344" i="2"/>
  <c r="K670" i="2"/>
  <c r="Q762" i="2"/>
  <c r="P762" i="2"/>
  <c r="P799" i="2"/>
  <c r="Q799" i="2"/>
  <c r="P850" i="2"/>
  <c r="K390" i="2"/>
  <c r="Q465" i="2"/>
  <c r="Q820" i="2"/>
  <c r="P820" i="2"/>
  <c r="Q182" i="2"/>
  <c r="P182" i="2"/>
  <c r="Q746" i="2"/>
  <c r="P746" i="2"/>
  <c r="Q47" i="2"/>
  <c r="Q226" i="2"/>
  <c r="P226" i="2"/>
  <c r="P437" i="2"/>
  <c r="Q437" i="2"/>
  <c r="Q674" i="2"/>
  <c r="P674" i="2"/>
  <c r="O858" i="2"/>
  <c r="K858" i="2"/>
  <c r="Q917" i="2"/>
  <c r="P917" i="2"/>
  <c r="Q979" i="2"/>
  <c r="P979" i="2"/>
  <c r="K45" i="2"/>
  <c r="L45" i="2" s="1"/>
  <c r="M45" i="2" s="1"/>
  <c r="N45" i="2" s="1"/>
  <c r="K462" i="2"/>
  <c r="Q648" i="2"/>
  <c r="P648" i="2"/>
  <c r="K135" i="2"/>
  <c r="Q283" i="2"/>
  <c r="P283" i="2"/>
  <c r="P326" i="2"/>
  <c r="Q326" i="2"/>
  <c r="P409" i="2"/>
  <c r="K420" i="2"/>
  <c r="K427" i="2"/>
  <c r="P707" i="2"/>
  <c r="Q707" i="2"/>
  <c r="Q740" i="2"/>
  <c r="P740" i="2"/>
  <c r="K917" i="2"/>
  <c r="Q921" i="2"/>
  <c r="P921" i="2"/>
  <c r="K962" i="2"/>
  <c r="O760" i="2"/>
  <c r="Q760" i="2" s="1"/>
  <c r="K760" i="2"/>
  <c r="Q600" i="2"/>
  <c r="Q749" i="2"/>
  <c r="Q17" i="2"/>
  <c r="P194" i="2"/>
  <c r="Q194" i="2"/>
  <c r="P219" i="2"/>
  <c r="Q219" i="2"/>
  <c r="P355" i="2"/>
  <c r="Q355" i="2"/>
  <c r="K635" i="2"/>
  <c r="P899" i="2"/>
  <c r="Q899" i="2"/>
  <c r="K695" i="2"/>
  <c r="P150" i="2"/>
  <c r="Q150" i="2"/>
  <c r="K212" i="2"/>
  <c r="K238" i="2"/>
  <c r="O352" i="2"/>
  <c r="K352" i="2"/>
  <c r="Q420" i="2"/>
  <c r="K737" i="2"/>
  <c r="K899" i="2"/>
  <c r="P952" i="2"/>
  <c r="Q952" i="2"/>
  <c r="P189" i="2"/>
  <c r="Q189" i="2"/>
  <c r="P957" i="2"/>
  <c r="Q957" i="2"/>
  <c r="K263" i="2"/>
  <c r="K91" i="2"/>
  <c r="L91" i="2" s="1"/>
  <c r="M91" i="2" s="1"/>
  <c r="N91" i="2" s="1"/>
  <c r="K97" i="2"/>
  <c r="L97" i="2" s="1"/>
  <c r="M97" i="2" s="1"/>
  <c r="P242" i="2"/>
  <c r="Q242" i="2"/>
  <c r="Q341" i="2"/>
  <c r="P341" i="2"/>
  <c r="P486" i="2"/>
  <c r="Q486" i="2"/>
  <c r="P632" i="2"/>
  <c r="Q632" i="2"/>
  <c r="P796" i="2"/>
  <c r="Q796" i="2"/>
  <c r="O947" i="2"/>
  <c r="P947" i="2" s="1"/>
  <c r="K947" i="2"/>
  <c r="K93" i="2"/>
  <c r="L93" i="2" s="1"/>
  <c r="M93" i="2" s="1"/>
  <c r="Q24" i="2"/>
  <c r="Q154" i="2"/>
  <c r="P154" i="2"/>
  <c r="P508" i="2"/>
  <c r="K542" i="2"/>
  <c r="K556" i="2"/>
  <c r="Q730" i="2"/>
  <c r="P730" i="2"/>
  <c r="K822" i="2"/>
  <c r="O826" i="2"/>
  <c r="Q826" i="2" s="1"/>
  <c r="K826" i="2"/>
  <c r="P914" i="2"/>
  <c r="Q914" i="2"/>
  <c r="P943" i="2"/>
  <c r="Q943" i="2"/>
  <c r="P479" i="2"/>
  <c r="Q479" i="2"/>
  <c r="K614" i="2"/>
  <c r="O614" i="2"/>
  <c r="Q614" i="2" s="1"/>
  <c r="P640" i="2"/>
  <c r="Q640" i="2"/>
  <c r="K184" i="2"/>
  <c r="Q457" i="2"/>
  <c r="P457" i="2"/>
  <c r="O528" i="2"/>
  <c r="Q528" i="2" s="1"/>
  <c r="K528" i="2"/>
  <c r="Q841" i="2"/>
  <c r="Q217" i="2"/>
  <c r="P217" i="2"/>
  <c r="Q288" i="2"/>
  <c r="P288" i="2"/>
  <c r="Q342" i="2"/>
  <c r="P342" i="2"/>
  <c r="K401" i="2"/>
  <c r="O401" i="2"/>
  <c r="Q401" i="2" s="1"/>
  <c r="P564" i="2"/>
  <c r="Q564" i="2"/>
  <c r="Q633" i="2"/>
  <c r="P633" i="2"/>
  <c r="K731" i="2"/>
  <c r="Q99" i="2"/>
  <c r="P99" i="2"/>
  <c r="O269" i="2"/>
  <c r="Q269" i="2" s="1"/>
  <c r="K342" i="2"/>
  <c r="P506" i="2"/>
  <c r="Q506" i="2"/>
  <c r="K99" i="2"/>
  <c r="L99" i="2" s="1"/>
  <c r="M99" i="2" s="1"/>
  <c r="N99" i="2" s="1"/>
  <c r="O181" i="2"/>
  <c r="K181" i="2"/>
  <c r="Q629" i="2"/>
  <c r="Q842" i="2"/>
  <c r="P842" i="2"/>
  <c r="Q860" i="2"/>
  <c r="P860" i="2"/>
  <c r="Q897" i="2"/>
  <c r="P897" i="2"/>
  <c r="Q398" i="2"/>
  <c r="P398" i="2"/>
  <c r="Q270" i="2"/>
  <c r="P270" i="2"/>
  <c r="O365" i="2"/>
  <c r="Q365" i="2" s="1"/>
  <c r="K365" i="2"/>
  <c r="O533" i="2"/>
  <c r="P533" i="2" s="1"/>
  <c r="K533" i="2"/>
  <c r="K820" i="2"/>
  <c r="K941" i="2"/>
  <c r="K387" i="2"/>
  <c r="O387" i="2"/>
  <c r="O470" i="2"/>
  <c r="K470" i="2"/>
  <c r="K591" i="2"/>
  <c r="Q605" i="2"/>
  <c r="P605" i="2"/>
  <c r="P619" i="2"/>
  <c r="Q619" i="2"/>
  <c r="M746" i="2"/>
  <c r="N746" i="2" s="1"/>
  <c r="Q832" i="2"/>
  <c r="P832" i="2"/>
  <c r="K7" i="2"/>
  <c r="L7" i="2" s="1"/>
  <c r="M7" i="2" s="1"/>
  <c r="N7" i="2" s="1"/>
  <c r="M542" i="2"/>
  <c r="N542" i="2" s="1"/>
  <c r="P675" i="2"/>
  <c r="Q675" i="2"/>
  <c r="O708" i="2"/>
  <c r="Q708" i="2" s="1"/>
  <c r="K708" i="2"/>
  <c r="K723" i="2"/>
  <c r="O723" i="2"/>
  <c r="Q723" i="2" s="1"/>
  <c r="Q767" i="2"/>
  <c r="P767" i="2"/>
  <c r="Q782" i="2"/>
  <c r="P782" i="2"/>
  <c r="O896" i="2"/>
  <c r="Q896" i="2" s="1"/>
  <c r="K896" i="2"/>
  <c r="K465" i="2"/>
  <c r="K632" i="2"/>
  <c r="K649" i="2"/>
  <c r="Q663" i="2"/>
  <c r="P663" i="2"/>
  <c r="P705" i="2"/>
  <c r="Q705" i="2"/>
  <c r="K734" i="2"/>
  <c r="K792" i="2"/>
  <c r="O792" i="2"/>
  <c r="K812" i="2"/>
  <c r="O812" i="2"/>
  <c r="K819" i="2"/>
  <c r="K861" i="2"/>
  <c r="K893" i="2"/>
  <c r="Q906" i="2"/>
  <c r="P906" i="2"/>
  <c r="Q265" i="2"/>
  <c r="O280" i="2"/>
  <c r="K280" i="2"/>
  <c r="K304" i="2"/>
  <c r="K397" i="2"/>
  <c r="K403" i="2"/>
  <c r="P521" i="2"/>
  <c r="P685" i="2"/>
  <c r="M753" i="2"/>
  <c r="N753" i="2" s="1"/>
  <c r="Q805" i="2"/>
  <c r="P115" i="2"/>
  <c r="Q132" i="2"/>
  <c r="P132" i="2"/>
  <c r="K255" i="2"/>
  <c r="K314" i="2"/>
  <c r="Q362" i="2"/>
  <c r="P362" i="2"/>
  <c r="K437" i="2"/>
  <c r="P539" i="2"/>
  <c r="Q539" i="2"/>
  <c r="K576" i="2"/>
  <c r="Q611" i="2"/>
  <c r="P611" i="2"/>
  <c r="K629" i="2"/>
  <c r="K689" i="2"/>
  <c r="O699" i="2"/>
  <c r="P699" i="2" s="1"/>
  <c r="K699" i="2"/>
  <c r="Q789" i="2"/>
  <c r="P789" i="2"/>
  <c r="M792" i="2"/>
  <c r="N792" i="2" s="1"/>
  <c r="Q823" i="2"/>
  <c r="P823" i="2"/>
  <c r="K906" i="2"/>
  <c r="K923" i="2"/>
  <c r="M933" i="2"/>
  <c r="N933" i="2" s="1"/>
  <c r="K944" i="2"/>
  <c r="K235" i="2"/>
  <c r="O235" i="2"/>
  <c r="Q235" i="2" s="1"/>
  <c r="K256" i="2"/>
  <c r="K260" i="2"/>
  <c r="K281" i="2"/>
  <c r="K398" i="2"/>
  <c r="Q588" i="2"/>
  <c r="P588" i="2"/>
  <c r="Q779" i="2"/>
  <c r="P779" i="2"/>
  <c r="K796" i="2"/>
  <c r="K803" i="2"/>
  <c r="K887" i="2"/>
  <c r="O894" i="2"/>
  <c r="Q894" i="2" s="1"/>
  <c r="K894" i="2"/>
  <c r="M897" i="2"/>
  <c r="N897" i="2" s="1"/>
  <c r="K914" i="2"/>
  <c r="K993" i="2"/>
  <c r="Q8" i="2"/>
  <c r="Q20" i="2"/>
  <c r="Q54" i="2"/>
  <c r="P111" i="2"/>
  <c r="Q111" i="2"/>
  <c r="K189" i="2"/>
  <c r="M298" i="2"/>
  <c r="N298" i="2" s="1"/>
  <c r="Q305" i="2"/>
  <c r="P305" i="2"/>
  <c r="K404" i="2"/>
  <c r="M466" i="2"/>
  <c r="N466" i="2" s="1"/>
  <c r="K516" i="2"/>
  <c r="K667" i="2"/>
  <c r="N713" i="2"/>
  <c r="K762" i="2"/>
  <c r="M793" i="2"/>
  <c r="N793" i="2" s="1"/>
  <c r="K813" i="2"/>
  <c r="M852" i="2"/>
  <c r="N852" i="2" s="1"/>
  <c r="K880" i="2"/>
  <c r="K931" i="2"/>
  <c r="O786" i="2"/>
  <c r="Q786" i="2" s="1"/>
  <c r="K786" i="2"/>
  <c r="N806" i="2"/>
  <c r="K81" i="2"/>
  <c r="L81" i="2" s="1"/>
  <c r="M81" i="2" s="1"/>
  <c r="N81" i="2" s="1"/>
  <c r="O165" i="2"/>
  <c r="Q165" i="2" s="1"/>
  <c r="K165" i="2"/>
  <c r="O267" i="2"/>
  <c r="K267" i="2"/>
  <c r="Q367" i="2"/>
  <c r="P367" i="2"/>
  <c r="O384" i="2"/>
  <c r="Q384" i="2" s="1"/>
  <c r="K384" i="2"/>
  <c r="Q414" i="2"/>
  <c r="P414" i="2"/>
  <c r="K452" i="2"/>
  <c r="K588" i="2"/>
  <c r="K779" i="2"/>
  <c r="M813" i="2"/>
  <c r="N813" i="2" s="1"/>
  <c r="K863" i="2"/>
  <c r="O863" i="2"/>
  <c r="K31" i="2"/>
  <c r="L31" i="2" s="1"/>
  <c r="M31" i="2" s="1"/>
  <c r="N31" i="2" s="1"/>
  <c r="K140" i="2"/>
  <c r="K154" i="2"/>
  <c r="N189" i="2"/>
  <c r="O339" i="2"/>
  <c r="P339" i="2" s="1"/>
  <c r="K374" i="2"/>
  <c r="P455" i="2"/>
  <c r="K506" i="2"/>
  <c r="P516" i="2"/>
  <c r="Q523" i="2"/>
  <c r="P523" i="2"/>
  <c r="P530" i="2"/>
  <c r="Q530" i="2"/>
  <c r="K560" i="2"/>
  <c r="K567" i="2"/>
  <c r="O687" i="2"/>
  <c r="K687" i="2"/>
  <c r="K742" i="2"/>
  <c r="O835" i="2"/>
  <c r="Q835" i="2" s="1"/>
  <c r="P839" i="2"/>
  <c r="Q839" i="2"/>
  <c r="P904" i="2"/>
  <c r="P960" i="2"/>
  <c r="K986" i="2"/>
  <c r="K713" i="2"/>
  <c r="K884" i="2"/>
  <c r="O884" i="2"/>
  <c r="Q884" i="2" s="1"/>
  <c r="K60" i="2"/>
  <c r="L60" i="2" s="1"/>
  <c r="M60" i="2" s="1"/>
  <c r="K82" i="2"/>
  <c r="L82" i="2" s="1"/>
  <c r="M82" i="2" s="1"/>
  <c r="K186" i="2"/>
  <c r="K292" i="2"/>
  <c r="Q295" i="2"/>
  <c r="K326" i="2"/>
  <c r="K336" i="2"/>
  <c r="K446" i="2"/>
  <c r="O446" i="2"/>
  <c r="Q446" i="2" s="1"/>
  <c r="K627" i="2"/>
  <c r="Q664" i="2"/>
  <c r="K674" i="2"/>
  <c r="Q700" i="2"/>
  <c r="K769" i="2"/>
  <c r="K776" i="2"/>
  <c r="K810" i="2"/>
  <c r="K877" i="2"/>
  <c r="O931" i="2"/>
  <c r="P931" i="2" s="1"/>
  <c r="P25" i="2"/>
  <c r="P21" i="2"/>
  <c r="P49" i="2"/>
  <c r="M232" i="2"/>
  <c r="N232" i="2" s="1"/>
  <c r="Q278" i="2"/>
  <c r="N292" i="2"/>
  <c r="M312" i="2"/>
  <c r="N312" i="2" s="1"/>
  <c r="K323" i="2"/>
  <c r="P374" i="2"/>
  <c r="K541" i="2"/>
  <c r="O541" i="2"/>
  <c r="Q541" i="2" s="1"/>
  <c r="K544" i="2"/>
  <c r="K554" i="2"/>
  <c r="P557" i="2"/>
  <c r="K658" i="2"/>
  <c r="K668" i="2"/>
  <c r="K671" i="2"/>
  <c r="O718" i="2"/>
  <c r="K718" i="2"/>
  <c r="M742" i="2"/>
  <c r="N742" i="2" s="1"/>
  <c r="O804" i="2"/>
  <c r="Q804" i="2" s="1"/>
  <c r="K804" i="2"/>
  <c r="K915" i="2"/>
  <c r="M968" i="2"/>
  <c r="N968" i="2" s="1"/>
  <c r="K979" i="2"/>
  <c r="M986" i="2"/>
  <c r="N986" i="2" s="1"/>
  <c r="P31" i="2"/>
  <c r="O329" i="2"/>
  <c r="Q329" i="2" s="1"/>
  <c r="P392" i="2"/>
  <c r="Q392" i="2"/>
  <c r="Q460" i="2"/>
  <c r="P460" i="2"/>
  <c r="Q492" i="2"/>
  <c r="K520" i="2"/>
  <c r="K564" i="2"/>
  <c r="Q681" i="2"/>
  <c r="P681" i="2"/>
  <c r="O755" i="2"/>
  <c r="Q755" i="2" s="1"/>
  <c r="K766" i="2"/>
  <c r="P797" i="2"/>
  <c r="Q797" i="2"/>
  <c r="P836" i="2"/>
  <c r="Q836" i="2"/>
  <c r="N839" i="2"/>
  <c r="Q874" i="2"/>
  <c r="P874" i="2"/>
  <c r="P728" i="2"/>
  <c r="Q728" i="2"/>
  <c r="K83" i="2"/>
  <c r="L83" i="2" s="1"/>
  <c r="Q130" i="2"/>
  <c r="P137" i="2"/>
  <c r="Q197" i="2"/>
  <c r="P197" i="2"/>
  <c r="K229" i="2"/>
  <c r="Q285" i="2"/>
  <c r="P323" i="2"/>
  <c r="O333" i="2"/>
  <c r="K333" i="2"/>
  <c r="K392" i="2"/>
  <c r="K460" i="2"/>
  <c r="K482" i="2"/>
  <c r="Q554" i="2"/>
  <c r="K620" i="2"/>
  <c r="K655" i="2"/>
  <c r="P658" i="2"/>
  <c r="K681" i="2"/>
  <c r="K736" i="2"/>
  <c r="N766" i="2"/>
  <c r="N794" i="2"/>
  <c r="K829" i="2"/>
  <c r="K836" i="2"/>
  <c r="P898" i="2"/>
  <c r="P932" i="2"/>
  <c r="Q932" i="2"/>
  <c r="K961" i="2"/>
  <c r="P968" i="2"/>
  <c r="K22" i="2"/>
  <c r="L22" i="2" s="1"/>
  <c r="M22" i="2" s="1"/>
  <c r="N22" i="2" s="1"/>
  <c r="P61" i="2"/>
  <c r="K101" i="2"/>
  <c r="L101" i="2" s="1"/>
  <c r="M101" i="2" s="1"/>
  <c r="N101" i="2" s="1"/>
  <c r="P119" i="2"/>
  <c r="Q289" i="2"/>
  <c r="P289" i="2"/>
  <c r="K306" i="2"/>
  <c r="N378" i="2"/>
  <c r="Q418" i="2"/>
  <c r="Q439" i="2"/>
  <c r="K496" i="2"/>
  <c r="K510" i="2"/>
  <c r="O510" i="2"/>
  <c r="O668" i="2"/>
  <c r="Q688" i="2"/>
  <c r="P688" i="2"/>
  <c r="K726" i="2"/>
  <c r="O752" i="2"/>
  <c r="Q752" i="2" s="1"/>
  <c r="K874" i="2"/>
  <c r="O915" i="2"/>
  <c r="Q915" i="2" s="1"/>
  <c r="Q939" i="2"/>
  <c r="K950" i="2"/>
  <c r="Q67" i="2"/>
  <c r="K187" i="2"/>
  <c r="P330" i="2"/>
  <c r="Q330" i="2"/>
  <c r="O436" i="2"/>
  <c r="Q436" i="2" s="1"/>
  <c r="K436" i="2"/>
  <c r="Q645" i="2"/>
  <c r="P645" i="2"/>
  <c r="K763" i="2"/>
  <c r="K784" i="2"/>
  <c r="Q895" i="2"/>
  <c r="P63" i="2"/>
  <c r="K164" i="2"/>
  <c r="K216" i="2"/>
  <c r="K232" i="2"/>
  <c r="K313" i="2"/>
  <c r="K426" i="2"/>
  <c r="K443" i="2"/>
  <c r="K479" i="2"/>
  <c r="K502" i="2"/>
  <c r="K519" i="2"/>
  <c r="K522" i="2"/>
  <c r="K532" i="2"/>
  <c r="K707" i="2"/>
  <c r="K806" i="2"/>
  <c r="K848" i="2"/>
  <c r="K902" i="2"/>
  <c r="K921" i="2"/>
  <c r="K968" i="2"/>
  <c r="K985" i="2"/>
  <c r="K111" i="2"/>
  <c r="L111" i="2" s="1"/>
  <c r="M111" i="2" s="1"/>
  <c r="N111" i="2" s="1"/>
  <c r="N305" i="2"/>
  <c r="K362" i="2"/>
  <c r="K448" i="2"/>
  <c r="K451" i="2"/>
  <c r="K457" i="2"/>
  <c r="K477" i="2"/>
  <c r="K480" i="2"/>
  <c r="K483" i="2"/>
  <c r="K497" i="2"/>
  <c r="K530" i="2"/>
  <c r="K647" i="2"/>
  <c r="K663" i="2"/>
  <c r="K807" i="2"/>
  <c r="K997" i="2"/>
  <c r="K224" i="2"/>
  <c r="K487" i="2"/>
  <c r="K871" i="2"/>
  <c r="K919" i="2"/>
  <c r="K922" i="2"/>
  <c r="K389" i="2"/>
  <c r="M687" i="2"/>
  <c r="N687" i="2" s="1"/>
  <c r="K123" i="2"/>
  <c r="L123" i="2" s="1"/>
  <c r="M123" i="2" s="1"/>
  <c r="N123" i="2" s="1"/>
  <c r="K801" i="2"/>
  <c r="K865" i="2"/>
  <c r="P871" i="2"/>
  <c r="K956" i="2"/>
  <c r="O959" i="2"/>
  <c r="Q959" i="2" s="1"/>
  <c r="K977" i="2"/>
  <c r="N169" i="2"/>
  <c r="K182" i="2"/>
  <c r="K185" i="2"/>
  <c r="K211" i="2"/>
  <c r="K221" i="2"/>
  <c r="O224" i="2"/>
  <c r="Q240" i="2"/>
  <c r="K254" i="2"/>
  <c r="K274" i="2"/>
  <c r="K293" i="2"/>
  <c r="K303" i="2"/>
  <c r="K337" i="2"/>
  <c r="K356" i="2"/>
  <c r="K359" i="2"/>
  <c r="K366" i="2"/>
  <c r="K467" i="2"/>
  <c r="N474" i="2"/>
  <c r="O487" i="2"/>
  <c r="Q487" i="2" s="1"/>
  <c r="K491" i="2"/>
  <c r="K501" i="2"/>
  <c r="K537" i="2"/>
  <c r="P555" i="2"/>
  <c r="K609" i="2"/>
  <c r="K625" i="2"/>
  <c r="K628" i="2"/>
  <c r="K631" i="2"/>
  <c r="Q647" i="2"/>
  <c r="N666" i="2"/>
  <c r="K675" i="2"/>
  <c r="M693" i="2"/>
  <c r="N693" i="2" s="1"/>
  <c r="Q715" i="2"/>
  <c r="K722" i="2"/>
  <c r="K764" i="2"/>
  <c r="K767" i="2"/>
  <c r="K790" i="2"/>
  <c r="K795" i="2"/>
  <c r="K808" i="2"/>
  <c r="K817" i="2"/>
  <c r="K843" i="2"/>
  <c r="K885" i="2"/>
  <c r="K895" i="2"/>
  <c r="P922" i="2"/>
  <c r="K939" i="2"/>
  <c r="O966" i="2"/>
  <c r="Q966" i="2" s="1"/>
  <c r="Q201" i="2"/>
  <c r="K215" i="2"/>
  <c r="O227" i="2"/>
  <c r="Q227" i="2" s="1"/>
  <c r="K265" i="2"/>
  <c r="K347" i="2"/>
  <c r="K350" i="2"/>
  <c r="O353" i="2"/>
  <c r="P359" i="2"/>
  <c r="K393" i="2"/>
  <c r="Q464" i="2"/>
  <c r="K478" i="2"/>
  <c r="N537" i="2"/>
  <c r="P549" i="2"/>
  <c r="K612" i="2"/>
  <c r="K615" i="2"/>
  <c r="K622" i="2"/>
  <c r="P657" i="2"/>
  <c r="K673" i="2"/>
  <c r="K685" i="2"/>
  <c r="N790" i="2"/>
  <c r="K821" i="2"/>
  <c r="K831" i="2"/>
  <c r="P856" i="2"/>
  <c r="Q865" i="2"/>
  <c r="Q878" i="2"/>
  <c r="K892" i="2"/>
  <c r="K901" i="2"/>
  <c r="K946" i="2"/>
  <c r="Q146" i="2"/>
  <c r="P146" i="2"/>
  <c r="Q163" i="2"/>
  <c r="P163" i="2"/>
  <c r="Q11" i="2"/>
  <c r="P11" i="2"/>
  <c r="Q40" i="2"/>
  <c r="P40" i="2"/>
  <c r="Q205" i="2"/>
  <c r="P205" i="2"/>
  <c r="Q131" i="2"/>
  <c r="P131" i="2"/>
  <c r="P160" i="2"/>
  <c r="Q160" i="2"/>
  <c r="Q167" i="2"/>
  <c r="P167" i="2"/>
  <c r="Q174" i="2"/>
  <c r="P174" i="2"/>
  <c r="Q594" i="2"/>
  <c r="P594" i="2"/>
  <c r="Q69" i="2"/>
  <c r="P69" i="2"/>
  <c r="Q301" i="2"/>
  <c r="P301" i="2"/>
  <c r="P371" i="2"/>
  <c r="Q371" i="2"/>
  <c r="Q144" i="2"/>
  <c r="P144" i="2"/>
  <c r="Q476" i="2"/>
  <c r="P476" i="2"/>
  <c r="Q151" i="2"/>
  <c r="P151" i="2"/>
  <c r="Q246" i="2"/>
  <c r="P246" i="2"/>
  <c r="P36" i="2"/>
  <c r="Q36" i="2"/>
  <c r="Q200" i="2"/>
  <c r="P200" i="2"/>
  <c r="Q220" i="2"/>
  <c r="P220" i="2"/>
  <c r="Q14" i="2"/>
  <c r="P14" i="2"/>
  <c r="P30" i="2"/>
  <c r="Q30" i="2"/>
  <c r="Q109" i="2"/>
  <c r="P109" i="2"/>
  <c r="Q193" i="2"/>
  <c r="P193" i="2"/>
  <c r="Q249" i="2"/>
  <c r="P249" i="2"/>
  <c r="Q1000" i="2"/>
  <c r="P1000" i="2"/>
  <c r="Q117" i="2"/>
  <c r="P117" i="2"/>
  <c r="Q169" i="2"/>
  <c r="P169" i="2"/>
  <c r="Q155" i="2"/>
  <c r="P155" i="2"/>
  <c r="Q133" i="2"/>
  <c r="P133" i="2"/>
  <c r="P268" i="2"/>
  <c r="Q268" i="2"/>
  <c r="Q159" i="2"/>
  <c r="P159" i="2"/>
  <c r="Q241" i="2"/>
  <c r="P241" i="2"/>
  <c r="K266" i="2"/>
  <c r="O266" i="2"/>
  <c r="Q338" i="2"/>
  <c r="P338" i="2"/>
  <c r="K481" i="2"/>
  <c r="O481" i="2"/>
  <c r="K8" i="2"/>
  <c r="L8" i="2" s="1"/>
  <c r="M8" i="2" s="1"/>
  <c r="K25" i="2"/>
  <c r="L25" i="2" s="1"/>
  <c r="M25" i="2" s="1"/>
  <c r="N25" i="2" s="1"/>
  <c r="M176" i="2"/>
  <c r="N176" i="2" s="1"/>
  <c r="Q198" i="2"/>
  <c r="P198" i="2"/>
  <c r="P215" i="2"/>
  <c r="P263" i="2"/>
  <c r="O287" i="2"/>
  <c r="K287" i="2"/>
  <c r="Q290" i="2"/>
  <c r="P290" i="2"/>
  <c r="P404" i="2"/>
  <c r="Q404" i="2"/>
  <c r="K453" i="2"/>
  <c r="O453" i="2"/>
  <c r="Q545" i="2"/>
  <c r="P545" i="2"/>
  <c r="K151" i="2"/>
  <c r="P162" i="2"/>
  <c r="P179" i="2"/>
  <c r="Q179" i="2"/>
  <c r="P195" i="2"/>
  <c r="K198" i="2"/>
  <c r="P209" i="2"/>
  <c r="Q212" i="2"/>
  <c r="P212" i="2"/>
  <c r="P232" i="2"/>
  <c r="Q351" i="2"/>
  <c r="P351" i="2"/>
  <c r="M395" i="2"/>
  <c r="N395" i="2" s="1"/>
  <c r="Q498" i="2"/>
  <c r="P498" i="2"/>
  <c r="P641" i="2"/>
  <c r="Q641" i="2"/>
  <c r="Q168" i="2"/>
  <c r="P168" i="2"/>
  <c r="K193" i="2"/>
  <c r="Q238" i="2"/>
  <c r="P238" i="2"/>
  <c r="Q257" i="2"/>
  <c r="Q261" i="2"/>
  <c r="P261" i="2"/>
  <c r="Q321" i="2"/>
  <c r="P321" i="2"/>
  <c r="Q360" i="2"/>
  <c r="P360" i="2"/>
  <c r="Q379" i="2"/>
  <c r="P379" i="2"/>
  <c r="P478" i="2"/>
  <c r="K545" i="2"/>
  <c r="Q5" i="2"/>
  <c r="P5" i="2"/>
  <c r="Q125" i="2"/>
  <c r="P125" i="2"/>
  <c r="Q138" i="2"/>
  <c r="P138" i="2"/>
  <c r="P140" i="2"/>
  <c r="Q143" i="2"/>
  <c r="P143" i="2"/>
  <c r="P148" i="2"/>
  <c r="K174" i="2"/>
  <c r="P176" i="2"/>
  <c r="K179" i="2"/>
  <c r="Q279" i="2"/>
  <c r="P279" i="2"/>
  <c r="K351" i="2"/>
  <c r="M373" i="2"/>
  <c r="N373" i="2" s="1"/>
  <c r="Q488" i="2"/>
  <c r="P488" i="2"/>
  <c r="Q491" i="2"/>
  <c r="P491" i="2"/>
  <c r="Q587" i="2"/>
  <c r="P587" i="2"/>
  <c r="P622" i="2"/>
  <c r="K17" i="2"/>
  <c r="L17" i="2" s="1"/>
  <c r="M17" i="2" s="1"/>
  <c r="N17" i="2" s="1"/>
  <c r="K79" i="2"/>
  <c r="L79" i="2" s="1"/>
  <c r="M79" i="2" s="1"/>
  <c r="N79" i="2" s="1"/>
  <c r="P93" i="2"/>
  <c r="K138" i="2"/>
  <c r="N193" i="2"/>
  <c r="Q213" i="2"/>
  <c r="P213" i="2"/>
  <c r="Q294" i="2"/>
  <c r="P294" i="2"/>
  <c r="K321" i="2"/>
  <c r="K379" i="2"/>
  <c r="K434" i="2"/>
  <c r="M545" i="2"/>
  <c r="N545" i="2" s="1"/>
  <c r="Q597" i="2"/>
  <c r="P597" i="2"/>
  <c r="Q918" i="2"/>
  <c r="P918" i="2"/>
  <c r="Q944" i="2"/>
  <c r="P944" i="2"/>
  <c r="P135" i="2"/>
  <c r="K146" i="2"/>
  <c r="K163" i="2"/>
  <c r="N174" i="2"/>
  <c r="Q233" i="2"/>
  <c r="P233" i="2"/>
  <c r="Q258" i="2"/>
  <c r="P258" i="2"/>
  <c r="K279" i="2"/>
  <c r="Q291" i="2"/>
  <c r="P291" i="2"/>
  <c r="P376" i="2"/>
  <c r="Q396" i="2"/>
  <c r="P396" i="2"/>
  <c r="P542" i="2"/>
  <c r="K587" i="2"/>
  <c r="K594" i="2"/>
  <c r="K597" i="2"/>
  <c r="Q833" i="2"/>
  <c r="P833" i="2"/>
  <c r="P848" i="2"/>
  <c r="M138" i="2"/>
  <c r="N138" i="2" s="1"/>
  <c r="K160" i="2"/>
  <c r="Q190" i="2"/>
  <c r="K210" i="2"/>
  <c r="K213" i="2"/>
  <c r="P230" i="2"/>
  <c r="K233" i="2"/>
  <c r="P308" i="2"/>
  <c r="P434" i="2"/>
  <c r="P473" i="2"/>
  <c r="Q581" i="2"/>
  <c r="P581" i="2"/>
  <c r="K833" i="2"/>
  <c r="K133" i="2"/>
  <c r="Q149" i="2"/>
  <c r="P149" i="2"/>
  <c r="M163" i="2"/>
  <c r="N163" i="2" s="1"/>
  <c r="Q172" i="2"/>
  <c r="P172" i="2"/>
  <c r="Q207" i="2"/>
  <c r="P276" i="2"/>
  <c r="P303" i="2"/>
  <c r="Q312" i="2"/>
  <c r="P312" i="2"/>
  <c r="Q345" i="2"/>
  <c r="P345" i="2"/>
  <c r="O383" i="2"/>
  <c r="K383" i="2"/>
  <c r="Q613" i="2"/>
  <c r="P613" i="2"/>
  <c r="K121" i="2"/>
  <c r="L121" i="2" s="1"/>
  <c r="M121" i="2" s="1"/>
  <c r="K149" i="2"/>
  <c r="P157" i="2"/>
  <c r="K169" i="2"/>
  <c r="K172" i="2"/>
  <c r="Q210" i="2"/>
  <c r="Q251" i="2"/>
  <c r="P389" i="2"/>
  <c r="M431" i="2"/>
  <c r="N431" i="2" s="1"/>
  <c r="M441" i="2"/>
  <c r="N441" i="2" s="1"/>
  <c r="M470" i="2"/>
  <c r="N470" i="2" s="1"/>
  <c r="Q540" i="2"/>
  <c r="P540" i="2"/>
  <c r="K581" i="2"/>
  <c r="M826" i="2"/>
  <c r="N826" i="2" s="1"/>
  <c r="Q830" i="2"/>
  <c r="P830" i="2"/>
  <c r="Q136" i="2"/>
  <c r="P136" i="2"/>
  <c r="K144" i="2"/>
  <c r="M185" i="2"/>
  <c r="N185" i="2" s="1"/>
  <c r="Q191" i="2"/>
  <c r="P191" i="2"/>
  <c r="K249" i="2"/>
  <c r="K309" i="2"/>
  <c r="O309" i="2"/>
  <c r="P315" i="2"/>
  <c r="K371" i="2"/>
  <c r="K377" i="2"/>
  <c r="O377" i="2"/>
  <c r="Q461" i="2"/>
  <c r="P461" i="2"/>
  <c r="P467" i="2"/>
  <c r="Q467" i="2"/>
  <c r="O518" i="2"/>
  <c r="K518" i="2"/>
  <c r="Q531" i="2"/>
  <c r="P531" i="2"/>
  <c r="P751" i="2"/>
  <c r="Q751" i="2"/>
  <c r="M773" i="2"/>
  <c r="N773" i="2" s="1"/>
  <c r="O780" i="2"/>
  <c r="K780" i="2"/>
  <c r="K36" i="2"/>
  <c r="L36" i="2" s="1"/>
  <c r="K40" i="2"/>
  <c r="L40" i="2" s="1"/>
  <c r="M40" i="2" s="1"/>
  <c r="N40" i="2" s="1"/>
  <c r="O44" i="2"/>
  <c r="P44" i="2" s="1"/>
  <c r="K44" i="2"/>
  <c r="L44" i="2" s="1"/>
  <c r="M44" i="2" s="1"/>
  <c r="N44" i="2" s="1"/>
  <c r="K58" i="2"/>
  <c r="L58" i="2" s="1"/>
  <c r="M58" i="2" s="1"/>
  <c r="N58" i="2" s="1"/>
  <c r="Q62" i="2"/>
  <c r="O66" i="2"/>
  <c r="P66" i="2" s="1"/>
  <c r="K66" i="2"/>
  <c r="L66" i="2" s="1"/>
  <c r="M66" i="2" s="1"/>
  <c r="N66" i="2" s="1"/>
  <c r="K117" i="2"/>
  <c r="L117" i="2" s="1"/>
  <c r="K131" i="2"/>
  <c r="L131" i="2" s="1"/>
  <c r="M131" i="2" s="1"/>
  <c r="N131" i="2" s="1"/>
  <c r="K136" i="2"/>
  <c r="M172" i="2"/>
  <c r="N172" i="2" s="1"/>
  <c r="P188" i="2"/>
  <c r="K191" i="2"/>
  <c r="Q231" i="2"/>
  <c r="P231" i="2"/>
  <c r="K301" i="2"/>
  <c r="M371" i="2"/>
  <c r="N371" i="2" s="1"/>
  <c r="M374" i="2"/>
  <c r="N374" i="2" s="1"/>
  <c r="K461" i="2"/>
  <c r="M511" i="2"/>
  <c r="N511" i="2" s="1"/>
  <c r="Q515" i="2"/>
  <c r="P515" i="2"/>
  <c r="P578" i="2"/>
  <c r="P591" i="2"/>
  <c r="Q969" i="2"/>
  <c r="P969" i="2"/>
  <c r="Q983" i="2"/>
  <c r="P983" i="2"/>
  <c r="Q986" i="2"/>
  <c r="P986" i="2"/>
  <c r="K85" i="2"/>
  <c r="L85" i="2" s="1"/>
  <c r="M85" i="2" s="1"/>
  <c r="N85" i="2" s="1"/>
  <c r="K127" i="2"/>
  <c r="L127" i="2" s="1"/>
  <c r="M127" i="2" s="1"/>
  <c r="N127" i="2" s="1"/>
  <c r="Q185" i="2"/>
  <c r="P185" i="2"/>
  <c r="O225" i="2"/>
  <c r="K225" i="2"/>
  <c r="Q252" i="2"/>
  <c r="P252" i="2"/>
  <c r="Q255" i="2"/>
  <c r="P255" i="2"/>
  <c r="O277" i="2"/>
  <c r="K277" i="2"/>
  <c r="O368" i="2"/>
  <c r="Q565" i="2"/>
  <c r="P565" i="2"/>
  <c r="Q585" i="2"/>
  <c r="P585" i="2"/>
  <c r="Q713" i="2"/>
  <c r="P713" i="2"/>
  <c r="Q742" i="2"/>
  <c r="P742" i="2"/>
  <c r="Q793" i="2"/>
  <c r="P793" i="2"/>
  <c r="K261" i="2"/>
  <c r="K207" i="2"/>
  <c r="K62" i="2"/>
  <c r="O19" i="2"/>
  <c r="Q19" i="2" s="1"/>
  <c r="K19" i="2"/>
  <c r="L19" i="2" s="1"/>
  <c r="M19" i="2" s="1"/>
  <c r="K54" i="2"/>
  <c r="L54" i="2" s="1"/>
  <c r="M54" i="2" s="1"/>
  <c r="N54" i="2" s="1"/>
  <c r="K155" i="2"/>
  <c r="O161" i="2"/>
  <c r="K161" i="2"/>
  <c r="P202" i="2"/>
  <c r="O228" i="2"/>
  <c r="K228" i="2"/>
  <c r="Q243" i="2"/>
  <c r="P243" i="2"/>
  <c r="K252" i="2"/>
  <c r="Q316" i="2"/>
  <c r="P316" i="2"/>
  <c r="Q343" i="2"/>
  <c r="P343" i="2"/>
  <c r="O432" i="2"/>
  <c r="K432" i="2"/>
  <c r="Q458" i="2"/>
  <c r="P458" i="2"/>
  <c r="Q562" i="2"/>
  <c r="P562" i="2"/>
  <c r="Q710" i="2"/>
  <c r="P710" i="2"/>
  <c r="O106" i="2"/>
  <c r="Q106" i="2" s="1"/>
  <c r="K106" i="2"/>
  <c r="L106" i="2" s="1"/>
  <c r="M106" i="2" s="1"/>
  <c r="N106" i="2" s="1"/>
  <c r="K125" i="2"/>
  <c r="L125" i="2" s="1"/>
  <c r="K5" i="2"/>
  <c r="L5" i="2" s="1"/>
  <c r="M5" i="2" s="1"/>
  <c r="Q57" i="2"/>
  <c r="K65" i="2"/>
  <c r="L65" i="2" s="1"/>
  <c r="M65" i="2" s="1"/>
  <c r="N65" i="2" s="1"/>
  <c r="Q15" i="2"/>
  <c r="P32" i="2"/>
  <c r="Q45" i="2"/>
  <c r="P45" i="2"/>
  <c r="Q49" i="2"/>
  <c r="Q147" i="2"/>
  <c r="P147" i="2"/>
  <c r="K158" i="2"/>
  <c r="K183" i="2"/>
  <c r="K200" i="2"/>
  <c r="K205" i="2"/>
  <c r="K220" i="2"/>
  <c r="K268" i="2"/>
  <c r="Q271" i="2"/>
  <c r="P271" i="2"/>
  <c r="N274" i="2"/>
  <c r="P298" i="2"/>
  <c r="N340" i="2"/>
  <c r="K458" i="2"/>
  <c r="Q509" i="2"/>
  <c r="P509" i="2"/>
  <c r="N515" i="2"/>
  <c r="O579" i="2"/>
  <c r="K579" i="2"/>
  <c r="Q824" i="2"/>
  <c r="P824" i="2"/>
  <c r="K167" i="2"/>
  <c r="Q256" i="2"/>
  <c r="P256" i="2"/>
  <c r="O334" i="2"/>
  <c r="K334" i="2"/>
  <c r="Q419" i="2"/>
  <c r="P419" i="2"/>
  <c r="O429" i="2"/>
  <c r="K429" i="2"/>
  <c r="Q503" i="2"/>
  <c r="P503" i="2"/>
  <c r="Q765" i="2"/>
  <c r="P765" i="2"/>
  <c r="Q156" i="2"/>
  <c r="P156" i="2"/>
  <c r="K30" i="2"/>
  <c r="L30" i="2" s="1"/>
  <c r="M30" i="2" s="1"/>
  <c r="N30" i="2" s="1"/>
  <c r="Q38" i="2"/>
  <c r="P38" i="2"/>
  <c r="Q79" i="2"/>
  <c r="P79" i="2"/>
  <c r="O101" i="2"/>
  <c r="O43" i="2"/>
  <c r="K61" i="2"/>
  <c r="L61" i="2" s="1"/>
  <c r="M61" i="2" s="1"/>
  <c r="P7" i="2"/>
  <c r="K11" i="2"/>
  <c r="L11" i="2" s="1"/>
  <c r="M11" i="2" s="1"/>
  <c r="N11" i="2" s="1"/>
  <c r="K15" i="2"/>
  <c r="L15" i="2" s="1"/>
  <c r="M15" i="2" s="1"/>
  <c r="N15" i="2" s="1"/>
  <c r="P81" i="2"/>
  <c r="Q134" i="2"/>
  <c r="P134" i="2"/>
  <c r="M183" i="2"/>
  <c r="N183" i="2" s="1"/>
  <c r="Q356" i="2"/>
  <c r="P356" i="2"/>
  <c r="Q426" i="2"/>
  <c r="P426" i="2"/>
  <c r="K509" i="2"/>
  <c r="P576" i="2"/>
  <c r="Q576" i="2"/>
  <c r="Q655" i="2"/>
  <c r="P655" i="2"/>
  <c r="O704" i="2"/>
  <c r="K704" i="2"/>
  <c r="P733" i="2"/>
  <c r="K69" i="2"/>
  <c r="L69" i="2" s="1"/>
  <c r="M69" i="2" s="1"/>
  <c r="N69" i="2" s="1"/>
  <c r="P47" i="2"/>
  <c r="Q115" i="2"/>
  <c r="Q65" i="2"/>
  <c r="K98" i="2"/>
  <c r="L98" i="2" s="1"/>
  <c r="Q166" i="2"/>
  <c r="P166" i="2"/>
  <c r="Q58" i="2"/>
  <c r="P29" i="2"/>
  <c r="K86" i="2"/>
  <c r="L86" i="2" s="1"/>
  <c r="M86" i="2" s="1"/>
  <c r="P123" i="2"/>
  <c r="Q170" i="2"/>
  <c r="P170" i="2"/>
  <c r="Q183" i="2"/>
  <c r="P183" i="2"/>
  <c r="Q203" i="2"/>
  <c r="P203" i="2"/>
  <c r="O247" i="2"/>
  <c r="K247" i="2"/>
  <c r="P253" i="2"/>
  <c r="Q253" i="2"/>
  <c r="Q410" i="2"/>
  <c r="P410" i="2"/>
  <c r="Q547" i="2"/>
  <c r="P547" i="2"/>
  <c r="K553" i="2"/>
  <c r="O553" i="2"/>
  <c r="Q566" i="2"/>
  <c r="P566" i="2"/>
  <c r="K646" i="2"/>
  <c r="O646" i="2"/>
  <c r="Q727" i="2"/>
  <c r="P727" i="2"/>
  <c r="Q736" i="2"/>
  <c r="P736" i="2"/>
  <c r="P97" i="2"/>
  <c r="P187" i="2"/>
  <c r="O22" i="2"/>
  <c r="Q22" i="2" s="1"/>
  <c r="K14" i="2"/>
  <c r="L14" i="2" s="1"/>
  <c r="M14" i="2" s="1"/>
  <c r="N14" i="2" s="1"/>
  <c r="Q41" i="2"/>
  <c r="P41" i="2"/>
  <c r="L122" i="1"/>
  <c r="P3" i="2"/>
  <c r="Q145" i="2"/>
  <c r="P145" i="2"/>
  <c r="P178" i="2"/>
  <c r="Q218" i="2"/>
  <c r="P218" i="2"/>
  <c r="Q244" i="2"/>
  <c r="P244" i="2"/>
  <c r="P286" i="2"/>
  <c r="Q299" i="2"/>
  <c r="P299" i="2"/>
  <c r="M323" i="2"/>
  <c r="N323" i="2" s="1"/>
  <c r="P331" i="2"/>
  <c r="K410" i="2"/>
  <c r="Q490" i="2"/>
  <c r="P490" i="2"/>
  <c r="P500" i="2"/>
  <c r="K547" i="2"/>
  <c r="O550" i="2"/>
  <c r="K550" i="2"/>
  <c r="Q573" i="2"/>
  <c r="P573" i="2"/>
  <c r="P624" i="2"/>
  <c r="M627" i="2"/>
  <c r="N627" i="2" s="1"/>
  <c r="Q636" i="2"/>
  <c r="P636" i="2"/>
  <c r="M686" i="2"/>
  <c r="N686" i="2" s="1"/>
  <c r="O34" i="2"/>
  <c r="Q34" i="2" s="1"/>
  <c r="K34" i="2"/>
  <c r="L34" i="2" s="1"/>
  <c r="M34" i="2" s="1"/>
  <c r="N34" i="2" s="1"/>
  <c r="Q996" i="2"/>
  <c r="K18" i="2"/>
  <c r="L18" i="2" s="1"/>
  <c r="M18" i="2" s="1"/>
  <c r="N18" i="2" s="1"/>
  <c r="O129" i="2"/>
  <c r="Q129" i="2" s="1"/>
  <c r="K129" i="2"/>
  <c r="L129" i="2" s="1"/>
  <c r="M129" i="2" s="1"/>
  <c r="N129" i="2" s="1"/>
  <c r="K176" i="2"/>
  <c r="Q206" i="2"/>
  <c r="P206" i="2"/>
  <c r="M263" i="2"/>
  <c r="N263" i="2" s="1"/>
  <c r="Q272" i="2"/>
  <c r="P272" i="2"/>
  <c r="M398" i="2"/>
  <c r="N398" i="2" s="1"/>
  <c r="P483" i="2"/>
  <c r="O563" i="2"/>
  <c r="K563" i="2"/>
  <c r="M633" i="2"/>
  <c r="N633" i="2" s="1"/>
  <c r="Q395" i="2"/>
  <c r="P395" i="2"/>
  <c r="M407" i="2"/>
  <c r="N407" i="2" s="1"/>
  <c r="Q441" i="2"/>
  <c r="P441" i="2"/>
  <c r="K476" i="2"/>
  <c r="O484" i="2"/>
  <c r="K484" i="2"/>
  <c r="K503" i="2"/>
  <c r="N581" i="2"/>
  <c r="O616" i="2"/>
  <c r="K616" i="2"/>
  <c r="O739" i="2"/>
  <c r="K739" i="2"/>
  <c r="Q989" i="2"/>
  <c r="P989" i="2"/>
  <c r="K1000" i="2"/>
  <c r="Q236" i="2"/>
  <c r="P236" i="2"/>
  <c r="K272" i="2"/>
  <c r="O324" i="2"/>
  <c r="K324" i="2"/>
  <c r="K396" i="2"/>
  <c r="Q408" i="2"/>
  <c r="P408" i="2"/>
  <c r="Q445" i="2"/>
  <c r="P445" i="2"/>
  <c r="K531" i="2"/>
  <c r="P534" i="2"/>
  <c r="Q534" i="2"/>
  <c r="Q582" i="2"/>
  <c r="P582" i="2"/>
  <c r="K765" i="2"/>
  <c r="Q949" i="2"/>
  <c r="P949" i="2"/>
  <c r="K969" i="2"/>
  <c r="Q997" i="2"/>
  <c r="P997" i="2"/>
  <c r="Q37" i="2"/>
  <c r="K156" i="2"/>
  <c r="K170" i="2"/>
  <c r="O177" i="2"/>
  <c r="K177" i="2"/>
  <c r="P186" i="2"/>
  <c r="M191" i="2"/>
  <c r="N191" i="2" s="1"/>
  <c r="K231" i="2"/>
  <c r="Q264" i="2"/>
  <c r="P264" i="2"/>
  <c r="P274" i="2"/>
  <c r="K282" i="2"/>
  <c r="O282" i="2"/>
  <c r="P318" i="2"/>
  <c r="P340" i="2"/>
  <c r="Q348" i="2"/>
  <c r="P348" i="2"/>
  <c r="O399" i="2"/>
  <c r="K399" i="2"/>
  <c r="M453" i="2"/>
  <c r="N453" i="2" s="1"/>
  <c r="Q474" i="2"/>
  <c r="P474" i="2"/>
  <c r="K498" i="2"/>
  <c r="Q525" i="2"/>
  <c r="P525" i="2"/>
  <c r="M554" i="2"/>
  <c r="N554" i="2" s="1"/>
  <c r="Q592" i="2"/>
  <c r="P592" i="2"/>
  <c r="Q625" i="2"/>
  <c r="M663" i="2"/>
  <c r="N663" i="2" s="1"/>
  <c r="M677" i="2"/>
  <c r="N677" i="2" s="1"/>
  <c r="N762" i="2"/>
  <c r="Q768" i="2"/>
  <c r="P768" i="2"/>
  <c r="Q771" i="2"/>
  <c r="P771" i="2"/>
  <c r="Q994" i="2"/>
  <c r="P994" i="2"/>
  <c r="K196" i="2"/>
  <c r="Q221" i="2"/>
  <c r="P221" i="2"/>
  <c r="Q223" i="2"/>
  <c r="P223" i="2"/>
  <c r="K253" i="2"/>
  <c r="M272" i="2"/>
  <c r="N272" i="2" s="1"/>
  <c r="P296" i="2"/>
  <c r="Q307" i="2"/>
  <c r="P307" i="2"/>
  <c r="K316" i="2"/>
  <c r="K338" i="2"/>
  <c r="P357" i="2"/>
  <c r="K360" i="2"/>
  <c r="Q417" i="2"/>
  <c r="P417" i="2"/>
  <c r="P423" i="2"/>
  <c r="M432" i="2"/>
  <c r="N432" i="2" s="1"/>
  <c r="M448" i="2"/>
  <c r="N448" i="2" s="1"/>
  <c r="Q513" i="2"/>
  <c r="P513" i="2"/>
  <c r="K525" i="2"/>
  <c r="N531" i="2"/>
  <c r="K540" i="2"/>
  <c r="Q570" i="2"/>
  <c r="P570" i="2"/>
  <c r="P620" i="2"/>
  <c r="Q620" i="2"/>
  <c r="O623" i="2"/>
  <c r="K623" i="2"/>
  <c r="Q677" i="2"/>
  <c r="P677" i="2"/>
  <c r="O684" i="2"/>
  <c r="K684" i="2"/>
  <c r="Q724" i="2"/>
  <c r="P724" i="2"/>
  <c r="Q734" i="2"/>
  <c r="P734" i="2"/>
  <c r="K41" i="2"/>
  <c r="L41" i="2" s="1"/>
  <c r="M41" i="2" s="1"/>
  <c r="N41" i="2" s="1"/>
  <c r="Q48" i="2"/>
  <c r="Q60" i="2"/>
  <c r="K102" i="2"/>
  <c r="L102" i="2" s="1"/>
  <c r="M102" i="2" s="1"/>
  <c r="N102" i="2" s="1"/>
  <c r="K114" i="2"/>
  <c r="L114" i="2" s="1"/>
  <c r="M114" i="2" s="1"/>
  <c r="N114" i="2" s="1"/>
  <c r="K134" i="2"/>
  <c r="K145" i="2"/>
  <c r="K147" i="2"/>
  <c r="K294" i="2"/>
  <c r="K299" i="2"/>
  <c r="K343" i="2"/>
  <c r="O369" i="2"/>
  <c r="K369" i="2"/>
  <c r="M399" i="2"/>
  <c r="N399" i="2" s="1"/>
  <c r="Q405" i="2"/>
  <c r="P405" i="2"/>
  <c r="P660" i="2"/>
  <c r="Q885" i="2"/>
  <c r="P885" i="2"/>
  <c r="K143" i="2"/>
  <c r="K159" i="2"/>
  <c r="K168" i="2"/>
  <c r="K175" i="2"/>
  <c r="P184" i="2"/>
  <c r="K206" i="2"/>
  <c r="P208" i="2"/>
  <c r="P239" i="2"/>
  <c r="N253" i="2"/>
  <c r="M299" i="2"/>
  <c r="N299" i="2" s="1"/>
  <c r="P310" i="2"/>
  <c r="O313" i="2"/>
  <c r="N338" i="2"/>
  <c r="Q346" i="2"/>
  <c r="P346" i="2"/>
  <c r="Q349" i="2"/>
  <c r="P349" i="2"/>
  <c r="N355" i="2"/>
  <c r="N360" i="2"/>
  <c r="P390" i="2"/>
  <c r="M393" i="2"/>
  <c r="N393" i="2" s="1"/>
  <c r="P411" i="2"/>
  <c r="M442" i="2"/>
  <c r="N442" i="2" s="1"/>
  <c r="Q448" i="2"/>
  <c r="P448" i="2"/>
  <c r="P495" i="2"/>
  <c r="P522" i="2"/>
  <c r="P560" i="2"/>
  <c r="P589" i="2"/>
  <c r="Q589" i="2"/>
  <c r="P602" i="2"/>
  <c r="P608" i="2"/>
  <c r="Q617" i="2"/>
  <c r="P617" i="2"/>
  <c r="Q819" i="2"/>
  <c r="P819" i="2"/>
  <c r="Q63" i="2"/>
  <c r="P67" i="2"/>
  <c r="K194" i="2"/>
  <c r="Q196" i="2"/>
  <c r="Q216" i="2"/>
  <c r="P216" i="2"/>
  <c r="Q234" i="2"/>
  <c r="P234" i="2"/>
  <c r="Q245" i="2"/>
  <c r="P245" i="2"/>
  <c r="Q259" i="2"/>
  <c r="P259" i="2"/>
  <c r="Q275" i="2"/>
  <c r="P275" i="2"/>
  <c r="Q319" i="2"/>
  <c r="P319" i="2"/>
  <c r="K363" i="2"/>
  <c r="P459" i="2"/>
  <c r="Q459" i="2"/>
  <c r="Q696" i="2"/>
  <c r="P696" i="2"/>
  <c r="O866" i="2"/>
  <c r="K866" i="2"/>
  <c r="Q9" i="2"/>
  <c r="K16" i="2"/>
  <c r="L16" i="2" s="1"/>
  <c r="M16" i="2" s="1"/>
  <c r="N16" i="2" s="1"/>
  <c r="K57" i="2"/>
  <c r="L57" i="2" s="1"/>
  <c r="K130" i="2"/>
  <c r="L130" i="2" s="1"/>
  <c r="M130" i="2" s="1"/>
  <c r="N130" i="2" s="1"/>
  <c r="M143" i="2"/>
  <c r="N143" i="2" s="1"/>
  <c r="N154" i="2"/>
  <c r="M159" i="2"/>
  <c r="N159" i="2" s="1"/>
  <c r="K173" i="2"/>
  <c r="M194" i="2"/>
  <c r="N194" i="2" s="1"/>
  <c r="P211" i="2"/>
  <c r="O214" i="2"/>
  <c r="K214" i="2"/>
  <c r="M226" i="2"/>
  <c r="N226" i="2" s="1"/>
  <c r="Q297" i="2"/>
  <c r="P297" i="2"/>
  <c r="M363" i="2"/>
  <c r="N363" i="2" s="1"/>
  <c r="Q366" i="2"/>
  <c r="P366" i="2"/>
  <c r="Q424" i="2"/>
  <c r="P424" i="2"/>
  <c r="Q430" i="2"/>
  <c r="P430" i="2"/>
  <c r="O456" i="2"/>
  <c r="Q552" i="2"/>
  <c r="P552" i="2"/>
  <c r="Q599" i="2"/>
  <c r="P599" i="2"/>
  <c r="Q639" i="2"/>
  <c r="P639" i="2"/>
  <c r="Q889" i="2"/>
  <c r="P889" i="2"/>
  <c r="Q13" i="2"/>
  <c r="K20" i="2"/>
  <c r="L20" i="2" s="1"/>
  <c r="M20" i="2" s="1"/>
  <c r="N20" i="2" s="1"/>
  <c r="K49" i="2"/>
  <c r="L49" i="2" s="1"/>
  <c r="M49" i="2" s="1"/>
  <c r="N49" i="2" s="1"/>
  <c r="K139" i="2"/>
  <c r="M219" i="2"/>
  <c r="N219" i="2" s="1"/>
  <c r="Q229" i="2"/>
  <c r="P229" i="2"/>
  <c r="K245" i="2"/>
  <c r="K270" i="2"/>
  <c r="Q292" i="2"/>
  <c r="P292" i="2"/>
  <c r="K297" i="2"/>
  <c r="Q314" i="2"/>
  <c r="P314" i="2"/>
  <c r="M319" i="2"/>
  <c r="N319" i="2" s="1"/>
  <c r="N336" i="2"/>
  <c r="K341" i="2"/>
  <c r="K358" i="2"/>
  <c r="P363" i="2"/>
  <c r="Q394" i="2"/>
  <c r="P394" i="2"/>
  <c r="Q449" i="2"/>
  <c r="P449" i="2"/>
  <c r="Q451" i="2"/>
  <c r="K486" i="2"/>
  <c r="Q514" i="2"/>
  <c r="P514" i="2"/>
  <c r="Q529" i="2"/>
  <c r="P529" i="2"/>
  <c r="Q567" i="2"/>
  <c r="P567" i="2"/>
  <c r="Q606" i="2"/>
  <c r="P606" i="2"/>
  <c r="O661" i="2"/>
  <c r="K661" i="2"/>
  <c r="O391" i="2"/>
  <c r="K391" i="2"/>
  <c r="Q406" i="2"/>
  <c r="P406" i="2"/>
  <c r="M409" i="2"/>
  <c r="N409" i="2" s="1"/>
  <c r="Q415" i="2"/>
  <c r="P415" i="2"/>
  <c r="K561" i="2"/>
  <c r="O561" i="2"/>
  <c r="K603" i="2"/>
  <c r="K606" i="2"/>
  <c r="K639" i="2"/>
  <c r="Q670" i="2"/>
  <c r="P670" i="2"/>
  <c r="Q851" i="2"/>
  <c r="P851" i="2"/>
  <c r="M854" i="2"/>
  <c r="N854" i="2" s="1"/>
  <c r="K24" i="2"/>
  <c r="L24" i="2" s="1"/>
  <c r="M24" i="2" s="1"/>
  <c r="N24" i="2" s="1"/>
  <c r="M139" i="2"/>
  <c r="N139" i="2" s="1"/>
  <c r="K157" i="2"/>
  <c r="K178" i="2"/>
  <c r="M187" i="2"/>
  <c r="N187" i="2" s="1"/>
  <c r="M192" i="2"/>
  <c r="N192" i="2" s="1"/>
  <c r="P199" i="2"/>
  <c r="K209" i="2"/>
  <c r="Q254" i="2"/>
  <c r="P254" i="2"/>
  <c r="O273" i="2"/>
  <c r="K273" i="2"/>
  <c r="M283" i="2"/>
  <c r="N283" i="2" s="1"/>
  <c r="K308" i="2"/>
  <c r="K328" i="2"/>
  <c r="P336" i="2"/>
  <c r="N358" i="2"/>
  <c r="Q388" i="2"/>
  <c r="P388" i="2"/>
  <c r="K406" i="2"/>
  <c r="K415" i="2"/>
  <c r="P421" i="2"/>
  <c r="M446" i="2"/>
  <c r="N446" i="2" s="1"/>
  <c r="Q463" i="2"/>
  <c r="P463" i="2"/>
  <c r="N475" i="2"/>
  <c r="P480" i="2"/>
  <c r="O493" i="2"/>
  <c r="K493" i="2"/>
  <c r="P520" i="2"/>
  <c r="Q544" i="2"/>
  <c r="P544" i="2"/>
  <c r="N552" i="2"/>
  <c r="N555" i="2"/>
  <c r="O883" i="2"/>
  <c r="K883" i="2"/>
  <c r="K162" i="2"/>
  <c r="K171" i="2"/>
  <c r="K361" i="2"/>
  <c r="O361" i="2"/>
  <c r="Q364" i="2"/>
  <c r="P364" i="2"/>
  <c r="Q558" i="2"/>
  <c r="P558" i="2"/>
  <c r="Q867" i="2"/>
  <c r="P867" i="2"/>
  <c r="K236" i="2"/>
  <c r="K243" i="2"/>
  <c r="K259" i="2"/>
  <c r="K312" i="2"/>
  <c r="O433" i="2"/>
  <c r="K433" i="2"/>
  <c r="Q444" i="2"/>
  <c r="P444" i="2"/>
  <c r="O454" i="2"/>
  <c r="K454" i="2"/>
  <c r="M535" i="2"/>
  <c r="N535" i="2" s="1"/>
  <c r="P756" i="2"/>
  <c r="Q756" i="2"/>
  <c r="Q815" i="2"/>
  <c r="P815" i="2"/>
  <c r="K830" i="2"/>
  <c r="O846" i="2"/>
  <c r="K846" i="2"/>
  <c r="Q953" i="2"/>
  <c r="P953" i="2"/>
  <c r="K203" i="2"/>
  <c r="K223" i="2"/>
  <c r="M245" i="2"/>
  <c r="N245" i="2" s="1"/>
  <c r="M252" i="2"/>
  <c r="N252" i="2" s="1"/>
  <c r="N327" i="2"/>
  <c r="K364" i="2"/>
  <c r="Q438" i="2"/>
  <c r="K471" i="2"/>
  <c r="K474" i="2"/>
  <c r="Q496" i="2"/>
  <c r="P496" i="2"/>
  <c r="Q499" i="2"/>
  <c r="P499" i="2"/>
  <c r="K562" i="2"/>
  <c r="M597" i="2"/>
  <c r="N597" i="2" s="1"/>
  <c r="Q643" i="2"/>
  <c r="M646" i="2"/>
  <c r="N646" i="2" s="1"/>
  <c r="P721" i="2"/>
  <c r="Q731" i="2"/>
  <c r="P731" i="2"/>
  <c r="Q934" i="2"/>
  <c r="P934" i="2"/>
  <c r="K953" i="2"/>
  <c r="Q977" i="2"/>
  <c r="P977" i="2"/>
  <c r="N179" i="2"/>
  <c r="K190" i="2"/>
  <c r="N203" i="2"/>
  <c r="N223" i="2"/>
  <c r="M243" i="2"/>
  <c r="N243" i="2" s="1"/>
  <c r="K250" i="2"/>
  <c r="M259" i="2"/>
  <c r="N259" i="2" s="1"/>
  <c r="Q302" i="2"/>
  <c r="P302" i="2"/>
  <c r="K349" i="2"/>
  <c r="K354" i="2"/>
  <c r="K386" i="2"/>
  <c r="K405" i="2"/>
  <c r="K444" i="2"/>
  <c r="K447" i="2"/>
  <c r="K468" i="2"/>
  <c r="K513" i="2"/>
  <c r="K538" i="2"/>
  <c r="N562" i="2"/>
  <c r="Q652" i="2"/>
  <c r="P665" i="2"/>
  <c r="Q665" i="2"/>
  <c r="K824" i="2"/>
  <c r="Q861" i="2"/>
  <c r="P861" i="2"/>
  <c r="P946" i="2"/>
  <c r="M953" i="2"/>
  <c r="N953" i="2" s="1"/>
  <c r="M344" i="2"/>
  <c r="N344" i="2" s="1"/>
  <c r="Q422" i="2"/>
  <c r="P422" i="2"/>
  <c r="O485" i="2"/>
  <c r="K485" i="2"/>
  <c r="O524" i="2"/>
  <c r="K524" i="2"/>
  <c r="Q574" i="2"/>
  <c r="P574" i="2"/>
  <c r="Q583" i="2"/>
  <c r="P583" i="2"/>
  <c r="O601" i="2"/>
  <c r="K601" i="2"/>
  <c r="O638" i="2"/>
  <c r="O656" i="2"/>
  <c r="K656" i="2"/>
  <c r="Q900" i="2"/>
  <c r="P900" i="2"/>
  <c r="Q909" i="2"/>
  <c r="P909" i="2"/>
  <c r="K257" i="2"/>
  <c r="K262" i="2"/>
  <c r="N271" i="2"/>
  <c r="Q322" i="2"/>
  <c r="P327" i="2"/>
  <c r="K408" i="2"/>
  <c r="M444" i="2"/>
  <c r="N444" i="2" s="1"/>
  <c r="Q468" i="2"/>
  <c r="P471" i="2"/>
  <c r="M496" i="2"/>
  <c r="N496" i="2" s="1"/>
  <c r="M513" i="2"/>
  <c r="N513" i="2" s="1"/>
  <c r="P568" i="2"/>
  <c r="Q568" i="2"/>
  <c r="K571" i="2"/>
  <c r="O571" i="2"/>
  <c r="K583" i="2"/>
  <c r="O595" i="2"/>
  <c r="K595" i="2"/>
  <c r="K598" i="2"/>
  <c r="O598" i="2"/>
  <c r="Q618" i="2"/>
  <c r="P618" i="2"/>
  <c r="Q690" i="2"/>
  <c r="Q722" i="2"/>
  <c r="P722" i="2"/>
  <c r="P725" i="2"/>
  <c r="Q725" i="2"/>
  <c r="M824" i="2"/>
  <c r="N824" i="2" s="1"/>
  <c r="P891" i="2"/>
  <c r="M894" i="2"/>
  <c r="N894" i="2" s="1"/>
  <c r="K909" i="2"/>
  <c r="Q928" i="2"/>
  <c r="K188" i="2"/>
  <c r="K199" i="2"/>
  <c r="K217" i="2"/>
  <c r="K239" i="2"/>
  <c r="P250" i="2"/>
  <c r="K276" i="2"/>
  <c r="K298" i="2"/>
  <c r="K315" i="2"/>
  <c r="Q317" i="2"/>
  <c r="K330" i="2"/>
  <c r="M332" i="2"/>
  <c r="N332" i="2" s="1"/>
  <c r="O354" i="2"/>
  <c r="K357" i="2"/>
  <c r="K367" i="2"/>
  <c r="Q372" i="2"/>
  <c r="P386" i="2"/>
  <c r="M400" i="2"/>
  <c r="N400" i="2" s="1"/>
  <c r="N408" i="2"/>
  <c r="P416" i="2"/>
  <c r="K439" i="2"/>
  <c r="O447" i="2"/>
  <c r="M505" i="2"/>
  <c r="N505" i="2" s="1"/>
  <c r="P538" i="2"/>
  <c r="P543" i="2"/>
  <c r="K565" i="2"/>
  <c r="K592" i="2"/>
  <c r="M610" i="2"/>
  <c r="N610" i="2" s="1"/>
  <c r="K618" i="2"/>
  <c r="P653" i="2"/>
  <c r="Q653" i="2"/>
  <c r="Q680" i="2"/>
  <c r="P680" i="2"/>
  <c r="Q686" i="2"/>
  <c r="P686" i="2"/>
  <c r="Q694" i="2"/>
  <c r="P694" i="2"/>
  <c r="Q712" i="2"/>
  <c r="P712" i="2"/>
  <c r="Q747" i="2"/>
  <c r="P747" i="2"/>
  <c r="P806" i="2"/>
  <c r="M944" i="2"/>
  <c r="N944" i="2" s="1"/>
  <c r="Q950" i="2"/>
  <c r="P950" i="2"/>
  <c r="P375" i="2"/>
  <c r="Q397" i="2"/>
  <c r="P397" i="2"/>
  <c r="Q442" i="2"/>
  <c r="P442" i="2"/>
  <c r="P502" i="2"/>
  <c r="Q511" i="2"/>
  <c r="P511" i="2"/>
  <c r="P612" i="2"/>
  <c r="Q635" i="2"/>
  <c r="M668" i="2"/>
  <c r="N668" i="2" s="1"/>
  <c r="K688" i="2"/>
  <c r="K694" i="2"/>
  <c r="Q716" i="2"/>
  <c r="P716" i="2"/>
  <c r="P827" i="2"/>
  <c r="Q935" i="2"/>
  <c r="P935" i="2"/>
  <c r="P941" i="2"/>
  <c r="M199" i="2"/>
  <c r="N199" i="2" s="1"/>
  <c r="K230" i="2"/>
  <c r="M239" i="2"/>
  <c r="N239" i="2" s="1"/>
  <c r="K248" i="2"/>
  <c r="K283" i="2"/>
  <c r="N303" i="2"/>
  <c r="Q332" i="2"/>
  <c r="M347" i="2"/>
  <c r="N347" i="2" s="1"/>
  <c r="P413" i="2"/>
  <c r="Q425" i="2"/>
  <c r="N439" i="2"/>
  <c r="Q452" i="2"/>
  <c r="P452" i="2"/>
  <c r="K466" i="2"/>
  <c r="O466" i="2"/>
  <c r="Q469" i="2"/>
  <c r="P469" i="2"/>
  <c r="M491" i="2"/>
  <c r="N491" i="2" s="1"/>
  <c r="Q494" i="2"/>
  <c r="P494" i="2"/>
  <c r="P527" i="2"/>
  <c r="K536" i="2"/>
  <c r="P615" i="2"/>
  <c r="M653" i="2"/>
  <c r="N653" i="2" s="1"/>
  <c r="K686" i="2"/>
  <c r="P691" i="2"/>
  <c r="Q691" i="2"/>
  <c r="Q872" i="2"/>
  <c r="P872" i="2"/>
  <c r="N904" i="2"/>
  <c r="Q929" i="2"/>
  <c r="P929" i="2"/>
  <c r="Q975" i="2"/>
  <c r="P975" i="2"/>
  <c r="K246" i="2"/>
  <c r="K264" i="2"/>
  <c r="N279" i="2"/>
  <c r="K288" i="2"/>
  <c r="K295" i="2"/>
  <c r="K409" i="2"/>
  <c r="K419" i="2"/>
  <c r="K442" i="2"/>
  <c r="K469" i="2"/>
  <c r="K566" i="2"/>
  <c r="K653" i="2"/>
  <c r="K716" i="2"/>
  <c r="K889" i="2"/>
  <c r="Q920" i="2"/>
  <c r="P920" i="2"/>
  <c r="K994" i="2"/>
  <c r="Q987" i="2"/>
  <c r="P987" i="2"/>
  <c r="M994" i="2"/>
  <c r="N994" i="2" s="1"/>
  <c r="K574" i="2"/>
  <c r="M579" i="2"/>
  <c r="N579" i="2" s="1"/>
  <c r="Q628" i="2"/>
  <c r="P628" i="2"/>
  <c r="Q719" i="2"/>
  <c r="P719" i="2"/>
  <c r="Q778" i="2"/>
  <c r="P778" i="2"/>
  <c r="M804" i="2"/>
  <c r="N804" i="2" s="1"/>
  <c r="Q853" i="2"/>
  <c r="P853" i="2"/>
  <c r="M877" i="2"/>
  <c r="N877" i="2" s="1"/>
  <c r="P880" i="2"/>
  <c r="Q902" i="2"/>
  <c r="P902" i="2"/>
  <c r="Q911" i="2"/>
  <c r="P911" i="2"/>
  <c r="Q942" i="2"/>
  <c r="P942" i="2"/>
  <c r="Q965" i="2"/>
  <c r="P965" i="2"/>
  <c r="O984" i="2"/>
  <c r="K984" i="2"/>
  <c r="Q991" i="2"/>
  <c r="P991" i="2"/>
  <c r="K346" i="2"/>
  <c r="K414" i="2"/>
  <c r="K422" i="2"/>
  <c r="K430" i="2"/>
  <c r="Q472" i="2"/>
  <c r="P472" i="2"/>
  <c r="K529" i="2"/>
  <c r="K534" i="2"/>
  <c r="Q729" i="2"/>
  <c r="P729" i="2"/>
  <c r="O775" i="2"/>
  <c r="K775" i="2"/>
  <c r="P790" i="2"/>
  <c r="K793" i="2"/>
  <c r="Q798" i="2"/>
  <c r="P798" i="2"/>
  <c r="K853" i="2"/>
  <c r="M856" i="2"/>
  <c r="N856" i="2" s="1"/>
  <c r="M926" i="2"/>
  <c r="N926" i="2" s="1"/>
  <c r="P971" i="2"/>
  <c r="Q980" i="2"/>
  <c r="P980" i="2"/>
  <c r="K991" i="2"/>
  <c r="K291" i="2"/>
  <c r="K302" i="2"/>
  <c r="K311" i="2"/>
  <c r="K370" i="2"/>
  <c r="K417" i="2"/>
  <c r="N422" i="2"/>
  <c r="P427" i="2"/>
  <c r="P489" i="2"/>
  <c r="M494" i="2"/>
  <c r="N494" i="2" s="1"/>
  <c r="P504" i="2"/>
  <c r="Q507" i="2"/>
  <c r="P507" i="2"/>
  <c r="K512" i="2"/>
  <c r="M514" i="2"/>
  <c r="N514" i="2" s="1"/>
  <c r="P519" i="2"/>
  <c r="P548" i="2"/>
  <c r="Q556" i="2"/>
  <c r="P556" i="2"/>
  <c r="K569" i="2"/>
  <c r="Q590" i="2"/>
  <c r="P590" i="2"/>
  <c r="O604" i="2"/>
  <c r="K604" i="2"/>
  <c r="Q609" i="2"/>
  <c r="P609" i="2"/>
  <c r="Q621" i="2"/>
  <c r="P621" i="2"/>
  <c r="P631" i="2"/>
  <c r="K634" i="2"/>
  <c r="Q642" i="2"/>
  <c r="P642" i="2"/>
  <c r="P662" i="2"/>
  <c r="K665" i="2"/>
  <c r="P667" i="2"/>
  <c r="Q678" i="2"/>
  <c r="K719" i="2"/>
  <c r="P795" i="2"/>
  <c r="P801" i="2"/>
  <c r="Q838" i="2"/>
  <c r="P838" i="2"/>
  <c r="M853" i="2"/>
  <c r="N853" i="2" s="1"/>
  <c r="K975" i="2"/>
  <c r="Q978" i="2"/>
  <c r="P978" i="2"/>
  <c r="N370" i="2"/>
  <c r="Q435" i="2"/>
  <c r="P435" i="2"/>
  <c r="N454" i="2"/>
  <c r="K472" i="2"/>
  <c r="O750" i="2"/>
  <c r="K750" i="2"/>
  <c r="O859" i="2"/>
  <c r="K859" i="2"/>
  <c r="Q926" i="2"/>
  <c r="P926" i="2"/>
  <c r="Q955" i="2"/>
  <c r="P626" i="2"/>
  <c r="Q637" i="2"/>
  <c r="P637" i="2"/>
  <c r="O785" i="2"/>
  <c r="K785" i="2"/>
  <c r="K978" i="2"/>
  <c r="Q981" i="2"/>
  <c r="P981" i="2"/>
  <c r="Q988" i="2"/>
  <c r="P988" i="2"/>
  <c r="K258" i="2"/>
  <c r="K300" i="2"/>
  <c r="K320" i="2"/>
  <c r="N342" i="2"/>
  <c r="Q382" i="2"/>
  <c r="K412" i="2"/>
  <c r="Q440" i="2"/>
  <c r="M450" i="2"/>
  <c r="N450" i="2" s="1"/>
  <c r="P462" i="2"/>
  <c r="P477" i="2"/>
  <c r="P497" i="2"/>
  <c r="M507" i="2"/>
  <c r="N507" i="2" s="1"/>
  <c r="P512" i="2"/>
  <c r="M522" i="2"/>
  <c r="N522" i="2" s="1"/>
  <c r="Q532" i="2"/>
  <c r="P532" i="2"/>
  <c r="P551" i="2"/>
  <c r="P569" i="2"/>
  <c r="Q572" i="2"/>
  <c r="P572" i="2"/>
  <c r="M607" i="2"/>
  <c r="N607" i="2" s="1"/>
  <c r="M614" i="2"/>
  <c r="N614" i="2" s="1"/>
  <c r="P634" i="2"/>
  <c r="K637" i="2"/>
  <c r="K645" i="2"/>
  <c r="M648" i="2"/>
  <c r="N648" i="2" s="1"/>
  <c r="O651" i="2"/>
  <c r="K651" i="2"/>
  <c r="M657" i="2"/>
  <c r="N657" i="2" s="1"/>
  <c r="Q679" i="2"/>
  <c r="P679" i="2"/>
  <c r="M696" i="2"/>
  <c r="N696" i="2" s="1"/>
  <c r="P738" i="2"/>
  <c r="Q791" i="2"/>
  <c r="P791" i="2"/>
  <c r="M878" i="2"/>
  <c r="N878" i="2" s="1"/>
  <c r="Q972" i="2"/>
  <c r="P972" i="2"/>
  <c r="K289" i="2"/>
  <c r="Q393" i="2"/>
  <c r="P393" i="2"/>
  <c r="Q505" i="2"/>
  <c r="P505" i="2"/>
  <c r="Q577" i="2"/>
  <c r="Q593" i="2"/>
  <c r="P593" i="2"/>
  <c r="M637" i="2"/>
  <c r="N637" i="2" s="1"/>
  <c r="M654" i="2"/>
  <c r="N654" i="2" s="1"/>
  <c r="P741" i="2"/>
  <c r="Q924" i="2"/>
  <c r="P924" i="2"/>
  <c r="K577" i="2"/>
  <c r="K619" i="2"/>
  <c r="O745" i="2"/>
  <c r="K745" i="2"/>
  <c r="Q763" i="2"/>
  <c r="P763" i="2"/>
  <c r="Q766" i="2"/>
  <c r="P766" i="2"/>
  <c r="Q811" i="2"/>
  <c r="P811" i="2"/>
  <c r="Q822" i="2"/>
  <c r="P822" i="2"/>
  <c r="Q881" i="2"/>
  <c r="P881" i="2"/>
  <c r="K440" i="2"/>
  <c r="K459" i="2"/>
  <c r="K492" i="2"/>
  <c r="K523" i="2"/>
  <c r="N550" i="2"/>
  <c r="K570" i="2"/>
  <c r="N684" i="2"/>
  <c r="Q825" i="2"/>
  <c r="P825" i="2"/>
  <c r="Q840" i="2"/>
  <c r="P840" i="2"/>
  <c r="Q913" i="2"/>
  <c r="P913" i="2"/>
  <c r="Q951" i="2"/>
  <c r="P951" i="2"/>
  <c r="N420" i="2"/>
  <c r="M429" i="2"/>
  <c r="N429" i="2" s="1"/>
  <c r="N433" i="2"/>
  <c r="N468" i="2"/>
  <c r="K490" i="2"/>
  <c r="K602" i="2"/>
  <c r="M656" i="2"/>
  <c r="N656" i="2" s="1"/>
  <c r="M676" i="2"/>
  <c r="N676" i="2" s="1"/>
  <c r="Q714" i="2"/>
  <c r="P714" i="2"/>
  <c r="N763" i="2"/>
  <c r="O772" i="2"/>
  <c r="K772" i="2"/>
  <c r="M786" i="2"/>
  <c r="N786" i="2" s="1"/>
  <c r="P808" i="2"/>
  <c r="Q817" i="2"/>
  <c r="P817" i="2"/>
  <c r="K913" i="2"/>
  <c r="K942" i="2"/>
  <c r="N964" i="2"/>
  <c r="K679" i="2"/>
  <c r="P682" i="2"/>
  <c r="Q682" i="2"/>
  <c r="P711" i="2"/>
  <c r="K729" i="2"/>
  <c r="O783" i="2"/>
  <c r="K783" i="2"/>
  <c r="O907" i="2"/>
  <c r="K907" i="2"/>
  <c r="Q945" i="2"/>
  <c r="P945" i="2"/>
  <c r="Q967" i="2"/>
  <c r="P967" i="2"/>
  <c r="Q973" i="2"/>
  <c r="P973" i="2"/>
  <c r="Q998" i="2"/>
  <c r="P998" i="2"/>
  <c r="K378" i="2"/>
  <c r="N380" i="2"/>
  <c r="M389" i="2"/>
  <c r="N389" i="2" s="1"/>
  <c r="M427" i="2"/>
  <c r="N427" i="2" s="1"/>
  <c r="K438" i="2"/>
  <c r="N464" i="2"/>
  <c r="K475" i="2"/>
  <c r="N490" i="2"/>
  <c r="N501" i="2"/>
  <c r="K586" i="2"/>
  <c r="K593" i="2"/>
  <c r="N602" i="2"/>
  <c r="K626" i="2"/>
  <c r="P630" i="2"/>
  <c r="M642" i="2"/>
  <c r="N642" i="2" s="1"/>
  <c r="M644" i="2"/>
  <c r="N644" i="2" s="1"/>
  <c r="O654" i="2"/>
  <c r="K654" i="2"/>
  <c r="P671" i="2"/>
  <c r="Q676" i="2"/>
  <c r="K682" i="2"/>
  <c r="K706" i="2"/>
  <c r="Q732" i="2"/>
  <c r="P732" i="2"/>
  <c r="K778" i="2"/>
  <c r="O800" i="2"/>
  <c r="K800" i="2"/>
  <c r="P893" i="2"/>
  <c r="M913" i="2"/>
  <c r="N913" i="2" s="1"/>
  <c r="K928" i="2"/>
  <c r="Q961" i="2"/>
  <c r="P961" i="2"/>
  <c r="K967" i="2"/>
  <c r="Q995" i="2"/>
  <c r="P995" i="2"/>
  <c r="K607" i="2"/>
  <c r="K633" i="2"/>
  <c r="K640" i="2"/>
  <c r="K659" i="2"/>
  <c r="K669" i="2"/>
  <c r="P703" i="2"/>
  <c r="Q709" i="2"/>
  <c r="P709" i="2"/>
  <c r="Q720" i="2"/>
  <c r="P720" i="2"/>
  <c r="M726" i="2"/>
  <c r="N726" i="2" s="1"/>
  <c r="P754" i="2"/>
  <c r="Q769" i="2"/>
  <c r="M817" i="2"/>
  <c r="N817" i="2" s="1"/>
  <c r="Q828" i="2"/>
  <c r="P837" i="2"/>
  <c r="K867" i="2"/>
  <c r="M896" i="2"/>
  <c r="N896" i="2" s="1"/>
  <c r="Q905" i="2"/>
  <c r="P905" i="2"/>
  <c r="P910" i="2"/>
  <c r="P933" i="2"/>
  <c r="Q937" i="2"/>
  <c r="P937" i="2"/>
  <c r="Q948" i="2"/>
  <c r="P948" i="2"/>
  <c r="K955" i="2"/>
  <c r="P964" i="2"/>
  <c r="Q992" i="2"/>
  <c r="P992" i="2"/>
  <c r="M682" i="2"/>
  <c r="N682" i="2" s="1"/>
  <c r="Q695" i="2"/>
  <c r="P695" i="2"/>
  <c r="M723" i="2"/>
  <c r="N723" i="2" s="1"/>
  <c r="K749" i="2"/>
  <c r="P803" i="2"/>
  <c r="N858" i="2"/>
  <c r="N867" i="2"/>
  <c r="Q873" i="2"/>
  <c r="P873" i="2"/>
  <c r="K891" i="2"/>
  <c r="Q958" i="2"/>
  <c r="P958" i="2"/>
  <c r="P982" i="2"/>
  <c r="K992" i="2"/>
  <c r="K385" i="2"/>
  <c r="K394" i="2"/>
  <c r="K416" i="2"/>
  <c r="K445" i="2"/>
  <c r="K473" i="2"/>
  <c r="M488" i="2"/>
  <c r="N488" i="2" s="1"/>
  <c r="N499" i="2"/>
  <c r="K557" i="2"/>
  <c r="K573" i="2"/>
  <c r="K582" i="2"/>
  <c r="K605" i="2"/>
  <c r="K701" i="2"/>
  <c r="P706" i="2"/>
  <c r="K709" i="2"/>
  <c r="Q726" i="2"/>
  <c r="O758" i="2"/>
  <c r="K758" i="2"/>
  <c r="O864" i="2"/>
  <c r="K864" i="2"/>
  <c r="Q870" i="2"/>
  <c r="P870" i="2"/>
  <c r="Q876" i="2"/>
  <c r="P876" i="2"/>
  <c r="K905" i="2"/>
  <c r="K989" i="2"/>
  <c r="M992" i="2"/>
  <c r="N992" i="2" s="1"/>
  <c r="P575" i="2"/>
  <c r="M624" i="2"/>
  <c r="N624" i="2" s="1"/>
  <c r="Q659" i="2"/>
  <c r="O672" i="2"/>
  <c r="K672" i="2"/>
  <c r="K677" i="2"/>
  <c r="N701" i="2"/>
  <c r="Q773" i="2"/>
  <c r="P773" i="2"/>
  <c r="Q829" i="2"/>
  <c r="P829" i="2"/>
  <c r="Q844" i="2"/>
  <c r="P844" i="2"/>
  <c r="K870" i="2"/>
  <c r="M937" i="2"/>
  <c r="N937" i="2" s="1"/>
  <c r="O974" i="2"/>
  <c r="K974" i="2"/>
  <c r="K499" i="2"/>
  <c r="K514" i="2"/>
  <c r="N523" i="2"/>
  <c r="K580" i="2"/>
  <c r="K613" i="2"/>
  <c r="K617" i="2"/>
  <c r="K641" i="2"/>
  <c r="N694" i="2"/>
  <c r="K714" i="2"/>
  <c r="K727" i="2"/>
  <c r="K732" i="2"/>
  <c r="K844" i="2"/>
  <c r="K876" i="2"/>
  <c r="Q892" i="2"/>
  <c r="P892" i="2"/>
  <c r="K900" i="2"/>
  <c r="K924" i="2"/>
  <c r="K973" i="2"/>
  <c r="K998" i="2"/>
  <c r="Q807" i="2"/>
  <c r="P807" i="2"/>
  <c r="Q849" i="2"/>
  <c r="P849" i="2"/>
  <c r="Q862" i="2"/>
  <c r="P862" i="2"/>
  <c r="Q879" i="2"/>
  <c r="P879" i="2"/>
  <c r="Q903" i="2"/>
  <c r="P903" i="2"/>
  <c r="Q916" i="2"/>
  <c r="P916" i="2"/>
  <c r="N924" i="2"/>
  <c r="Q940" i="2"/>
  <c r="P940" i="2"/>
  <c r="Q956" i="2"/>
  <c r="P956" i="2"/>
  <c r="Q970" i="2"/>
  <c r="P970" i="2"/>
  <c r="Q1001" i="2"/>
  <c r="P1001" i="2"/>
  <c r="K717" i="2"/>
  <c r="Q761" i="2"/>
  <c r="P761" i="2"/>
  <c r="Q802" i="2"/>
  <c r="P802" i="2"/>
  <c r="M844" i="2"/>
  <c r="N844" i="2" s="1"/>
  <c r="M973" i="2"/>
  <c r="N973" i="2" s="1"/>
  <c r="M998" i="2"/>
  <c r="N998" i="2" s="1"/>
  <c r="K1001" i="2"/>
  <c r="M673" i="2"/>
  <c r="N673" i="2" s="1"/>
  <c r="K680" i="2"/>
  <c r="P689" i="2"/>
  <c r="K697" i="2"/>
  <c r="N702" i="2"/>
  <c r="M707" i="2"/>
  <c r="N707" i="2" s="1"/>
  <c r="K712" i="2"/>
  <c r="K720" i="2"/>
  <c r="K761" i="2"/>
  <c r="K771" i="2"/>
  <c r="Q776" i="2"/>
  <c r="P776" i="2"/>
  <c r="K802" i="2"/>
  <c r="K815" i="2"/>
  <c r="P854" i="2"/>
  <c r="Q857" i="2"/>
  <c r="P857" i="2"/>
  <c r="O868" i="2"/>
  <c r="K868" i="2"/>
  <c r="K879" i="2"/>
  <c r="K903" i="2"/>
  <c r="K935" i="2"/>
  <c r="K965" i="2"/>
  <c r="O976" i="2"/>
  <c r="K976" i="2"/>
  <c r="O748" i="2"/>
  <c r="K748" i="2"/>
  <c r="K839" i="2"/>
  <c r="M879" i="2"/>
  <c r="N879" i="2" s="1"/>
  <c r="K911" i="2"/>
  <c r="Q927" i="2"/>
  <c r="P927" i="2"/>
  <c r="K948" i="2"/>
  <c r="P962" i="2"/>
  <c r="K987" i="2"/>
  <c r="Q990" i="2"/>
  <c r="P990" i="2"/>
  <c r="K630" i="2"/>
  <c r="P702" i="2"/>
  <c r="K705" i="2"/>
  <c r="P717" i="2"/>
  <c r="K725" i="2"/>
  <c r="K756" i="2"/>
  <c r="M764" i="2"/>
  <c r="N764" i="2" s="1"/>
  <c r="M784" i="2"/>
  <c r="N784" i="2" s="1"/>
  <c r="M802" i="2"/>
  <c r="N802" i="2" s="1"/>
  <c r="Q813" i="2"/>
  <c r="P813" i="2"/>
  <c r="K828" i="2"/>
  <c r="Q831" i="2"/>
  <c r="P831" i="2"/>
  <c r="Q847" i="2"/>
  <c r="P847" i="2"/>
  <c r="M919" i="2"/>
  <c r="N919" i="2" s="1"/>
  <c r="K951" i="2"/>
  <c r="Q774" i="2"/>
  <c r="P774" i="2"/>
  <c r="Q818" i="2"/>
  <c r="P818" i="2"/>
  <c r="Q890" i="2"/>
  <c r="P890" i="2"/>
  <c r="Q938" i="2"/>
  <c r="P938" i="2"/>
  <c r="K996" i="2"/>
  <c r="K648" i="2"/>
  <c r="K710" i="2"/>
  <c r="N733" i="2"/>
  <c r="K738" i="2"/>
  <c r="P764" i="2"/>
  <c r="K782" i="2"/>
  <c r="P784" i="2"/>
  <c r="Q787" i="2"/>
  <c r="P787" i="2"/>
  <c r="K797" i="2"/>
  <c r="P810" i="2"/>
  <c r="K850" i="2"/>
  <c r="P852" i="2"/>
  <c r="O855" i="2"/>
  <c r="K855" i="2"/>
  <c r="Q877" i="2"/>
  <c r="P877" i="2"/>
  <c r="P882" i="2"/>
  <c r="P887" i="2"/>
  <c r="P919" i="2"/>
  <c r="K933" i="2"/>
  <c r="Q954" i="2"/>
  <c r="P954" i="2"/>
  <c r="K957" i="2"/>
  <c r="K971" i="2"/>
  <c r="K982" i="2"/>
  <c r="P993" i="2"/>
  <c r="N996" i="2"/>
  <c r="M678" i="2"/>
  <c r="N678" i="2" s="1"/>
  <c r="O759" i="2"/>
  <c r="K759" i="2"/>
  <c r="Q845" i="2"/>
  <c r="P845" i="2"/>
  <c r="Q925" i="2"/>
  <c r="P925" i="2"/>
  <c r="Q963" i="2"/>
  <c r="P963" i="2"/>
  <c r="Q985" i="2"/>
  <c r="P985" i="2"/>
  <c r="Q999" i="2"/>
  <c r="P999" i="2"/>
  <c r="K642" i="2"/>
  <c r="K676" i="2"/>
  <c r="K678" i="2"/>
  <c r="K774" i="2"/>
  <c r="K840" i="2"/>
  <c r="K851" i="2"/>
  <c r="K918" i="2"/>
  <c r="K929" i="2"/>
  <c r="K938" i="2"/>
  <c r="K963" i="2"/>
  <c r="K972" i="2"/>
  <c r="N1001" i="2"/>
  <c r="K657" i="2"/>
  <c r="N659" i="2"/>
  <c r="K693" i="2"/>
  <c r="K702" i="2"/>
  <c r="N704" i="2"/>
  <c r="K757" i="2"/>
  <c r="K838" i="2"/>
  <c r="K845" i="2"/>
  <c r="K849" i="2"/>
  <c r="M866" i="2"/>
  <c r="N866" i="2" s="1"/>
  <c r="K873" i="2"/>
  <c r="K890" i="2"/>
  <c r="K916" i="2"/>
  <c r="K927" i="2"/>
  <c r="K945" i="2"/>
  <c r="M972" i="2"/>
  <c r="N972" i="2" s="1"/>
  <c r="K983" i="2"/>
  <c r="K990" i="2"/>
  <c r="K999" i="2"/>
  <c r="K715" i="2"/>
  <c r="K728" i="2"/>
  <c r="K744" i="2"/>
  <c r="K768" i="2"/>
  <c r="K798" i="2"/>
  <c r="K847" i="2"/>
  <c r="M864" i="2"/>
  <c r="N864" i="2" s="1"/>
  <c r="K925" i="2"/>
  <c r="K934" i="2"/>
  <c r="K954" i="2"/>
  <c r="M956" i="2"/>
  <c r="N956" i="2" s="1"/>
  <c r="K970" i="2"/>
  <c r="M999" i="2"/>
  <c r="N999" i="2" s="1"/>
  <c r="K691" i="2"/>
  <c r="K700" i="2"/>
  <c r="K724" i="2"/>
  <c r="K733" i="2"/>
  <c r="P737" i="2"/>
  <c r="M744" i="2"/>
  <c r="N744" i="2" s="1"/>
  <c r="K753" i="2"/>
  <c r="K777" i="2"/>
  <c r="P781" i="2"/>
  <c r="K794" i="2"/>
  <c r="K805" i="2"/>
  <c r="K825" i="2"/>
  <c r="P875" i="2"/>
  <c r="K888" i="2"/>
  <c r="P901" i="2"/>
  <c r="K932" i="2"/>
  <c r="P936" i="2"/>
  <c r="K952" i="2"/>
  <c r="M954" i="2"/>
  <c r="N954" i="2" s="1"/>
  <c r="N724" i="2"/>
  <c r="K827" i="2"/>
  <c r="K834" i="2"/>
  <c r="M836" i="2"/>
  <c r="N836" i="2" s="1"/>
  <c r="N888" i="2"/>
  <c r="K897" i="2"/>
  <c r="K912" i="2"/>
  <c r="M914" i="2"/>
  <c r="N914" i="2" s="1"/>
  <c r="K981" i="2"/>
  <c r="K988" i="2"/>
  <c r="K995" i="2"/>
  <c r="N664" i="2"/>
  <c r="K698" i="2"/>
  <c r="K751" i="2"/>
  <c r="M834" i="2"/>
  <c r="N834" i="2" s="1"/>
  <c r="K841" i="2"/>
  <c r="K852" i="2"/>
  <c r="K878" i="2"/>
  <c r="M884" i="2"/>
  <c r="N884" i="2" s="1"/>
  <c r="N921" i="2"/>
  <c r="K930" i="2"/>
  <c r="K964" i="2"/>
  <c r="K89" i="2"/>
  <c r="L89" i="2" s="1"/>
  <c r="Q89" i="2"/>
  <c r="P89" i="2"/>
  <c r="M384" i="2"/>
  <c r="N384" i="2" s="1"/>
  <c r="M180" i="2"/>
  <c r="N180" i="2" s="1"/>
  <c r="P4" i="2"/>
  <c r="Q4" i="2"/>
  <c r="K4" i="2"/>
  <c r="L4" i="2" s="1"/>
  <c r="M277" i="2"/>
  <c r="N277" i="2" s="1"/>
  <c r="N251" i="2"/>
  <c r="N255" i="2"/>
  <c r="N909" i="2"/>
  <c r="M783" i="2"/>
  <c r="N783" i="2" s="1"/>
  <c r="M383" i="2"/>
  <c r="N383" i="2" s="1"/>
  <c r="Q92" i="2"/>
  <c r="P92" i="2"/>
  <c r="K92" i="2"/>
  <c r="L92" i="2" s="1"/>
  <c r="Q102" i="2"/>
  <c r="P102" i="2"/>
  <c r="M158" i="2"/>
  <c r="N158" i="2" s="1"/>
  <c r="Q12" i="2"/>
  <c r="P12" i="2"/>
  <c r="Q6" i="2"/>
  <c r="P6" i="2"/>
  <c r="Q50" i="2"/>
  <c r="P50" i="2"/>
  <c r="M899" i="2"/>
  <c r="N899" i="2" s="1"/>
  <c r="K6" i="2"/>
  <c r="L6" i="2" s="1"/>
  <c r="K50" i="2"/>
  <c r="L50" i="2" s="1"/>
  <c r="M781" i="2"/>
  <c r="N781" i="2" s="1"/>
  <c r="M779" i="2"/>
  <c r="N779" i="2" s="1"/>
  <c r="K12" i="2"/>
  <c r="L12" i="2" s="1"/>
  <c r="M589" i="2"/>
  <c r="N589" i="2" s="1"/>
  <c r="M645" i="2"/>
  <c r="N645" i="2" s="1"/>
  <c r="P10" i="2"/>
  <c r="K10" i="2"/>
  <c r="L10" i="2" s="1"/>
  <c r="Q10" i="2"/>
  <c r="M587" i="2"/>
  <c r="N587" i="2" s="1"/>
  <c r="Q18" i="2"/>
  <c r="P18" i="2"/>
  <c r="M365" i="2"/>
  <c r="N365" i="2" s="1"/>
  <c r="K28" i="2"/>
  <c r="L28" i="2" s="1"/>
  <c r="K63" i="2"/>
  <c r="L63" i="2" s="1"/>
  <c r="M907" i="2"/>
  <c r="N907" i="2" s="1"/>
  <c r="P28" i="2"/>
  <c r="P55" i="2"/>
  <c r="Q55" i="2"/>
  <c r="M162" i="2"/>
  <c r="N162" i="2" s="1"/>
  <c r="M987" i="2"/>
  <c r="N987" i="2" s="1"/>
  <c r="K55" i="2"/>
  <c r="L55" i="2" s="1"/>
  <c r="Q118" i="2"/>
  <c r="P118" i="2"/>
  <c r="K118" i="2"/>
  <c r="L118" i="2" s="1"/>
  <c r="M249" i="2"/>
  <c r="N249" i="2" s="1"/>
  <c r="M985" i="2"/>
  <c r="N985" i="2" s="1"/>
  <c r="Q82" i="2"/>
  <c r="P82" i="2"/>
  <c r="Q39" i="2"/>
  <c r="P39" i="2"/>
  <c r="Q42" i="2"/>
  <c r="P42" i="2"/>
  <c r="K42" i="2"/>
  <c r="L42" i="2" s="1"/>
  <c r="K52" i="2"/>
  <c r="L52" i="2" s="1"/>
  <c r="Q52" i="2"/>
  <c r="P52" i="2"/>
  <c r="N381" i="2"/>
  <c r="Q26" i="2"/>
  <c r="P26" i="2"/>
  <c r="K26" i="2"/>
  <c r="L26" i="2" s="1"/>
  <c r="K39" i="2"/>
  <c r="L39" i="2" s="1"/>
  <c r="Q56" i="2"/>
  <c r="P56" i="2"/>
  <c r="P23" i="2"/>
  <c r="K23" i="2"/>
  <c r="L23" i="2" s="1"/>
  <c r="Q23" i="2"/>
  <c r="K56" i="2"/>
  <c r="L56" i="2" s="1"/>
  <c r="M147" i="2"/>
  <c r="N147" i="2" s="1"/>
  <c r="M377" i="2"/>
  <c r="N377" i="2" s="1"/>
  <c r="M493" i="2"/>
  <c r="N493" i="2" s="1"/>
  <c r="M532" i="2"/>
  <c r="N532" i="2" s="1"/>
  <c r="M861" i="2"/>
  <c r="N861" i="2" s="1"/>
  <c r="Q104" i="2"/>
  <c r="P104" i="2"/>
  <c r="K104" i="2"/>
  <c r="L104" i="2" s="1"/>
  <c r="Q77" i="2"/>
  <c r="P77" i="2"/>
  <c r="K95" i="2"/>
  <c r="L95" i="2" s="1"/>
  <c r="Q95" i="2"/>
  <c r="P95" i="2"/>
  <c r="M375" i="2"/>
  <c r="N375" i="2" s="1"/>
  <c r="M495" i="2"/>
  <c r="N495" i="2" s="1"/>
  <c r="M521" i="2"/>
  <c r="N521" i="2" s="1"/>
  <c r="M541" i="2"/>
  <c r="N541" i="2" s="1"/>
  <c r="P53" i="2"/>
  <c r="Q53" i="2"/>
  <c r="K77" i="2"/>
  <c r="L77" i="2" s="1"/>
  <c r="Q112" i="2"/>
  <c r="P112" i="2"/>
  <c r="M345" i="2"/>
  <c r="N345" i="2" s="1"/>
  <c r="M489" i="2"/>
  <c r="N489" i="2" s="1"/>
  <c r="M530" i="2"/>
  <c r="N530" i="2" s="1"/>
  <c r="Q2" i="2"/>
  <c r="P2" i="2"/>
  <c r="P20" i="2"/>
  <c r="K53" i="2"/>
  <c r="L53" i="2" s="1"/>
  <c r="Q80" i="2"/>
  <c r="P80" i="2"/>
  <c r="K112" i="2"/>
  <c r="L112" i="2" s="1"/>
  <c r="M208" i="2"/>
  <c r="N208" i="2" s="1"/>
  <c r="N452" i="2"/>
  <c r="M166" i="2"/>
  <c r="N166" i="2" s="1"/>
  <c r="M318" i="2"/>
  <c r="N318" i="2" s="1"/>
  <c r="Q105" i="2"/>
  <c r="P105" i="2"/>
  <c r="K105" i="2"/>
  <c r="L105" i="2" s="1"/>
  <c r="N151" i="2"/>
  <c r="M153" i="2"/>
  <c r="N153" i="2" s="1"/>
  <c r="M164" i="2"/>
  <c r="N164" i="2" s="1"/>
  <c r="N247" i="2"/>
  <c r="N316" i="2"/>
  <c r="M568" i="2"/>
  <c r="N568" i="2" s="1"/>
  <c r="M980" i="2"/>
  <c r="N980" i="2" s="1"/>
  <c r="M156" i="2"/>
  <c r="N156" i="2" s="1"/>
  <c r="M267" i="2"/>
  <c r="N267" i="2" s="1"/>
  <c r="M578" i="2"/>
  <c r="N578" i="2" s="1"/>
  <c r="M752" i="2"/>
  <c r="N752" i="2" s="1"/>
  <c r="M760" i="2"/>
  <c r="N760" i="2" s="1"/>
  <c r="M519" i="2"/>
  <c r="N519" i="2" s="1"/>
  <c r="M959" i="2"/>
  <c r="N959" i="2" s="1"/>
  <c r="M983" i="2"/>
  <c r="N983" i="2" s="1"/>
  <c r="K9" i="2"/>
  <c r="L9" i="2" s="1"/>
  <c r="K32" i="2"/>
  <c r="L32" i="2" s="1"/>
  <c r="K48" i="2"/>
  <c r="L48" i="2" s="1"/>
  <c r="Q68" i="2"/>
  <c r="P68" i="2"/>
  <c r="Q113" i="2"/>
  <c r="P113" i="2"/>
  <c r="K113" i="2"/>
  <c r="L113" i="2" s="1"/>
  <c r="M284" i="2"/>
  <c r="N284" i="2" s="1"/>
  <c r="N304" i="2"/>
  <c r="M517" i="2"/>
  <c r="N517" i="2" s="1"/>
  <c r="M750" i="2"/>
  <c r="N750" i="2" s="1"/>
  <c r="M754" i="2"/>
  <c r="N754" i="2" s="1"/>
  <c r="M756" i="2"/>
  <c r="N756" i="2" s="1"/>
  <c r="M758" i="2"/>
  <c r="N758" i="2" s="1"/>
  <c r="M847" i="2"/>
  <c r="N847" i="2" s="1"/>
  <c r="P16" i="2"/>
  <c r="Q16" i="2"/>
  <c r="P27" i="2"/>
  <c r="K27" i="2"/>
  <c r="L27" i="2" s="1"/>
  <c r="K37" i="2"/>
  <c r="L37" i="2" s="1"/>
  <c r="K59" i="2"/>
  <c r="L59" i="2" s="1"/>
  <c r="Q59" i="2"/>
  <c r="P59" i="2"/>
  <c r="K68" i="2"/>
  <c r="L68" i="2" s="1"/>
  <c r="M528" i="2"/>
  <c r="N528" i="2" s="1"/>
  <c r="M841" i="2"/>
  <c r="N841" i="2" s="1"/>
  <c r="M859" i="2"/>
  <c r="N859" i="2" s="1"/>
  <c r="Q71" i="2"/>
  <c r="P71" i="2"/>
  <c r="K71" i="2"/>
  <c r="L71" i="2" s="1"/>
  <c r="Q84" i="2"/>
  <c r="P84" i="2"/>
  <c r="K84" i="2"/>
  <c r="L84" i="2" s="1"/>
  <c r="Q94" i="2"/>
  <c r="P94" i="2"/>
  <c r="Q100" i="2"/>
  <c r="P100" i="2"/>
  <c r="K100" i="2"/>
  <c r="L100" i="2" s="1"/>
  <c r="M216" i="2"/>
  <c r="N216" i="2" s="1"/>
  <c r="M228" i="2"/>
  <c r="N228" i="2" s="1"/>
  <c r="M282" i="2"/>
  <c r="N282" i="2" s="1"/>
  <c r="M849" i="2"/>
  <c r="N849" i="2" s="1"/>
  <c r="M868" i="2"/>
  <c r="N868" i="2" s="1"/>
  <c r="N883" i="2"/>
  <c r="Q75" i="2"/>
  <c r="P75" i="2"/>
  <c r="K75" i="2"/>
  <c r="L75" i="2" s="1"/>
  <c r="K94" i="2"/>
  <c r="L94" i="2" s="1"/>
  <c r="M302" i="2"/>
  <c r="N302" i="2" s="1"/>
  <c r="Q27" i="2"/>
  <c r="P35" i="2"/>
  <c r="K35" i="2"/>
  <c r="L35" i="2" s="1"/>
  <c r="P37" i="2"/>
  <c r="Q51" i="2"/>
  <c r="K51" i="2"/>
  <c r="L51" i="2" s="1"/>
  <c r="M280" i="2"/>
  <c r="N280" i="2" s="1"/>
  <c r="M368" i="2"/>
  <c r="N368" i="2" s="1"/>
  <c r="M487" i="2"/>
  <c r="N487" i="2" s="1"/>
  <c r="M872" i="2"/>
  <c r="N872" i="2" s="1"/>
  <c r="P9" i="2"/>
  <c r="P48" i="2"/>
  <c r="P91" i="2"/>
  <c r="N184" i="2"/>
  <c r="N257" i="2"/>
  <c r="M278" i="2"/>
  <c r="N278" i="2" s="1"/>
  <c r="M300" i="2"/>
  <c r="N300" i="2" s="1"/>
  <c r="M416" i="2"/>
  <c r="N416" i="2" s="1"/>
  <c r="M445" i="2"/>
  <c r="N445" i="2" s="1"/>
  <c r="Q72" i="2"/>
  <c r="P72" i="2"/>
  <c r="K72" i="2"/>
  <c r="L72" i="2" s="1"/>
  <c r="P85" i="2"/>
  <c r="Q85" i="2"/>
  <c r="Q91" i="2"/>
  <c r="N182" i="2"/>
  <c r="N296" i="2"/>
  <c r="M366" i="2"/>
  <c r="N366" i="2" s="1"/>
  <c r="Q107" i="2"/>
  <c r="P107" i="2"/>
  <c r="Q127" i="2"/>
  <c r="P127" i="2"/>
  <c r="M149" i="2"/>
  <c r="N149" i="2" s="1"/>
  <c r="N160" i="2"/>
  <c r="N369" i="2"/>
  <c r="N885" i="2"/>
  <c r="Q78" i="2"/>
  <c r="P78" i="2"/>
  <c r="K78" i="2"/>
  <c r="L78" i="2" s="1"/>
  <c r="Q120" i="2"/>
  <c r="P120" i="2"/>
  <c r="K120" i="2"/>
  <c r="L120" i="2" s="1"/>
  <c r="N137" i="2"/>
  <c r="N177" i="2"/>
  <c r="M211" i="2"/>
  <c r="N211" i="2" s="1"/>
  <c r="M308" i="2"/>
  <c r="N308" i="2" s="1"/>
  <c r="N477" i="2"/>
  <c r="N561" i="2"/>
  <c r="M563" i="2"/>
  <c r="N563" i="2" s="1"/>
  <c r="M828" i="2"/>
  <c r="N828" i="2" s="1"/>
  <c r="M576" i="2"/>
  <c r="N576" i="2" s="1"/>
  <c r="M705" i="2"/>
  <c r="N705" i="2" s="1"/>
  <c r="Q87" i="2"/>
  <c r="P87" i="2"/>
  <c r="Q128" i="2"/>
  <c r="P128" i="2"/>
  <c r="K128" i="2"/>
  <c r="L128" i="2" s="1"/>
  <c r="M574" i="2"/>
  <c r="N574" i="2" s="1"/>
  <c r="M703" i="2"/>
  <c r="N703" i="2" s="1"/>
  <c r="P8" i="2"/>
  <c r="K29" i="2"/>
  <c r="L29" i="2" s="1"/>
  <c r="P54" i="2"/>
  <c r="Q73" i="2"/>
  <c r="P73" i="2"/>
  <c r="K87" i="2"/>
  <c r="L87" i="2" s="1"/>
  <c r="Q96" i="2"/>
  <c r="P96" i="2"/>
  <c r="N133" i="2"/>
  <c r="M135" i="2"/>
  <c r="N135" i="2" s="1"/>
  <c r="M434" i="2"/>
  <c r="N434" i="2" s="1"/>
  <c r="N549" i="2"/>
  <c r="M559" i="2"/>
  <c r="N559" i="2" s="1"/>
  <c r="N570" i="2"/>
  <c r="M572" i="2"/>
  <c r="N572" i="2" s="1"/>
  <c r="M688" i="2"/>
  <c r="N688" i="2" s="1"/>
  <c r="M699" i="2"/>
  <c r="N699" i="2" s="1"/>
  <c r="Q70" i="2"/>
  <c r="P70" i="2"/>
  <c r="K70" i="2"/>
  <c r="L70" i="2" s="1"/>
  <c r="K73" i="2"/>
  <c r="L73" i="2" s="1"/>
  <c r="Q121" i="2"/>
  <c r="P121" i="2"/>
  <c r="M386" i="2"/>
  <c r="N386" i="2" s="1"/>
  <c r="M680" i="2"/>
  <c r="N680" i="2" s="1"/>
  <c r="K13" i="2"/>
  <c r="L13" i="2" s="1"/>
  <c r="Q64" i="2"/>
  <c r="P64" i="2"/>
  <c r="Q110" i="2"/>
  <c r="P110" i="2"/>
  <c r="M288" i="2"/>
  <c r="N288" i="2" s="1"/>
  <c r="M440" i="2"/>
  <c r="N440" i="2" s="1"/>
  <c r="M465" i="2"/>
  <c r="N465" i="2" s="1"/>
  <c r="M649" i="2"/>
  <c r="N649" i="2" s="1"/>
  <c r="M736" i="2"/>
  <c r="N736" i="2" s="1"/>
  <c r="M981" i="2"/>
  <c r="N981" i="2" s="1"/>
  <c r="K64" i="2"/>
  <c r="L64" i="2" s="1"/>
  <c r="Q90" i="2"/>
  <c r="P90" i="2"/>
  <c r="K90" i="2"/>
  <c r="L90" i="2" s="1"/>
  <c r="K110" i="2"/>
  <c r="L110" i="2" s="1"/>
  <c r="M168" i="2"/>
  <c r="N168" i="2" s="1"/>
  <c r="M207" i="2"/>
  <c r="N207" i="2" s="1"/>
  <c r="M209" i="2"/>
  <c r="N209" i="2" s="1"/>
  <c r="N215" i="2"/>
  <c r="M217" i="2"/>
  <c r="N217" i="2" s="1"/>
  <c r="M388" i="2"/>
  <c r="N388" i="2" s="1"/>
  <c r="M463" i="2"/>
  <c r="N463" i="2" s="1"/>
  <c r="M534" i="2"/>
  <c r="N534" i="2" s="1"/>
  <c r="M538" i="2"/>
  <c r="N538" i="2" s="1"/>
  <c r="M647" i="2"/>
  <c r="N647" i="2" s="1"/>
  <c r="M776" i="2"/>
  <c r="N776" i="2" s="1"/>
  <c r="M887" i="2"/>
  <c r="N887" i="2" s="1"/>
  <c r="K47" i="2"/>
  <c r="L47" i="2" s="1"/>
  <c r="Q76" i="2"/>
  <c r="P76" i="2"/>
  <c r="M390" i="2"/>
  <c r="N390" i="2" s="1"/>
  <c r="M406" i="2"/>
  <c r="N406" i="2" s="1"/>
  <c r="M461" i="2"/>
  <c r="N461" i="2" s="1"/>
  <c r="M509" i="2"/>
  <c r="N509" i="2" s="1"/>
  <c r="M536" i="2"/>
  <c r="N536" i="2" s="1"/>
  <c r="M734" i="2"/>
  <c r="N734" i="2" s="1"/>
  <c r="M774" i="2"/>
  <c r="N774" i="2" s="1"/>
  <c r="M778" i="2"/>
  <c r="N778" i="2" s="1"/>
  <c r="M810" i="2"/>
  <c r="N810" i="2" s="1"/>
  <c r="M812" i="2"/>
  <c r="N812" i="2" s="1"/>
  <c r="M889" i="2"/>
  <c r="N889" i="2" s="1"/>
  <c r="K76" i="2"/>
  <c r="L76" i="2" s="1"/>
  <c r="M313" i="2"/>
  <c r="N313" i="2" s="1"/>
  <c r="M352" i="2"/>
  <c r="N352" i="2" s="1"/>
  <c r="M354" i="2"/>
  <c r="N354" i="2" s="1"/>
  <c r="N356" i="2"/>
  <c r="M392" i="2"/>
  <c r="N392" i="2" s="1"/>
  <c r="M486" i="2"/>
  <c r="N486" i="2" s="1"/>
  <c r="M732" i="2"/>
  <c r="N732" i="2" s="1"/>
  <c r="M808" i="2"/>
  <c r="N808" i="2" s="1"/>
  <c r="M814" i="2"/>
  <c r="N814" i="2" s="1"/>
  <c r="M816" i="2"/>
  <c r="N816" i="2" s="1"/>
  <c r="M963" i="2"/>
  <c r="N963" i="2" s="1"/>
  <c r="M965" i="2"/>
  <c r="N965" i="2" s="1"/>
  <c r="Q88" i="2"/>
  <c r="P88" i="2"/>
  <c r="Q98" i="2"/>
  <c r="P98" i="2"/>
  <c r="Q126" i="2"/>
  <c r="P126" i="2"/>
  <c r="K126" i="2"/>
  <c r="L126" i="2" s="1"/>
  <c r="M236" i="2"/>
  <c r="N236" i="2" s="1"/>
  <c r="M238" i="2"/>
  <c r="N238" i="2" s="1"/>
  <c r="M240" i="2"/>
  <c r="N240" i="2" s="1"/>
  <c r="M242" i="2"/>
  <c r="N242" i="2" s="1"/>
  <c r="M244" i="2"/>
  <c r="N244" i="2" s="1"/>
  <c r="M307" i="2"/>
  <c r="N307" i="2" s="1"/>
  <c r="M309" i="2"/>
  <c r="N309" i="2" s="1"/>
  <c r="M315" i="2"/>
  <c r="N315" i="2" s="1"/>
  <c r="M317" i="2"/>
  <c r="N317" i="2" s="1"/>
  <c r="M394" i="2"/>
  <c r="N394" i="2" s="1"/>
  <c r="M404" i="2"/>
  <c r="N404" i="2" s="1"/>
  <c r="M426" i="2"/>
  <c r="N426" i="2" s="1"/>
  <c r="M428" i="2"/>
  <c r="N428" i="2" s="1"/>
  <c r="M459" i="2"/>
  <c r="N459" i="2" s="1"/>
  <c r="M480" i="2"/>
  <c r="N480" i="2" s="1"/>
  <c r="M484" i="2"/>
  <c r="N484" i="2" s="1"/>
  <c r="M818" i="2"/>
  <c r="N818" i="2" s="1"/>
  <c r="M820" i="2"/>
  <c r="N820" i="2" s="1"/>
  <c r="M967" i="2"/>
  <c r="N967" i="2" s="1"/>
  <c r="K67" i="2"/>
  <c r="L67" i="2" s="1"/>
  <c r="K88" i="2"/>
  <c r="L88" i="2" s="1"/>
  <c r="Q103" i="2"/>
  <c r="P103" i="2"/>
  <c r="Q108" i="2"/>
  <c r="P108" i="2"/>
  <c r="M396" i="2"/>
  <c r="N396" i="2" s="1"/>
  <c r="M608" i="2"/>
  <c r="N608" i="2" s="1"/>
  <c r="M961" i="2"/>
  <c r="N961" i="2" s="1"/>
  <c r="K21" i="2"/>
  <c r="L21" i="2" s="1"/>
  <c r="Q74" i="2"/>
  <c r="P74" i="2"/>
  <c r="K74" i="2"/>
  <c r="L74" i="2" s="1"/>
  <c r="P83" i="2"/>
  <c r="Q86" i="2"/>
  <c r="P86" i="2"/>
  <c r="K103" i="2"/>
  <c r="L103" i="2" s="1"/>
  <c r="K108" i="2"/>
  <c r="L108" i="2" s="1"/>
  <c r="Q114" i="2"/>
  <c r="P114" i="2"/>
  <c r="M148" i="2"/>
  <c r="N148" i="2" s="1"/>
  <c r="N197" i="2"/>
  <c r="M246" i="2"/>
  <c r="N246" i="2" s="1"/>
  <c r="M565" i="2"/>
  <c r="N565" i="2" s="1"/>
  <c r="M728" i="2"/>
  <c r="N728" i="2" s="1"/>
  <c r="Q124" i="2"/>
  <c r="P124" i="2"/>
  <c r="K124" i="2"/>
  <c r="L124" i="2" s="1"/>
  <c r="M248" i="2"/>
  <c r="N248" i="2" s="1"/>
  <c r="M385" i="2"/>
  <c r="N385" i="2" s="1"/>
  <c r="M596" i="2"/>
  <c r="N596" i="2" s="1"/>
  <c r="M800" i="2"/>
  <c r="N800" i="2" s="1"/>
  <c r="M908" i="2"/>
  <c r="N908" i="2" s="1"/>
  <c r="Q116" i="2"/>
  <c r="P116" i="2"/>
  <c r="M155" i="2"/>
  <c r="N155" i="2" s="1"/>
  <c r="M186" i="2"/>
  <c r="N186" i="2" s="1"/>
  <c r="M256" i="2"/>
  <c r="N256" i="2" s="1"/>
  <c r="M291" i="2"/>
  <c r="N291" i="2" s="1"/>
  <c r="M320" i="2"/>
  <c r="N320" i="2" s="1"/>
  <c r="M322" i="2"/>
  <c r="N322" i="2" s="1"/>
  <c r="M324" i="2"/>
  <c r="N324" i="2" s="1"/>
  <c r="M417" i="2"/>
  <c r="N417" i="2" s="1"/>
  <c r="M419" i="2"/>
  <c r="N419" i="2" s="1"/>
  <c r="M421" i="2"/>
  <c r="N421" i="2" s="1"/>
  <c r="M455" i="2"/>
  <c r="N455" i="2" s="1"/>
  <c r="M457" i="2"/>
  <c r="N457" i="2" s="1"/>
  <c r="M485" i="2"/>
  <c r="N485" i="2" s="1"/>
  <c r="M540" i="2"/>
  <c r="N540" i="2" s="1"/>
  <c r="M730" i="2"/>
  <c r="N730" i="2" s="1"/>
  <c r="M798" i="2"/>
  <c r="N798" i="2" s="1"/>
  <c r="M969" i="2"/>
  <c r="N969" i="2" s="1"/>
  <c r="K116" i="2"/>
  <c r="L116" i="2" s="1"/>
  <c r="M157" i="2"/>
  <c r="N157" i="2" s="1"/>
  <c r="M188" i="2"/>
  <c r="N188" i="2" s="1"/>
  <c r="N330" i="2"/>
  <c r="N469" i="2"/>
  <c r="M473" i="2"/>
  <c r="N473" i="2" s="1"/>
  <c r="N518" i="2"/>
  <c r="M594" i="2"/>
  <c r="N594" i="2" s="1"/>
  <c r="M948" i="2"/>
  <c r="N948" i="2" s="1"/>
  <c r="M425" i="2"/>
  <c r="N425" i="2" s="1"/>
  <c r="M198" i="2"/>
  <c r="N198" i="2" s="1"/>
  <c r="M227" i="2"/>
  <c r="N227" i="2" s="1"/>
  <c r="M229" i="2"/>
  <c r="N229" i="2" s="1"/>
  <c r="M233" i="2"/>
  <c r="N233" i="2" s="1"/>
  <c r="M297" i="2"/>
  <c r="N297" i="2" s="1"/>
  <c r="M592" i="2"/>
  <c r="N592" i="2" s="1"/>
  <c r="M630" i="2"/>
  <c r="N630" i="2" s="1"/>
  <c r="M634" i="2"/>
  <c r="N634" i="2" s="1"/>
  <c r="M636" i="2"/>
  <c r="N636" i="2" s="1"/>
  <c r="M714" i="2"/>
  <c r="N714" i="2" s="1"/>
  <c r="M716" i="2"/>
  <c r="N716" i="2" s="1"/>
  <c r="M720" i="2"/>
  <c r="N720" i="2" s="1"/>
  <c r="M739" i="2"/>
  <c r="N739" i="2" s="1"/>
  <c r="M743" i="2"/>
  <c r="N743" i="2" s="1"/>
  <c r="M865" i="2"/>
  <c r="N865" i="2" s="1"/>
  <c r="M938" i="2"/>
  <c r="N938" i="2" s="1"/>
  <c r="N237" i="2"/>
  <c r="M346" i="2"/>
  <c r="N346" i="2" s="1"/>
  <c r="M362" i="2"/>
  <c r="N362" i="2" s="1"/>
  <c r="M403" i="2"/>
  <c r="N403" i="2" s="1"/>
  <c r="N405" i="2"/>
  <c r="M492" i="2"/>
  <c r="N492" i="2" s="1"/>
  <c r="M500" i="2"/>
  <c r="N500" i="2" s="1"/>
  <c r="M508" i="2"/>
  <c r="N508" i="2" s="1"/>
  <c r="M510" i="2"/>
  <c r="N510" i="2" s="1"/>
  <c r="M620" i="2"/>
  <c r="N620" i="2" s="1"/>
  <c r="M638" i="2"/>
  <c r="N638" i="2" s="1"/>
  <c r="M718" i="2"/>
  <c r="N718" i="2" s="1"/>
  <c r="M745" i="2"/>
  <c r="N745" i="2" s="1"/>
  <c r="M863" i="2"/>
  <c r="N863" i="2" s="1"/>
  <c r="M940" i="2"/>
  <c r="N940" i="2" s="1"/>
  <c r="Q122" i="2"/>
  <c r="P122" i="2"/>
  <c r="K122" i="2"/>
  <c r="L122" i="2" s="1"/>
  <c r="M268" i="2"/>
  <c r="N268" i="2" s="1"/>
  <c r="M512" i="2"/>
  <c r="N512" i="2" s="1"/>
  <c r="M640" i="2"/>
  <c r="N640" i="2" s="1"/>
  <c r="M667" i="2"/>
  <c r="N667" i="2" s="1"/>
  <c r="M747" i="2"/>
  <c r="N747" i="2" s="1"/>
  <c r="M497" i="2"/>
  <c r="N497" i="2" s="1"/>
  <c r="M544" i="2"/>
  <c r="N544" i="2" s="1"/>
  <c r="M979" i="2"/>
  <c r="N979" i="2" s="1"/>
  <c r="M580" i="2"/>
  <c r="N580" i="2" s="1"/>
  <c r="M584" i="2"/>
  <c r="N584" i="2" s="1"/>
  <c r="M590" i="2"/>
  <c r="N590" i="2" s="1"/>
  <c r="N729" i="2"/>
  <c r="N749" i="2"/>
  <c r="M785" i="2"/>
  <c r="N785" i="2" s="1"/>
  <c r="M827" i="2"/>
  <c r="N827" i="2" s="1"/>
  <c r="M829" i="2"/>
  <c r="N829" i="2" s="1"/>
  <c r="M870" i="2"/>
  <c r="N870" i="2" s="1"/>
  <c r="M874" i="2"/>
  <c r="N874" i="2" s="1"/>
  <c r="M876" i="2"/>
  <c r="N876" i="2" s="1"/>
  <c r="M910" i="2"/>
  <c r="N910" i="2" s="1"/>
  <c r="M912" i="2"/>
  <c r="N912" i="2" s="1"/>
  <c r="M150" i="2"/>
  <c r="N150" i="2" s="1"/>
  <c r="M170" i="2"/>
  <c r="N170" i="2" s="1"/>
  <c r="M190" i="2"/>
  <c r="N190" i="2" s="1"/>
  <c r="M210" i="2"/>
  <c r="N210" i="2" s="1"/>
  <c r="M230" i="2"/>
  <c r="N230" i="2" s="1"/>
  <c r="M250" i="2"/>
  <c r="N250" i="2" s="1"/>
  <c r="M270" i="2"/>
  <c r="N270" i="2" s="1"/>
  <c r="M290" i="2"/>
  <c r="N290" i="2" s="1"/>
  <c r="M310" i="2"/>
  <c r="N310" i="2" s="1"/>
  <c r="M410" i="2"/>
  <c r="N410" i="2" s="1"/>
  <c r="M525" i="2"/>
  <c r="N525" i="2" s="1"/>
  <c r="M564" i="2"/>
  <c r="N564" i="2" s="1"/>
  <c r="M588" i="2"/>
  <c r="N588" i="2" s="1"/>
  <c r="M803" i="2"/>
  <c r="N803" i="2" s="1"/>
  <c r="M920" i="2"/>
  <c r="N920" i="2" s="1"/>
  <c r="M1000" i="2"/>
  <c r="N1000" i="2" s="1"/>
  <c r="M241" i="2"/>
  <c r="N241" i="2" s="1"/>
  <c r="M261" i="2"/>
  <c r="N261" i="2" s="1"/>
  <c r="M321" i="2"/>
  <c r="N321" i="2" s="1"/>
  <c r="M334" i="2"/>
  <c r="N334" i="2" s="1"/>
  <c r="M353" i="2"/>
  <c r="N353" i="2" s="1"/>
  <c r="M372" i="2"/>
  <c r="N372" i="2" s="1"/>
  <c r="M456" i="2"/>
  <c r="N456" i="2" s="1"/>
  <c r="M601" i="2"/>
  <c r="N601" i="2" s="1"/>
  <c r="M709" i="2"/>
  <c r="N709" i="2" s="1"/>
  <c r="M787" i="2"/>
  <c r="N787" i="2" s="1"/>
  <c r="M789" i="2"/>
  <c r="N789" i="2" s="1"/>
  <c r="M801" i="2"/>
  <c r="N801" i="2" s="1"/>
  <c r="M880" i="2"/>
  <c r="N880" i="2" s="1"/>
  <c r="M990" i="2"/>
  <c r="N990" i="2" s="1"/>
  <c r="M527" i="2"/>
  <c r="N527" i="2" s="1"/>
  <c r="M560" i="2"/>
  <c r="N560" i="2" s="1"/>
  <c r="N609" i="2"/>
  <c r="M799" i="2"/>
  <c r="N799" i="2" s="1"/>
  <c r="M860" i="2"/>
  <c r="N860" i="2" s="1"/>
  <c r="M988" i="2"/>
  <c r="N988" i="2" s="1"/>
  <c r="N325" i="2"/>
  <c r="N504" i="2"/>
  <c r="N623" i="2"/>
  <c r="M625" i="2"/>
  <c r="N625" i="2" s="1"/>
  <c r="N689" i="2"/>
  <c r="M949" i="2"/>
  <c r="N949" i="2" s="1"/>
  <c r="M780" i="2"/>
  <c r="N780" i="2" s="1"/>
  <c r="M436" i="2"/>
  <c r="N436" i="2" s="1"/>
  <c r="M447" i="2"/>
  <c r="N447" i="2" s="1"/>
  <c r="M458" i="2"/>
  <c r="N458" i="2" s="1"/>
  <c r="M529" i="2"/>
  <c r="N529" i="2" s="1"/>
  <c r="M567" i="2"/>
  <c r="N567" i="2" s="1"/>
  <c r="M598" i="2"/>
  <c r="N598" i="2" s="1"/>
  <c r="N669" i="2"/>
  <c r="M690" i="2"/>
  <c r="N690" i="2" s="1"/>
  <c r="M692" i="2"/>
  <c r="N692" i="2" s="1"/>
  <c r="M738" i="2"/>
  <c r="N738" i="2" s="1"/>
  <c r="M759" i="2"/>
  <c r="N759" i="2" s="1"/>
  <c r="M761" i="2"/>
  <c r="N761" i="2" s="1"/>
  <c r="M805" i="2"/>
  <c r="N805" i="2" s="1"/>
  <c r="M830" i="2"/>
  <c r="N830" i="2" s="1"/>
  <c r="M832" i="2"/>
  <c r="N832" i="2" s="1"/>
  <c r="M923" i="2"/>
  <c r="N923" i="2" s="1"/>
  <c r="M925" i="2"/>
  <c r="N925" i="2" s="1"/>
  <c r="M950" i="2"/>
  <c r="N950" i="2" s="1"/>
  <c r="M952" i="2"/>
  <c r="N952" i="2" s="1"/>
  <c r="M460" i="2"/>
  <c r="N460" i="2" s="1"/>
  <c r="M600" i="2"/>
  <c r="N600" i="2" s="1"/>
  <c r="M740" i="2"/>
  <c r="N740" i="2" s="1"/>
  <c r="M989" i="2"/>
  <c r="N989" i="2" s="1"/>
  <c r="M449" i="2"/>
  <c r="N449" i="2" s="1"/>
  <c r="M569" i="2"/>
  <c r="N569" i="2" s="1"/>
  <c r="M604" i="2"/>
  <c r="N604" i="2" s="1"/>
  <c r="N629" i="2"/>
  <c r="N869" i="2"/>
  <c r="M700" i="2"/>
  <c r="N700" i="2" s="1"/>
  <c r="M840" i="2"/>
  <c r="N840" i="2" s="1"/>
  <c r="M960" i="2"/>
  <c r="N960" i="2" s="1"/>
  <c r="M520" i="2"/>
  <c r="N520" i="2" s="1"/>
  <c r="M658" i="2"/>
  <c r="N658" i="2" s="1"/>
  <c r="M679" i="2"/>
  <c r="N679" i="2" s="1"/>
  <c r="M681" i="2"/>
  <c r="N681" i="2" s="1"/>
  <c r="M725" i="2"/>
  <c r="N725" i="2" s="1"/>
  <c r="M767" i="2"/>
  <c r="N767" i="2" s="1"/>
  <c r="M788" i="2"/>
  <c r="N788" i="2" s="1"/>
  <c r="M809" i="2"/>
  <c r="N809" i="2" s="1"/>
  <c r="M898" i="2"/>
  <c r="N898" i="2" s="1"/>
  <c r="M929" i="2"/>
  <c r="N929" i="2" s="1"/>
  <c r="N524" i="2"/>
  <c r="M660" i="2"/>
  <c r="N660" i="2" s="1"/>
  <c r="N769" i="2"/>
  <c r="M900" i="2"/>
  <c r="N900" i="2" s="1"/>
  <c r="M791" i="2"/>
  <c r="N791" i="2" s="1"/>
  <c r="M811" i="2"/>
  <c r="N811" i="2" s="1"/>
  <c r="M831" i="2"/>
  <c r="N831" i="2" s="1"/>
  <c r="M851" i="2"/>
  <c r="N851" i="2" s="1"/>
  <c r="M871" i="2"/>
  <c r="N871" i="2" s="1"/>
  <c r="M891" i="2"/>
  <c r="N891" i="2" s="1"/>
  <c r="M911" i="2"/>
  <c r="N911" i="2" s="1"/>
  <c r="M931" i="2"/>
  <c r="N931" i="2" s="1"/>
  <c r="M951" i="2"/>
  <c r="N951" i="2" s="1"/>
  <c r="M971" i="2"/>
  <c r="N971" i="2" s="1"/>
  <c r="M991" i="2"/>
  <c r="N991" i="2" s="1"/>
  <c r="M984" i="2"/>
  <c r="N984" i="2" s="1"/>
  <c r="M615" i="2"/>
  <c r="N615" i="2" s="1"/>
  <c r="M635" i="2"/>
  <c r="N635" i="2" s="1"/>
  <c r="M695" i="2"/>
  <c r="N695" i="2" s="1"/>
  <c r="M715" i="2"/>
  <c r="N715" i="2" s="1"/>
  <c r="M755" i="2"/>
  <c r="N755" i="2" s="1"/>
  <c r="M775" i="2"/>
  <c r="N775" i="2" s="1"/>
  <c r="M795" i="2"/>
  <c r="N795" i="2" s="1"/>
  <c r="M815" i="2"/>
  <c r="N815" i="2" s="1"/>
  <c r="M875" i="2"/>
  <c r="N875" i="2" s="1"/>
  <c r="M895" i="2"/>
  <c r="N895" i="2" s="1"/>
  <c r="M915" i="2"/>
  <c r="N915" i="2" s="1"/>
  <c r="M935" i="2"/>
  <c r="N935" i="2" s="1"/>
  <c r="M955" i="2"/>
  <c r="N955" i="2" s="1"/>
  <c r="M995" i="2"/>
  <c r="N995" i="2" s="1"/>
  <c r="AE136" i="1" l="1"/>
  <c r="V129" i="1"/>
  <c r="W129" i="1" s="1"/>
  <c r="AE141" i="1"/>
  <c r="X100" i="1"/>
  <c r="Y100" i="1" s="1"/>
  <c r="AE177" i="1"/>
  <c r="AE42" i="1"/>
  <c r="AE135" i="1"/>
  <c r="U124" i="1"/>
  <c r="W124" i="1" s="1"/>
  <c r="X114" i="1"/>
  <c r="AE114" i="1" s="1"/>
  <c r="X126" i="1"/>
  <c r="Y126" i="1" s="1"/>
  <c r="Y114" i="1"/>
  <c r="V114" i="1"/>
  <c r="W114" i="1" s="1"/>
  <c r="Y66" i="1"/>
  <c r="AE193" i="1"/>
  <c r="AE182" i="1"/>
  <c r="W180" i="1"/>
  <c r="AE161" i="1"/>
  <c r="AE170" i="1"/>
  <c r="Y158" i="1"/>
  <c r="Y169" i="1"/>
  <c r="W71" i="1"/>
  <c r="Y171" i="1"/>
  <c r="X70" i="1"/>
  <c r="AE70" i="1" s="1"/>
  <c r="Y156" i="1"/>
  <c r="Y159" i="1"/>
  <c r="Y129" i="1"/>
  <c r="Y178" i="1"/>
  <c r="V123" i="1"/>
  <c r="W123" i="1" s="1"/>
  <c r="U118" i="1"/>
  <c r="W118" i="1" s="1"/>
  <c r="AE104" i="1"/>
  <c r="AE187" i="1"/>
  <c r="X124" i="1"/>
  <c r="AE124" i="1" s="1"/>
  <c r="X90" i="1"/>
  <c r="Y92" i="1"/>
  <c r="AE181" i="1"/>
  <c r="X95" i="1"/>
  <c r="Y95" i="1" s="1"/>
  <c r="X106" i="1"/>
  <c r="AE106" i="1" s="1"/>
  <c r="AE138" i="1"/>
  <c r="X11" i="1"/>
  <c r="Y11" i="1" s="1"/>
  <c r="X16" i="1"/>
  <c r="AE16" i="1" s="1"/>
  <c r="X128" i="1"/>
  <c r="Y128" i="1" s="1"/>
  <c r="X19" i="1"/>
  <c r="Y19" i="1" s="1"/>
  <c r="U49" i="1"/>
  <c r="W49" i="1" s="1"/>
  <c r="X131" i="1"/>
  <c r="X17" i="1"/>
  <c r="AE17" i="1" s="1"/>
  <c r="V130" i="1"/>
  <c r="W130" i="1" s="1"/>
  <c r="X80" i="1"/>
  <c r="AE80" i="1" s="1"/>
  <c r="X109" i="1"/>
  <c r="AE109" i="1" s="1"/>
  <c r="V19" i="1"/>
  <c r="W19" i="1" s="1"/>
  <c r="Y97" i="1"/>
  <c r="X123" i="1"/>
  <c r="Y123" i="1" s="1"/>
  <c r="U17" i="1"/>
  <c r="W17" i="1" s="1"/>
  <c r="W148" i="1"/>
  <c r="V80" i="1"/>
  <c r="W80" i="1" s="1"/>
  <c r="X127" i="1"/>
  <c r="Y127" i="1" s="1"/>
  <c r="X28" i="1"/>
  <c r="Y28" i="1" s="1"/>
  <c r="AE151" i="1"/>
  <c r="X49" i="1"/>
  <c r="X119" i="1"/>
  <c r="Y119" i="1" s="1"/>
  <c r="Y188" i="1"/>
  <c r="X74" i="1"/>
  <c r="AE74" i="1" s="1"/>
  <c r="X26" i="1"/>
  <c r="Y26" i="1" s="1"/>
  <c r="X67" i="1"/>
  <c r="Y67" i="1" s="1"/>
  <c r="W141" i="1"/>
  <c r="W36" i="1"/>
  <c r="Y112" i="1"/>
  <c r="AE112" i="1"/>
  <c r="AE180" i="1"/>
  <c r="Y25" i="1"/>
  <c r="X118" i="1"/>
  <c r="X39" i="1"/>
  <c r="Y39" i="1" s="1"/>
  <c r="X9" i="1"/>
  <c r="X125" i="1"/>
  <c r="AE125" i="1" s="1"/>
  <c r="U25" i="1"/>
  <c r="V44" i="1"/>
  <c r="W44" i="1" s="1"/>
  <c r="U90" i="1"/>
  <c r="X83" i="1"/>
  <c r="V95" i="1"/>
  <c r="W95" i="1" s="1"/>
  <c r="AE195" i="1"/>
  <c r="V131" i="1"/>
  <c r="W131" i="1" s="1"/>
  <c r="X132" i="1"/>
  <c r="Y132" i="1" s="1"/>
  <c r="U132" i="1"/>
  <c r="W132" i="1" s="1"/>
  <c r="V70" i="1"/>
  <c r="W37" i="1"/>
  <c r="U127" i="1"/>
  <c r="W127" i="1" s="1"/>
  <c r="Y2" i="1"/>
  <c r="X24" i="1"/>
  <c r="AE24" i="1" s="1"/>
  <c r="AE179" i="1"/>
  <c r="Y167" i="1"/>
  <c r="U5" i="1"/>
  <c r="W5" i="1" s="1"/>
  <c r="U9" i="1"/>
  <c r="W9" i="1" s="1"/>
  <c r="U70" i="1"/>
  <c r="AE100" i="1"/>
  <c r="AE143" i="1"/>
  <c r="X63" i="1"/>
  <c r="Y63" i="1" s="1"/>
  <c r="X60" i="1"/>
  <c r="V90" i="1"/>
  <c r="V60" i="1"/>
  <c r="W60" i="1" s="1"/>
  <c r="X130" i="1"/>
  <c r="Y130" i="1" s="1"/>
  <c r="V25" i="1"/>
  <c r="W25" i="1" s="1"/>
  <c r="W7" i="1"/>
  <c r="X111" i="1"/>
  <c r="AE111" i="1" s="1"/>
  <c r="X21" i="1"/>
  <c r="W100" i="1"/>
  <c r="V21" i="1"/>
  <c r="W21" i="1" s="1"/>
  <c r="W185" i="1"/>
  <c r="X61" i="1"/>
  <c r="P755" i="2"/>
  <c r="AE58" i="1"/>
  <c r="Y58" i="1"/>
  <c r="AE52" i="1"/>
  <c r="Y52" i="1"/>
  <c r="AE9" i="1"/>
  <c r="Y9" i="1"/>
  <c r="V34" i="1"/>
  <c r="U34" i="1"/>
  <c r="W34" i="1" s="1"/>
  <c r="U61" i="1"/>
  <c r="V61" i="1"/>
  <c r="X40" i="1"/>
  <c r="X117" i="1"/>
  <c r="Y117" i="1" s="1"/>
  <c r="U24" i="1"/>
  <c r="V24" i="1"/>
  <c r="U125" i="1"/>
  <c r="W125" i="1" s="1"/>
  <c r="V113" i="1"/>
  <c r="U113" i="1"/>
  <c r="U64" i="1"/>
  <c r="W64" i="1" s="1"/>
  <c r="Y34" i="1"/>
  <c r="Y160" i="1"/>
  <c r="Y10" i="1"/>
  <c r="V74" i="1"/>
  <c r="U74" i="1"/>
  <c r="X33" i="1"/>
  <c r="V82" i="1"/>
  <c r="U82" i="1"/>
  <c r="U106" i="1"/>
  <c r="W106" i="1" s="1"/>
  <c r="X44" i="1"/>
  <c r="AE44" i="1" s="1"/>
  <c r="X48" i="1"/>
  <c r="Y48" i="1" s="1"/>
  <c r="V16" i="1"/>
  <c r="U16" i="1"/>
  <c r="U30" i="1"/>
  <c r="V30" i="1"/>
  <c r="W144" i="1"/>
  <c r="W110" i="1"/>
  <c r="U28" i="1"/>
  <c r="V28" i="1"/>
  <c r="U32" i="1"/>
  <c r="V32" i="1"/>
  <c r="U33" i="1"/>
  <c r="W33" i="1" s="1"/>
  <c r="U84" i="1"/>
  <c r="W84" i="1" s="1"/>
  <c r="V48" i="1"/>
  <c r="W48" i="1" s="1"/>
  <c r="U83" i="1"/>
  <c r="V83" i="1"/>
  <c r="V40" i="1"/>
  <c r="U40" i="1"/>
  <c r="W139" i="1"/>
  <c r="X43" i="1"/>
  <c r="Y43" i="1" s="1"/>
  <c r="Y200" i="1"/>
  <c r="X31" i="1"/>
  <c r="Y31" i="1" s="1"/>
  <c r="V103" i="1"/>
  <c r="W103" i="1" s="1"/>
  <c r="U39" i="1"/>
  <c r="W39" i="1" s="1"/>
  <c r="X82" i="1"/>
  <c r="X84" i="1"/>
  <c r="Y84" i="1" s="1"/>
  <c r="X64" i="1"/>
  <c r="AE64" i="1" s="1"/>
  <c r="V26" i="1"/>
  <c r="W26" i="1" s="1"/>
  <c r="W174" i="1"/>
  <c r="AE140" i="1"/>
  <c r="Y183" i="1"/>
  <c r="V11" i="1"/>
  <c r="W11" i="1" s="1"/>
  <c r="V20" i="1"/>
  <c r="U20" i="1"/>
  <c r="U52" i="1"/>
  <c r="V52" i="1"/>
  <c r="V111" i="1"/>
  <c r="U111" i="1"/>
  <c r="W111" i="1" s="1"/>
  <c r="X20" i="1"/>
  <c r="B9" i="4"/>
  <c r="Y145" i="1"/>
  <c r="AE145" i="1"/>
  <c r="AE173" i="1"/>
  <c r="AE134" i="1"/>
  <c r="Y197" i="1"/>
  <c r="W164" i="1"/>
  <c r="Y189" i="1"/>
  <c r="Y192" i="1"/>
  <c r="Y91" i="1"/>
  <c r="AE91" i="1"/>
  <c r="X122" i="1"/>
  <c r="X121" i="1"/>
  <c r="Y121" i="1" s="1"/>
  <c r="AE174" i="1"/>
  <c r="Y174" i="1"/>
  <c r="W88" i="1"/>
  <c r="W137" i="1"/>
  <c r="X65" i="1"/>
  <c r="AE65" i="1" s="1"/>
  <c r="Y196" i="1"/>
  <c r="AE146" i="1"/>
  <c r="W120" i="1"/>
  <c r="X4" i="1"/>
  <c r="Y4" i="1" s="1"/>
  <c r="W193" i="1"/>
  <c r="W167" i="1"/>
  <c r="Y199" i="1"/>
  <c r="Y190" i="1"/>
  <c r="AE190" i="1"/>
  <c r="AE30" i="1"/>
  <c r="Y163" i="1"/>
  <c r="AE163" i="1"/>
  <c r="Y198" i="1"/>
  <c r="AE126" i="1"/>
  <c r="Y166" i="1"/>
  <c r="AE166" i="1"/>
  <c r="Y168" i="1"/>
  <c r="X53" i="1"/>
  <c r="AE53" i="1" s="1"/>
  <c r="Y184" i="1"/>
  <c r="AE184" i="1"/>
  <c r="AE157" i="1"/>
  <c r="Y157" i="1"/>
  <c r="P814" i="2"/>
  <c r="AE79" i="1"/>
  <c r="Y79" i="1"/>
  <c r="Y71" i="1"/>
  <c r="AE71" i="1"/>
  <c r="V54" i="1"/>
  <c r="U54" i="1"/>
  <c r="Y107" i="1"/>
  <c r="AE107" i="1"/>
  <c r="U68" i="1"/>
  <c r="V68" i="1"/>
  <c r="U67" i="1"/>
  <c r="V67" i="1"/>
  <c r="AE152" i="1"/>
  <c r="Y152" i="1"/>
  <c r="X85" i="1"/>
  <c r="V31" i="1"/>
  <c r="U31" i="1"/>
  <c r="AE144" i="1"/>
  <c r="Y144" i="1"/>
  <c r="AE131" i="1"/>
  <c r="Y131" i="1"/>
  <c r="V117" i="1"/>
  <c r="U117" i="1"/>
  <c r="AE103" i="1"/>
  <c r="Y103" i="1"/>
  <c r="V15" i="1"/>
  <c r="U15" i="1"/>
  <c r="W15" i="1" s="1"/>
  <c r="Y164" i="1"/>
  <c r="AE164" i="1"/>
  <c r="U35" i="1"/>
  <c r="V35" i="1"/>
  <c r="V65" i="1"/>
  <c r="U65" i="1"/>
  <c r="W65" i="1" s="1"/>
  <c r="W102" i="1"/>
  <c r="V46" i="1"/>
  <c r="U46" i="1"/>
  <c r="X46" i="1"/>
  <c r="X56" i="1"/>
  <c r="V47" i="1"/>
  <c r="U47" i="1"/>
  <c r="AE36" i="1"/>
  <c r="Y36" i="1"/>
  <c r="X54" i="1"/>
  <c r="X55" i="1"/>
  <c r="Y194" i="1"/>
  <c r="AE194" i="1"/>
  <c r="AE186" i="1"/>
  <c r="Y186" i="1"/>
  <c r="X3" i="1"/>
  <c r="V98" i="1"/>
  <c r="X98" i="1"/>
  <c r="U98" i="1"/>
  <c r="W98" i="1" s="1"/>
  <c r="W186" i="1"/>
  <c r="AE116" i="1"/>
  <c r="Y116" i="1"/>
  <c r="X75" i="1"/>
  <c r="X73" i="1"/>
  <c r="X15" i="1"/>
  <c r="U122" i="1"/>
  <c r="W122" i="1" s="1"/>
  <c r="W153" i="1"/>
  <c r="V43" i="1"/>
  <c r="U43" i="1"/>
  <c r="X35" i="1"/>
  <c r="V86" i="1"/>
  <c r="U86" i="1"/>
  <c r="Y32" i="1"/>
  <c r="AE32" i="1"/>
  <c r="Y88" i="1"/>
  <c r="AE88" i="1"/>
  <c r="X47" i="1"/>
  <c r="V55" i="1"/>
  <c r="U55" i="1"/>
  <c r="W55" i="1" s="1"/>
  <c r="U3" i="1"/>
  <c r="V3" i="1"/>
  <c r="AE96" i="1"/>
  <c r="Y96" i="1"/>
  <c r="W96" i="1"/>
  <c r="X86" i="1"/>
  <c r="W175" i="1"/>
  <c r="Y6" i="1"/>
  <c r="AE6" i="1"/>
  <c r="X89" i="1"/>
  <c r="W93" i="1"/>
  <c r="X59" i="1"/>
  <c r="X94" i="1"/>
  <c r="AE176" i="1"/>
  <c r="Y176" i="1"/>
  <c r="V14" i="1"/>
  <c r="U14" i="1"/>
  <c r="AE108" i="1"/>
  <c r="Y108" i="1"/>
  <c r="X13" i="1"/>
  <c r="U75" i="1"/>
  <c r="V75" i="1"/>
  <c r="W151" i="1"/>
  <c r="P752" i="2"/>
  <c r="AE165" i="1"/>
  <c r="Y165" i="1"/>
  <c r="AE127" i="1"/>
  <c r="U89" i="1"/>
  <c r="V89" i="1"/>
  <c r="V59" i="1"/>
  <c r="U59" i="1"/>
  <c r="W59" i="1" s="1"/>
  <c r="V94" i="1"/>
  <c r="U94" i="1"/>
  <c r="X105" i="1"/>
  <c r="AE29" i="1"/>
  <c r="Y29" i="1"/>
  <c r="X78" i="1"/>
  <c r="P46" i="2"/>
  <c r="AE149" i="1"/>
  <c r="Y149" i="1"/>
  <c r="V109" i="1"/>
  <c r="U109" i="1"/>
  <c r="Y110" i="1"/>
  <c r="AE110" i="1"/>
  <c r="AE77" i="1"/>
  <c r="Y77" i="1"/>
  <c r="B12" i="3"/>
  <c r="B5" i="5" s="1"/>
  <c r="AE154" i="1"/>
  <c r="Y154" i="1"/>
  <c r="Y185" i="1"/>
  <c r="AE185" i="1"/>
  <c r="AE139" i="1"/>
  <c r="Y139" i="1"/>
  <c r="AE102" i="1"/>
  <c r="Y102" i="1"/>
  <c r="AE7" i="1"/>
  <c r="Y7" i="1"/>
  <c r="U12" i="1"/>
  <c r="V12" i="1"/>
  <c r="U38" i="1"/>
  <c r="V38" i="1"/>
  <c r="U27" i="1"/>
  <c r="V27" i="1"/>
  <c r="U23" i="1"/>
  <c r="V23" i="1"/>
  <c r="U45" i="1"/>
  <c r="V45" i="1"/>
  <c r="U53" i="1"/>
  <c r="V53" i="1"/>
  <c r="V115" i="1"/>
  <c r="U115" i="1"/>
  <c r="V72" i="1"/>
  <c r="U72" i="1"/>
  <c r="W72" i="1" s="1"/>
  <c r="Q692" i="2"/>
  <c r="W162" i="1"/>
  <c r="AE51" i="1"/>
  <c r="Y51" i="1"/>
  <c r="AE99" i="1"/>
  <c r="Y99" i="1"/>
  <c r="X115" i="1"/>
  <c r="W187" i="1"/>
  <c r="U121" i="1"/>
  <c r="V121" i="1"/>
  <c r="X12" i="1"/>
  <c r="X38" i="1"/>
  <c r="AE153" i="1"/>
  <c r="Y153" i="1"/>
  <c r="X62" i="1"/>
  <c r="AE5" i="1"/>
  <c r="Y5" i="1"/>
  <c r="X45" i="1"/>
  <c r="U13" i="1"/>
  <c r="V13" i="1"/>
  <c r="X14" i="1"/>
  <c r="V73" i="1"/>
  <c r="U73" i="1"/>
  <c r="V56" i="1"/>
  <c r="U56" i="1"/>
  <c r="W165" i="1"/>
  <c r="V79" i="1"/>
  <c r="U79" i="1"/>
  <c r="W79" i="1" s="1"/>
  <c r="Y72" i="1"/>
  <c r="AE72" i="1"/>
  <c r="AE81" i="1"/>
  <c r="Y81" i="1"/>
  <c r="AE93" i="1"/>
  <c r="Y93" i="1"/>
  <c r="AE41" i="1"/>
  <c r="Y41" i="1"/>
  <c r="W6" i="1"/>
  <c r="V62" i="1"/>
  <c r="U62" i="1"/>
  <c r="U85" i="1"/>
  <c r="V85" i="1"/>
  <c r="AE69" i="1"/>
  <c r="Y69" i="1"/>
  <c r="AE113" i="1"/>
  <c r="Y113" i="1"/>
  <c r="Y142" i="1"/>
  <c r="AE142" i="1"/>
  <c r="X27" i="1"/>
  <c r="U101" i="1"/>
  <c r="V101" i="1"/>
  <c r="V87" i="1"/>
  <c r="U87" i="1"/>
  <c r="V22" i="1"/>
  <c r="U22" i="1"/>
  <c r="Y50" i="1"/>
  <c r="AE50" i="1"/>
  <c r="AE8" i="1"/>
  <c r="Y8" i="1"/>
  <c r="U78" i="1"/>
  <c r="V78" i="1"/>
  <c r="AE133" i="1"/>
  <c r="Y133" i="1"/>
  <c r="AE18" i="1"/>
  <c r="Y18" i="1"/>
  <c r="Y175" i="1"/>
  <c r="AE175" i="1"/>
  <c r="Y120" i="1"/>
  <c r="AE120" i="1"/>
  <c r="X87" i="1"/>
  <c r="X22" i="1"/>
  <c r="V57" i="1"/>
  <c r="U57" i="1"/>
  <c r="X101" i="1"/>
  <c r="V76" i="1"/>
  <c r="U76" i="1"/>
  <c r="AE37" i="1"/>
  <c r="Y37" i="1"/>
  <c r="X23" i="1"/>
  <c r="U119" i="1"/>
  <c r="V119" i="1"/>
  <c r="V105" i="1"/>
  <c r="U105" i="1"/>
  <c r="W105" i="1" s="1"/>
  <c r="X76" i="1"/>
  <c r="W63" i="1"/>
  <c r="X68" i="1"/>
  <c r="V4" i="1"/>
  <c r="U4" i="1"/>
  <c r="X57" i="1"/>
  <c r="P959" i="2"/>
  <c r="P786" i="2"/>
  <c r="P344" i="2"/>
  <c r="P401" i="2"/>
  <c r="P227" i="2"/>
  <c r="P22" i="2"/>
  <c r="P788" i="2"/>
  <c r="P335" i="2"/>
  <c r="N115" i="2"/>
  <c r="N82" i="2"/>
  <c r="P760" i="2"/>
  <c r="Q947" i="2"/>
  <c r="P541" i="2"/>
  <c r="P365" i="2"/>
  <c r="P384" i="2"/>
  <c r="P222" i="2"/>
  <c r="P614" i="2"/>
  <c r="N38" i="2"/>
  <c r="Q339" i="2"/>
  <c r="Q407" i="2"/>
  <c r="P407" i="2"/>
  <c r="P487" i="2"/>
  <c r="P235" i="2"/>
  <c r="Q381" i="2"/>
  <c r="Q931" i="2"/>
  <c r="N121" i="2"/>
  <c r="P896" i="2"/>
  <c r="N61" i="2"/>
  <c r="P886" i="2"/>
  <c r="P915" i="2"/>
  <c r="P835" i="2"/>
  <c r="Q44" i="2"/>
  <c r="P165" i="2"/>
  <c r="N86" i="2"/>
  <c r="N93" i="2"/>
  <c r="M83" i="2"/>
  <c r="N83" i="2" s="1"/>
  <c r="Q683" i="2"/>
  <c r="P683" i="2"/>
  <c r="P526" i="2"/>
  <c r="P718" i="2"/>
  <c r="Q718" i="2"/>
  <c r="P708" i="2"/>
  <c r="P269" i="2"/>
  <c r="Q333" i="2"/>
  <c r="P333" i="2"/>
  <c r="P267" i="2"/>
  <c r="Q267" i="2"/>
  <c r="Q699" i="2"/>
  <c r="P804" i="2"/>
  <c r="P894" i="2"/>
  <c r="P826" i="2"/>
  <c r="P329" i="2"/>
  <c r="Q687" i="2"/>
  <c r="P687" i="2"/>
  <c r="M57" i="2"/>
  <c r="N57" i="2" s="1"/>
  <c r="Q584" i="2"/>
  <c r="P528" i="2"/>
  <c r="Q280" i="2"/>
  <c r="P280" i="2"/>
  <c r="Q858" i="2"/>
  <c r="P858" i="2"/>
  <c r="P723" i="2"/>
  <c r="P436" i="2"/>
  <c r="P966" i="2"/>
  <c r="Q533" i="2"/>
  <c r="P884" i="2"/>
  <c r="P446" i="2"/>
  <c r="Q863" i="2"/>
  <c r="P863" i="2"/>
  <c r="P352" i="2"/>
  <c r="Q352" i="2"/>
  <c r="P816" i="2"/>
  <c r="Q816" i="2"/>
  <c r="N60" i="2"/>
  <c r="Q668" i="2"/>
  <c r="P668" i="2"/>
  <c r="P470" i="2"/>
  <c r="Q470" i="2"/>
  <c r="Q387" i="2"/>
  <c r="P387" i="2"/>
  <c r="Q181" i="2"/>
  <c r="P181" i="2"/>
  <c r="Q812" i="2"/>
  <c r="P812" i="2"/>
  <c r="Q224" i="2"/>
  <c r="P224" i="2"/>
  <c r="Q792" i="2"/>
  <c r="P792" i="2"/>
  <c r="N97" i="2"/>
  <c r="P33" i="2"/>
  <c r="P353" i="2"/>
  <c r="Q353" i="2"/>
  <c r="P510" i="2"/>
  <c r="Q510" i="2"/>
  <c r="P106" i="2"/>
  <c r="Q864" i="2"/>
  <c r="P864" i="2"/>
  <c r="Q361" i="2"/>
  <c r="P361" i="2"/>
  <c r="P391" i="2"/>
  <c r="Q391" i="2"/>
  <c r="Q453" i="2"/>
  <c r="P453" i="2"/>
  <c r="Q266" i="2"/>
  <c r="P266" i="2"/>
  <c r="Q759" i="2"/>
  <c r="P759" i="2"/>
  <c r="Q354" i="2"/>
  <c r="P354" i="2"/>
  <c r="P429" i="2"/>
  <c r="Q429" i="2"/>
  <c r="M125" i="2"/>
  <c r="N125" i="2" s="1"/>
  <c r="Q228" i="2"/>
  <c r="P228" i="2"/>
  <c r="Q785" i="2"/>
  <c r="P785" i="2"/>
  <c r="Q324" i="2"/>
  <c r="P324" i="2"/>
  <c r="Q377" i="2"/>
  <c r="P377" i="2"/>
  <c r="Q868" i="2"/>
  <c r="P868" i="2"/>
  <c r="Q466" i="2"/>
  <c r="P466" i="2"/>
  <c r="Q772" i="2"/>
  <c r="P772" i="2"/>
  <c r="Q383" i="2"/>
  <c r="P383" i="2"/>
  <c r="Q651" i="2"/>
  <c r="P651" i="2"/>
  <c r="P524" i="2"/>
  <c r="Q524" i="2"/>
  <c r="Q247" i="2"/>
  <c r="P247" i="2"/>
  <c r="Q43" i="2"/>
  <c r="P43" i="2"/>
  <c r="Q277" i="2"/>
  <c r="P277" i="2"/>
  <c r="Q598" i="2"/>
  <c r="P598" i="2"/>
  <c r="Q101" i="2"/>
  <c r="P101" i="2"/>
  <c r="Q800" i="2"/>
  <c r="P800" i="2"/>
  <c r="Q454" i="2"/>
  <c r="P454" i="2"/>
  <c r="Q704" i="2"/>
  <c r="P704" i="2"/>
  <c r="M36" i="2"/>
  <c r="N36" i="2" s="1"/>
  <c r="Q66" i="2"/>
  <c r="Q282" i="2"/>
  <c r="P282" i="2"/>
  <c r="Q745" i="2"/>
  <c r="P745" i="2"/>
  <c r="Q447" i="2"/>
  <c r="P447" i="2"/>
  <c r="Q595" i="2"/>
  <c r="P595" i="2"/>
  <c r="Q883" i="2"/>
  <c r="P883" i="2"/>
  <c r="P661" i="2"/>
  <c r="Q661" i="2"/>
  <c r="Q214" i="2"/>
  <c r="P214" i="2"/>
  <c r="Q739" i="2"/>
  <c r="P739" i="2"/>
  <c r="Q646" i="2"/>
  <c r="P646" i="2"/>
  <c r="Q780" i="2"/>
  <c r="P780" i="2"/>
  <c r="N5" i="2"/>
  <c r="Q672" i="2"/>
  <c r="P672" i="2"/>
  <c r="P563" i="2"/>
  <c r="Q563" i="2"/>
  <c r="P432" i="2"/>
  <c r="Q432" i="2"/>
  <c r="Q907" i="2"/>
  <c r="P907" i="2"/>
  <c r="N8" i="2"/>
  <c r="Q859" i="2"/>
  <c r="P859" i="2"/>
  <c r="Q571" i="2"/>
  <c r="P571" i="2"/>
  <c r="Q433" i="2"/>
  <c r="P433" i="2"/>
  <c r="P616" i="2"/>
  <c r="Q616" i="2"/>
  <c r="Q579" i="2"/>
  <c r="P579" i="2"/>
  <c r="Q225" i="2"/>
  <c r="P225" i="2"/>
  <c r="Q287" i="2"/>
  <c r="P287" i="2"/>
  <c r="Q399" i="2"/>
  <c r="P399" i="2"/>
  <c r="Q758" i="2"/>
  <c r="P758" i="2"/>
  <c r="Q601" i="2"/>
  <c r="P601" i="2"/>
  <c r="P369" i="2"/>
  <c r="Q369" i="2"/>
  <c r="Q334" i="2"/>
  <c r="P334" i="2"/>
  <c r="M117" i="2"/>
  <c r="N117" i="2" s="1"/>
  <c r="P129" i="2"/>
  <c r="Q750" i="2"/>
  <c r="P750" i="2"/>
  <c r="P604" i="2"/>
  <c r="Q604" i="2"/>
  <c r="Q309" i="2"/>
  <c r="P309" i="2"/>
  <c r="Q748" i="2"/>
  <c r="P748" i="2"/>
  <c r="Q984" i="2"/>
  <c r="P984" i="2"/>
  <c r="Q273" i="2"/>
  <c r="P273" i="2"/>
  <c r="P550" i="2"/>
  <c r="Q550" i="2"/>
  <c r="Q553" i="2"/>
  <c r="P553" i="2"/>
  <c r="P19" i="2"/>
  <c r="P481" i="2"/>
  <c r="Q481" i="2"/>
  <c r="Q866" i="2"/>
  <c r="P866" i="2"/>
  <c r="N19" i="2"/>
  <c r="Q974" i="2"/>
  <c r="P974" i="2"/>
  <c r="Q846" i="2"/>
  <c r="P846" i="2"/>
  <c r="Q561" i="2"/>
  <c r="P561" i="2"/>
  <c r="Q855" i="2"/>
  <c r="P855" i="2"/>
  <c r="Q976" i="2"/>
  <c r="P976" i="2"/>
  <c r="Q654" i="2"/>
  <c r="P654" i="2"/>
  <c r="Q656" i="2"/>
  <c r="P656" i="2"/>
  <c r="Q493" i="2"/>
  <c r="P493" i="2"/>
  <c r="Q456" i="2"/>
  <c r="P456" i="2"/>
  <c r="Q313" i="2"/>
  <c r="P313" i="2"/>
  <c r="Q518" i="2"/>
  <c r="P518" i="2"/>
  <c r="Q161" i="2"/>
  <c r="P161" i="2"/>
  <c r="P485" i="2"/>
  <c r="Q485" i="2"/>
  <c r="P34" i="2"/>
  <c r="Q775" i="2"/>
  <c r="P775" i="2"/>
  <c r="Q638" i="2"/>
  <c r="P638" i="2"/>
  <c r="Q684" i="2"/>
  <c r="P684" i="2"/>
  <c r="Q177" i="2"/>
  <c r="P177" i="2"/>
  <c r="Q484" i="2"/>
  <c r="P484" i="2"/>
  <c r="Q623" i="2"/>
  <c r="P623" i="2"/>
  <c r="Q368" i="2"/>
  <c r="P368" i="2"/>
  <c r="Q783" i="2"/>
  <c r="P783" i="2"/>
  <c r="M98" i="2"/>
  <c r="N98" i="2" s="1"/>
  <c r="M122" i="2"/>
  <c r="N122" i="2" s="1"/>
  <c r="M108" i="2"/>
  <c r="N108" i="2" s="1"/>
  <c r="M110" i="2"/>
  <c r="N110" i="2" s="1"/>
  <c r="M113" i="2"/>
  <c r="N113" i="2" s="1"/>
  <c r="M88" i="2"/>
  <c r="N88" i="2" s="1"/>
  <c r="M53" i="2"/>
  <c r="N53" i="2" s="1"/>
  <c r="M67" i="2"/>
  <c r="N67" i="2" s="1"/>
  <c r="M64" i="2"/>
  <c r="N64" i="2" s="1"/>
  <c r="M89" i="2"/>
  <c r="N89" i="2" s="1"/>
  <c r="M48" i="2"/>
  <c r="N48" i="2" s="1"/>
  <c r="M73" i="2"/>
  <c r="N73" i="2" s="1"/>
  <c r="M70" i="2"/>
  <c r="N70" i="2" s="1"/>
  <c r="M87" i="2"/>
  <c r="N87" i="2" s="1"/>
  <c r="M128" i="2"/>
  <c r="N128" i="2" s="1"/>
  <c r="M94" i="2"/>
  <c r="N94" i="2" s="1"/>
  <c r="M23" i="2"/>
  <c r="N23" i="2" s="1"/>
  <c r="M92" i="2"/>
  <c r="N92" i="2" s="1"/>
  <c r="M6" i="2"/>
  <c r="N6" i="2" s="1"/>
  <c r="M126" i="2"/>
  <c r="N126" i="2" s="1"/>
  <c r="M75" i="2"/>
  <c r="N75" i="2" s="1"/>
  <c r="M72" i="2"/>
  <c r="N72" i="2" s="1"/>
  <c r="M100" i="2"/>
  <c r="N100" i="2" s="1"/>
  <c r="M12" i="2"/>
  <c r="N12" i="2" s="1"/>
  <c r="M78" i="2"/>
  <c r="N78" i="2" s="1"/>
  <c r="M35" i="2"/>
  <c r="N35" i="2" s="1"/>
  <c r="M118" i="2"/>
  <c r="N118" i="2" s="1"/>
  <c r="M63" i="2"/>
  <c r="N63" i="2" s="1"/>
  <c r="M10" i="2"/>
  <c r="N10" i="2" s="1"/>
  <c r="M50" i="2"/>
  <c r="N50" i="2" s="1"/>
  <c r="M42" i="2"/>
  <c r="N42" i="2" s="1"/>
  <c r="M103" i="2"/>
  <c r="N103" i="2" s="1"/>
  <c r="M90" i="2"/>
  <c r="N90" i="2" s="1"/>
  <c r="M124" i="2"/>
  <c r="N124" i="2" s="1"/>
  <c r="M39" i="2"/>
  <c r="N39" i="2" s="1"/>
  <c r="M76" i="2"/>
  <c r="N76" i="2" s="1"/>
  <c r="M47" i="2"/>
  <c r="N47" i="2" s="1"/>
  <c r="M95" i="2"/>
  <c r="N95" i="2" s="1"/>
  <c r="Y122" i="1"/>
  <c r="AE122" i="1"/>
  <c r="M112" i="2"/>
  <c r="N112" i="2" s="1"/>
  <c r="M13" i="2"/>
  <c r="N13" i="2" s="1"/>
  <c r="M29" i="2"/>
  <c r="N29" i="2" s="1"/>
  <c r="M59" i="2"/>
  <c r="N59" i="2" s="1"/>
  <c r="M21" i="2"/>
  <c r="N21" i="2" s="1"/>
  <c r="M32" i="2"/>
  <c r="N32" i="2" s="1"/>
  <c r="M52" i="2"/>
  <c r="N52" i="2" s="1"/>
  <c r="M55" i="2"/>
  <c r="N55" i="2" s="1"/>
  <c r="M4" i="2"/>
  <c r="N4" i="2" s="1"/>
  <c r="M68" i="2"/>
  <c r="N68" i="2" s="1"/>
  <c r="M77" i="2"/>
  <c r="N77" i="2" s="1"/>
  <c r="M26" i="2"/>
  <c r="N26" i="2" s="1"/>
  <c r="M120" i="2"/>
  <c r="N120" i="2" s="1"/>
  <c r="M71" i="2"/>
  <c r="N71" i="2" s="1"/>
  <c r="M37" i="2"/>
  <c r="N37" i="2" s="1"/>
  <c r="M27" i="2"/>
  <c r="N27" i="2" s="1"/>
  <c r="M105" i="2"/>
  <c r="N105" i="2" s="1"/>
  <c r="M116" i="2"/>
  <c r="N116" i="2" s="1"/>
  <c r="M74" i="2"/>
  <c r="N74" i="2" s="1"/>
  <c r="M56" i="2"/>
  <c r="N56" i="2" s="1"/>
  <c r="M28" i="2"/>
  <c r="N28" i="2" s="1"/>
  <c r="M9" i="2"/>
  <c r="N9" i="2" s="1"/>
  <c r="M104" i="2"/>
  <c r="N104" i="2" s="1"/>
  <c r="M51" i="2"/>
  <c r="N51" i="2" s="1"/>
  <c r="M84" i="2"/>
  <c r="N84" i="2" s="1"/>
  <c r="AE28" i="1" l="1"/>
  <c r="AE95" i="1"/>
  <c r="Y124" i="1"/>
  <c r="Y106" i="1"/>
  <c r="AE119" i="1"/>
  <c r="AE39" i="1"/>
  <c r="W70" i="1"/>
  <c r="W62" i="1"/>
  <c r="W14" i="1"/>
  <c r="W40" i="1"/>
  <c r="W90" i="1"/>
  <c r="Y70" i="1"/>
  <c r="Y53" i="1"/>
  <c r="AE11" i="1"/>
  <c r="AE63" i="1"/>
  <c r="Y90" i="1"/>
  <c r="AE90" i="1"/>
  <c r="Y111" i="1"/>
  <c r="AE4" i="1"/>
  <c r="W87" i="1"/>
  <c r="W43" i="1"/>
  <c r="W4" i="1"/>
  <c r="AE128" i="1"/>
  <c r="B14" i="4"/>
  <c r="B18" i="4" s="1"/>
  <c r="B19" i="4" s="1"/>
  <c r="Y80" i="1"/>
  <c r="W52" i="1"/>
  <c r="W82" i="1"/>
  <c r="AE123" i="1"/>
  <c r="W74" i="1"/>
  <c r="Y109" i="1"/>
  <c r="AE26" i="1"/>
  <c r="Y17" i="1"/>
  <c r="AE49" i="1"/>
  <c r="Y49" i="1"/>
  <c r="W46" i="1"/>
  <c r="Y16" i="1"/>
  <c r="AE67" i="1"/>
  <c r="AE19" i="1"/>
  <c r="W113" i="1"/>
  <c r="W22" i="1"/>
  <c r="Y74" i="1"/>
  <c r="AE132" i="1"/>
  <c r="AE84" i="1"/>
  <c r="W30" i="1"/>
  <c r="AE130" i="1"/>
  <c r="Y83" i="1"/>
  <c r="AE83" i="1"/>
  <c r="Y64" i="1"/>
  <c r="W16" i="1"/>
  <c r="W24" i="1"/>
  <c r="AE61" i="1"/>
  <c r="Y61" i="1"/>
  <c r="Y60" i="1"/>
  <c r="AE60" i="1"/>
  <c r="W28" i="1"/>
  <c r="W61" i="1"/>
  <c r="W32" i="1"/>
  <c r="W109" i="1"/>
  <c r="Y21" i="1"/>
  <c r="AE21" i="1"/>
  <c r="Y118" i="1"/>
  <c r="AE118" i="1"/>
  <c r="Y24" i="1"/>
  <c r="Y125" i="1"/>
  <c r="W57" i="1"/>
  <c r="W117" i="1"/>
  <c r="W20" i="1"/>
  <c r="AE117" i="1"/>
  <c r="W78" i="1"/>
  <c r="W76" i="1"/>
  <c r="AE48" i="1"/>
  <c r="W31" i="1"/>
  <c r="W73" i="1"/>
  <c r="AE31" i="1"/>
  <c r="W83" i="1"/>
  <c r="Y44" i="1"/>
  <c r="Y40" i="1"/>
  <c r="AE40" i="1"/>
  <c r="AE33" i="1"/>
  <c r="Y33" i="1"/>
  <c r="Y82" i="1"/>
  <c r="AE82" i="1"/>
  <c r="AE20" i="1"/>
  <c r="Y20" i="1"/>
  <c r="AE43" i="1"/>
  <c r="AE121" i="1"/>
  <c r="W119" i="1"/>
  <c r="W53" i="1"/>
  <c r="W85" i="1"/>
  <c r="W121" i="1"/>
  <c r="W3" i="1"/>
  <c r="Y65" i="1"/>
  <c r="AE22" i="1"/>
  <c r="Y22" i="1"/>
  <c r="AE14" i="1"/>
  <c r="Y14" i="1"/>
  <c r="B3" i="3"/>
  <c r="AE57" i="1"/>
  <c r="Y57" i="1"/>
  <c r="Y87" i="1"/>
  <c r="AE87" i="1"/>
  <c r="Y115" i="1"/>
  <c r="AE115" i="1"/>
  <c r="W23" i="1"/>
  <c r="Y3" i="1"/>
  <c r="AE3" i="1"/>
  <c r="B5" i="3"/>
  <c r="Y85" i="1"/>
  <c r="AE85" i="1"/>
  <c r="B4" i="3"/>
  <c r="W89" i="1"/>
  <c r="W35" i="1"/>
  <c r="B3" i="4"/>
  <c r="B11" i="4" s="1"/>
  <c r="W13" i="1"/>
  <c r="W27" i="1"/>
  <c r="Y94" i="1"/>
  <c r="AE94" i="1"/>
  <c r="W86" i="1"/>
  <c r="W38" i="1"/>
  <c r="AE76" i="1"/>
  <c r="Y76" i="1"/>
  <c r="W101" i="1"/>
  <c r="AE62" i="1"/>
  <c r="Y62" i="1"/>
  <c r="W12" i="1"/>
  <c r="AE35" i="1"/>
  <c r="Y35" i="1"/>
  <c r="W67" i="1"/>
  <c r="AE55" i="1"/>
  <c r="Y55" i="1"/>
  <c r="B11" i="3"/>
  <c r="AE54" i="1"/>
  <c r="Y54" i="1"/>
  <c r="W68" i="1"/>
  <c r="B10" i="3"/>
  <c r="AE27" i="1"/>
  <c r="Y27" i="1"/>
  <c r="W115" i="1"/>
  <c r="AE86" i="1"/>
  <c r="Y86" i="1"/>
  <c r="W45" i="1"/>
  <c r="AE23" i="1"/>
  <c r="Y23" i="1"/>
  <c r="Y78" i="1"/>
  <c r="AE78" i="1"/>
  <c r="AE98" i="1"/>
  <c r="Y98" i="1"/>
  <c r="AE89" i="1"/>
  <c r="Y89" i="1"/>
  <c r="AE38" i="1"/>
  <c r="Y38" i="1"/>
  <c r="W75" i="1"/>
  <c r="AE15" i="1"/>
  <c r="Y15" i="1"/>
  <c r="W47" i="1"/>
  <c r="W54" i="1"/>
  <c r="AE12" i="1"/>
  <c r="Y12" i="1"/>
  <c r="Y13" i="1"/>
  <c r="AE13" i="1"/>
  <c r="AE73" i="1"/>
  <c r="Y73" i="1"/>
  <c r="Y105" i="1"/>
  <c r="AE105" i="1"/>
  <c r="Y75" i="1"/>
  <c r="AE75" i="1"/>
  <c r="Y56" i="1"/>
  <c r="AE56" i="1"/>
  <c r="Y68" i="1"/>
  <c r="AE68" i="1"/>
  <c r="AE59" i="1"/>
  <c r="Y59" i="1"/>
  <c r="AE46" i="1"/>
  <c r="Y46" i="1"/>
  <c r="AE45" i="1"/>
  <c r="Y45" i="1"/>
  <c r="W56" i="1"/>
  <c r="AE47" i="1"/>
  <c r="Y47" i="1"/>
  <c r="B8" i="4"/>
  <c r="AE101" i="1"/>
  <c r="Y101" i="1"/>
  <c r="W94" i="1"/>
  <c r="B20" i="4" l="1"/>
  <c r="B21" i="4" s="1"/>
  <c r="B22" i="4" s="1"/>
  <c r="B23" i="4" s="1"/>
  <c r="B6" i="3"/>
  <c r="B2" i="5"/>
  <c r="B4" i="5" s="1"/>
  <c r="B5" i="4"/>
  <c r="B7" i="4"/>
  <c r="AR137" i="1" s="1"/>
  <c r="B7" i="3"/>
  <c r="B14" i="3"/>
  <c r="B8" i="3"/>
  <c r="Z95" i="1" s="1"/>
  <c r="B9" i="3"/>
  <c r="AR10" i="1"/>
  <c r="AR108" i="1"/>
  <c r="AR109" i="1"/>
  <c r="AR9" i="1"/>
  <c r="AR110" i="1"/>
  <c r="AR60" i="1"/>
  <c r="AR33" i="1"/>
  <c r="AR55" i="1"/>
  <c r="AR23" i="1"/>
  <c r="AR56" i="1"/>
  <c r="AR73" i="1"/>
  <c r="AR119" i="1"/>
  <c r="AR8" i="1"/>
  <c r="AR54" i="1"/>
  <c r="G122" i="1"/>
  <c r="G137" i="1" l="1"/>
  <c r="G138" i="1"/>
  <c r="AR135" i="1"/>
  <c r="AR136" i="1"/>
  <c r="G136" i="1"/>
  <c r="G134" i="1"/>
  <c r="G135" i="1"/>
  <c r="AR133" i="1"/>
  <c r="AR134" i="1"/>
  <c r="R27" i="2"/>
  <c r="G133" i="1"/>
  <c r="G132" i="1"/>
  <c r="R131" i="2"/>
  <c r="AR132" i="1" s="1"/>
  <c r="AR131" i="1"/>
  <c r="G130" i="1"/>
  <c r="G131" i="1"/>
  <c r="AR58" i="1"/>
  <c r="AR130" i="1"/>
  <c r="AR104" i="1"/>
  <c r="AR128" i="1"/>
  <c r="AR129" i="1"/>
  <c r="AR105" i="1"/>
  <c r="G128" i="1"/>
  <c r="G129" i="1"/>
  <c r="AR126" i="1"/>
  <c r="AR127" i="1"/>
  <c r="R86" i="2"/>
  <c r="G127" i="1"/>
  <c r="AR124" i="1"/>
  <c r="AR112" i="1"/>
  <c r="AR67" i="1"/>
  <c r="AR25" i="1"/>
  <c r="AR94" i="1"/>
  <c r="AR123" i="1"/>
  <c r="AR117" i="1"/>
  <c r="AR114" i="1"/>
  <c r="AR75" i="1"/>
  <c r="AR68" i="1"/>
  <c r="AR31" i="1"/>
  <c r="AR90" i="1"/>
  <c r="AR45" i="1"/>
  <c r="AR118" i="1"/>
  <c r="AR103" i="1"/>
  <c r="AR53" i="1"/>
  <c r="AR80" i="1"/>
  <c r="B10" i="4"/>
  <c r="AR47" i="1"/>
  <c r="AR122" i="1"/>
  <c r="AR38" i="1"/>
  <c r="AR81" i="1"/>
  <c r="AR20" i="1"/>
  <c r="AR14" i="1"/>
  <c r="AR120" i="1"/>
  <c r="AR83" i="1"/>
  <c r="AR35" i="1"/>
  <c r="AR92" i="1"/>
  <c r="AR78" i="1"/>
  <c r="AR50" i="1"/>
  <c r="AR70" i="1"/>
  <c r="AR59" i="1"/>
  <c r="AR91" i="1"/>
  <c r="AR107" i="1"/>
  <c r="AR27" i="1"/>
  <c r="AR28" i="1"/>
  <c r="R81" i="2"/>
  <c r="AB158" i="1"/>
  <c r="AC158" i="1" s="1"/>
  <c r="AB112" i="1"/>
  <c r="AC112" i="1" s="1"/>
  <c r="AB140" i="1"/>
  <c r="AC140" i="1" s="1"/>
  <c r="AB101" i="1"/>
  <c r="AC101" i="1" s="1"/>
  <c r="Z145" i="1"/>
  <c r="AB83" i="1"/>
  <c r="AC83" i="1" s="1"/>
  <c r="AB51" i="1"/>
  <c r="AC51" i="1" s="1"/>
  <c r="AB20" i="1"/>
  <c r="AC20" i="1" s="1"/>
  <c r="Z93" i="1"/>
  <c r="AB64" i="1"/>
  <c r="AC64" i="1" s="1"/>
  <c r="AB185" i="1"/>
  <c r="AC185" i="1" s="1"/>
  <c r="AB196" i="1"/>
  <c r="AC196" i="1" s="1"/>
  <c r="Z162" i="1"/>
  <c r="Z86" i="1"/>
  <c r="Z112" i="1"/>
  <c r="AB39" i="1"/>
  <c r="AC39" i="1" s="1"/>
  <c r="Z30" i="1"/>
  <c r="AB113" i="1"/>
  <c r="AC113" i="1" s="1"/>
  <c r="AB145" i="1"/>
  <c r="AC145" i="1" s="1"/>
  <c r="AB54" i="1"/>
  <c r="AC54" i="1" s="1"/>
  <c r="Z102" i="1"/>
  <c r="AB32" i="1"/>
  <c r="AC32" i="1" s="1"/>
  <c r="AB197" i="1"/>
  <c r="AC197" i="1" s="1"/>
  <c r="AB136" i="1"/>
  <c r="AC136" i="1" s="1"/>
  <c r="AB84" i="1"/>
  <c r="AC84" i="1" s="1"/>
  <c r="AB79" i="1"/>
  <c r="AC79" i="1" s="1"/>
  <c r="Z165" i="1"/>
  <c r="AB55" i="1"/>
  <c r="AC55" i="1" s="1"/>
  <c r="AB142" i="1"/>
  <c r="AC142" i="1" s="1"/>
  <c r="Z110" i="1"/>
  <c r="Z26" i="1"/>
  <c r="Z76" i="1"/>
  <c r="AB92" i="1"/>
  <c r="AC92" i="1" s="1"/>
  <c r="AB86" i="1"/>
  <c r="AC86" i="1" s="1"/>
  <c r="AB30" i="1"/>
  <c r="AC30" i="1" s="1"/>
  <c r="AB72" i="1"/>
  <c r="AC72" i="1" s="1"/>
  <c r="AB141" i="1"/>
  <c r="AC141" i="1" s="1"/>
  <c r="AB166" i="1"/>
  <c r="AC166" i="1" s="1"/>
  <c r="AB137" i="1"/>
  <c r="AC137" i="1" s="1"/>
  <c r="AB106" i="1"/>
  <c r="AC106" i="1" s="1"/>
  <c r="AB192" i="1"/>
  <c r="AC192" i="1" s="1"/>
  <c r="AB193" i="1"/>
  <c r="AC193" i="1" s="1"/>
  <c r="Z31" i="1"/>
  <c r="AB2" i="1"/>
  <c r="AC2" i="1" s="1"/>
  <c r="AB66" i="1"/>
  <c r="AC66" i="1" s="1"/>
  <c r="AB60" i="1"/>
  <c r="AC60" i="1" s="1"/>
  <c r="AB162" i="1"/>
  <c r="AC162" i="1" s="1"/>
  <c r="Z191" i="1"/>
  <c r="AB3" i="1"/>
  <c r="AC3" i="1" s="1"/>
  <c r="AB174" i="1"/>
  <c r="AC174" i="1" s="1"/>
  <c r="AB143" i="1"/>
  <c r="AC143" i="1" s="1"/>
  <c r="AB53" i="1"/>
  <c r="AC53" i="1" s="1"/>
  <c r="Z72" i="1"/>
  <c r="AB24" i="1"/>
  <c r="AC24" i="1" s="1"/>
  <c r="AB128" i="1"/>
  <c r="AC128" i="1" s="1"/>
  <c r="AB105" i="1"/>
  <c r="AC105" i="1" s="1"/>
  <c r="Z107" i="1"/>
  <c r="AB23" i="1"/>
  <c r="AC23" i="1" s="1"/>
  <c r="AB163" i="1"/>
  <c r="AC163" i="1" s="1"/>
  <c r="Z78" i="1"/>
  <c r="AB187" i="1"/>
  <c r="AC187" i="1" s="1"/>
  <c r="Z123" i="1"/>
  <c r="Z39" i="1"/>
  <c r="Z153" i="1"/>
  <c r="AB88" i="1"/>
  <c r="AC88" i="1" s="1"/>
  <c r="AB184" i="1"/>
  <c r="AC184" i="1" s="1"/>
  <c r="AB201" i="1"/>
  <c r="AC201" i="1" s="1"/>
  <c r="AB35" i="1"/>
  <c r="AC35" i="1" s="1"/>
  <c r="AB8" i="1"/>
  <c r="AC8" i="1" s="1"/>
  <c r="Z106" i="1"/>
  <c r="AB121" i="1"/>
  <c r="AC121" i="1" s="1"/>
  <c r="AB15" i="1"/>
  <c r="AC15" i="1" s="1"/>
  <c r="AB178" i="1"/>
  <c r="AC178" i="1" s="1"/>
  <c r="AB41" i="1"/>
  <c r="AC41" i="1" s="1"/>
  <c r="AB42" i="1"/>
  <c r="AC42" i="1" s="1"/>
  <c r="AB118" i="1"/>
  <c r="AC118" i="1" s="1"/>
  <c r="AB125" i="1"/>
  <c r="AC125" i="1" s="1"/>
  <c r="AB148" i="1"/>
  <c r="AC148" i="1" s="1"/>
  <c r="AB110" i="1"/>
  <c r="AC110" i="1" s="1"/>
  <c r="AB37" i="1"/>
  <c r="AC37" i="1" s="1"/>
  <c r="AB114" i="1"/>
  <c r="AC114" i="1" s="1"/>
  <c r="Z62" i="1"/>
  <c r="AB4" i="1"/>
  <c r="AC4" i="1" s="1"/>
  <c r="AB91" i="1"/>
  <c r="AC91" i="1" s="1"/>
  <c r="AB50" i="1"/>
  <c r="AC50" i="1" s="1"/>
  <c r="Z132" i="1"/>
  <c r="Z151" i="1"/>
  <c r="AB165" i="1"/>
  <c r="AC165" i="1" s="1"/>
  <c r="AB76" i="1"/>
  <c r="AC76" i="1" s="1"/>
  <c r="AB68" i="1"/>
  <c r="AC68" i="1" s="1"/>
  <c r="Z32" i="1"/>
  <c r="Z119" i="1"/>
  <c r="AB175" i="1"/>
  <c r="AC175" i="1" s="1"/>
  <c r="AB152" i="1"/>
  <c r="AC152" i="1" s="1"/>
  <c r="AB195" i="1"/>
  <c r="AC195" i="1" s="1"/>
  <c r="Z53" i="1"/>
  <c r="Z188" i="1"/>
  <c r="R33" i="2"/>
  <c r="AR22" i="1" s="1"/>
  <c r="G126" i="1"/>
  <c r="Z10" i="1"/>
  <c r="Z46" i="1"/>
  <c r="Z178" i="1"/>
  <c r="Z71" i="1"/>
  <c r="AB11" i="1"/>
  <c r="AC11" i="1" s="1"/>
  <c r="AB59" i="1"/>
  <c r="AC59" i="1" s="1"/>
  <c r="AB38" i="1"/>
  <c r="AC38" i="1" s="1"/>
  <c r="Z84" i="1"/>
  <c r="Z117" i="1"/>
  <c r="AB82" i="1"/>
  <c r="AC82" i="1" s="1"/>
  <c r="B13" i="3"/>
  <c r="B6" i="5" s="1"/>
  <c r="B7" i="5" s="1"/>
  <c r="Z149" i="1"/>
  <c r="R94" i="2"/>
  <c r="AR84" i="1" s="1"/>
  <c r="AB90" i="1"/>
  <c r="AC90" i="1" s="1"/>
  <c r="AB17" i="1"/>
  <c r="AC17" i="1" s="1"/>
  <c r="Z176" i="1"/>
  <c r="Z133" i="1"/>
  <c r="AB133" i="1"/>
  <c r="AC133" i="1" s="1"/>
  <c r="AB111" i="1"/>
  <c r="AC111" i="1" s="1"/>
  <c r="AB78" i="1"/>
  <c r="AC78" i="1" s="1"/>
  <c r="AB34" i="1"/>
  <c r="AC34" i="1" s="1"/>
  <c r="AB48" i="1"/>
  <c r="AC48" i="1" s="1"/>
  <c r="AB49" i="1"/>
  <c r="AC49" i="1" s="1"/>
  <c r="Z101" i="1"/>
  <c r="Z124" i="1"/>
  <c r="Z19" i="1"/>
  <c r="Z181" i="1"/>
  <c r="Z168" i="1"/>
  <c r="R60" i="2"/>
  <c r="AB74" i="1"/>
  <c r="AC74" i="1" s="1"/>
  <c r="AB176" i="1"/>
  <c r="AC176" i="1" s="1"/>
  <c r="AB130" i="1"/>
  <c r="AC130" i="1" s="1"/>
  <c r="AB100" i="1"/>
  <c r="AC100" i="1" s="1"/>
  <c r="AB47" i="1"/>
  <c r="AC47" i="1" s="1"/>
  <c r="AB167" i="1"/>
  <c r="AC167" i="1" s="1"/>
  <c r="AB149" i="1"/>
  <c r="AC149" i="1" s="1"/>
  <c r="Z13" i="1"/>
  <c r="Z79" i="1"/>
  <c r="Z126" i="1"/>
  <c r="Z140" i="1"/>
  <c r="Z40" i="1"/>
  <c r="AB153" i="1"/>
  <c r="AC153" i="1" s="1"/>
  <c r="AB198" i="1"/>
  <c r="AC198" i="1" s="1"/>
  <c r="AB117" i="1"/>
  <c r="AC117" i="1" s="1"/>
  <c r="AB124" i="1"/>
  <c r="AC124" i="1" s="1"/>
  <c r="AB16" i="1"/>
  <c r="AC16" i="1" s="1"/>
  <c r="Z73" i="1"/>
  <c r="Z180" i="1"/>
  <c r="Z182" i="1"/>
  <c r="Z98" i="1"/>
  <c r="Z198" i="1"/>
  <c r="AB147" i="1"/>
  <c r="AC147" i="1" s="1"/>
  <c r="Z57" i="1"/>
  <c r="Z63" i="1"/>
  <c r="AB188" i="1"/>
  <c r="AC188" i="1" s="1"/>
  <c r="AB161" i="1"/>
  <c r="AC161" i="1" s="1"/>
  <c r="AB164" i="1"/>
  <c r="AC164" i="1" s="1"/>
  <c r="AB108" i="1"/>
  <c r="AC108" i="1" s="1"/>
  <c r="AB7" i="1"/>
  <c r="AC7" i="1" s="1"/>
  <c r="AB67" i="1"/>
  <c r="AC67" i="1" s="1"/>
  <c r="Z75" i="1"/>
  <c r="Z25" i="1"/>
  <c r="Z77" i="1"/>
  <c r="Z87" i="1"/>
  <c r="Z69" i="1"/>
  <c r="R77" i="2"/>
  <c r="AB170" i="1"/>
  <c r="AC170" i="1" s="1"/>
  <c r="AB73" i="1"/>
  <c r="AC73" i="1" s="1"/>
  <c r="AB29" i="1"/>
  <c r="AC29" i="1" s="1"/>
  <c r="AB144" i="1"/>
  <c r="AC144" i="1" s="1"/>
  <c r="Z135" i="1"/>
  <c r="AB168" i="1"/>
  <c r="AC168" i="1" s="1"/>
  <c r="AB21" i="1"/>
  <c r="AC21" i="1" s="1"/>
  <c r="AB14" i="1"/>
  <c r="AC14" i="1" s="1"/>
  <c r="AB126" i="1"/>
  <c r="AC126" i="1" s="1"/>
  <c r="AB22" i="1"/>
  <c r="AC22" i="1" s="1"/>
  <c r="AB107" i="1"/>
  <c r="AC107" i="1" s="1"/>
  <c r="AB173" i="1"/>
  <c r="AC173" i="1" s="1"/>
  <c r="AB98" i="1"/>
  <c r="AC98" i="1" s="1"/>
  <c r="AB89" i="1"/>
  <c r="AC89" i="1" s="1"/>
  <c r="AB131" i="1"/>
  <c r="AC131" i="1" s="1"/>
  <c r="AB157" i="1"/>
  <c r="AC157" i="1" s="1"/>
  <c r="Z38" i="1"/>
  <c r="Z34" i="1"/>
  <c r="Z80" i="1"/>
  <c r="Z134" i="1"/>
  <c r="Z167" i="1"/>
  <c r="AB26" i="1"/>
  <c r="AC26" i="1" s="1"/>
  <c r="AB27" i="1"/>
  <c r="AC27" i="1" s="1"/>
  <c r="Z159" i="1"/>
  <c r="Z108" i="1"/>
  <c r="AB119" i="1"/>
  <c r="AC119" i="1" s="1"/>
  <c r="AB171" i="1"/>
  <c r="AC171" i="1" s="1"/>
  <c r="AB95" i="1"/>
  <c r="AC95" i="1" s="1"/>
  <c r="AB103" i="1"/>
  <c r="AC103" i="1" s="1"/>
  <c r="AB155" i="1"/>
  <c r="AC155" i="1" s="1"/>
  <c r="AB5" i="1"/>
  <c r="AC5" i="1" s="1"/>
  <c r="AB46" i="1"/>
  <c r="AC46" i="1" s="1"/>
  <c r="Z173" i="1"/>
  <c r="Z131" i="1"/>
  <c r="Z118" i="1"/>
  <c r="Z160" i="1"/>
  <c r="Z81" i="1"/>
  <c r="AB194" i="1"/>
  <c r="AC194" i="1" s="1"/>
  <c r="AB93" i="1"/>
  <c r="AC93" i="1" s="1"/>
  <c r="AB85" i="1"/>
  <c r="AC85" i="1" s="1"/>
  <c r="AB9" i="1"/>
  <c r="AC9" i="1" s="1"/>
  <c r="AB57" i="1"/>
  <c r="AC57" i="1" s="1"/>
  <c r="AB12" i="1"/>
  <c r="AC12" i="1" s="1"/>
  <c r="Z170" i="1"/>
  <c r="Z41" i="1"/>
  <c r="Z185" i="1"/>
  <c r="Z141" i="1"/>
  <c r="AB191" i="1"/>
  <c r="AC191" i="1" s="1"/>
  <c r="AB200" i="1"/>
  <c r="AC200" i="1" s="1"/>
  <c r="AB13" i="1"/>
  <c r="AC13" i="1" s="1"/>
  <c r="AB33" i="1"/>
  <c r="AC33" i="1" s="1"/>
  <c r="AB71" i="1"/>
  <c r="AC71" i="1" s="1"/>
  <c r="AB109" i="1"/>
  <c r="AC109" i="1" s="1"/>
  <c r="AB135" i="1"/>
  <c r="AC135" i="1" s="1"/>
  <c r="AB150" i="1"/>
  <c r="AC150" i="1" s="1"/>
  <c r="AB19" i="1"/>
  <c r="AC19" i="1" s="1"/>
  <c r="AB160" i="1"/>
  <c r="AC160" i="1" s="1"/>
  <c r="Z12" i="1"/>
  <c r="Z52" i="1"/>
  <c r="Z6" i="1"/>
  <c r="Z139" i="1"/>
  <c r="AB6" i="1"/>
  <c r="AC6" i="1" s="1"/>
  <c r="AB94" i="1"/>
  <c r="AC94" i="1" s="1"/>
  <c r="AB65" i="1"/>
  <c r="AC65" i="1" s="1"/>
  <c r="AB102" i="1"/>
  <c r="AC102" i="1" s="1"/>
  <c r="AB77" i="1"/>
  <c r="AC77" i="1" s="1"/>
  <c r="AB80" i="1"/>
  <c r="AC80" i="1" s="1"/>
  <c r="AB177" i="1"/>
  <c r="AC177" i="1" s="1"/>
  <c r="AB154" i="1"/>
  <c r="AC154" i="1" s="1"/>
  <c r="AB182" i="1"/>
  <c r="AC182" i="1" s="1"/>
  <c r="AB116" i="1"/>
  <c r="AC116" i="1" s="1"/>
  <c r="AB56" i="1"/>
  <c r="AC56" i="1" s="1"/>
  <c r="AB123" i="1"/>
  <c r="AC123" i="1" s="1"/>
  <c r="AB75" i="1"/>
  <c r="AC75" i="1" s="1"/>
  <c r="AB181" i="1"/>
  <c r="AC181" i="1" s="1"/>
  <c r="Z49" i="1"/>
  <c r="Z99" i="1"/>
  <c r="Z94" i="1"/>
  <c r="AB70" i="1"/>
  <c r="AC70" i="1" s="1"/>
  <c r="AB10" i="1"/>
  <c r="AC10" i="1" s="1"/>
  <c r="AB129" i="1"/>
  <c r="AC129" i="1" s="1"/>
  <c r="AB52" i="1"/>
  <c r="AC52" i="1" s="1"/>
  <c r="AB169" i="1"/>
  <c r="AC169" i="1" s="1"/>
  <c r="AB146" i="1"/>
  <c r="AC146" i="1" s="1"/>
  <c r="AB81" i="1"/>
  <c r="AC81" i="1" s="1"/>
  <c r="AB18" i="1"/>
  <c r="AC18" i="1" s="1"/>
  <c r="AB25" i="1"/>
  <c r="AC25" i="1" s="1"/>
  <c r="AB97" i="1"/>
  <c r="AC97" i="1" s="1"/>
  <c r="AB69" i="1"/>
  <c r="AC69" i="1" s="1"/>
  <c r="AB199" i="1"/>
  <c r="AC199" i="1" s="1"/>
  <c r="AB104" i="1"/>
  <c r="AC104" i="1" s="1"/>
  <c r="AB120" i="1"/>
  <c r="AC120" i="1" s="1"/>
  <c r="AB61" i="1"/>
  <c r="AC61" i="1" s="1"/>
  <c r="AB36" i="1"/>
  <c r="AC36" i="1" s="1"/>
  <c r="AB44" i="1"/>
  <c r="AC44" i="1" s="1"/>
  <c r="AB122" i="1"/>
  <c r="AC122" i="1" s="1"/>
  <c r="Z29" i="1"/>
  <c r="Z155" i="1"/>
  <c r="Z154" i="1"/>
  <c r="Z97" i="1"/>
  <c r="AB172" i="1"/>
  <c r="AC172" i="1" s="1"/>
  <c r="AB134" i="1"/>
  <c r="AC134" i="1" s="1"/>
  <c r="AB159" i="1"/>
  <c r="AC159" i="1" s="1"/>
  <c r="AB151" i="1"/>
  <c r="AC151" i="1" s="1"/>
  <c r="Z23" i="1"/>
  <c r="Z9" i="1"/>
  <c r="Z100" i="1"/>
  <c r="Z37" i="1"/>
  <c r="Z196" i="1"/>
  <c r="Z22" i="1"/>
  <c r="Z127" i="1"/>
  <c r="AB87" i="1"/>
  <c r="AC87" i="1" s="1"/>
  <c r="AB40" i="1"/>
  <c r="AC40" i="1" s="1"/>
  <c r="AB183" i="1"/>
  <c r="AC183" i="1" s="1"/>
  <c r="AB45" i="1"/>
  <c r="AC45" i="1" s="1"/>
  <c r="AB43" i="1"/>
  <c r="AC43" i="1" s="1"/>
  <c r="AB189" i="1"/>
  <c r="AC189" i="1" s="1"/>
  <c r="Z16" i="1"/>
  <c r="Z82" i="1"/>
  <c r="Z193" i="1"/>
  <c r="Z70" i="1"/>
  <c r="Z24" i="1"/>
  <c r="Z109" i="1"/>
  <c r="Z158" i="1"/>
  <c r="R19" i="2"/>
  <c r="R130" i="2"/>
  <c r="AR125" i="1" s="1"/>
  <c r="AB132" i="1"/>
  <c r="AC132" i="1" s="1"/>
  <c r="Z35" i="1"/>
  <c r="Z115" i="1"/>
  <c r="Z5" i="1"/>
  <c r="Z20" i="1"/>
  <c r="Z129" i="1"/>
  <c r="Z65" i="1"/>
  <c r="Z14" i="1"/>
  <c r="Z114" i="1"/>
  <c r="Z103" i="1"/>
  <c r="Z161" i="1"/>
  <c r="Z48" i="1"/>
  <c r="Z136" i="1"/>
  <c r="Z148" i="1"/>
  <c r="Z96" i="1"/>
  <c r="Z88" i="1"/>
  <c r="Z197" i="1"/>
  <c r="Z122" i="1"/>
  <c r="Z47" i="1"/>
  <c r="Z137" i="1"/>
  <c r="Z130" i="1"/>
  <c r="Z190" i="1"/>
  <c r="Z183" i="1"/>
  <c r="Z56" i="1"/>
  <c r="Z105" i="1"/>
  <c r="Z200" i="1"/>
  <c r="Z2" i="1"/>
  <c r="Z172" i="1"/>
  <c r="Z166" i="1"/>
  <c r="Z179" i="1"/>
  <c r="Z144" i="1"/>
  <c r="Z174" i="1"/>
  <c r="Z195" i="1"/>
  <c r="Z18" i="1"/>
  <c r="Z184" i="1"/>
  <c r="Z67" i="1"/>
  <c r="Z201" i="1"/>
  <c r="Z51" i="1"/>
  <c r="Z91" i="1"/>
  <c r="Z44" i="1"/>
  <c r="Z189" i="1"/>
  <c r="Z21" i="1"/>
  <c r="Z146" i="1"/>
  <c r="Z104" i="1"/>
  <c r="AB179" i="1"/>
  <c r="AC179" i="1" s="1"/>
  <c r="Z120" i="1"/>
  <c r="Z74" i="1"/>
  <c r="Z143" i="1"/>
  <c r="Z164" i="1"/>
  <c r="Z125" i="1"/>
  <c r="Z163" i="1"/>
  <c r="R121" i="2"/>
  <c r="Z27" i="1"/>
  <c r="Z33" i="1"/>
  <c r="Z7" i="1"/>
  <c r="Z11" i="1"/>
  <c r="Z4" i="1"/>
  <c r="Z157" i="1"/>
  <c r="Z59" i="1"/>
  <c r="Z28" i="1"/>
  <c r="Z58" i="1"/>
  <c r="Z3" i="1"/>
  <c r="R21" i="2"/>
  <c r="Z111" i="1"/>
  <c r="Z36" i="1"/>
  <c r="Z90" i="1"/>
  <c r="Z17" i="1"/>
  <c r="Z116" i="1"/>
  <c r="Z61" i="1"/>
  <c r="Z60" i="1"/>
  <c r="Z199" i="1"/>
  <c r="Z152" i="1"/>
  <c r="Z68" i="1"/>
  <c r="R59" i="2"/>
  <c r="AB62" i="1"/>
  <c r="AC62" i="1" s="1"/>
  <c r="AB139" i="1"/>
  <c r="AC139" i="1" s="1"/>
  <c r="AB99" i="1"/>
  <c r="AC99" i="1" s="1"/>
  <c r="AB58" i="1"/>
  <c r="AC58" i="1" s="1"/>
  <c r="AB156" i="1"/>
  <c r="AC156" i="1" s="1"/>
  <c r="AB63" i="1"/>
  <c r="AC63" i="1" s="1"/>
  <c r="AB31" i="1"/>
  <c r="AC31" i="1" s="1"/>
  <c r="Z85" i="1"/>
  <c r="Z92" i="1"/>
  <c r="Z43" i="1"/>
  <c r="Z192" i="1"/>
  <c r="Z66" i="1"/>
  <c r="Z142" i="1"/>
  <c r="Z45" i="1"/>
  <c r="Z113" i="1"/>
  <c r="Z177" i="1"/>
  <c r="Z50" i="1"/>
  <c r="Z54" i="1"/>
  <c r="R4" i="2"/>
  <c r="AR3" i="1" s="1"/>
  <c r="AB28" i="1"/>
  <c r="AC28" i="1" s="1"/>
  <c r="Z89" i="1"/>
  <c r="Z128" i="1"/>
  <c r="Z169" i="1"/>
  <c r="Z186" i="1"/>
  <c r="Z138" i="1"/>
  <c r="Z64" i="1"/>
  <c r="Z175" i="1"/>
  <c r="Z171" i="1"/>
  <c r="Z121" i="1"/>
  <c r="Z42" i="1"/>
  <c r="AB127" i="1"/>
  <c r="AC127" i="1" s="1"/>
  <c r="AB190" i="1"/>
  <c r="AC190" i="1" s="1"/>
  <c r="AB96" i="1"/>
  <c r="AC96" i="1" s="1"/>
  <c r="AB180" i="1"/>
  <c r="AC180" i="1" s="1"/>
  <c r="AB115" i="1"/>
  <c r="AC115" i="1" s="1"/>
  <c r="AB138" i="1"/>
  <c r="AC138" i="1" s="1"/>
  <c r="AB186" i="1"/>
  <c r="AC186" i="1" s="1"/>
  <c r="Z55" i="1"/>
  <c r="Z147" i="1"/>
  <c r="Z8" i="1"/>
  <c r="Z187" i="1"/>
  <c r="Z156" i="1"/>
  <c r="Z83" i="1"/>
  <c r="Z15" i="1"/>
  <c r="Z194" i="1"/>
  <c r="Z150" i="1"/>
  <c r="R95" i="2"/>
  <c r="AR85" i="1" s="1"/>
  <c r="R44" i="2"/>
  <c r="AR39" i="1" s="1"/>
  <c r="R109" i="2"/>
  <c r="AR95" i="1" s="1"/>
  <c r="R127" i="2"/>
  <c r="AR116" i="1" s="1"/>
  <c r="R24" i="2"/>
  <c r="R128" i="2"/>
  <c r="R47" i="2"/>
  <c r="R120" i="2"/>
  <c r="R57" i="2"/>
  <c r="R84" i="2"/>
  <c r="R56" i="2"/>
  <c r="R112" i="2"/>
  <c r="AR97" i="1" s="1"/>
  <c r="R7" i="2"/>
  <c r="R17" i="2"/>
  <c r="R115" i="2"/>
  <c r="R99" i="2"/>
  <c r="R116" i="2"/>
  <c r="R53" i="2"/>
  <c r="AR48" i="1" s="1"/>
  <c r="R50" i="2"/>
  <c r="AR44" i="1" s="1"/>
  <c r="R6" i="2"/>
  <c r="R36" i="2"/>
  <c r="AR29" i="1" s="1"/>
  <c r="R73" i="2"/>
  <c r="R26" i="2"/>
  <c r="AR17" i="1" s="1"/>
  <c r="G125" i="1"/>
  <c r="R123" i="2"/>
  <c r="AR111" i="1" s="1"/>
  <c r="R129" i="2"/>
  <c r="R96" i="2"/>
  <c r="R83" i="2"/>
  <c r="R64" i="2"/>
  <c r="R98" i="2"/>
  <c r="R35" i="2"/>
  <c r="AR26" i="1" s="1"/>
  <c r="R16" i="2"/>
  <c r="G123" i="1"/>
  <c r="G124" i="1"/>
  <c r="R37" i="2"/>
  <c r="AR30" i="1" s="1"/>
  <c r="R20" i="2"/>
  <c r="R52" i="2"/>
  <c r="R11" i="2"/>
  <c r="R78" i="2"/>
  <c r="R39" i="2"/>
  <c r="AR34" i="1" s="1"/>
  <c r="R125" i="2"/>
  <c r="R71" i="2"/>
  <c r="R76" i="2"/>
  <c r="R31" i="2"/>
  <c r="AR19" i="1" s="1"/>
  <c r="R108" i="2"/>
  <c r="R48" i="2"/>
  <c r="AR42" i="1" s="1"/>
  <c r="R101" i="2"/>
  <c r="R93" i="2"/>
  <c r="AR82" i="1" s="1"/>
  <c r="R126" i="2"/>
  <c r="R69" i="2"/>
  <c r="AR64" i="1" s="1"/>
  <c r="R40" i="2"/>
  <c r="AR36" i="1" s="1"/>
  <c r="R89" i="2"/>
  <c r="R90" i="2"/>
  <c r="R117" i="2"/>
  <c r="AR101" i="1" s="1"/>
  <c r="R88" i="2"/>
  <c r="R103" i="2"/>
  <c r="R79" i="2"/>
  <c r="AR71" i="1" s="1"/>
  <c r="R22" i="2"/>
  <c r="R2" i="2"/>
  <c r="R91" i="2"/>
  <c r="R65" i="2"/>
  <c r="R51" i="2"/>
  <c r="R68" i="2"/>
  <c r="AR63" i="1" s="1"/>
  <c r="R38" i="2"/>
  <c r="AR32" i="1" s="1"/>
  <c r="R85" i="2"/>
  <c r="R118" i="2"/>
  <c r="R25" i="2"/>
  <c r="R42" i="2"/>
  <c r="R66" i="2"/>
  <c r="R32" i="2"/>
  <c r="AR21" i="1" s="1"/>
  <c r="R61" i="2"/>
  <c r="AR52" i="1" s="1"/>
  <c r="R63" i="2"/>
  <c r="R107" i="2"/>
  <c r="R87" i="2"/>
  <c r="R46" i="2"/>
  <c r="R14" i="2"/>
  <c r="R82" i="2"/>
  <c r="R15" i="2"/>
  <c r="R28" i="2"/>
  <c r="R75" i="2"/>
  <c r="R18" i="2"/>
  <c r="AR12" i="1" s="1"/>
  <c r="R41" i="2"/>
  <c r="R114" i="2"/>
  <c r="AR99" i="1" s="1"/>
  <c r="R29" i="2"/>
  <c r="R122" i="2"/>
  <c r="AR106" i="1" s="1"/>
  <c r="R97" i="2"/>
  <c r="R45" i="2"/>
  <c r="AR40" i="1" s="1"/>
  <c r="R12" i="2"/>
  <c r="AR6" i="1" s="1"/>
  <c r="R113" i="2"/>
  <c r="AR98" i="1" s="1"/>
  <c r="R34" i="2"/>
  <c r="AR24" i="1" s="1"/>
  <c r="R105" i="2"/>
  <c r="R9" i="2"/>
  <c r="R74" i="2"/>
  <c r="R80" i="2"/>
  <c r="R104" i="2"/>
  <c r="R49" i="2"/>
  <c r="AR43" i="1" s="1"/>
  <c r="R72" i="2"/>
  <c r="R23" i="2"/>
  <c r="R110" i="2"/>
  <c r="AR96" i="1" s="1"/>
  <c r="R92" i="2"/>
  <c r="AR79" i="1" s="1"/>
  <c r="R58" i="2"/>
  <c r="R3" i="2"/>
  <c r="R67" i="2"/>
  <c r="R106" i="2"/>
  <c r="R124" i="2"/>
  <c r="AR113" i="1" s="1"/>
  <c r="AR51" i="1" l="1"/>
  <c r="AR13" i="1"/>
  <c r="AR121" i="1"/>
  <c r="AR41" i="1"/>
  <c r="AR15" i="1"/>
  <c r="AR61" i="1"/>
  <c r="AR49" i="1"/>
  <c r="AR4" i="1"/>
  <c r="AR86" i="1"/>
  <c r="AR100" i="1"/>
  <c r="AR11" i="1"/>
  <c r="AR87" i="1"/>
  <c r="AR102" i="1"/>
  <c r="AR74" i="1"/>
  <c r="AR66" i="1"/>
  <c r="AR7" i="1"/>
  <c r="AR72" i="1"/>
  <c r="AR5" i="1"/>
  <c r="AR16" i="1"/>
  <c r="AR88" i="1"/>
  <c r="AR93" i="1"/>
  <c r="AR77" i="1"/>
  <c r="AR76" i="1"/>
  <c r="AR62" i="1"/>
  <c r="AR2" i="1"/>
  <c r="AR37" i="1"/>
  <c r="AR46" i="1"/>
  <c r="AR65" i="1"/>
  <c r="AR69" i="1"/>
  <c r="AR115" i="1"/>
  <c r="AR89" i="1"/>
  <c r="AR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000-000001000000}">
      <text>
        <r>
          <rPr>
            <sz val="10"/>
            <rFont val="Noto Sans CJK SC"/>
            <family val="1"/>
          </rPr>
          <t>开仓时从“账户数据”的当前总金额复制，并粘贴为数值；不要保留公式。</t>
        </r>
      </text>
    </comment>
    <comment ref="D1" authorId="0" shapeId="0" xr:uid="{00000000-0006-0000-0000-000002000000}">
      <text>
        <r>
          <rPr>
            <sz val="10"/>
            <rFont val="Noto Sans CJK SC"/>
            <family val="1"/>
          </rPr>
          <t>开仓时从“账户数据”的单次交易允许亏损比例复制，并粘贴为数值。</t>
        </r>
      </text>
    </comment>
    <comment ref="F1" authorId="0" shapeId="0" xr:uid="{00000000-0006-0000-0000-000003000000}">
      <text>
        <r>
          <rPr>
            <sz val="10"/>
            <rFont val="Noto Sans CJK SC"/>
            <family val="1"/>
          </rPr>
          <t>按账户快照、本次风险比例和止损距离计算；仅作仓位建议。</t>
        </r>
      </text>
    </comment>
    <comment ref="G1" authorId="0" shapeId="0" xr:uid="{00000000-0006-0000-0000-000004000000}">
      <text>
        <r>
          <rPr>
            <sz val="10"/>
            <rFont val="Noto Sans CJK SC"/>
            <family val="1"/>
          </rPr>
          <t>开仓风险告警检查账户锁仓状态、交易预期和风险额度。精简版不再依赖持仓跟踪表。</t>
        </r>
      </text>
    </comment>
    <comment ref="H1" authorId="0" shapeId="0" xr:uid="{00000000-0006-0000-0000-000005000000}">
      <text>
        <r>
          <rPr>
            <sz val="10"/>
            <rFont val="Noto Sans CJK SC"/>
            <family val="1"/>
          </rPr>
          <t>手动填写实际成交股数；后续盈亏、收益率和统计均引用此列。</t>
        </r>
      </text>
    </comment>
    <comment ref="L1" authorId="0" shapeId="0" xr:uid="{00000000-0006-0000-0000-000006000000}">
      <text>
        <r>
          <rPr>
            <sz val="10"/>
            <rFont val="Noto Sans CJK SC"/>
            <family val="1"/>
          </rPr>
          <t>自动等于最终持仓股数：第一批买入股数加上所有已填写的实际加仓股数。无需手工填写。</t>
        </r>
      </text>
    </comment>
    <comment ref="X1" authorId="0" shapeId="0" xr:uid="{00000000-0006-0000-0000-000007000000}">
      <text>
        <r>
          <rPr>
            <sz val="10"/>
            <rFont val="Noto Sans CJK SC"/>
            <family val="1"/>
          </rPr>
          <t>按实际卖出价、实际加权买入价和最终卖出股数计算，并扣除买入总费用与卖出费用。</t>
        </r>
      </text>
    </comment>
    <comment ref="AE1" authorId="0" shapeId="0" xr:uid="{00000000-0006-0000-0000-000008000000}">
      <text>
        <r>
          <rPr>
            <sz val="10"/>
            <rFont val="Noto Sans CJK SC"/>
            <family val="1"/>
          </rPr>
          <t>实际盈亏金额</t>
        </r>
        <r>
          <rPr>
            <sz val="10"/>
            <rFont val="Arial"/>
            <family val="2"/>
          </rPr>
          <t>÷</t>
        </r>
        <r>
          <rPr>
            <sz val="10"/>
            <rFont val="Noto Sans CJK SC"/>
            <family val="1"/>
          </rPr>
          <t>买入时账户金额快照；用于账户口径统计与逐笔复利。</t>
        </r>
      </text>
    </comment>
    <comment ref="AG1" authorId="0" shapeId="0" xr:uid="{00000000-0006-0000-0000-000009000000}">
      <text>
        <r>
          <rPr>
            <sz val="10"/>
            <rFont val="Noto Sans CJK SC"/>
            <family val="1"/>
          </rPr>
          <t>开仓前必选：短期博反弹、突破冲新高或趋势波段。同时必须选择预期持有周期并填写选择理由。</t>
        </r>
      </text>
    </comment>
    <comment ref="AK1" authorId="0" shapeId="0" xr:uid="{00000000-0006-0000-0000-00000A000000}">
      <text>
        <r>
          <rPr>
            <sz val="10"/>
            <rFont val="Noto Sans CJK SC"/>
            <family val="1"/>
          </rPr>
          <t>需要第二批时先填价格，再填股数；股数录入时会检查锁仓和风险上限。</t>
        </r>
      </text>
    </comment>
    <comment ref="AM1" authorId="0" shapeId="0" xr:uid="{00000000-0006-0000-0000-00000B000000}">
      <text>
        <r>
          <rPr>
            <sz val="10"/>
            <rFont val="Noto Sans CJK SC"/>
            <family val="1"/>
          </rPr>
          <t>第三批必须在第二批完整后填写，同样采用先价格、后股数。</t>
        </r>
      </text>
    </comment>
    <comment ref="AR1" authorId="0" shapeId="0" xr:uid="{00000000-0006-0000-0000-00000C000000}">
      <text>
        <r>
          <rPr>
            <sz val="10"/>
            <rFont val="Noto Sans CJK SC"/>
            <family val="1"/>
          </rPr>
          <t>持续审计价格股数配对、批次顺序、整手、锁仓及风险上限；粘贴绕过验证时仍会显示违规。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" authorId="0" shapeId="0" xr:uid="{00000000-0006-0000-0100-000001000000}">
      <text>
        <r>
          <rPr>
            <sz val="10"/>
            <rFont val="Noto Sans CJK SC"/>
            <family val="1"/>
          </rPr>
          <t>每次加仓都填写新的止损价。该止损价用于计算底仓在止损位已经锁定的利润。</t>
        </r>
      </text>
    </comment>
    <comment ref="F1" authorId="0" shapeId="0" xr:uid="{00000000-0006-0000-0100-000002000000}">
      <text>
        <r>
          <rPr>
            <sz val="10"/>
            <rFont val="Noto Sans CJK SC"/>
            <family val="1"/>
          </rPr>
          <t>本次愿意承担的最大净亏损金额。按照金字塔原则，应随加仓次数逐次不增加。</t>
        </r>
      </text>
    </comment>
    <comment ref="G1" authorId="0" shapeId="0" xr:uid="{00000000-0006-0000-0100-000003000000}">
      <text>
        <r>
          <rPr>
            <sz val="10"/>
            <rFont val="Noto Sans CJK SC"/>
            <family val="1"/>
          </rPr>
          <t>成交后填写实际股数，可以少于建议股数。此列不会再因旧开仓股数或旧风险额度而拒绝录入。</t>
        </r>
      </text>
    </comment>
    <comment ref="K1" authorId="0" shapeId="0" xr:uid="{00000000-0006-0000-0100-000004000000}">
      <text>
        <r>
          <rPr>
            <sz val="10"/>
            <rFont val="Noto Sans CJK SC"/>
            <family val="1"/>
          </rPr>
          <t>公式：</t>
        </r>
        <r>
          <rPr>
            <sz val="10"/>
            <rFont val="Arial"/>
            <family val="2"/>
          </rPr>
          <t>max(</t>
        </r>
        <r>
          <rPr>
            <sz val="10"/>
            <rFont val="Noto Sans CJK SC"/>
            <family val="1"/>
          </rPr>
          <t>新止损价</t>
        </r>
        <r>
          <rPr>
            <sz val="10"/>
            <rFont val="Arial"/>
            <family val="2"/>
          </rPr>
          <t>×</t>
        </r>
        <r>
          <rPr>
            <sz val="10"/>
            <rFont val="Noto Sans CJK SC"/>
            <family val="1"/>
          </rPr>
          <t>加仓前股数－加仓前持仓成本</t>
        </r>
        <r>
          <rPr>
            <sz val="10"/>
            <rFont val="Arial"/>
            <family val="2"/>
          </rPr>
          <t>, 0)</t>
        </r>
        <r>
          <rPr>
            <sz val="10"/>
            <rFont val="Noto Sans CJK SC"/>
            <family val="1"/>
          </rPr>
          <t>。锁定利润可抵扣新仓风险。</t>
        </r>
      </text>
    </comment>
    <comment ref="N1" authorId="0" shapeId="0" xr:uid="{00000000-0006-0000-0100-000005000000}">
      <text>
        <r>
          <rPr>
            <sz val="10"/>
            <rFont val="Noto Sans CJK SC"/>
            <family val="1"/>
          </rPr>
          <t>建议股数</t>
        </r>
        <r>
          <rPr>
            <sz val="10"/>
            <rFont val="Arial"/>
            <family val="2"/>
          </rPr>
          <t>=min(</t>
        </r>
        <r>
          <rPr>
            <sz val="10"/>
            <rFont val="Noto Sans CJK SC"/>
            <family val="1"/>
          </rPr>
          <t>风险允许股数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1"/>
          </rPr>
          <t>金字塔上限股数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1"/>
          </rPr>
          <t>，向下取整到</t>
        </r>
        <r>
          <rPr>
            <sz val="10"/>
            <rFont val="Arial"/>
            <family val="2"/>
          </rPr>
          <t>100</t>
        </r>
        <r>
          <rPr>
            <sz val="10"/>
            <rFont val="Noto Sans CJK SC"/>
            <family val="1"/>
          </rPr>
          <t>股。第一次加仓不受首次买入股数硬限制。</t>
        </r>
      </text>
    </comment>
  </commentList>
</comments>
</file>

<file path=xl/sharedStrings.xml><?xml version="1.0" encoding="utf-8"?>
<sst xmlns="http://schemas.openxmlformats.org/spreadsheetml/2006/main" count="696" uniqueCount="158">
  <si>
    <t>交易编号</t>
  </si>
  <si>
    <t>股票代码</t>
  </si>
  <si>
    <t>买入时账户金额</t>
  </si>
  <si>
    <t>本次允许亏损比例</t>
  </si>
  <si>
    <t>第一批买入价</t>
  </si>
  <si>
    <t>买入建议股数</t>
  </si>
  <si>
    <t>开仓风险告警</t>
  </si>
  <si>
    <t>第一批买入股数</t>
  </si>
  <si>
    <t>首次买入日期</t>
  </si>
  <si>
    <t>期望卖出价</t>
  </si>
  <si>
    <t>实际卖出价（填写）</t>
  </si>
  <si>
    <t>最终卖出股数（自动）</t>
  </si>
  <si>
    <t>卖出日期（填写）</t>
  </si>
  <si>
    <t>止损价</t>
  </si>
  <si>
    <t>买入总费用</t>
  </si>
  <si>
    <t>卖出费用（填写）</t>
  </si>
  <si>
    <t>买入价的由来</t>
  </si>
  <si>
    <t>止损价的由来</t>
  </si>
  <si>
    <t>期望卖出价的由来</t>
  </si>
  <si>
    <t>实际卖出价的由来</t>
  </si>
  <si>
    <t>期望盈利比例</t>
  </si>
  <si>
    <t>期望止损比例</t>
  </si>
  <si>
    <t>盈亏比</t>
  </si>
  <si>
    <t>加权后实际盈亏</t>
  </si>
  <si>
    <t>单笔仓位收益率</t>
  </si>
  <si>
    <t>账户收益率与平均盈利率差值</t>
  </si>
  <si>
    <t>持有天数</t>
  </si>
  <si>
    <t>复利容许平均亏损上限</t>
  </si>
  <si>
    <t>复利风险判断</t>
  </si>
  <si>
    <t>交易打分评价</t>
  </si>
  <si>
    <t>实际账户收益率</t>
  </si>
  <si>
    <t>列1</t>
  </si>
  <si>
    <t>交易预期类型</t>
  </si>
  <si>
    <t>预期持有周期</t>
  </si>
  <si>
    <t>预期选择理由</t>
  </si>
  <si>
    <t>周期匹配检查</t>
  </si>
  <si>
    <t>已执行加仓次数</t>
  </si>
  <si>
    <t>加仓总股数</t>
  </si>
  <si>
    <t>最近加仓价</t>
  </si>
  <si>
    <t>最新加仓止损价</t>
  </si>
  <si>
    <t>实际加权买入价</t>
  </si>
  <si>
    <t>最终持仓股数</t>
  </si>
  <si>
    <t>当前净止损风险</t>
  </si>
  <si>
    <t>加仓规则检查</t>
  </si>
  <si>
    <t>中国卫通</t>
  </si>
  <si>
    <t>突破冲新高</t>
  </si>
  <si>
    <t>4～10个交易日</t>
  </si>
  <si>
    <t>新高</t>
  </si>
  <si>
    <t>短期博反弹</t>
  </si>
  <si>
    <t>吸筹</t>
  </si>
  <si>
    <t>反弹</t>
  </si>
  <si>
    <t>趋势波段</t>
  </si>
  <si>
    <t>11～20个交易日</t>
  </si>
  <si>
    <t>华工科技</t>
  </si>
  <si>
    <t>21～60个交易日</t>
  </si>
  <si>
    <t>亿纬锂能</t>
  </si>
  <si>
    <t>加仓序号(1-5)</t>
  </si>
  <si>
    <t>加仓日期</t>
  </si>
  <si>
    <t>加仓价</t>
  </si>
  <si>
    <t>新止损价</t>
  </si>
  <si>
    <t>本次风险预算金额</t>
  </si>
  <si>
    <t>实际加仓股数</t>
  </si>
  <si>
    <t>本次买入金额</t>
  </si>
  <si>
    <t>加仓前持仓股数</t>
  </si>
  <si>
    <t>加仓前持仓成本</t>
  </si>
  <si>
    <t>新止损下底仓锁定利润</t>
  </si>
  <si>
    <t>风险允许股数</t>
  </si>
  <si>
    <t>金字塔上限股数</t>
  </si>
  <si>
    <t>建议加仓股数</t>
  </si>
  <si>
    <t>加仓后累计股数</t>
  </si>
  <si>
    <t>加仓后加权成本</t>
  </si>
  <si>
    <t>加仓后止损风险</t>
  </si>
  <si>
    <t>规则检查</t>
  </si>
  <si>
    <t>指标</t>
  </si>
  <si>
    <t>当前统计</t>
  </si>
  <si>
    <t>口径说明</t>
  </si>
  <si>
    <t>已完成交易数</t>
  </si>
  <si>
    <t>存在卖出日期的交易</t>
  </si>
  <si>
    <t>盈利交易数</t>
  </si>
  <si>
    <t>实际盈亏金额大于0</t>
  </si>
  <si>
    <t>亏损交易数</t>
  </si>
  <si>
    <t>实际盈亏金额小于0</t>
  </si>
  <si>
    <t>持平交易数</t>
  </si>
  <si>
    <t>已卖出且实际盈亏为0；不进入胜负样本</t>
  </si>
  <si>
    <t>盈利概率</t>
  </si>
  <si>
    <t>盈利数÷胜负交易数</t>
  </si>
  <si>
    <t>亏损概率</t>
  </si>
  <si>
    <t>亏损数÷胜负交易数</t>
  </si>
  <si>
    <t>平均盈利百分比</t>
  </si>
  <si>
    <t>盈利交易实际账户收益率的平均值</t>
  </si>
  <si>
    <t>平均亏损百分比</t>
  </si>
  <si>
    <t>亏损交易实际账户收益率绝对值的平均值</t>
  </si>
  <si>
    <t>盈利的持有总天数</t>
  </si>
  <si>
    <t>自然日</t>
  </si>
  <si>
    <t>亏损的持有总天数</t>
  </si>
  <si>
    <t>平均交易金额</t>
  </si>
  <si>
    <t>实际加权买入价×累计买入股数的平均值，包含未卖出交易</t>
  </si>
  <si>
    <t>期望收益率</t>
  </si>
  <si>
    <t>盈利贡献减亏损贡献</t>
  </si>
  <si>
    <t>迄今为止的复利净利润率</t>
  </si>
  <si>
    <t>按每笔实际账户收益率逐笔连乘</t>
  </si>
  <si>
    <t>值</t>
  </si>
  <si>
    <t>录入/计算说明</t>
  </si>
  <si>
    <t>初始总金额</t>
  </si>
  <si>
    <t>手动输入；当前金额从此值开始累计</t>
  </si>
  <si>
    <t>当前总金额</t>
  </si>
  <si>
    <t>初始总金额＋全部已实现盈亏</t>
  </si>
  <si>
    <t>单次交易允许的亏损比例</t>
  </si>
  <si>
    <t>默认1%，可调整；开仓时复制为交易快照</t>
  </si>
  <si>
    <t>单次交易允许的亏损金额</t>
  </si>
  <si>
    <t>当前总金额×单次允许亏损比例</t>
  </si>
  <si>
    <t>当月允许最大亏损比例</t>
  </si>
  <si>
    <t>默认5%，可调整</t>
  </si>
  <si>
    <t>当月允许最大亏损金额</t>
  </si>
  <si>
    <t>当前总金额×当月最大亏损比例</t>
  </si>
  <si>
    <t>当月亏损金额</t>
  </si>
  <si>
    <t>按卖出日期统计本月已实现亏损，保留负号</t>
  </si>
  <si>
    <t>当前未平仓理论亏损</t>
  </si>
  <si>
    <t>未平仓三批持仓按当前有效止损计算的风险合计</t>
  </si>
  <si>
    <t>当月剩余可开仓风险额度</t>
  </si>
  <si>
    <t>当月允许最大亏损金额－当前未平仓理论亏损</t>
  </si>
  <si>
    <t>账户实际累计收益率</t>
  </si>
  <si>
    <t>当前总金额÷初始总金额－1；无入金出金时为账户权威累计收益</t>
  </si>
  <si>
    <t>连续亏损锁仓比例</t>
  </si>
  <si>
    <t>从最近盈利或有效手动解锁后的下一笔开始累计；默认6%</t>
  </si>
  <si>
    <t>最近盈利记录序号</t>
  </si>
  <si>
    <t>按工作表记录顺序查找最近一笔已平仓盈利交易</t>
  </si>
  <si>
    <t>最近已完成记录序号</t>
  </si>
  <si>
    <t>按工作表记录顺序查找最后一笔已平仓交易</t>
  </si>
  <si>
    <t>手动解锁截至记录序号</t>
  </si>
  <si>
    <t>锁仓复盘后填写当前最近已完成记录序号；须同时填写解锁原因</t>
  </si>
  <si>
    <t>手动解锁原因</t>
  </si>
  <si>
    <t>解锁</t>
  </si>
  <si>
    <t>例如：已完成复盘，开始新的模拟周期</t>
  </si>
  <si>
    <t>当前周期起点序号</t>
  </si>
  <si>
    <t>取最近盈利序号与有效手动解锁序号中的较大值</t>
  </si>
  <si>
    <t>周期起点账户金额</t>
  </si>
  <si>
    <t>初始金额加上周期起点及以前的全部已实现盈亏</t>
  </si>
  <si>
    <t>当前周期累计亏损</t>
  </si>
  <si>
    <t>仅累计周期起点之后的已平仓亏损；盈利会自动成为新起点</t>
  </si>
  <si>
    <t>连续亏损比例</t>
  </si>
  <si>
    <t>当前周期累计亏损÷周期起点账户金额</t>
  </si>
  <si>
    <t>锁仓风险使用率</t>
  </si>
  <si>
    <t>达到80%预警，达到100%锁仓</t>
  </si>
  <si>
    <t>连续亏损锁仓状态</t>
  </si>
  <si>
    <t>锁仓时禁止新开仓；有效手动解锁后从下一笔重新累计</t>
  </si>
  <si>
    <t>总金额</t>
  </si>
  <si>
    <t>来自账户当前总金额</t>
  </si>
  <si>
    <t>目标收益率</t>
  </si>
  <si>
    <t>手动输入</t>
  </si>
  <si>
    <t>目标收益金额</t>
  </si>
  <si>
    <t>总金额×目标收益率</t>
  </si>
  <si>
    <t>来自历史交易统计</t>
  </si>
  <si>
    <t>历史期望收益率</t>
  </si>
  <si>
    <t>来自历史胜率与平均盈亏</t>
  </si>
  <si>
    <t>所需投资笔数</t>
  </si>
  <si>
    <t>按目标收益率与历史账户期望收益率复利计算并向上取整</t>
  </si>
  <si>
    <t>新高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</si>
</sst>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\¥#,##0.00;[Red]&quot;-¥&quot;#,##0.00"/>
    <numFmt numFmtId="177" formatCode="yyyy\-mm\-dd"/>
  </numFmts>
  <fonts count="10">
    <font>
      <sz val="11"/>
      <color theme="1"/>
      <name val="宋体"/>
      <charset val="134"/>
    </font>
    <font>
      <b/>
      <sz val="11"/>
      <color rgb="FFFFFFFF"/>
      <name val="宋体"/>
      <charset val="134"/>
    </font>
    <font>
      <sz val="11"/>
      <color rgb="FF0000FF"/>
      <name val="宋体"/>
      <charset val="134"/>
    </font>
    <font>
      <sz val="11"/>
      <color rgb="FF000000"/>
      <name val="宋体"/>
      <charset val="134"/>
    </font>
    <font>
      <sz val="11"/>
      <color rgb="FF008000"/>
      <name val="宋体"/>
      <charset val="134"/>
    </font>
    <font>
      <sz val="11"/>
      <color theme="1"/>
      <name val="宋体"/>
      <charset val="134"/>
    </font>
    <font>
      <sz val="10"/>
      <name val="Arial"/>
      <family val="2"/>
    </font>
    <font>
      <sz val="10"/>
      <name val="Noto Sans CJK SC"/>
      <family val="1"/>
    </font>
    <font>
      <sz val="11"/>
      <color theme="1"/>
      <name val="宋体"/>
      <family val="3"/>
      <charset val="134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DDEBF7"/>
      </patternFill>
    </fill>
    <fill>
      <patternFill patternType="solid">
        <fgColor rgb="FFDDEBF7"/>
        <bgColor rgb="FFD9E2F3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D9E2F3"/>
      </patternFill>
    </fill>
    <fill>
      <patternFill patternType="solid">
        <fgColor rgb="FFFF0000"/>
        <bgColor rgb="FFDDEBF7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76" fontId="0" fillId="3" borderId="1" xfId="0" applyNumberFormat="1" applyFill="1" applyBorder="1" applyAlignment="1">
      <alignment vertical="top" wrapText="1"/>
    </xf>
    <xf numFmtId="10" fontId="0" fillId="4" borderId="1" xfId="0" applyNumberFormat="1" applyFill="1" applyBorder="1" applyAlignment="1">
      <alignment vertical="top" wrapText="1"/>
    </xf>
    <xf numFmtId="10" fontId="0" fillId="3" borderId="1" xfId="0" applyNumberForma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76" fontId="0" fillId="4" borderId="1" xfId="0" applyNumberFormat="1" applyFill="1" applyBorder="1" applyAlignment="1">
      <alignment vertical="top" wrapText="1"/>
    </xf>
    <xf numFmtId="1" fontId="0" fillId="3" borderId="1" xfId="0" applyNumberFormat="1" applyFill="1" applyBorder="1" applyAlignment="1">
      <alignment vertical="top" wrapText="1"/>
    </xf>
    <xf numFmtId="1" fontId="0" fillId="4" borderId="1" xfId="0" applyNumberForma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1" fontId="2" fillId="4" borderId="1" xfId="0" applyNumberFormat="1" applyFont="1" applyFill="1" applyBorder="1" applyAlignment="1">
      <alignment vertical="top" wrapText="1"/>
    </xf>
    <xf numFmtId="177" fontId="2" fillId="4" borderId="1" xfId="0" applyNumberFormat="1" applyFont="1" applyFill="1" applyBorder="1" applyAlignment="1">
      <alignment vertical="top" wrapText="1"/>
    </xf>
    <xf numFmtId="176" fontId="2" fillId="4" borderId="1" xfId="0" applyNumberFormat="1" applyFont="1" applyFill="1" applyBorder="1" applyAlignment="1">
      <alignment vertical="top" wrapText="1"/>
    </xf>
    <xf numFmtId="176" fontId="3" fillId="3" borderId="1" xfId="0" applyNumberFormat="1" applyFont="1" applyFill="1" applyBorder="1" applyAlignment="1">
      <alignment vertical="top" wrapText="1"/>
    </xf>
    <xf numFmtId="1" fontId="3" fillId="3" borderId="1" xfId="0" applyNumberFormat="1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5" borderId="0" xfId="0" applyFill="1"/>
    <xf numFmtId="0" fontId="0" fillId="6" borderId="0" xfId="0" applyFill="1"/>
    <xf numFmtId="177" fontId="0" fillId="4" borderId="1" xfId="0" applyNumberFormat="1" applyFill="1" applyBorder="1" applyAlignment="1">
      <alignment vertical="top" wrapText="1"/>
    </xf>
    <xf numFmtId="2" fontId="0" fillId="3" borderId="1" xfId="0" applyNumberFormat="1" applyFill="1" applyBorder="1" applyAlignment="1">
      <alignment vertical="top" wrapText="1"/>
    </xf>
    <xf numFmtId="1" fontId="4" fillId="3" borderId="1" xfId="0" applyNumberFormat="1" applyFont="1" applyFill="1" applyBorder="1" applyAlignment="1">
      <alignment vertical="top" wrapText="1"/>
    </xf>
    <xf numFmtId="176" fontId="4" fillId="3" borderId="1" xfId="0" applyNumberFormat="1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176" fontId="0" fillId="7" borderId="1" xfId="0" applyNumberFormat="1" applyFill="1" applyBorder="1" applyAlignment="1">
      <alignment vertical="top" wrapText="1"/>
    </xf>
    <xf numFmtId="10" fontId="0" fillId="7" borderId="1" xfId="0" applyNumberForma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177" fontId="0" fillId="7" borderId="1" xfId="0" applyNumberFormat="1" applyFill="1" applyBorder="1" applyAlignment="1">
      <alignment vertical="top" wrapText="1"/>
    </xf>
    <xf numFmtId="10" fontId="0" fillId="8" borderId="1" xfId="0" applyNumberFormat="1" applyFill="1" applyBorder="1" applyAlignment="1">
      <alignment vertical="top" wrapText="1"/>
    </xf>
    <xf numFmtId="2" fontId="0" fillId="8" borderId="1" xfId="0" applyNumberFormat="1" applyFill="1" applyBorder="1" applyAlignment="1">
      <alignment vertical="top" wrapText="1"/>
    </xf>
    <xf numFmtId="176" fontId="0" fillId="8" borderId="1" xfId="0" applyNumberFormat="1" applyFill="1" applyBorder="1" applyAlignment="1">
      <alignment vertical="top" wrapText="1"/>
    </xf>
    <xf numFmtId="1" fontId="0" fillId="8" borderId="1" xfId="0" applyNumberFormat="1" applyFill="1" applyBorder="1" applyAlignment="1">
      <alignment vertical="top" wrapText="1"/>
    </xf>
    <xf numFmtId="1" fontId="4" fillId="8" borderId="1" xfId="0" applyNumberFormat="1" applyFont="1" applyFill="1" applyBorder="1" applyAlignment="1">
      <alignment vertical="top" wrapText="1"/>
    </xf>
    <xf numFmtId="176" fontId="4" fillId="8" borderId="1" xfId="0" applyNumberFormat="1" applyFont="1" applyFill="1" applyBorder="1" applyAlignment="1">
      <alignment vertical="top" wrapText="1"/>
    </xf>
    <xf numFmtId="177" fontId="5" fillId="4" borderId="1" xfId="0" applyNumberFormat="1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177" fontId="0" fillId="3" borderId="1" xfId="0" applyNumberForma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</cellXfs>
  <cellStyles count="1">
    <cellStyle name="常规" xfId="0" builtinId="0"/>
  </cellStyles>
  <dxfs count="43"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2"/>
      <tableStyleElement type="headerRow" dxfId="41"/>
      <tableStyleElement type="totalRow" dxfId="40"/>
      <tableStyleElement type="firstColumn" dxfId="39"/>
      <tableStyleElement type="lastColumn" dxfId="38"/>
      <tableStyleElement type="firstRowStripe" dxfId="37"/>
      <tableStyleElement type="firstColumnStripe" dxfId="36"/>
    </tableStyle>
    <tableStyle name="PivotStylePreset2_Accent1" table="0" count="10" xr9:uid="{267968C8-6FFD-4C36-ACC1-9EA1FD1885CA}">
      <tableStyleElement type="headerRow" dxfId="35"/>
      <tableStyleElement type="totalRow" dxfId="34"/>
      <tableStyleElement type="firstRowStripe" dxfId="33"/>
      <tableStyleElement type="firstColumnStripe" dxfId="32"/>
      <tableStyleElement type="firstSubtotalRow" dxfId="31"/>
      <tableStyleElement type="secondSubtotalRow" dxfId="30"/>
      <tableStyleElement type="firstRowSubheading" dxfId="29"/>
      <tableStyleElement type="secondRowSubheading" dxfId="28"/>
      <tableStyleElement type="pageFieldLabels" dxfId="27"/>
      <tableStyleElement type="pageFieldValues" dxfId="2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7E6E6"/>
      <rgbColor rgb="00DDEBF7"/>
      <rgbColor rgb="00660066"/>
      <rgbColor rgb="00FF8080"/>
      <rgbColor rgb="000066CC"/>
      <rgbColor rgb="00D9E2F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EB9C"/>
      <rgbColor rgb="0099CCFF"/>
      <rgbColor rgb="00FF99CC"/>
      <rgbColor rgb="00CC99FF"/>
      <rgbColor rgb="00FFC7CE"/>
      <rgbColor rgb="003366FF"/>
      <rgbColor rgb="0033CCCC"/>
      <rgbColor rgb="0099CC00"/>
      <rgbColor rgb="00FFC0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radeRecords" displayName="TradeRecords" ref="A1:AR201" totalsRowShown="0">
  <autoFilter ref="A1:AR201" xr:uid="{00000000-0009-0000-0100-000002000000}"/>
  <tableColumns count="44">
    <tableColumn id="1" xr3:uid="{00000000-0010-0000-0000-000001000000}" name="交易编号"/>
    <tableColumn id="2" xr3:uid="{00000000-0010-0000-0000-000002000000}" name="股票代码"/>
    <tableColumn id="3" xr3:uid="{00000000-0010-0000-0000-000003000000}" name="买入时账户金额"/>
    <tableColumn id="4" xr3:uid="{00000000-0010-0000-0000-000004000000}" name="本次允许亏损比例"/>
    <tableColumn id="5" xr3:uid="{00000000-0010-0000-0000-000005000000}" name="第一批买入价"/>
    <tableColumn id="6" xr3:uid="{00000000-0010-0000-0000-000006000000}" name="买入建议股数">
      <calculatedColumnFormula>IF(OR(C2="",D2="",E2="",N2="",C2&lt;=0,D2&lt;=0,E2&lt;=N2),"",ROUNDDOWN((C2*D2)/(E2-N2)/100,0)*100)</calculatedColumnFormula>
    </tableColumn>
    <tableColumn id="7" xr3:uid="{00000000-0010-0000-0000-000007000000}" name="开仓风险告警">
      <calculatedColumnFormula>IF(A2="","",IF(H2&lt;&gt;"","已开仓",IF(账户数据!$B$23="已锁仓","禁止开仓：连续亏损达到上限",IF(账户数据!$B$23="解锁信息不完整","禁止开仓：请完整填写解锁信息",IF(OR(F2="",E2="",N2="",E2&lt;=N2,账户数据!$B$7=""),"",IF(OR(AG2="",AH2="",AI2=""),"禁止开仓：交易预期未填写完整",IF(账户数据!$B$9+F2*(E2-N2)&gt;=账户数据!$B$7,"禁止开仓：风险额度不足",IF(AJ2="周期与交易预期不匹配，请重新确认",IF(账户数据!$B$23="接近锁仓","允许开仓（接近锁仓；周期需复核）","允许开仓（周期需复核）"),IF(账户数据!$B$23="接近锁仓","允许开仓（接近锁仓）","允许开仓")))))))))</calculatedColumnFormula>
    </tableColumn>
    <tableColumn id="8" xr3:uid="{00000000-0010-0000-0000-000008000000}" name="第一批买入股数"/>
    <tableColumn id="9" xr3:uid="{00000000-0010-0000-0000-000009000000}" name="首次买入日期"/>
    <tableColumn id="10" xr3:uid="{00000000-0010-0000-0000-00000A000000}" name="期望卖出价"/>
    <tableColumn id="11" xr3:uid="{00000000-0010-0000-0000-00000B000000}" name="实际卖出价（填写）"/>
    <tableColumn id="12" xr3:uid="{00000000-0010-0000-0000-00000C000000}" name="最终卖出股数（自动）">
      <calculatedColumnFormula>IF(AP2="","",AP2)</calculatedColumnFormula>
    </tableColumn>
    <tableColumn id="13" xr3:uid="{00000000-0010-0000-0000-00000D000000}" name="卖出日期（填写）"/>
    <tableColumn id="14" xr3:uid="{00000000-0010-0000-0000-00000E000000}" name="止损价"/>
    <tableColumn id="15" xr3:uid="{00000000-0010-0000-0000-00000F000000}" name="买入总费用"/>
    <tableColumn id="16" xr3:uid="{00000000-0010-0000-0000-000010000000}" name="卖出费用（填写）"/>
    <tableColumn id="17" xr3:uid="{00000000-0010-0000-0000-000011000000}" name="买入价的由来"/>
    <tableColumn id="18" xr3:uid="{00000000-0010-0000-0000-000012000000}" name="止损价的由来"/>
    <tableColumn id="19" xr3:uid="{00000000-0010-0000-0000-000013000000}" name="期望卖出价的由来"/>
    <tableColumn id="20" xr3:uid="{00000000-0010-0000-0000-000014000000}" name="实际卖出价的由来"/>
    <tableColumn id="21" xr3:uid="{00000000-0010-0000-0000-000015000000}" name="期望盈利比例">
      <calculatedColumnFormula>IF(OR(AO2="",J2="",AO2&lt;=0),"",(J2-AO2)/AO2)</calculatedColumnFormula>
    </tableColumn>
    <tableColumn id="22" xr3:uid="{00000000-0010-0000-0000-000016000000}" name="期望止损比例">
      <calculatedColumnFormula>IF(OR(AO2="",N2="",AO2&lt;=0),"",(AO2-N2)/AO2)</calculatedColumnFormula>
    </tableColumn>
    <tableColumn id="23" xr3:uid="{00000000-0010-0000-0000-000017000000}" name="盈亏比">
      <calculatedColumnFormula>IF(OR(U2="",V2="",V2&lt;=0),"",U2/V2)</calculatedColumnFormula>
    </tableColumn>
    <tableColumn id="24" xr3:uid="{00000000-0010-0000-0000-000018000000}" name="加权后实际盈亏">
      <calculatedColumnFormula>IF(OR(K2="",L2="",AO2="",AP2=""),"",(K2-AO2)*L2-IF(O2="",0,O2)-IF(P2="",0,P2))</calculatedColumnFormula>
    </tableColumn>
    <tableColumn id="25" xr3:uid="{00000000-0010-0000-0000-000019000000}" name="单笔仓位收益率">
      <calculatedColumnFormula>IF(OR(X2="",AO2="",L2=""),"",IF(AO2*L2+IF(O2="",0,O2)&lt;=0,"",X2/(AO2*L2+IF(O2="",0,O2))))</calculatedColumnFormula>
    </tableColumn>
    <tableColumn id="26" xr3:uid="{00000000-0010-0000-0000-00001A000000}" name="账户收益率与平均盈利率差值">
      <calculatedColumnFormula>IF(OR(AE2="",多次统计数据!$B$8=""),"",AE2-多次统计数据!$B$8)</calculatedColumnFormula>
    </tableColumn>
    <tableColumn id="27" xr3:uid="{00000000-0010-0000-0000-00001B000000}" name="持有天数">
      <calculatedColumnFormula>IF(OR(I2="",M2="",M2&lt;I2),"",M2-I2)</calculatedColumnFormula>
    </tableColumn>
    <tableColumn id="28" xr3:uid="{00000000-0010-0000-0000-00001C000000}" name="复利容许平均亏损上限">
      <calculatedColumnFormula>IF(OR(A2="",多次统计数据!$B$8="",多次统计数据!$B$6&lt;=0,多次统计数据!$B$6&gt;=1),"",1-POWER(1+多次统计数据!$B$8,-多次统计数据!$B$6/(1-多次统计数据!$B$6)))</calculatedColumnFormula>
    </tableColumn>
    <tableColumn id="29" xr3:uid="{00000000-0010-0000-0000-00001D000000}" name="复利风险判断">
      <calculatedColumnFormula>IF(OR(AB2="",多次统计数据!$B$9=""),"",IF(多次统计数据!$B$9&lt;AB2,"低于上限","达到或超过上限"))</calculatedColumnFormula>
    </tableColumn>
    <tableColumn id="30" xr3:uid="{00000000-0010-0000-0000-00001E000000}" name="交易打分评价"/>
    <tableColumn id="31" xr3:uid="{00000000-0010-0000-0000-00001F000000}" name="实际账户收益率">
      <calculatedColumnFormula>IF(OR(X2="",C2="",C2&lt;=0),"",X2/C2)</calculatedColumnFormula>
    </tableColumn>
    <tableColumn id="32" xr3:uid="{00000000-0010-0000-0000-000020000000}" name="列1"/>
    <tableColumn id="33" xr3:uid="{00000000-0010-0000-0000-000021000000}" name="交易预期类型"/>
    <tableColumn id="34" xr3:uid="{00000000-0010-0000-0000-000022000000}" name="预期持有周期"/>
    <tableColumn id="35" xr3:uid="{00000000-0010-0000-0000-000023000000}" name="预期选择理由"/>
    <tableColumn id="36" xr3:uid="{00000000-0010-0000-0000-000024000000}" name="周期匹配检查">
      <calculatedColumnFormula>IF(OR(AG2="",AH2=""),"",IF(OR(AND(AG2="短期博反弹",OR(AH2="1～3个交易日",AH2="4～10个交易日")),AND(AG2="突破冲新高",OR(AH2="4～10个交易日",AH2="11～20个交易日")),AND(AG2="趋势波段",OR(AH2="11～20个交易日",AH2="21～60个交易日",AH2="60个交易日以上"))),"匹配","周期与交易预期不匹配，请重新确认"))</calculatedColumnFormula>
    </tableColumn>
    <tableColumn id="37" xr3:uid="{00000000-0010-0000-0000-000025000000}" name="已执行加仓次数">
      <calculatedColumnFormula>IF(A2="","",COUNTIFS(加仓管理!$A$2:$A$1001,A2,加仓管理!$G$2:$G$1001,"&gt;0"))</calculatedColumnFormula>
    </tableColumn>
    <tableColumn id="38" xr3:uid="{00000000-0010-0000-0000-000026000000}" name="加仓总股数">
      <calculatedColumnFormula>IF(A2="","",SUMIFS(加仓管理!$G$2:$G$1001,加仓管理!$A$2:$A$1001,A2))</calculatedColumnFormula>
    </tableColumn>
    <tableColumn id="39" xr3:uid="{00000000-0010-0000-0000-000027000000}" name="最近加仓价">
      <calculatedColumnFormula>IF(AK2=0,"",IFERROR(LOOKUP(2,1/((加仓管理!$A$2:$A$1001=A2)*(加仓管理!$G$2:$G$1001&gt;0)),加仓管理!$D$2:$D$1001),""))</calculatedColumnFormula>
    </tableColumn>
    <tableColumn id="40" xr3:uid="{00000000-0010-0000-0000-000028000000}" name="最新加仓止损价">
      <calculatedColumnFormula>IF(AK2=0,"",IFERROR(LOOKUP(2,1/((加仓管理!$A$2:$A$1001=A2)*(加仓管理!$G$2:$G$1001&gt;0)),加仓管理!$E$2:$E$1001),""))</calculatedColumnFormula>
    </tableColumn>
    <tableColumn id="41" xr3:uid="{00000000-0010-0000-0000-000029000000}" name="实际加权买入价">
      <calculatedColumnFormula>IF(OR(A2="",H2="",H2&lt;=0),"",(E2*H2+SUMIFS(加仓管理!$H$2:$H$1001,加仓管理!$A$2:$A$1001,A2))/AP2)</calculatedColumnFormula>
    </tableColumn>
    <tableColumn id="42" xr3:uid="{00000000-0010-0000-0000-00002A000000}" name="最终持仓股数">
      <calculatedColumnFormula>IF(OR(A2="",H2="",H2&lt;=0),"",H2+AL2)</calculatedColumnFormula>
    </tableColumn>
    <tableColumn id="43" xr3:uid="{00000000-0010-0000-0000-00002B000000}" name="当前净止损风险">
      <calculatedColumnFormula>IF(A2="","",IF(M2&lt;&gt;"",0,IF(OR(H2="",N2=""),"",MAX((E2*H2+SUMIFS(加仓管理!$H$2:$H$1001,加仓管理!$A$2:$A$1001,A2))-MAX(N2,AN2)*AP2,0))))</calculatedColumnFormula>
    </tableColumn>
    <tableColumn id="44" xr3:uid="{00000000-0010-0000-0000-00002C000000}" name="加仓规则检查">
      <calculatedColumnFormula>IF(A2="","",IF(OR(E2="",H2=""),"违规：首次买入价格或股数缺失",IF(COUNTIFS(加仓管理!$A$2:$A$1001,A2,加仓管理!$R$2:$R$1001,"违规*")&gt;0,"违规：请检查加仓管理表",IF(SUM($AQ$2:$AQ$201)&gt;账户数据!$B$7,"预警：超过账户风险上限",IF(COUNTIFS(加仓管理!$A$2:$A$1001,A2,加仓管理!$N$2:$N$1001,"&gt;0",加仓管理!$G$2:$G$1001,"")&gt;0,"提示：存在待执行加仓计划","通过")))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AddRecords" displayName="AddRecords" ref="A1:R1001" totalsRowShown="0">
  <autoFilter ref="A1:R1001" xr:uid="{00000000-0009-0000-0100-000001000000}"/>
  <tableColumns count="18">
    <tableColumn id="1" xr3:uid="{00000000-0010-0000-0100-000001000000}" name="交易编号"/>
    <tableColumn id="2" xr3:uid="{00000000-0010-0000-0100-000002000000}" name="加仓序号(1-5)"/>
    <tableColumn id="3" xr3:uid="{00000000-0010-0000-0100-000003000000}" name="加仓日期"/>
    <tableColumn id="4" xr3:uid="{00000000-0010-0000-0100-000004000000}" name="加仓价"/>
    <tableColumn id="5" xr3:uid="{00000000-0010-0000-0100-000005000000}" name="新止损价"/>
    <tableColumn id="6" xr3:uid="{00000000-0010-0000-0100-000006000000}" name="本次风险预算金额"/>
    <tableColumn id="7" xr3:uid="{00000000-0010-0000-0100-000007000000}" name="实际加仓股数"/>
    <tableColumn id="8" xr3:uid="{00000000-0010-0000-0100-000008000000}" name="本次买入金额">
      <calculatedColumnFormula>IF(OR(A2="",D2="",G2=""),"",D2*G2)</calculatedColumnFormula>
    </tableColumn>
    <tableColumn id="9" xr3:uid="{00000000-0010-0000-0100-000009000000}" name="加仓前持仓股数">
      <calculatedColumnFormula>IF(OR(A2="",B2=""),"",IFERROR(LOOKUP(2,1/(单次交易!$A$2:$A$201=A2),单次交易!$H$2:$H$201),0)+SUMIFS($G$2:$G$1001,$A$2:$A$1001,A2,$B$2:$B$1001,"&lt;"&amp;B2))</calculatedColumnFormula>
    </tableColumn>
    <tableColumn id="10" xr3:uid="{00000000-0010-0000-0100-00000A000000}" name="加仓前持仓成本">
      <calculatedColumnFormula>IF(OR(A2="",B2=""),"",IFERROR(LOOKUP(2,1/(单次交易!$A$2:$A$201=A2),单次交易!$E$2:$E$201)*LOOKUP(2,1/(单次交易!$A$2:$A$201=A2),单次交易!$H$2:$H$201),0)+SUMIFS($H$2:$H$1001,$A$2:$A$1001,A2,$B$2:$B$1001,"&lt;"&amp;B2))</calculatedColumnFormula>
    </tableColumn>
    <tableColumn id="11" xr3:uid="{00000000-0010-0000-0100-00000B000000}" name="新止损下底仓锁定利润">
      <calculatedColumnFormula>IF(OR(E2="",I2="",J2=""),"",MAX(E2*I2-J2,0))</calculatedColumnFormula>
    </tableColumn>
    <tableColumn id="12" xr3:uid="{00000000-0010-0000-0100-00000C000000}" name="风险允许股数">
      <calculatedColumnFormula>IF(OR(D2="",E2="",F2="",D2&lt;=E2),"",FLOOR((F2+K2)/(D2-E2),100))</calculatedColumnFormula>
    </tableColumn>
    <tableColumn id="13" xr3:uid="{00000000-0010-0000-0100-00000D000000}" name="金字塔上限股数">
      <calculatedColumnFormula>IF(OR(A2="",B2="",L2=""),"",IF(B2=1,L2,IFERROR(SUMIFS($G$2:$G$1001,$A$2:$A$1001,A2,$B$2:$B$1001,B2-1),0)))</calculatedColumnFormula>
    </tableColumn>
    <tableColumn id="14" xr3:uid="{00000000-0010-0000-0100-00000E000000}" name="建议加仓股数">
      <calculatedColumnFormula>IF(OR(L2="",M2=""),"",MIN(L2,M2))</calculatedColumnFormula>
    </tableColumn>
    <tableColumn id="15" xr3:uid="{00000000-0010-0000-0100-00000F000000}" name="加仓后累计股数">
      <calculatedColumnFormula>IF(OR(I2="",G2=""),"",I2+G2)</calculatedColumnFormula>
    </tableColumn>
    <tableColumn id="16" xr3:uid="{00000000-0010-0000-0100-000010000000}" name="加仓后加权成本">
      <calculatedColumnFormula>IF(OR(O2="",O2=0),"",(J2+H2)/O2)</calculatedColumnFormula>
    </tableColumn>
    <tableColumn id="17" xr3:uid="{00000000-0010-0000-0100-000011000000}" name="加仓后止损风险">
      <calculatedColumnFormula>IF(OR(O2="",E2=""),"",MAX(J2+H2-E2*O2,0))</calculatedColumnFormula>
    </tableColumn>
    <tableColumn id="18" xr3:uid="{00000000-0010-0000-0100-000012000000}" name="规则检查">
      <calculatedColumnFormula>IF(A2="","",IF(COUNTIF(_TradeIds,A2)=0,"违规：交易编号不存在",IF(OR(B2="",B2&lt;1,B2&gt;5,B2&lt;&gt;INT(B2)),"违规：加仓序号须为1到5的整数",IF(COUNTIFS($A$2:$A$1001,A2,$B$2:$B$1001,B2)&gt;1,"违规：同一交易的加仓序号重复",IF(OR(D2="",E2="",F2=""),"计划不完整：请填写加仓价、新止损价和风险预算",IF(OR(D2&lt;=0,E2&lt;=0,F2&lt;=0,D2&lt;=E2),"违规：加仓价必须高于新止损价，金额须大于0",IF(AND(B2&gt;1,COUNTIFS($A$2:$A$1001,A2,$B$2:$B$1001,B2-1,$G$2:$G$1001,"&gt;0")=0),"违规：须先完成上一次加仓",IF(AND(B2&gt;1,E2&lt;SUMIFS($E$2:$E$1001,$A$2:$A$1001,A2,$B$2:$B$1001,B2-1)),"违规：新止损价不得低于上一次",IF(AND(B2&gt;1,F2&gt;SUMIFS($F$2:$F$1001,$A$2:$A$1001,A2,$B$2:$B$1001,B2-1)),"违规：风险预算须逐次不增加",IF(OR(_LockStatus="已锁仓",_LockStatus="解锁信息不完整"),"违规：锁仓期间禁止加仓",IF(G2="","计划可执行：建议股数见N列",IF(OR(G2&lt;=0,G2&lt;&gt;INT(G2),MOD(G2,100)&lt;&gt;0),"违规：实际股数须为100股整数倍",IF(G2&gt;N2,"违规：实际股数超过风险或金字塔上限",IF(AND(B2&gt;1,G2&gt;SUMIFS($G$2:$G$1001,$A$2:$A$1001,A2,$B$2:$B$1001,B2-1)),"违规：加仓股数须逐次不增加",IF(Q2&gt;F2,"违规：止损风险超过本次预算","通过")))))))))))))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01"/>
  <sheetViews>
    <sheetView tabSelected="1" topLeftCell="A129" zoomScale="115" zoomScaleNormal="115" workbookViewId="0">
      <pane xSplit="2" topLeftCell="C1" activePane="topRight" state="frozen"/>
      <selection pane="topRight" activeCell="D139" sqref="D139"/>
    </sheetView>
  </sheetViews>
  <sheetFormatPr defaultColWidth="9" defaultRowHeight="13.5"/>
  <cols>
    <col min="1" max="2" width="14" customWidth="1"/>
    <col min="3" max="3" width="17" customWidth="1"/>
    <col min="4" max="4" width="18" customWidth="1"/>
    <col min="5" max="5" width="14" customWidth="1"/>
    <col min="6" max="6" width="16" customWidth="1"/>
    <col min="7" max="7" width="20.625" customWidth="1"/>
    <col min="8" max="8" width="16" customWidth="1"/>
    <col min="9" max="9" width="13" customWidth="1"/>
    <col min="10" max="10" width="14.375" customWidth="1"/>
    <col min="11" max="11" width="18" customWidth="1"/>
    <col min="12" max="12" width="21" customWidth="1"/>
    <col min="13" max="13" width="18" customWidth="1"/>
    <col min="14" max="16" width="14" customWidth="1"/>
    <col min="17" max="20" width="24" customWidth="1"/>
    <col min="21" max="27" width="14" customWidth="1"/>
    <col min="28" max="28" width="22" customWidth="1"/>
    <col min="29" max="31" width="18" customWidth="1"/>
    <col min="32" max="32" width="20" customWidth="1"/>
    <col min="33" max="33" width="18" customWidth="1"/>
    <col min="34" max="34" width="20" customWidth="1"/>
    <col min="35" max="35" width="42" customWidth="1"/>
    <col min="36" max="36" width="32" customWidth="1"/>
    <col min="37" max="37" width="16" customWidth="1"/>
    <col min="38" max="39" width="14" customWidth="1"/>
    <col min="40" max="43" width="17" customWidth="1"/>
    <col min="44" max="44" width="30" customWidth="1"/>
  </cols>
  <sheetData>
    <row r="1" spans="1:44" ht="42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</row>
    <row r="2" spans="1:44">
      <c r="A2" s="10">
        <v>1</v>
      </c>
      <c r="B2" s="10" t="s">
        <v>44</v>
      </c>
      <c r="C2" s="7">
        <v>100000</v>
      </c>
      <c r="D2" s="4">
        <v>0.02</v>
      </c>
      <c r="E2" s="7">
        <v>20.87</v>
      </c>
      <c r="F2" s="6">
        <f t="shared" ref="F2:F65" si="0">IF(OR(C2="",D2="",E2="",N2="",C2&lt;=0,D2&lt;=0,E2&lt;=N2),"",ROUNDDOWN((C2*D2)/(E2-N2)/100,0)*100)</f>
        <v>1100</v>
      </c>
      <c r="G2" s="6" t="str">
        <f>IF(A2="","",IF(H2&lt;&gt;"","已开仓",IF(账户数据!$B$23="已锁仓","禁止开仓：连续亏损达到上限",IF(账户数据!$B$23="解锁信息不完整","禁止开仓：请完整填写解锁信息",IF(OR(F2="",E2="",N2="",E2&lt;=N2,账户数据!$B$7=""),"",IF(OR(AG2="",AH2="",AI2=""),"禁止开仓：交易预期未填写完整",IF(账户数据!$B$9+F2*(E2-N2)&gt;=账户数据!$B$7,"禁止开仓：风险额度不足",IF(AJ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" s="10">
        <v>1100</v>
      </c>
      <c r="I2" s="21">
        <v>44020</v>
      </c>
      <c r="J2" s="7">
        <v>24</v>
      </c>
      <c r="K2" s="7">
        <v>21.57</v>
      </c>
      <c r="L2" s="6">
        <f t="shared" ref="L2:L65" si="1">IF(AP2="","",AP2)</f>
        <v>2600</v>
      </c>
      <c r="M2" s="21">
        <v>44036</v>
      </c>
      <c r="N2" s="7">
        <v>19.170000000000002</v>
      </c>
      <c r="O2" s="7"/>
      <c r="P2" s="7"/>
      <c r="Q2" s="10"/>
      <c r="R2" s="10"/>
      <c r="S2" s="10"/>
      <c r="T2" s="10"/>
      <c r="U2" s="5">
        <f t="shared" ref="U2:U65" si="2">IF(OR(AO2="",J2="",AO2&lt;=0),"",(J2-AO2)/AO2)</f>
        <v>8.8872214563665827E-2</v>
      </c>
      <c r="V2" s="5">
        <f t="shared" ref="V2:V65" si="3">IF(OR(AO2="",N2="",AO2&lt;=0),"",(AO2-N2)/AO2)</f>
        <v>0.13026331861727183</v>
      </c>
      <c r="W2" s="22">
        <f t="shared" ref="W2:W65" si="4">IF(OR(U2="",V2="",V2&lt;=0),"",U2/V2)</f>
        <v>0.6822505023442732</v>
      </c>
      <c r="X2" s="3">
        <f t="shared" ref="X2:X65" si="5">IF(OR(K2="",L2="",AO2="",AP2=""),"",(K2-AO2)*L2-IF(O2="",0,O2)-IF(P2="",0,P2))</f>
        <v>-1225.0000000000014</v>
      </c>
      <c r="Y2" s="5">
        <f t="shared" ref="Y2:Y65" si="6">IF(OR(X2="",AO2="",L2=""),"",IF(AO2*L2+IF(O2="",0,O2)&lt;=0,"",X2/(AO2*L2+IF(O2="",0,O2))))</f>
        <v>-2.1376097160905324E-2</v>
      </c>
      <c r="Z2" s="5">
        <f>IF(OR(AE2="",多次统计数据!$B$8=""),"",AE2-多次统计数据!$B$8)</f>
        <v>-0.12246266890889469</v>
      </c>
      <c r="AA2" s="8">
        <f t="shared" ref="AA2:AA65" si="7">IF(OR(I2="",M2="",M2&lt;I2),"",M2-I2)</f>
        <v>16</v>
      </c>
      <c r="AB2" s="5">
        <f>IF(OR(A2="",多次统计数据!$B$8="",多次统计数据!$B$6&lt;=0,多次统计数据!$B$6&gt;=1),"",1-POWER(1+多次统计数据!$B$8,-多次统计数据!$B$6/(1-多次统计数据!$B$6)))</f>
        <v>8.152013270062719E-2</v>
      </c>
      <c r="AC2" s="6" t="str">
        <f>IF(OR(AB2="",多次统计数据!$B$9=""),"",IF(多次统计数据!$B$9&lt;AB2,"低于上限","达到或超过上限"))</f>
        <v>低于上限</v>
      </c>
      <c r="AD2" s="10"/>
      <c r="AE2" s="5">
        <f t="shared" ref="AE2:AE65" si="8">IF(OR(X2="",C2="",C2&lt;=0),"",X2/C2)</f>
        <v>-1.2250000000000014E-2</v>
      </c>
      <c r="AG2" s="10" t="s">
        <v>45</v>
      </c>
      <c r="AH2" s="10" t="s">
        <v>46</v>
      </c>
      <c r="AI2" s="10" t="s">
        <v>47</v>
      </c>
      <c r="AJ2" s="6" t="str">
        <f t="shared" ref="AJ2:AJ65" si="9">IF(OR(AG2="",AH2=""),"",IF(OR(AND(AG2="短期博反弹",OR(AH2="1～3个交易日",AH2="4～10个交易日")),AND(AG2="突破冲新高",OR(AH2="4～10个交易日",AH2="11～20个交易日")),AND(AG2="趋势波段",OR(AH2="11～20个交易日",AH2="21～60个交易日",AH2="60个交易日以上"))),"匹配","周期与交易预期不匹配，请重新确认"))</f>
        <v>匹配</v>
      </c>
      <c r="AK2" s="23">
        <f>IF(A2="","",COUNTIFS(加仓管理!$A$2:$A$1001,A2,加仓管理!$G$2:$G$1001,"&gt;0"))</f>
        <v>2</v>
      </c>
      <c r="AL2" s="23">
        <f>IF(A2="","",SUMIFS(加仓管理!$G$2:$G$1001,加仓管理!$A$2:$A$1001,A2))</f>
        <v>1500</v>
      </c>
      <c r="AM2" s="24">
        <f>IF(AK2=0,"",IFERROR(LOOKUP(2,1/((加仓管理!$A$2:$A$1001=A2)*(加仓管理!$G$2:$G$1001&gt;0)),加仓管理!$D$2:$D$1001),""))</f>
        <v>24</v>
      </c>
      <c r="AN2" s="24">
        <f>IF(AK2=0,"",IFERROR(LOOKUP(2,1/((加仓管理!$A$2:$A$1001=A2)*(加仓管理!$G$2:$G$1001&gt;0)),加仓管理!$E$2:$E$1001),""))</f>
        <v>22</v>
      </c>
      <c r="AO2" s="24">
        <f>IF(OR(A2="",H2="",H2&lt;=0),"",(E2*H2+SUMIFS(加仓管理!$H$2:$H$1001,加仓管理!$A$2:$A$1001,A2))/AP2)</f>
        <v>22.041153846153847</v>
      </c>
      <c r="AP2" s="23">
        <f t="shared" ref="AP2:AP65" si="10">IF(OR(A2="",H2="",H2&lt;=0),"",H2+AL2)</f>
        <v>2600</v>
      </c>
      <c r="AQ2" s="24">
        <f>IF(A2="","",IF(M2&lt;&gt;"",0,IF(OR(H2="",N2=""),"",MAX((E2*H2+SUMIFS(加仓管理!$H$2:$H$1001,加仓管理!$A$2:$A$1001,A2))-MAX(N2,AN2)*AP2,0))))</f>
        <v>0</v>
      </c>
      <c r="AR2" s="24" t="str">
        <f>IF(A2="","",IF(OR(E2="",H2=""),"违规：首次买入价格或股数缺失",IF(COUNTIFS(加仓管理!$A$2:$A$1001,A2,加仓管理!$R$2:$R$1001,"违规*")&gt;0,"违规：请检查加仓管理表",IF(SUM($AQ$2:$AQ$201)&gt;账户数据!$B$7,"预警：超过账户风险上限",IF(COUNTIFS(加仓管理!$A$2:$A$1001,A2,加仓管理!$N$2:$N$1001,"&gt;0",加仓管理!$G$2:$G$1001,"")&gt;0,"提示：存在待执行加仓计划","通过")))))</f>
        <v>违规：请检查加仓管理表</v>
      </c>
    </row>
    <row r="3" spans="1:44">
      <c r="A3" s="10">
        <v>2</v>
      </c>
      <c r="B3" s="10" t="s">
        <v>44</v>
      </c>
      <c r="C3" s="7">
        <v>98775</v>
      </c>
      <c r="D3" s="4">
        <v>0.02</v>
      </c>
      <c r="E3" s="7">
        <v>17.88</v>
      </c>
      <c r="F3" s="6">
        <f t="shared" si="0"/>
        <v>1400</v>
      </c>
      <c r="G3" s="6" t="str">
        <f>IF(A3="","",IF(H3&lt;&gt;"","已开仓",IF(账户数据!$B$23="已锁仓","禁止开仓：连续亏损达到上限",IF(账户数据!$B$23="解锁信息不完整","禁止开仓：请完整填写解锁信息",IF(OR(F3="",E3="",N3="",E3&lt;=N3,账户数据!$B$7=""),"",IF(OR(AG3="",AH3="",AI3=""),"禁止开仓：交易预期未填写完整",IF(账户数据!$B$9+F3*(E3-N3)&gt;=账户数据!$B$7,"禁止开仓：风险额度不足",IF(AJ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" s="10">
        <v>1000</v>
      </c>
      <c r="I3" s="21">
        <v>44176</v>
      </c>
      <c r="J3" s="7">
        <v>20</v>
      </c>
      <c r="K3" s="7">
        <v>15.56</v>
      </c>
      <c r="L3" s="6">
        <f t="shared" si="1"/>
        <v>3000</v>
      </c>
      <c r="M3" s="21">
        <v>44235</v>
      </c>
      <c r="N3" s="7">
        <v>16.5</v>
      </c>
      <c r="O3" s="7"/>
      <c r="P3" s="7"/>
      <c r="Q3" s="10"/>
      <c r="R3" s="10"/>
      <c r="S3" s="10"/>
      <c r="T3" s="10"/>
      <c r="U3" s="5">
        <f t="shared" si="2"/>
        <v>0.10823790173623937</v>
      </c>
      <c r="V3" s="5">
        <f t="shared" si="3"/>
        <v>8.5703731067602526E-2</v>
      </c>
      <c r="W3" s="22">
        <f t="shared" si="4"/>
        <v>1.2629310344827582</v>
      </c>
      <c r="X3" s="3">
        <f t="shared" si="5"/>
        <v>-7459.9999999999991</v>
      </c>
      <c r="Y3" s="5">
        <f t="shared" si="6"/>
        <v>-0.13779091244920574</v>
      </c>
      <c r="Z3" s="5">
        <f>IF(OR(AE3="",多次统计数据!$B$8=""),"",AE3-多次统计数据!$B$8)</f>
        <v>-0.18573785240674331</v>
      </c>
      <c r="AA3" s="8">
        <f t="shared" si="7"/>
        <v>59</v>
      </c>
      <c r="AB3" s="5">
        <f>IF(OR(A3="",多次统计数据!$B$8="",多次统计数据!$B$6&lt;=0,多次统计数据!$B$6&gt;=1),"",1-POWER(1+多次统计数据!$B$8,-多次统计数据!$B$6/(1-多次统计数据!$B$6)))</f>
        <v>8.152013270062719E-2</v>
      </c>
      <c r="AC3" s="6" t="str">
        <f>IF(OR(AB3="",多次统计数据!$B$9=""),"",IF(多次统计数据!$B$9&lt;AB3,"低于上限","达到或超过上限"))</f>
        <v>低于上限</v>
      </c>
      <c r="AD3" s="10"/>
      <c r="AE3" s="5">
        <f t="shared" si="8"/>
        <v>-7.5525183497848633E-2</v>
      </c>
      <c r="AG3" s="10" t="s">
        <v>48</v>
      </c>
      <c r="AH3" s="10" t="s">
        <v>46</v>
      </c>
      <c r="AI3" s="10" t="s">
        <v>49</v>
      </c>
      <c r="AJ3" s="6" t="str">
        <f t="shared" si="9"/>
        <v>匹配</v>
      </c>
      <c r="AK3" s="23">
        <f>IF(A3="","",COUNTIFS(加仓管理!$A$2:$A$1001,A3,加仓管理!$G$2:$G$1001,"&gt;0"))</f>
        <v>2</v>
      </c>
      <c r="AL3" s="23">
        <f>IF(A3="","",SUMIFS(加仓管理!$G$2:$G$1001,加仓管理!$A$2:$A$1001,A3))</f>
        <v>2000</v>
      </c>
      <c r="AM3" s="24">
        <f>IF(AK3=0,"",IFERROR(LOOKUP(2,1/((加仓管理!$A$2:$A$1001=A3)*(加仓管理!$G$2:$G$1001&gt;0)),加仓管理!$D$2:$D$1001),""))</f>
        <v>17.21</v>
      </c>
      <c r="AN3" s="24">
        <f>IF(AK3=0,"",IFERROR(LOOKUP(2,1/((加仓管理!$A$2:$A$1001=A3)*(加仓管理!$G$2:$G$1001&gt;0)),加仓管理!$E$2:$E$1001),""))</f>
        <v>16.5</v>
      </c>
      <c r="AO3" s="24">
        <f>IF(OR(A3="",H3="",H3&lt;=0),"",(E3*H3+SUMIFS(加仓管理!$H$2:$H$1001,加仓管理!$A$2:$A$1001,A3))/AP3)</f>
        <v>18.046666666666667</v>
      </c>
      <c r="AP3" s="23">
        <f t="shared" si="10"/>
        <v>3000</v>
      </c>
      <c r="AQ3" s="24">
        <f>IF(A3="","",IF(M3&lt;&gt;"",0,IF(OR(H3="",N3=""),"",MAX((E3*H3+SUMIFS(加仓管理!$H$2:$H$1001,加仓管理!$A$2:$A$1001,A3))-MAX(N3,AN3)*AP3,0))))</f>
        <v>0</v>
      </c>
      <c r="AR3" s="24" t="str">
        <f>IF(A3="","",IF(OR(E3="",H3=""),"违规：首次买入价格或股数缺失",IF(COUNTIFS(加仓管理!$A$2:$A$1001,A3,加仓管理!$R$2:$R$1001,"违规*")&gt;0,"违规：请检查加仓管理表",IF(SUM($AQ$2:$AQ$201)&gt;账户数据!$B$7,"预警：超过账户风险上限",IF(COUNTIFS(加仓管理!$A$2:$A$1001,A3,加仓管理!$N$2:$N$1001,"&gt;0",加仓管理!$G$2:$G$1001,"")&gt;0,"提示：存在待执行加仓计划","通过")))))</f>
        <v>违规：请检查加仓管理表</v>
      </c>
    </row>
    <row r="4" spans="1:44" s="19" customFormat="1">
      <c r="A4" s="25">
        <v>3</v>
      </c>
      <c r="B4" s="25" t="s">
        <v>44</v>
      </c>
      <c r="C4" s="26">
        <v>91315</v>
      </c>
      <c r="D4" s="27">
        <v>0.02</v>
      </c>
      <c r="E4" s="26">
        <v>15.12</v>
      </c>
      <c r="F4" s="28">
        <f t="shared" si="0"/>
        <v>2900</v>
      </c>
      <c r="G4" s="28" t="str">
        <f>IF(A4="","",IF(H4&lt;&gt;"","已开仓",IF(账户数据!$B$23="已锁仓","禁止开仓：连续亏损达到上限",IF(账户数据!$B$23="解锁信息不完整","禁止开仓：请完整填写解锁信息",IF(OR(F4="",E4="",N4="",E4&lt;=N4,账户数据!$B$7=""),"",IF(OR(AG4="",AH4="",AI4=""),"禁止开仓：交易预期未填写完整",IF(账户数据!$B$9+F4*(E4-N4)&gt;=账户数据!$B$7,"禁止开仓：风险额度不足",IF(AJ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" s="25">
        <v>2900</v>
      </c>
      <c r="I4" s="29">
        <v>44264</v>
      </c>
      <c r="J4" s="26">
        <v>18</v>
      </c>
      <c r="K4" s="26">
        <v>13.94</v>
      </c>
      <c r="L4" s="28">
        <f t="shared" si="1"/>
        <v>5700</v>
      </c>
      <c r="M4" s="29">
        <v>44434</v>
      </c>
      <c r="N4" s="26">
        <v>14.5</v>
      </c>
      <c r="O4" s="26"/>
      <c r="P4" s="26"/>
      <c r="Q4" s="25"/>
      <c r="R4" s="25"/>
      <c r="S4" s="25"/>
      <c r="T4" s="25"/>
      <c r="U4" s="30">
        <f t="shared" si="2"/>
        <v>0.13534508515088139</v>
      </c>
      <c r="V4" s="30">
        <f t="shared" si="3"/>
        <v>8.5416459184012208E-2</v>
      </c>
      <c r="W4" s="31">
        <f t="shared" si="4"/>
        <v>1.5845316750874467</v>
      </c>
      <c r="X4" s="32">
        <f t="shared" si="5"/>
        <v>-10911.000000000002</v>
      </c>
      <c r="Y4" s="30">
        <f t="shared" si="6"/>
        <v>-0.12073830627759521</v>
      </c>
      <c r="Z4" s="30">
        <f>IF(OR(AE4="",多次统计数据!$B$8=""),"",AE4-多次统计数据!$B$8)</f>
        <v>-0.22970015727334742</v>
      </c>
      <c r="AA4" s="33">
        <f t="shared" si="7"/>
        <v>170</v>
      </c>
      <c r="AB4" s="30">
        <f>IF(OR(A4="",多次统计数据!$B$8="",多次统计数据!$B$6&lt;=0,多次统计数据!$B$6&gt;=1),"",1-POWER(1+多次统计数据!$B$8,-多次统计数据!$B$6/(1-多次统计数据!$B$6)))</f>
        <v>8.152013270062719E-2</v>
      </c>
      <c r="AC4" s="28" t="str">
        <f>IF(OR(AB4="",多次统计数据!$B$9=""),"",IF(多次统计数据!$B$9&lt;AB4,"低于上限","达到或超过上限"))</f>
        <v>低于上限</v>
      </c>
      <c r="AD4" s="25"/>
      <c r="AE4" s="30">
        <f t="shared" si="8"/>
        <v>-0.11948748836445273</v>
      </c>
      <c r="AG4" s="25" t="s">
        <v>48</v>
      </c>
      <c r="AH4" s="25" t="s">
        <v>46</v>
      </c>
      <c r="AI4" s="25" t="s">
        <v>49</v>
      </c>
      <c r="AJ4" s="28" t="str">
        <f t="shared" si="9"/>
        <v>匹配</v>
      </c>
      <c r="AK4" s="34">
        <f>IF(A4="","",COUNTIFS(加仓管理!$A$2:$A$1001,A4,加仓管理!$G$2:$G$1001,"&gt;0"))</f>
        <v>3</v>
      </c>
      <c r="AL4" s="34">
        <f>IF(A4="","",SUMIFS(加仓管理!$G$2:$G$1001,加仓管理!$A$2:$A$1001,A4))</f>
        <v>2800</v>
      </c>
      <c r="AM4" s="35">
        <f>IF(AK4=0,"",IFERROR(LOOKUP(2,1/((加仓管理!$A$2:$A$1001=A4)*(加仓管理!$G$2:$G$1001&gt;0)),加仓管理!$D$2:$D$1001),""))</f>
        <v>15.42</v>
      </c>
      <c r="AN4" s="35">
        <f>IF(AK4=0,"",IFERROR(LOOKUP(2,1/((加仓管理!$A$2:$A$1001=A4)*(加仓管理!$G$2:$G$1001&gt;0)),加仓管理!$E$2:$E$1001),""))</f>
        <v>14.81</v>
      </c>
      <c r="AO4" s="35">
        <f>IF(OR(A4="",H4="",H4&lt;=0),"",(E4*H4+SUMIFS(加仓管理!$H$2:$H$1001,加仓管理!$A$2:$A$1001,A4))/AP4)</f>
        <v>15.854210526315789</v>
      </c>
      <c r="AP4" s="34">
        <f t="shared" si="10"/>
        <v>5700</v>
      </c>
      <c r="AQ4" s="35">
        <f>IF(A4="","",IF(M4&lt;&gt;"",0,IF(OR(H4="",N4=""),"",MAX((E4*H4+SUMIFS(加仓管理!$H$2:$H$1001,加仓管理!$A$2:$A$1001,A4))-MAX(N4,AN4)*AP4,0))))</f>
        <v>0</v>
      </c>
      <c r="AR4" s="35" t="str">
        <f>IF(A4="","",IF(OR(E4="",H4=""),"违规：首次买入价格或股数缺失",IF(COUNTIFS(加仓管理!$A$2:$A$1001,A4,加仓管理!$R$2:$R$1001,"违规*")&gt;0,"违规：请检查加仓管理表",IF(SUM($AQ$2:$AQ$201)&gt;账户数据!$B$7,"预警：超过账户风险上限",IF(COUNTIFS(加仓管理!$A$2:$A$1001,A4,加仓管理!$N$2:$N$1001,"&gt;0",加仓管理!$G$2:$G$1001,"")&gt;0,"提示：存在待执行加仓计划","通过")))))</f>
        <v>违规：请检查加仓管理表</v>
      </c>
    </row>
    <row r="5" spans="1:44" s="19" customFormat="1">
      <c r="A5" s="25">
        <v>4</v>
      </c>
      <c r="B5" s="25" t="s">
        <v>44</v>
      </c>
      <c r="C5" s="26">
        <v>80404</v>
      </c>
      <c r="D5" s="27">
        <v>0.02</v>
      </c>
      <c r="E5" s="26">
        <v>15.62</v>
      </c>
      <c r="F5" s="28">
        <f t="shared" si="0"/>
        <v>2500</v>
      </c>
      <c r="G5" s="28" t="str">
        <f>IF(A5="","",IF(H5&lt;&gt;"","已开仓",IF(账户数据!$B$23="已锁仓","禁止开仓：连续亏损达到上限",IF(账户数据!$B$23="解锁信息不完整","禁止开仓：请完整填写解锁信息",IF(OR(F5="",E5="",N5="",E5&lt;=N5,账户数据!$B$7=""),"",IF(OR(AG5="",AH5="",AI5=""),"禁止开仓：交易预期未填写完整",IF(账户数据!$B$9+F5*(E5-N5)&gt;=账户数据!$B$7,"禁止开仓：风险额度不足",IF(AJ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" s="25">
        <v>2500</v>
      </c>
      <c r="I5" s="29">
        <v>44799</v>
      </c>
      <c r="J5" s="26">
        <v>10.59</v>
      </c>
      <c r="K5" s="26">
        <v>10.59</v>
      </c>
      <c r="L5" s="28">
        <f t="shared" si="1"/>
        <v>4900</v>
      </c>
      <c r="M5" s="29">
        <v>44799</v>
      </c>
      <c r="N5" s="26">
        <v>15</v>
      </c>
      <c r="O5" s="26"/>
      <c r="P5" s="26"/>
      <c r="Q5" s="25"/>
      <c r="R5" s="25"/>
      <c r="S5" s="25"/>
      <c r="T5" s="25"/>
      <c r="U5" s="30">
        <f t="shared" si="2"/>
        <v>-0.34779165933485834</v>
      </c>
      <c r="V5" s="30">
        <f t="shared" si="3"/>
        <v>7.6192152032377239E-2</v>
      </c>
      <c r="W5" s="31">
        <f t="shared" si="4"/>
        <v>-4.5646651270207865</v>
      </c>
      <c r="X5" s="32">
        <f t="shared" si="5"/>
        <v>-27671</v>
      </c>
      <c r="Y5" s="30">
        <f t="shared" si="6"/>
        <v>-0.34779165933485834</v>
      </c>
      <c r="Z5" s="30">
        <f>IF(OR(AE5="",多次统计数据!$B$8=""),"",AE5-多次统计数据!$B$8)</f>
        <v>-0.45436221370766094</v>
      </c>
      <c r="AA5" s="33">
        <f t="shared" si="7"/>
        <v>0</v>
      </c>
      <c r="AB5" s="30">
        <f>IF(OR(A5="",多次统计数据!$B$8="",多次统计数据!$B$6&lt;=0,多次统计数据!$B$6&gt;=1),"",1-POWER(1+多次统计数据!$B$8,-多次统计数据!$B$6/(1-多次统计数据!$B$6)))</f>
        <v>8.152013270062719E-2</v>
      </c>
      <c r="AC5" s="28" t="str">
        <f>IF(OR(AB5="",多次统计数据!$B$9=""),"",IF(多次统计数据!$B$9&lt;AB5,"低于上限","达到或超过上限"))</f>
        <v>低于上限</v>
      </c>
      <c r="AD5" s="25"/>
      <c r="AE5" s="30">
        <f t="shared" si="8"/>
        <v>-0.34414954479876625</v>
      </c>
      <c r="AG5" s="25" t="s">
        <v>48</v>
      </c>
      <c r="AH5" s="25" t="s">
        <v>46</v>
      </c>
      <c r="AI5" s="25" t="s">
        <v>50</v>
      </c>
      <c r="AJ5" s="28" t="str">
        <f t="shared" si="9"/>
        <v>匹配</v>
      </c>
      <c r="AK5" s="34">
        <f>IF(A5="","",COUNTIFS(加仓管理!$A$2:$A$1001,A5,加仓管理!$G$2:$G$1001,"&gt;0"))</f>
        <v>3</v>
      </c>
      <c r="AL5" s="34">
        <f>IF(A5="","",SUMIFS(加仓管理!$G$2:$G$1001,加仓管理!$A$2:$A$1001,A5))</f>
        <v>2400</v>
      </c>
      <c r="AM5" s="35">
        <f>IF(AK5=0,"",IFERROR(LOOKUP(2,1/((加仓管理!$A$2:$A$1001=A5)*(加仓管理!$G$2:$G$1001&gt;0)),加仓管理!$D$2:$D$1001),""))</f>
        <v>16.079999999999998</v>
      </c>
      <c r="AN5" s="35">
        <f>IF(AK5=0,"",IFERROR(LOOKUP(2,1/((加仓管理!$A$2:$A$1001=A5)*(加仓管理!$G$2:$G$1001&gt;0)),加仓管理!$E$2:$E$1001),""))</f>
        <v>16</v>
      </c>
      <c r="AO5" s="35">
        <f>IF(OR(A5="",H5="",H5&lt;=0),"",(E5*H5+SUMIFS(加仓管理!$H$2:$H$1001,加仓管理!$A$2:$A$1001,A5))/AP5)</f>
        <v>16.237142857142857</v>
      </c>
      <c r="AP5" s="34">
        <f t="shared" si="10"/>
        <v>4900</v>
      </c>
      <c r="AQ5" s="35">
        <f>IF(A5="","",IF(M5&lt;&gt;"",0,IF(OR(H5="",N5=""),"",MAX((E5*H5+SUMIFS(加仓管理!$H$2:$H$1001,加仓管理!$A$2:$A$1001,A5))-MAX(N5,AN5)*AP5,0))))</f>
        <v>0</v>
      </c>
      <c r="AR5" s="35" t="str">
        <f>IF(A5="","",IF(OR(E5="",H5=""),"违规：首次买入价格或股数缺失",IF(COUNTIFS(加仓管理!$A$2:$A$1001,A5,加仓管理!$R$2:$R$1001,"违规*")&gt;0,"违规：请检查加仓管理表",IF(SUM($AQ$2:$AQ$201)&gt;账户数据!$B$7,"预警：超过账户风险上限",IF(COUNTIFS(加仓管理!$A$2:$A$1001,A5,加仓管理!$N$2:$N$1001,"&gt;0",加仓管理!$G$2:$G$1001,"")&gt;0,"提示：存在待执行加仓计划","通过")))))</f>
        <v>违规：请检查加仓管理表</v>
      </c>
    </row>
    <row r="6" spans="1:44" s="19" customFormat="1">
      <c r="A6" s="25">
        <v>5</v>
      </c>
      <c r="B6" s="25" t="s">
        <v>44</v>
      </c>
      <c r="C6" s="26">
        <v>52733</v>
      </c>
      <c r="D6" s="27">
        <v>0.02</v>
      </c>
      <c r="E6" s="26">
        <v>10.59</v>
      </c>
      <c r="F6" s="28">
        <f t="shared" si="0"/>
        <v>1700</v>
      </c>
      <c r="G6" s="28" t="str">
        <f>IF(A6="","",IF(H6&lt;&gt;"","已开仓",IF(账户数据!$B$23="已锁仓","禁止开仓：连续亏损达到上限",IF(账户数据!$B$23="解锁信息不完整","禁止开仓：请完整填写解锁信息",IF(OR(F6="",E6="",N6="",E6&lt;=N6,账户数据!$B$7=""),"",IF(OR(AG6="",AH6="",AI6=""),"禁止开仓：交易预期未填写完整",IF(账户数据!$B$9+F6*(E6-N6)&gt;=账户数据!$B$7,"禁止开仓：风险额度不足",IF(AJ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" s="25">
        <v>1700</v>
      </c>
      <c r="I6" s="29">
        <v>44707</v>
      </c>
      <c r="J6" s="26">
        <v>12</v>
      </c>
      <c r="K6" s="26">
        <v>11.29</v>
      </c>
      <c r="L6" s="28">
        <f t="shared" si="1"/>
        <v>4700</v>
      </c>
      <c r="M6" s="29">
        <v>44925</v>
      </c>
      <c r="N6" s="26">
        <v>10</v>
      </c>
      <c r="O6" s="26"/>
      <c r="P6" s="26"/>
      <c r="Q6" s="25"/>
      <c r="R6" s="25"/>
      <c r="S6" s="25"/>
      <c r="T6" s="25"/>
      <c r="U6" s="30">
        <f t="shared" si="2"/>
        <v>9.0634850037708145E-2</v>
      </c>
      <c r="V6" s="30">
        <f t="shared" si="3"/>
        <v>9.1137624968576539E-2</v>
      </c>
      <c r="W6" s="31">
        <f t="shared" si="4"/>
        <v>0.99448334394228788</v>
      </c>
      <c r="X6" s="32">
        <f t="shared" si="5"/>
        <v>1349.9999999999975</v>
      </c>
      <c r="Y6" s="30">
        <f t="shared" si="6"/>
        <v>2.6105621410477009E-2</v>
      </c>
      <c r="Z6" s="30">
        <f>IF(OR(AE6="",多次统计数据!$B$8=""),"",AE6-多次统计数据!$B$8)</f>
        <v>-8.4612001395193634E-2</v>
      </c>
      <c r="AA6" s="33">
        <f t="shared" si="7"/>
        <v>218</v>
      </c>
      <c r="AB6" s="30">
        <f>IF(OR(A6="",多次统计数据!$B$8="",多次统计数据!$B$6&lt;=0,多次统计数据!$B$6&gt;=1),"",1-POWER(1+多次统计数据!$B$8,-多次统计数据!$B$6/(1-多次统计数据!$B$6)))</f>
        <v>8.152013270062719E-2</v>
      </c>
      <c r="AC6" s="28" t="str">
        <f>IF(OR(AB6="",多次统计数据!$B$9=""),"",IF(多次统计数据!$B$9&lt;AB6,"低于上限","达到或超过上限"))</f>
        <v>低于上限</v>
      </c>
      <c r="AD6" s="25"/>
      <c r="AE6" s="30">
        <f t="shared" si="8"/>
        <v>2.5600667513701051E-2</v>
      </c>
      <c r="AG6" s="25" t="s">
        <v>51</v>
      </c>
      <c r="AH6" s="25" t="s">
        <v>52</v>
      </c>
      <c r="AI6" s="25" t="s">
        <v>49</v>
      </c>
      <c r="AJ6" s="28" t="str">
        <f t="shared" si="9"/>
        <v>匹配</v>
      </c>
      <c r="AK6" s="34">
        <f>IF(A6="","",COUNTIFS(加仓管理!$A$2:$A$1001,A6,加仓管理!$G$2:$G$1001,"&gt;0"))</f>
        <v>2</v>
      </c>
      <c r="AL6" s="34">
        <f>IF(A6="","",SUMIFS(加仓管理!$G$2:$G$1001,加仓管理!$A$2:$A$1001,A6))</f>
        <v>3000</v>
      </c>
      <c r="AM6" s="35">
        <f>IF(AK6=0,"",IFERROR(LOOKUP(2,1/((加仓管理!$A$2:$A$1001=A6)*(加仓管理!$G$2:$G$1001&gt;0)),加仓管理!$D$2:$D$1001),""))</f>
        <v>10.66</v>
      </c>
      <c r="AN6" s="35">
        <f>IF(AK6=0,"",IFERROR(LOOKUP(2,1/((加仓管理!$A$2:$A$1001=A6)*(加仓管理!$G$2:$G$1001&gt;0)),加仓管理!$E$2:$E$1001),""))</f>
        <v>10</v>
      </c>
      <c r="AO6" s="35">
        <f>IF(OR(A6="",H6="",H6&lt;=0),"",(E6*H6+SUMIFS(加仓管理!$H$2:$H$1001,加仓管理!$A$2:$A$1001,A6))/AP6)</f>
        <v>11.002765957446808</v>
      </c>
      <c r="AP6" s="34">
        <f t="shared" si="10"/>
        <v>4700</v>
      </c>
      <c r="AQ6" s="35">
        <f>IF(A6="","",IF(M6&lt;&gt;"",0,IF(OR(H6="",N6=""),"",MAX((E6*H6+SUMIFS(加仓管理!$H$2:$H$1001,加仓管理!$A$2:$A$1001,A6))-MAX(N6,AN6)*AP6,0))))</f>
        <v>0</v>
      </c>
      <c r="AR6" s="35" t="str">
        <f>IF(A6="","",IF(OR(E6="",H6=""),"违规：首次买入价格或股数缺失",IF(COUNTIFS(加仓管理!$A$2:$A$1001,A6,加仓管理!$R$2:$R$1001,"违规*")&gt;0,"违规：请检查加仓管理表",IF(SUM($AQ$2:$AQ$201)&gt;账户数据!$B$7,"预警：超过账户风险上限",IF(COUNTIFS(加仓管理!$A$2:$A$1001,A6,加仓管理!$N$2:$N$1001,"&gt;0",加仓管理!$G$2:$G$1001,"")&gt;0,"提示：存在待执行加仓计划","通过")))))</f>
        <v>违规：请检查加仓管理表</v>
      </c>
    </row>
    <row r="7" spans="1:44">
      <c r="A7" s="10">
        <v>6</v>
      </c>
      <c r="B7" s="10" t="s">
        <v>44</v>
      </c>
      <c r="C7" s="7">
        <v>54083</v>
      </c>
      <c r="D7" s="4">
        <v>0.02</v>
      </c>
      <c r="E7" s="7">
        <v>12.5</v>
      </c>
      <c r="F7" s="6">
        <f t="shared" si="0"/>
        <v>1000</v>
      </c>
      <c r="G7" s="6" t="str">
        <f>IF(A7="","",IF(H7&lt;&gt;"","已开仓",IF(账户数据!$B$23="已锁仓","禁止开仓：连续亏损达到上限",IF(账户数据!$B$23="解锁信息不完整","禁止开仓：请完整填写解锁信息",IF(OR(F7="",E7="",N7="",E7&lt;=N7,账户数据!$B$7=""),"",IF(OR(AG7="",AH7="",AI7=""),"禁止开仓：交易预期未填写完整",IF(账户数据!$B$9+F7*(E7-N7)&gt;=账户数据!$B$7,"禁止开仓：风险额度不足",IF(AJ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" s="10">
        <v>1000</v>
      </c>
      <c r="I7" s="21">
        <v>44943</v>
      </c>
      <c r="J7" s="7">
        <v>13</v>
      </c>
      <c r="K7" s="7">
        <v>16.89</v>
      </c>
      <c r="L7" s="6">
        <f t="shared" si="1"/>
        <v>3000</v>
      </c>
      <c r="M7" s="21">
        <v>44988</v>
      </c>
      <c r="N7" s="7">
        <v>11.5</v>
      </c>
      <c r="O7" s="7"/>
      <c r="P7" s="7"/>
      <c r="Q7" s="10"/>
      <c r="R7" s="10"/>
      <c r="S7" s="10"/>
      <c r="T7" s="10"/>
      <c r="U7" s="5">
        <f t="shared" si="2"/>
        <v>-7.6485910490172837E-2</v>
      </c>
      <c r="V7" s="5">
        <f t="shared" si="3"/>
        <v>0.18304522851053751</v>
      </c>
      <c r="W7" s="22">
        <f t="shared" si="4"/>
        <v>-0.41785252263906847</v>
      </c>
      <c r="X7" s="3">
        <f t="shared" si="5"/>
        <v>8440.0000000000036</v>
      </c>
      <c r="Y7" s="5">
        <f t="shared" si="6"/>
        <v>0.19985792090930626</v>
      </c>
      <c r="Z7" s="5">
        <f>IF(OR(AE7="",多次统计数据!$B$8=""),"",AE7-多次统计数据!$B$8)</f>
        <v>4.5843762871886781E-2</v>
      </c>
      <c r="AA7" s="8">
        <f t="shared" si="7"/>
        <v>45</v>
      </c>
      <c r="AB7" s="5">
        <f>IF(OR(A7="",多次统计数据!$B$8="",多次统计数据!$B$6&lt;=0,多次统计数据!$B$6&gt;=1),"",1-POWER(1+多次统计数据!$B$8,-多次统计数据!$B$6/(1-多次统计数据!$B$6)))</f>
        <v>8.152013270062719E-2</v>
      </c>
      <c r="AC7" s="6" t="str">
        <f>IF(OR(AB7="",多次统计数据!$B$9=""),"",IF(多次统计数据!$B$9&lt;AB7,"低于上限","达到或超过上限"))</f>
        <v>低于上限</v>
      </c>
      <c r="AD7" s="10"/>
      <c r="AE7" s="5">
        <f t="shared" si="8"/>
        <v>0.15605643178078146</v>
      </c>
      <c r="AG7" s="10" t="s">
        <v>51</v>
      </c>
      <c r="AH7" s="10" t="s">
        <v>52</v>
      </c>
      <c r="AI7" s="10" t="s">
        <v>49</v>
      </c>
      <c r="AJ7" s="6" t="str">
        <f t="shared" si="9"/>
        <v>匹配</v>
      </c>
      <c r="AK7" s="23">
        <f>IF(A7="","",COUNTIFS(加仓管理!$A$2:$A$1001,A7,加仓管理!$G$2:$G$1001,"&gt;0"))</f>
        <v>2</v>
      </c>
      <c r="AL7" s="23">
        <f>IF(A7="","",SUMIFS(加仓管理!$G$2:$G$1001,加仓管理!$A$2:$A$1001,A7))</f>
        <v>2000</v>
      </c>
      <c r="AM7" s="24">
        <f>IF(AK7=0,"",IFERROR(LOOKUP(2,1/((加仓管理!$A$2:$A$1001=A7)*(加仓管理!$G$2:$G$1001&gt;0)),加仓管理!$D$2:$D$1001),""))</f>
        <v>15.71</v>
      </c>
      <c r="AN7" s="24">
        <f>IF(AK7=0,"",IFERROR(LOOKUP(2,1/((加仓管理!$A$2:$A$1001=A7)*(加仓管理!$G$2:$G$1001&gt;0)),加仓管理!$E$2:$E$1001),""))</f>
        <v>14.02</v>
      </c>
      <c r="AO7" s="24">
        <f>IF(OR(A7="",H7="",H7&lt;=0),"",(E7*H7+SUMIFS(加仓管理!$H$2:$H$1001,加仓管理!$A$2:$A$1001,A7))/AP7)</f>
        <v>14.076666666666666</v>
      </c>
      <c r="AP7" s="23">
        <f t="shared" si="10"/>
        <v>3000</v>
      </c>
      <c r="AQ7" s="24">
        <f>IF(A7="","",IF(M7&lt;&gt;"",0,IF(OR(H7="",N7=""),"",MAX((E7*H7+SUMIFS(加仓管理!$H$2:$H$1001,加仓管理!$A$2:$A$1001,A7))-MAX(N7,AN7)*AP7,0))))</f>
        <v>0</v>
      </c>
      <c r="AR7" s="24" t="str">
        <f>IF(A7="","",IF(OR(E7="",H7=""),"违规：首次买入价格或股数缺失",IF(COUNTIFS(加仓管理!$A$2:$A$1001,A7,加仓管理!$R$2:$R$1001,"违规*")&gt;0,"违规：请检查加仓管理表",IF(SUM($AQ$2:$AQ$201)&gt;账户数据!$B$7,"预警：超过账户风险上限",IF(COUNTIFS(加仓管理!$A$2:$A$1001,A7,加仓管理!$N$2:$N$1001,"&gt;0",加仓管理!$G$2:$G$1001,"")&gt;0,"提示：存在待执行加仓计划","通过")))))</f>
        <v>违规：请检查加仓管理表</v>
      </c>
    </row>
    <row r="8" spans="1:44">
      <c r="A8" s="10">
        <v>7</v>
      </c>
      <c r="B8" s="10" t="s">
        <v>44</v>
      </c>
      <c r="C8" s="7">
        <v>62523</v>
      </c>
      <c r="D8" s="4">
        <v>0.02</v>
      </c>
      <c r="E8" s="7">
        <v>18.63</v>
      </c>
      <c r="F8" s="6">
        <f t="shared" si="0"/>
        <v>1100</v>
      </c>
      <c r="G8" s="6" t="str">
        <f>IF(A8="","",IF(H8&lt;&gt;"","已开仓",IF(账户数据!$B$23="已锁仓","禁止开仓：连续亏损达到上限",IF(账户数据!$B$23="解锁信息不完整","禁止开仓：请完整填写解锁信息",IF(OR(F8="",E8="",N8="",E8&lt;=N8,账户数据!$B$7=""),"",IF(OR(AG8="",AH8="",AI8=""),"禁止开仓：交易预期未填写完整",IF(账户数据!$B$9+F8*(E8-N8)&gt;=账户数据!$B$7,"禁止开仓：风险额度不足",IF(AJ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" s="10">
        <v>1100</v>
      </c>
      <c r="I8" s="21">
        <v>45041</v>
      </c>
      <c r="J8" s="7">
        <v>20</v>
      </c>
      <c r="K8" s="7">
        <v>17.739999999999998</v>
      </c>
      <c r="L8" s="6">
        <f t="shared" si="1"/>
        <v>1100</v>
      </c>
      <c r="M8" s="21">
        <v>45044</v>
      </c>
      <c r="N8" s="7">
        <v>17.5</v>
      </c>
      <c r="O8" s="7"/>
      <c r="P8" s="7"/>
      <c r="Q8" s="10"/>
      <c r="R8" s="10"/>
      <c r="S8" s="10"/>
      <c r="T8" s="10"/>
      <c r="U8" s="5">
        <f t="shared" si="2"/>
        <v>7.3537305421363455E-2</v>
      </c>
      <c r="V8" s="5">
        <f t="shared" si="3"/>
        <v>6.0654857756306982E-2</v>
      </c>
      <c r="W8" s="22">
        <f t="shared" si="4"/>
        <v>1.2123893805309756</v>
      </c>
      <c r="X8" s="3">
        <f t="shared" si="5"/>
        <v>-979.00000000000068</v>
      </c>
      <c r="Y8" s="5">
        <f t="shared" si="6"/>
        <v>-4.7772410091250703E-2</v>
      </c>
      <c r="Z8" s="5">
        <f>IF(OR(AE8="",多次统计数据!$B$8=""),"",AE8-多次统计数据!$B$8)</f>
        <v>-0.12587090667739589</v>
      </c>
      <c r="AA8" s="8">
        <f t="shared" si="7"/>
        <v>3</v>
      </c>
      <c r="AB8" s="5">
        <f>IF(OR(A8="",多次统计数据!$B$8="",多次统计数据!$B$6&lt;=0,多次统计数据!$B$6&gt;=1),"",1-POWER(1+多次统计数据!$B$8,-多次统计数据!$B$6/(1-多次统计数据!$B$6)))</f>
        <v>8.152013270062719E-2</v>
      </c>
      <c r="AC8" s="6" t="str">
        <f>IF(OR(AB8="",多次统计数据!$B$9=""),"",IF(多次统计数据!$B$9&lt;AB8,"低于上限","达到或超过上限"))</f>
        <v>低于上限</v>
      </c>
      <c r="AD8" s="10"/>
      <c r="AE8" s="5">
        <f t="shared" si="8"/>
        <v>-1.5658237768501202E-2</v>
      </c>
      <c r="AG8" s="10" t="s">
        <v>48</v>
      </c>
      <c r="AH8" s="10" t="s">
        <v>46</v>
      </c>
      <c r="AI8" s="10" t="s">
        <v>50</v>
      </c>
      <c r="AJ8" s="6" t="str">
        <f t="shared" si="9"/>
        <v>匹配</v>
      </c>
      <c r="AK8" s="23">
        <f>IF(A8="","",COUNTIFS(加仓管理!$A$2:$A$1001,A8,加仓管理!$G$2:$G$1001,"&gt;0"))</f>
        <v>0</v>
      </c>
      <c r="AL8" s="23">
        <f>IF(A8="","",SUMIFS(加仓管理!$G$2:$G$1001,加仓管理!$A$2:$A$1001,A8))</f>
        <v>0</v>
      </c>
      <c r="AM8" s="24" t="str">
        <f>IF(AK8=0,"",IFERROR(LOOKUP(2,1/((加仓管理!$A$2:$A$1001=A8)*(加仓管理!$G$2:$G$1001&gt;0)),加仓管理!$D$2:$D$1001),""))</f>
        <v/>
      </c>
      <c r="AN8" s="24" t="str">
        <f>IF(AK8=0,"",IFERROR(LOOKUP(2,1/((加仓管理!$A$2:$A$1001=A8)*(加仓管理!$G$2:$G$1001&gt;0)),加仓管理!$E$2:$E$1001),""))</f>
        <v/>
      </c>
      <c r="AO8" s="24">
        <f>IF(OR(A8="",H8="",H8&lt;=0),"",(E8*H8+SUMIFS(加仓管理!$H$2:$H$1001,加仓管理!$A$2:$A$1001,A8))/AP8)</f>
        <v>18.63</v>
      </c>
      <c r="AP8" s="23">
        <f t="shared" si="10"/>
        <v>1100</v>
      </c>
      <c r="AQ8" s="24">
        <f>IF(A8="","",IF(M8&lt;&gt;"",0,IF(OR(H8="",N8=""),"",MAX((E8*H8+SUMIFS(加仓管理!$H$2:$H$1001,加仓管理!$A$2:$A$1001,A8))-MAX(N8,AN8)*AP8,0))))</f>
        <v>0</v>
      </c>
      <c r="AR8" s="24" t="str">
        <f>IF(A8="","",IF(OR(E8="",H8=""),"违规：首次买入价格或股数缺失",IF(COUNTIFS(加仓管理!$A$2:$A$1001,A8,加仓管理!$R$2:$R$1001,"违规*")&gt;0,"违规：请检查加仓管理表",IF(SUM($AQ$2:$AQ$201)&gt;账户数据!$B$7,"预警：超过账户风险上限",IF(COUNTIFS(加仓管理!$A$2:$A$1001,A8,加仓管理!$N$2:$N$1001,"&gt;0",加仓管理!$G$2:$G$1001,"")&gt;0,"提示：存在待执行加仓计划","通过")))))</f>
        <v>通过</v>
      </c>
    </row>
    <row r="9" spans="1:44">
      <c r="A9" s="10">
        <v>8</v>
      </c>
      <c r="B9" s="10" t="s">
        <v>44</v>
      </c>
      <c r="C9" s="7">
        <v>61544</v>
      </c>
      <c r="D9" s="4">
        <v>0.02</v>
      </c>
      <c r="E9" s="7">
        <v>20.420000000000002</v>
      </c>
      <c r="F9" s="6">
        <f t="shared" si="0"/>
        <v>1300</v>
      </c>
      <c r="G9" s="6" t="str">
        <f>IF(A9="","",IF(H9&lt;&gt;"","已开仓",IF(账户数据!$B$23="已锁仓","禁止开仓：连续亏损达到上限",IF(账户数据!$B$23="解锁信息不完整","禁止开仓：请完整填写解锁信息",IF(OR(F9="",E9="",N9="",E9&lt;=N9,账户数据!$B$7=""),"",IF(OR(AG9="",AH9="",AI9=""),"禁止开仓：交易预期未填写完整",IF(账户数据!$B$9+F9*(E9-N9)&gt;=账户数据!$B$7,"禁止开仓：风险额度不足",IF(AJ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" s="10">
        <v>1300</v>
      </c>
      <c r="I9" s="21">
        <v>45103</v>
      </c>
      <c r="J9" s="7">
        <v>24</v>
      </c>
      <c r="K9" s="7">
        <v>19.71</v>
      </c>
      <c r="L9" s="6">
        <f t="shared" si="1"/>
        <v>1300</v>
      </c>
      <c r="M9" s="21">
        <v>45112</v>
      </c>
      <c r="N9" s="7">
        <v>19.5</v>
      </c>
      <c r="O9" s="7"/>
      <c r="P9" s="7"/>
      <c r="Q9" s="10"/>
      <c r="R9" s="10"/>
      <c r="S9" s="10"/>
      <c r="T9" s="10"/>
      <c r="U9" s="5">
        <f t="shared" si="2"/>
        <v>0.1753183153770812</v>
      </c>
      <c r="V9" s="5">
        <f t="shared" si="3"/>
        <v>4.505386875612153E-2</v>
      </c>
      <c r="W9" s="22">
        <f t="shared" si="4"/>
        <v>3.891304347826078</v>
      </c>
      <c r="X9" s="3">
        <f t="shared" si="5"/>
        <v>-923.00000000000114</v>
      </c>
      <c r="Y9" s="5">
        <f t="shared" si="6"/>
        <v>-3.4769833496572027E-2</v>
      </c>
      <c r="Z9" s="5">
        <f>IF(OR(AE9="",多次统计数据!$B$8=""),"",AE9-多次统计数据!$B$8)</f>
        <v>-0.12521006914287364</v>
      </c>
      <c r="AA9" s="8">
        <f t="shared" si="7"/>
        <v>9</v>
      </c>
      <c r="AB9" s="5">
        <f>IF(OR(A9="",多次统计数据!$B$8="",多次统计数据!$B$6&lt;=0,多次统计数据!$B$6&gt;=1),"",1-POWER(1+多次统计数据!$B$8,-多次统计数据!$B$6/(1-多次统计数据!$B$6)))</f>
        <v>8.152013270062719E-2</v>
      </c>
      <c r="AC9" s="6" t="str">
        <f>IF(OR(AB9="",多次统计数据!$B$9=""),"",IF(多次统计数据!$B$9&lt;AB9,"低于上限","达到或超过上限"))</f>
        <v>低于上限</v>
      </c>
      <c r="AD9" s="10"/>
      <c r="AE9" s="5">
        <f t="shared" si="8"/>
        <v>-1.499740023397896E-2</v>
      </c>
      <c r="AG9" s="10" t="s">
        <v>51</v>
      </c>
      <c r="AH9" s="10" t="s">
        <v>52</v>
      </c>
      <c r="AI9" s="10" t="s">
        <v>49</v>
      </c>
      <c r="AJ9" s="6" t="str">
        <f t="shared" si="9"/>
        <v>匹配</v>
      </c>
      <c r="AK9" s="23">
        <f>IF(A9="","",COUNTIFS(加仓管理!$A$2:$A$1001,A9,加仓管理!$G$2:$G$1001,"&gt;0"))</f>
        <v>0</v>
      </c>
      <c r="AL9" s="23">
        <f>IF(A9="","",SUMIFS(加仓管理!$G$2:$G$1001,加仓管理!$A$2:$A$1001,A9))</f>
        <v>0</v>
      </c>
      <c r="AM9" s="24" t="str">
        <f>IF(AK9=0,"",IFERROR(LOOKUP(2,1/((加仓管理!$A$2:$A$1001=A9)*(加仓管理!$G$2:$G$1001&gt;0)),加仓管理!$D$2:$D$1001),""))</f>
        <v/>
      </c>
      <c r="AN9" s="24" t="str">
        <f>IF(AK9=0,"",IFERROR(LOOKUP(2,1/((加仓管理!$A$2:$A$1001=A9)*(加仓管理!$G$2:$G$1001&gt;0)),加仓管理!$E$2:$E$1001),""))</f>
        <v/>
      </c>
      <c r="AO9" s="24">
        <f>IF(OR(A9="",H9="",H9&lt;=0),"",(E9*H9+SUMIFS(加仓管理!$H$2:$H$1001,加仓管理!$A$2:$A$1001,A9))/AP9)</f>
        <v>20.420000000000002</v>
      </c>
      <c r="AP9" s="23">
        <f t="shared" si="10"/>
        <v>1300</v>
      </c>
      <c r="AQ9" s="24">
        <f>IF(A9="","",IF(M9&lt;&gt;"",0,IF(OR(H9="",N9=""),"",MAX((E9*H9+SUMIFS(加仓管理!$H$2:$H$1001,加仓管理!$A$2:$A$1001,A9))-MAX(N9,AN9)*AP9,0))))</f>
        <v>0</v>
      </c>
      <c r="AR9" s="24" t="str">
        <f>IF(A9="","",IF(OR(E9="",H9=""),"违规：首次买入价格或股数缺失",IF(COUNTIFS(加仓管理!$A$2:$A$1001,A9,加仓管理!$R$2:$R$1001,"违规*")&gt;0,"违规：请检查加仓管理表",IF(SUM($AQ$2:$AQ$201)&gt;账户数据!$B$7,"预警：超过账户风险上限",IF(COUNTIFS(加仓管理!$A$2:$A$1001,A9,加仓管理!$N$2:$N$1001,"&gt;0",加仓管理!$G$2:$G$1001,"")&gt;0,"提示：存在待执行加仓计划","通过")))))</f>
        <v>通过</v>
      </c>
    </row>
    <row r="10" spans="1:44" ht="27" customHeight="1">
      <c r="A10" s="10">
        <v>9</v>
      </c>
      <c r="B10" s="10" t="s">
        <v>44</v>
      </c>
      <c r="C10" s="7">
        <v>60621</v>
      </c>
      <c r="D10" s="4">
        <v>0.02</v>
      </c>
      <c r="E10" s="7">
        <v>19.79</v>
      </c>
      <c r="F10" s="6">
        <f t="shared" si="0"/>
        <v>900</v>
      </c>
      <c r="G10" s="6" t="str">
        <f>IF(A10="","",IF(H10&lt;&gt;"","已开仓",IF(账户数据!$B$23="已锁仓","禁止开仓：连续亏损达到上限",IF(账户数据!$B$23="解锁信息不完整","禁止开仓：请完整填写解锁信息",IF(OR(F10="",E10="",N10="",E10&lt;=N10,账户数据!$B$7=""),"",IF(OR(AG10="",AH10="",AI10=""),"禁止开仓：交易预期未填写完整",IF(账户数据!$B$9+F10*(E10-N10)&gt;=账户数据!$B$7,"禁止开仓：风险额度不足",IF(AJ10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0" s="10">
        <v>900</v>
      </c>
      <c r="I10" s="21">
        <v>45181</v>
      </c>
      <c r="J10" s="7">
        <v>23</v>
      </c>
      <c r="K10" s="7">
        <v>16.91</v>
      </c>
      <c r="L10" s="6">
        <f t="shared" si="1"/>
        <v>900</v>
      </c>
      <c r="M10" s="21">
        <v>45188</v>
      </c>
      <c r="N10" s="7">
        <v>18.5</v>
      </c>
      <c r="O10" s="7"/>
      <c r="P10" s="7"/>
      <c r="Q10" s="10"/>
      <c r="R10" s="10"/>
      <c r="S10" s="10"/>
      <c r="T10" s="10"/>
      <c r="U10" s="5">
        <f t="shared" si="2"/>
        <v>0.16220313289540178</v>
      </c>
      <c r="V10" s="5">
        <f t="shared" si="3"/>
        <v>6.5184436584133365E-2</v>
      </c>
      <c r="W10" s="22">
        <f t="shared" si="4"/>
        <v>2.488372093023258</v>
      </c>
      <c r="X10" s="3">
        <f t="shared" si="5"/>
        <v>-2591.9999999999991</v>
      </c>
      <c r="Y10" s="5">
        <f t="shared" si="6"/>
        <v>-0.14552804446690243</v>
      </c>
      <c r="Z10" s="5">
        <f>IF(OR(AE10="",多次统计数据!$B$8=""),"",AE10-多次统计数据!$B$8)</f>
        <v>-0.15297012919493416</v>
      </c>
      <c r="AA10" s="8">
        <f t="shared" si="7"/>
        <v>7</v>
      </c>
      <c r="AB10" s="5">
        <f>IF(OR(A10="",多次统计数据!$B$8="",多次统计数据!$B$6&lt;=0,多次统计数据!$B$6&gt;=1),"",1-POWER(1+多次统计数据!$B$8,-多次统计数据!$B$6/(1-多次统计数据!$B$6)))</f>
        <v>8.152013270062719E-2</v>
      </c>
      <c r="AC10" s="6" t="str">
        <f>IF(OR(AB10="",多次统计数据!$B$9=""),"",IF(多次统计数据!$B$9&lt;AB10,"低于上限","达到或超过上限"))</f>
        <v>低于上限</v>
      </c>
      <c r="AD10" s="10"/>
      <c r="AE10" s="5">
        <f t="shared" si="8"/>
        <v>-4.2757460286039474E-2</v>
      </c>
      <c r="AG10" s="10" t="s">
        <v>51</v>
      </c>
      <c r="AH10" s="10" t="s">
        <v>52</v>
      </c>
      <c r="AI10" s="10" t="s">
        <v>49</v>
      </c>
      <c r="AJ10" s="6" t="str">
        <f t="shared" si="9"/>
        <v>匹配</v>
      </c>
      <c r="AK10" s="23">
        <f>IF(A10="","",COUNTIFS(加仓管理!$A$2:$A$1001,A10,加仓管理!$G$2:$G$1001,"&gt;0"))</f>
        <v>0</v>
      </c>
      <c r="AL10" s="23">
        <f>IF(A10="","",SUMIFS(加仓管理!$G$2:$G$1001,加仓管理!$A$2:$A$1001,A10))</f>
        <v>0</v>
      </c>
      <c r="AM10" s="24" t="str">
        <f>IF(AK10=0,"",IFERROR(LOOKUP(2,1/((加仓管理!$A$2:$A$1001=A10)*(加仓管理!$G$2:$G$1001&gt;0)),加仓管理!$D$2:$D$1001),""))</f>
        <v/>
      </c>
      <c r="AN10" s="24" t="str">
        <f>IF(AK10=0,"",IFERROR(LOOKUP(2,1/((加仓管理!$A$2:$A$1001=A10)*(加仓管理!$G$2:$G$1001&gt;0)),加仓管理!$E$2:$E$1001),""))</f>
        <v/>
      </c>
      <c r="AO10" s="24">
        <f>IF(OR(A10="",H10="",H10&lt;=0),"",(E10*H10+SUMIFS(加仓管理!$H$2:$H$1001,加仓管理!$A$2:$A$1001,A10))/AP10)</f>
        <v>19.79</v>
      </c>
      <c r="AP10" s="23">
        <f t="shared" si="10"/>
        <v>900</v>
      </c>
      <c r="AQ10" s="24">
        <f>IF(A10="","",IF(M10&lt;&gt;"",0,IF(OR(H10="",N10=""),"",MAX((E10*H10+SUMIFS(加仓管理!$H$2:$H$1001,加仓管理!$A$2:$A$1001,A10))-MAX(N10,AN10)*AP10,0))))</f>
        <v>0</v>
      </c>
      <c r="AR10" s="24" t="str">
        <f>IF(A10="","",IF(OR(E10="",H10=""),"违规：首次买入价格或股数缺失",IF(COUNTIFS(加仓管理!$A$2:$A$1001,A10,加仓管理!$R$2:$R$1001,"违规*")&gt;0,"违规：请检查加仓管理表",IF(SUM($AQ$2:$AQ$201)&gt;账户数据!$B$7,"预警：超过账户风险上限",IF(COUNTIFS(加仓管理!$A$2:$A$1001,A10,加仓管理!$N$2:$N$1001,"&gt;0",加仓管理!$G$2:$G$1001,"")&gt;0,"提示：存在待执行加仓计划","通过")))))</f>
        <v>通过</v>
      </c>
    </row>
    <row r="11" spans="1:44">
      <c r="A11" s="10">
        <v>10</v>
      </c>
      <c r="B11" s="10" t="s">
        <v>44</v>
      </c>
      <c r="C11" s="7">
        <v>58029</v>
      </c>
      <c r="D11" s="4">
        <v>0.02</v>
      </c>
      <c r="E11" s="7">
        <v>15.27</v>
      </c>
      <c r="F11" s="6">
        <f t="shared" si="0"/>
        <v>1500</v>
      </c>
      <c r="G11" s="6" t="str">
        <f>IF(A11="","",IF(H11&lt;&gt;"","已开仓",IF(账户数据!$B$23="已锁仓","禁止开仓：连续亏损达到上限",IF(账户数据!$B$23="解锁信息不完整","禁止开仓：请完整填写解锁信息",IF(OR(F11="",E11="",N11="",E11&lt;=N11,账户数据!$B$7=""),"",IF(OR(AG11="",AH11="",AI11=""),"禁止开仓：交易预期未填写完整",IF(账户数据!$B$9+F11*(E11-N11)&gt;=账户数据!$B$7,"禁止开仓：风险额度不足",IF(AJ11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1" s="10">
        <v>1500</v>
      </c>
      <c r="I11" s="21">
        <v>45502</v>
      </c>
      <c r="J11" s="7">
        <v>18</v>
      </c>
      <c r="K11" s="7">
        <v>16.329999999999998</v>
      </c>
      <c r="L11" s="6">
        <f t="shared" si="1"/>
        <v>3500</v>
      </c>
      <c r="M11" s="21">
        <v>45512</v>
      </c>
      <c r="N11" s="7">
        <v>14.5</v>
      </c>
      <c r="O11" s="7"/>
      <c r="P11" s="7"/>
      <c r="Q11" s="10"/>
      <c r="R11" s="10"/>
      <c r="S11" s="10"/>
      <c r="T11" s="10"/>
      <c r="U11" s="5">
        <f t="shared" si="2"/>
        <v>9.4415009120125057E-2</v>
      </c>
      <c r="V11" s="5">
        <f t="shared" si="3"/>
        <v>0.11838790931989926</v>
      </c>
      <c r="W11" s="22">
        <f t="shared" si="4"/>
        <v>0.79750550256786479</v>
      </c>
      <c r="X11" s="3">
        <f t="shared" si="5"/>
        <v>-410.00000000000728</v>
      </c>
      <c r="Y11" s="5">
        <f t="shared" si="6"/>
        <v>-7.1223833926866544E-3</v>
      </c>
      <c r="Z11" s="5">
        <f>IF(OR(AE11="",多次统计数据!$B$8=""),"",AE11-多次统计数据!$B$8)</f>
        <v>-0.11727810170973577</v>
      </c>
      <c r="AA11" s="8">
        <f t="shared" si="7"/>
        <v>10</v>
      </c>
      <c r="AB11" s="5">
        <f>IF(OR(A11="",多次统计数据!$B$8="",多次统计数据!$B$6&lt;=0,多次统计数据!$B$6&gt;=1),"",1-POWER(1+多次统计数据!$B$8,-多次统计数据!$B$6/(1-多次统计数据!$B$6)))</f>
        <v>8.152013270062719E-2</v>
      </c>
      <c r="AC11" s="6" t="str">
        <f>IF(OR(AB11="",多次统计数据!$B$9=""),"",IF(多次统计数据!$B$9&lt;AB11,"低于上限","达到或超过上限"))</f>
        <v>低于上限</v>
      </c>
      <c r="AD11" s="10"/>
      <c r="AE11" s="5">
        <f t="shared" si="8"/>
        <v>-7.0654328008410844E-3</v>
      </c>
      <c r="AG11" s="10" t="s">
        <v>51</v>
      </c>
      <c r="AH11" s="10" t="s">
        <v>52</v>
      </c>
      <c r="AI11" s="10" t="s">
        <v>49</v>
      </c>
      <c r="AJ11" s="6" t="str">
        <f t="shared" si="9"/>
        <v>匹配</v>
      </c>
      <c r="AK11" s="23">
        <f>IF(A11="","",COUNTIFS(加仓管理!$A$2:$A$1001,A11,加仓管理!$G$2:$G$1001,"&gt;0"))</f>
        <v>2</v>
      </c>
      <c r="AL11" s="23">
        <f>IF(A11="","",SUMIFS(加仓管理!$G$2:$G$1001,加仓管理!$A$2:$A$1001,A11))</f>
        <v>2000</v>
      </c>
      <c r="AM11" s="24">
        <f>IF(AK11=0,"",IFERROR(LOOKUP(2,1/((加仓管理!$A$2:$A$1001=A11)*(加仓管理!$G$2:$G$1001&gt;0)),加仓管理!$D$2:$D$1001),""))</f>
        <v>17.86</v>
      </c>
      <c r="AN11" s="24">
        <f>IF(AK11=0,"",IFERROR(LOOKUP(2,1/((加仓管理!$A$2:$A$1001=A11)*(加仓管理!$G$2:$G$1001&gt;0)),加仓管理!$E$2:$E$1001),""))</f>
        <v>16.5</v>
      </c>
      <c r="AO11" s="24">
        <f>IF(OR(A11="",H11="",H11&lt;=0),"",(E11*H11+SUMIFS(加仓管理!$H$2:$H$1001,加仓管理!$A$2:$A$1001,A11))/AP11)</f>
        <v>16.447142857142858</v>
      </c>
      <c r="AP11" s="23">
        <f t="shared" si="10"/>
        <v>3500</v>
      </c>
      <c r="AQ11" s="24">
        <f>IF(A11="","",IF(M11&lt;&gt;"",0,IF(OR(H11="",N11=""),"",MAX((E11*H11+SUMIFS(加仓管理!$H$2:$H$1001,加仓管理!$A$2:$A$1001,A11))-MAX(N11,AN11)*AP11,0))))</f>
        <v>0</v>
      </c>
      <c r="AR11" s="24" t="str">
        <f>IF(A11="","",IF(OR(E11="",H11=""),"违规：首次买入价格或股数缺失",IF(COUNTIFS(加仓管理!$A$2:$A$1001,A11,加仓管理!$R$2:$R$1001,"违规*")&gt;0,"违规：请检查加仓管理表",IF(SUM($AQ$2:$AQ$201)&gt;账户数据!$B$7,"预警：超过账户风险上限",IF(COUNTIFS(加仓管理!$A$2:$A$1001,A11,加仓管理!$N$2:$N$1001,"&gt;0",加仓管理!$G$2:$G$1001,"")&gt;0,"提示：存在待执行加仓计划","通过")))))</f>
        <v>通过</v>
      </c>
    </row>
    <row r="12" spans="1:44">
      <c r="A12" s="10">
        <v>11</v>
      </c>
      <c r="B12" s="10" t="s">
        <v>44</v>
      </c>
      <c r="C12" s="7">
        <v>57619</v>
      </c>
      <c r="D12" s="4">
        <v>0.02</v>
      </c>
      <c r="E12" s="7">
        <v>20.34</v>
      </c>
      <c r="F12" s="6">
        <f t="shared" si="0"/>
        <v>1300</v>
      </c>
      <c r="G12" s="6" t="str">
        <f>IF(A12="","",IF(H12&lt;&gt;"","已开仓",IF(账户数据!$B$23="已锁仓","禁止开仓：连续亏损达到上限",IF(账户数据!$B$23="解锁信息不完整","禁止开仓：请完整填写解锁信息",IF(OR(F12="",E12="",N12="",E12&lt;=N12,账户数据!$B$7=""),"",IF(OR(AG12="",AH12="",AI12=""),"禁止开仓：交易预期未填写完整",IF(账户数据!$B$9+F12*(E12-N12)&gt;=账户数据!$B$7,"禁止开仓：风险额度不足",IF(AJ12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2" s="10">
        <v>1300</v>
      </c>
      <c r="I12" s="21">
        <v>45603</v>
      </c>
      <c r="J12" s="7">
        <v>24</v>
      </c>
      <c r="K12" s="7">
        <v>26.66</v>
      </c>
      <c r="L12" s="6">
        <f t="shared" si="1"/>
        <v>1800</v>
      </c>
      <c r="M12" s="21">
        <v>45608</v>
      </c>
      <c r="N12" s="7">
        <v>19.5</v>
      </c>
      <c r="O12" s="7"/>
      <c r="P12" s="7"/>
      <c r="Q12" s="10"/>
      <c r="R12" s="10"/>
      <c r="S12" s="10"/>
      <c r="T12" s="10"/>
      <c r="U12" s="5">
        <f t="shared" si="2"/>
        <v>0.14795918367346941</v>
      </c>
      <c r="V12" s="5">
        <f t="shared" si="3"/>
        <v>6.7283163265306103E-2</v>
      </c>
      <c r="W12" s="22">
        <f t="shared" si="4"/>
        <v>2.1990521327014227</v>
      </c>
      <c r="X12" s="3">
        <f t="shared" si="5"/>
        <v>10356.000000000002</v>
      </c>
      <c r="Y12" s="5">
        <f t="shared" si="6"/>
        <v>0.27519132653061229</v>
      </c>
      <c r="Z12" s="5">
        <f>IF(OR(AE12="",多次统计数据!$B$8=""),"",AE12-多次统计数据!$B$8)</f>
        <v>6.9519711035221018E-2</v>
      </c>
      <c r="AA12" s="8">
        <f t="shared" si="7"/>
        <v>5</v>
      </c>
      <c r="AB12" s="5">
        <f>IF(OR(A12="",多次统计数据!$B$8="",多次统计数据!$B$6&lt;=0,多次统计数据!$B$6&gt;=1),"",1-POWER(1+多次统计数据!$B$8,-多次统计数据!$B$6/(1-多次统计数据!$B$6)))</f>
        <v>8.152013270062719E-2</v>
      </c>
      <c r="AC12" s="6" t="str">
        <f>IF(OR(AB12="",多次统计数据!$B$9=""),"",IF(多次统计数据!$B$9&lt;AB12,"低于上限","达到或超过上限"))</f>
        <v>低于上限</v>
      </c>
      <c r="AD12" s="10"/>
      <c r="AE12" s="5">
        <f t="shared" si="8"/>
        <v>0.1797323799441157</v>
      </c>
      <c r="AG12" s="10" t="s">
        <v>45</v>
      </c>
      <c r="AH12" s="10" t="s">
        <v>46</v>
      </c>
      <c r="AI12" s="10" t="s">
        <v>47</v>
      </c>
      <c r="AJ12" s="6" t="str">
        <f t="shared" si="9"/>
        <v>匹配</v>
      </c>
      <c r="AK12" s="23">
        <f>IF(A12="","",COUNTIFS(加仓管理!$A$2:$A$1001,A12,加仓管理!$G$2:$G$1001,"&gt;0"))</f>
        <v>1</v>
      </c>
      <c r="AL12" s="23">
        <f>IF(A12="","",SUMIFS(加仓管理!$G$2:$G$1001,加仓管理!$A$2:$A$1001,A12))</f>
        <v>500</v>
      </c>
      <c r="AM12" s="24">
        <f>IF(AK12=0,"",IFERROR(LOOKUP(2,1/((加仓管理!$A$2:$A$1001=A12)*(加仓管理!$G$2:$G$1001&gt;0)),加仓管理!$D$2:$D$1001),""))</f>
        <v>22.38</v>
      </c>
      <c r="AN12" s="24">
        <f>IF(AK12=0,"",IFERROR(LOOKUP(2,1/((加仓管理!$A$2:$A$1001=A12)*(加仓管理!$G$2:$G$1001&gt;0)),加仓管理!$E$2:$E$1001),""))</f>
        <v>20</v>
      </c>
      <c r="AO12" s="24">
        <f>IF(OR(A12="",H12="",H12&lt;=0),"",(E12*H12+SUMIFS(加仓管理!$H$2:$H$1001,加仓管理!$A$2:$A$1001,A12))/AP12)</f>
        <v>20.906666666666666</v>
      </c>
      <c r="AP12" s="23">
        <f t="shared" si="10"/>
        <v>1800</v>
      </c>
      <c r="AQ12" s="24">
        <f>IF(A12="","",IF(M12&lt;&gt;"",0,IF(OR(H12="",N12=""),"",MAX((E12*H12+SUMIFS(加仓管理!$H$2:$H$1001,加仓管理!$A$2:$A$1001,A12))-MAX(N12,AN12)*AP12,0))))</f>
        <v>0</v>
      </c>
      <c r="AR12" s="24" t="str">
        <f>IF(A12="","",IF(OR(E12="",H12=""),"违规：首次买入价格或股数缺失",IF(COUNTIFS(加仓管理!$A$2:$A$1001,A12,加仓管理!$R$2:$R$1001,"违规*")&gt;0,"违规：请检查加仓管理表",IF(SUM($AQ$2:$AQ$201)&gt;账户数据!$B$7,"预警：超过账户风险上限",IF(COUNTIFS(加仓管理!$A$2:$A$1001,A12,加仓管理!$N$2:$N$1001,"&gt;0",加仓管理!$G$2:$G$1001,"")&gt;0,"提示：存在待执行加仓计划","通过")))))</f>
        <v>违规：请检查加仓管理表</v>
      </c>
    </row>
    <row r="13" spans="1:44">
      <c r="A13" s="10">
        <v>12</v>
      </c>
      <c r="B13" s="10" t="s">
        <v>44</v>
      </c>
      <c r="C13" s="7">
        <v>67975</v>
      </c>
      <c r="D13" s="4">
        <v>0.02</v>
      </c>
      <c r="E13" s="7">
        <v>20.46</v>
      </c>
      <c r="F13" s="6">
        <f t="shared" si="0"/>
        <v>1400</v>
      </c>
      <c r="G13" s="6" t="str">
        <f>IF(A13="","",IF(H13&lt;&gt;"","已开仓",IF(账户数据!$B$23="已锁仓","禁止开仓：连续亏损达到上限",IF(账户数据!$B$23="解锁信息不完整","禁止开仓：请完整填写解锁信息",IF(OR(F13="",E13="",N13="",E13&lt;=N13,账户数据!$B$7=""),"",IF(OR(AG13="",AH13="",AI13=""),"禁止开仓：交易预期未填写完整",IF(账户数据!$B$9+F13*(E13-N13)&gt;=账户数据!$B$7,"禁止开仓：风险额度不足",IF(AJ13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3" s="10">
        <v>1400</v>
      </c>
      <c r="I13" s="21">
        <v>45734</v>
      </c>
      <c r="J13" s="7">
        <v>24</v>
      </c>
      <c r="K13" s="7">
        <v>22.03</v>
      </c>
      <c r="L13" s="6">
        <f t="shared" si="1"/>
        <v>3000</v>
      </c>
      <c r="M13" s="21">
        <v>45910</v>
      </c>
      <c r="N13" s="7">
        <v>19.5</v>
      </c>
      <c r="O13" s="7"/>
      <c r="P13" s="7"/>
      <c r="Q13" s="10"/>
      <c r="R13" s="10"/>
      <c r="S13" s="10"/>
      <c r="T13" s="10"/>
      <c r="U13" s="5">
        <f t="shared" si="2"/>
        <v>9.5790338781846354E-2</v>
      </c>
      <c r="V13" s="5">
        <f t="shared" si="3"/>
        <v>0.10967034973974983</v>
      </c>
      <c r="W13" s="22">
        <f t="shared" si="4"/>
        <v>0.8734388009991666</v>
      </c>
      <c r="X13" s="3">
        <f t="shared" si="5"/>
        <v>384.00000000000034</v>
      </c>
      <c r="Y13" s="5">
        <f t="shared" si="6"/>
        <v>5.844215140169853E-3</v>
      </c>
      <c r="Z13" s="5">
        <f>IF(OR(AE13="",多次统计数据!$B$8=""),"",AE13-多次统计数据!$B$8)</f>
        <v>-0.10456353319723598</v>
      </c>
      <c r="AA13" s="8">
        <f t="shared" si="7"/>
        <v>176</v>
      </c>
      <c r="AB13" s="5">
        <f>IF(OR(A13="",多次统计数据!$B$8="",多次统计数据!$B$6&lt;=0,多次统计数据!$B$6&gt;=1),"",1-POWER(1+多次统计数据!$B$8,-多次统计数据!$B$6/(1-多次统计数据!$B$6)))</f>
        <v>8.152013270062719E-2</v>
      </c>
      <c r="AC13" s="6" t="str">
        <f>IF(OR(AB13="",多次统计数据!$B$9=""),"",IF(多次统计数据!$B$9&lt;AB13,"低于上限","达到或超过上限"))</f>
        <v>低于上限</v>
      </c>
      <c r="AD13" s="10"/>
      <c r="AE13" s="5">
        <f t="shared" si="8"/>
        <v>5.6491357116587029E-3</v>
      </c>
      <c r="AG13" s="10" t="s">
        <v>51</v>
      </c>
      <c r="AH13" s="10" t="s">
        <v>52</v>
      </c>
      <c r="AI13" s="10" t="s">
        <v>49</v>
      </c>
      <c r="AJ13" s="6" t="str">
        <f t="shared" si="9"/>
        <v>匹配</v>
      </c>
      <c r="AK13" s="23">
        <f>IF(A13="","",COUNTIFS(加仓管理!$A$2:$A$1001,A13,加仓管理!$G$2:$G$1001,"&gt;0"))</f>
        <v>2</v>
      </c>
      <c r="AL13" s="23">
        <f>IF(A13="","",SUMIFS(加仓管理!$G$2:$G$1001,加仓管理!$A$2:$A$1001,A13))</f>
        <v>1600</v>
      </c>
      <c r="AM13" s="24">
        <f>IF(AK13=0,"",IFERROR(LOOKUP(2,1/((加仓管理!$A$2:$A$1001=A13)*(加仓管理!$G$2:$G$1001&gt;0)),加仓管理!$D$2:$D$1001),""))</f>
        <v>25.27</v>
      </c>
      <c r="AN13" s="24">
        <f>IF(AK13=0,"",IFERROR(LOOKUP(2,1/((加仓管理!$A$2:$A$1001=A13)*(加仓管理!$G$2:$G$1001&gt;0)),加仓管理!$E$2:$E$1001),""))</f>
        <v>23</v>
      </c>
      <c r="AO13" s="24">
        <f>IF(OR(A13="",H13="",H13&lt;=0),"",(E13*H13+SUMIFS(加仓管理!$H$2:$H$1001,加仓管理!$A$2:$A$1001,A13))/AP13)</f>
        <v>21.902000000000001</v>
      </c>
      <c r="AP13" s="23">
        <f t="shared" si="10"/>
        <v>3000</v>
      </c>
      <c r="AQ13" s="24">
        <f>IF(A13="","",IF(M13&lt;&gt;"",0,IF(OR(H13="",N13=""),"",MAX((E13*H13+SUMIFS(加仓管理!$H$2:$H$1001,加仓管理!$A$2:$A$1001,A13))-MAX(N13,AN13)*AP13,0))))</f>
        <v>0</v>
      </c>
      <c r="AR13" s="24" t="str">
        <f>IF(A13="","",IF(OR(E13="",H13=""),"违规：首次买入价格或股数缺失",IF(COUNTIFS(加仓管理!$A$2:$A$1001,A13,加仓管理!$R$2:$R$1001,"违规*")&gt;0,"违规：请检查加仓管理表",IF(SUM($AQ$2:$AQ$201)&gt;账户数据!$B$7,"预警：超过账户风险上限",IF(COUNTIFS(加仓管理!$A$2:$A$1001,A13,加仓管理!$N$2:$N$1001,"&gt;0",加仓管理!$G$2:$G$1001,"")&gt;0,"提示：存在待执行加仓计划","通过")))))</f>
        <v>违规：请检查加仓管理表</v>
      </c>
    </row>
    <row r="14" spans="1:44">
      <c r="A14" s="10">
        <v>13</v>
      </c>
      <c r="B14" s="10" t="s">
        <v>44</v>
      </c>
      <c r="C14" s="7">
        <v>68359</v>
      </c>
      <c r="D14" s="4">
        <v>0.02</v>
      </c>
      <c r="E14" s="7">
        <v>22.94</v>
      </c>
      <c r="F14" s="6">
        <f t="shared" si="0"/>
        <v>900</v>
      </c>
      <c r="G14" s="6" t="str">
        <f>IF(A14="","",IF(H14&lt;&gt;"","已开仓",IF(账户数据!$B$23="已锁仓","禁止开仓：连续亏损达到上限",IF(账户数据!$B$23="解锁信息不完整","禁止开仓：请完整填写解锁信息",IF(OR(F14="",E14="",N14="",E14&lt;=N14,账户数据!$B$7=""),"",IF(OR(AG14="",AH14="",AI14=""),"禁止开仓：交易预期未填写完整",IF(账户数据!$B$9+F14*(E14-N14)&gt;=账户数据!$B$7,"禁止开仓：风险额度不足",IF(AJ14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4" s="10">
        <v>900</v>
      </c>
      <c r="I14" s="21">
        <v>46003</v>
      </c>
      <c r="J14" s="7">
        <v>25</v>
      </c>
      <c r="K14" s="7">
        <v>24.52</v>
      </c>
      <c r="L14" s="6">
        <f t="shared" si="1"/>
        <v>900</v>
      </c>
      <c r="M14" s="21">
        <v>46021</v>
      </c>
      <c r="N14" s="7">
        <v>21.5</v>
      </c>
      <c r="O14" s="7"/>
      <c r="P14" s="7"/>
      <c r="Q14" s="10"/>
      <c r="R14" s="10"/>
      <c r="S14" s="10"/>
      <c r="T14" s="10"/>
      <c r="U14" s="5">
        <f t="shared" si="2"/>
        <v>8.9799476896251035E-2</v>
      </c>
      <c r="V14" s="5">
        <f t="shared" si="3"/>
        <v>6.2772449869224117E-2</v>
      </c>
      <c r="W14" s="22">
        <f t="shared" si="4"/>
        <v>1.4305555555555534</v>
      </c>
      <c r="X14" s="3">
        <f t="shared" si="5"/>
        <v>1421.9999999999984</v>
      </c>
      <c r="Y14" s="5">
        <f t="shared" si="6"/>
        <v>6.8875326939842996E-2</v>
      </c>
      <c r="Z14" s="5">
        <f>IF(OR(AE14="",多次统计数据!$B$8=""),"",AE14-多次统计数据!$B$8)</f>
        <v>-8.9410726223951978E-2</v>
      </c>
      <c r="AA14" s="8">
        <f t="shared" si="7"/>
        <v>18</v>
      </c>
      <c r="AB14" s="5">
        <f>IF(OR(A14="",多次统计数据!$B$8="",多次统计数据!$B$6&lt;=0,多次统计数据!$B$6&gt;=1),"",1-POWER(1+多次统计数据!$B$8,-多次统计数据!$B$6/(1-多次统计数据!$B$6)))</f>
        <v>8.152013270062719E-2</v>
      </c>
      <c r="AC14" s="6" t="str">
        <f>IF(OR(AB14="",多次统计数据!$B$9=""),"",IF(多次统计数据!$B$9&lt;AB14,"低于上限","达到或超过上限"))</f>
        <v>低于上限</v>
      </c>
      <c r="AD14" s="10"/>
      <c r="AE14" s="5">
        <f t="shared" si="8"/>
        <v>2.0801942684942707E-2</v>
      </c>
      <c r="AG14" s="10" t="s">
        <v>51</v>
      </c>
      <c r="AH14" s="10" t="s">
        <v>52</v>
      </c>
      <c r="AI14" s="10" t="s">
        <v>49</v>
      </c>
      <c r="AJ14" s="6" t="str">
        <f t="shared" si="9"/>
        <v>匹配</v>
      </c>
      <c r="AK14" s="23">
        <f>IF(A14="","",COUNTIFS(加仓管理!$A$2:$A$1001,A14,加仓管理!$G$2:$G$1001,"&gt;0"))</f>
        <v>0</v>
      </c>
      <c r="AL14" s="23">
        <f>IF(A14="","",SUMIFS(加仓管理!$G$2:$G$1001,加仓管理!$A$2:$A$1001,A14))</f>
        <v>0</v>
      </c>
      <c r="AM14" s="24" t="str">
        <f>IF(AK14=0,"",IFERROR(LOOKUP(2,1/((加仓管理!$A$2:$A$1001=A14)*(加仓管理!$G$2:$G$1001&gt;0)),加仓管理!$D$2:$D$1001),""))</f>
        <v/>
      </c>
      <c r="AN14" s="24" t="str">
        <f>IF(AK14=0,"",IFERROR(LOOKUP(2,1/((加仓管理!$A$2:$A$1001=A14)*(加仓管理!$G$2:$G$1001&gt;0)),加仓管理!$E$2:$E$1001),""))</f>
        <v/>
      </c>
      <c r="AO14" s="24">
        <f>IF(OR(A14="",H14="",H14&lt;=0),"",(E14*H14+SUMIFS(加仓管理!$H$2:$H$1001,加仓管理!$A$2:$A$1001,A14))/AP14)</f>
        <v>22.94</v>
      </c>
      <c r="AP14" s="23">
        <f t="shared" si="10"/>
        <v>900</v>
      </c>
      <c r="AQ14" s="24">
        <f>IF(A14="","",IF(M14&lt;&gt;"",0,IF(OR(H14="",N14=""),"",MAX((E14*H14+SUMIFS(加仓管理!$H$2:$H$1001,加仓管理!$A$2:$A$1001,A14))-MAX(N14,AN14)*AP14,0))))</f>
        <v>0</v>
      </c>
      <c r="AR14" s="24" t="str">
        <f>IF(A14="","",IF(OR(E14="",H14=""),"违规：首次买入价格或股数缺失",IF(COUNTIFS(加仓管理!$A$2:$A$1001,A14,加仓管理!$R$2:$R$1001,"违规*")&gt;0,"违规：请检查加仓管理表",IF(SUM($AQ$2:$AQ$201)&gt;账户数据!$B$7,"预警：超过账户风险上限",IF(COUNTIFS(加仓管理!$A$2:$A$1001,A14,加仓管理!$N$2:$N$1001,"&gt;0",加仓管理!$G$2:$G$1001,"")&gt;0,"提示：存在待执行加仓计划","通过")))))</f>
        <v>通过</v>
      </c>
    </row>
    <row r="15" spans="1:44">
      <c r="A15" s="10">
        <v>14</v>
      </c>
      <c r="B15" s="10" t="s">
        <v>53</v>
      </c>
      <c r="C15" s="7">
        <v>69781</v>
      </c>
      <c r="D15" s="4">
        <v>0.02</v>
      </c>
      <c r="E15" s="7">
        <v>8.25</v>
      </c>
      <c r="F15" s="6">
        <f t="shared" si="0"/>
        <v>1800</v>
      </c>
      <c r="G15" s="6" t="str">
        <f>IF(A15="","",IF(H15&lt;&gt;"","已开仓",IF(账户数据!$B$23="已锁仓","禁止开仓：连续亏损达到上限",IF(账户数据!$B$23="解锁信息不完整","禁止开仓：请完整填写解锁信息",IF(OR(F15="",E15="",N15="",E15&lt;=N15,账户数据!$B$7=""),"",IF(OR(AG15="",AH15="",AI15=""),"禁止开仓：交易预期未填写完整",IF(账户数据!$B$9+F15*(E15-N15)&gt;=账户数据!$B$7,"禁止开仓：风险额度不足",IF(AJ15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5" s="10">
        <v>1800</v>
      </c>
      <c r="I15" s="21">
        <v>45467</v>
      </c>
      <c r="J15" s="7">
        <v>9</v>
      </c>
      <c r="K15" s="7">
        <v>10.88</v>
      </c>
      <c r="L15" s="6">
        <f t="shared" si="1"/>
        <v>7700</v>
      </c>
      <c r="M15" s="21">
        <v>42004</v>
      </c>
      <c r="N15" s="7">
        <v>7.5</v>
      </c>
      <c r="O15" s="7"/>
      <c r="P15" s="7"/>
      <c r="Q15" s="10"/>
      <c r="R15" s="10"/>
      <c r="S15" s="10"/>
      <c r="T15" s="10"/>
      <c r="U15" s="5">
        <f t="shared" si="2"/>
        <v>4.4060525247841169E-3</v>
      </c>
      <c r="V15" s="5">
        <f t="shared" si="3"/>
        <v>0.16299495622934657</v>
      </c>
      <c r="W15" s="22">
        <f t="shared" si="4"/>
        <v>2.703183354081496E-2</v>
      </c>
      <c r="X15" s="3">
        <f t="shared" si="5"/>
        <v>14780.000000000011</v>
      </c>
      <c r="Y15" s="5">
        <f t="shared" si="6"/>
        <v>0.21421531682996131</v>
      </c>
      <c r="Z15" s="5">
        <f>IF(OR(AE15="",多次统计数据!$B$8=""),"",AE15-多次统计数据!$B$8)</f>
        <v>0.1015928368878123</v>
      </c>
      <c r="AA15" s="8" t="str">
        <f t="shared" si="7"/>
        <v/>
      </c>
      <c r="AB15" s="5">
        <f>IF(OR(A15="",多次统计数据!$B$8="",多次统计数据!$B$6&lt;=0,多次统计数据!$B$6&gt;=1),"",1-POWER(1+多次统计数据!$B$8,-多次统计数据!$B$6/(1-多次统计数据!$B$6)))</f>
        <v>8.152013270062719E-2</v>
      </c>
      <c r="AC15" s="6" t="str">
        <f>IF(OR(AB15="",多次统计数据!$B$9=""),"",IF(多次统计数据!$B$9&lt;AB15,"低于上限","达到或超过上限"))</f>
        <v>低于上限</v>
      </c>
      <c r="AD15" s="10"/>
      <c r="AE15" s="5">
        <f t="shared" si="8"/>
        <v>0.21180550579670698</v>
      </c>
      <c r="AG15" s="10" t="s">
        <v>51</v>
      </c>
      <c r="AH15" s="10" t="s">
        <v>52</v>
      </c>
      <c r="AI15" s="10" t="s">
        <v>49</v>
      </c>
      <c r="AJ15" s="6" t="str">
        <f t="shared" si="9"/>
        <v>匹配</v>
      </c>
      <c r="AK15" s="23">
        <f>IF(A15="","",COUNTIFS(加仓管理!$A$2:$A$1001,A15,加仓管理!$G$2:$G$1001,"&gt;0"))</f>
        <v>2</v>
      </c>
      <c r="AL15" s="23">
        <f>IF(A15="","",SUMIFS(加仓管理!$G$2:$G$1001,加仓管理!$A$2:$A$1001,A15))</f>
        <v>5900</v>
      </c>
      <c r="AM15" s="24">
        <f>IF(AK15=0,"",IFERROR(LOOKUP(2,1/((加仓管理!$A$2:$A$1001=A15)*(加仓管理!$G$2:$G$1001&gt;0)),加仓管理!$D$2:$D$1001),""))</f>
        <v>9.74</v>
      </c>
      <c r="AN15" s="24">
        <f>IF(AK15=0,"",IFERROR(LOOKUP(2,1/((加仓管理!$A$2:$A$1001=A15)*(加仓管理!$G$2:$G$1001&gt;0)),加仓管理!$E$2:$E$1001),""))</f>
        <v>9</v>
      </c>
      <c r="AO15" s="24">
        <f>IF(OR(A15="",H15="",H15&lt;=0),"",(E15*H15+SUMIFS(加仓管理!$H$2:$H$1001,加仓管理!$A$2:$A$1001,A15))/AP15)</f>
        <v>8.9605194805194799</v>
      </c>
      <c r="AP15" s="23">
        <f t="shared" si="10"/>
        <v>7700</v>
      </c>
      <c r="AQ15" s="24">
        <f>IF(A15="","",IF(M15&lt;&gt;"",0,IF(OR(H15="",N15=""),"",MAX((E15*H15+SUMIFS(加仓管理!$H$2:$H$1001,加仓管理!$A$2:$A$1001,A15))-MAX(N15,AN15)*AP15,0))))</f>
        <v>0</v>
      </c>
      <c r="AR15" s="24" t="str">
        <f>IF(A15="","",IF(OR(E15="",H15=""),"违规：首次买入价格或股数缺失",IF(COUNTIFS(加仓管理!$A$2:$A$1001,A15,加仓管理!$R$2:$R$1001,"违规*")&gt;0,"违规：请检查加仓管理表",IF(SUM($AQ$2:$AQ$201)&gt;账户数据!$B$7,"预警：超过账户风险上限",IF(COUNTIFS(加仓管理!$A$2:$A$1001,A15,加仓管理!$N$2:$N$1001,"&gt;0",加仓管理!$G$2:$G$1001,"")&gt;0,"提示：存在待执行加仓计划","通过")))))</f>
        <v>违规：请检查加仓管理表</v>
      </c>
    </row>
    <row r="16" spans="1:44" s="19" customFormat="1">
      <c r="A16" s="25">
        <v>15</v>
      </c>
      <c r="B16" s="25" t="s">
        <v>53</v>
      </c>
      <c r="C16" s="26">
        <v>84561</v>
      </c>
      <c r="D16" s="27">
        <v>0.02</v>
      </c>
      <c r="E16" s="26">
        <v>10.44</v>
      </c>
      <c r="F16" s="28">
        <f t="shared" si="0"/>
        <v>3800</v>
      </c>
      <c r="G16" s="28" t="str">
        <f>IF(A16="","",IF(H16&lt;&gt;"","已开仓",IF(账户数据!$B$23="已锁仓","禁止开仓：连续亏损达到上限",IF(账户数据!$B$23="解锁信息不完整","禁止开仓：请完整填写解锁信息",IF(OR(F16="",E16="",N16="",E16&lt;=N16,账户数据!$B$7=""),"",IF(OR(AG16="",AH16="",AI16=""),"禁止开仓：交易预期未填写完整",IF(账户数据!$B$9+F16*(E16-N16)&gt;=账户数据!$B$7,"禁止开仓：风险额度不足",IF(AJ16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6" s="25">
        <v>3800</v>
      </c>
      <c r="I16" s="29">
        <v>42023</v>
      </c>
      <c r="J16" s="26">
        <v>12</v>
      </c>
      <c r="K16" s="26">
        <v>15</v>
      </c>
      <c r="L16" s="28">
        <f t="shared" si="1"/>
        <v>7600</v>
      </c>
      <c r="M16" s="29">
        <v>42346</v>
      </c>
      <c r="N16" s="26">
        <v>10</v>
      </c>
      <c r="O16" s="26"/>
      <c r="P16" s="26"/>
      <c r="Q16" s="25"/>
      <c r="R16" s="25"/>
      <c r="S16" s="25"/>
      <c r="T16" s="25"/>
      <c r="U16" s="30">
        <f t="shared" si="2"/>
        <v>9.1039598038042874E-2</v>
      </c>
      <c r="V16" s="30">
        <f t="shared" si="3"/>
        <v>9.0800334968297605E-2</v>
      </c>
      <c r="W16" s="31">
        <f t="shared" si="4"/>
        <v>1.002635046113308</v>
      </c>
      <c r="X16" s="32">
        <f t="shared" si="5"/>
        <v>30410.000000000004</v>
      </c>
      <c r="Y16" s="30">
        <f t="shared" si="6"/>
        <v>0.36379949754755359</v>
      </c>
      <c r="Z16" s="30">
        <f>IF(OR(AE16="",多次统计数据!$B$8=""),"",AE16-多次统计数据!$B$8)</f>
        <v>0.249409379080131</v>
      </c>
      <c r="AA16" s="33">
        <f t="shared" si="7"/>
        <v>323</v>
      </c>
      <c r="AB16" s="30">
        <f>IF(OR(A16="",多次统计数据!$B$8="",多次统计数据!$B$6&lt;=0,多次统计数据!$B$6&gt;=1),"",1-POWER(1+多次统计数据!$B$8,-多次统计数据!$B$6/(1-多次统计数据!$B$6)))</f>
        <v>8.152013270062719E-2</v>
      </c>
      <c r="AC16" s="28" t="str">
        <f>IF(OR(AB16="",多次统计数据!$B$9=""),"",IF(多次统计数据!$B$9&lt;AB16,"低于上限","达到或超过上限"))</f>
        <v>低于上限</v>
      </c>
      <c r="AD16" s="25"/>
      <c r="AE16" s="30">
        <f t="shared" si="8"/>
        <v>0.35962204798902569</v>
      </c>
      <c r="AG16" s="25" t="s">
        <v>51</v>
      </c>
      <c r="AH16" s="25" t="s">
        <v>52</v>
      </c>
      <c r="AI16" s="25" t="s">
        <v>49</v>
      </c>
      <c r="AJ16" s="28" t="str">
        <f t="shared" si="9"/>
        <v>匹配</v>
      </c>
      <c r="AK16" s="34">
        <f>IF(A16="","",COUNTIFS(加仓管理!$A$2:$A$1001,A16,加仓管理!$G$2:$G$1001,"&gt;0"))</f>
        <v>3</v>
      </c>
      <c r="AL16" s="34">
        <f>IF(A16="","",SUMIFS(加仓管理!$G$2:$G$1001,加仓管理!$A$2:$A$1001,A16))</f>
        <v>3800</v>
      </c>
      <c r="AM16" s="35">
        <f>IF(AK16=0,"",IFERROR(LOOKUP(2,1/((加仓管理!$A$2:$A$1001=A16)*(加仓管理!$G$2:$G$1001&gt;0)),加仓管理!$D$2:$D$1001),""))</f>
        <v>12.11</v>
      </c>
      <c r="AN16" s="35">
        <f>IF(AK16=0,"",IFERROR(LOOKUP(2,1/((加仓管理!$A$2:$A$1001=A16)*(加仓管理!$G$2:$G$1001&gt;0)),加仓管理!$E$2:$E$1001),""))</f>
        <v>11</v>
      </c>
      <c r="AO16" s="35">
        <f>IF(OR(A16="",H16="",H16&lt;=0),"",(E16*H16+SUMIFS(加仓管理!$H$2:$H$1001,加仓管理!$A$2:$A$1001,A16))/AP16)</f>
        <v>10.998684210526315</v>
      </c>
      <c r="AP16" s="34">
        <f t="shared" si="10"/>
        <v>7600</v>
      </c>
      <c r="AQ16" s="35">
        <f>IF(A16="","",IF(M16&lt;&gt;"",0,IF(OR(H16="",N16=""),"",MAX((E16*H16+SUMIFS(加仓管理!$H$2:$H$1001,加仓管理!$A$2:$A$1001,A16))-MAX(N16,AN16)*AP16,0))))</f>
        <v>0</v>
      </c>
      <c r="AR16" s="35" t="str">
        <f>IF(A16="","",IF(OR(E16="",H16=""),"违规：首次买入价格或股数缺失",IF(COUNTIFS(加仓管理!$A$2:$A$1001,A16,加仓管理!$R$2:$R$1001,"违规*")&gt;0,"违规：请检查加仓管理表",IF(SUM($AQ$2:$AQ$201)&gt;账户数据!$B$7,"预警：超过账户风险上限",IF(COUNTIFS(加仓管理!$A$2:$A$1001,A16,加仓管理!$N$2:$N$1001,"&gt;0",加仓管理!$G$2:$G$1001,"")&gt;0,"提示：存在待执行加仓计划","通过")))))</f>
        <v>违规：请检查加仓管理表</v>
      </c>
    </row>
    <row r="17" spans="1:44">
      <c r="A17" s="10">
        <v>16</v>
      </c>
      <c r="B17" s="10" t="s">
        <v>53</v>
      </c>
      <c r="C17" s="7">
        <v>114791</v>
      </c>
      <c r="D17" s="4">
        <v>0.02</v>
      </c>
      <c r="E17" s="7">
        <v>15.97</v>
      </c>
      <c r="F17" s="6">
        <f t="shared" si="0"/>
        <v>1100</v>
      </c>
      <c r="G17" s="6" t="str">
        <f>IF(A17="","",IF(H17&lt;&gt;"","已开仓",IF(账户数据!$B$23="已锁仓","禁止开仓：连续亏损达到上限",IF(账户数据!$B$23="解锁信息不完整","禁止开仓：请完整填写解锁信息",IF(OR(F17="",E17="",N17="",E17&lt;=N17,账户数据!$B$7=""),"",IF(OR(AG17="",AH17="",AI17=""),"禁止开仓：交易预期未填写完整",IF(账户数据!$B$9+F17*(E17-N17)&gt;=账户数据!$B$7,"禁止开仓：风险额度不足",IF(AJ17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7" s="10">
        <v>1100</v>
      </c>
      <c r="I17" s="21">
        <v>42338</v>
      </c>
      <c r="J17" s="7">
        <v>15.9</v>
      </c>
      <c r="K17" s="7">
        <v>15.9</v>
      </c>
      <c r="L17" s="6">
        <f t="shared" si="1"/>
        <v>3100</v>
      </c>
      <c r="M17" s="21">
        <v>42381</v>
      </c>
      <c r="N17" s="7">
        <v>13.97</v>
      </c>
      <c r="O17" s="7"/>
      <c r="P17" s="7"/>
      <c r="Q17" s="10"/>
      <c r="R17" s="10"/>
      <c r="S17" s="10"/>
      <c r="T17" s="10"/>
      <c r="U17" s="5">
        <f t="shared" si="2"/>
        <v>-0.13461032006601478</v>
      </c>
      <c r="V17" s="5">
        <f t="shared" si="3"/>
        <v>0.2396544761837878</v>
      </c>
      <c r="W17" s="22">
        <f t="shared" si="4"/>
        <v>-0.56168498168498193</v>
      </c>
      <c r="X17" s="3">
        <f t="shared" si="5"/>
        <v>-7667.0000000000036</v>
      </c>
      <c r="Y17" s="5">
        <f t="shared" si="6"/>
        <v>-0.13461032006601475</v>
      </c>
      <c r="Z17" s="5">
        <f>IF(OR(AE17="",多次统计数据!$B$8=""),"",AE17-多次统计数据!$B$8)</f>
        <v>-0.17700361941895212</v>
      </c>
      <c r="AA17" s="8">
        <f t="shared" si="7"/>
        <v>43</v>
      </c>
      <c r="AB17" s="5">
        <f>IF(OR(A17="",多次统计数据!$B$8="",多次统计数据!$B$6&lt;=0,多次统计数据!$B$6&gt;=1),"",1-POWER(1+多次统计数据!$B$8,-多次统计数据!$B$6/(1-多次统计数据!$B$6)))</f>
        <v>8.152013270062719E-2</v>
      </c>
      <c r="AC17" s="6" t="str">
        <f>IF(OR(AB17="",多次统计数据!$B$9=""),"",IF(多次统计数据!$B$9&lt;AB17,"低于上限","达到或超过上限"))</f>
        <v>低于上限</v>
      </c>
      <c r="AD17" s="10"/>
      <c r="AE17" s="5">
        <f t="shared" si="8"/>
        <v>-6.6790950510057442E-2</v>
      </c>
      <c r="AG17" s="10" t="s">
        <v>51</v>
      </c>
      <c r="AH17" s="10" t="s">
        <v>54</v>
      </c>
      <c r="AI17" s="10" t="s">
        <v>49</v>
      </c>
      <c r="AJ17" s="6" t="str">
        <f t="shared" si="9"/>
        <v>匹配</v>
      </c>
      <c r="AK17" s="23">
        <f>IF(A17="","",COUNTIFS(加仓管理!$A$2:$A$1001,A17,加仓管理!$G$2:$G$1001,"&gt;0"))</f>
        <v>2</v>
      </c>
      <c r="AL17" s="23">
        <f>IF(A17="","",SUMIFS(加仓管理!$G$2:$G$1001,加仓管理!$A$2:$A$1001,A17))</f>
        <v>2000</v>
      </c>
      <c r="AM17" s="24">
        <f>IF(AK17=0,"",IFERROR(LOOKUP(2,1/((加仓管理!$A$2:$A$1001=A17)*(加仓管理!$G$2:$G$1001&gt;0)),加仓管理!$D$2:$D$1001),""))</f>
        <v>21.15</v>
      </c>
      <c r="AN17" s="24">
        <f>IF(AK17=0,"",IFERROR(LOOKUP(2,1/((加仓管理!$A$2:$A$1001=A17)*(加仓管理!$G$2:$G$1001&gt;0)),加仓管理!$E$2:$E$1001),""))</f>
        <v>20</v>
      </c>
      <c r="AO17" s="24">
        <f>IF(OR(A17="",H17="",H17&lt;=0),"",(E17*H17+SUMIFS(加仓管理!$H$2:$H$1001,加仓管理!$A$2:$A$1001,A17))/AP17)</f>
        <v>18.373225806451615</v>
      </c>
      <c r="AP17" s="23">
        <f t="shared" si="10"/>
        <v>3100</v>
      </c>
      <c r="AQ17" s="24">
        <f>IF(A17="","",IF(M17&lt;&gt;"",0,IF(OR(H17="",N17=""),"",MAX((E17*H17+SUMIFS(加仓管理!$H$2:$H$1001,加仓管理!$A$2:$A$1001,A17))-MAX(N17,AN17)*AP17,0))))</f>
        <v>0</v>
      </c>
      <c r="AR17" s="24" t="str">
        <f>IF(A17="","",IF(OR(E17="",H17=""),"违规：首次买入价格或股数缺失",IF(COUNTIFS(加仓管理!$A$2:$A$1001,A17,加仓管理!$R$2:$R$1001,"违规*")&gt;0,"违规：请检查加仓管理表",IF(SUM($AQ$2:$AQ$201)&gt;账户数据!$B$7,"预警：超过账户风险上限",IF(COUNTIFS(加仓管理!$A$2:$A$1001,A17,加仓管理!$N$2:$N$1001,"&gt;0",加仓管理!$G$2:$G$1001,"")&gt;0,"提示：存在待执行加仓计划","通过")))))</f>
        <v>违规：请检查加仓管理表</v>
      </c>
    </row>
    <row r="18" spans="1:44" s="19" customFormat="1">
      <c r="A18" s="25">
        <v>17</v>
      </c>
      <c r="B18" s="25" t="s">
        <v>53</v>
      </c>
      <c r="C18" s="26">
        <v>107304</v>
      </c>
      <c r="D18" s="27">
        <v>0.02</v>
      </c>
      <c r="E18" s="26">
        <v>17.47</v>
      </c>
      <c r="F18" s="28">
        <f t="shared" si="0"/>
        <v>800</v>
      </c>
      <c r="G18" s="28" t="str">
        <f>IF(A18="","",IF(H18&lt;&gt;"","已开仓",IF(账户数据!$B$23="已锁仓","禁止开仓：连续亏损达到上限",IF(账户数据!$B$23="解锁信息不完整","禁止开仓：请完整填写解锁信息",IF(OR(F18="",E18="",N18="",E18&lt;=N18,账户数据!$B$7=""),"",IF(OR(AG18="",AH18="",AI18=""),"禁止开仓：交易预期未填写完整",IF(账户数据!$B$9+F18*(E18-N18)&gt;=账户数据!$B$7,"禁止开仓：风险额度不足",IF(AJ18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8" s="25">
        <v>800</v>
      </c>
      <c r="I18" s="29">
        <v>42437</v>
      </c>
      <c r="J18" s="26">
        <v>20</v>
      </c>
      <c r="K18" s="26">
        <v>13.67</v>
      </c>
      <c r="L18" s="28">
        <f t="shared" si="1"/>
        <v>6800</v>
      </c>
      <c r="M18" s="29">
        <v>42751</v>
      </c>
      <c r="N18" s="26">
        <v>15</v>
      </c>
      <c r="O18" s="26"/>
      <c r="P18" s="26"/>
      <c r="Q18" s="25"/>
      <c r="R18" s="25"/>
      <c r="S18" s="25"/>
      <c r="T18" s="25"/>
      <c r="U18" s="30">
        <f t="shared" si="2"/>
        <v>0.20968459253197647</v>
      </c>
      <c r="V18" s="30">
        <f t="shared" si="3"/>
        <v>9.2736555601017651E-2</v>
      </c>
      <c r="W18" s="31">
        <f t="shared" si="4"/>
        <v>2.2610780740456513</v>
      </c>
      <c r="X18" s="32">
        <f t="shared" si="5"/>
        <v>-19470.000000000011</v>
      </c>
      <c r="Y18" s="30">
        <f t="shared" si="6"/>
        <v>-0.17318058100439407</v>
      </c>
      <c r="Z18" s="30">
        <f>IF(OR(AE18="",多次统计数据!$B$8=""),"",AE18-多次统计数据!$B$8)</f>
        <v>-0.29165977246514618</v>
      </c>
      <c r="AA18" s="33">
        <f t="shared" si="7"/>
        <v>314</v>
      </c>
      <c r="AB18" s="30">
        <f>IF(OR(A18="",多次统计数据!$B$8="",多次统计数据!$B$6&lt;=0,多次统计数据!$B$6&gt;=1),"",1-POWER(1+多次统计数据!$B$8,-多次统计数据!$B$6/(1-多次统计数据!$B$6)))</f>
        <v>8.152013270062719E-2</v>
      </c>
      <c r="AC18" s="28" t="str">
        <f>IF(OR(AB18="",多次统计数据!$B$9=""),"",IF(多次统计数据!$B$9&lt;AB18,"低于上限","达到或超过上限"))</f>
        <v>低于上限</v>
      </c>
      <c r="AD18" s="25"/>
      <c r="AE18" s="30">
        <f t="shared" si="8"/>
        <v>-0.18144710355625149</v>
      </c>
      <c r="AG18" s="25" t="s">
        <v>51</v>
      </c>
      <c r="AH18" s="25" t="s">
        <v>54</v>
      </c>
      <c r="AI18" s="25" t="s">
        <v>49</v>
      </c>
      <c r="AJ18" s="28" t="str">
        <f t="shared" si="9"/>
        <v>匹配</v>
      </c>
      <c r="AK18" s="34">
        <f>IF(A18="","",COUNTIFS(加仓管理!$A$2:$A$1001,A18,加仓管理!$G$2:$G$1001,"&gt;0"))</f>
        <v>3</v>
      </c>
      <c r="AL18" s="34">
        <f>IF(A18="","",SUMIFS(加仓管理!$G$2:$G$1001,加仓管理!$A$2:$A$1001,A18))</f>
        <v>6000</v>
      </c>
      <c r="AM18" s="35">
        <f>IF(AK18=0,"",IFERROR(LOOKUP(2,1/((加仓管理!$A$2:$A$1001=A18)*(加仓管理!$G$2:$G$1001&gt;0)),加仓管理!$D$2:$D$1001),""))</f>
        <v>15.73</v>
      </c>
      <c r="AN18" s="35">
        <f>IF(AK18=0,"",IFERROR(LOOKUP(2,1/((加仓管理!$A$2:$A$1001=A18)*(加仓管理!$G$2:$G$1001&gt;0)),加仓管理!$E$2:$E$1001),""))</f>
        <v>15</v>
      </c>
      <c r="AO18" s="35">
        <f>IF(OR(A18="",H18="",H18&lt;=0),"",(E18*H18+SUMIFS(加仓管理!$H$2:$H$1001,加仓管理!$A$2:$A$1001,A18))/AP18)</f>
        <v>16.533235294117649</v>
      </c>
      <c r="AP18" s="34">
        <f t="shared" si="10"/>
        <v>6800</v>
      </c>
      <c r="AQ18" s="35">
        <f>IF(A18="","",IF(M18&lt;&gt;"",0,IF(OR(H18="",N18=""),"",MAX((E18*H18+SUMIFS(加仓管理!$H$2:$H$1001,加仓管理!$A$2:$A$1001,A18))-MAX(N18,AN18)*AP18,0))))</f>
        <v>0</v>
      </c>
      <c r="AR18" s="35" t="str">
        <f>IF(A18="","",IF(OR(E18="",H18=""),"违规：首次买入价格或股数缺失",IF(COUNTIFS(加仓管理!$A$2:$A$1001,A18,加仓管理!$R$2:$R$1001,"违规*")&gt;0,"违规：请检查加仓管理表",IF(SUM($AQ$2:$AQ$201)&gt;账户数据!$B$7,"预警：超过账户风险上限",IF(COUNTIFS(加仓管理!$A$2:$A$1001,A18,加仓管理!$N$2:$N$1001,"&gt;0",加仓管理!$G$2:$G$1001,"")&gt;0,"提示：存在待执行加仓计划","通过")))))</f>
        <v>违规：请检查加仓管理表</v>
      </c>
    </row>
    <row r="19" spans="1:44">
      <c r="A19" s="10">
        <v>18</v>
      </c>
      <c r="B19" s="10" t="s">
        <v>53</v>
      </c>
      <c r="C19" s="7">
        <v>87834</v>
      </c>
      <c r="D19" s="4">
        <v>0.02</v>
      </c>
      <c r="E19" s="7">
        <v>14.37</v>
      </c>
      <c r="F19" s="6">
        <f t="shared" si="0"/>
        <v>3000</v>
      </c>
      <c r="G19" s="6" t="str">
        <f>IF(A19="","",IF(H19&lt;&gt;"","已开仓",IF(账户数据!$B$23="已锁仓","禁止开仓：连续亏损达到上限",IF(账户数据!$B$23="解锁信息不完整","禁止开仓：请完整填写解锁信息",IF(OR(F19="",E19="",N19="",E19&lt;=N19,账户数据!$B$7=""),"",IF(OR(AG19="",AH19="",AI19=""),"禁止开仓：交易预期未填写完整",IF(账户数据!$B$9+F19*(E19-N19)&gt;=账户数据!$B$7,"禁止开仓：风险额度不足",IF(AJ19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9" s="10">
        <v>3000</v>
      </c>
      <c r="I19" s="21">
        <v>42786</v>
      </c>
      <c r="J19" s="7">
        <v>15</v>
      </c>
      <c r="K19" s="7">
        <v>13.21</v>
      </c>
      <c r="L19" s="6">
        <f t="shared" si="1"/>
        <v>5800</v>
      </c>
      <c r="M19" s="21">
        <v>42849</v>
      </c>
      <c r="N19" s="7">
        <v>13.8</v>
      </c>
      <c r="O19" s="7"/>
      <c r="P19" s="7"/>
      <c r="Q19" s="10"/>
      <c r="R19" s="10"/>
      <c r="S19" s="10"/>
      <c r="T19" s="10"/>
      <c r="U19" s="5">
        <f t="shared" si="2"/>
        <v>1.9523284974336134E-2</v>
      </c>
      <c r="V19" s="5">
        <f t="shared" si="3"/>
        <v>6.2038577823610712E-2</v>
      </c>
      <c r="W19" s="22">
        <f t="shared" si="4"/>
        <v>0.31469588213071414</v>
      </c>
      <c r="X19" s="3">
        <f t="shared" si="5"/>
        <v>-8715.9999999999945</v>
      </c>
      <c r="Y19" s="5">
        <f t="shared" si="6"/>
        <v>-0.10213982703260124</v>
      </c>
      <c r="Z19" s="5">
        <f>IF(OR(AE19="",多次统计数据!$B$8=""),"",AE19-多次统计数据!$B$8)</f>
        <v>-0.20944531230439067</v>
      </c>
      <c r="AA19" s="8">
        <f t="shared" si="7"/>
        <v>63</v>
      </c>
      <c r="AB19" s="5">
        <f>IF(OR(A19="",多次统计数据!$B$8="",多次统计数据!$B$6&lt;=0,多次统计数据!$B$6&gt;=1),"",1-POWER(1+多次统计数据!$B$8,-多次统计数据!$B$6/(1-多次统计数据!$B$6)))</f>
        <v>8.152013270062719E-2</v>
      </c>
      <c r="AC19" s="6" t="str">
        <f>IF(OR(AB19="",多次统计数据!$B$9=""),"",IF(多次统计数据!$B$9&lt;AB19,"低于上限","达到或超过上限"))</f>
        <v>低于上限</v>
      </c>
      <c r="AD19" s="10"/>
      <c r="AE19" s="5">
        <f t="shared" si="8"/>
        <v>-9.9232643395495992E-2</v>
      </c>
      <c r="AG19" s="10" t="s">
        <v>51</v>
      </c>
      <c r="AH19" s="10" t="s">
        <v>54</v>
      </c>
      <c r="AI19" s="10" t="s">
        <v>49</v>
      </c>
      <c r="AJ19" s="6" t="str">
        <f t="shared" si="9"/>
        <v>匹配</v>
      </c>
      <c r="AK19" s="23">
        <f>IF(A19="","",COUNTIFS(加仓管理!$A$2:$A$1001,A19,加仓管理!$G$2:$G$1001,"&gt;0"))</f>
        <v>1</v>
      </c>
      <c r="AL19" s="23">
        <f>IF(A19="","",SUMIFS(加仓管理!$G$2:$G$1001,加仓管理!$A$2:$A$1001,A19))</f>
        <v>2800</v>
      </c>
      <c r="AM19" s="24">
        <f>IF(AK19=0,"",IFERROR(LOOKUP(2,1/((加仓管理!$A$2:$A$1001=A19)*(加仓管理!$G$2:$G$1001&gt;0)),加仓管理!$D$2:$D$1001),""))</f>
        <v>15.08</v>
      </c>
      <c r="AN19" s="24">
        <f>IF(AK19=0,"",IFERROR(LOOKUP(2,1/((加仓管理!$A$2:$A$1001=A19)*(加仓管理!$G$2:$G$1001&gt;0)),加仓管理!$E$2:$E$1001),""))</f>
        <v>14</v>
      </c>
      <c r="AO19" s="24">
        <f>IF(OR(A19="",H19="",H19&lt;=0),"",(E19*H19+SUMIFS(加仓管理!$H$2:$H$1001,加仓管理!$A$2:$A$1001,A19))/AP19)</f>
        <v>14.712758620689655</v>
      </c>
      <c r="AP19" s="23">
        <f t="shared" si="10"/>
        <v>5800</v>
      </c>
      <c r="AQ19" s="24">
        <f>IF(A19="","",IF(M19&lt;&gt;"",0,IF(OR(H19="",N19=""),"",MAX((E19*H19+SUMIFS(加仓管理!$H$2:$H$1001,加仓管理!$A$2:$A$1001,A19))-MAX(N19,AN19)*AP19,0))))</f>
        <v>0</v>
      </c>
      <c r="AR19" s="24" t="str">
        <f>IF(A19="","",IF(OR(E19="",H19=""),"违规：首次买入价格或股数缺失",IF(COUNTIFS(加仓管理!$A$2:$A$1001,A19,加仓管理!$R$2:$R$1001,"违规*")&gt;0,"违规：请检查加仓管理表",IF(SUM($AQ$2:$AQ$201)&gt;账户数据!$B$7,"预警：超过账户风险上限",IF(COUNTIFS(加仓管理!$A$2:$A$1001,A19,加仓管理!$N$2:$N$1001,"&gt;0",加仓管理!$G$2:$G$1001,"")&gt;0,"提示：存在待执行加仓计划","通过")))))</f>
        <v>违规：请检查加仓管理表</v>
      </c>
    </row>
    <row r="20" spans="1:44">
      <c r="A20" s="10">
        <v>19</v>
      </c>
      <c r="B20" s="10" t="s">
        <v>53</v>
      </c>
      <c r="C20" s="7">
        <v>79188</v>
      </c>
      <c r="D20" s="4">
        <v>0.02</v>
      </c>
      <c r="E20" s="7">
        <v>13.5</v>
      </c>
      <c r="F20" s="6">
        <f t="shared" si="0"/>
        <v>3100</v>
      </c>
      <c r="G20" s="6" t="str">
        <f>IF(A20="","",IF(H20&lt;&gt;"","已开仓",IF(账户数据!$B$23="已锁仓","禁止开仓：连续亏损达到上限",IF(账户数据!$B$23="解锁信息不完整","禁止开仓：请完整填写解锁信息",IF(OR(F20="",E20="",N20="",E20&lt;=N20,账户数据!$B$7=""),"",IF(OR(AG20="",AH20="",AI20=""),"禁止开仓：交易预期未填写完整",IF(账户数据!$B$9+F20*(E20-N20)&gt;=账户数据!$B$7,"禁止开仓：风险额度不足",IF(AJ20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0" s="10">
        <v>3100</v>
      </c>
      <c r="I20" s="21">
        <v>42852</v>
      </c>
      <c r="J20" s="7">
        <v>15</v>
      </c>
      <c r="K20" s="7">
        <v>12.45</v>
      </c>
      <c r="L20" s="6">
        <f t="shared" si="1"/>
        <v>3100</v>
      </c>
      <c r="M20" s="21">
        <v>42866</v>
      </c>
      <c r="N20" s="7">
        <v>13</v>
      </c>
      <c r="O20" s="7"/>
      <c r="P20" s="7"/>
      <c r="Q20" s="10"/>
      <c r="R20" s="10"/>
      <c r="S20" s="10"/>
      <c r="T20" s="10"/>
      <c r="U20" s="5">
        <f t="shared" si="2"/>
        <v>0.1111111111111111</v>
      </c>
      <c r="V20" s="5">
        <f t="shared" si="3"/>
        <v>3.7037037037037035E-2</v>
      </c>
      <c r="W20" s="22">
        <f t="shared" si="4"/>
        <v>3</v>
      </c>
      <c r="X20" s="3">
        <f t="shared" si="5"/>
        <v>-3255.0000000000023</v>
      </c>
      <c r="Y20" s="5">
        <f t="shared" si="6"/>
        <v>-7.7777777777777835E-2</v>
      </c>
      <c r="Z20" s="5">
        <f>IF(OR(AE20="",多次统计数据!$B$8=""),"",AE20-多次统计数据!$B$8)</f>
        <v>-0.15131738174417278</v>
      </c>
      <c r="AA20" s="8">
        <f t="shared" si="7"/>
        <v>14</v>
      </c>
      <c r="AB20" s="5">
        <f>IF(OR(A20="",多次统计数据!$B$8="",多次统计数据!$B$6&lt;=0,多次统计数据!$B$6&gt;=1),"",1-POWER(1+多次统计数据!$B$8,-多次统计数据!$B$6/(1-多次统计数据!$B$6)))</f>
        <v>8.152013270062719E-2</v>
      </c>
      <c r="AC20" s="6" t="str">
        <f>IF(OR(AB20="",多次统计数据!$B$9=""),"",IF(多次统计数据!$B$9&lt;AB20,"低于上限","达到或超过上限"))</f>
        <v>低于上限</v>
      </c>
      <c r="AD20" s="10"/>
      <c r="AE20" s="5">
        <f t="shared" si="8"/>
        <v>-4.1104712835278098E-2</v>
      </c>
      <c r="AG20" s="10" t="s">
        <v>48</v>
      </c>
      <c r="AH20" s="10" t="s">
        <v>46</v>
      </c>
      <c r="AI20" s="10" t="s">
        <v>50</v>
      </c>
      <c r="AJ20" s="6" t="str">
        <f t="shared" si="9"/>
        <v>匹配</v>
      </c>
      <c r="AK20" s="23">
        <f>IF(A20="","",COUNTIFS(加仓管理!$A$2:$A$1001,A20,加仓管理!$G$2:$G$1001,"&gt;0"))</f>
        <v>0</v>
      </c>
      <c r="AL20" s="23">
        <f>IF(A20="","",SUMIFS(加仓管理!$G$2:$G$1001,加仓管理!$A$2:$A$1001,A20))</f>
        <v>0</v>
      </c>
      <c r="AM20" s="24" t="str">
        <f>IF(AK20=0,"",IFERROR(LOOKUP(2,1/((加仓管理!$A$2:$A$1001=A20)*(加仓管理!$G$2:$G$1001&gt;0)),加仓管理!$D$2:$D$1001),""))</f>
        <v/>
      </c>
      <c r="AN20" s="24" t="str">
        <f>IF(AK20=0,"",IFERROR(LOOKUP(2,1/((加仓管理!$A$2:$A$1001=A20)*(加仓管理!$G$2:$G$1001&gt;0)),加仓管理!$E$2:$E$1001),""))</f>
        <v/>
      </c>
      <c r="AO20" s="24">
        <f>IF(OR(A20="",H20="",H20&lt;=0),"",(E20*H20+SUMIFS(加仓管理!$H$2:$H$1001,加仓管理!$A$2:$A$1001,A20))/AP20)</f>
        <v>13.5</v>
      </c>
      <c r="AP20" s="23">
        <f t="shared" si="10"/>
        <v>3100</v>
      </c>
      <c r="AQ20" s="24">
        <f>IF(A20="","",IF(M20&lt;&gt;"",0,IF(OR(H20="",N20=""),"",MAX((E20*H20+SUMIFS(加仓管理!$H$2:$H$1001,加仓管理!$A$2:$A$1001,A20))-MAX(N20,AN20)*AP20,0))))</f>
        <v>0</v>
      </c>
      <c r="AR20" s="24" t="str">
        <f>IF(A20="","",IF(OR(E20="",H20=""),"违规：首次买入价格或股数缺失",IF(COUNTIFS(加仓管理!$A$2:$A$1001,A20,加仓管理!$R$2:$R$1001,"违规*")&gt;0,"违规：请检查加仓管理表",IF(SUM($AQ$2:$AQ$201)&gt;账户数据!$B$7,"预警：超过账户风险上限",IF(COUNTIFS(加仓管理!$A$2:$A$1001,A20,加仓管理!$N$2:$N$1001,"&gt;0",加仓管理!$G$2:$G$1001,"")&gt;0,"提示：存在待执行加仓计划","通过")))))</f>
        <v>通过</v>
      </c>
    </row>
    <row r="21" spans="1:44">
      <c r="A21" s="10">
        <v>20</v>
      </c>
      <c r="B21" s="10" t="s">
        <v>53</v>
      </c>
      <c r="C21" s="7">
        <v>75863</v>
      </c>
      <c r="D21" s="4">
        <v>0.02</v>
      </c>
      <c r="E21" s="7">
        <v>12.29</v>
      </c>
      <c r="F21" s="6">
        <f t="shared" si="0"/>
        <v>5200</v>
      </c>
      <c r="G21" s="6" t="str">
        <f>IF(A21="","",IF(H21&lt;&gt;"","已开仓",IF(账户数据!$B$23="已锁仓","禁止开仓：连续亏损达到上限",IF(账户数据!$B$23="解锁信息不完整","禁止开仓：请完整填写解锁信息",IF(OR(F21="",E21="",N21="",E21&lt;=N21,账户数据!$B$7=""),"",IF(OR(AG21="",AH21="",AI21=""),"禁止开仓：交易预期未填写完整",IF(账户数据!$B$9+F21*(E21-N21)&gt;=账户数据!$B$7,"禁止开仓：风险额度不足",IF(AJ21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1" s="10">
        <v>5200</v>
      </c>
      <c r="I21" s="21">
        <v>42867</v>
      </c>
      <c r="J21" s="7">
        <v>13</v>
      </c>
      <c r="K21" s="7">
        <v>16.420000000000002</v>
      </c>
      <c r="L21" s="6">
        <f t="shared" si="1"/>
        <v>6000</v>
      </c>
      <c r="M21" s="21">
        <v>43063</v>
      </c>
      <c r="N21" s="7">
        <v>12</v>
      </c>
      <c r="O21" s="7"/>
      <c r="P21" s="7"/>
      <c r="Q21" s="10"/>
      <c r="R21" s="10"/>
      <c r="S21" s="10"/>
      <c r="T21" s="10"/>
      <c r="U21" s="5">
        <f t="shared" si="2"/>
        <v>4.3729593748327314E-2</v>
      </c>
      <c r="V21" s="5">
        <f t="shared" si="3"/>
        <v>3.6557298078467096E-2</v>
      </c>
      <c r="W21" s="22">
        <f t="shared" si="4"/>
        <v>1.1961932650073182</v>
      </c>
      <c r="X21" s="3">
        <f t="shared" si="5"/>
        <v>23788.000000000007</v>
      </c>
      <c r="Y21" s="5">
        <f t="shared" si="6"/>
        <v>0.31831076379596435</v>
      </c>
      <c r="Z21" s="5">
        <f>IF(OR(AE21="",多次统计数据!$B$8=""),"",AE21-多次统计数据!$B$8)</f>
        <v>0.20335257369949156</v>
      </c>
      <c r="AA21" s="8">
        <f t="shared" si="7"/>
        <v>196</v>
      </c>
      <c r="AB21" s="5">
        <f>IF(OR(A21="",多次统计数据!$B$8="",多次统计数据!$B$6&lt;=0,多次统计数据!$B$6&gt;=1),"",1-POWER(1+多次统计数据!$B$8,-多次统计数据!$B$6/(1-多次统计数据!$B$6)))</f>
        <v>8.152013270062719E-2</v>
      </c>
      <c r="AC21" s="6" t="str">
        <f>IF(OR(AB21="",多次统计数据!$B$9=""),"",IF(多次统计数据!$B$9&lt;AB21,"低于上限","达到或超过上限"))</f>
        <v>低于上限</v>
      </c>
      <c r="AD21" s="10"/>
      <c r="AE21" s="5">
        <f t="shared" si="8"/>
        <v>0.31356524260838625</v>
      </c>
      <c r="AG21" s="10" t="s">
        <v>48</v>
      </c>
      <c r="AH21" s="10" t="s">
        <v>46</v>
      </c>
      <c r="AI21" s="10" t="s">
        <v>50</v>
      </c>
      <c r="AJ21" s="6" t="str">
        <f t="shared" si="9"/>
        <v>匹配</v>
      </c>
      <c r="AK21" s="23">
        <f>IF(A21="","",COUNTIFS(加仓管理!$A$2:$A$1001,A21,加仓管理!$G$2:$G$1001,"&gt;0"))</f>
        <v>1</v>
      </c>
      <c r="AL21" s="23">
        <f>IF(A21="","",SUMIFS(加仓管理!$G$2:$G$1001,加仓管理!$A$2:$A$1001,A21))</f>
        <v>800</v>
      </c>
      <c r="AM21" s="24">
        <f>IF(AK21=0,"",IFERROR(LOOKUP(2,1/((加仓管理!$A$2:$A$1001=A21)*(加仓管理!$G$2:$G$1001&gt;0)),加仓管理!$D$2:$D$1001),""))</f>
        <v>13.53</v>
      </c>
      <c r="AN21" s="24">
        <f>IF(AK21=0,"",IFERROR(LOOKUP(2,1/((加仓管理!$A$2:$A$1001=A21)*(加仓管理!$G$2:$G$1001&gt;0)),加仓管理!$E$2:$E$1001),""))</f>
        <v>13</v>
      </c>
      <c r="AO21" s="24">
        <f>IF(OR(A21="",H21="",H21&lt;=0),"",(E21*H21+SUMIFS(加仓管理!$H$2:$H$1001,加仓管理!$A$2:$A$1001,A21))/AP21)</f>
        <v>12.455333333333334</v>
      </c>
      <c r="AP21" s="23">
        <f t="shared" si="10"/>
        <v>6000</v>
      </c>
      <c r="AQ21" s="24">
        <f>IF(A21="","",IF(M21&lt;&gt;"",0,IF(OR(H21="",N21=""),"",MAX((E21*H21+SUMIFS(加仓管理!$H$2:$H$1001,加仓管理!$A$2:$A$1001,A21))-MAX(N21,AN21)*AP21,0))))</f>
        <v>0</v>
      </c>
      <c r="AR21" s="24" t="str">
        <f>IF(A21="","",IF(OR(E21="",H21=""),"违规：首次买入价格或股数缺失",IF(COUNTIFS(加仓管理!$A$2:$A$1001,A21,加仓管理!$R$2:$R$1001,"违规*")&gt;0,"违规：请检查加仓管理表",IF(SUM($AQ$2:$AQ$201)&gt;账户数据!$B$7,"预警：超过账户风险上限",IF(COUNTIFS(加仓管理!$A$2:$A$1001,A21,加仓管理!$N$2:$N$1001,"&gt;0",加仓管理!$G$2:$G$1001,"")&gt;0,"提示：存在待执行加仓计划","通过")))))</f>
        <v>通过</v>
      </c>
    </row>
    <row r="22" spans="1:44">
      <c r="A22" s="10">
        <v>21</v>
      </c>
      <c r="B22" s="10" t="s">
        <v>53</v>
      </c>
      <c r="C22" s="7">
        <v>99651</v>
      </c>
      <c r="D22" s="4">
        <v>0.02</v>
      </c>
      <c r="E22" s="7">
        <v>15.97</v>
      </c>
      <c r="F22" s="6">
        <f t="shared" si="0"/>
        <v>4200</v>
      </c>
      <c r="G22" s="6" t="str">
        <f>IF(A22="","",IF(H22&lt;&gt;"","已开仓",IF(账户数据!$B$23="已锁仓","禁止开仓：连续亏损达到上限",IF(账户数据!$B$23="解锁信息不完整","禁止开仓：请完整填写解锁信息",IF(OR(F22="",E22="",N22="",E22&lt;=N22,账户数据!$B$7=""),"",IF(OR(AG22="",AH22="",AI22=""),"禁止开仓：交易预期未填写完整",IF(账户数据!$B$9+F22*(E22-N22)&gt;=账户数据!$B$7,"禁止开仓：风险额度不足",IF(AJ22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2" s="10">
        <v>4200</v>
      </c>
      <c r="I22" s="21">
        <v>43068</v>
      </c>
      <c r="J22" s="7">
        <v>18</v>
      </c>
      <c r="K22" s="7">
        <v>15.36</v>
      </c>
      <c r="L22" s="6">
        <f t="shared" si="1"/>
        <v>6200</v>
      </c>
      <c r="M22" s="21">
        <v>43074</v>
      </c>
      <c r="N22" s="7">
        <v>15.5</v>
      </c>
      <c r="O22" s="7"/>
      <c r="P22" s="7"/>
      <c r="Q22" s="10"/>
      <c r="R22" s="10"/>
      <c r="S22" s="10"/>
      <c r="T22" s="10"/>
      <c r="U22" s="5">
        <f t="shared" si="2"/>
        <v>0.14869176770899808</v>
      </c>
      <c r="V22" s="5">
        <f t="shared" si="3"/>
        <v>1.0848755583918311E-2</v>
      </c>
      <c r="W22" s="22">
        <f t="shared" si="4"/>
        <v>13.705882352941181</v>
      </c>
      <c r="X22" s="3">
        <f t="shared" si="5"/>
        <v>-1922.0000000000032</v>
      </c>
      <c r="Y22" s="5">
        <f t="shared" si="6"/>
        <v>-1.9783024888321666E-2</v>
      </c>
      <c r="Z22" s="5">
        <f>IF(OR(AE22="",多次统计数据!$B$8=""),"",AE22-多次统计数据!$B$8)</f>
        <v>-0.12949998163029239</v>
      </c>
      <c r="AA22" s="8">
        <f t="shared" si="7"/>
        <v>6</v>
      </c>
      <c r="AB22" s="5">
        <f>IF(OR(A22="",多次统计数据!$B$8="",多次统计数据!$B$6&lt;=0,多次统计数据!$B$6&gt;=1),"",1-POWER(1+多次统计数据!$B$8,-多次统计数据!$B$6/(1-多次统计数据!$B$6)))</f>
        <v>8.152013270062719E-2</v>
      </c>
      <c r="AC22" s="6" t="str">
        <f>IF(OR(AB22="",多次统计数据!$B$9=""),"",IF(多次统计数据!$B$9&lt;AB22,"低于上限","达到或超过上限"))</f>
        <v>低于上限</v>
      </c>
      <c r="AD22" s="10"/>
      <c r="AE22" s="5">
        <f t="shared" si="8"/>
        <v>-1.928731272139771E-2</v>
      </c>
      <c r="AG22" s="10" t="s">
        <v>51</v>
      </c>
      <c r="AH22" s="10" t="s">
        <v>52</v>
      </c>
      <c r="AI22" s="10" t="s">
        <v>49</v>
      </c>
      <c r="AJ22" s="6" t="str">
        <f t="shared" si="9"/>
        <v>匹配</v>
      </c>
      <c r="AK22" s="23">
        <f>IF(A22="","",COUNTIFS(加仓管理!$A$2:$A$1001,A22,加仓管理!$G$2:$G$1001,"&gt;0"))</f>
        <v>1</v>
      </c>
      <c r="AL22" s="23">
        <f>IF(A22="","",SUMIFS(加仓管理!$G$2:$G$1001,加仓管理!$A$2:$A$1001,A22))</f>
        <v>2000</v>
      </c>
      <c r="AM22" s="24">
        <f>IF(AK22=0,"",IFERROR(LOOKUP(2,1/((加仓管理!$A$2:$A$1001=A22)*(加仓管理!$G$2:$G$1001&gt;0)),加仓管理!$D$2:$D$1001),""))</f>
        <v>15.04</v>
      </c>
      <c r="AN22" s="24">
        <f>IF(AK22=0,"",IFERROR(LOOKUP(2,1/((加仓管理!$A$2:$A$1001=A22)*(加仓管理!$G$2:$G$1001&gt;0)),加仓管理!$E$2:$E$1001),""))</f>
        <v>14.5</v>
      </c>
      <c r="AO22" s="24">
        <f>IF(OR(A22="",H22="",H22&lt;=0),"",(E22*H22+SUMIFS(加仓管理!$H$2:$H$1001,加仓管理!$A$2:$A$1001,A22))/AP22)</f>
        <v>15.67</v>
      </c>
      <c r="AP22" s="23">
        <f t="shared" si="10"/>
        <v>6200</v>
      </c>
      <c r="AQ22" s="24">
        <f>IF(A22="","",IF(M22&lt;&gt;"",0,IF(OR(H22="",N22=""),"",MAX((E22*H22+SUMIFS(加仓管理!$H$2:$H$1001,加仓管理!$A$2:$A$1001,A22))-MAX(N22,AN22)*AP22,0))))</f>
        <v>0</v>
      </c>
      <c r="AR22" s="24" t="str">
        <f>IF(A22="","",IF(OR(E22="",H22=""),"违规：首次买入价格或股数缺失",IF(COUNTIFS(加仓管理!$A$2:$A$1001,A22,加仓管理!$R$2:$R$1001,"违规*")&gt;0,"违规：请检查加仓管理表",IF(SUM($AQ$2:$AQ$201)&gt;账户数据!$B$7,"预警：超过账户风险上限",IF(COUNTIFS(加仓管理!$A$2:$A$1001,A22,加仓管理!$N$2:$N$1001,"&gt;0",加仓管理!$G$2:$G$1001,"")&gt;0,"提示：存在待执行加仓计划","通过")))))</f>
        <v>违规：请检查加仓管理表</v>
      </c>
    </row>
    <row r="23" spans="1:44">
      <c r="A23" s="10">
        <v>22</v>
      </c>
      <c r="B23" s="10" t="s">
        <v>53</v>
      </c>
      <c r="C23" s="7">
        <v>97089</v>
      </c>
      <c r="D23" s="4">
        <v>0.02</v>
      </c>
      <c r="E23" s="7">
        <v>15.62</v>
      </c>
      <c r="F23" s="6">
        <f t="shared" si="0"/>
        <v>3100</v>
      </c>
      <c r="G23" s="6" t="str">
        <f>IF(A23="","",IF(H23&lt;&gt;"","已开仓",IF(账户数据!$B$23="已锁仓","禁止开仓：连续亏损达到上限",IF(账户数据!$B$23="解锁信息不完整","禁止开仓：请完整填写解锁信息",IF(OR(F23="",E23="",N23="",E23&lt;=N23,账户数据!$B$7=""),"",IF(OR(AG23="",AH23="",AI23=""),"禁止开仓：交易预期未填写完整",IF(账户数据!$B$9+F23*(E23-N23)&gt;=账户数据!$B$7,"禁止开仓：风险额度不足",IF(AJ23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3" s="10">
        <v>3100</v>
      </c>
      <c r="I23" s="21">
        <v>43075</v>
      </c>
      <c r="J23" s="7">
        <v>18</v>
      </c>
      <c r="K23" s="7">
        <v>12.6</v>
      </c>
      <c r="L23" s="6">
        <f t="shared" si="1"/>
        <v>3100</v>
      </c>
      <c r="M23" s="21">
        <v>43137</v>
      </c>
      <c r="N23" s="7">
        <v>15</v>
      </c>
      <c r="O23" s="7"/>
      <c r="P23" s="7"/>
      <c r="Q23" s="10"/>
      <c r="R23" s="10"/>
      <c r="S23" s="10"/>
      <c r="T23" s="10"/>
      <c r="U23" s="5">
        <f t="shared" si="2"/>
        <v>0.15236875800256089</v>
      </c>
      <c r="V23" s="5">
        <f t="shared" si="3"/>
        <v>3.9692701664532599E-2</v>
      </c>
      <c r="W23" s="22">
        <f t="shared" si="4"/>
        <v>3.8387096774193616</v>
      </c>
      <c r="X23" s="3">
        <f t="shared" si="5"/>
        <v>-9361.9999999999982</v>
      </c>
      <c r="Y23" s="5">
        <f t="shared" si="6"/>
        <v>-0.19334186939820738</v>
      </c>
      <c r="Z23" s="5">
        <f>IF(OR(AE23="",多次统计数据!$B$8=""),"",AE23-多次统计数据!$B$8)</f>
        <v>-0.20663965857816718</v>
      </c>
      <c r="AA23" s="8">
        <f t="shared" si="7"/>
        <v>62</v>
      </c>
      <c r="AB23" s="5">
        <f>IF(OR(A23="",多次统计数据!$B$8="",多次统计数据!$B$6&lt;=0,多次统计数据!$B$6&gt;=1),"",1-POWER(1+多次统计数据!$B$8,-多次统计数据!$B$6/(1-多次统计数据!$B$6)))</f>
        <v>8.152013270062719E-2</v>
      </c>
      <c r="AC23" s="6" t="str">
        <f>IF(OR(AB23="",多次统计数据!$B$9=""),"",IF(多次统计数据!$B$9&lt;AB23,"低于上限","达到或超过上限"))</f>
        <v>低于上限</v>
      </c>
      <c r="AD23" s="10"/>
      <c r="AE23" s="5">
        <f t="shared" si="8"/>
        <v>-9.6426989669272503E-2</v>
      </c>
      <c r="AG23" s="10" t="s">
        <v>51</v>
      </c>
      <c r="AH23" s="10" t="s">
        <v>52</v>
      </c>
      <c r="AI23" s="10" t="s">
        <v>49</v>
      </c>
      <c r="AJ23" s="6" t="str">
        <f t="shared" si="9"/>
        <v>匹配</v>
      </c>
      <c r="AK23" s="23">
        <f>IF(A23="","",COUNTIFS(加仓管理!$A$2:$A$1001,A23,加仓管理!$G$2:$G$1001,"&gt;0"))</f>
        <v>0</v>
      </c>
      <c r="AL23" s="23">
        <f>IF(A23="","",SUMIFS(加仓管理!$G$2:$G$1001,加仓管理!$A$2:$A$1001,A23))</f>
        <v>0</v>
      </c>
      <c r="AM23" s="24" t="str">
        <f>IF(AK23=0,"",IFERROR(LOOKUP(2,1/((加仓管理!$A$2:$A$1001=A23)*(加仓管理!$G$2:$G$1001&gt;0)),加仓管理!$D$2:$D$1001),""))</f>
        <v/>
      </c>
      <c r="AN23" s="24" t="str">
        <f>IF(AK23=0,"",IFERROR(LOOKUP(2,1/((加仓管理!$A$2:$A$1001=A23)*(加仓管理!$G$2:$G$1001&gt;0)),加仓管理!$E$2:$E$1001),""))</f>
        <v/>
      </c>
      <c r="AO23" s="24">
        <f>IF(OR(A23="",H23="",H23&lt;=0),"",(E23*H23+SUMIFS(加仓管理!$H$2:$H$1001,加仓管理!$A$2:$A$1001,A23))/AP23)</f>
        <v>15.62</v>
      </c>
      <c r="AP23" s="23">
        <f t="shared" si="10"/>
        <v>3100</v>
      </c>
      <c r="AQ23" s="24">
        <f>IF(A23="","",IF(M23&lt;&gt;"",0,IF(OR(H23="",N23=""),"",MAX((E23*H23+SUMIFS(加仓管理!$H$2:$H$1001,加仓管理!$A$2:$A$1001,A23))-MAX(N23,AN23)*AP23,0))))</f>
        <v>0</v>
      </c>
      <c r="AR23" s="24" t="str">
        <f>IF(A23="","",IF(OR(E23="",H23=""),"违规：首次买入价格或股数缺失",IF(COUNTIFS(加仓管理!$A$2:$A$1001,A23,加仓管理!$R$2:$R$1001,"违规*")&gt;0,"违规：请检查加仓管理表",IF(SUM($AQ$2:$AQ$201)&gt;账户数据!$B$7,"预警：超过账户风险上限",IF(COUNTIFS(加仓管理!$A$2:$A$1001,A23,加仓管理!$N$2:$N$1001,"&gt;0",加仓管理!$G$2:$G$1001,"")&gt;0,"提示：存在待执行加仓计划","通过")))))</f>
        <v>通过</v>
      </c>
    </row>
    <row r="24" spans="1:44" s="19" customFormat="1">
      <c r="A24" s="25">
        <v>23</v>
      </c>
      <c r="B24" s="25" t="s">
        <v>53</v>
      </c>
      <c r="C24" s="26">
        <v>88367</v>
      </c>
      <c r="D24" s="27">
        <v>0.02</v>
      </c>
      <c r="E24" s="26">
        <v>14.06</v>
      </c>
      <c r="F24" s="28">
        <f t="shared" si="0"/>
        <v>3100</v>
      </c>
      <c r="G24" s="28" t="str">
        <f>IF(A24="","",IF(H24&lt;&gt;"","已开仓",IF(账户数据!$B$23="已锁仓","禁止开仓：连续亏损达到上限",IF(账户数据!$B$23="解锁信息不完整","禁止开仓：请完整填写解锁信息",IF(OR(F24="",E24="",N24="",E24&lt;=N24,账户数据!$B$7=""),"",IF(OR(AG24="",AH24="",AI24=""),"禁止开仓：交易预期未填写完整",IF(账户数据!$B$9+F24*(E24-N24)&gt;=账户数据!$B$7,"禁止开仓：风险额度不足",IF(AJ24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4" s="25">
        <v>3100</v>
      </c>
      <c r="I24" s="29">
        <v>43157</v>
      </c>
      <c r="J24" s="26">
        <v>15</v>
      </c>
      <c r="K24" s="26">
        <v>13.09</v>
      </c>
      <c r="L24" s="28">
        <f t="shared" si="1"/>
        <v>5600</v>
      </c>
      <c r="M24" s="29">
        <v>43277</v>
      </c>
      <c r="N24" s="26">
        <v>13.5</v>
      </c>
      <c r="O24" s="26"/>
      <c r="P24" s="26"/>
      <c r="Q24" s="25"/>
      <c r="R24" s="25"/>
      <c r="S24" s="25"/>
      <c r="T24" s="25"/>
      <c r="U24" s="30">
        <f t="shared" si="2"/>
        <v>3.0219780219780185E-2</v>
      </c>
      <c r="V24" s="30">
        <f t="shared" si="3"/>
        <v>7.2802197802197835E-2</v>
      </c>
      <c r="W24" s="31">
        <f t="shared" si="4"/>
        <v>0.41509433962264086</v>
      </c>
      <c r="X24" s="32">
        <f t="shared" si="5"/>
        <v>-8232.0000000000036</v>
      </c>
      <c r="Y24" s="30">
        <f t="shared" si="6"/>
        <v>-0.10096153846153851</v>
      </c>
      <c r="Z24" s="30">
        <f>IF(OR(AE24="",多次统计数据!$B$8=""),"",AE24-多次统计数据!$B$8)</f>
        <v>-0.20336961663825071</v>
      </c>
      <c r="AA24" s="33">
        <f t="shared" si="7"/>
        <v>120</v>
      </c>
      <c r="AB24" s="30">
        <f>IF(OR(A24="",多次统计数据!$B$8="",多次统计数据!$B$6&lt;=0,多次统计数据!$B$6&gt;=1),"",1-POWER(1+多次统计数据!$B$8,-多次统计数据!$B$6/(1-多次统计数据!$B$6)))</f>
        <v>8.152013270062719E-2</v>
      </c>
      <c r="AC24" s="28" t="str">
        <f>IF(OR(AB24="",多次统计数据!$B$9=""),"",IF(多次统计数据!$B$9&lt;AB24,"低于上限","达到或超过上限"))</f>
        <v>低于上限</v>
      </c>
      <c r="AD24" s="25"/>
      <c r="AE24" s="30">
        <f t="shared" si="8"/>
        <v>-9.3156947729356024E-2</v>
      </c>
      <c r="AG24" s="25" t="s">
        <v>51</v>
      </c>
      <c r="AH24" s="25" t="s">
        <v>52</v>
      </c>
      <c r="AI24" s="25" t="s">
        <v>49</v>
      </c>
      <c r="AJ24" s="28" t="str">
        <f t="shared" si="9"/>
        <v>匹配</v>
      </c>
      <c r="AK24" s="34">
        <f>IF(A24="","",COUNTIFS(加仓管理!$A$2:$A$1001,A24,加仓管理!$G$2:$G$1001,"&gt;0"))</f>
        <v>1</v>
      </c>
      <c r="AL24" s="34">
        <f>IF(A24="","",SUMIFS(加仓管理!$G$2:$G$1001,加仓管理!$A$2:$A$1001,A24))</f>
        <v>2500</v>
      </c>
      <c r="AM24" s="35">
        <f>IF(AK24=0,"",IFERROR(LOOKUP(2,1/((加仓管理!$A$2:$A$1001=A24)*(加仓管理!$G$2:$G$1001&gt;0)),加仓管理!$D$2:$D$1001),""))</f>
        <v>15.18</v>
      </c>
      <c r="AN24" s="35">
        <f>IF(AK24=0,"",IFERROR(LOOKUP(2,1/((加仓管理!$A$2:$A$1001=A24)*(加仓管理!$G$2:$G$1001&gt;0)),加仓管理!$E$2:$E$1001),""))</f>
        <v>14.5</v>
      </c>
      <c r="AO24" s="35">
        <f>IF(OR(A24="",H24="",H24&lt;=0),"",(E24*H24+SUMIFS(加仓管理!$H$2:$H$1001,加仓管理!$A$2:$A$1001,A24))/AP24)</f>
        <v>14.56</v>
      </c>
      <c r="AP24" s="34">
        <f t="shared" si="10"/>
        <v>5600</v>
      </c>
      <c r="AQ24" s="35">
        <f>IF(A24="","",IF(M24&lt;&gt;"",0,IF(OR(H24="",N24=""),"",MAX((E24*H24+SUMIFS(加仓管理!$H$2:$H$1001,加仓管理!$A$2:$A$1001,A24))-MAX(N24,AN24)*AP24,0))))</f>
        <v>0</v>
      </c>
      <c r="AR24" s="35" t="str">
        <f>IF(A24="","",IF(OR(E24="",H24=""),"违规：首次买入价格或股数缺失",IF(COUNTIFS(加仓管理!$A$2:$A$1001,A24,加仓管理!$R$2:$R$1001,"违规*")&gt;0,"违规：请检查加仓管理表",IF(SUM($AQ$2:$AQ$201)&gt;账户数据!$B$7,"预警：超过账户风险上限",IF(COUNTIFS(加仓管理!$A$2:$A$1001,A24,加仓管理!$N$2:$N$1001,"&gt;0",加仓管理!$G$2:$G$1001,"")&gt;0,"提示：存在待执行加仓计划","通过")))))</f>
        <v>违规：请检查加仓管理表</v>
      </c>
    </row>
    <row r="25" spans="1:44">
      <c r="A25" s="10">
        <v>24</v>
      </c>
      <c r="B25" s="10" t="s">
        <v>53</v>
      </c>
      <c r="C25" s="7">
        <v>80135</v>
      </c>
      <c r="D25" s="4">
        <v>0.02</v>
      </c>
      <c r="E25" s="7">
        <v>13.88</v>
      </c>
      <c r="F25" s="6">
        <f t="shared" si="0"/>
        <v>1800</v>
      </c>
      <c r="G25" s="6" t="str">
        <f>IF(A25="","",IF(H25&lt;&gt;"","已开仓",IF(账户数据!$B$23="已锁仓","禁止开仓：连续亏损达到上限",IF(账户数据!$B$23="解锁信息不完整","禁止开仓：请完整填写解锁信息",IF(OR(F25="",E25="",N25="",E25&lt;=N25,账户数据!$B$7=""),"",IF(OR(AG25="",AH25="",AI25=""),"禁止开仓：交易预期未填写完整",IF(账户数据!$B$9+F25*(E25-N25)&gt;=账户数据!$B$7,"禁止开仓：风险额度不足",IF(AJ25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5" s="10">
        <v>1800</v>
      </c>
      <c r="I25" s="21">
        <v>43290</v>
      </c>
      <c r="J25" s="7">
        <v>15</v>
      </c>
      <c r="K25" s="7">
        <v>12.78</v>
      </c>
      <c r="L25" s="6">
        <f t="shared" si="1"/>
        <v>1800</v>
      </c>
      <c r="M25" s="21">
        <v>43343</v>
      </c>
      <c r="N25" s="7">
        <v>13</v>
      </c>
      <c r="O25" s="7"/>
      <c r="P25" s="7"/>
      <c r="Q25" s="10"/>
      <c r="R25" s="10"/>
      <c r="S25" s="10"/>
      <c r="T25" s="10"/>
      <c r="U25" s="5">
        <f t="shared" si="2"/>
        <v>8.0691642651296774E-2</v>
      </c>
      <c r="V25" s="5">
        <f t="shared" si="3"/>
        <v>6.3400576368876138E-2</v>
      </c>
      <c r="W25" s="22">
        <f t="shared" si="4"/>
        <v>1.2727272727272707</v>
      </c>
      <c r="X25" s="3">
        <f t="shared" si="5"/>
        <v>-1980.0000000000025</v>
      </c>
      <c r="Y25" s="5">
        <f t="shared" si="6"/>
        <v>-7.92507204610952E-2</v>
      </c>
      <c r="Z25" s="5">
        <f>IF(OR(AE25="",多次统计数据!$B$8=""),"",AE25-多次统计数据!$B$8)</f>
        <v>-0.13492097364465311</v>
      </c>
      <c r="AA25" s="8">
        <f t="shared" si="7"/>
        <v>53</v>
      </c>
      <c r="AB25" s="5">
        <f>IF(OR(A25="",多次统计数据!$B$8="",多次统计数据!$B$6&lt;=0,多次统计数据!$B$6&gt;=1),"",1-POWER(1+多次统计数据!$B$8,-多次统计数据!$B$6/(1-多次统计数据!$B$6)))</f>
        <v>8.152013270062719E-2</v>
      </c>
      <c r="AC25" s="6" t="str">
        <f>IF(OR(AB25="",多次统计数据!$B$9=""),"",IF(多次统计数据!$B$9&lt;AB25,"低于上限","达到或超过上限"))</f>
        <v>低于上限</v>
      </c>
      <c r="AD25" s="10"/>
      <c r="AE25" s="5">
        <f t="shared" si="8"/>
        <v>-2.4708304735758437E-2</v>
      </c>
      <c r="AG25" s="10" t="s">
        <v>51</v>
      </c>
      <c r="AH25" s="10" t="s">
        <v>52</v>
      </c>
      <c r="AI25" s="10" t="s">
        <v>49</v>
      </c>
      <c r="AJ25" s="6" t="str">
        <f t="shared" si="9"/>
        <v>匹配</v>
      </c>
      <c r="AK25" s="23">
        <f>IF(A25="","",COUNTIFS(加仓管理!$A$2:$A$1001,A25,加仓管理!$G$2:$G$1001,"&gt;0"))</f>
        <v>0</v>
      </c>
      <c r="AL25" s="23">
        <f>IF(A25="","",SUMIFS(加仓管理!$G$2:$G$1001,加仓管理!$A$2:$A$1001,A25))</f>
        <v>0</v>
      </c>
      <c r="AM25" s="24" t="str">
        <f>IF(AK25=0,"",IFERROR(LOOKUP(2,1/((加仓管理!$A$2:$A$1001=A25)*(加仓管理!$G$2:$G$1001&gt;0)),加仓管理!$D$2:$D$1001),""))</f>
        <v/>
      </c>
      <c r="AN25" s="24" t="str">
        <f>IF(AK25=0,"",IFERROR(LOOKUP(2,1/((加仓管理!$A$2:$A$1001=A25)*(加仓管理!$G$2:$G$1001&gt;0)),加仓管理!$E$2:$E$1001),""))</f>
        <v/>
      </c>
      <c r="AO25" s="24">
        <f>IF(OR(A25="",H25="",H25&lt;=0),"",(E25*H25+SUMIFS(加仓管理!$H$2:$H$1001,加仓管理!$A$2:$A$1001,A25))/AP25)</f>
        <v>13.88</v>
      </c>
      <c r="AP25" s="23">
        <f t="shared" si="10"/>
        <v>1800</v>
      </c>
      <c r="AQ25" s="24">
        <f>IF(A25="","",IF(M25&lt;&gt;"",0,IF(OR(H25="",N25=""),"",MAX((E25*H25+SUMIFS(加仓管理!$H$2:$H$1001,加仓管理!$A$2:$A$1001,A25))-MAX(N25,AN25)*AP25,0))))</f>
        <v>0</v>
      </c>
      <c r="AR25" s="24" t="str">
        <f>IF(A25="","",IF(OR(E25="",H25=""),"违规：首次买入价格或股数缺失",IF(COUNTIFS(加仓管理!$A$2:$A$1001,A25,加仓管理!$R$2:$R$1001,"违规*")&gt;0,"违规：请检查加仓管理表",IF(SUM($AQ$2:$AQ$201)&gt;账户数据!$B$7,"预警：超过账户风险上限",IF(COUNTIFS(加仓管理!$A$2:$A$1001,A25,加仓管理!$N$2:$N$1001,"&gt;0",加仓管理!$G$2:$G$1001,"")&gt;0,"提示：存在待执行加仓计划","通过")))))</f>
        <v>通过</v>
      </c>
    </row>
    <row r="26" spans="1:44">
      <c r="A26" s="10">
        <v>25</v>
      </c>
      <c r="B26" s="10" t="s">
        <v>53</v>
      </c>
      <c r="C26" s="7">
        <v>78155</v>
      </c>
      <c r="D26" s="4">
        <v>0.02</v>
      </c>
      <c r="E26" s="7">
        <v>12.77</v>
      </c>
      <c r="F26" s="6">
        <f t="shared" si="0"/>
        <v>2700</v>
      </c>
      <c r="G26" s="6" t="str">
        <f>IF(A26="","",IF(H26&lt;&gt;"","已开仓",IF(账户数据!$B$23="已锁仓","禁止开仓：连续亏损达到上限",IF(账户数据!$B$23="解锁信息不完整","禁止开仓：请完整填写解锁信息",IF(OR(F26="",E26="",N26="",E26&lt;=N26,账户数据!$B$7=""),"",IF(OR(AG26="",AH26="",AI26=""),"禁止开仓：交易预期未填写完整",IF(账户数据!$B$9+F26*(E26-N26)&gt;=账户数据!$B$7,"禁止开仓：风险额度不足",IF(AJ26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6" s="10">
        <v>2700</v>
      </c>
      <c r="I26" s="21">
        <v>43353</v>
      </c>
      <c r="J26" s="7">
        <v>14</v>
      </c>
      <c r="K26" s="7">
        <v>13.26</v>
      </c>
      <c r="L26" s="6">
        <f t="shared" si="1"/>
        <v>5700</v>
      </c>
      <c r="M26" s="21">
        <v>43381</v>
      </c>
      <c r="N26" s="7">
        <v>12.2</v>
      </c>
      <c r="O26" s="7"/>
      <c r="P26" s="7"/>
      <c r="Q26" s="10"/>
      <c r="R26" s="10"/>
      <c r="S26" s="10"/>
      <c r="T26" s="10"/>
      <c r="U26" s="5">
        <f t="shared" si="2"/>
        <v>3.048851353968933E-2</v>
      </c>
      <c r="V26" s="5">
        <f t="shared" si="3"/>
        <v>0.10200286677255649</v>
      </c>
      <c r="W26" s="22">
        <f t="shared" si="4"/>
        <v>0.2988985947588304</v>
      </c>
      <c r="X26" s="3">
        <f t="shared" si="5"/>
        <v>-1856.9999999999993</v>
      </c>
      <c r="Y26" s="5">
        <f t="shared" si="6"/>
        <v>-2.3980165033122836E-2</v>
      </c>
      <c r="Z26" s="5">
        <f>IF(OR(AE26="",多次统计数据!$B$8=""),"",AE26-多次统计数据!$B$8)</f>
        <v>-0.13397314488611942</v>
      </c>
      <c r="AA26" s="8">
        <f t="shared" si="7"/>
        <v>28</v>
      </c>
      <c r="AB26" s="5">
        <f>IF(OR(A26="",多次统计数据!$B$8="",多次统计数据!$B$6&lt;=0,多次统计数据!$B$6&gt;=1),"",1-POWER(1+多次统计数据!$B$8,-多次统计数据!$B$6/(1-多次统计数据!$B$6)))</f>
        <v>8.152013270062719E-2</v>
      </c>
      <c r="AC26" s="6" t="str">
        <f>IF(OR(AB26="",多次统计数据!$B$9=""),"",IF(多次统计数据!$B$9&lt;AB26,"低于上限","达到或超过上限"))</f>
        <v>低于上限</v>
      </c>
      <c r="AD26" s="10"/>
      <c r="AE26" s="5">
        <f t="shared" si="8"/>
        <v>-2.3760475977224738E-2</v>
      </c>
      <c r="AG26" s="10" t="s">
        <v>51</v>
      </c>
      <c r="AH26" s="10" t="s">
        <v>52</v>
      </c>
      <c r="AI26" s="10" t="s">
        <v>49</v>
      </c>
      <c r="AJ26" s="6" t="str">
        <f t="shared" si="9"/>
        <v>匹配</v>
      </c>
      <c r="AK26" s="23">
        <f>IF(A26="","",COUNTIFS(加仓管理!$A$2:$A$1001,A26,加仓管理!$G$2:$G$1001,"&gt;0"))</f>
        <v>1</v>
      </c>
      <c r="AL26" s="23">
        <f>IF(A26="","",SUMIFS(加仓管理!$G$2:$G$1001,加仓管理!$A$2:$A$1001,A26))</f>
        <v>3000</v>
      </c>
      <c r="AM26" s="24">
        <f>IF(AK26=0,"",IFERROR(LOOKUP(2,1/((加仓管理!$A$2:$A$1001=A26)*(加仓管理!$G$2:$G$1001&gt;0)),加仓管理!$D$2:$D$1001),""))</f>
        <v>14.32</v>
      </c>
      <c r="AN26" s="24">
        <f>IF(AK26=0,"",IFERROR(LOOKUP(2,1/((加仓管理!$A$2:$A$1001=A26)*(加仓管理!$G$2:$G$1001&gt;0)),加仓管理!$E$2:$E$1001),""))</f>
        <v>13.5</v>
      </c>
      <c r="AO26" s="24">
        <f>IF(OR(A26="",H26="",H26&lt;=0),"",(E26*H26+SUMIFS(加仓管理!$H$2:$H$1001,加仓管理!$A$2:$A$1001,A26))/AP26)</f>
        <v>13.58578947368421</v>
      </c>
      <c r="AP26" s="23">
        <f t="shared" si="10"/>
        <v>5700</v>
      </c>
      <c r="AQ26" s="24">
        <f>IF(A26="","",IF(M26&lt;&gt;"",0,IF(OR(H26="",N26=""),"",MAX((E26*H26+SUMIFS(加仓管理!$H$2:$H$1001,加仓管理!$A$2:$A$1001,A26))-MAX(N26,AN26)*AP26,0))))</f>
        <v>0</v>
      </c>
      <c r="AR26" s="24" t="str">
        <f>IF(A26="","",IF(OR(E26="",H26=""),"违规：首次买入价格或股数缺失",IF(COUNTIFS(加仓管理!$A$2:$A$1001,A26,加仓管理!$R$2:$R$1001,"违规*")&gt;0,"违规：请检查加仓管理表",IF(SUM($AQ$2:$AQ$201)&gt;账户数据!$B$7,"预警：超过账户风险上限",IF(COUNTIFS(加仓管理!$A$2:$A$1001,A26,加仓管理!$N$2:$N$1001,"&gt;0",加仓管理!$G$2:$G$1001,"")&gt;0,"提示：存在待执行加仓计划","通过")))))</f>
        <v>违规：请检查加仓管理表</v>
      </c>
    </row>
    <row r="27" spans="1:44">
      <c r="A27" s="10">
        <v>26</v>
      </c>
      <c r="B27" s="10" t="s">
        <v>53</v>
      </c>
      <c r="C27" s="7">
        <v>76298</v>
      </c>
      <c r="D27" s="4">
        <v>0.02</v>
      </c>
      <c r="E27" s="7">
        <v>13</v>
      </c>
      <c r="F27" s="6">
        <f t="shared" si="0"/>
        <v>3000</v>
      </c>
      <c r="G27" s="6" t="str">
        <f>IF(A27="","",IF(H27&lt;&gt;"","已开仓",IF(账户数据!$B$23="已锁仓","禁止开仓：连续亏损达到上限",IF(账户数据!$B$23="解锁信息不完整","禁止开仓：请完整填写解锁信息",IF(OR(F27="",E27="",N27="",E27&lt;=N27,账户数据!$B$7=""),"",IF(OR(AG27="",AH27="",AI27=""),"禁止开仓：交易预期未填写完整",IF(账户数据!$B$9+F27*(E27-N27)&gt;=账户数据!$B$7,"禁止开仓：风险额度不足",IF(AJ27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7" s="10">
        <v>3000</v>
      </c>
      <c r="I27" s="21">
        <v>43383</v>
      </c>
      <c r="J27" s="7">
        <v>15</v>
      </c>
      <c r="K27" s="7">
        <v>11.61</v>
      </c>
      <c r="L27" s="6">
        <f t="shared" si="1"/>
        <v>3000</v>
      </c>
      <c r="M27" s="21">
        <v>43384</v>
      </c>
      <c r="N27" s="7">
        <v>12.5</v>
      </c>
      <c r="O27" s="7"/>
      <c r="P27" s="7"/>
      <c r="Q27" s="10"/>
      <c r="R27" s="10"/>
      <c r="S27" s="10"/>
      <c r="T27" s="10"/>
      <c r="U27" s="5">
        <f t="shared" si="2"/>
        <v>0.15384615384615385</v>
      </c>
      <c r="V27" s="5">
        <f t="shared" si="3"/>
        <v>3.8461538461538464E-2</v>
      </c>
      <c r="W27" s="22">
        <f t="shared" si="4"/>
        <v>4</v>
      </c>
      <c r="X27" s="3">
        <f t="shared" si="5"/>
        <v>-4170.0000000000018</v>
      </c>
      <c r="Y27" s="5">
        <f t="shared" si="6"/>
        <v>-0.10692307692307697</v>
      </c>
      <c r="Z27" s="5">
        <f>IF(OR(AE27="",多次统计数据!$B$8=""),"",AE27-多次统计数据!$B$8)</f>
        <v>-0.16486678828292811</v>
      </c>
      <c r="AA27" s="8">
        <f t="shared" si="7"/>
        <v>1</v>
      </c>
      <c r="AB27" s="5">
        <f>IF(OR(A27="",多次统计数据!$B$8="",多次统计数据!$B$6&lt;=0,多次统计数据!$B$6&gt;=1),"",1-POWER(1+多次统计数据!$B$8,-多次统计数据!$B$6/(1-多次统计数据!$B$6)))</f>
        <v>8.152013270062719E-2</v>
      </c>
      <c r="AC27" s="6" t="str">
        <f>IF(OR(AB27="",多次统计数据!$B$9=""),"",IF(多次统计数据!$B$9&lt;AB27,"低于上限","达到或超过上限"))</f>
        <v>低于上限</v>
      </c>
      <c r="AD27" s="10"/>
      <c r="AE27" s="5">
        <f t="shared" si="8"/>
        <v>-5.4654119374033416E-2</v>
      </c>
      <c r="AG27" s="10" t="s">
        <v>51</v>
      </c>
      <c r="AH27" s="10" t="s">
        <v>52</v>
      </c>
      <c r="AI27" s="10" t="s">
        <v>49</v>
      </c>
      <c r="AJ27" s="6" t="str">
        <f t="shared" si="9"/>
        <v>匹配</v>
      </c>
      <c r="AK27" s="23">
        <f>IF(A27="","",COUNTIFS(加仓管理!$A$2:$A$1001,A27,加仓管理!$G$2:$G$1001,"&gt;0"))</f>
        <v>0</v>
      </c>
      <c r="AL27" s="23">
        <f>IF(A27="","",SUMIFS(加仓管理!$G$2:$G$1001,加仓管理!$A$2:$A$1001,A27))</f>
        <v>0</v>
      </c>
      <c r="AM27" s="24" t="str">
        <f>IF(AK27=0,"",IFERROR(LOOKUP(2,1/((加仓管理!$A$2:$A$1001=A27)*(加仓管理!$G$2:$G$1001&gt;0)),加仓管理!$D$2:$D$1001),""))</f>
        <v/>
      </c>
      <c r="AN27" s="24" t="str">
        <f>IF(AK27=0,"",IFERROR(LOOKUP(2,1/((加仓管理!$A$2:$A$1001=A27)*(加仓管理!$G$2:$G$1001&gt;0)),加仓管理!$E$2:$E$1001),""))</f>
        <v/>
      </c>
      <c r="AO27" s="24">
        <f>IF(OR(A27="",H27="",H27&lt;=0),"",(E27*H27+SUMIFS(加仓管理!$H$2:$H$1001,加仓管理!$A$2:$A$1001,A27))/AP27)</f>
        <v>13</v>
      </c>
      <c r="AP27" s="23">
        <f t="shared" si="10"/>
        <v>3000</v>
      </c>
      <c r="AQ27" s="24">
        <f>IF(A27="","",IF(M27&lt;&gt;"",0,IF(OR(H27="",N27=""),"",MAX((E27*H27+SUMIFS(加仓管理!$H$2:$H$1001,加仓管理!$A$2:$A$1001,A27))-MAX(N27,AN27)*AP27,0))))</f>
        <v>0</v>
      </c>
      <c r="AR27" s="24" t="str">
        <f>IF(A27="","",IF(OR(E27="",H27=""),"违规：首次买入价格或股数缺失",IF(COUNTIFS(加仓管理!$A$2:$A$1001,A27,加仓管理!$R$2:$R$1001,"违规*")&gt;0,"违规：请检查加仓管理表",IF(SUM($AQ$2:$AQ$201)&gt;账户数据!$B$7,"预警：超过账户风险上限",IF(COUNTIFS(加仓管理!$A$2:$A$1001,A27,加仓管理!$N$2:$N$1001,"&gt;0",加仓管理!$G$2:$G$1001,"")&gt;0,"提示：存在待执行加仓计划","通过")))))</f>
        <v>通过</v>
      </c>
    </row>
    <row r="28" spans="1:44">
      <c r="A28" s="10">
        <v>27</v>
      </c>
      <c r="B28" s="10" t="s">
        <v>53</v>
      </c>
      <c r="C28" s="7">
        <v>72148</v>
      </c>
      <c r="D28" s="4">
        <v>0.02</v>
      </c>
      <c r="E28" s="7">
        <v>11.08</v>
      </c>
      <c r="F28" s="6">
        <f t="shared" si="0"/>
        <v>2400</v>
      </c>
      <c r="G28" s="6" t="str">
        <f>IF(A28="","",IF(H28&lt;&gt;"","已开仓",IF(账户数据!$B$23="已锁仓","禁止开仓：连续亏损达到上限",IF(账户数据!$B$23="解锁信息不完整","禁止开仓：请完整填写解锁信息",IF(OR(F28="",E28="",N28="",E28&lt;=N28,账户数据!$B$7=""),"",IF(OR(AG28="",AH28="",AI28=""),"禁止开仓：交易预期未填写完整",IF(账户数据!$B$9+F28*(E28-N28)&gt;=账户数据!$B$7,"禁止开仓：风险额度不足",IF(AJ28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8" s="10">
        <v>2400</v>
      </c>
      <c r="I28" s="21">
        <v>43385</v>
      </c>
      <c r="J28" s="7">
        <v>13</v>
      </c>
      <c r="K28" s="7">
        <v>10.06</v>
      </c>
      <c r="L28" s="6">
        <f t="shared" si="1"/>
        <v>2400</v>
      </c>
      <c r="M28" s="21">
        <v>43389</v>
      </c>
      <c r="N28" s="7">
        <v>10.5</v>
      </c>
      <c r="O28" s="7"/>
      <c r="P28" s="7"/>
      <c r="Q28" s="10"/>
      <c r="R28" s="10"/>
      <c r="S28" s="10"/>
      <c r="T28" s="10"/>
      <c r="U28" s="5">
        <f t="shared" si="2"/>
        <v>0.17328519855595667</v>
      </c>
      <c r="V28" s="5">
        <f t="shared" si="3"/>
        <v>5.2346570397111922E-2</v>
      </c>
      <c r="W28" s="22">
        <f t="shared" si="4"/>
        <v>3.3103448275862064</v>
      </c>
      <c r="X28" s="3">
        <f t="shared" si="5"/>
        <v>-2447.9999999999991</v>
      </c>
      <c r="Y28" s="5">
        <f t="shared" si="6"/>
        <v>-9.2057761732851948E-2</v>
      </c>
      <c r="Z28" s="5">
        <f>IF(OR(AE28="",多次统计数据!$B$8=""),"",AE28-多次统计数据!$B$8)</f>
        <v>-0.14414292338580326</v>
      </c>
      <c r="AA28" s="8">
        <f t="shared" si="7"/>
        <v>4</v>
      </c>
      <c r="AB28" s="5">
        <f>IF(OR(A28="",多次统计数据!$B$8="",多次统计数据!$B$6&lt;=0,多次统计数据!$B$6&gt;=1),"",1-POWER(1+多次统计数据!$B$8,-多次统计数据!$B$6/(1-多次统计数据!$B$6)))</f>
        <v>8.152013270062719E-2</v>
      </c>
      <c r="AC28" s="6" t="str">
        <f>IF(OR(AB28="",多次统计数据!$B$9=""),"",IF(多次统计数据!$B$9&lt;AB28,"低于上限","达到或超过上限"))</f>
        <v>低于上限</v>
      </c>
      <c r="AD28" s="10"/>
      <c r="AE28" s="5">
        <f t="shared" si="8"/>
        <v>-3.3930254476908561E-2</v>
      </c>
      <c r="AG28" s="10" t="s">
        <v>48</v>
      </c>
      <c r="AH28" s="10" t="s">
        <v>46</v>
      </c>
      <c r="AI28" s="10" t="s">
        <v>50</v>
      </c>
      <c r="AJ28" s="6" t="str">
        <f t="shared" si="9"/>
        <v>匹配</v>
      </c>
      <c r="AK28" s="23">
        <f>IF(A28="","",COUNTIFS(加仓管理!$A$2:$A$1001,A28,加仓管理!$G$2:$G$1001,"&gt;0"))</f>
        <v>0</v>
      </c>
      <c r="AL28" s="23">
        <f>IF(A28="","",SUMIFS(加仓管理!$G$2:$G$1001,加仓管理!$A$2:$A$1001,A28))</f>
        <v>0</v>
      </c>
      <c r="AM28" s="24" t="str">
        <f>IF(AK28=0,"",IFERROR(LOOKUP(2,1/((加仓管理!$A$2:$A$1001=A28)*(加仓管理!$G$2:$G$1001&gt;0)),加仓管理!$D$2:$D$1001),""))</f>
        <v/>
      </c>
      <c r="AN28" s="24" t="str">
        <f>IF(AK28=0,"",IFERROR(LOOKUP(2,1/((加仓管理!$A$2:$A$1001=A28)*(加仓管理!$G$2:$G$1001&gt;0)),加仓管理!$E$2:$E$1001),""))</f>
        <v/>
      </c>
      <c r="AO28" s="24">
        <f>IF(OR(A28="",H28="",H28&lt;=0),"",(E28*H28+SUMIFS(加仓管理!$H$2:$H$1001,加仓管理!$A$2:$A$1001,A28))/AP28)</f>
        <v>11.08</v>
      </c>
      <c r="AP28" s="23">
        <f t="shared" si="10"/>
        <v>2400</v>
      </c>
      <c r="AQ28" s="24">
        <f>IF(A28="","",IF(M28&lt;&gt;"",0,IF(OR(H28="",N28=""),"",MAX((E28*H28+SUMIFS(加仓管理!$H$2:$H$1001,加仓管理!$A$2:$A$1001,A28))-MAX(N28,AN28)*AP28,0))))</f>
        <v>0</v>
      </c>
      <c r="AR28" s="24" t="str">
        <f>IF(A28="","",IF(OR(E28="",H28=""),"违规：首次买入价格或股数缺失",IF(COUNTIFS(加仓管理!$A$2:$A$1001,A28,加仓管理!$R$2:$R$1001,"违规*")&gt;0,"违规：请检查加仓管理表",IF(SUM($AQ$2:$AQ$201)&gt;账户数据!$B$7,"预警：超过账户风险上限",IF(COUNTIFS(加仓管理!$A$2:$A$1001,A28,加仓管理!$N$2:$N$1001,"&gt;0",加仓管理!$G$2:$G$1001,"")&gt;0,"提示：存在待执行加仓计划","通过")))))</f>
        <v>通过</v>
      </c>
    </row>
    <row r="29" spans="1:44">
      <c r="A29" s="10">
        <v>28</v>
      </c>
      <c r="B29" s="10" t="s">
        <v>53</v>
      </c>
      <c r="C29" s="7">
        <v>69680</v>
      </c>
      <c r="D29" s="4">
        <v>0.02</v>
      </c>
      <c r="E29" s="7">
        <v>10.06</v>
      </c>
      <c r="F29" s="6">
        <f t="shared" si="0"/>
        <v>23200</v>
      </c>
      <c r="G29" s="6" t="str">
        <f>IF(A29="","",IF(H29&lt;&gt;"","已开仓",IF(账户数据!$B$23="已锁仓","禁止开仓：连续亏损达到上限",IF(账户数据!$B$23="解锁信息不完整","禁止开仓：请完整填写解锁信息",IF(OR(F29="",E29="",N29="",E29&lt;=N29,账户数据!$B$7=""),"",IF(OR(AG29="",AH29="",AI29=""),"禁止开仓：交易预期未填写完整",IF(账户数据!$B$9+F29*(E29-N29)&gt;=账户数据!$B$7,"禁止开仓：风险额度不足",IF(AJ29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9" s="10">
        <v>3000</v>
      </c>
      <c r="I29" s="21">
        <v>43389</v>
      </c>
      <c r="J29" s="7">
        <v>12</v>
      </c>
      <c r="K29" s="7">
        <v>9.43</v>
      </c>
      <c r="L29" s="6">
        <f t="shared" si="1"/>
        <v>6000</v>
      </c>
      <c r="M29" s="21">
        <v>43403</v>
      </c>
      <c r="N29" s="7">
        <v>10</v>
      </c>
      <c r="O29" s="7"/>
      <c r="P29" s="7"/>
      <c r="Q29" s="10"/>
      <c r="R29" s="10"/>
      <c r="S29" s="10"/>
      <c r="T29" s="10"/>
      <c r="U29" s="5">
        <f t="shared" si="2"/>
        <v>0.14449213161659519</v>
      </c>
      <c r="V29" s="5">
        <f t="shared" si="3"/>
        <v>4.625655698617067E-2</v>
      </c>
      <c r="W29" s="22">
        <f t="shared" si="4"/>
        <v>3.12371134020619</v>
      </c>
      <c r="X29" s="3">
        <f t="shared" si="5"/>
        <v>-6329.9999999999982</v>
      </c>
      <c r="Y29" s="5">
        <f t="shared" si="6"/>
        <v>-0.10061993323795897</v>
      </c>
      <c r="Z29" s="5">
        <f>IF(OR(AE29="",多次统计数据!$B$8=""),"",AE29-多次统计数据!$B$8)</f>
        <v>-0.20105652654379708</v>
      </c>
      <c r="AA29" s="8">
        <f t="shared" si="7"/>
        <v>14</v>
      </c>
      <c r="AB29" s="5">
        <f>IF(OR(A29="",多次统计数据!$B$8="",多次统计数据!$B$6&lt;=0,多次统计数据!$B$6&gt;=1),"",1-POWER(1+多次统计数据!$B$8,-多次统计数据!$B$6/(1-多次统计数据!$B$6)))</f>
        <v>8.152013270062719E-2</v>
      </c>
      <c r="AC29" s="6" t="str">
        <f>IF(OR(AB29="",多次统计数据!$B$9=""),"",IF(多次统计数据!$B$9&lt;AB29,"低于上限","达到或超过上限"))</f>
        <v>低于上限</v>
      </c>
      <c r="AD29" s="10"/>
      <c r="AE29" s="5">
        <f t="shared" si="8"/>
        <v>-9.0843857634902381E-2</v>
      </c>
      <c r="AG29" s="10" t="s">
        <v>48</v>
      </c>
      <c r="AH29" s="10" t="s">
        <v>46</v>
      </c>
      <c r="AI29" s="10" t="s">
        <v>50</v>
      </c>
      <c r="AJ29" s="6" t="str">
        <f t="shared" si="9"/>
        <v>匹配</v>
      </c>
      <c r="AK29" s="23">
        <f>IF(A29="","",COUNTIFS(加仓管理!$A$2:$A$1001,A29,加仓管理!$G$2:$G$1001,"&gt;0"))</f>
        <v>1</v>
      </c>
      <c r="AL29" s="23">
        <f>IF(A29="","",SUMIFS(加仓管理!$G$2:$G$1001,加仓管理!$A$2:$A$1001,A29))</f>
        <v>3000</v>
      </c>
      <c r="AM29" s="24">
        <f>IF(AK29=0,"",IFERROR(LOOKUP(2,1/((加仓管理!$A$2:$A$1001=A29)*(加仓管理!$G$2:$G$1001&gt;0)),加仓管理!$D$2:$D$1001),""))</f>
        <v>10.91</v>
      </c>
      <c r="AN29" s="24">
        <f>IF(AK29=0,"",IFERROR(LOOKUP(2,1/((加仓管理!$A$2:$A$1001=A29)*(加仓管理!$G$2:$G$1001&gt;0)),加仓管理!$E$2:$E$1001),""))</f>
        <v>10.5</v>
      </c>
      <c r="AO29" s="24">
        <f>IF(OR(A29="",H29="",H29&lt;=0),"",(E29*H29+SUMIFS(加仓管理!$H$2:$H$1001,加仓管理!$A$2:$A$1001,A29))/AP29)</f>
        <v>10.484999999999999</v>
      </c>
      <c r="AP29" s="23">
        <f t="shared" si="10"/>
        <v>6000</v>
      </c>
      <c r="AQ29" s="24">
        <f>IF(A29="","",IF(M29&lt;&gt;"",0,IF(OR(H29="",N29=""),"",MAX((E29*H29+SUMIFS(加仓管理!$H$2:$H$1001,加仓管理!$A$2:$A$1001,A29))-MAX(N29,AN29)*AP29,0))))</f>
        <v>0</v>
      </c>
      <c r="AR29" s="24" t="str">
        <f>IF(A29="","",IF(OR(E29="",H29=""),"违规：首次买入价格或股数缺失",IF(COUNTIFS(加仓管理!$A$2:$A$1001,A29,加仓管理!$R$2:$R$1001,"违规*")&gt;0,"违规：请检查加仓管理表",IF(SUM($AQ$2:$AQ$201)&gt;账户数据!$B$7,"预警：超过账户风险上限",IF(COUNTIFS(加仓管理!$A$2:$A$1001,A29,加仓管理!$N$2:$N$1001,"&gt;0",加仓管理!$G$2:$G$1001,"")&gt;0,"提示：存在待执行加仓计划","通过")))))</f>
        <v>通过</v>
      </c>
    </row>
    <row r="30" spans="1:44">
      <c r="A30" s="10">
        <v>29</v>
      </c>
      <c r="B30" s="10" t="s">
        <v>53</v>
      </c>
      <c r="C30" s="7">
        <v>63350</v>
      </c>
      <c r="D30" s="4">
        <v>0.02</v>
      </c>
      <c r="E30" s="7">
        <v>10.67</v>
      </c>
      <c r="F30" s="6">
        <f t="shared" si="0"/>
        <v>2600</v>
      </c>
      <c r="G30" s="6" t="str">
        <f>IF(A30="","",IF(H30&lt;&gt;"","已开仓",IF(账户数据!$B$23="已锁仓","禁止开仓：连续亏损达到上限",IF(账户数据!$B$23="解锁信息不完整","禁止开仓：请完整填写解锁信息",IF(OR(F30="",E30="",N30="",E30&lt;=N30,账户数据!$B$7=""),"",IF(OR(AG30="",AH30="",AI30=""),"禁止开仓：交易预期未填写完整",IF(账户数据!$B$9+F30*(E30-N30)&gt;=账户数据!$B$7,"禁止开仓：风险额度不足",IF(AJ30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0" s="10">
        <v>2600</v>
      </c>
      <c r="I30" s="21">
        <v>43406</v>
      </c>
      <c r="J30" s="7">
        <v>12</v>
      </c>
      <c r="K30" s="7">
        <v>12.45</v>
      </c>
      <c r="L30" s="6">
        <f t="shared" si="1"/>
        <v>5600</v>
      </c>
      <c r="M30" s="21">
        <v>43591</v>
      </c>
      <c r="N30" s="7">
        <v>10.199999999999999</v>
      </c>
      <c r="O30" s="7"/>
      <c r="P30" s="7"/>
      <c r="Q30" s="10"/>
      <c r="R30" s="10"/>
      <c r="S30" s="10"/>
      <c r="T30" s="10"/>
      <c r="U30" s="5">
        <f t="shared" si="2"/>
        <v>8.5937752496687225E-2</v>
      </c>
      <c r="V30" s="5">
        <f t="shared" si="3"/>
        <v>7.6952910377815917E-2</v>
      </c>
      <c r="W30" s="22">
        <f t="shared" si="4"/>
        <v>1.1167576648467017</v>
      </c>
      <c r="X30" s="3">
        <f t="shared" si="5"/>
        <v>7837.9999999999955</v>
      </c>
      <c r="Y30" s="5">
        <f t="shared" si="6"/>
        <v>0.12666041821531293</v>
      </c>
      <c r="Z30" s="5">
        <f>IF(OR(AE30="",多次统计数据!$B$8=""),"",AE30-多次统计数据!$B$8)</f>
        <v>1.3512666529147871E-2</v>
      </c>
      <c r="AA30" s="8">
        <f t="shared" si="7"/>
        <v>185</v>
      </c>
      <c r="AB30" s="5">
        <f>IF(OR(A30="",多次统计数据!$B$8="",多次统计数据!$B$6&lt;=0,多次统计数据!$B$6&gt;=1),"",1-POWER(1+多次统计数据!$B$8,-多次统计数据!$B$6/(1-多次统计数据!$B$6)))</f>
        <v>8.152013270062719E-2</v>
      </c>
      <c r="AC30" s="6" t="str">
        <f>IF(OR(AB30="",多次统计数据!$B$9=""),"",IF(多次统计数据!$B$9&lt;AB30,"低于上限","达到或超过上限"))</f>
        <v>低于上限</v>
      </c>
      <c r="AD30" s="10"/>
      <c r="AE30" s="5">
        <f t="shared" si="8"/>
        <v>0.12372533543804255</v>
      </c>
      <c r="AG30" s="10" t="s">
        <v>51</v>
      </c>
      <c r="AH30" s="10" t="s">
        <v>52</v>
      </c>
      <c r="AI30" s="10" t="s">
        <v>49</v>
      </c>
      <c r="AJ30" s="6" t="str">
        <f t="shared" si="9"/>
        <v>匹配</v>
      </c>
      <c r="AK30" s="23">
        <f>IF(A30="","",COUNTIFS(加仓管理!$A$2:$A$1001,A30,加仓管理!$G$2:$G$1001,"&gt;0"))</f>
        <v>1</v>
      </c>
      <c r="AL30" s="23">
        <f>IF(A30="","",SUMIFS(加仓管理!$G$2:$G$1001,加仓管理!$A$2:$A$1001,A30))</f>
        <v>3000</v>
      </c>
      <c r="AM30" s="24">
        <f>IF(AK30=0,"",IFERROR(LOOKUP(2,1/((加仓管理!$A$2:$A$1001=A30)*(加仓管理!$G$2:$G$1001&gt;0)),加仓管理!$D$2:$D$1001),""))</f>
        <v>11.38</v>
      </c>
      <c r="AN30" s="24">
        <f>IF(AK30=0,"",IFERROR(LOOKUP(2,1/((加仓管理!$A$2:$A$1001=A30)*(加仓管理!$G$2:$G$1001&gt;0)),加仓管理!$E$2:$E$1001),""))</f>
        <v>10.5</v>
      </c>
      <c r="AO30" s="24">
        <f>IF(OR(A30="",H30="",H30&lt;=0),"",(E30*H30+SUMIFS(加仓管理!$H$2:$H$1001,加仓管理!$A$2:$A$1001,A30))/AP30)</f>
        <v>11.050357142857143</v>
      </c>
      <c r="AP30" s="23">
        <f t="shared" si="10"/>
        <v>5600</v>
      </c>
      <c r="AQ30" s="24">
        <f>IF(A30="","",IF(M30&lt;&gt;"",0,IF(OR(H30="",N30=""),"",MAX((E30*H30+SUMIFS(加仓管理!$H$2:$H$1001,加仓管理!$A$2:$A$1001,A30))-MAX(N30,AN30)*AP30,0))))</f>
        <v>0</v>
      </c>
      <c r="AR30" s="24" t="str">
        <f>IF(A30="","",IF(OR(E30="",H30=""),"违规：首次买入价格或股数缺失",IF(COUNTIFS(加仓管理!$A$2:$A$1001,A30,加仓管理!$R$2:$R$1001,"违规*")&gt;0,"违规：请检查加仓管理表",IF(SUM($AQ$2:$AQ$201)&gt;账户数据!$B$7,"预警：超过账户风险上限",IF(COUNTIFS(加仓管理!$A$2:$A$1001,A30,加仓管理!$N$2:$N$1001,"&gt;0",加仓管理!$G$2:$G$1001,"")&gt;0,"提示：存在待执行加仓计划","通过")))))</f>
        <v>违规：请检查加仓管理表</v>
      </c>
    </row>
    <row r="31" spans="1:44">
      <c r="A31" s="10">
        <v>30</v>
      </c>
      <c r="B31" s="10" t="s">
        <v>53</v>
      </c>
      <c r="C31" s="7">
        <v>71188</v>
      </c>
      <c r="D31" s="4">
        <v>0.02</v>
      </c>
      <c r="E31" s="7">
        <v>13.25</v>
      </c>
      <c r="F31" s="6">
        <f t="shared" si="0"/>
        <v>5600</v>
      </c>
      <c r="G31" s="6" t="str">
        <f>IF(A31="","",IF(H31&lt;&gt;"","已开仓",IF(账户数据!$B$23="已锁仓","禁止开仓：连续亏损达到上限",IF(账户数据!$B$23="解锁信息不完整","禁止开仓：请完整填写解锁信息",IF(OR(F31="",E31="",N31="",E31&lt;=N31,账户数据!$B$7=""),"",IF(OR(AG31="",AH31="",AI31=""),"禁止开仓：交易预期未填写完整",IF(账户数据!$B$9+F31*(E31-N31)&gt;=账户数据!$B$7,"禁止开仓：风险额度不足",IF(AJ31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1" s="10">
        <v>5600</v>
      </c>
      <c r="I31" s="21">
        <v>43622</v>
      </c>
      <c r="J31" s="7">
        <v>15</v>
      </c>
      <c r="K31" s="7">
        <v>14.42</v>
      </c>
      <c r="L31" s="6">
        <f t="shared" si="1"/>
        <v>5600</v>
      </c>
      <c r="M31" s="21">
        <v>43683</v>
      </c>
      <c r="N31" s="7">
        <v>13</v>
      </c>
      <c r="O31" s="7"/>
      <c r="P31" s="7"/>
      <c r="Q31" s="10"/>
      <c r="R31" s="10"/>
      <c r="S31" s="10"/>
      <c r="T31" s="10"/>
      <c r="U31" s="5">
        <f t="shared" si="2"/>
        <v>0.13207547169811321</v>
      </c>
      <c r="V31" s="5">
        <f t="shared" si="3"/>
        <v>1.8867924528301886E-2</v>
      </c>
      <c r="W31" s="22">
        <f t="shared" si="4"/>
        <v>7</v>
      </c>
      <c r="X31" s="3">
        <f t="shared" si="5"/>
        <v>6552</v>
      </c>
      <c r="Y31" s="5">
        <f t="shared" si="6"/>
        <v>8.8301886792452836E-2</v>
      </c>
      <c r="Z31" s="5">
        <f>IF(OR(AE31="",多次统计数据!$B$8=""),"",AE31-多次统计数据!$B$8)</f>
        <v>-1.8174684979018862E-2</v>
      </c>
      <c r="AA31" s="8">
        <f t="shared" si="7"/>
        <v>61</v>
      </c>
      <c r="AB31" s="5">
        <f>IF(OR(A31="",多次统计数据!$B$8="",多次统计数据!$B$6&lt;=0,多次统计数据!$B$6&gt;=1),"",1-POWER(1+多次统计数据!$B$8,-多次统计数据!$B$6/(1-多次统计数据!$B$6)))</f>
        <v>8.152013270062719E-2</v>
      </c>
      <c r="AC31" s="6" t="str">
        <f>IF(OR(AB31="",多次统计数据!$B$9=""),"",IF(多次统计数据!$B$9&lt;AB31,"低于上限","达到或超过上限"))</f>
        <v>低于上限</v>
      </c>
      <c r="AD31" s="10"/>
      <c r="AE31" s="5">
        <f t="shared" si="8"/>
        <v>9.2037983929875819E-2</v>
      </c>
      <c r="AG31" s="10" t="s">
        <v>51</v>
      </c>
      <c r="AH31" s="10" t="s">
        <v>52</v>
      </c>
      <c r="AI31" s="10" t="s">
        <v>49</v>
      </c>
      <c r="AJ31" s="6" t="str">
        <f t="shared" si="9"/>
        <v>匹配</v>
      </c>
      <c r="AK31" s="23">
        <f>IF(A31="","",COUNTIFS(加仓管理!$A$2:$A$1001,A31,加仓管理!$G$2:$G$1001,"&gt;0"))</f>
        <v>0</v>
      </c>
      <c r="AL31" s="23">
        <f>IF(A31="","",SUMIFS(加仓管理!$G$2:$G$1001,加仓管理!$A$2:$A$1001,A31))</f>
        <v>0</v>
      </c>
      <c r="AM31" s="24" t="str">
        <f>IF(AK31=0,"",IFERROR(LOOKUP(2,1/((加仓管理!$A$2:$A$1001=A31)*(加仓管理!$G$2:$G$1001&gt;0)),加仓管理!$D$2:$D$1001),""))</f>
        <v/>
      </c>
      <c r="AN31" s="24" t="str">
        <f>IF(AK31=0,"",IFERROR(LOOKUP(2,1/((加仓管理!$A$2:$A$1001=A31)*(加仓管理!$G$2:$G$1001&gt;0)),加仓管理!$E$2:$E$1001),""))</f>
        <v/>
      </c>
      <c r="AO31" s="24">
        <f>IF(OR(A31="",H31="",H31&lt;=0),"",(E31*H31+SUMIFS(加仓管理!$H$2:$H$1001,加仓管理!$A$2:$A$1001,A31))/AP31)</f>
        <v>13.25</v>
      </c>
      <c r="AP31" s="23">
        <f t="shared" si="10"/>
        <v>5600</v>
      </c>
      <c r="AQ31" s="24">
        <f>IF(A31="","",IF(M31&lt;&gt;"",0,IF(OR(H31="",N31=""),"",MAX((E31*H31+SUMIFS(加仓管理!$H$2:$H$1001,加仓管理!$A$2:$A$1001,A31))-MAX(N31,AN31)*AP31,0))))</f>
        <v>0</v>
      </c>
      <c r="AR31" s="24" t="str">
        <f>IF(A31="","",IF(OR(E31="",H31=""),"违规：首次买入价格或股数缺失",IF(COUNTIFS(加仓管理!$A$2:$A$1001,A31,加仓管理!$R$2:$R$1001,"违规*")&gt;0,"违规：请检查加仓管理表",IF(SUM($AQ$2:$AQ$201)&gt;账户数据!$B$7,"预警：超过账户风险上限",IF(COUNTIFS(加仓管理!$A$2:$A$1001,A31,加仓管理!$N$2:$N$1001,"&gt;0",加仓管理!$G$2:$G$1001,"")&gt;0,"提示：存在待执行加仓计划","通过")))))</f>
        <v>通过</v>
      </c>
    </row>
    <row r="32" spans="1:44">
      <c r="A32" s="10">
        <v>31</v>
      </c>
      <c r="B32" s="10" t="s">
        <v>53</v>
      </c>
      <c r="C32" s="7">
        <v>77740</v>
      </c>
      <c r="D32" s="4">
        <v>0.02</v>
      </c>
      <c r="E32" s="7">
        <v>13.48</v>
      </c>
      <c r="F32" s="6">
        <f t="shared" si="0"/>
        <v>3200</v>
      </c>
      <c r="G32" s="6" t="str">
        <f>IF(A32="","",IF(H32&lt;&gt;"","已开仓",IF(账户数据!$B$23="已锁仓","禁止开仓：连续亏损达到上限",IF(账户数据!$B$23="解锁信息不完整","禁止开仓：请完整填写解锁信息",IF(OR(F32="",E32="",N32="",E32&lt;=N32,账户数据!$B$7=""),"",IF(OR(AG32="",AH32="",AI32=""),"禁止开仓：交易预期未填写完整",IF(账户数据!$B$9+F32*(E32-N32)&gt;=账户数据!$B$7,"禁止开仓：风险额度不足",IF(AJ32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2" s="10">
        <v>3200</v>
      </c>
      <c r="I32" s="21">
        <v>43686</v>
      </c>
      <c r="J32" s="7">
        <v>15</v>
      </c>
      <c r="K32" s="7">
        <v>18.350000000000001</v>
      </c>
      <c r="L32" s="6">
        <f t="shared" si="1"/>
        <v>5200</v>
      </c>
      <c r="M32" s="21">
        <v>43734</v>
      </c>
      <c r="N32" s="7">
        <v>13</v>
      </c>
      <c r="O32" s="7"/>
      <c r="P32" s="7"/>
      <c r="Q32" s="10"/>
      <c r="R32" s="10"/>
      <c r="S32" s="10"/>
      <c r="T32" s="10"/>
      <c r="U32" s="5">
        <f t="shared" si="2"/>
        <v>6.2438705459300428E-2</v>
      </c>
      <c r="V32" s="5">
        <f t="shared" si="3"/>
        <v>7.9219788601939622E-2</v>
      </c>
      <c r="W32" s="22">
        <f t="shared" si="4"/>
        <v>0.78817056396148566</v>
      </c>
      <c r="X32" s="3">
        <f t="shared" si="5"/>
        <v>22004.000000000007</v>
      </c>
      <c r="Y32" s="5">
        <f t="shared" si="6"/>
        <v>0.29971668301187759</v>
      </c>
      <c r="Z32" s="5">
        <f>IF(OR(AE32="",多次统计数据!$B$8=""),"",AE32-多次统计数据!$B$8)</f>
        <v>0.17283338203013293</v>
      </c>
      <c r="AA32" s="8">
        <f t="shared" si="7"/>
        <v>48</v>
      </c>
      <c r="AB32" s="5">
        <f>IF(OR(A32="",多次统计数据!$B$8="",多次统计数据!$B$6&lt;=0,多次统计数据!$B$6&gt;=1),"",1-POWER(1+多次统计数据!$B$8,-多次统计数据!$B$6/(1-多次统计数据!$B$6)))</f>
        <v>8.152013270062719E-2</v>
      </c>
      <c r="AC32" s="6" t="str">
        <f>IF(OR(AB32="",多次统计数据!$B$9=""),"",IF(多次统计数据!$B$9&lt;AB32,"低于上限","达到或超过上限"))</f>
        <v>低于上限</v>
      </c>
      <c r="AD32" s="10"/>
      <c r="AE32" s="5">
        <f t="shared" si="8"/>
        <v>0.28304605093902763</v>
      </c>
      <c r="AG32" s="10" t="s">
        <v>48</v>
      </c>
      <c r="AH32" s="10" t="s">
        <v>46</v>
      </c>
      <c r="AI32" s="10" t="s">
        <v>50</v>
      </c>
      <c r="AJ32" s="6" t="str">
        <f t="shared" si="9"/>
        <v>匹配</v>
      </c>
      <c r="AK32" s="23">
        <f>IF(A32="","",COUNTIFS(加仓管理!$A$2:$A$1001,A32,加仓管理!$G$2:$G$1001,"&gt;0"))</f>
        <v>1</v>
      </c>
      <c r="AL32" s="23">
        <f>IF(A32="","",SUMIFS(加仓管理!$G$2:$G$1001,加仓管理!$A$2:$A$1001,A32))</f>
        <v>2000</v>
      </c>
      <c r="AM32" s="24">
        <f>IF(AK32=0,"",IFERROR(LOOKUP(2,1/((加仓管理!$A$2:$A$1001=A32)*(加仓管理!$G$2:$G$1001&gt;0)),加仓管理!$D$2:$D$1001),""))</f>
        <v>15.14</v>
      </c>
      <c r="AN32" s="24">
        <f>IF(AK32=0,"",IFERROR(LOOKUP(2,1/((加仓管理!$A$2:$A$1001=A32)*(加仓管理!$G$2:$G$1001&gt;0)),加仓管理!$E$2:$E$1001),""))</f>
        <v>14</v>
      </c>
      <c r="AO32" s="24">
        <f>IF(OR(A32="",H32="",H32&lt;=0),"",(E32*H32+SUMIFS(加仓管理!$H$2:$H$1001,加仓管理!$A$2:$A$1001,A32))/AP32)</f>
        <v>14.118461538461538</v>
      </c>
      <c r="AP32" s="23">
        <f t="shared" si="10"/>
        <v>5200</v>
      </c>
      <c r="AQ32" s="24">
        <f>IF(A32="","",IF(M32&lt;&gt;"",0,IF(OR(H32="",N32=""),"",MAX((E32*H32+SUMIFS(加仓管理!$H$2:$H$1001,加仓管理!$A$2:$A$1001,A32))-MAX(N32,AN32)*AP32,0))))</f>
        <v>0</v>
      </c>
      <c r="AR32" s="24" t="str">
        <f>IF(A32="","",IF(OR(E32="",H32=""),"违规：首次买入价格或股数缺失",IF(COUNTIFS(加仓管理!$A$2:$A$1001,A32,加仓管理!$R$2:$R$1001,"违规*")&gt;0,"违规：请检查加仓管理表",IF(SUM($AQ$2:$AQ$201)&gt;账户数据!$B$7,"预警：超过账户风险上限",IF(COUNTIFS(加仓管理!$A$2:$A$1001,A32,加仓管理!$N$2:$N$1001,"&gt;0",加仓管理!$G$2:$G$1001,"")&gt;0,"提示：存在待执行加仓计划","通过")))))</f>
        <v>违规：请检查加仓管理表</v>
      </c>
    </row>
    <row r="33" spans="1:44">
      <c r="A33" s="10">
        <v>32</v>
      </c>
      <c r="B33" s="10" t="s">
        <v>53</v>
      </c>
      <c r="C33" s="7">
        <v>99744</v>
      </c>
      <c r="D33" s="4">
        <v>0.02</v>
      </c>
      <c r="E33" s="7">
        <v>18.25</v>
      </c>
      <c r="F33" s="6">
        <f t="shared" si="0"/>
        <v>2600</v>
      </c>
      <c r="G33" s="6" t="str">
        <f>IF(A33="","",IF(H33&lt;&gt;"","已开仓",IF(账户数据!$B$23="已锁仓","禁止开仓：连续亏损达到上限",IF(账户数据!$B$23="解锁信息不完整","禁止开仓：请完整填写解锁信息",IF(OR(F33="",E33="",N33="",E33&lt;=N33,账户数据!$B$7=""),"",IF(OR(AG33="",AH33="",AI33=""),"禁止开仓：交易预期未填写完整",IF(账户数据!$B$9+F33*(E33-N33)&gt;=账户数据!$B$7,"禁止开仓：风险额度不足",IF(AJ33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3" s="10">
        <v>2600</v>
      </c>
      <c r="I33" s="21">
        <v>43781</v>
      </c>
      <c r="J33" s="7">
        <v>20</v>
      </c>
      <c r="K33" s="7">
        <v>17.28</v>
      </c>
      <c r="L33" s="6">
        <f t="shared" si="1"/>
        <v>2600</v>
      </c>
      <c r="M33" s="21">
        <v>43791</v>
      </c>
      <c r="N33" s="7">
        <v>17.5</v>
      </c>
      <c r="O33" s="7"/>
      <c r="P33" s="7"/>
      <c r="Q33" s="10"/>
      <c r="R33" s="10"/>
      <c r="S33" s="10"/>
      <c r="T33" s="10"/>
      <c r="U33" s="5">
        <f t="shared" si="2"/>
        <v>9.5890410958904104E-2</v>
      </c>
      <c r="V33" s="5">
        <f t="shared" si="3"/>
        <v>4.1095890410958902E-2</v>
      </c>
      <c r="W33" s="22">
        <f t="shared" si="4"/>
        <v>2.3333333333333335</v>
      </c>
      <c r="X33" s="3">
        <f t="shared" si="5"/>
        <v>-2521.9999999999973</v>
      </c>
      <c r="Y33" s="5">
        <f t="shared" si="6"/>
        <v>-5.3150684931506792E-2</v>
      </c>
      <c r="Z33" s="5">
        <f>IF(OR(AE33="",多次统计数据!$B$8=""),"",AE33-多次统计数据!$B$8)</f>
        <v>-0.13549739781489401</v>
      </c>
      <c r="AA33" s="8">
        <f t="shared" si="7"/>
        <v>10</v>
      </c>
      <c r="AB33" s="5">
        <f>IF(OR(A33="",多次统计数据!$B$8="",多次统计数据!$B$6&lt;=0,多次统计数据!$B$6&gt;=1),"",1-POWER(1+多次统计数据!$B$8,-多次统计数据!$B$6/(1-多次统计数据!$B$6)))</f>
        <v>8.152013270062719E-2</v>
      </c>
      <c r="AC33" s="6" t="str">
        <f>IF(OR(AB33="",多次统计数据!$B$9=""),"",IF(多次统计数据!$B$9&lt;AB33,"低于上限","达到或超过上限"))</f>
        <v>低于上限</v>
      </c>
      <c r="AD33" s="10"/>
      <c r="AE33" s="5">
        <f t="shared" si="8"/>
        <v>-2.528472890599933E-2</v>
      </c>
      <c r="AG33" s="10" t="s">
        <v>51</v>
      </c>
      <c r="AH33" s="10" t="s">
        <v>52</v>
      </c>
      <c r="AI33" s="10" t="s">
        <v>49</v>
      </c>
      <c r="AJ33" s="6" t="str">
        <f t="shared" si="9"/>
        <v>匹配</v>
      </c>
      <c r="AK33" s="23">
        <f>IF(A33="","",COUNTIFS(加仓管理!$A$2:$A$1001,A33,加仓管理!$G$2:$G$1001,"&gt;0"))</f>
        <v>0</v>
      </c>
      <c r="AL33" s="23">
        <f>IF(A33="","",SUMIFS(加仓管理!$G$2:$G$1001,加仓管理!$A$2:$A$1001,A33))</f>
        <v>0</v>
      </c>
      <c r="AM33" s="24" t="str">
        <f>IF(AK33=0,"",IFERROR(LOOKUP(2,1/((加仓管理!$A$2:$A$1001=A33)*(加仓管理!$G$2:$G$1001&gt;0)),加仓管理!$D$2:$D$1001),""))</f>
        <v/>
      </c>
      <c r="AN33" s="24" t="str">
        <f>IF(AK33=0,"",IFERROR(LOOKUP(2,1/((加仓管理!$A$2:$A$1001=A33)*(加仓管理!$G$2:$G$1001&gt;0)),加仓管理!$E$2:$E$1001),""))</f>
        <v/>
      </c>
      <c r="AO33" s="24">
        <f>IF(OR(A33="",H33="",H33&lt;=0),"",(E33*H33+SUMIFS(加仓管理!$H$2:$H$1001,加仓管理!$A$2:$A$1001,A33))/AP33)</f>
        <v>18.25</v>
      </c>
      <c r="AP33" s="23">
        <f t="shared" si="10"/>
        <v>2600</v>
      </c>
      <c r="AQ33" s="24">
        <f>IF(A33="","",IF(M33&lt;&gt;"",0,IF(OR(H33="",N33=""),"",MAX((E33*H33+SUMIFS(加仓管理!$H$2:$H$1001,加仓管理!$A$2:$A$1001,A33))-MAX(N33,AN33)*AP33,0))))</f>
        <v>0</v>
      </c>
      <c r="AR33" s="24" t="str">
        <f>IF(A33="","",IF(OR(E33="",H33=""),"违规：首次买入价格或股数缺失",IF(COUNTIFS(加仓管理!$A$2:$A$1001,A33,加仓管理!$R$2:$R$1001,"违规*")&gt;0,"违规：请检查加仓管理表",IF(SUM($AQ$2:$AQ$201)&gt;账户数据!$B$7,"预警：超过账户风险上限",IF(COUNTIFS(加仓管理!$A$2:$A$1001,A33,加仓管理!$N$2:$N$1001,"&gt;0",加仓管理!$G$2:$G$1001,"")&gt;0,"提示：存在待执行加仓计划","通过")))))</f>
        <v>通过</v>
      </c>
    </row>
    <row r="34" spans="1:44">
      <c r="A34" s="10">
        <v>33</v>
      </c>
      <c r="B34" s="10" t="s">
        <v>53</v>
      </c>
      <c r="C34" s="7">
        <v>97222</v>
      </c>
      <c r="D34" s="4">
        <v>0.02</v>
      </c>
      <c r="E34" s="7">
        <v>19.09</v>
      </c>
      <c r="F34" s="6">
        <f t="shared" si="0"/>
        <v>3200</v>
      </c>
      <c r="G34" s="6" t="str">
        <f>IF(A34="","",IF(H34&lt;&gt;"","已开仓",IF(账户数据!$B$23="已锁仓","禁止开仓：连续亏损达到上限",IF(账户数据!$B$23="解锁信息不完整","禁止开仓：请完整填写解锁信息",IF(OR(F34="",E34="",N34="",E34&lt;=N34,账户数据!$B$7=""),"",IF(OR(AG34="",AH34="",AI34=""),"禁止开仓：交易预期未填写完整",IF(账户数据!$B$9+F34*(E34-N34)&gt;=账户数据!$B$7,"禁止开仓：风险额度不足",IF(AJ34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4" s="10">
        <v>3200</v>
      </c>
      <c r="I34" s="21">
        <v>43812</v>
      </c>
      <c r="J34" s="7">
        <v>20</v>
      </c>
      <c r="K34" s="7">
        <v>20.23</v>
      </c>
      <c r="L34" s="6">
        <f t="shared" si="1"/>
        <v>5100</v>
      </c>
      <c r="M34" s="21">
        <v>43889</v>
      </c>
      <c r="N34" s="7">
        <v>18.5</v>
      </c>
      <c r="O34" s="7"/>
      <c r="P34" s="7"/>
      <c r="Q34" s="10"/>
      <c r="R34" s="10"/>
      <c r="S34" s="10"/>
      <c r="T34" s="10"/>
      <c r="U34" s="5">
        <f t="shared" si="2"/>
        <v>5.3425180992904935E-2</v>
      </c>
      <c r="V34" s="5">
        <f t="shared" si="3"/>
        <v>2.5581707581562932E-2</v>
      </c>
      <c r="W34" s="22">
        <f t="shared" si="4"/>
        <v>2.0884134033104638</v>
      </c>
      <c r="X34" s="3">
        <f t="shared" si="5"/>
        <v>6346.0000000000082</v>
      </c>
      <c r="Y34" s="5">
        <f t="shared" si="6"/>
        <v>6.5539570574323358E-2</v>
      </c>
      <c r="Z34" s="5">
        <f>IF(OR(AE34="",多次统计数据!$B$8=""),"",AE34-多次统计数据!$B$8)</f>
        <v>-4.4939376855655619E-2</v>
      </c>
      <c r="AA34" s="8">
        <f t="shared" si="7"/>
        <v>77</v>
      </c>
      <c r="AB34" s="5">
        <f>IF(OR(A34="",多次统计数据!$B$8="",多次统计数据!$B$6&lt;=0,多次统计数据!$B$6&gt;=1),"",1-POWER(1+多次统计数据!$B$8,-多次统计数据!$B$6/(1-多次统计数据!$B$6)))</f>
        <v>8.152013270062719E-2</v>
      </c>
      <c r="AC34" s="6" t="str">
        <f>IF(OR(AB34="",多次统计数据!$B$9=""),"",IF(多次统计数据!$B$9&lt;AB34,"低于上限","达到或超过上限"))</f>
        <v>低于上限</v>
      </c>
      <c r="AD34" s="10"/>
      <c r="AE34" s="5">
        <f t="shared" si="8"/>
        <v>6.5273292053239063E-2</v>
      </c>
      <c r="AG34" s="10" t="s">
        <v>51</v>
      </c>
      <c r="AH34" s="10" t="s">
        <v>52</v>
      </c>
      <c r="AI34" s="10" t="s">
        <v>49</v>
      </c>
      <c r="AJ34" s="6" t="str">
        <f t="shared" si="9"/>
        <v>匹配</v>
      </c>
      <c r="AK34" s="23">
        <f>IF(A34="","",COUNTIFS(加仓管理!$A$2:$A$1001,A34,加仓管理!$G$2:$G$1001,"&gt;0"))</f>
        <v>1</v>
      </c>
      <c r="AL34" s="23">
        <f>IF(A34="","",SUMIFS(加仓管理!$G$2:$G$1001,加仓管理!$A$2:$A$1001,A34))</f>
        <v>1900</v>
      </c>
      <c r="AM34" s="24">
        <f>IF(AK34=0,"",IFERROR(LOOKUP(2,1/((加仓管理!$A$2:$A$1001=A34)*(加仓管理!$G$2:$G$1001&gt;0)),加仓管理!$D$2:$D$1001),""))</f>
        <v>18.809999999999999</v>
      </c>
      <c r="AN34" s="24">
        <f>IF(AK34=0,"",IFERROR(LOOKUP(2,1/((加仓管理!$A$2:$A$1001=A34)*(加仓管理!$G$2:$G$1001&gt;0)),加仓管理!$E$2:$E$1001),""))</f>
        <v>18.5</v>
      </c>
      <c r="AO34" s="24">
        <f>IF(OR(A34="",H34="",H34&lt;=0),"",(E34*H34+SUMIFS(加仓管理!$H$2:$H$1001,加仓管理!$A$2:$A$1001,A34))/AP34)</f>
        <v>18.985686274509803</v>
      </c>
      <c r="AP34" s="23">
        <f t="shared" si="10"/>
        <v>5100</v>
      </c>
      <c r="AQ34" s="24">
        <f>IF(A34="","",IF(M34&lt;&gt;"",0,IF(OR(H34="",N34=""),"",MAX((E34*H34+SUMIFS(加仓管理!$H$2:$H$1001,加仓管理!$A$2:$A$1001,A34))-MAX(N34,AN34)*AP34,0))))</f>
        <v>0</v>
      </c>
      <c r="AR34" s="24" t="str">
        <f>IF(A34="","",IF(OR(E34="",H34=""),"违规：首次买入价格或股数缺失",IF(COUNTIFS(加仓管理!$A$2:$A$1001,A34,加仓管理!$R$2:$R$1001,"违规*")&gt;0,"违规：请检查加仓管理表",IF(SUM($AQ$2:$AQ$201)&gt;账户数据!$B$7,"预警：超过账户风险上限",IF(COUNTIFS(加仓管理!$A$2:$A$1001,A34,加仓管理!$N$2:$N$1001,"&gt;0",加仓管理!$G$2:$G$1001,"")&gt;0,"提示：存在待执行加仓计划","通过")))))</f>
        <v>违规：请检查加仓管理表</v>
      </c>
    </row>
    <row r="35" spans="1:44">
      <c r="A35" s="10">
        <v>34</v>
      </c>
      <c r="B35" s="10" t="s">
        <v>53</v>
      </c>
      <c r="C35" s="7">
        <v>103568</v>
      </c>
      <c r="D35" s="4">
        <v>0.02</v>
      </c>
      <c r="E35" s="7">
        <v>21.85</v>
      </c>
      <c r="F35" s="6">
        <f t="shared" si="0"/>
        <v>1500</v>
      </c>
      <c r="G35" s="6" t="str">
        <f>IF(A35="","",IF(H35&lt;&gt;"","已开仓",IF(账户数据!$B$23="已锁仓","禁止开仓：连续亏损达到上限",IF(账户数据!$B$23="解锁信息不完整","禁止开仓：请完整填写解锁信息",IF(OR(F35="",E35="",N35="",E35&lt;=N35,账户数据!$B$7=""),"",IF(OR(AG35="",AH35="",AI35=""),"禁止开仓：交易预期未填写完整",IF(账户数据!$B$9+F35*(E35-N35)&gt;=账户数据!$B$7,"禁止开仓：风险额度不足",IF(AJ35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5" s="10">
        <v>1500</v>
      </c>
      <c r="I35" s="21">
        <v>43889</v>
      </c>
      <c r="J35" s="7">
        <v>24</v>
      </c>
      <c r="K35" s="7">
        <v>19.28</v>
      </c>
      <c r="L35" s="6">
        <f t="shared" si="1"/>
        <v>1500</v>
      </c>
      <c r="M35" s="21">
        <v>43920</v>
      </c>
      <c r="N35" s="7">
        <v>20.5</v>
      </c>
      <c r="O35" s="7"/>
      <c r="P35" s="7"/>
      <c r="Q35" s="10"/>
      <c r="R35" s="10"/>
      <c r="S35" s="10"/>
      <c r="T35" s="10"/>
      <c r="U35" s="5">
        <f t="shared" si="2"/>
        <v>9.8398169336384372E-2</v>
      </c>
      <c r="V35" s="5">
        <f t="shared" si="3"/>
        <v>6.1784897025171683E-2</v>
      </c>
      <c r="W35" s="22">
        <f t="shared" si="4"/>
        <v>1.5925925925925901</v>
      </c>
      <c r="X35" s="3">
        <f t="shared" si="5"/>
        <v>-3855.0000000000005</v>
      </c>
      <c r="Y35" s="5">
        <f t="shared" si="6"/>
        <v>-0.11762013729977118</v>
      </c>
      <c r="Z35" s="5">
        <f>IF(OR(AE35="",多次统计数据!$B$8=""),"",AE35-多次统计数据!$B$8)</f>
        <v>-0.14743459073803111</v>
      </c>
      <c r="AA35" s="8">
        <f t="shared" si="7"/>
        <v>31</v>
      </c>
      <c r="AB35" s="5">
        <f>IF(OR(A35="",多次统计数据!$B$8="",多次统计数据!$B$6&lt;=0,多次统计数据!$B$6&gt;=1),"",1-POWER(1+多次统计数据!$B$8,-多次统计数据!$B$6/(1-多次统计数据!$B$6)))</f>
        <v>8.152013270062719E-2</v>
      </c>
      <c r="AC35" s="6" t="str">
        <f>IF(OR(AB35="",多次统计数据!$B$9=""),"",IF(多次统计数据!$B$9&lt;AB35,"低于上限","达到或超过上限"))</f>
        <v>低于上限</v>
      </c>
      <c r="AD35" s="10"/>
      <c r="AE35" s="5">
        <f t="shared" si="8"/>
        <v>-3.7221921829136417E-2</v>
      </c>
      <c r="AG35" s="10" t="s">
        <v>51</v>
      </c>
      <c r="AH35" s="10" t="s">
        <v>52</v>
      </c>
      <c r="AI35" s="10" t="s">
        <v>49</v>
      </c>
      <c r="AJ35" s="6" t="str">
        <f t="shared" si="9"/>
        <v>匹配</v>
      </c>
      <c r="AK35" s="23">
        <f>IF(A35="","",COUNTIFS(加仓管理!$A$2:$A$1001,A35,加仓管理!$G$2:$G$1001,"&gt;0"))</f>
        <v>0</v>
      </c>
      <c r="AL35" s="23">
        <f>IF(A35="","",SUMIFS(加仓管理!$G$2:$G$1001,加仓管理!$A$2:$A$1001,A35))</f>
        <v>0</v>
      </c>
      <c r="AM35" s="24" t="str">
        <f>IF(AK35=0,"",IFERROR(LOOKUP(2,1/((加仓管理!$A$2:$A$1001=A35)*(加仓管理!$G$2:$G$1001&gt;0)),加仓管理!$D$2:$D$1001),""))</f>
        <v/>
      </c>
      <c r="AN35" s="24" t="str">
        <f>IF(AK35=0,"",IFERROR(LOOKUP(2,1/((加仓管理!$A$2:$A$1001=A35)*(加仓管理!$G$2:$G$1001&gt;0)),加仓管理!$E$2:$E$1001),""))</f>
        <v/>
      </c>
      <c r="AO35" s="24">
        <f>IF(OR(A35="",H35="",H35&lt;=0),"",(E35*H35+SUMIFS(加仓管理!$H$2:$H$1001,加仓管理!$A$2:$A$1001,A35))/AP35)</f>
        <v>21.85</v>
      </c>
      <c r="AP35" s="23">
        <f t="shared" si="10"/>
        <v>1500</v>
      </c>
      <c r="AQ35" s="24">
        <f>IF(A35="","",IF(M35&lt;&gt;"",0,IF(OR(H35="",N35=""),"",MAX((E35*H35+SUMIFS(加仓管理!$H$2:$H$1001,加仓管理!$A$2:$A$1001,A35))-MAX(N35,AN35)*AP35,0))))</f>
        <v>0</v>
      </c>
      <c r="AR35" s="24" t="str">
        <f>IF(A35="","",IF(OR(E35="",H35=""),"违规：首次买入价格或股数缺失",IF(COUNTIFS(加仓管理!$A$2:$A$1001,A35,加仓管理!$R$2:$R$1001,"违规*")&gt;0,"违规：请检查加仓管理表",IF(SUM($AQ$2:$AQ$201)&gt;账户数据!$B$7,"预警：超过账户风险上限",IF(COUNTIFS(加仓管理!$A$2:$A$1001,A35,加仓管理!$N$2:$N$1001,"&gt;0",加仓管理!$G$2:$G$1001,"")&gt;0,"提示：存在待执行加仓计划","通过")))))</f>
        <v>通过</v>
      </c>
    </row>
    <row r="36" spans="1:44">
      <c r="A36" s="10">
        <v>35</v>
      </c>
      <c r="B36" s="10" t="s">
        <v>53</v>
      </c>
      <c r="C36" s="7">
        <v>99713</v>
      </c>
      <c r="D36" s="4">
        <v>0.02</v>
      </c>
      <c r="E36" s="7">
        <v>18.5</v>
      </c>
      <c r="F36" s="6">
        <f t="shared" si="0"/>
        <v>1300</v>
      </c>
      <c r="G36" s="6" t="str">
        <f>IF(A36="","",IF(H36&lt;&gt;"","已开仓",IF(账户数据!$B$23="已锁仓","禁止开仓：连续亏损达到上限",IF(账户数据!$B$23="解锁信息不完整","禁止开仓：请完整填写解锁信息",IF(OR(F36="",E36="",N36="",E36&lt;=N36,账户数据!$B$7=""),"",IF(OR(AG36="",AH36="",AI36=""),"禁止开仓：交易预期未填写完整",IF(账户数据!$B$9+F36*(E36-N36)&gt;=账户数据!$B$7,"禁止开仓：风险额度不足",IF(AJ36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6" s="10">
        <v>1300</v>
      </c>
      <c r="I36" s="21">
        <v>43922</v>
      </c>
      <c r="J36" s="7">
        <v>20</v>
      </c>
      <c r="K36" s="7">
        <v>19.72</v>
      </c>
      <c r="L36" s="6">
        <f t="shared" si="1"/>
        <v>2300</v>
      </c>
      <c r="M36" s="21">
        <v>43972</v>
      </c>
      <c r="N36" s="7">
        <v>17</v>
      </c>
      <c r="O36" s="7"/>
      <c r="P36" s="7"/>
      <c r="Q36" s="10"/>
      <c r="R36" s="10"/>
      <c r="S36" s="10"/>
      <c r="T36" s="10"/>
      <c r="U36" s="5">
        <f t="shared" si="2"/>
        <v>1.2769704975781587E-2</v>
      </c>
      <c r="V36" s="5">
        <f t="shared" si="3"/>
        <v>0.13914575077058566</v>
      </c>
      <c r="W36" s="22">
        <f t="shared" si="4"/>
        <v>9.1772151898734111E-2</v>
      </c>
      <c r="X36" s="3">
        <f t="shared" si="5"/>
        <v>-64.000000000002899</v>
      </c>
      <c r="Y36" s="5">
        <f t="shared" si="6"/>
        <v>-1.4090708938794122E-3</v>
      </c>
      <c r="Z36" s="5">
        <f>IF(OR(AE36="",多次统计数据!$B$8=""),"",AE36-多次统计数据!$B$8)</f>
        <v>-0.11085451099568379</v>
      </c>
      <c r="AA36" s="8">
        <f t="shared" si="7"/>
        <v>50</v>
      </c>
      <c r="AB36" s="5">
        <f>IF(OR(A36="",多次统计数据!$B$8="",多次统计数据!$B$6&lt;=0,多次统计数据!$B$6&gt;=1),"",1-POWER(1+多次统计数据!$B$8,-多次统计数据!$B$6/(1-多次统计数据!$B$6)))</f>
        <v>8.152013270062719E-2</v>
      </c>
      <c r="AC36" s="6" t="str">
        <f>IF(OR(AB36="",多次统计数据!$B$9=""),"",IF(多次统计数据!$B$9&lt;AB36,"低于上限","达到或超过上限"))</f>
        <v>低于上限</v>
      </c>
      <c r="AD36" s="10"/>
      <c r="AE36" s="5">
        <f t="shared" si="8"/>
        <v>-6.4184208678911376E-4</v>
      </c>
      <c r="AG36" s="10" t="s">
        <v>48</v>
      </c>
      <c r="AH36" s="10" t="s">
        <v>46</v>
      </c>
      <c r="AI36" s="10" t="s">
        <v>50</v>
      </c>
      <c r="AJ36" s="6" t="str">
        <f t="shared" si="9"/>
        <v>匹配</v>
      </c>
      <c r="AK36" s="23">
        <f>IF(A36="","",COUNTIFS(加仓管理!$A$2:$A$1001,A36,加仓管理!$G$2:$G$1001,"&gt;0"))</f>
        <v>1</v>
      </c>
      <c r="AL36" s="23">
        <f>IF(A36="","",SUMIFS(加仓管理!$G$2:$G$1001,加仓管理!$A$2:$A$1001,A36))</f>
        <v>1000</v>
      </c>
      <c r="AM36" s="24">
        <f>IF(AK36=0,"",IFERROR(LOOKUP(2,1/((加仓管理!$A$2:$A$1001=A36)*(加仓管理!$G$2:$G$1001&gt;0)),加仓管理!$D$2:$D$1001),""))</f>
        <v>21.37</v>
      </c>
      <c r="AN36" s="24">
        <f>IF(AK36=0,"",IFERROR(LOOKUP(2,1/((加仓管理!$A$2:$A$1001=A36)*(加仓管理!$G$2:$G$1001&gt;0)),加仓管理!$E$2:$E$1001),""))</f>
        <v>20</v>
      </c>
      <c r="AO36" s="24">
        <f>IF(OR(A36="",H36="",H36&lt;=0),"",(E36*H36+SUMIFS(加仓管理!$H$2:$H$1001,加仓管理!$A$2:$A$1001,A36))/AP36)</f>
        <v>19.747826086956522</v>
      </c>
      <c r="AP36" s="23">
        <f t="shared" si="10"/>
        <v>2300</v>
      </c>
      <c r="AQ36" s="24">
        <f>IF(A36="","",IF(M36&lt;&gt;"",0,IF(OR(H36="",N36=""),"",MAX((E36*H36+SUMIFS(加仓管理!$H$2:$H$1001,加仓管理!$A$2:$A$1001,A36))-MAX(N36,AN36)*AP36,0))))</f>
        <v>0</v>
      </c>
      <c r="AR36" s="24" t="str">
        <f>IF(A36="","",IF(OR(E36="",H36=""),"违规：首次买入价格或股数缺失",IF(COUNTIFS(加仓管理!$A$2:$A$1001,A36,加仓管理!$R$2:$R$1001,"违规*")&gt;0,"违规：请检查加仓管理表",IF(SUM($AQ$2:$AQ$201)&gt;账户数据!$B$7,"预警：超过账户风险上限",IF(COUNTIFS(加仓管理!$A$2:$A$1001,A36,加仓管理!$N$2:$N$1001,"&gt;0",加仓管理!$G$2:$G$1001,"")&gt;0,"提示：存在待执行加仓计划","通过")))))</f>
        <v>通过</v>
      </c>
    </row>
    <row r="37" spans="1:44">
      <c r="A37" s="10">
        <v>36</v>
      </c>
      <c r="B37" s="10" t="s">
        <v>53</v>
      </c>
      <c r="C37" s="7">
        <v>99649</v>
      </c>
      <c r="D37" s="4">
        <v>0.02</v>
      </c>
      <c r="E37" s="7">
        <v>21.04</v>
      </c>
      <c r="F37" s="6">
        <f t="shared" si="0"/>
        <v>1900</v>
      </c>
      <c r="G37" s="6" t="str">
        <f>IF(A37="","",IF(H37&lt;&gt;"","已开仓",IF(账户数据!$B$23="已锁仓","禁止开仓：连续亏损达到上限",IF(账户数据!$B$23="解锁信息不完整","禁止开仓：请完整填写解锁信息",IF(OR(F37="",E37="",N37="",E37&lt;=N37,账户数据!$B$7=""),"",IF(OR(AG37="",AH37="",AI37=""),"禁止开仓：交易预期未填写完整",IF(账户数据!$B$9+F37*(E37-N37)&gt;=账户数据!$B$7,"禁止开仓：风险额度不足",IF(AJ37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7" s="10">
        <v>1900</v>
      </c>
      <c r="I37" s="21">
        <v>43990</v>
      </c>
      <c r="J37" s="7">
        <v>24</v>
      </c>
      <c r="K37" s="7">
        <v>21.69</v>
      </c>
      <c r="L37" s="6">
        <f t="shared" si="1"/>
        <v>4400</v>
      </c>
      <c r="M37" s="21">
        <v>44083</v>
      </c>
      <c r="N37" s="7">
        <v>20</v>
      </c>
      <c r="O37" s="7"/>
      <c r="P37" s="7"/>
      <c r="Q37" s="10"/>
      <c r="R37" s="10"/>
      <c r="S37" s="10"/>
      <c r="T37" s="10"/>
      <c r="U37" s="5">
        <f t="shared" si="2"/>
        <v>6.0549758463809777E-2</v>
      </c>
      <c r="V37" s="5">
        <f t="shared" si="3"/>
        <v>0.11620853461349184</v>
      </c>
      <c r="W37" s="22">
        <f t="shared" si="4"/>
        <v>0.52104398928355422</v>
      </c>
      <c r="X37" s="3">
        <f t="shared" si="5"/>
        <v>-4134.9999999999909</v>
      </c>
      <c r="Y37" s="5">
        <f t="shared" si="6"/>
        <v>-4.1528155788331855E-2</v>
      </c>
      <c r="Z37" s="5">
        <f>IF(OR(AE37="",多次统计数据!$B$8=""),"",AE37-多次统计数据!$B$8)</f>
        <v>-0.15170831863944884</v>
      </c>
      <c r="AA37" s="8">
        <f t="shared" si="7"/>
        <v>93</v>
      </c>
      <c r="AB37" s="5">
        <f>IF(OR(A37="",多次统计数据!$B$8="",多次统计数据!$B$6&lt;=0,多次统计数据!$B$6&gt;=1),"",1-POWER(1+多次统计数据!$B$8,-多次统计数据!$B$6/(1-多次统计数据!$B$6)))</f>
        <v>8.152013270062719E-2</v>
      </c>
      <c r="AC37" s="6" t="str">
        <f>IF(OR(AB37="",多次统计数据!$B$9=""),"",IF(多次统计数据!$B$9&lt;AB37,"低于上限","达到或超过上限"))</f>
        <v>低于上限</v>
      </c>
      <c r="AD37" s="10"/>
      <c r="AE37" s="5">
        <f t="shared" si="8"/>
        <v>-4.1495649730554154E-2</v>
      </c>
      <c r="AG37" s="10" t="s">
        <v>48</v>
      </c>
      <c r="AH37" s="10" t="s">
        <v>46</v>
      </c>
      <c r="AI37" s="10" t="s">
        <v>50</v>
      </c>
      <c r="AJ37" s="6" t="str">
        <f t="shared" si="9"/>
        <v>匹配</v>
      </c>
      <c r="AK37" s="23">
        <f>IF(A37="","",COUNTIFS(加仓管理!$A$2:$A$1001,A37,加仓管理!$G$2:$G$1001,"&gt;0"))</f>
        <v>3</v>
      </c>
      <c r="AL37" s="23">
        <f>IF(A37="","",SUMIFS(加仓管理!$G$2:$G$1001,加仓管理!$A$2:$A$1001,A37))</f>
        <v>2500</v>
      </c>
      <c r="AM37" s="24">
        <f>IF(AK37=0,"",IFERROR(LOOKUP(2,1/((加仓管理!$A$2:$A$1001=A37)*(加仓管理!$G$2:$G$1001&gt;0)),加仓管理!$D$2:$D$1001),""))</f>
        <v>22.05</v>
      </c>
      <c r="AN37" s="24">
        <f>IF(AK37=0,"",IFERROR(LOOKUP(2,1/((加仓管理!$A$2:$A$1001=A37)*(加仓管理!$G$2:$G$1001&gt;0)),加仓管理!$E$2:$E$1001),""))</f>
        <v>22</v>
      </c>
      <c r="AO37" s="24">
        <f>IF(OR(A37="",H37="",H37&lt;=0),"",(E37*H37+SUMIFS(加仓管理!$H$2:$H$1001,加仓管理!$A$2:$A$1001,A37))/AP37)</f>
        <v>22.629772727272726</v>
      </c>
      <c r="AP37" s="23">
        <f t="shared" si="10"/>
        <v>4400</v>
      </c>
      <c r="AQ37" s="24">
        <f>IF(A37="","",IF(M37&lt;&gt;"",0,IF(OR(H37="",N37=""),"",MAX((E37*H37+SUMIFS(加仓管理!$H$2:$H$1001,加仓管理!$A$2:$A$1001,A37))-MAX(N37,AN37)*AP37,0))))</f>
        <v>0</v>
      </c>
      <c r="AR37" s="24" t="str">
        <f>IF(A37="","",IF(OR(E37="",H37=""),"违规：首次买入价格或股数缺失",IF(COUNTIFS(加仓管理!$A$2:$A$1001,A37,加仓管理!$R$2:$R$1001,"违规*")&gt;0,"违规：请检查加仓管理表",IF(SUM($AQ$2:$AQ$201)&gt;账户数据!$B$7,"预警：超过账户风险上限",IF(COUNTIFS(加仓管理!$A$2:$A$1001,A37,加仓管理!$N$2:$N$1001,"&gt;0",加仓管理!$G$2:$G$1001,"")&gt;0,"提示：存在待执行加仓计划","通过")))))</f>
        <v>违规：请检查加仓管理表</v>
      </c>
    </row>
    <row r="38" spans="1:44">
      <c r="A38" s="10">
        <v>37</v>
      </c>
      <c r="B38" s="10" t="s">
        <v>53</v>
      </c>
      <c r="C38" s="7">
        <v>95514</v>
      </c>
      <c r="D38" s="4">
        <v>0.02</v>
      </c>
      <c r="E38" s="7">
        <v>24.44</v>
      </c>
      <c r="F38" s="6">
        <f t="shared" si="0"/>
        <v>2000</v>
      </c>
      <c r="G38" s="6" t="str">
        <f>IF(A38="","",IF(H38&lt;&gt;"","已开仓",IF(账户数据!$B$23="已锁仓","禁止开仓：连续亏损达到上限",IF(账户数据!$B$23="解锁信息不完整","禁止开仓：请完整填写解锁信息",IF(OR(F38="",E38="",N38="",E38&lt;=N38,账户数据!$B$7=""),"",IF(OR(AG38="",AH38="",AI38=""),"禁止开仓：交易预期未填写完整",IF(账户数据!$B$9+F38*(E38-N38)&gt;=账户数据!$B$7,"禁止开仓：风险额度不足",IF(AJ38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8" s="10">
        <v>2000</v>
      </c>
      <c r="I38" s="21">
        <v>44119</v>
      </c>
      <c r="J38" s="7">
        <v>30</v>
      </c>
      <c r="K38" s="7">
        <v>23.57</v>
      </c>
      <c r="L38" s="6">
        <f t="shared" si="1"/>
        <v>2000</v>
      </c>
      <c r="M38" s="21">
        <v>44125</v>
      </c>
      <c r="N38" s="7">
        <v>23.5</v>
      </c>
      <c r="O38" s="7"/>
      <c r="P38" s="7"/>
      <c r="Q38" s="10"/>
      <c r="R38" s="10"/>
      <c r="S38" s="10"/>
      <c r="T38" s="10"/>
      <c r="U38" s="5">
        <f t="shared" si="2"/>
        <v>0.22749590834697211</v>
      </c>
      <c r="V38" s="5">
        <f t="shared" si="3"/>
        <v>3.8461538461538512E-2</v>
      </c>
      <c r="W38" s="22">
        <f t="shared" si="4"/>
        <v>5.9148936170212671</v>
      </c>
      <c r="X38" s="3">
        <f t="shared" si="5"/>
        <v>-1740.000000000002</v>
      </c>
      <c r="Y38" s="5">
        <f t="shared" si="6"/>
        <v>-3.5597381342062237E-2</v>
      </c>
      <c r="Z38" s="5">
        <f>IF(OR(AE38="",多次统计数据!$B$8=""),"",AE38-多次统计数据!$B$8)</f>
        <v>-0.12842989360893867</v>
      </c>
      <c r="AA38" s="8">
        <f t="shared" si="7"/>
        <v>6</v>
      </c>
      <c r="AB38" s="5">
        <f>IF(OR(A38="",多次统计数据!$B$8="",多次统计数据!$B$6&lt;=0,多次统计数据!$B$6&gt;=1),"",1-POWER(1+多次统计数据!$B$8,-多次统计数据!$B$6/(1-多次统计数据!$B$6)))</f>
        <v>8.152013270062719E-2</v>
      </c>
      <c r="AC38" s="6" t="str">
        <f>IF(OR(AB38="",多次统计数据!$B$9=""),"",IF(多次统计数据!$B$9&lt;AB38,"低于上限","达到或超过上限"))</f>
        <v>低于上限</v>
      </c>
      <c r="AD38" s="10"/>
      <c r="AE38" s="5">
        <f t="shared" si="8"/>
        <v>-1.8217224700043996E-2</v>
      </c>
      <c r="AG38" s="10" t="s">
        <v>51</v>
      </c>
      <c r="AH38" s="10" t="s">
        <v>52</v>
      </c>
      <c r="AI38" s="10" t="s">
        <v>49</v>
      </c>
      <c r="AJ38" s="6" t="str">
        <f t="shared" si="9"/>
        <v>匹配</v>
      </c>
      <c r="AK38" s="23">
        <f>IF(A38="","",COUNTIFS(加仓管理!$A$2:$A$1001,A38,加仓管理!$G$2:$G$1001,"&gt;0"))</f>
        <v>0</v>
      </c>
      <c r="AL38" s="23">
        <f>IF(A38="","",SUMIFS(加仓管理!$G$2:$G$1001,加仓管理!$A$2:$A$1001,A38))</f>
        <v>0</v>
      </c>
      <c r="AM38" s="24" t="str">
        <f>IF(AK38=0,"",IFERROR(LOOKUP(2,1/((加仓管理!$A$2:$A$1001=A38)*(加仓管理!$G$2:$G$1001&gt;0)),加仓管理!$D$2:$D$1001),""))</f>
        <v/>
      </c>
      <c r="AN38" s="24" t="str">
        <f>IF(AK38=0,"",IFERROR(LOOKUP(2,1/((加仓管理!$A$2:$A$1001=A38)*(加仓管理!$G$2:$G$1001&gt;0)),加仓管理!$E$2:$E$1001),""))</f>
        <v/>
      </c>
      <c r="AO38" s="24">
        <f>IF(OR(A38="",H38="",H38&lt;=0),"",(E38*H38+SUMIFS(加仓管理!$H$2:$H$1001,加仓管理!$A$2:$A$1001,A38))/AP38)</f>
        <v>24.44</v>
      </c>
      <c r="AP38" s="23">
        <f t="shared" si="10"/>
        <v>2000</v>
      </c>
      <c r="AQ38" s="24">
        <f>IF(A38="","",IF(M38&lt;&gt;"",0,IF(OR(H38="",N38=""),"",MAX((E38*H38+SUMIFS(加仓管理!$H$2:$H$1001,加仓管理!$A$2:$A$1001,A38))-MAX(N38,AN38)*AP38,0))))</f>
        <v>0</v>
      </c>
      <c r="AR38" s="24" t="str">
        <f>IF(A38="","",IF(OR(E38="",H38=""),"违规：首次买入价格或股数缺失",IF(COUNTIFS(加仓管理!$A$2:$A$1001,A38,加仓管理!$R$2:$R$1001,"违规*")&gt;0,"违规：请检查加仓管理表",IF(SUM($AQ$2:$AQ$201)&gt;账户数据!$B$7,"预警：超过账户风险上限",IF(COUNTIFS(加仓管理!$A$2:$A$1001,A38,加仓管理!$N$2:$N$1001,"&gt;0",加仓管理!$G$2:$G$1001,"")&gt;0,"提示：存在待执行加仓计划","通过")))))</f>
        <v>通过</v>
      </c>
    </row>
    <row r="39" spans="1:44">
      <c r="A39" s="10">
        <v>38</v>
      </c>
      <c r="B39" s="10" t="s">
        <v>53</v>
      </c>
      <c r="C39" s="7">
        <v>93774</v>
      </c>
      <c r="D39" s="4">
        <v>0.02</v>
      </c>
      <c r="E39" s="7">
        <v>23.15</v>
      </c>
      <c r="F39" s="6">
        <f t="shared" si="0"/>
        <v>2800</v>
      </c>
      <c r="G39" s="6" t="str">
        <f>IF(A39="","",IF(H39&lt;&gt;"","已开仓",IF(账户数据!$B$23="已锁仓","禁止开仓：连续亏损达到上限",IF(账户数据!$B$23="解锁信息不完整","禁止开仓：请完整填写解锁信息",IF(OR(F39="",E39="",N39="",E39&lt;=N39,账户数据!$B$7=""),"",IF(OR(AG39="",AH39="",AI39=""),"禁止开仓：交易预期未填写完整",IF(账户数据!$B$9+F39*(E39-N39)&gt;=账户数据!$B$7,"禁止开仓：风险额度不足",IF(AJ39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9" s="10">
        <v>2800</v>
      </c>
      <c r="I39" s="21">
        <v>44126</v>
      </c>
      <c r="J39" s="7">
        <v>30</v>
      </c>
      <c r="K39" s="7">
        <v>20.23</v>
      </c>
      <c r="L39" s="6">
        <f t="shared" si="1"/>
        <v>3800</v>
      </c>
      <c r="M39" s="21">
        <v>44252</v>
      </c>
      <c r="N39" s="7">
        <v>22.5</v>
      </c>
      <c r="O39" s="7"/>
      <c r="P39" s="7"/>
      <c r="Q39" s="10"/>
      <c r="R39" s="10"/>
      <c r="S39" s="10"/>
      <c r="T39" s="10"/>
      <c r="U39" s="5">
        <f t="shared" si="2"/>
        <v>0.2692050768203072</v>
      </c>
      <c r="V39" s="5">
        <f t="shared" si="3"/>
        <v>4.8096192384769608E-2</v>
      </c>
      <c r="W39" s="22">
        <f t="shared" si="4"/>
        <v>5.5972222222222126</v>
      </c>
      <c r="X39" s="3">
        <f t="shared" si="5"/>
        <v>-12946.000000000005</v>
      </c>
      <c r="Y39" s="5">
        <f t="shared" si="6"/>
        <v>-0.14413270986417284</v>
      </c>
      <c r="Z39" s="5">
        <f>IF(OR(AE39="",多次统计数据!$B$8=""),"",AE39-多次统计数据!$B$8)</f>
        <v>-0.24826799341248851</v>
      </c>
      <c r="AA39" s="8">
        <f t="shared" si="7"/>
        <v>126</v>
      </c>
      <c r="AB39" s="5">
        <f>IF(OR(A39="",多次统计数据!$B$8="",多次统计数据!$B$6&lt;=0,多次统计数据!$B$6&gt;=1),"",1-POWER(1+多次统计数据!$B$8,-多次统计数据!$B$6/(1-多次统计数据!$B$6)))</f>
        <v>8.152013270062719E-2</v>
      </c>
      <c r="AC39" s="6" t="str">
        <f>IF(OR(AB39="",多次统计数据!$B$9=""),"",IF(多次统计数据!$B$9&lt;AB39,"低于上限","达到或超过上限"))</f>
        <v>低于上限</v>
      </c>
      <c r="AD39" s="10"/>
      <c r="AE39" s="5">
        <f t="shared" si="8"/>
        <v>-0.13805532450359381</v>
      </c>
      <c r="AG39" s="10" t="s">
        <v>51</v>
      </c>
      <c r="AH39" s="10" t="s">
        <v>52</v>
      </c>
      <c r="AI39" s="10" t="s">
        <v>49</v>
      </c>
      <c r="AJ39" s="6" t="str">
        <f t="shared" si="9"/>
        <v>匹配</v>
      </c>
      <c r="AK39" s="23">
        <f>IF(A39="","",COUNTIFS(加仓管理!$A$2:$A$1001,A39,加仓管理!$G$2:$G$1001,"&gt;0"))</f>
        <v>1</v>
      </c>
      <c r="AL39" s="23">
        <f>IF(A39="","",SUMIFS(加仓管理!$G$2:$G$1001,加仓管理!$A$2:$A$1001,A39))</f>
        <v>1000</v>
      </c>
      <c r="AM39" s="24">
        <f>IF(AK39=0,"",IFERROR(LOOKUP(2,1/((加仓管理!$A$2:$A$1001=A39)*(加仓管理!$G$2:$G$1001&gt;0)),加仓管理!$D$2:$D$1001),""))</f>
        <v>25</v>
      </c>
      <c r="AN39" s="24">
        <f>IF(AK39=0,"",IFERROR(LOOKUP(2,1/((加仓管理!$A$2:$A$1001=A39)*(加仓管理!$G$2:$G$1001&gt;0)),加仓管理!$E$2:$E$1001),""))</f>
        <v>24</v>
      </c>
      <c r="AO39" s="24">
        <f>IF(OR(A39="",H39="",H39&lt;=0),"",(E39*H39+SUMIFS(加仓管理!$H$2:$H$1001,加仓管理!$A$2:$A$1001,A39))/AP39)</f>
        <v>23.63684210526316</v>
      </c>
      <c r="AP39" s="23">
        <f t="shared" si="10"/>
        <v>3800</v>
      </c>
      <c r="AQ39" s="24">
        <f>IF(A39="","",IF(M39&lt;&gt;"",0,IF(OR(H39="",N39=""),"",MAX((E39*H39+SUMIFS(加仓管理!$H$2:$H$1001,加仓管理!$A$2:$A$1001,A39))-MAX(N39,AN39)*AP39,0))))</f>
        <v>0</v>
      </c>
      <c r="AR39" s="24" t="str">
        <f>IF(A39="","",IF(OR(E39="",H39=""),"违规：首次买入价格或股数缺失",IF(COUNTIFS(加仓管理!$A$2:$A$1001,A39,加仓管理!$R$2:$R$1001,"违规*")&gt;0,"违规：请检查加仓管理表",IF(SUM($AQ$2:$AQ$201)&gt;账户数据!$B$7,"预警：超过账户风险上限",IF(COUNTIFS(加仓管理!$A$2:$A$1001,A39,加仓管理!$N$2:$N$1001,"&gt;0",加仓管理!$G$2:$G$1001,"")&gt;0,"提示：存在待执行加仓计划","通过")))))</f>
        <v>通过</v>
      </c>
    </row>
    <row r="40" spans="1:44">
      <c r="A40" s="10">
        <v>39</v>
      </c>
      <c r="B40" s="10" t="s">
        <v>53</v>
      </c>
      <c r="C40" s="7">
        <v>80828</v>
      </c>
      <c r="D40" s="4">
        <v>0.02</v>
      </c>
      <c r="E40" s="7">
        <v>20.76</v>
      </c>
      <c r="F40" s="6">
        <f t="shared" si="0"/>
        <v>2100</v>
      </c>
      <c r="G40" s="6" t="str">
        <f>IF(A40="","",IF(H40&lt;&gt;"","已开仓",IF(账户数据!$B$23="已锁仓","禁止开仓：连续亏损达到上限",IF(账户数据!$B$23="解锁信息不完整","禁止开仓：请完整填写解锁信息",IF(OR(F40="",E40="",N40="",E40&lt;=N40,账户数据!$B$7=""),"",IF(OR(AG40="",AH40="",AI40=""),"禁止开仓：交易预期未填写完整",IF(账户数据!$B$9+F40*(E40-N40)&gt;=账户数据!$B$7,"禁止开仓：风险额度不足",IF(AJ40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0" s="10">
        <v>2100</v>
      </c>
      <c r="I40" s="21">
        <v>44362</v>
      </c>
      <c r="J40" s="7">
        <v>24</v>
      </c>
      <c r="K40" s="7">
        <v>22</v>
      </c>
      <c r="L40" s="6">
        <f t="shared" si="1"/>
        <v>2600</v>
      </c>
      <c r="M40" s="21">
        <v>44378</v>
      </c>
      <c r="N40" s="7">
        <v>20</v>
      </c>
      <c r="O40" s="7"/>
      <c r="P40" s="7"/>
      <c r="Q40" s="10"/>
      <c r="R40" s="10"/>
      <c r="S40" s="10"/>
      <c r="T40" s="10"/>
      <c r="U40" s="5">
        <f t="shared" si="2"/>
        <v>0.13195225483437947</v>
      </c>
      <c r="V40" s="5">
        <f t="shared" si="3"/>
        <v>5.6706454304683775E-2</v>
      </c>
      <c r="W40" s="22">
        <f t="shared" si="4"/>
        <v>2.3269353806781856</v>
      </c>
      <c r="X40" s="3">
        <f t="shared" si="5"/>
        <v>2074.0000000000023</v>
      </c>
      <c r="Y40" s="5">
        <f t="shared" si="6"/>
        <v>3.7622900264847846E-2</v>
      </c>
      <c r="Z40" s="5">
        <f>IF(OR(AE40="",多次统计数据!$B$8=""),"",AE40-多次统计数据!$B$8)</f>
        <v>-8.4553243957145252E-2</v>
      </c>
      <c r="AA40" s="8">
        <f t="shared" si="7"/>
        <v>16</v>
      </c>
      <c r="AB40" s="5">
        <f>IF(OR(A40="",多次统计数据!$B$8="",多次统计数据!$B$6&lt;=0,多次统计数据!$B$6&gt;=1),"",1-POWER(1+多次统计数据!$B$8,-多次统计数据!$B$6/(1-多次统计数据!$B$6)))</f>
        <v>8.152013270062719E-2</v>
      </c>
      <c r="AC40" s="6" t="str">
        <f>IF(OR(AB40="",多次统计数据!$B$9=""),"",IF(多次统计数据!$B$9&lt;AB40,"低于上限","达到或超过上限"))</f>
        <v>低于上限</v>
      </c>
      <c r="AD40" s="10"/>
      <c r="AE40" s="5">
        <f t="shared" si="8"/>
        <v>2.5659424951749422E-2</v>
      </c>
      <c r="AG40" s="10" t="s">
        <v>51</v>
      </c>
      <c r="AH40" s="10" t="s">
        <v>52</v>
      </c>
      <c r="AI40" s="10" t="s">
        <v>49</v>
      </c>
      <c r="AJ40" s="6" t="str">
        <f t="shared" si="9"/>
        <v>匹配</v>
      </c>
      <c r="AK40" s="23">
        <f>IF(A40="","",COUNTIFS(加仓管理!$A$2:$A$1001,A40,加仓管理!$G$2:$G$1001,"&gt;0"))</f>
        <v>1</v>
      </c>
      <c r="AL40" s="23">
        <f>IF(A40="","",SUMIFS(加仓管理!$G$2:$G$1001,加仓管理!$A$2:$A$1001,A40))</f>
        <v>500</v>
      </c>
      <c r="AM40" s="24">
        <f>IF(AK40=0,"",IFERROR(LOOKUP(2,1/((加仓管理!$A$2:$A$1001=A40)*(加仓管理!$G$2:$G$1001&gt;0)),加仓管理!$D$2:$D$1001),""))</f>
        <v>23.06</v>
      </c>
      <c r="AN40" s="24">
        <f>IF(AK40=0,"",IFERROR(LOOKUP(2,1/((加仓管理!$A$2:$A$1001=A40)*(加仓管理!$G$2:$G$1001&gt;0)),加仓管理!$E$2:$E$1001),""))</f>
        <v>22</v>
      </c>
      <c r="AO40" s="24">
        <f>IF(OR(A40="",H40="",H40&lt;=0),"",(E40*H40+SUMIFS(加仓管理!$H$2:$H$1001,加仓管理!$A$2:$A$1001,A40))/AP40)</f>
        <v>21.202307692307691</v>
      </c>
      <c r="AP40" s="23">
        <f t="shared" si="10"/>
        <v>2600</v>
      </c>
      <c r="AQ40" s="24">
        <f>IF(A40="","",IF(M40&lt;&gt;"",0,IF(OR(H40="",N40=""),"",MAX((E40*H40+SUMIFS(加仓管理!$H$2:$H$1001,加仓管理!$A$2:$A$1001,A40))-MAX(N40,AN40)*AP40,0))))</f>
        <v>0</v>
      </c>
      <c r="AR40" s="24" t="str">
        <f>IF(A40="","",IF(OR(E40="",H40=""),"违规：首次买入价格或股数缺失",IF(COUNTIFS(加仓管理!$A$2:$A$1001,A40,加仓管理!$R$2:$R$1001,"违规*")&gt;0,"违规：请检查加仓管理表",IF(SUM($AQ$2:$AQ$201)&gt;账户数据!$B$7,"预警：超过账户风险上限",IF(COUNTIFS(加仓管理!$A$2:$A$1001,A40,加仓管理!$N$2:$N$1001,"&gt;0",加仓管理!$G$2:$G$1001,"")&gt;0,"提示：存在待执行加仓计划","通过")))))</f>
        <v>通过</v>
      </c>
    </row>
    <row r="41" spans="1:44">
      <c r="A41" s="10">
        <v>40</v>
      </c>
      <c r="B41" s="10" t="s">
        <v>53</v>
      </c>
      <c r="C41" s="7">
        <v>82902</v>
      </c>
      <c r="D41" s="4">
        <v>0.02</v>
      </c>
      <c r="E41" s="7">
        <v>24.04</v>
      </c>
      <c r="F41" s="6">
        <f t="shared" si="0"/>
        <v>1500</v>
      </c>
      <c r="G41" s="6" t="str">
        <f>IF(A41="","",IF(H41&lt;&gt;"","已开仓",IF(账户数据!$B$23="已锁仓","禁止开仓：连续亏损达到上限",IF(账户数据!$B$23="解锁信息不完整","禁止开仓：请完整填写解锁信息",IF(OR(F41="",E41="",N41="",E41&lt;=N41,账户数据!$B$7=""),"",IF(OR(AG41="",AH41="",AI41=""),"禁止开仓：交易预期未填写完整",IF(账户数据!$B$9+F41*(E41-N41)&gt;=账户数据!$B$7,"禁止开仓：风险额度不足",IF(AJ41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1" s="10">
        <v>1500</v>
      </c>
      <c r="I41" s="21">
        <v>44389</v>
      </c>
      <c r="J41" s="7">
        <v>30</v>
      </c>
      <c r="K41" s="7">
        <v>26.16</v>
      </c>
      <c r="L41" s="6">
        <f t="shared" si="1"/>
        <v>2500</v>
      </c>
      <c r="M41" s="21">
        <v>44439</v>
      </c>
      <c r="N41" s="7">
        <v>23</v>
      </c>
      <c r="O41" s="7"/>
      <c r="P41" s="7"/>
      <c r="Q41" s="10"/>
      <c r="R41" s="10"/>
      <c r="S41" s="10"/>
      <c r="T41" s="10"/>
      <c r="U41" s="5">
        <f t="shared" si="2"/>
        <v>0.18924918734638868</v>
      </c>
      <c r="V41" s="5">
        <f t="shared" si="3"/>
        <v>8.8242289701102011E-2</v>
      </c>
      <c r="W41" s="22">
        <f t="shared" si="4"/>
        <v>2.1446540880503155</v>
      </c>
      <c r="X41" s="3">
        <f t="shared" si="5"/>
        <v>2335.0000000000027</v>
      </c>
      <c r="Y41" s="5">
        <f t="shared" si="6"/>
        <v>3.7025291366050941E-2</v>
      </c>
      <c r="Z41" s="5">
        <f>IF(OR(AE41="",多次统计数据!$B$8=""),"",AE41-多次统计数据!$B$8)</f>
        <v>-8.2046882799994988E-2</v>
      </c>
      <c r="AA41" s="8">
        <f t="shared" si="7"/>
        <v>50</v>
      </c>
      <c r="AB41" s="5">
        <f>IF(OR(A41="",多次统计数据!$B$8="",多次统计数据!$B$6&lt;=0,多次统计数据!$B$6&gt;=1),"",1-POWER(1+多次统计数据!$B$8,-多次统计数据!$B$6/(1-多次统计数据!$B$6)))</f>
        <v>8.152013270062719E-2</v>
      </c>
      <c r="AC41" s="6" t="str">
        <f>IF(OR(AB41="",多次统计数据!$B$9=""),"",IF(多次统计数据!$B$9&lt;AB41,"低于上限","达到或超过上限"))</f>
        <v>低于上限</v>
      </c>
      <c r="AD41" s="10"/>
      <c r="AE41" s="5">
        <f t="shared" si="8"/>
        <v>2.8165786108899696E-2</v>
      </c>
      <c r="AG41" s="10" t="s">
        <v>51</v>
      </c>
      <c r="AH41" s="10" t="s">
        <v>52</v>
      </c>
      <c r="AI41" s="10" t="s">
        <v>49</v>
      </c>
      <c r="AJ41" s="6" t="str">
        <f t="shared" si="9"/>
        <v>匹配</v>
      </c>
      <c r="AK41" s="23">
        <f>IF(A41="","",COUNTIFS(加仓管理!$A$2:$A$1001,A41,加仓管理!$G$2:$G$1001,"&gt;0"))</f>
        <v>2</v>
      </c>
      <c r="AL41" s="23">
        <f>IF(A41="","",SUMIFS(加仓管理!$G$2:$G$1001,加仓管理!$A$2:$A$1001,A41))</f>
        <v>1000</v>
      </c>
      <c r="AM41" s="24">
        <f>IF(AK41=0,"",IFERROR(LOOKUP(2,1/((加仓管理!$A$2:$A$1001=A41)*(加仓管理!$G$2:$G$1001&gt;0)),加仓管理!$D$2:$D$1001),""))</f>
        <v>28.7</v>
      </c>
      <c r="AN41" s="24">
        <f>IF(AK41=0,"",IFERROR(LOOKUP(2,1/((加仓管理!$A$2:$A$1001=A41)*(加仓管理!$G$2:$G$1001&gt;0)),加仓管理!$E$2:$E$1001),""))</f>
        <v>26</v>
      </c>
      <c r="AO41" s="24">
        <f>IF(OR(A41="",H41="",H41&lt;=0),"",(E41*H41+SUMIFS(加仓管理!$H$2:$H$1001,加仓管理!$A$2:$A$1001,A41))/AP41)</f>
        <v>25.225999999999999</v>
      </c>
      <c r="AP41" s="23">
        <f t="shared" si="10"/>
        <v>2500</v>
      </c>
      <c r="AQ41" s="24">
        <f>IF(A41="","",IF(M41&lt;&gt;"",0,IF(OR(H41="",N41=""),"",MAX((E41*H41+SUMIFS(加仓管理!$H$2:$H$1001,加仓管理!$A$2:$A$1001,A41))-MAX(N41,AN41)*AP41,0))))</f>
        <v>0</v>
      </c>
      <c r="AR41" s="24" t="str">
        <f>IF(A41="","",IF(OR(E41="",H41=""),"违规：首次买入价格或股数缺失",IF(COUNTIFS(加仓管理!$A$2:$A$1001,A41,加仓管理!$R$2:$R$1001,"违规*")&gt;0,"违规：请检查加仓管理表",IF(SUM($AQ$2:$AQ$201)&gt;账户数据!$B$7,"预警：超过账户风险上限",IF(COUNTIFS(加仓管理!$A$2:$A$1001,A41,加仓管理!$N$2:$N$1001,"&gt;0",加仓管理!$G$2:$G$1001,"")&gt;0,"提示：存在待执行加仓计划","通过")))))</f>
        <v>违规：请检查加仓管理表</v>
      </c>
    </row>
    <row r="42" spans="1:44">
      <c r="A42" s="10">
        <v>41</v>
      </c>
      <c r="B42" s="10" t="s">
        <v>53</v>
      </c>
      <c r="C42" s="7">
        <v>85237</v>
      </c>
      <c r="D42" s="4">
        <v>0.02</v>
      </c>
      <c r="E42" s="7">
        <v>28.24</v>
      </c>
      <c r="F42" s="6">
        <f t="shared" si="0"/>
        <v>1300</v>
      </c>
      <c r="G42" s="6" t="str">
        <f>IF(A42="","",IF(H42&lt;&gt;"","已开仓",IF(账户数据!$B$23="已锁仓","禁止开仓：连续亏损达到上限",IF(账户数据!$B$23="解锁信息不完整","禁止开仓：请完整填写解锁信息",IF(OR(F42="",E42="",N42="",E42&lt;=N42,账户数据!$B$7=""),"",IF(OR(AG42="",AH42="",AI42=""),"禁止开仓：交易预期未填写完整",IF(账户数据!$B$9+F42*(E42-N42)&gt;=账户数据!$B$7,"禁止开仓：风险额度不足",IF(AJ42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2" s="10">
        <v>1300</v>
      </c>
      <c r="I42" s="21">
        <v>44466</v>
      </c>
      <c r="J42" s="7">
        <v>30</v>
      </c>
      <c r="K42" s="7">
        <v>29.62</v>
      </c>
      <c r="L42" s="6">
        <f t="shared" si="1"/>
        <v>1800</v>
      </c>
      <c r="M42" s="21">
        <v>44515</v>
      </c>
      <c r="N42" s="7">
        <v>27</v>
      </c>
      <c r="O42" s="7"/>
      <c r="P42" s="7"/>
      <c r="Q42" s="10"/>
      <c r="R42" s="10"/>
      <c r="S42" s="10"/>
      <c r="T42" s="10"/>
      <c r="U42" s="5">
        <f t="shared" si="2"/>
        <v>3.394795795278302E-2</v>
      </c>
      <c r="V42" s="5">
        <f t="shared" si="3"/>
        <v>6.9446837842495279E-2</v>
      </c>
      <c r="W42" s="22">
        <f t="shared" si="4"/>
        <v>0.48883374689826259</v>
      </c>
      <c r="X42" s="3">
        <f t="shared" si="5"/>
        <v>1089.0000000000007</v>
      </c>
      <c r="Y42" s="5">
        <f t="shared" si="6"/>
        <v>2.0851283818714469E-2</v>
      </c>
      <c r="Z42" s="5">
        <f>IF(OR(AE42="",多次统计数据!$B$8=""),"",AE42-多次统计数据!$B$8)</f>
        <v>-9.7436527092547312E-2</v>
      </c>
      <c r="AA42" s="8">
        <f t="shared" si="7"/>
        <v>49</v>
      </c>
      <c r="AB42" s="5">
        <f>IF(OR(A42="",多次统计数据!$B$8="",多次统计数据!$B$6&lt;=0,多次统计数据!$B$6&gt;=1),"",1-POWER(1+多次统计数据!$B$8,-多次统计数据!$B$6/(1-多次统计数据!$B$6)))</f>
        <v>8.152013270062719E-2</v>
      </c>
      <c r="AC42" s="6" t="str">
        <f>IF(OR(AB42="",多次统计数据!$B$9=""),"",IF(多次统计数据!$B$9&lt;AB42,"低于上限","达到或超过上限"))</f>
        <v>低于上限</v>
      </c>
      <c r="AD42" s="10"/>
      <c r="AE42" s="5">
        <f t="shared" si="8"/>
        <v>1.2776141816347369E-2</v>
      </c>
      <c r="AG42" s="10" t="s">
        <v>51</v>
      </c>
      <c r="AH42" s="10" t="s">
        <v>52</v>
      </c>
      <c r="AI42" s="10" t="s">
        <v>49</v>
      </c>
      <c r="AJ42" s="6" t="str">
        <f t="shared" si="9"/>
        <v>匹配</v>
      </c>
      <c r="AK42" s="23">
        <f>IF(A42="","",COUNTIFS(加仓管理!$A$2:$A$1001,A42,加仓管理!$G$2:$G$1001,"&gt;0"))</f>
        <v>1</v>
      </c>
      <c r="AL42" s="23">
        <f>IF(A42="","",SUMIFS(加仓管理!$G$2:$G$1001,加仓管理!$A$2:$A$1001,A42))</f>
        <v>500</v>
      </c>
      <c r="AM42" s="24">
        <f>IF(AK42=0,"",IFERROR(LOOKUP(2,1/((加仓管理!$A$2:$A$1001=A42)*(加仓管理!$G$2:$G$1001&gt;0)),加仓管理!$D$2:$D$1001),""))</f>
        <v>31.03</v>
      </c>
      <c r="AN42" s="24">
        <f>IF(AK42=0,"",IFERROR(LOOKUP(2,1/((加仓管理!$A$2:$A$1001=A42)*(加仓管理!$G$2:$G$1001&gt;0)),加仓管理!$E$2:$E$1001),""))</f>
        <v>30</v>
      </c>
      <c r="AO42" s="24">
        <f>IF(OR(A42="",H42="",H42&lt;=0),"",(E42*H42+SUMIFS(加仓管理!$H$2:$H$1001,加仓管理!$A$2:$A$1001,A42))/AP42)</f>
        <v>29.015000000000001</v>
      </c>
      <c r="AP42" s="23">
        <f t="shared" si="10"/>
        <v>1800</v>
      </c>
      <c r="AQ42" s="24">
        <f>IF(A42="","",IF(M42&lt;&gt;"",0,IF(OR(H42="",N42=""),"",MAX((E42*H42+SUMIFS(加仓管理!$H$2:$H$1001,加仓管理!$A$2:$A$1001,A42))-MAX(N42,AN42)*AP42,0))))</f>
        <v>0</v>
      </c>
      <c r="AR42" s="24" t="str">
        <f>IF(A42="","",IF(OR(E42="",H42=""),"违规：首次买入价格或股数缺失",IF(COUNTIFS(加仓管理!$A$2:$A$1001,A42,加仓管理!$R$2:$R$1001,"违规*")&gt;0,"违规：请检查加仓管理表",IF(SUM($AQ$2:$AQ$201)&gt;账户数据!$B$7,"预警：超过账户风险上限",IF(COUNTIFS(加仓管理!$A$2:$A$1001,A42,加仓管理!$N$2:$N$1001,"&gt;0",加仓管理!$G$2:$G$1001,"")&gt;0,"提示：存在待执行加仓计划","通过")))))</f>
        <v>通过</v>
      </c>
    </row>
    <row r="43" spans="1:44">
      <c r="A43" s="10">
        <v>42</v>
      </c>
      <c r="B43" s="10" t="s">
        <v>53</v>
      </c>
      <c r="C43" s="7">
        <v>86326</v>
      </c>
      <c r="D43" s="4">
        <v>0.02</v>
      </c>
      <c r="E43" s="7">
        <v>26.02</v>
      </c>
      <c r="F43" s="6">
        <f t="shared" si="0"/>
        <v>1600</v>
      </c>
      <c r="G43" s="6" t="str">
        <f>IF(A43="","",IF(H43&lt;&gt;"","已开仓",IF(账户数据!$B$23="已锁仓","禁止开仓：连续亏损达到上限",IF(账户数据!$B$23="解锁信息不完整","禁止开仓：请完整填写解锁信息",IF(OR(F43="",E43="",N43="",E43&lt;=N43,账户数据!$B$7=""),"",IF(OR(AG43="",AH43="",AI43=""),"禁止开仓：交易预期未填写完整",IF(账户数据!$B$9+F43*(E43-N43)&gt;=账户数据!$B$7,"禁止开仓：风险额度不足",IF(AJ43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3" s="10">
        <v>1600</v>
      </c>
      <c r="I43" s="21">
        <v>44550</v>
      </c>
      <c r="J43" s="7">
        <v>30</v>
      </c>
      <c r="K43" s="7">
        <v>21.47</v>
      </c>
      <c r="L43" s="6">
        <f t="shared" si="1"/>
        <v>2600</v>
      </c>
      <c r="M43" s="21">
        <v>44629</v>
      </c>
      <c r="N43" s="7">
        <v>25</v>
      </c>
      <c r="O43" s="7"/>
      <c r="P43" s="7"/>
      <c r="Q43" s="10"/>
      <c r="R43" s="10"/>
      <c r="S43" s="10"/>
      <c r="T43" s="10"/>
      <c r="U43" s="5">
        <f t="shared" si="2"/>
        <v>0.18447427564842381</v>
      </c>
      <c r="V43" s="5">
        <f t="shared" si="3"/>
        <v>1.2938103626313492E-2</v>
      </c>
      <c r="W43" s="22">
        <f t="shared" si="4"/>
        <v>14.258215962441385</v>
      </c>
      <c r="X43" s="3">
        <f t="shared" si="5"/>
        <v>-10029.999999999998</v>
      </c>
      <c r="Y43" s="5">
        <f t="shared" si="6"/>
        <v>-0.15231124339427804</v>
      </c>
      <c r="Z43" s="5">
        <f>IF(OR(AE43="",多次统计数据!$B$8=""),"",AE43-多次统计数据!$B$8)</f>
        <v>-0.22640014429290412</v>
      </c>
      <c r="AA43" s="8">
        <f t="shared" si="7"/>
        <v>79</v>
      </c>
      <c r="AB43" s="5">
        <f>IF(OR(A43="",多次统计数据!$B$8="",多次统计数据!$B$6&lt;=0,多次统计数据!$B$6&gt;=1),"",1-POWER(1+多次统计数据!$B$8,-多次统计数据!$B$6/(1-多次统计数据!$B$6)))</f>
        <v>8.152013270062719E-2</v>
      </c>
      <c r="AC43" s="6" t="str">
        <f>IF(OR(AB43="",多次统计数据!$B$9=""),"",IF(多次统计数据!$B$9&lt;AB43,"低于上限","达到或超过上限"))</f>
        <v>低于上限</v>
      </c>
      <c r="AD43" s="10"/>
      <c r="AE43" s="5">
        <f t="shared" si="8"/>
        <v>-0.11618747538400943</v>
      </c>
      <c r="AG43" s="10" t="s">
        <v>51</v>
      </c>
      <c r="AH43" s="10" t="s">
        <v>52</v>
      </c>
      <c r="AI43" s="10" t="s">
        <v>49</v>
      </c>
      <c r="AJ43" s="6" t="str">
        <f t="shared" si="9"/>
        <v>匹配</v>
      </c>
      <c r="AK43" s="23">
        <f>IF(A43="","",COUNTIFS(加仓管理!$A$2:$A$1001,A43,加仓管理!$G$2:$G$1001,"&gt;0"))</f>
        <v>1</v>
      </c>
      <c r="AL43" s="23">
        <f>IF(A43="","",SUMIFS(加仓管理!$G$2:$G$1001,加仓管理!$A$2:$A$1001,A43))</f>
        <v>1000</v>
      </c>
      <c r="AM43" s="24">
        <f>IF(AK43=0,"",IFERROR(LOOKUP(2,1/((加仓管理!$A$2:$A$1001=A43)*(加仓管理!$G$2:$G$1001&gt;0)),加仓管理!$D$2:$D$1001),""))</f>
        <v>24.22</v>
      </c>
      <c r="AN43" s="24">
        <f>IF(AK43=0,"",IFERROR(LOOKUP(2,1/((加仓管理!$A$2:$A$1001=A43)*(加仓管理!$G$2:$G$1001&gt;0)),加仓管理!$E$2:$E$1001),""))</f>
        <v>24</v>
      </c>
      <c r="AO43" s="24">
        <f>IF(OR(A43="",H43="",H43&lt;=0),"",(E43*H43+SUMIFS(加仓管理!$H$2:$H$1001,加仓管理!$A$2:$A$1001,A43))/AP43)</f>
        <v>25.327692307692306</v>
      </c>
      <c r="AP43" s="23">
        <f t="shared" si="10"/>
        <v>2600</v>
      </c>
      <c r="AQ43" s="24">
        <f>IF(A43="","",IF(M43&lt;&gt;"",0,IF(OR(H43="",N43=""),"",MAX((E43*H43+SUMIFS(加仓管理!$H$2:$H$1001,加仓管理!$A$2:$A$1001,A43))-MAX(N43,AN43)*AP43,0))))</f>
        <v>0</v>
      </c>
      <c r="AR43" s="24" t="str">
        <f>IF(A43="","",IF(OR(E43="",H43=""),"违规：首次买入价格或股数缺失",IF(COUNTIFS(加仓管理!$A$2:$A$1001,A43,加仓管理!$R$2:$R$1001,"违规*")&gt;0,"违规：请检查加仓管理表",IF(SUM($AQ$2:$AQ$201)&gt;账户数据!$B$7,"预警：超过账户风险上限",IF(COUNTIFS(加仓管理!$A$2:$A$1001,A43,加仓管理!$N$2:$N$1001,"&gt;0",加仓管理!$G$2:$G$1001,"")&gt;0,"提示：存在待执行加仓计划","通过")))))</f>
        <v>违规：请检查加仓管理表</v>
      </c>
    </row>
    <row r="44" spans="1:44">
      <c r="A44" s="10">
        <v>43</v>
      </c>
      <c r="B44" s="10" t="s">
        <v>53</v>
      </c>
      <c r="C44" s="7">
        <v>76296</v>
      </c>
      <c r="D44" s="4">
        <v>0.02</v>
      </c>
      <c r="E44" s="7">
        <v>21.69</v>
      </c>
      <c r="F44" s="6">
        <f t="shared" si="0"/>
        <v>1200</v>
      </c>
      <c r="G44" s="6" t="str">
        <f>IF(A44="","",IF(H44&lt;&gt;"","已开仓",IF(账户数据!$B$23="已锁仓","禁止开仓：连续亏损达到上限",IF(账户数据!$B$23="解锁信息不完整","禁止开仓：请完整填写解锁信息",IF(OR(F44="",E44="",N44="",E44&lt;=N44,账户数据!$B$7=""),"",IF(OR(AG44="",AH44="",AI44=""),"禁止开仓：交易预期未填写完整",IF(账户数据!$B$9+F44*(E44-N44)&gt;=账户数据!$B$7,"禁止开仓：风险额度不足",IF(AJ44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4" s="10">
        <v>1200</v>
      </c>
      <c r="I44" s="21">
        <v>44635</v>
      </c>
      <c r="J44" s="7">
        <v>19.88</v>
      </c>
      <c r="K44" s="7">
        <v>19.88</v>
      </c>
      <c r="L44" s="6">
        <f t="shared" si="1"/>
        <v>3500</v>
      </c>
      <c r="M44" s="21">
        <v>44635</v>
      </c>
      <c r="N44" s="7">
        <v>20.5</v>
      </c>
      <c r="O44" s="7"/>
      <c r="P44" s="7"/>
      <c r="Q44" s="10"/>
      <c r="R44" s="10"/>
      <c r="S44" s="10"/>
      <c r="T44" s="10"/>
      <c r="U44" s="5">
        <f t="shared" si="2"/>
        <v>-4.3757902259359084E-2</v>
      </c>
      <c r="V44" s="5">
        <f t="shared" si="3"/>
        <v>1.3935462591391362E-2</v>
      </c>
      <c r="W44" s="22">
        <f t="shared" si="4"/>
        <v>-3.1400394477317564</v>
      </c>
      <c r="X44" s="3">
        <f t="shared" si="5"/>
        <v>-3184.0000000000045</v>
      </c>
      <c r="Y44" s="5">
        <f t="shared" si="6"/>
        <v>-4.3757902259359084E-2</v>
      </c>
      <c r="Z44" s="5">
        <f>IF(OR(AE44="",多次统计数据!$B$8=""),"",AE44-多次统计数据!$B$8)</f>
        <v>-0.15194486981064581</v>
      </c>
      <c r="AA44" s="8">
        <f t="shared" si="7"/>
        <v>0</v>
      </c>
      <c r="AB44" s="5">
        <f>IF(OR(A44="",多次统计数据!$B$8="",多次统计数据!$B$6&lt;=0,多次统计数据!$B$6&gt;=1),"",1-POWER(1+多次统计数据!$B$8,-多次统计数据!$B$6/(1-多次统计数据!$B$6)))</f>
        <v>8.152013270062719E-2</v>
      </c>
      <c r="AC44" s="6" t="str">
        <f>IF(OR(AB44="",多次统计数据!$B$9=""),"",IF(多次统计数据!$B$9&lt;AB44,"低于上限","达到或超过上限"))</f>
        <v>低于上限</v>
      </c>
      <c r="AD44" s="10"/>
      <c r="AE44" s="5">
        <f t="shared" si="8"/>
        <v>-4.1732200901751136E-2</v>
      </c>
      <c r="AG44" s="10" t="s">
        <v>48</v>
      </c>
      <c r="AH44" s="10" t="s">
        <v>46</v>
      </c>
      <c r="AI44" s="10" t="s">
        <v>50</v>
      </c>
      <c r="AJ44" s="6" t="str">
        <f t="shared" si="9"/>
        <v>匹配</v>
      </c>
      <c r="AK44" s="23">
        <f>IF(A44="","",COUNTIFS(加仓管理!$A$2:$A$1001,A44,加仓管理!$G$2:$G$1001,"&gt;0"))</f>
        <v>1</v>
      </c>
      <c r="AL44" s="23">
        <f>IF(A44="","",SUMIFS(加仓管理!$G$2:$G$1001,加仓管理!$A$2:$A$1001,A44))</f>
        <v>2300</v>
      </c>
      <c r="AM44" s="24">
        <f>IF(AK44=0,"",IFERROR(LOOKUP(2,1/((加仓管理!$A$2:$A$1001=A44)*(加仓管理!$G$2:$G$1001&gt;0)),加仓管理!$D$2:$D$1001),""))</f>
        <v>20.32</v>
      </c>
      <c r="AN44" s="24">
        <f>IF(AK44=0,"",IFERROR(LOOKUP(2,1/((加仓管理!$A$2:$A$1001=A44)*(加仓管理!$G$2:$G$1001&gt;0)),加仓管理!$E$2:$E$1001),""))</f>
        <v>20</v>
      </c>
      <c r="AO44" s="24">
        <f>IF(OR(A44="",H44="",H44&lt;=0),"",(E44*H44+SUMIFS(加仓管理!$H$2:$H$1001,加仓管理!$A$2:$A$1001,A44))/AP44)</f>
        <v>20.789714285714286</v>
      </c>
      <c r="AP44" s="23">
        <f t="shared" si="10"/>
        <v>3500</v>
      </c>
      <c r="AQ44" s="24">
        <f>IF(A44="","",IF(M44&lt;&gt;"",0,IF(OR(H44="",N44=""),"",MAX((E44*H44+SUMIFS(加仓管理!$H$2:$H$1001,加仓管理!$A$2:$A$1001,A44))-MAX(N44,AN44)*AP44,0))))</f>
        <v>0</v>
      </c>
      <c r="AR44" s="24" t="str">
        <f>IF(A44="","",IF(OR(E44="",H44=""),"违规：首次买入价格或股数缺失",IF(COUNTIFS(加仓管理!$A$2:$A$1001,A44,加仓管理!$R$2:$R$1001,"违规*")&gt;0,"违规：请检查加仓管理表",IF(SUM($AQ$2:$AQ$201)&gt;账户数据!$B$7,"预警：超过账户风险上限",IF(COUNTIFS(加仓管理!$A$2:$A$1001,A44,加仓管理!$N$2:$N$1001,"&gt;0",加仓管理!$G$2:$G$1001,"")&gt;0,"提示：存在待执行加仓计划","通过")))))</f>
        <v>违规：请检查加仓管理表</v>
      </c>
    </row>
    <row r="45" spans="1:44" s="19" customFormat="1">
      <c r="A45" s="25">
        <v>44</v>
      </c>
      <c r="B45" s="25" t="s">
        <v>53</v>
      </c>
      <c r="C45" s="26">
        <v>74124</v>
      </c>
      <c r="D45" s="27">
        <v>0.02</v>
      </c>
      <c r="E45" s="26">
        <v>20.43</v>
      </c>
      <c r="F45" s="28">
        <f t="shared" si="0"/>
        <v>3400</v>
      </c>
      <c r="G45" s="28" t="str">
        <f>IF(A45="","",IF(H45&lt;&gt;"","已开仓",IF(账户数据!$B$23="已锁仓","禁止开仓：连续亏损达到上限",IF(账户数据!$B$23="解锁信息不完整","禁止开仓：请完整填写解锁信息",IF(OR(F45="",E45="",N45="",E45&lt;=N45,账户数据!$B$7=""),"",IF(OR(AG45="",AH45="",AI45=""),"禁止开仓：交易预期未填写完整",IF(账户数据!$B$9+F45*(E45-N45)&gt;=账户数据!$B$7,"禁止开仓：风险额度不足",IF(AJ45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5" s="25">
        <v>3400</v>
      </c>
      <c r="I45" s="29">
        <v>44636</v>
      </c>
      <c r="J45" s="26">
        <v>24</v>
      </c>
      <c r="K45" s="26">
        <v>14.24</v>
      </c>
      <c r="L45" s="28">
        <f t="shared" si="1"/>
        <v>3400</v>
      </c>
      <c r="M45" s="29">
        <v>44677</v>
      </c>
      <c r="N45" s="26">
        <v>20</v>
      </c>
      <c r="O45" s="26"/>
      <c r="P45" s="26"/>
      <c r="Q45" s="25"/>
      <c r="R45" s="25"/>
      <c r="S45" s="25"/>
      <c r="T45" s="25"/>
      <c r="U45" s="30">
        <f t="shared" si="2"/>
        <v>0.17474302496328931</v>
      </c>
      <c r="V45" s="30">
        <f t="shared" si="3"/>
        <v>2.1047479197258918E-2</v>
      </c>
      <c r="W45" s="31">
        <f t="shared" si="4"/>
        <v>8.3023255813953565</v>
      </c>
      <c r="X45" s="32">
        <f t="shared" si="5"/>
        <v>-21046</v>
      </c>
      <c r="Y45" s="30">
        <f t="shared" si="6"/>
        <v>-0.30298580518844836</v>
      </c>
      <c r="Z45" s="30">
        <f>IF(OR(AE45="",多次统计数据!$B$8=""),"",AE45-多次统计数据!$B$8)</f>
        <v>-0.39414230033731196</v>
      </c>
      <c r="AA45" s="33">
        <f t="shared" si="7"/>
        <v>41</v>
      </c>
      <c r="AB45" s="30">
        <f>IF(OR(A45="",多次统计数据!$B$8="",多次统计数据!$B$6&lt;=0,多次统计数据!$B$6&gt;=1),"",1-POWER(1+多次统计数据!$B$8,-多次统计数据!$B$6/(1-多次统计数据!$B$6)))</f>
        <v>8.152013270062719E-2</v>
      </c>
      <c r="AC45" s="28" t="str">
        <f>IF(OR(AB45="",多次统计数据!$B$9=""),"",IF(多次统计数据!$B$9&lt;AB45,"低于上限","达到或超过上限"))</f>
        <v>低于上限</v>
      </c>
      <c r="AD45" s="25"/>
      <c r="AE45" s="30">
        <f t="shared" si="8"/>
        <v>-0.28392963142841726</v>
      </c>
      <c r="AG45" s="25" t="s">
        <v>48</v>
      </c>
      <c r="AH45" s="25" t="s">
        <v>46</v>
      </c>
      <c r="AI45" s="25" t="s">
        <v>50</v>
      </c>
      <c r="AJ45" s="28" t="str">
        <f t="shared" si="9"/>
        <v>匹配</v>
      </c>
      <c r="AK45" s="34">
        <f>IF(A45="","",COUNTIFS(加仓管理!$A$2:$A$1001,A45,加仓管理!$G$2:$G$1001,"&gt;0"))</f>
        <v>0</v>
      </c>
      <c r="AL45" s="34">
        <f>IF(A45="","",SUMIFS(加仓管理!$G$2:$G$1001,加仓管理!$A$2:$A$1001,A45))</f>
        <v>0</v>
      </c>
      <c r="AM45" s="35" t="str">
        <f>IF(AK45=0,"",IFERROR(LOOKUP(2,1/((加仓管理!$A$2:$A$1001=A45)*(加仓管理!$G$2:$G$1001&gt;0)),加仓管理!$D$2:$D$1001),""))</f>
        <v/>
      </c>
      <c r="AN45" s="35" t="str">
        <f>IF(AK45=0,"",IFERROR(LOOKUP(2,1/((加仓管理!$A$2:$A$1001=A45)*(加仓管理!$G$2:$G$1001&gt;0)),加仓管理!$E$2:$E$1001),""))</f>
        <v/>
      </c>
      <c r="AO45" s="35">
        <f>IF(OR(A45="",H45="",H45&lt;=0),"",(E45*H45+SUMIFS(加仓管理!$H$2:$H$1001,加仓管理!$A$2:$A$1001,A45))/AP45)</f>
        <v>20.43</v>
      </c>
      <c r="AP45" s="34">
        <f t="shared" si="10"/>
        <v>3400</v>
      </c>
      <c r="AQ45" s="35">
        <f>IF(A45="","",IF(M45&lt;&gt;"",0,IF(OR(H45="",N45=""),"",MAX((E45*H45+SUMIFS(加仓管理!$H$2:$H$1001,加仓管理!$A$2:$A$1001,A45))-MAX(N45,AN45)*AP45,0))))</f>
        <v>0</v>
      </c>
      <c r="AR45" s="35" t="str">
        <f>IF(A45="","",IF(OR(E45="",H45=""),"违规：首次买入价格或股数缺失",IF(COUNTIFS(加仓管理!$A$2:$A$1001,A45,加仓管理!$R$2:$R$1001,"违规*")&gt;0,"违规：请检查加仓管理表",IF(SUM($AQ$2:$AQ$201)&gt;账户数据!$B$7,"预警：超过账户风险上限",IF(COUNTIFS(加仓管理!$A$2:$A$1001,A45,加仓管理!$N$2:$N$1001,"&gt;0",加仓管理!$G$2:$G$1001,"")&gt;0,"提示：存在待执行加仓计划","通过")))))</f>
        <v>通过</v>
      </c>
    </row>
    <row r="46" spans="1:44">
      <c r="A46" s="10">
        <v>45</v>
      </c>
      <c r="B46" s="10" t="s">
        <v>53</v>
      </c>
      <c r="C46" s="7">
        <v>52066</v>
      </c>
      <c r="D46" s="4">
        <v>0.02</v>
      </c>
      <c r="E46" s="7">
        <v>18.11</v>
      </c>
      <c r="F46" s="6">
        <f t="shared" si="0"/>
        <v>900</v>
      </c>
      <c r="G46" s="6" t="str">
        <f>IF(A46="","",IF(H46&lt;&gt;"","已开仓",IF(账户数据!$B$23="已锁仓","禁止开仓：连续亏损达到上限",IF(账户数据!$B$23="解锁信息不完整","禁止开仓：请完整填写解锁信息",IF(OR(F46="",E46="",N46="",E46&lt;=N46,账户数据!$B$7=""),"",IF(OR(AG46="",AH46="",AI46=""),"禁止开仓：交易预期未填写完整",IF(账户数据!$B$9+F46*(E46-N46)&gt;=账户数据!$B$7,"禁止开仓：风险额度不足",IF(AJ46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6" s="10">
        <v>900</v>
      </c>
      <c r="I46" s="21">
        <v>44700</v>
      </c>
      <c r="J46" s="7">
        <v>20</v>
      </c>
      <c r="K46" s="7">
        <v>21.74</v>
      </c>
      <c r="L46" s="6">
        <f t="shared" si="1"/>
        <v>2700</v>
      </c>
      <c r="M46" s="21">
        <v>44797</v>
      </c>
      <c r="N46" s="7">
        <v>17</v>
      </c>
      <c r="O46" s="7"/>
      <c r="P46" s="7"/>
      <c r="Q46" s="10"/>
      <c r="R46" s="10"/>
      <c r="S46" s="10"/>
      <c r="T46" s="10"/>
      <c r="U46" s="5">
        <f t="shared" si="2"/>
        <v>2.3793724523651551E-2</v>
      </c>
      <c r="V46" s="5">
        <f t="shared" si="3"/>
        <v>0.12977533415489617</v>
      </c>
      <c r="W46" s="22">
        <f t="shared" si="4"/>
        <v>0.18334550766983218</v>
      </c>
      <c r="X46" s="3">
        <f t="shared" si="5"/>
        <v>5952.9999999999973</v>
      </c>
      <c r="Y46" s="5">
        <f t="shared" si="6"/>
        <v>0.11286377855720917</v>
      </c>
      <c r="Z46" s="5">
        <f>IF(OR(AE46="",多次统计数据!$B$8=""),"",AE46-多次统计数据!$B$8)</f>
        <v>4.1229819957263186E-3</v>
      </c>
      <c r="AA46" s="8">
        <f t="shared" si="7"/>
        <v>97</v>
      </c>
      <c r="AB46" s="5">
        <f>IF(OR(A46="",多次统计数据!$B$8="",多次统计数据!$B$6&lt;=0,多次统计数据!$B$6&gt;=1),"",1-POWER(1+多次统计数据!$B$8,-多次统计数据!$B$6/(1-多次统计数据!$B$6)))</f>
        <v>8.152013270062719E-2</v>
      </c>
      <c r="AC46" s="6" t="str">
        <f>IF(OR(AB46="",多次统计数据!$B$9=""),"",IF(多次统计数据!$B$9&lt;AB46,"低于上限","达到或超过上限"))</f>
        <v>低于上限</v>
      </c>
      <c r="AD46" s="10"/>
      <c r="AE46" s="5">
        <f t="shared" si="8"/>
        <v>0.114335650904621</v>
      </c>
      <c r="AG46" s="10" t="s">
        <v>48</v>
      </c>
      <c r="AH46" s="10" t="s">
        <v>46</v>
      </c>
      <c r="AI46" s="10" t="s">
        <v>50</v>
      </c>
      <c r="AJ46" s="6" t="str">
        <f t="shared" si="9"/>
        <v>匹配</v>
      </c>
      <c r="AK46" s="23">
        <f>IF(A46="","",COUNTIFS(加仓管理!$A$2:$A$1001,A46,加仓管理!$G$2:$G$1001,"&gt;0"))</f>
        <v>2</v>
      </c>
      <c r="AL46" s="23">
        <f>IF(A46="","",SUMIFS(加仓管理!$G$2:$G$1001,加仓管理!$A$2:$A$1001,A46))</f>
        <v>1800</v>
      </c>
      <c r="AM46" s="24">
        <f>IF(AK46=0,"",IFERROR(LOOKUP(2,1/((加仓管理!$A$2:$A$1001=A46)*(加仓管理!$G$2:$G$1001&gt;0)),加仓管理!$D$2:$D$1001),""))</f>
        <v>20.97</v>
      </c>
      <c r="AN46" s="24">
        <f>IF(AK46=0,"",IFERROR(LOOKUP(2,1/((加仓管理!$A$2:$A$1001=A46)*(加仓管理!$G$2:$G$1001&gt;0)),加仓管理!$E$2:$E$1001),""))</f>
        <v>20</v>
      </c>
      <c r="AO46" s="24">
        <f>IF(OR(A46="",H46="",H46&lt;=0),"",(E46*H46+SUMIFS(加仓管理!$H$2:$H$1001,加仓管理!$A$2:$A$1001,A46))/AP46)</f>
        <v>19.535185185185185</v>
      </c>
      <c r="AP46" s="23">
        <f t="shared" si="10"/>
        <v>2700</v>
      </c>
      <c r="AQ46" s="24">
        <f>IF(A46="","",IF(M46&lt;&gt;"",0,IF(OR(H46="",N46=""),"",MAX((E46*H46+SUMIFS(加仓管理!$H$2:$H$1001,加仓管理!$A$2:$A$1001,A46))-MAX(N46,AN46)*AP46,0))))</f>
        <v>0</v>
      </c>
      <c r="AR46" s="24" t="str">
        <f>IF(A46="","",IF(OR(E46="",H46=""),"违规：首次买入价格或股数缺失",IF(COUNTIFS(加仓管理!$A$2:$A$1001,A46,加仓管理!$R$2:$R$1001,"违规*")&gt;0,"违规：请检查加仓管理表",IF(SUM($AQ$2:$AQ$201)&gt;账户数据!$B$7,"预警：超过账户风险上限",IF(COUNTIFS(加仓管理!$A$2:$A$1001,A46,加仓管理!$N$2:$N$1001,"&gt;0",加仓管理!$G$2:$G$1001,"")&gt;0,"提示：存在待执行加仓计划","通过")))))</f>
        <v>违规：请检查加仓管理表</v>
      </c>
    </row>
    <row r="47" spans="1:44">
      <c r="A47" s="10">
        <v>46</v>
      </c>
      <c r="B47" s="10" t="s">
        <v>53</v>
      </c>
      <c r="C47" s="7">
        <v>58019</v>
      </c>
      <c r="D47" s="4">
        <v>0.02</v>
      </c>
      <c r="E47" s="7">
        <v>19.399999999999999</v>
      </c>
      <c r="F47" s="6">
        <f t="shared" si="0"/>
        <v>1200</v>
      </c>
      <c r="G47" s="6" t="str">
        <f>IF(A47="","",IF(H47&lt;&gt;"","已开仓",IF(账户数据!$B$23="已锁仓","禁止开仓：连续亏损达到上限",IF(账户数据!$B$23="解锁信息不完整","禁止开仓：请完整填写解锁信息",IF(OR(F47="",E47="",N47="",E47&lt;=N47,账户数据!$B$7=""),"",IF(OR(AG47="",AH47="",AI47=""),"禁止开仓：交易预期未填写完整",IF(账户数据!$B$9+F47*(E47-N47)&gt;=账户数据!$B$7,"禁止开仓：风险额度不足",IF(AJ47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7" s="10">
        <v>1200</v>
      </c>
      <c r="I47" s="21">
        <v>44848</v>
      </c>
      <c r="J47" s="7">
        <v>20</v>
      </c>
      <c r="K47" s="7">
        <v>17.47</v>
      </c>
      <c r="L47" s="6">
        <f t="shared" si="1"/>
        <v>1200</v>
      </c>
      <c r="M47" s="21">
        <v>44868</v>
      </c>
      <c r="N47" s="7">
        <v>18.5</v>
      </c>
      <c r="O47" s="7"/>
      <c r="P47" s="7"/>
      <c r="Q47" s="10"/>
      <c r="R47" s="10"/>
      <c r="S47" s="10"/>
      <c r="T47" s="10"/>
      <c r="U47" s="5">
        <f t="shared" si="2"/>
        <v>3.0927835051546466E-2</v>
      </c>
      <c r="V47" s="5">
        <f t="shared" si="3"/>
        <v>4.639175257731952E-2</v>
      </c>
      <c r="W47" s="22">
        <f t="shared" si="4"/>
        <v>0.66666666666666918</v>
      </c>
      <c r="X47" s="3">
        <f t="shared" si="5"/>
        <v>-2315.9999999999995</v>
      </c>
      <c r="Y47" s="5">
        <f t="shared" si="6"/>
        <v>-9.9484536082474206E-2</v>
      </c>
      <c r="Z47" s="5">
        <f>IF(OR(AE47="",多次统计数据!$B$8=""),"",AE47-多次统计数据!$B$8)</f>
        <v>-0.15013062681923439</v>
      </c>
      <c r="AA47" s="8">
        <f t="shared" si="7"/>
        <v>20</v>
      </c>
      <c r="AB47" s="5">
        <f>IF(OR(A47="",多次统计数据!$B$8="",多次统计数据!$B$6&lt;=0,多次统计数据!$B$6&gt;=1),"",1-POWER(1+多次统计数据!$B$8,-多次统计数据!$B$6/(1-多次统计数据!$B$6)))</f>
        <v>8.152013270062719E-2</v>
      </c>
      <c r="AC47" s="6" t="str">
        <f>IF(OR(AB47="",多次统计数据!$B$9=""),"",IF(多次统计数据!$B$9&lt;AB47,"低于上限","达到或超过上限"))</f>
        <v>低于上限</v>
      </c>
      <c r="AD47" s="10"/>
      <c r="AE47" s="5">
        <f t="shared" si="8"/>
        <v>-3.991795791033971E-2</v>
      </c>
      <c r="AG47" s="10" t="s">
        <v>48</v>
      </c>
      <c r="AH47" s="10" t="s">
        <v>46</v>
      </c>
      <c r="AI47" s="10" t="s">
        <v>50</v>
      </c>
      <c r="AJ47" s="6" t="str">
        <f t="shared" si="9"/>
        <v>匹配</v>
      </c>
      <c r="AK47" s="23">
        <f>IF(A47="","",COUNTIFS(加仓管理!$A$2:$A$1001,A47,加仓管理!$G$2:$G$1001,"&gt;0"))</f>
        <v>0</v>
      </c>
      <c r="AL47" s="23">
        <f>IF(A47="","",SUMIFS(加仓管理!$G$2:$G$1001,加仓管理!$A$2:$A$1001,A47))</f>
        <v>0</v>
      </c>
      <c r="AM47" s="24" t="str">
        <f>IF(AK47=0,"",IFERROR(LOOKUP(2,1/((加仓管理!$A$2:$A$1001=A47)*(加仓管理!$G$2:$G$1001&gt;0)),加仓管理!$D$2:$D$1001),""))</f>
        <v/>
      </c>
      <c r="AN47" s="24" t="str">
        <f>IF(AK47=0,"",IFERROR(LOOKUP(2,1/((加仓管理!$A$2:$A$1001=A47)*(加仓管理!$G$2:$G$1001&gt;0)),加仓管理!$E$2:$E$1001),""))</f>
        <v/>
      </c>
      <c r="AO47" s="24">
        <f>IF(OR(A47="",H47="",H47&lt;=0),"",(E47*H47+SUMIFS(加仓管理!$H$2:$H$1001,加仓管理!$A$2:$A$1001,A47))/AP47)</f>
        <v>19.399999999999999</v>
      </c>
      <c r="AP47" s="23">
        <f t="shared" si="10"/>
        <v>1200</v>
      </c>
      <c r="AQ47" s="24">
        <f>IF(A47="","",IF(M47&lt;&gt;"",0,IF(OR(H47="",N47=""),"",MAX((E47*H47+SUMIFS(加仓管理!$H$2:$H$1001,加仓管理!$A$2:$A$1001,A47))-MAX(N47,AN47)*AP47,0))))</f>
        <v>0</v>
      </c>
      <c r="AR47" s="24" t="str">
        <f>IF(A47="","",IF(OR(E47="",H47=""),"违规：首次买入价格或股数缺失",IF(COUNTIFS(加仓管理!$A$2:$A$1001,A47,加仓管理!$R$2:$R$1001,"违规*")&gt;0,"违规：请检查加仓管理表",IF(SUM($AQ$2:$AQ$201)&gt;账户数据!$B$7,"预警：超过账户风险上限",IF(COUNTIFS(加仓管理!$A$2:$A$1001,A47,加仓管理!$N$2:$N$1001,"&gt;0",加仓管理!$G$2:$G$1001,"")&gt;0,"提示：存在待执行加仓计划","通过")))))</f>
        <v>通过</v>
      </c>
    </row>
    <row r="48" spans="1:44">
      <c r="A48" s="10">
        <v>47</v>
      </c>
      <c r="B48" s="10" t="s">
        <v>53</v>
      </c>
      <c r="C48" s="7">
        <v>55943</v>
      </c>
      <c r="D48" s="4">
        <v>0.02</v>
      </c>
      <c r="E48" s="7">
        <v>17.38</v>
      </c>
      <c r="F48" s="6">
        <f t="shared" si="0"/>
        <v>1200</v>
      </c>
      <c r="G48" s="6" t="str">
        <f>IF(A48="","",IF(H48&lt;&gt;"","已开仓",IF(账户数据!$B$23="已锁仓","禁止开仓：连续亏损达到上限",IF(账户数据!$B$23="解锁信息不完整","禁止开仓：请完整填写解锁信息",IF(OR(F48="",E48="",N48="",E48&lt;=N48,账户数据!$B$7=""),"",IF(OR(AG48="",AH48="",AI48=""),"禁止开仓：交易预期未填写完整",IF(账户数据!$B$9+F48*(E48-N48)&gt;=账户数据!$B$7,"禁止开仓：风险额度不足",IF(AJ48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8" s="10">
        <v>1200</v>
      </c>
      <c r="I48" s="21">
        <v>44868</v>
      </c>
      <c r="J48" s="7">
        <v>20</v>
      </c>
      <c r="K48" s="7">
        <v>19.84</v>
      </c>
      <c r="L48" s="6">
        <f t="shared" si="1"/>
        <v>3200</v>
      </c>
      <c r="M48" s="21">
        <v>44992</v>
      </c>
      <c r="N48" s="7">
        <v>16.5</v>
      </c>
      <c r="O48" s="7"/>
      <c r="P48" s="7"/>
      <c r="Q48" s="10"/>
      <c r="R48" s="10"/>
      <c r="S48" s="10"/>
      <c r="T48" s="10"/>
      <c r="U48" s="5">
        <f t="shared" si="2"/>
        <v>9.2597650915050553E-2</v>
      </c>
      <c r="V48" s="5">
        <f t="shared" si="3"/>
        <v>9.8606937995083299E-2</v>
      </c>
      <c r="W48" s="22">
        <f t="shared" si="4"/>
        <v>0.93905817174515271</v>
      </c>
      <c r="X48" s="3">
        <f t="shared" si="5"/>
        <v>4912</v>
      </c>
      <c r="Y48" s="5">
        <f t="shared" si="6"/>
        <v>8.3856869707730125E-2</v>
      </c>
      <c r="Z48" s="5">
        <f>IF(OR(AE48="",多次统计数据!$B$8=""),"",AE48-多次统计数据!$B$8)</f>
        <v>-2.240901161486325E-2</v>
      </c>
      <c r="AA48" s="8">
        <f t="shared" si="7"/>
        <v>124</v>
      </c>
      <c r="AB48" s="5">
        <f>IF(OR(A48="",多次统计数据!$B$8="",多次统计数据!$B$6&lt;=0,多次统计数据!$B$6&gt;=1),"",1-POWER(1+多次统计数据!$B$8,-多次统计数据!$B$6/(1-多次统计数据!$B$6)))</f>
        <v>8.152013270062719E-2</v>
      </c>
      <c r="AC48" s="6" t="str">
        <f>IF(OR(AB48="",多次统计数据!$B$9=""),"",IF(多次统计数据!$B$9&lt;AB48,"低于上限","达到或超过上限"))</f>
        <v>低于上限</v>
      </c>
      <c r="AD48" s="10"/>
      <c r="AE48" s="5">
        <f t="shared" si="8"/>
        <v>8.7803657294031431E-2</v>
      </c>
      <c r="AG48" s="10" t="s">
        <v>48</v>
      </c>
      <c r="AH48" s="10" t="s">
        <v>46</v>
      </c>
      <c r="AI48" s="10" t="s">
        <v>50</v>
      </c>
      <c r="AJ48" s="6" t="str">
        <f t="shared" si="9"/>
        <v>匹配</v>
      </c>
      <c r="AK48" s="23">
        <f>IF(A48="","",COUNTIFS(加仓管理!$A$2:$A$1001,A48,加仓管理!$G$2:$G$1001,"&gt;0"))</f>
        <v>3</v>
      </c>
      <c r="AL48" s="23">
        <f>IF(A48="","",SUMIFS(加仓管理!$G$2:$G$1001,加仓管理!$A$2:$A$1001,A48))</f>
        <v>2000</v>
      </c>
      <c r="AM48" s="24">
        <f>IF(AK48=0,"",IFERROR(LOOKUP(2,1/((加仓管理!$A$2:$A$1001=A48)*(加仓管理!$G$2:$G$1001&gt;0)),加仓管理!$D$2:$D$1001),""))</f>
        <v>20.32</v>
      </c>
      <c r="AN48" s="24">
        <f>IF(AK48=0,"",IFERROR(LOOKUP(2,1/((加仓管理!$A$2:$A$1001=A48)*(加仓管理!$G$2:$G$1001&gt;0)),加仓管理!$E$2:$E$1001),""))</f>
        <v>19</v>
      </c>
      <c r="AO48" s="24">
        <f>IF(OR(A48="",H48="",H48&lt;=0),"",(E48*H48+SUMIFS(加仓管理!$H$2:$H$1001,加仓管理!$A$2:$A$1001,A48))/AP48)</f>
        <v>18.305</v>
      </c>
      <c r="AP48" s="23">
        <f t="shared" si="10"/>
        <v>3200</v>
      </c>
      <c r="AQ48" s="24">
        <f>IF(A48="","",IF(M48&lt;&gt;"",0,IF(OR(H48="",N48=""),"",MAX((E48*H48+SUMIFS(加仓管理!$H$2:$H$1001,加仓管理!$A$2:$A$1001,A48))-MAX(N48,AN48)*AP48,0))))</f>
        <v>0</v>
      </c>
      <c r="AR48" s="24" t="str">
        <f>IF(A48="","",IF(OR(E48="",H48=""),"违规：首次买入价格或股数缺失",IF(COUNTIFS(加仓管理!$A$2:$A$1001,A48,加仓管理!$R$2:$R$1001,"违规*")&gt;0,"违规：请检查加仓管理表",IF(SUM($AQ$2:$AQ$201)&gt;账户数据!$B$7,"预警：超过账户风险上限",IF(COUNTIFS(加仓管理!$A$2:$A$1001,A48,加仓管理!$N$2:$N$1001,"&gt;0",加仓管理!$G$2:$G$1001,"")&gt;0,"提示：存在待执行加仓计划","通过")))))</f>
        <v>违规：请检查加仓管理表</v>
      </c>
    </row>
    <row r="49" spans="1:44">
      <c r="A49" s="10">
        <v>48</v>
      </c>
      <c r="B49" s="10" t="s">
        <v>53</v>
      </c>
      <c r="C49" s="7">
        <v>60615</v>
      </c>
      <c r="D49" s="4">
        <v>0.02</v>
      </c>
      <c r="E49" s="7">
        <v>22.11</v>
      </c>
      <c r="F49" s="6">
        <f t="shared" si="0"/>
        <v>1000</v>
      </c>
      <c r="G49" s="6" t="str">
        <f>IF(A49="","",IF(H49&lt;&gt;"","已开仓",IF(账户数据!$B$23="已锁仓","禁止开仓：连续亏损达到上限",IF(账户数据!$B$23="解锁信息不完整","禁止开仓：请完整填写解锁信息",IF(OR(F49="",E49="",N49="",E49&lt;=N49,账户数据!$B$7=""),"",IF(OR(AG49="",AH49="",AI49=""),"禁止开仓：交易预期未填写完整",IF(账户数据!$B$9+F49*(E49-N49)&gt;=账户数据!$B$7,"禁止开仓：风险额度不足",IF(AJ49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9" s="10">
        <v>1000</v>
      </c>
      <c r="I49" s="21">
        <v>45007</v>
      </c>
      <c r="J49" s="7">
        <v>25</v>
      </c>
      <c r="K49" s="7">
        <v>29.48</v>
      </c>
      <c r="L49" s="6">
        <f t="shared" si="1"/>
        <v>2500</v>
      </c>
      <c r="M49" s="21">
        <v>45051</v>
      </c>
      <c r="N49" s="7">
        <v>21</v>
      </c>
      <c r="O49" s="7"/>
      <c r="P49" s="7"/>
      <c r="Q49" s="10"/>
      <c r="R49" s="10"/>
      <c r="S49" s="10"/>
      <c r="T49" s="10"/>
      <c r="U49" s="5">
        <f t="shared" si="2"/>
        <v>4.3754175016699988E-2</v>
      </c>
      <c r="V49" s="5">
        <f t="shared" si="3"/>
        <v>0.12324649298597201</v>
      </c>
      <c r="W49" s="22">
        <f t="shared" si="4"/>
        <v>0.35501355013550051</v>
      </c>
      <c r="X49" s="3">
        <f t="shared" si="5"/>
        <v>13819.999999999996</v>
      </c>
      <c r="Y49" s="5">
        <f t="shared" si="6"/>
        <v>0.23079492317969263</v>
      </c>
      <c r="Z49" s="5">
        <f>IF(OR(AE49="",多次统计数据!$B$8=""),"",AE49-多次统计数据!$B$8)</f>
        <v>0.11778370162645128</v>
      </c>
      <c r="AA49" s="8">
        <f t="shared" si="7"/>
        <v>44</v>
      </c>
      <c r="AB49" s="5">
        <f>IF(OR(A49="",多次统计数据!$B$8="",多次统计数据!$B$6&lt;=0,多次统计数据!$B$6&gt;=1),"",1-POWER(1+多次统计数据!$B$8,-多次统计数据!$B$6/(1-多次统计数据!$B$6)))</f>
        <v>8.152013270062719E-2</v>
      </c>
      <c r="AC49" s="6" t="str">
        <f>IF(OR(AB49="",多次统计数据!$B$9=""),"",IF(多次统计数据!$B$9&lt;AB49,"低于上限","达到或超过上限"))</f>
        <v>低于上限</v>
      </c>
      <c r="AD49" s="10"/>
      <c r="AE49" s="5">
        <f t="shared" si="8"/>
        <v>0.22799637053534597</v>
      </c>
      <c r="AG49" s="10" t="s">
        <v>45</v>
      </c>
      <c r="AH49" s="10" t="s">
        <v>46</v>
      </c>
      <c r="AI49" s="10" t="s">
        <v>47</v>
      </c>
      <c r="AJ49" s="6" t="str">
        <f t="shared" si="9"/>
        <v>匹配</v>
      </c>
      <c r="AK49" s="23">
        <f>IF(A49="","",COUNTIFS(加仓管理!$A$2:$A$1001,A49,加仓管理!$G$2:$G$1001,"&gt;0"))</f>
        <v>3</v>
      </c>
      <c r="AL49" s="23">
        <f>IF(A49="","",SUMIFS(加仓管理!$G$2:$G$1001,加仓管理!$A$2:$A$1001,A49))</f>
        <v>1500</v>
      </c>
      <c r="AM49" s="24">
        <f>IF(AK49=0,"",IFERROR(LOOKUP(2,1/((加仓管理!$A$2:$A$1001=A49)*(加仓管理!$G$2:$G$1001&gt;0)),加仓管理!$D$2:$D$1001),""))</f>
        <v>27.25</v>
      </c>
      <c r="AN49" s="24">
        <f>IF(AK49=0,"",IFERROR(LOOKUP(2,1/((加仓管理!$A$2:$A$1001=A49)*(加仓管理!$G$2:$G$1001&gt;0)),加仓管理!$E$2:$E$1001),""))</f>
        <v>26</v>
      </c>
      <c r="AO49" s="24">
        <f>IF(OR(A49="",H49="",H49&lt;=0),"",(E49*H49+SUMIFS(加仓管理!$H$2:$H$1001,加仓管理!$A$2:$A$1001,A49))/AP49)</f>
        <v>23.952000000000002</v>
      </c>
      <c r="AP49" s="23">
        <f t="shared" si="10"/>
        <v>2500</v>
      </c>
      <c r="AQ49" s="24">
        <f>IF(A49="","",IF(M49&lt;&gt;"",0,IF(OR(H49="",N49=""),"",MAX((E49*H49+SUMIFS(加仓管理!$H$2:$H$1001,加仓管理!$A$2:$A$1001,A49))-MAX(N49,AN49)*AP49,0))))</f>
        <v>0</v>
      </c>
      <c r="AR49" s="24" t="str">
        <f>IF(A49="","",IF(OR(E49="",H49=""),"违规：首次买入价格或股数缺失",IF(COUNTIFS(加仓管理!$A$2:$A$1001,A49,加仓管理!$R$2:$R$1001,"违规*")&gt;0,"违规：请检查加仓管理表",IF(SUM($AQ$2:$AQ$201)&gt;账户数据!$B$7,"预警：超过账户风险上限",IF(COUNTIFS(加仓管理!$A$2:$A$1001,A49,加仓管理!$N$2:$N$1001,"&gt;0",加仓管理!$G$2:$G$1001,"")&gt;0,"提示：存在待执行加仓计划","通过")))))</f>
        <v>违规：请检查加仓管理表</v>
      </c>
    </row>
    <row r="50" spans="1:44">
      <c r="A50" s="10">
        <v>49</v>
      </c>
      <c r="B50" s="10" t="s">
        <v>53</v>
      </c>
      <c r="C50" s="7">
        <v>74435</v>
      </c>
      <c r="D50" s="4">
        <v>0.02</v>
      </c>
      <c r="E50" s="7">
        <v>30.97</v>
      </c>
      <c r="F50" s="6">
        <f t="shared" si="0"/>
        <v>1500</v>
      </c>
      <c r="G50" s="6" t="str">
        <f>IF(A50="","",IF(H50&lt;&gt;"","已开仓",IF(账户数据!$B$23="已锁仓","禁止开仓：连续亏损达到上限",IF(账户数据!$B$23="解锁信息不完整","禁止开仓：请完整填写解锁信息",IF(OR(F50="",E50="",N50="",E50&lt;=N50,账户数据!$B$7=""),"",IF(OR(AG50="",AH50="",AI50=""),"禁止开仓：交易预期未填写完整",IF(账户数据!$B$9+F50*(E50-N50)&gt;=账户数据!$B$7,"禁止开仓：风险额度不足",IF(AJ50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0" s="10">
        <v>1500</v>
      </c>
      <c r="I50" s="21">
        <v>45064</v>
      </c>
      <c r="J50" s="7">
        <v>40</v>
      </c>
      <c r="K50" s="7">
        <v>30.67</v>
      </c>
      <c r="L50" s="6">
        <f t="shared" si="1"/>
        <v>1500</v>
      </c>
      <c r="M50" s="21">
        <v>45072</v>
      </c>
      <c r="N50" s="7">
        <v>30</v>
      </c>
      <c r="O50" s="7"/>
      <c r="P50" s="7"/>
      <c r="Q50" s="10"/>
      <c r="R50" s="10"/>
      <c r="S50" s="10"/>
      <c r="T50" s="10"/>
      <c r="U50" s="5">
        <f t="shared" si="2"/>
        <v>0.29157248950597359</v>
      </c>
      <c r="V50" s="5">
        <f t="shared" si="3"/>
        <v>3.1320632870519824E-2</v>
      </c>
      <c r="W50" s="22">
        <f t="shared" si="4"/>
        <v>9.3092783505154753</v>
      </c>
      <c r="X50" s="3">
        <f t="shared" si="5"/>
        <v>-449.99999999999574</v>
      </c>
      <c r="Y50" s="5">
        <f t="shared" si="6"/>
        <v>-9.6867936712947099E-3</v>
      </c>
      <c r="Z50" s="5">
        <f>IF(OR(AE50="",多次统计数据!$B$8=""),"",AE50-多次统计数据!$B$8)</f>
        <v>-0.11625821200018233</v>
      </c>
      <c r="AA50" s="8">
        <f t="shared" si="7"/>
        <v>8</v>
      </c>
      <c r="AB50" s="5">
        <f>IF(OR(A50="",多次统计数据!$B$8="",多次统计数据!$B$6&lt;=0,多次统计数据!$B$6&gt;=1),"",1-POWER(1+多次统计数据!$B$8,-多次统计数据!$B$6/(1-多次统计数据!$B$6)))</f>
        <v>8.152013270062719E-2</v>
      </c>
      <c r="AC50" s="6" t="str">
        <f>IF(OR(AB50="",多次统计数据!$B$9=""),"",IF(多次统计数据!$B$9&lt;AB50,"低于上限","达到或超过上限"))</f>
        <v>低于上限</v>
      </c>
      <c r="AD50" s="10"/>
      <c r="AE50" s="5">
        <f t="shared" si="8"/>
        <v>-6.0455430912876437E-3</v>
      </c>
      <c r="AG50" s="10" t="s">
        <v>51</v>
      </c>
      <c r="AH50" s="10" t="s">
        <v>52</v>
      </c>
      <c r="AI50" s="10" t="s">
        <v>49</v>
      </c>
      <c r="AJ50" s="6" t="str">
        <f t="shared" si="9"/>
        <v>匹配</v>
      </c>
      <c r="AK50" s="23">
        <f>IF(A50="","",COUNTIFS(加仓管理!$A$2:$A$1001,A50,加仓管理!$G$2:$G$1001,"&gt;0"))</f>
        <v>0</v>
      </c>
      <c r="AL50" s="23">
        <f>IF(A50="","",SUMIFS(加仓管理!$G$2:$G$1001,加仓管理!$A$2:$A$1001,A50))</f>
        <v>0</v>
      </c>
      <c r="AM50" s="24" t="str">
        <f>IF(AK50=0,"",IFERROR(LOOKUP(2,1/((加仓管理!$A$2:$A$1001=A50)*(加仓管理!$G$2:$G$1001&gt;0)),加仓管理!$D$2:$D$1001),""))</f>
        <v/>
      </c>
      <c r="AN50" s="24" t="str">
        <f>IF(AK50=0,"",IFERROR(LOOKUP(2,1/((加仓管理!$A$2:$A$1001=A50)*(加仓管理!$G$2:$G$1001&gt;0)),加仓管理!$E$2:$E$1001),""))</f>
        <v/>
      </c>
      <c r="AO50" s="24">
        <f>IF(OR(A50="",H50="",H50&lt;=0),"",(E50*H50+SUMIFS(加仓管理!$H$2:$H$1001,加仓管理!$A$2:$A$1001,A50))/AP50)</f>
        <v>30.97</v>
      </c>
      <c r="AP50" s="23">
        <f t="shared" si="10"/>
        <v>1500</v>
      </c>
      <c r="AQ50" s="24">
        <f>IF(A50="","",IF(M50&lt;&gt;"",0,IF(OR(H50="",N50=""),"",MAX((E50*H50+SUMIFS(加仓管理!$H$2:$H$1001,加仓管理!$A$2:$A$1001,A50))-MAX(N50,AN50)*AP50,0))))</f>
        <v>0</v>
      </c>
      <c r="AR50" s="24" t="str">
        <f>IF(A50="","",IF(OR(E50="",H50=""),"违规：首次买入价格或股数缺失",IF(COUNTIFS(加仓管理!$A$2:$A$1001,A50,加仓管理!$R$2:$R$1001,"违规*")&gt;0,"违规：请检查加仓管理表",IF(SUM($AQ$2:$AQ$201)&gt;账户数据!$B$7,"预警：超过账户风险上限",IF(COUNTIFS(加仓管理!$A$2:$A$1001,A50,加仓管理!$N$2:$N$1001,"&gt;0",加仓管理!$G$2:$G$1001,"")&gt;0,"提示：存在待执行加仓计划","通过")))))</f>
        <v>通过</v>
      </c>
    </row>
    <row r="51" spans="1:44">
      <c r="A51" s="10">
        <v>50</v>
      </c>
      <c r="B51" s="10" t="s">
        <v>53</v>
      </c>
      <c r="C51" s="7">
        <v>73985</v>
      </c>
      <c r="D51" s="4">
        <v>0.02</v>
      </c>
      <c r="E51" s="7">
        <v>33.06</v>
      </c>
      <c r="F51" s="6">
        <f t="shared" si="0"/>
        <v>700</v>
      </c>
      <c r="G51" s="6" t="str">
        <f>IF(A51="","",IF(H51&lt;&gt;"","已开仓",IF(账户数据!$B$23="已锁仓","禁止开仓：连续亏损达到上限",IF(账户数据!$B$23="解锁信息不完整","禁止开仓：请完整填写解锁信息",IF(OR(F51="",E51="",N51="",E51&lt;=N51,账户数据!$B$7=""),"",IF(OR(AG51="",AH51="",AI51=""),"禁止开仓：交易预期未填写完整",IF(账户数据!$B$9+F51*(E51-N51)&gt;=账户数据!$B$7,"禁止开仓：风险额度不足",IF(AJ51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1" s="10">
        <v>700</v>
      </c>
      <c r="I51" s="21">
        <v>45076</v>
      </c>
      <c r="J51" s="7">
        <v>40</v>
      </c>
      <c r="K51" s="7">
        <v>37.25</v>
      </c>
      <c r="L51" s="6">
        <f t="shared" si="1"/>
        <v>1600</v>
      </c>
      <c r="M51" s="21">
        <v>45098</v>
      </c>
      <c r="N51" s="7">
        <v>31</v>
      </c>
      <c r="O51" s="7"/>
      <c r="P51" s="7"/>
      <c r="Q51" s="10"/>
      <c r="R51" s="10"/>
      <c r="S51" s="10"/>
      <c r="T51" s="10"/>
      <c r="U51" s="5">
        <f t="shared" si="2"/>
        <v>0.11753304580139332</v>
      </c>
      <c r="V51" s="5">
        <f t="shared" si="3"/>
        <v>0.13391188950392019</v>
      </c>
      <c r="W51" s="22">
        <f t="shared" si="4"/>
        <v>0.87768939887860076</v>
      </c>
      <c r="X51" s="3">
        <f t="shared" si="5"/>
        <v>2330.9999999999945</v>
      </c>
      <c r="Y51" s="5">
        <f t="shared" si="6"/>
        <v>4.0702648902547524E-2</v>
      </c>
      <c r="Z51" s="5">
        <f>IF(OR(AE51="",多次统计数据!$B$8=""),"",AE51-多次统计数据!$B$8)</f>
        <v>-7.8706282479213061E-2</v>
      </c>
      <c r="AA51" s="8">
        <f t="shared" si="7"/>
        <v>22</v>
      </c>
      <c r="AB51" s="5">
        <f>IF(OR(A51="",多次统计数据!$B$8="",多次统计数据!$B$6&lt;=0,多次统计数据!$B$6&gt;=1),"",1-POWER(1+多次统计数据!$B$8,-多次统计数据!$B$6/(1-多次统计数据!$B$6)))</f>
        <v>8.152013270062719E-2</v>
      </c>
      <c r="AC51" s="6" t="str">
        <f>IF(OR(AB51="",多次统计数据!$B$9=""),"",IF(多次统计数据!$B$9&lt;AB51,"低于上限","达到或超过上限"))</f>
        <v>低于上限</v>
      </c>
      <c r="AD51" s="10"/>
      <c r="AE51" s="5">
        <f t="shared" si="8"/>
        <v>3.1506386429681621E-2</v>
      </c>
      <c r="AG51" s="10" t="s">
        <v>51</v>
      </c>
      <c r="AH51" s="10" t="s">
        <v>52</v>
      </c>
      <c r="AI51" s="10" t="s">
        <v>49</v>
      </c>
      <c r="AJ51" s="6" t="str">
        <f t="shared" si="9"/>
        <v>匹配</v>
      </c>
      <c r="AK51" s="23">
        <f>IF(A51="","",COUNTIFS(加仓管理!$A$2:$A$1001,A51,加仓管理!$G$2:$G$1001,"&gt;0"))</f>
        <v>2</v>
      </c>
      <c r="AL51" s="23">
        <f>IF(A51="","",SUMIFS(加仓管理!$G$2:$G$1001,加仓管理!$A$2:$A$1001,A51))</f>
        <v>900</v>
      </c>
      <c r="AM51" s="24">
        <f>IF(AK51=0,"",IFERROR(LOOKUP(2,1/((加仓管理!$A$2:$A$1001=A51)*(加仓管理!$G$2:$G$1001&gt;0)),加仓管理!$D$2:$D$1001),""))</f>
        <v>40.53</v>
      </c>
      <c r="AN51" s="24">
        <f>IF(AK51=0,"",IFERROR(LOOKUP(2,1/((加仓管理!$A$2:$A$1001=A51)*(加仓管理!$G$2:$G$1001&gt;0)),加仓管理!$E$2:$E$1001),""))</f>
        <v>37</v>
      </c>
      <c r="AO51" s="24">
        <f>IF(OR(A51="",H51="",H51&lt;=0),"",(E51*H51+SUMIFS(加仓管理!$H$2:$H$1001,加仓管理!$A$2:$A$1001,A51))/AP51)</f>
        <v>35.793125000000003</v>
      </c>
      <c r="AP51" s="23">
        <f t="shared" si="10"/>
        <v>1600</v>
      </c>
      <c r="AQ51" s="24">
        <f>IF(A51="","",IF(M51&lt;&gt;"",0,IF(OR(H51="",N51=""),"",MAX((E51*H51+SUMIFS(加仓管理!$H$2:$H$1001,加仓管理!$A$2:$A$1001,A51))-MAX(N51,AN51)*AP51,0))))</f>
        <v>0</v>
      </c>
      <c r="AR51" s="24" t="str">
        <f>IF(A51="","",IF(OR(E51="",H51=""),"违规：首次买入价格或股数缺失",IF(COUNTIFS(加仓管理!$A$2:$A$1001,A51,加仓管理!$R$2:$R$1001,"违规*")&gt;0,"违规：请检查加仓管理表",IF(SUM($AQ$2:$AQ$201)&gt;账户数据!$B$7,"预警：超过账户风险上限",IF(COUNTIFS(加仓管理!$A$2:$A$1001,A51,加仓管理!$N$2:$N$1001,"&gt;0",加仓管理!$G$2:$G$1001,"")&gt;0,"提示：存在待执行加仓计划","通过")))))</f>
        <v>违规：请检查加仓管理表</v>
      </c>
    </row>
    <row r="52" spans="1:44">
      <c r="A52" s="10">
        <v>51</v>
      </c>
      <c r="B52" s="10" t="s">
        <v>53</v>
      </c>
      <c r="C52" s="7">
        <v>76316</v>
      </c>
      <c r="D52" s="4">
        <v>0.02</v>
      </c>
      <c r="E52" s="7">
        <v>39.5</v>
      </c>
      <c r="F52" s="6">
        <f t="shared" si="0"/>
        <v>1000</v>
      </c>
      <c r="G52" s="6" t="str">
        <f>IF(A52="","",IF(H52&lt;&gt;"","已开仓",IF(账户数据!$B$23="已锁仓","禁止开仓：连续亏损达到上限",IF(账户数据!$B$23="解锁信息不完整","禁止开仓：请完整填写解锁信息",IF(OR(F52="",E52="",N52="",E52&lt;=N52,账户数据!$B$7=""),"",IF(OR(AG52="",AH52="",AI52=""),"禁止开仓：交易预期未填写完整",IF(账户数据!$B$9+F52*(E52-N52)&gt;=账户数据!$B$7,"禁止开仓：风险额度不足",IF(AJ52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2" s="10">
        <v>1000</v>
      </c>
      <c r="I52" s="21">
        <v>45112</v>
      </c>
      <c r="J52" s="7">
        <v>45</v>
      </c>
      <c r="K52" s="7">
        <v>39.14</v>
      </c>
      <c r="L52" s="6">
        <f t="shared" si="1"/>
        <v>1500</v>
      </c>
      <c r="M52" s="21">
        <v>45127</v>
      </c>
      <c r="N52" s="7">
        <v>38</v>
      </c>
      <c r="O52" s="7"/>
      <c r="P52" s="7"/>
      <c r="Q52" s="10"/>
      <c r="R52" s="10"/>
      <c r="S52" s="10"/>
      <c r="T52" s="10"/>
      <c r="U52" s="5">
        <f t="shared" si="2"/>
        <v>9.1350040420371842E-2</v>
      </c>
      <c r="V52" s="5">
        <f t="shared" si="3"/>
        <v>7.8415521422797105E-2</v>
      </c>
      <c r="W52" s="22">
        <f t="shared" si="4"/>
        <v>1.1649484536082468</v>
      </c>
      <c r="X52" s="3">
        <f t="shared" si="5"/>
        <v>-3140.0000000000005</v>
      </c>
      <c r="Y52" s="5">
        <f t="shared" si="6"/>
        <v>-5.076798706548101E-2</v>
      </c>
      <c r="Z52" s="5">
        <f>IF(OR(AE52="",多次统计数据!$B$8=""),"",AE52-多次统计数据!$B$8)</f>
        <v>-0.15135738299244206</v>
      </c>
      <c r="AA52" s="8">
        <f t="shared" si="7"/>
        <v>15</v>
      </c>
      <c r="AB52" s="5">
        <f>IF(OR(A52="",多次统计数据!$B$8="",多次统计数据!$B$6&lt;=0,多次统计数据!$B$6&gt;=1),"",1-POWER(1+多次统计数据!$B$8,-多次统计数据!$B$6/(1-多次统计数据!$B$6)))</f>
        <v>8.152013270062719E-2</v>
      </c>
      <c r="AC52" s="6" t="str">
        <f>IF(OR(AB52="",多次统计数据!$B$9=""),"",IF(多次统计数据!$B$9&lt;AB52,"低于上限","达到或超过上限"))</f>
        <v>低于上限</v>
      </c>
      <c r="AD52" s="10"/>
      <c r="AE52" s="5">
        <f t="shared" si="8"/>
        <v>-4.1144714083547362E-2</v>
      </c>
      <c r="AG52" s="10" t="s">
        <v>45</v>
      </c>
      <c r="AH52" s="10" t="s">
        <v>46</v>
      </c>
      <c r="AI52" s="10" t="s">
        <v>47</v>
      </c>
      <c r="AJ52" s="6" t="str">
        <f t="shared" si="9"/>
        <v>匹配</v>
      </c>
      <c r="AK52" s="23">
        <f>IF(A52="","",COUNTIFS(加仓管理!$A$2:$A$1001,A52,加仓管理!$G$2:$G$1001,"&gt;0"))</f>
        <v>1</v>
      </c>
      <c r="AL52" s="23">
        <f>IF(A52="","",SUMIFS(加仓管理!$G$2:$G$1001,加仓管理!$A$2:$A$1001,A52))</f>
        <v>500</v>
      </c>
      <c r="AM52" s="24">
        <f>IF(AK52=0,"",IFERROR(LOOKUP(2,1/((加仓管理!$A$2:$A$1001=A52)*(加仓管理!$G$2:$G$1001&gt;0)),加仓管理!$D$2:$D$1001),""))</f>
        <v>44.7</v>
      </c>
      <c r="AN52" s="24">
        <f>IF(AK52=0,"",IFERROR(LOOKUP(2,1/((加仓管理!$A$2:$A$1001=A52)*(加仓管理!$G$2:$G$1001&gt;0)),加仓管理!$E$2:$E$1001),""))</f>
        <v>40</v>
      </c>
      <c r="AO52" s="24">
        <f>IF(OR(A52="",H52="",H52&lt;=0),"",(E52*H52+SUMIFS(加仓管理!$H$2:$H$1001,加仓管理!$A$2:$A$1001,A52))/AP52)</f>
        <v>41.233333333333334</v>
      </c>
      <c r="AP52" s="23">
        <f t="shared" si="10"/>
        <v>1500</v>
      </c>
      <c r="AQ52" s="24">
        <f>IF(A52="","",IF(M52&lt;&gt;"",0,IF(OR(H52="",N52=""),"",MAX((E52*H52+SUMIFS(加仓管理!$H$2:$H$1001,加仓管理!$A$2:$A$1001,A52))-MAX(N52,AN52)*AP52,0))))</f>
        <v>0</v>
      </c>
      <c r="AR52" s="24" t="str">
        <f>IF(A52="","",IF(OR(E52="",H52=""),"违规：首次买入价格或股数缺失",IF(COUNTIFS(加仓管理!$A$2:$A$1001,A52,加仓管理!$R$2:$R$1001,"违规*")&gt;0,"违规：请检查加仓管理表",IF(SUM($AQ$2:$AQ$201)&gt;账户数据!$B$7,"预警：超过账户风险上限",IF(COUNTIFS(加仓管理!$A$2:$A$1001,A52,加仓管理!$N$2:$N$1001,"&gt;0",加仓管理!$G$2:$G$1001,"")&gt;0,"提示：存在待执行加仓计划","通过")))))</f>
        <v>违规：请检查加仓管理表</v>
      </c>
    </row>
    <row r="53" spans="1:44">
      <c r="A53" s="10">
        <v>52</v>
      </c>
      <c r="B53" s="10" t="s">
        <v>53</v>
      </c>
      <c r="C53" s="7">
        <v>73176</v>
      </c>
      <c r="D53" s="4">
        <v>0.02</v>
      </c>
      <c r="E53" s="7">
        <v>33.299999999999997</v>
      </c>
      <c r="F53" s="6">
        <f t="shared" si="0"/>
        <v>800</v>
      </c>
      <c r="G53" s="6" t="str">
        <f>IF(A53="","",IF(H53&lt;&gt;"","已开仓",IF(账户数据!$B$23="已锁仓","禁止开仓：连续亏损达到上限",IF(账户数据!$B$23="解锁信息不完整","禁止开仓：请完整填写解锁信息",IF(OR(F53="",E53="",N53="",E53&lt;=N53,账户数据!$B$7=""),"",IF(OR(AG53="",AH53="",AI53=""),"禁止开仓：交易预期未填写完整",IF(账户数据!$B$9+F53*(E53-N53)&gt;=账户数据!$B$7,"禁止开仓：风险额度不足",IF(AJ53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3" s="10">
        <v>800</v>
      </c>
      <c r="I53" s="21">
        <v>45181</v>
      </c>
      <c r="J53" s="7">
        <v>40</v>
      </c>
      <c r="K53" s="7">
        <v>30.91</v>
      </c>
      <c r="L53" s="6">
        <f t="shared" si="1"/>
        <v>800</v>
      </c>
      <c r="M53" s="21">
        <v>45184</v>
      </c>
      <c r="N53" s="7">
        <v>31.5</v>
      </c>
      <c r="O53" s="7"/>
      <c r="P53" s="7"/>
      <c r="Q53" s="10"/>
      <c r="R53" s="10"/>
      <c r="S53" s="10"/>
      <c r="T53" s="10"/>
      <c r="U53" s="5">
        <f t="shared" si="2"/>
        <v>0.2012012012012013</v>
      </c>
      <c r="V53" s="5">
        <f t="shared" si="3"/>
        <v>5.4054054054053974E-2</v>
      </c>
      <c r="W53" s="22">
        <f t="shared" si="4"/>
        <v>3.7222222222222294</v>
      </c>
      <c r="X53" s="3">
        <f t="shared" si="5"/>
        <v>-1911.9999999999977</v>
      </c>
      <c r="Y53" s="5">
        <f t="shared" si="6"/>
        <v>-7.17717717717717E-2</v>
      </c>
      <c r="Z53" s="5">
        <f>IF(OR(AE53="",多次统计数据!$B$8=""),"",AE53-多次统计数据!$B$8)</f>
        <v>-0.13634145430301295</v>
      </c>
      <c r="AA53" s="8">
        <f t="shared" si="7"/>
        <v>3</v>
      </c>
      <c r="AB53" s="5">
        <f>IF(OR(A53="",多次统计数据!$B$8="",多次统计数据!$B$6&lt;=0,多次统计数据!$B$6&gt;=1),"",1-POWER(1+多次统计数据!$B$8,-多次统计数据!$B$6/(1-多次统计数据!$B$6)))</f>
        <v>8.152013270062719E-2</v>
      </c>
      <c r="AC53" s="6" t="str">
        <f>IF(OR(AB53="",多次统计数据!$B$9=""),"",IF(多次统计数据!$B$9&lt;AB53,"低于上限","达到或超过上限"))</f>
        <v>低于上限</v>
      </c>
      <c r="AD53" s="10"/>
      <c r="AE53" s="5">
        <f t="shared" si="8"/>
        <v>-2.612878539411826E-2</v>
      </c>
      <c r="AG53" s="10" t="s">
        <v>51</v>
      </c>
      <c r="AH53" s="10" t="s">
        <v>52</v>
      </c>
      <c r="AI53" s="10" t="s">
        <v>49</v>
      </c>
      <c r="AJ53" s="6" t="str">
        <f t="shared" si="9"/>
        <v>匹配</v>
      </c>
      <c r="AK53" s="23">
        <f>IF(A53="","",COUNTIFS(加仓管理!$A$2:$A$1001,A53,加仓管理!$G$2:$G$1001,"&gt;0"))</f>
        <v>0</v>
      </c>
      <c r="AL53" s="23">
        <f>IF(A53="","",SUMIFS(加仓管理!$G$2:$G$1001,加仓管理!$A$2:$A$1001,A53))</f>
        <v>0</v>
      </c>
      <c r="AM53" s="24" t="str">
        <f>IF(AK53=0,"",IFERROR(LOOKUP(2,1/((加仓管理!$A$2:$A$1001=A53)*(加仓管理!$G$2:$G$1001&gt;0)),加仓管理!$D$2:$D$1001),""))</f>
        <v/>
      </c>
      <c r="AN53" s="24" t="str">
        <f>IF(AK53=0,"",IFERROR(LOOKUP(2,1/((加仓管理!$A$2:$A$1001=A53)*(加仓管理!$G$2:$G$1001&gt;0)),加仓管理!$E$2:$E$1001),""))</f>
        <v/>
      </c>
      <c r="AO53" s="24">
        <f>IF(OR(A53="",H53="",H53&lt;=0),"",(E53*H53+SUMIFS(加仓管理!$H$2:$H$1001,加仓管理!$A$2:$A$1001,A53))/AP53)</f>
        <v>33.299999999999997</v>
      </c>
      <c r="AP53" s="23">
        <f t="shared" si="10"/>
        <v>800</v>
      </c>
      <c r="AQ53" s="24">
        <f>IF(A53="","",IF(M53&lt;&gt;"",0,IF(OR(H53="",N53=""),"",MAX((E53*H53+SUMIFS(加仓管理!$H$2:$H$1001,加仓管理!$A$2:$A$1001,A53))-MAX(N53,AN53)*AP53,0))))</f>
        <v>0</v>
      </c>
      <c r="AR53" s="24" t="str">
        <f>IF(A53="","",IF(OR(E53="",H53=""),"违规：首次买入价格或股数缺失",IF(COUNTIFS(加仓管理!$A$2:$A$1001,A53,加仓管理!$R$2:$R$1001,"违规*")&gt;0,"违规：请检查加仓管理表",IF(SUM($AQ$2:$AQ$201)&gt;账户数据!$B$7,"预警：超过账户风险上限",IF(COUNTIFS(加仓管理!$A$2:$A$1001,A53,加仓管理!$N$2:$N$1001,"&gt;0",加仓管理!$G$2:$G$1001,"")&gt;0,"提示：存在待执行加仓计划","通过")))))</f>
        <v>通过</v>
      </c>
    </row>
    <row r="54" spans="1:44">
      <c r="A54" s="10">
        <v>53</v>
      </c>
      <c r="B54" s="10" t="s">
        <v>53</v>
      </c>
      <c r="C54" s="7">
        <v>71264</v>
      </c>
      <c r="D54" s="4">
        <v>0.02</v>
      </c>
      <c r="E54" s="7">
        <v>29.81</v>
      </c>
      <c r="F54" s="6">
        <f t="shared" si="0"/>
        <v>1700</v>
      </c>
      <c r="G54" s="6" t="str">
        <f>IF(A54="","",IF(H54&lt;&gt;"","已开仓",IF(账户数据!$B$23="已锁仓","禁止开仓：连续亏损达到上限",IF(账户数据!$B$23="解锁信息不完整","禁止开仓：请完整填写解锁信息",IF(OR(F54="",E54="",N54="",E54&lt;=N54,账户数据!$B$7=""),"",IF(OR(AG54="",AH54="",AI54=""),"禁止开仓：交易预期未填写完整",IF(账户数据!$B$9+F54*(E54-N54)&gt;=账户数据!$B$7,"禁止开仓：风险额度不足",IF(AJ54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4" s="10">
        <v>1700</v>
      </c>
      <c r="I54" s="21">
        <v>45237</v>
      </c>
      <c r="J54" s="7">
        <v>33</v>
      </c>
      <c r="K54" s="7">
        <v>29.71</v>
      </c>
      <c r="L54" s="6">
        <f t="shared" si="1"/>
        <v>1700</v>
      </c>
      <c r="M54" s="21">
        <v>45257</v>
      </c>
      <c r="N54" s="7">
        <v>29</v>
      </c>
      <c r="O54" s="7"/>
      <c r="P54" s="7"/>
      <c r="Q54" s="10"/>
      <c r="R54" s="10"/>
      <c r="S54" s="10"/>
      <c r="T54" s="10"/>
      <c r="U54" s="5">
        <f t="shared" si="2"/>
        <v>0.10701107011070116</v>
      </c>
      <c r="V54" s="5">
        <f t="shared" si="3"/>
        <v>2.7172089902717168E-2</v>
      </c>
      <c r="W54" s="22">
        <f t="shared" si="4"/>
        <v>3.9382716049382793</v>
      </c>
      <c r="X54" s="3">
        <f t="shared" si="5"/>
        <v>-169.99999999999636</v>
      </c>
      <c r="Y54" s="5">
        <f t="shared" si="6"/>
        <v>-3.3545790003353861E-3</v>
      </c>
      <c r="Z54" s="5">
        <f>IF(OR(AE54="",多次统计数据!$B$8=""),"",AE54-多次统计数据!$B$8)</f>
        <v>-0.11259816509210074</v>
      </c>
      <c r="AA54" s="8">
        <f t="shared" si="7"/>
        <v>20</v>
      </c>
      <c r="AB54" s="5">
        <f>IF(OR(A54="",多次统计数据!$B$8="",多次统计数据!$B$6&lt;=0,多次统计数据!$B$6&gt;=1),"",1-POWER(1+多次统计数据!$B$8,-多次统计数据!$B$6/(1-多次统计数据!$B$6)))</f>
        <v>8.152013270062719E-2</v>
      </c>
      <c r="AC54" s="6" t="str">
        <f>IF(OR(AB54="",多次统计数据!$B$9=""),"",IF(多次统计数据!$B$9&lt;AB54,"低于上限","达到或超过上限"))</f>
        <v>低于上限</v>
      </c>
      <c r="AD54" s="10"/>
      <c r="AE54" s="5">
        <f t="shared" si="8"/>
        <v>-2.3854961832060558E-3</v>
      </c>
      <c r="AG54" s="10" t="s">
        <v>48</v>
      </c>
      <c r="AH54" s="10" t="s">
        <v>46</v>
      </c>
      <c r="AI54" s="10" t="s">
        <v>50</v>
      </c>
      <c r="AJ54" s="6" t="str">
        <f t="shared" si="9"/>
        <v>匹配</v>
      </c>
      <c r="AK54" s="23">
        <f>IF(A54="","",COUNTIFS(加仓管理!$A$2:$A$1001,A54,加仓管理!$G$2:$G$1001,"&gt;0"))</f>
        <v>0</v>
      </c>
      <c r="AL54" s="23">
        <f>IF(A54="","",SUMIFS(加仓管理!$G$2:$G$1001,加仓管理!$A$2:$A$1001,A54))</f>
        <v>0</v>
      </c>
      <c r="AM54" s="24" t="str">
        <f>IF(AK54=0,"",IFERROR(LOOKUP(2,1/((加仓管理!$A$2:$A$1001=A54)*(加仓管理!$G$2:$G$1001&gt;0)),加仓管理!$D$2:$D$1001),""))</f>
        <v/>
      </c>
      <c r="AN54" s="24" t="str">
        <f>IF(AK54=0,"",IFERROR(LOOKUP(2,1/((加仓管理!$A$2:$A$1001=A54)*(加仓管理!$G$2:$G$1001&gt;0)),加仓管理!$E$2:$E$1001),""))</f>
        <v/>
      </c>
      <c r="AO54" s="24">
        <f>IF(OR(A54="",H54="",H54&lt;=0),"",(E54*H54+SUMIFS(加仓管理!$H$2:$H$1001,加仓管理!$A$2:$A$1001,A54))/AP54)</f>
        <v>29.81</v>
      </c>
      <c r="AP54" s="23">
        <f t="shared" si="10"/>
        <v>1700</v>
      </c>
      <c r="AQ54" s="24">
        <f>IF(A54="","",IF(M54&lt;&gt;"",0,IF(OR(H54="",N54=""),"",MAX((E54*H54+SUMIFS(加仓管理!$H$2:$H$1001,加仓管理!$A$2:$A$1001,A54))-MAX(N54,AN54)*AP54,0))))</f>
        <v>0</v>
      </c>
      <c r="AR54" s="24" t="str">
        <f>IF(A54="","",IF(OR(E54="",H54=""),"违规：首次买入价格或股数缺失",IF(COUNTIFS(加仓管理!$A$2:$A$1001,A54,加仓管理!$R$2:$R$1001,"违规*")&gt;0,"违规：请检查加仓管理表",IF(SUM($AQ$2:$AQ$201)&gt;账户数据!$B$7,"预警：超过账户风险上限",IF(COUNTIFS(加仓管理!$A$2:$A$1001,A54,加仓管理!$N$2:$N$1001,"&gt;0",加仓管理!$G$2:$G$1001,"")&gt;0,"提示：存在待执行加仓计划","通过")))))</f>
        <v>通过</v>
      </c>
    </row>
    <row r="55" spans="1:44">
      <c r="A55" s="10">
        <v>54</v>
      </c>
      <c r="B55" s="10" t="s">
        <v>53</v>
      </c>
      <c r="C55" s="7">
        <v>71094</v>
      </c>
      <c r="D55" s="4">
        <v>0.02</v>
      </c>
      <c r="E55" s="7">
        <v>31.98</v>
      </c>
      <c r="F55" s="6">
        <f t="shared" si="0"/>
        <v>900</v>
      </c>
      <c r="G55" s="6" t="str">
        <f>IF(A55="","",IF(H55&lt;&gt;"","已开仓",IF(账户数据!$B$23="已锁仓","禁止开仓：连续亏损达到上限",IF(账户数据!$B$23="解锁信息不完整","禁止开仓：请完整填写解锁信息",IF(OR(F55="",E55="",N55="",E55&lt;=N55,账户数据!$B$7=""),"",IF(OR(AG55="",AH55="",AI55=""),"禁止开仓：交易预期未填写完整",IF(账户数据!$B$9+F55*(E55-N55)&gt;=账户数据!$B$7,"禁止开仓：风险额度不足",IF(AJ55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5" s="10">
        <v>900</v>
      </c>
      <c r="I55" s="21">
        <v>45268</v>
      </c>
      <c r="J55" s="7">
        <v>35</v>
      </c>
      <c r="K55" s="7">
        <v>30.17</v>
      </c>
      <c r="L55" s="6">
        <f t="shared" si="1"/>
        <v>900</v>
      </c>
      <c r="M55" s="21">
        <v>45278</v>
      </c>
      <c r="N55" s="7">
        <v>30.5</v>
      </c>
      <c r="O55" s="7"/>
      <c r="P55" s="7"/>
      <c r="Q55" s="10"/>
      <c r="R55" s="10"/>
      <c r="S55" s="10"/>
      <c r="T55" s="10"/>
      <c r="U55" s="5">
        <f t="shared" si="2"/>
        <v>9.4434021263289536E-2</v>
      </c>
      <c r="V55" s="5">
        <f t="shared" si="3"/>
        <v>4.6278924327704828E-2</v>
      </c>
      <c r="W55" s="22">
        <f t="shared" si="4"/>
        <v>2.0405405405405395</v>
      </c>
      <c r="X55" s="3">
        <f t="shared" si="5"/>
        <v>-1628.9999999999989</v>
      </c>
      <c r="Y55" s="5">
        <f t="shared" si="6"/>
        <v>-5.6597873671044366E-2</v>
      </c>
      <c r="Z55" s="5">
        <f>IF(OR(AE55="",多次统计数据!$B$8=""),"",AE55-多次统计数据!$B$8)</f>
        <v>-0.13312599492796801</v>
      </c>
      <c r="AA55" s="8">
        <f t="shared" si="7"/>
        <v>10</v>
      </c>
      <c r="AB55" s="5">
        <f>IF(OR(A55="",多次统计数据!$B$8="",多次统计数据!$B$6&lt;=0,多次统计数据!$B$6&gt;=1),"",1-POWER(1+多次统计数据!$B$8,-多次统计数据!$B$6/(1-多次统计数据!$B$6)))</f>
        <v>8.152013270062719E-2</v>
      </c>
      <c r="AC55" s="6" t="str">
        <f>IF(OR(AB55="",多次统计数据!$B$9=""),"",IF(多次统计数据!$B$9&lt;AB55,"低于上限","达到或超过上限"))</f>
        <v>低于上限</v>
      </c>
      <c r="AD55" s="10"/>
      <c r="AE55" s="5">
        <f t="shared" si="8"/>
        <v>-2.2913326019073324E-2</v>
      </c>
      <c r="AG55" s="10" t="s">
        <v>51</v>
      </c>
      <c r="AH55" s="10" t="s">
        <v>52</v>
      </c>
      <c r="AI55" s="10" t="s">
        <v>49</v>
      </c>
      <c r="AJ55" s="6" t="str">
        <f t="shared" si="9"/>
        <v>匹配</v>
      </c>
      <c r="AK55" s="23">
        <f>IF(A55="","",COUNTIFS(加仓管理!$A$2:$A$1001,A55,加仓管理!$G$2:$G$1001,"&gt;0"))</f>
        <v>0</v>
      </c>
      <c r="AL55" s="23">
        <f>IF(A55="","",SUMIFS(加仓管理!$G$2:$G$1001,加仓管理!$A$2:$A$1001,A55))</f>
        <v>0</v>
      </c>
      <c r="AM55" s="24" t="str">
        <f>IF(AK55=0,"",IFERROR(LOOKUP(2,1/((加仓管理!$A$2:$A$1001=A55)*(加仓管理!$G$2:$G$1001&gt;0)),加仓管理!$D$2:$D$1001),""))</f>
        <v/>
      </c>
      <c r="AN55" s="24" t="str">
        <f>IF(AK55=0,"",IFERROR(LOOKUP(2,1/((加仓管理!$A$2:$A$1001=A55)*(加仓管理!$G$2:$G$1001&gt;0)),加仓管理!$E$2:$E$1001),""))</f>
        <v/>
      </c>
      <c r="AO55" s="24">
        <f>IF(OR(A55="",H55="",H55&lt;=0),"",(E55*H55+SUMIFS(加仓管理!$H$2:$H$1001,加仓管理!$A$2:$A$1001,A55))/AP55)</f>
        <v>31.98</v>
      </c>
      <c r="AP55" s="23">
        <f t="shared" si="10"/>
        <v>900</v>
      </c>
      <c r="AQ55" s="24">
        <f>IF(A55="","",IF(M55&lt;&gt;"",0,IF(OR(H55="",N55=""),"",MAX((E55*H55+SUMIFS(加仓管理!$H$2:$H$1001,加仓管理!$A$2:$A$1001,A55))-MAX(N55,AN55)*AP55,0))))</f>
        <v>0</v>
      </c>
      <c r="AR55" s="24" t="str">
        <f>IF(A55="","",IF(OR(E55="",H55=""),"违规：首次买入价格或股数缺失",IF(COUNTIFS(加仓管理!$A$2:$A$1001,A55,加仓管理!$R$2:$R$1001,"违规*")&gt;0,"违规：请检查加仓管理表",IF(SUM($AQ$2:$AQ$201)&gt;账户数据!$B$7,"预警：超过账户风险上限",IF(COUNTIFS(加仓管理!$A$2:$A$1001,A55,加仓管理!$N$2:$N$1001,"&gt;0",加仓管理!$G$2:$G$1001,"")&gt;0,"提示：存在待执行加仓计划","通过")))))</f>
        <v>通过</v>
      </c>
    </row>
    <row r="56" spans="1:44">
      <c r="A56" s="10">
        <v>55</v>
      </c>
      <c r="B56" s="10" t="s">
        <v>53</v>
      </c>
      <c r="C56" s="7">
        <v>69465</v>
      </c>
      <c r="D56" s="4">
        <v>0.02</v>
      </c>
      <c r="E56" s="7">
        <v>28.35</v>
      </c>
      <c r="F56" s="6">
        <f t="shared" si="0"/>
        <v>1600</v>
      </c>
      <c r="G56" s="6" t="str">
        <f>IF(A56="","",IF(H56&lt;&gt;"","已开仓",IF(账户数据!$B$23="已锁仓","禁止开仓：连续亏损达到上限",IF(账户数据!$B$23="解锁信息不完整","禁止开仓：请完整填写解锁信息",IF(OR(F56="",E56="",N56="",E56&lt;=N56,账户数据!$B$7=""),"",IF(OR(AG56="",AH56="",AI56=""),"禁止开仓：交易预期未填写完整",IF(账户数据!$B$9+F56*(E56-N56)&gt;=账户数据!$B$7,"禁止开仓：风险额度不足",IF(AJ56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6" s="10">
        <v>1600</v>
      </c>
      <c r="I56" s="21">
        <v>45316</v>
      </c>
      <c r="J56" s="7">
        <v>32</v>
      </c>
      <c r="K56" s="7">
        <v>26.45</v>
      </c>
      <c r="L56" s="6">
        <f t="shared" si="1"/>
        <v>1600</v>
      </c>
      <c r="M56" s="21">
        <v>45316</v>
      </c>
      <c r="N56" s="7">
        <v>27.5</v>
      </c>
      <c r="O56" s="7"/>
      <c r="P56" s="7"/>
      <c r="Q56" s="10"/>
      <c r="R56" s="10"/>
      <c r="S56" s="10"/>
      <c r="T56" s="10"/>
      <c r="U56" s="5">
        <f t="shared" si="2"/>
        <v>0.12874779541446202</v>
      </c>
      <c r="V56" s="5">
        <f t="shared" si="3"/>
        <v>2.9982363315696696E-2</v>
      </c>
      <c r="W56" s="22">
        <f t="shared" si="4"/>
        <v>4.2941176470588145</v>
      </c>
      <c r="X56" s="3">
        <f t="shared" si="5"/>
        <v>-3040.0000000000036</v>
      </c>
      <c r="Y56" s="5">
        <f t="shared" si="6"/>
        <v>-6.7019400352733766E-2</v>
      </c>
      <c r="Z56" s="5">
        <f>IF(OR(AE56="",多次统计数据!$B$8=""),"",AE56-多次统计数据!$B$8)</f>
        <v>-0.15397571504723778</v>
      </c>
      <c r="AA56" s="8">
        <f t="shared" si="7"/>
        <v>0</v>
      </c>
      <c r="AB56" s="5">
        <f>IF(OR(A56="",多次统计数据!$B$8="",多次统计数据!$B$6&lt;=0,多次统计数据!$B$6&gt;=1),"",1-POWER(1+多次统计数据!$B$8,-多次统计数据!$B$6/(1-多次统计数据!$B$6)))</f>
        <v>8.152013270062719E-2</v>
      </c>
      <c r="AC56" s="6" t="str">
        <f>IF(OR(AB56="",多次统计数据!$B$9=""),"",IF(多次统计数据!$B$9&lt;AB56,"低于上限","达到或超过上限"))</f>
        <v>低于上限</v>
      </c>
      <c r="AD56" s="10"/>
      <c r="AE56" s="5">
        <f t="shared" si="8"/>
        <v>-4.3763046138343101E-2</v>
      </c>
      <c r="AG56" s="10" t="s">
        <v>48</v>
      </c>
      <c r="AH56" s="10" t="s">
        <v>46</v>
      </c>
      <c r="AI56" s="10" t="s">
        <v>50</v>
      </c>
      <c r="AJ56" s="6" t="str">
        <f t="shared" si="9"/>
        <v>匹配</v>
      </c>
      <c r="AK56" s="23">
        <f>IF(A56="","",COUNTIFS(加仓管理!$A$2:$A$1001,A56,加仓管理!$G$2:$G$1001,"&gt;0"))</f>
        <v>0</v>
      </c>
      <c r="AL56" s="23">
        <f>IF(A56="","",SUMIFS(加仓管理!$G$2:$G$1001,加仓管理!$A$2:$A$1001,A56))</f>
        <v>0</v>
      </c>
      <c r="AM56" s="24" t="str">
        <f>IF(AK56=0,"",IFERROR(LOOKUP(2,1/((加仓管理!$A$2:$A$1001=A56)*(加仓管理!$G$2:$G$1001&gt;0)),加仓管理!$D$2:$D$1001),""))</f>
        <v/>
      </c>
      <c r="AN56" s="24" t="str">
        <f>IF(AK56=0,"",IFERROR(LOOKUP(2,1/((加仓管理!$A$2:$A$1001=A56)*(加仓管理!$G$2:$G$1001&gt;0)),加仓管理!$E$2:$E$1001),""))</f>
        <v/>
      </c>
      <c r="AO56" s="24">
        <f>IF(OR(A56="",H56="",H56&lt;=0),"",(E56*H56+SUMIFS(加仓管理!$H$2:$H$1001,加仓管理!$A$2:$A$1001,A56))/AP56)</f>
        <v>28.35</v>
      </c>
      <c r="AP56" s="23">
        <f t="shared" si="10"/>
        <v>1600</v>
      </c>
      <c r="AQ56" s="24">
        <f>IF(A56="","",IF(M56&lt;&gt;"",0,IF(OR(H56="",N56=""),"",MAX((E56*H56+SUMIFS(加仓管理!$H$2:$H$1001,加仓管理!$A$2:$A$1001,A56))-MAX(N56,AN56)*AP56,0))))</f>
        <v>0</v>
      </c>
      <c r="AR56" s="24" t="str">
        <f>IF(A56="","",IF(OR(E56="",H56=""),"违规：首次买入价格或股数缺失",IF(COUNTIFS(加仓管理!$A$2:$A$1001,A56,加仓管理!$R$2:$R$1001,"违规*")&gt;0,"违规：请检查加仓管理表",IF(SUM($AQ$2:$AQ$201)&gt;账户数据!$B$7,"预警：超过账户风险上限",IF(COUNTIFS(加仓管理!$A$2:$A$1001,A56,加仓管理!$N$2:$N$1001,"&gt;0",加仓管理!$G$2:$G$1001,"")&gt;0,"提示：存在待执行加仓计划","通过")))))</f>
        <v>通过</v>
      </c>
    </row>
    <row r="57" spans="1:44">
      <c r="A57" s="10">
        <v>56</v>
      </c>
      <c r="B57" s="10" t="s">
        <v>53</v>
      </c>
      <c r="C57" s="7">
        <v>66425</v>
      </c>
      <c r="D57" s="4">
        <v>0.02</v>
      </c>
      <c r="E57" s="7">
        <v>25.67</v>
      </c>
      <c r="F57" s="6">
        <f t="shared" si="0"/>
        <v>1900</v>
      </c>
      <c r="G57" s="6" t="str">
        <f>IF(A57="","",IF(H57&lt;&gt;"","已开仓",IF(账户数据!$B$23="已锁仓","禁止开仓：连续亏损达到上限",IF(账户数据!$B$23="解锁信息不完整","禁止开仓：请完整填写解锁信息",IF(OR(F57="",E57="",N57="",E57&lt;=N57,账户数据!$B$7=""),"",IF(OR(AG57="",AH57="",AI57=""),"禁止开仓：交易预期未填写完整",IF(账户数据!$B$9+F57*(E57-N57)&gt;=账户数据!$B$7,"禁止开仓：风险额度不足",IF(AJ57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7" s="10">
        <v>1900</v>
      </c>
      <c r="I57" s="21">
        <v>45328</v>
      </c>
      <c r="J57" s="7">
        <v>30</v>
      </c>
      <c r="K57" s="7">
        <v>30.56</v>
      </c>
      <c r="L57" s="6">
        <f t="shared" si="1"/>
        <v>2400</v>
      </c>
      <c r="M57" s="21">
        <v>45258</v>
      </c>
      <c r="N57" s="7">
        <v>25</v>
      </c>
      <c r="O57" s="7"/>
      <c r="P57" s="7"/>
      <c r="Q57" s="10"/>
      <c r="R57" s="10"/>
      <c r="S57" s="10"/>
      <c r="T57" s="10"/>
      <c r="U57" s="5">
        <f t="shared" si="2"/>
        <v>0.12900443761466457</v>
      </c>
      <c r="V57" s="5">
        <f t="shared" si="3"/>
        <v>5.9162968654446181E-2</v>
      </c>
      <c r="W57" s="22">
        <f t="shared" si="4"/>
        <v>2.180492976411347</v>
      </c>
      <c r="X57" s="3">
        <f t="shared" si="5"/>
        <v>9571</v>
      </c>
      <c r="Y57" s="5">
        <f t="shared" si="6"/>
        <v>0.15007918711680493</v>
      </c>
      <c r="Z57" s="5">
        <f>IF(OR(AE57="",多次统计数据!$B$8=""),"",AE57-多次统计数据!$B$8)</f>
        <v>3.3874647613498995E-2</v>
      </c>
      <c r="AA57" s="8" t="str">
        <f t="shared" si="7"/>
        <v/>
      </c>
      <c r="AB57" s="5">
        <f>IF(OR(A57="",多次统计数据!$B$8="",多次统计数据!$B$6&lt;=0,多次统计数据!$B$6&gt;=1),"",1-POWER(1+多次统计数据!$B$8,-多次统计数据!$B$6/(1-多次统计数据!$B$6)))</f>
        <v>8.152013270062719E-2</v>
      </c>
      <c r="AC57" s="6" t="str">
        <f>IF(OR(AB57="",多次统计数据!$B$9=""),"",IF(多次统计数据!$B$9&lt;AB57,"低于上限","达到或超过上限"))</f>
        <v>低于上限</v>
      </c>
      <c r="AD57" s="10"/>
      <c r="AE57" s="5">
        <f t="shared" si="8"/>
        <v>0.14408731652239368</v>
      </c>
      <c r="AG57" s="10" t="s">
        <v>48</v>
      </c>
      <c r="AH57" s="10" t="s">
        <v>46</v>
      </c>
      <c r="AI57" s="10" t="s">
        <v>50</v>
      </c>
      <c r="AJ57" s="6" t="str">
        <f t="shared" si="9"/>
        <v>匹配</v>
      </c>
      <c r="AK57" s="23">
        <f>IF(A57="","",COUNTIFS(加仓管理!$A$2:$A$1001,A57,加仓管理!$G$2:$G$1001,"&gt;0"))</f>
        <v>1</v>
      </c>
      <c r="AL57" s="23">
        <f>IF(A57="","",SUMIFS(加仓管理!$G$2:$G$1001,加仓管理!$A$2:$A$1001,A57))</f>
        <v>500</v>
      </c>
      <c r="AM57" s="24">
        <f>IF(AK57=0,"",IFERROR(LOOKUP(2,1/((加仓管理!$A$2:$A$1001=A57)*(加仓管理!$G$2:$G$1001&gt;0)),加仓管理!$D$2:$D$1001),""))</f>
        <v>30</v>
      </c>
      <c r="AN57" s="24">
        <f>IF(AK57=0,"",IFERROR(LOOKUP(2,1/((加仓管理!$A$2:$A$1001=A57)*(加仓管理!$G$2:$G$1001&gt;0)),加仓管理!$E$2:$E$1001),""))</f>
        <v>30</v>
      </c>
      <c r="AO57" s="24">
        <f>IF(OR(A57="",H57="",H57&lt;=0),"",(E57*H57+SUMIFS(加仓管理!$H$2:$H$1001,加仓管理!$A$2:$A$1001,A57))/AP57)</f>
        <v>26.572083333333332</v>
      </c>
      <c r="AP57" s="23">
        <f t="shared" si="10"/>
        <v>2400</v>
      </c>
      <c r="AQ57" s="24">
        <f>IF(A57="","",IF(M57&lt;&gt;"",0,IF(OR(H57="",N57=""),"",MAX((E57*H57+SUMIFS(加仓管理!$H$2:$H$1001,加仓管理!$A$2:$A$1001,A57))-MAX(N57,AN57)*AP57,0))))</f>
        <v>0</v>
      </c>
      <c r="AR57" s="24" t="str">
        <f>IF(A57="","",IF(OR(E57="",H57=""),"违规：首次买入价格或股数缺失",IF(COUNTIFS(加仓管理!$A$2:$A$1001,A57,加仓管理!$R$2:$R$1001,"违规*")&gt;0,"违规：请检查加仓管理表",IF(SUM($AQ$2:$AQ$201)&gt;账户数据!$B$7,"预警：超过账户风险上限",IF(COUNTIFS(加仓管理!$A$2:$A$1001,A57,加仓管理!$N$2:$N$1001,"&gt;0",加仓管理!$G$2:$G$1001,"")&gt;0,"提示：存在待执行加仓计划","通过")))))</f>
        <v>违规：请检查加仓管理表</v>
      </c>
    </row>
    <row r="58" spans="1:44">
      <c r="A58" s="10">
        <v>57</v>
      </c>
      <c r="B58" s="10" t="s">
        <v>53</v>
      </c>
      <c r="C58" s="7">
        <v>75996</v>
      </c>
      <c r="D58" s="4">
        <v>0.02</v>
      </c>
      <c r="E58" s="7">
        <v>36.200000000000003</v>
      </c>
      <c r="F58" s="6">
        <f t="shared" si="0"/>
        <v>1200</v>
      </c>
      <c r="G58" s="6" t="str">
        <f>IF(A58="","",IF(H58&lt;&gt;"","已开仓",IF(账户数据!$B$23="已锁仓","禁止开仓：连续亏损达到上限",IF(账户数据!$B$23="解锁信息不完整","禁止开仓：请完整填写解锁信息",IF(OR(F58="",E58="",N58="",E58&lt;=N58,账户数据!$B$7=""),"",IF(OR(AG58="",AH58="",AI58=""),"禁止开仓：交易预期未填写完整",IF(账户数据!$B$9+F58*(E58-N58)&gt;=账户数据!$B$7,"禁止开仓：风险额度不足",IF(AJ58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8" s="10">
        <v>1200</v>
      </c>
      <c r="I58" s="21">
        <v>45383</v>
      </c>
      <c r="J58" s="7">
        <v>40</v>
      </c>
      <c r="K58" s="7">
        <v>34.56</v>
      </c>
      <c r="L58" s="6">
        <f t="shared" si="1"/>
        <v>1200</v>
      </c>
      <c r="M58" s="21">
        <v>45384</v>
      </c>
      <c r="N58" s="7">
        <v>35</v>
      </c>
      <c r="O58" s="7"/>
      <c r="P58" s="7"/>
      <c r="Q58" s="10"/>
      <c r="R58" s="10"/>
      <c r="S58" s="10"/>
      <c r="T58" s="10"/>
      <c r="U58" s="5">
        <f t="shared" si="2"/>
        <v>0.10497237569060765</v>
      </c>
      <c r="V58" s="5">
        <f t="shared" si="3"/>
        <v>3.3149171270718307E-2</v>
      </c>
      <c r="W58" s="22">
        <f t="shared" si="4"/>
        <v>3.1666666666666567</v>
      </c>
      <c r="X58" s="3">
        <f t="shared" si="5"/>
        <v>-1968.0000000000007</v>
      </c>
      <c r="Y58" s="5">
        <f t="shared" si="6"/>
        <v>-4.5303867403314935E-2</v>
      </c>
      <c r="Z58" s="5">
        <f>IF(OR(AE58="",多次统计数据!$B$8=""),"",AE58-多次统计数据!$B$8)</f>
        <v>-0.13610876870362074</v>
      </c>
      <c r="AA58" s="8">
        <f t="shared" si="7"/>
        <v>1</v>
      </c>
      <c r="AB58" s="5">
        <f>IF(OR(A58="",多次统计数据!$B$8="",多次统计数据!$B$6&lt;=0,多次统计数据!$B$6&gt;=1),"",1-POWER(1+多次统计数据!$B$8,-多次统计数据!$B$6/(1-多次统计数据!$B$6)))</f>
        <v>8.152013270062719E-2</v>
      </c>
      <c r="AC58" s="6" t="str">
        <f>IF(OR(AB58="",多次统计数据!$B$9=""),"",IF(多次统计数据!$B$9&lt;AB58,"低于上限","达到或超过上限"))</f>
        <v>低于上限</v>
      </c>
      <c r="AD58" s="10"/>
      <c r="AE58" s="5">
        <f t="shared" si="8"/>
        <v>-2.5896099794726048E-2</v>
      </c>
      <c r="AG58" s="10" t="s">
        <v>45</v>
      </c>
      <c r="AH58" s="10" t="s">
        <v>46</v>
      </c>
      <c r="AI58" s="10" t="s">
        <v>47</v>
      </c>
      <c r="AJ58" s="6" t="str">
        <f t="shared" si="9"/>
        <v>匹配</v>
      </c>
      <c r="AK58" s="23">
        <f>IF(A58="","",COUNTIFS(加仓管理!$A$2:$A$1001,A58,加仓管理!$G$2:$G$1001,"&gt;0"))</f>
        <v>0</v>
      </c>
      <c r="AL58" s="23">
        <f>IF(A58="","",SUMIFS(加仓管理!$G$2:$G$1001,加仓管理!$A$2:$A$1001,A58))</f>
        <v>0</v>
      </c>
      <c r="AM58" s="24" t="str">
        <f>IF(AK58=0,"",IFERROR(LOOKUP(2,1/((加仓管理!$A$2:$A$1001=A58)*(加仓管理!$G$2:$G$1001&gt;0)),加仓管理!$D$2:$D$1001),""))</f>
        <v/>
      </c>
      <c r="AN58" s="24" t="str">
        <f>IF(AK58=0,"",IFERROR(LOOKUP(2,1/((加仓管理!$A$2:$A$1001=A58)*(加仓管理!$G$2:$G$1001&gt;0)),加仓管理!$E$2:$E$1001),""))</f>
        <v/>
      </c>
      <c r="AO58" s="24">
        <f>IF(OR(A58="",H58="",H58&lt;=0),"",(E58*H58+SUMIFS(加仓管理!$H$2:$H$1001,加仓管理!$A$2:$A$1001,A58))/AP58)</f>
        <v>36.200000000000003</v>
      </c>
      <c r="AP58" s="23">
        <f t="shared" si="10"/>
        <v>1200</v>
      </c>
      <c r="AQ58" s="24">
        <f>IF(A58="","",IF(M58&lt;&gt;"",0,IF(OR(H58="",N58=""),"",MAX((E58*H58+SUMIFS(加仓管理!$H$2:$H$1001,加仓管理!$A$2:$A$1001,A58))-MAX(N58,AN58)*AP58,0))))</f>
        <v>0</v>
      </c>
      <c r="AR58" s="24" t="str">
        <f>IF(A58="","",IF(OR(E58="",H58=""),"违规：首次买入价格或股数缺失",IF(COUNTIFS(加仓管理!$A$2:$A$1001,A58,加仓管理!$R$2:$R$1001,"违规*")&gt;0,"违规：请检查加仓管理表",IF(SUM($AQ$2:$AQ$201)&gt;账户数据!$B$7,"预警：超过账户风险上限",IF(COUNTIFS(加仓管理!$A$2:$A$1001,A58,加仓管理!$N$2:$N$1001,"&gt;0",加仓管理!$G$2:$G$1001,"")&gt;0,"提示：存在待执行加仓计划","通过")))))</f>
        <v>通过</v>
      </c>
    </row>
    <row r="59" spans="1:44">
      <c r="A59" s="10">
        <v>58</v>
      </c>
      <c r="B59" s="10" t="s">
        <v>53</v>
      </c>
      <c r="C59" s="7">
        <v>74028</v>
      </c>
      <c r="D59" s="4">
        <v>0.02</v>
      </c>
      <c r="E59" s="7">
        <v>31.46</v>
      </c>
      <c r="F59" s="6">
        <f t="shared" si="0"/>
        <v>1000</v>
      </c>
      <c r="G59" s="6" t="str">
        <f>IF(A59="","",IF(H59&lt;&gt;"","已开仓",IF(账户数据!$B$23="已锁仓","禁止开仓：连续亏损达到上限",IF(账户数据!$B$23="解锁信息不完整","禁止开仓：请完整填写解锁信息",IF(OR(F59="",E59="",N59="",E59&lt;=N59,账户数据!$B$7=""),"",IF(OR(AG59="",AH59="",AI59=""),"禁止开仓：交易预期未填写完整",IF(账户数据!$B$9+F59*(E59-N59)&gt;=账户数据!$B$7,"禁止开仓：风险额度不足",IF(AJ59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9" s="10">
        <v>1000</v>
      </c>
      <c r="I59" s="21">
        <v>45406</v>
      </c>
      <c r="J59" s="7">
        <v>35</v>
      </c>
      <c r="K59" s="7">
        <v>29.63</v>
      </c>
      <c r="L59" s="6">
        <f t="shared" si="1"/>
        <v>1000</v>
      </c>
      <c r="M59" s="21">
        <v>45414</v>
      </c>
      <c r="N59" s="7">
        <v>30</v>
      </c>
      <c r="O59" s="7"/>
      <c r="P59" s="7"/>
      <c r="Q59" s="10"/>
      <c r="R59" s="10"/>
      <c r="S59" s="10"/>
      <c r="T59" s="10"/>
      <c r="U59" s="5">
        <f t="shared" si="2"/>
        <v>0.11252383979656704</v>
      </c>
      <c r="V59" s="5">
        <f t="shared" si="3"/>
        <v>4.6408137317228253E-2</v>
      </c>
      <c r="W59" s="22">
        <f t="shared" si="4"/>
        <v>2.424657534246573</v>
      </c>
      <c r="X59" s="3">
        <f t="shared" si="5"/>
        <v>-1830.0000000000018</v>
      </c>
      <c r="Y59" s="5">
        <f t="shared" si="6"/>
        <v>-5.8169103623649139E-2</v>
      </c>
      <c r="Z59" s="5">
        <f>IF(OR(AE59="",多次统计数据!$B$8=""),"",AE59-多次统计数据!$B$8)</f>
        <v>-0.13493304498281269</v>
      </c>
      <c r="AA59" s="8">
        <f t="shared" si="7"/>
        <v>8</v>
      </c>
      <c r="AB59" s="5">
        <f>IF(OR(A59="",多次统计数据!$B$8="",多次统计数据!$B$6&lt;=0,多次统计数据!$B$6&gt;=1),"",1-POWER(1+多次统计数据!$B$8,-多次统计数据!$B$6/(1-多次统计数据!$B$6)))</f>
        <v>8.152013270062719E-2</v>
      </c>
      <c r="AC59" s="6" t="str">
        <f>IF(OR(AB59="",多次统计数据!$B$9=""),"",IF(多次统计数据!$B$9&lt;AB59,"低于上限","达到或超过上限"))</f>
        <v>低于上限</v>
      </c>
      <c r="AD59" s="10"/>
      <c r="AE59" s="5">
        <f t="shared" si="8"/>
        <v>-2.4720376073918002E-2</v>
      </c>
      <c r="AG59" s="10" t="s">
        <v>51</v>
      </c>
      <c r="AH59" s="10" t="s">
        <v>52</v>
      </c>
      <c r="AI59" s="10" t="s">
        <v>47</v>
      </c>
      <c r="AJ59" s="6" t="str">
        <f t="shared" si="9"/>
        <v>匹配</v>
      </c>
      <c r="AK59" s="23">
        <f>IF(A59="","",COUNTIFS(加仓管理!$A$2:$A$1001,A59,加仓管理!$G$2:$G$1001,"&gt;0"))</f>
        <v>0</v>
      </c>
      <c r="AL59" s="23">
        <f>IF(A59="","",SUMIFS(加仓管理!$G$2:$G$1001,加仓管理!$A$2:$A$1001,A59))</f>
        <v>0</v>
      </c>
      <c r="AM59" s="24" t="str">
        <f>IF(AK59=0,"",IFERROR(LOOKUP(2,1/((加仓管理!$A$2:$A$1001=A59)*(加仓管理!$G$2:$G$1001&gt;0)),加仓管理!$D$2:$D$1001),""))</f>
        <v/>
      </c>
      <c r="AN59" s="24" t="str">
        <f>IF(AK59=0,"",IFERROR(LOOKUP(2,1/((加仓管理!$A$2:$A$1001=A59)*(加仓管理!$G$2:$G$1001&gt;0)),加仓管理!$E$2:$E$1001),""))</f>
        <v/>
      </c>
      <c r="AO59" s="24">
        <f>IF(OR(A59="",H59="",H59&lt;=0),"",(E59*H59+SUMIFS(加仓管理!$H$2:$H$1001,加仓管理!$A$2:$A$1001,A59))/AP59)</f>
        <v>31.46</v>
      </c>
      <c r="AP59" s="23">
        <f t="shared" si="10"/>
        <v>1000</v>
      </c>
      <c r="AQ59" s="24">
        <f>IF(A59="","",IF(M59&lt;&gt;"",0,IF(OR(H59="",N59=""),"",MAX((E59*H59+SUMIFS(加仓管理!$H$2:$H$1001,加仓管理!$A$2:$A$1001,A59))-MAX(N59,AN59)*AP59,0))))</f>
        <v>0</v>
      </c>
      <c r="AR59" s="24" t="str">
        <f>IF(A59="","",IF(OR(E59="",H59=""),"违规：首次买入价格或股数缺失",IF(COUNTIFS(加仓管理!$A$2:$A$1001,A59,加仓管理!$R$2:$R$1001,"违规*")&gt;0,"违规：请检查加仓管理表",IF(SUM($AQ$2:$AQ$201)&gt;账户数据!$B$7,"预警：超过账户风险上限",IF(COUNTIFS(加仓管理!$A$2:$A$1001,A59,加仓管理!$N$2:$N$1001,"&gt;0",加仓管理!$G$2:$G$1001,"")&gt;0,"提示：存在待执行加仓计划","通过")))))</f>
        <v>通过</v>
      </c>
    </row>
    <row r="60" spans="1:44">
      <c r="A60" s="10">
        <v>59</v>
      </c>
      <c r="B60" s="10" t="s">
        <v>53</v>
      </c>
      <c r="C60" s="7">
        <v>72198</v>
      </c>
      <c r="D60" s="4">
        <v>0.02</v>
      </c>
      <c r="E60" s="7">
        <v>29.94</v>
      </c>
      <c r="F60" s="6">
        <f t="shared" si="0"/>
        <v>700</v>
      </c>
      <c r="G60" s="6" t="str">
        <f>IF(A60="","",IF(H60&lt;&gt;"","已开仓",IF(账户数据!$B$23="已锁仓","禁止开仓：连续亏损达到上限",IF(账户数据!$B$23="解锁信息不完整","禁止开仓：请完整填写解锁信息",IF(OR(F60="",E60="",N60="",E60&lt;=N60,账户数据!$B$7=""),"",IF(OR(AG60="",AH60="",AI60=""),"禁止开仓：交易预期未填写完整",IF(账户数据!$B$9+F60*(E60-N60)&gt;=账户数据!$B$7,"禁止开仓：风险额度不足",IF(AJ60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0" s="10">
        <v>700</v>
      </c>
      <c r="I60" s="21">
        <v>45419</v>
      </c>
      <c r="J60" s="7">
        <v>35</v>
      </c>
      <c r="K60" s="7">
        <v>27.9</v>
      </c>
      <c r="L60" s="6">
        <f t="shared" si="1"/>
        <v>700</v>
      </c>
      <c r="M60" s="21">
        <v>45531</v>
      </c>
      <c r="N60" s="7">
        <v>28</v>
      </c>
      <c r="O60" s="7"/>
      <c r="P60" s="7"/>
      <c r="Q60" s="10"/>
      <c r="R60" s="10"/>
      <c r="S60" s="10"/>
      <c r="T60" s="10"/>
      <c r="U60" s="5">
        <f t="shared" si="2"/>
        <v>0.16900467601870403</v>
      </c>
      <c r="V60" s="5">
        <f t="shared" si="3"/>
        <v>6.4796259185036786E-2</v>
      </c>
      <c r="W60" s="22">
        <f t="shared" si="4"/>
        <v>2.6082474226804098</v>
      </c>
      <c r="X60" s="3">
        <f t="shared" si="5"/>
        <v>-1428.0000000000018</v>
      </c>
      <c r="Y60" s="5">
        <f t="shared" si="6"/>
        <v>-6.8136272545090262E-2</v>
      </c>
      <c r="Z60" s="5">
        <f>IF(OR(AE60="",多次统计数据!$B$8=""),"",AE60-多次统计数据!$B$8)</f>
        <v>-0.12999161015380453</v>
      </c>
      <c r="AA60" s="8">
        <f t="shared" si="7"/>
        <v>112</v>
      </c>
      <c r="AB60" s="5">
        <f>IF(OR(A60="",多次统计数据!$B$8="",多次统计数据!$B$6&lt;=0,多次统计数据!$B$6&gt;=1),"",1-POWER(1+多次统计数据!$B$8,-多次统计数据!$B$6/(1-多次统计数据!$B$6)))</f>
        <v>8.152013270062719E-2</v>
      </c>
      <c r="AC60" s="6" t="str">
        <f>IF(OR(AB60="",多次统计数据!$B$9=""),"",IF(多次统计数据!$B$9&lt;AB60,"低于上限","达到或超过上限"))</f>
        <v>低于上限</v>
      </c>
      <c r="AD60" s="10"/>
      <c r="AE60" s="5">
        <f t="shared" si="8"/>
        <v>-1.9778941244909858E-2</v>
      </c>
      <c r="AG60" s="10" t="s">
        <v>51</v>
      </c>
      <c r="AH60" s="10" t="s">
        <v>52</v>
      </c>
      <c r="AI60" s="10" t="s">
        <v>50</v>
      </c>
      <c r="AJ60" s="6" t="str">
        <f t="shared" si="9"/>
        <v>匹配</v>
      </c>
      <c r="AK60" s="23">
        <f>IF(A60="","",COUNTIFS(加仓管理!$A$2:$A$1001,A60,加仓管理!$G$2:$G$1001,"&gt;0"))</f>
        <v>0</v>
      </c>
      <c r="AL60" s="23">
        <f>IF(A60="","",SUMIFS(加仓管理!$G$2:$G$1001,加仓管理!$A$2:$A$1001,A60))</f>
        <v>0</v>
      </c>
      <c r="AM60" s="24" t="str">
        <f>IF(AK60=0,"",IFERROR(LOOKUP(2,1/((加仓管理!$A$2:$A$1001=A60)*(加仓管理!$G$2:$G$1001&gt;0)),加仓管理!$D$2:$D$1001),""))</f>
        <v/>
      </c>
      <c r="AN60" s="24" t="str">
        <f>IF(AK60=0,"",IFERROR(LOOKUP(2,1/((加仓管理!$A$2:$A$1001=A60)*(加仓管理!$G$2:$G$1001&gt;0)),加仓管理!$E$2:$E$1001),""))</f>
        <v/>
      </c>
      <c r="AO60" s="24">
        <f>IF(OR(A60="",H60="",H60&lt;=0),"",(E60*H60+SUMIFS(加仓管理!$H$2:$H$1001,加仓管理!$A$2:$A$1001,A60))/AP60)</f>
        <v>29.94</v>
      </c>
      <c r="AP60" s="23">
        <f t="shared" si="10"/>
        <v>700</v>
      </c>
      <c r="AQ60" s="24">
        <f>IF(A60="","",IF(M60&lt;&gt;"",0,IF(OR(H60="",N60=""),"",MAX((E60*H60+SUMIFS(加仓管理!$H$2:$H$1001,加仓管理!$A$2:$A$1001,A60))-MAX(N60,AN60)*AP60,0))))</f>
        <v>0</v>
      </c>
      <c r="AR60" s="24" t="str">
        <f>IF(A60="","",IF(OR(E60="",H60=""),"违规：首次买入价格或股数缺失",IF(COUNTIFS(加仓管理!$A$2:$A$1001,A60,加仓管理!$R$2:$R$1001,"违规*")&gt;0,"违规：请检查加仓管理表",IF(SUM($AQ$2:$AQ$201)&gt;账户数据!$B$7,"预警：超过账户风险上限",IF(COUNTIFS(加仓管理!$A$2:$A$1001,A60,加仓管理!$N$2:$N$1001,"&gt;0",加仓管理!$G$2:$G$1001,"")&gt;0,"提示：存在待执行加仓计划","通过")))))</f>
        <v>通过</v>
      </c>
    </row>
    <row r="61" spans="1:44">
      <c r="A61" s="10">
        <v>60</v>
      </c>
      <c r="B61" s="10" t="s">
        <v>53</v>
      </c>
      <c r="C61" s="7">
        <v>70770</v>
      </c>
      <c r="D61" s="4">
        <v>0.02</v>
      </c>
      <c r="E61" s="7">
        <v>29.44</v>
      </c>
      <c r="F61" s="6">
        <f t="shared" si="0"/>
        <v>700</v>
      </c>
      <c r="G61" s="6" t="str">
        <f>IF(A61="","",IF(H61&lt;&gt;"","已开仓",IF(账户数据!$B$23="已锁仓","禁止开仓：连续亏损达到上限",IF(账户数据!$B$23="解锁信息不完整","禁止开仓：请完整填写解锁信息",IF(OR(F61="",E61="",N61="",E61&lt;=N61,账户数据!$B$7=""),"",IF(OR(AG61="",AH61="",AI61=""),"禁止开仓：交易预期未填写完整",IF(账户数据!$B$9+F61*(E61-N61)&gt;=账户数据!$B$7,"禁止开仓：风险额度不足",IF(AJ61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1" s="10">
        <v>700</v>
      </c>
      <c r="I61" s="21">
        <v>45534</v>
      </c>
      <c r="J61" s="7">
        <v>35</v>
      </c>
      <c r="K61" s="7">
        <v>35.18</v>
      </c>
      <c r="L61" s="6">
        <f t="shared" si="1"/>
        <v>1700</v>
      </c>
      <c r="M61" s="21">
        <v>45574</v>
      </c>
      <c r="N61" s="7">
        <v>27.5</v>
      </c>
      <c r="O61" s="7"/>
      <c r="P61" s="7"/>
      <c r="Q61" s="10"/>
      <c r="R61" s="10"/>
      <c r="S61" s="10"/>
      <c r="T61" s="10"/>
      <c r="U61" s="5">
        <f t="shared" si="2"/>
        <v>0.10908141962421709</v>
      </c>
      <c r="V61" s="5">
        <f t="shared" si="3"/>
        <v>0.12857888458097227</v>
      </c>
      <c r="W61" s="22">
        <f t="shared" si="4"/>
        <v>0.84836184401275705</v>
      </c>
      <c r="X61" s="3">
        <f t="shared" si="5"/>
        <v>6157.9999999999982</v>
      </c>
      <c r="Y61" s="5">
        <f t="shared" si="6"/>
        <v>0.11478526692514163</v>
      </c>
      <c r="Z61" s="5">
        <f>IF(OR(AE61="",多次统计数据!$B$8=""),"",AE61-多次统计数据!$B$8)</f>
        <v>-2.319839732489018E-2</v>
      </c>
      <c r="AA61" s="8">
        <f t="shared" si="7"/>
        <v>40</v>
      </c>
      <c r="AB61" s="5">
        <f>IF(OR(A61="",多次统计数据!$B$8="",多次统计数据!$B$6&lt;=0,多次统计数据!$B$6&gt;=1),"",1-POWER(1+多次统计数据!$B$8,-多次统计数据!$B$6/(1-多次统计数据!$B$6)))</f>
        <v>8.152013270062719E-2</v>
      </c>
      <c r="AC61" s="6" t="str">
        <f>IF(OR(AB61="",多次统计数据!$B$9=""),"",IF(多次统计数据!$B$9&lt;AB61,"低于上限","达到或超过上限"))</f>
        <v>低于上限</v>
      </c>
      <c r="AD61" s="10"/>
      <c r="AE61" s="5">
        <f t="shared" si="8"/>
        <v>8.7014271584004502E-2</v>
      </c>
      <c r="AG61" s="10" t="s">
        <v>51</v>
      </c>
      <c r="AH61" s="10" t="s">
        <v>52</v>
      </c>
      <c r="AI61" s="10" t="s">
        <v>50</v>
      </c>
      <c r="AJ61" s="6" t="str">
        <f t="shared" si="9"/>
        <v>匹配</v>
      </c>
      <c r="AK61" s="23">
        <f>IF(A61="","",COUNTIFS(加仓管理!$A$2:$A$1001,A61,加仓管理!$G$2:$G$1001,"&gt;0"))</f>
        <v>2</v>
      </c>
      <c r="AL61" s="23">
        <f>IF(A61="","",SUMIFS(加仓管理!$G$2:$G$1001,加仓管理!$A$2:$A$1001,A61))</f>
        <v>1000</v>
      </c>
      <c r="AM61" s="24">
        <f>IF(AK61=0,"",IFERROR(LOOKUP(2,1/((加仓管理!$A$2:$A$1001=A61)*(加仓管理!$G$2:$G$1001&gt;0)),加仓管理!$D$2:$D$1001),""))</f>
        <v>34.47</v>
      </c>
      <c r="AN61" s="24">
        <f>IF(AK61=0,"",IFERROR(LOOKUP(2,1/((加仓管理!$A$2:$A$1001=A61)*(加仓管理!$G$2:$G$1001&gt;0)),加仓管理!$E$2:$E$1001),""))</f>
        <v>31</v>
      </c>
      <c r="AO61" s="24">
        <f>IF(OR(A61="",H61="",H61&lt;=0),"",(E61*H61+SUMIFS(加仓管理!$H$2:$H$1001,加仓管理!$A$2:$A$1001,A61))/AP61)</f>
        <v>31.55764705882353</v>
      </c>
      <c r="AP61" s="23">
        <f t="shared" si="10"/>
        <v>1700</v>
      </c>
      <c r="AQ61" s="24">
        <f>IF(A61="","",IF(M61&lt;&gt;"",0,IF(OR(H61="",N61=""),"",MAX((E61*H61+SUMIFS(加仓管理!$H$2:$H$1001,加仓管理!$A$2:$A$1001,A61))-MAX(N61,AN61)*AP61,0))))</f>
        <v>0</v>
      </c>
      <c r="AR61" s="24" t="str">
        <f>IF(A61="","",IF(OR(E61="",H61=""),"违规：首次买入价格或股数缺失",IF(COUNTIFS(加仓管理!$A$2:$A$1001,A61,加仓管理!$R$2:$R$1001,"违规*")&gt;0,"违规：请检查加仓管理表",IF(SUM($AQ$2:$AQ$201)&gt;账户数据!$B$7,"预警：超过账户风险上限",IF(COUNTIFS(加仓管理!$A$2:$A$1001,A61,加仓管理!$N$2:$N$1001,"&gt;0",加仓管理!$G$2:$G$1001,"")&gt;0,"提示：存在待执行加仓计划","通过")))))</f>
        <v>违规：请检查加仓管理表</v>
      </c>
    </row>
    <row r="62" spans="1:44">
      <c r="A62" s="10">
        <v>61</v>
      </c>
      <c r="B62" s="10" t="s">
        <v>53</v>
      </c>
      <c r="C62" s="7">
        <v>76928</v>
      </c>
      <c r="D62" s="4">
        <v>0.02</v>
      </c>
      <c r="E62" s="7">
        <v>33.81</v>
      </c>
      <c r="F62" s="6">
        <f t="shared" si="0"/>
        <v>400</v>
      </c>
      <c r="G62" s="6" t="str">
        <f>IF(A62="","",IF(H62&lt;&gt;"","已开仓",IF(账户数据!$B$23="已锁仓","禁止开仓：连续亏损达到上限",IF(账户数据!$B$23="解锁信息不完整","禁止开仓：请完整填写解锁信息",IF(OR(F62="",E62="",N62="",E62&lt;=N62,账户数据!$B$7=""),"",IF(OR(AG62="",AH62="",AI62=""),"禁止开仓：交易预期未填写完整",IF(账户数据!$B$9+F62*(E62-N62)&gt;=账户数据!$B$7,"禁止开仓：风险额度不足",IF(AJ62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2" s="10">
        <v>400</v>
      </c>
      <c r="I62" s="21">
        <v>45583</v>
      </c>
      <c r="J62" s="7">
        <v>40</v>
      </c>
      <c r="K62" s="7">
        <v>38.659999999999997</v>
      </c>
      <c r="L62" s="6">
        <f t="shared" si="1"/>
        <v>1900</v>
      </c>
      <c r="M62" s="21">
        <v>45610</v>
      </c>
      <c r="N62" s="7">
        <v>30</v>
      </c>
      <c r="O62" s="7"/>
      <c r="P62" s="7"/>
      <c r="Q62" s="10"/>
      <c r="R62" s="10"/>
      <c r="S62" s="10"/>
      <c r="T62" s="10"/>
      <c r="U62" s="5">
        <f t="shared" si="2"/>
        <v>3.9899293963110878E-2</v>
      </c>
      <c r="V62" s="5">
        <f t="shared" si="3"/>
        <v>0.22007552952766685</v>
      </c>
      <c r="W62" s="22">
        <f t="shared" si="4"/>
        <v>0.18129818453121083</v>
      </c>
      <c r="X62" s="3">
        <f t="shared" si="5"/>
        <v>369.99999999998892</v>
      </c>
      <c r="Y62" s="5">
        <f t="shared" si="6"/>
        <v>5.062667615346573E-3</v>
      </c>
      <c r="Z62" s="5">
        <f>IF(OR(AE62="",多次统计数据!$B$8=""),"",AE62-多次统计数据!$B$8)</f>
        <v>-0.10540297672919433</v>
      </c>
      <c r="AA62" s="8">
        <f t="shared" si="7"/>
        <v>27</v>
      </c>
      <c r="AB62" s="5">
        <f>IF(OR(A62="",多次统计数据!$B$8="",多次统计数据!$B$6&lt;=0,多次统计数据!$B$6&gt;=1),"",1-POWER(1+多次统计数据!$B$8,-多次统计数据!$B$6/(1-多次统计数据!$B$6)))</f>
        <v>8.152013270062719E-2</v>
      </c>
      <c r="AC62" s="6" t="str">
        <f>IF(OR(AB62="",多次统计数据!$B$9=""),"",IF(多次统计数据!$B$9&lt;AB62,"低于上限","达到或超过上限"))</f>
        <v>低于上限</v>
      </c>
      <c r="AD62" s="10"/>
      <c r="AE62" s="5">
        <f t="shared" si="8"/>
        <v>4.8096921797003553E-3</v>
      </c>
      <c r="AG62" s="10" t="s">
        <v>51</v>
      </c>
      <c r="AH62" s="10" t="s">
        <v>52</v>
      </c>
      <c r="AI62" s="10" t="s">
        <v>49</v>
      </c>
      <c r="AJ62" s="6" t="str">
        <f t="shared" si="9"/>
        <v>匹配</v>
      </c>
      <c r="AK62" s="23">
        <f>IF(A62="","",COUNTIFS(加仓管理!$A$2:$A$1001,A62,加仓管理!$G$2:$G$1001,"&gt;0"))</f>
        <v>3</v>
      </c>
      <c r="AL62" s="23">
        <f>IF(A62="","",SUMIFS(加仓管理!$G$2:$G$1001,加仓管理!$A$2:$A$1001,A62))</f>
        <v>1500</v>
      </c>
      <c r="AM62" s="24">
        <f>IF(AK62=0,"",IFERROR(LOOKUP(2,1/((加仓管理!$A$2:$A$1001=A62)*(加仓管理!$G$2:$G$1001&gt;0)),加仓管理!$D$2:$D$1001),""))</f>
        <v>43.33</v>
      </c>
      <c r="AN62" s="24">
        <f>IF(AK62=0,"",IFERROR(LOOKUP(2,1/((加仓管理!$A$2:$A$1001=A62)*(加仓管理!$G$2:$G$1001&gt;0)),加仓管理!$E$2:$E$1001),""))</f>
        <v>39</v>
      </c>
      <c r="AO62" s="24">
        <f>IF(OR(A62="",H62="",H62&lt;=0),"",(E62*H62+SUMIFS(加仓管理!$H$2:$H$1001,加仓管理!$A$2:$A$1001,A62))/AP62)</f>
        <v>38.465263157894739</v>
      </c>
      <c r="AP62" s="23">
        <f t="shared" si="10"/>
        <v>1900</v>
      </c>
      <c r="AQ62" s="24">
        <f>IF(A62="","",IF(M62&lt;&gt;"",0,IF(OR(H62="",N62=""),"",MAX((E62*H62+SUMIFS(加仓管理!$H$2:$H$1001,加仓管理!$A$2:$A$1001,A62))-MAX(N62,AN62)*AP62,0))))</f>
        <v>0</v>
      </c>
      <c r="AR62" s="24" t="str">
        <f>IF(A62="","",IF(OR(E62="",H62=""),"违规：首次买入价格或股数缺失",IF(COUNTIFS(加仓管理!$A$2:$A$1001,A62,加仓管理!$R$2:$R$1001,"违规*")&gt;0,"违规：请检查加仓管理表",IF(SUM($AQ$2:$AQ$201)&gt;账户数据!$B$7,"预警：超过账户风险上限",IF(COUNTIFS(加仓管理!$A$2:$A$1001,A62,加仓管理!$N$2:$N$1001,"&gt;0",加仓管理!$G$2:$G$1001,"")&gt;0,"提示：存在待执行加仓计划","通过")))))</f>
        <v>违规：请检查加仓管理表</v>
      </c>
    </row>
    <row r="63" spans="1:44">
      <c r="A63" s="10">
        <v>62</v>
      </c>
      <c r="B63" s="10" t="s">
        <v>53</v>
      </c>
      <c r="C63" s="7">
        <v>77298</v>
      </c>
      <c r="D63" s="4">
        <v>0.02</v>
      </c>
      <c r="E63" s="7">
        <v>40.15</v>
      </c>
      <c r="F63" s="6">
        <f t="shared" si="0"/>
        <v>700</v>
      </c>
      <c r="G63" s="6" t="str">
        <f>IF(A63="","",IF(H63&lt;&gt;"","已开仓",IF(账户数据!$B$23="已锁仓","禁止开仓：连续亏损达到上限",IF(账户数据!$B$23="解锁信息不完整","禁止开仓：请完整填写解锁信息",IF(OR(F63="",E63="",N63="",E63&lt;=N63,账户数据!$B$7=""),"",IF(OR(AG63="",AH63="",AI63=""),"禁止开仓：交易预期未填写完整",IF(账户数据!$B$9+F63*(E63-N63)&gt;=账户数据!$B$7,"禁止开仓：风险额度不足",IF(AJ63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3" s="10">
        <v>700</v>
      </c>
      <c r="I63" s="21">
        <v>45645</v>
      </c>
      <c r="J63" s="7">
        <v>45</v>
      </c>
      <c r="K63" s="7">
        <v>39.08</v>
      </c>
      <c r="L63" s="6">
        <f t="shared" si="1"/>
        <v>1400</v>
      </c>
      <c r="M63" s="21">
        <v>45660</v>
      </c>
      <c r="N63" s="7">
        <v>38</v>
      </c>
      <c r="O63" s="7"/>
      <c r="P63" s="7"/>
      <c r="Q63" s="10"/>
      <c r="R63" s="10"/>
      <c r="S63" s="10"/>
      <c r="T63" s="10"/>
      <c r="U63" s="5">
        <f t="shared" si="2"/>
        <v>8.630054315027165E-2</v>
      </c>
      <c r="V63" s="5">
        <f t="shared" si="3"/>
        <v>8.267954133977061E-2</v>
      </c>
      <c r="W63" s="22">
        <f t="shared" si="4"/>
        <v>1.0437956204379579</v>
      </c>
      <c r="X63" s="3">
        <f t="shared" si="5"/>
        <v>-3282.9999999999982</v>
      </c>
      <c r="Y63" s="5">
        <f t="shared" si="6"/>
        <v>-5.6608328304164131E-2</v>
      </c>
      <c r="Z63" s="5">
        <f>IF(OR(AE63="",多次统计数据!$B$8=""),"",AE63-多次统计数据!$B$8)</f>
        <v>-0.15268466042225853</v>
      </c>
      <c r="AA63" s="8">
        <f t="shared" si="7"/>
        <v>15</v>
      </c>
      <c r="AB63" s="5">
        <f>IF(OR(A63="",多次统计数据!$B$8="",多次统计数据!$B$6&lt;=0,多次统计数据!$B$6&gt;=1),"",1-POWER(1+多次统计数据!$B$8,-多次统计数据!$B$6/(1-多次统计数据!$B$6)))</f>
        <v>8.152013270062719E-2</v>
      </c>
      <c r="AC63" s="6" t="str">
        <f>IF(OR(AB63="",多次统计数据!$B$9=""),"",IF(多次统计数据!$B$9&lt;AB63,"低于上限","达到或超过上限"))</f>
        <v>低于上限</v>
      </c>
      <c r="AD63" s="10"/>
      <c r="AE63" s="5">
        <f t="shared" si="8"/>
        <v>-4.2471991513363838E-2</v>
      </c>
      <c r="AG63" s="10" t="s">
        <v>51</v>
      </c>
      <c r="AH63" s="10" t="s">
        <v>52</v>
      </c>
      <c r="AI63" s="10" t="s">
        <v>49</v>
      </c>
      <c r="AJ63" s="6" t="str">
        <f t="shared" si="9"/>
        <v>匹配</v>
      </c>
      <c r="AK63" s="23">
        <f>IF(A63="","",COUNTIFS(加仓管理!$A$2:$A$1001,A63,加仓管理!$G$2:$G$1001,"&gt;0"))</f>
        <v>1</v>
      </c>
      <c r="AL63" s="23">
        <f>IF(A63="","",SUMIFS(加仓管理!$G$2:$G$1001,加仓管理!$A$2:$A$1001,A63))</f>
        <v>700</v>
      </c>
      <c r="AM63" s="24">
        <f>IF(AK63=0,"",IFERROR(LOOKUP(2,1/((加仓管理!$A$2:$A$1001=A63)*(加仓管理!$G$2:$G$1001&gt;0)),加仓管理!$D$2:$D$1001),""))</f>
        <v>42.7</v>
      </c>
      <c r="AN63" s="24">
        <f>IF(AK63=0,"",IFERROR(LOOKUP(2,1/((加仓管理!$A$2:$A$1001=A63)*(加仓管理!$G$2:$G$1001&gt;0)),加仓管理!$E$2:$E$1001),""))</f>
        <v>40</v>
      </c>
      <c r="AO63" s="24">
        <f>IF(OR(A63="",H63="",H63&lt;=0),"",(E63*H63+SUMIFS(加仓管理!$H$2:$H$1001,加仓管理!$A$2:$A$1001,A63))/AP63)</f>
        <v>41.424999999999997</v>
      </c>
      <c r="AP63" s="23">
        <f t="shared" si="10"/>
        <v>1400</v>
      </c>
      <c r="AQ63" s="24">
        <f>IF(A63="","",IF(M63&lt;&gt;"",0,IF(OR(H63="",N63=""),"",MAX((E63*H63+SUMIFS(加仓管理!$H$2:$H$1001,加仓管理!$A$2:$A$1001,A63))-MAX(N63,AN63)*AP63,0))))</f>
        <v>0</v>
      </c>
      <c r="AR63" s="24" t="str">
        <f>IF(A63="","",IF(OR(E63="",H63=""),"违规：首次买入价格或股数缺失",IF(COUNTIFS(加仓管理!$A$2:$A$1001,A63,加仓管理!$R$2:$R$1001,"违规*")&gt;0,"违规：请检查加仓管理表",IF(SUM($AQ$2:$AQ$201)&gt;账户数据!$B$7,"预警：超过账户风险上限",IF(COUNTIFS(加仓管理!$A$2:$A$1001,A63,加仓管理!$N$2:$N$1001,"&gt;0",加仓管理!$G$2:$G$1001,"")&gt;0,"提示：存在待执行加仓计划","通过")))))</f>
        <v>违规：请检查加仓管理表</v>
      </c>
    </row>
    <row r="64" spans="1:44">
      <c r="A64" s="10">
        <v>63</v>
      </c>
      <c r="B64" s="10" t="s">
        <v>53</v>
      </c>
      <c r="C64" s="7">
        <v>74015</v>
      </c>
      <c r="D64" s="4">
        <v>0.02</v>
      </c>
      <c r="E64" s="7">
        <v>39.29</v>
      </c>
      <c r="F64" s="6">
        <f t="shared" si="0"/>
        <v>600</v>
      </c>
      <c r="G64" s="6" t="str">
        <f>IF(A64="","",IF(H64&lt;&gt;"","已开仓",IF(账户数据!$B$23="已锁仓","禁止开仓：连续亏损达到上限",IF(账户数据!$B$23="解锁信息不完整","禁止开仓：请完整填写解锁信息",IF(OR(F64="",E64="",N64="",E64&lt;=N64,账户数据!$B$7=""),"",IF(OR(AG64="",AH64="",AI64=""),"禁止开仓：交易预期未填写完整",IF(账户数据!$B$9+F64*(E64-N64)&gt;=账户数据!$B$7,"禁止开仓：风险额度不足",IF(AJ64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4" s="10">
        <v>600</v>
      </c>
      <c r="I64" s="21">
        <v>45671</v>
      </c>
      <c r="J64" s="7">
        <v>50</v>
      </c>
      <c r="K64" s="7">
        <v>41.48</v>
      </c>
      <c r="L64" s="6">
        <f t="shared" si="1"/>
        <v>2100</v>
      </c>
      <c r="M64" s="36">
        <v>45796</v>
      </c>
      <c r="N64" s="7">
        <v>37</v>
      </c>
      <c r="O64" s="7"/>
      <c r="P64" s="7"/>
      <c r="Q64" s="10"/>
      <c r="R64" s="10"/>
      <c r="S64" s="10"/>
      <c r="T64" s="10"/>
      <c r="U64" s="5">
        <f t="shared" si="2"/>
        <v>0.38615691296254723</v>
      </c>
      <c r="V64" s="5">
        <f t="shared" si="3"/>
        <v>-2.5756115592284946E-2</v>
      </c>
      <c r="W64" s="22" t="str">
        <f t="shared" si="4"/>
        <v/>
      </c>
      <c r="X64" s="3">
        <f t="shared" si="5"/>
        <v>11358.999999999985</v>
      </c>
      <c r="Y64" s="5">
        <f t="shared" si="6"/>
        <v>0.14995577499372906</v>
      </c>
      <c r="Z64" s="5">
        <f>IF(OR(AE64="",多次统计数据!$B$8=""),"",AE64-多次统计数据!$B$8)</f>
        <v>4.3256222532029251E-2</v>
      </c>
      <c r="AA64" s="8">
        <f t="shared" si="7"/>
        <v>125</v>
      </c>
      <c r="AB64" s="5">
        <f>IF(OR(A64="",多次统计数据!$B$8="",多次统计数据!$B$6&lt;=0,多次统计数据!$B$6&gt;=1),"",1-POWER(1+多次统计数据!$B$8,-多次统计数据!$B$6/(1-多次统计数据!$B$6)))</f>
        <v>8.152013270062719E-2</v>
      </c>
      <c r="AC64" s="6" t="str">
        <f>IF(OR(AB64="",多次统计数据!$B$9=""),"",IF(多次统计数据!$B$9&lt;AB64,"低于上限","达到或超过上限"))</f>
        <v>低于上限</v>
      </c>
      <c r="AD64" s="10"/>
      <c r="AE64" s="5">
        <f t="shared" si="8"/>
        <v>0.15346889144092393</v>
      </c>
      <c r="AG64" s="10" t="s">
        <v>51</v>
      </c>
      <c r="AH64" s="10" t="s">
        <v>52</v>
      </c>
      <c r="AI64" s="10" t="s">
        <v>49</v>
      </c>
      <c r="AJ64" s="6" t="str">
        <f t="shared" si="9"/>
        <v>匹配</v>
      </c>
      <c r="AK64" s="23">
        <f>IF(A64="","",COUNTIFS(加仓管理!$A$2:$A$1001,A64,加仓管理!$G$2:$G$1001,"&gt;0"))</f>
        <v>2</v>
      </c>
      <c r="AL64" s="23">
        <f>IF(A64="","",SUMIFS(加仓管理!$G$2:$G$1001,加仓管理!$A$2:$A$1001,A64))</f>
        <v>1500</v>
      </c>
      <c r="AM64" s="24">
        <f>IF(AK64=0,"",IFERROR(LOOKUP(2,1/((加仓管理!$A$2:$A$1001=A64)*(加仓管理!$G$2:$G$1001&gt;0)),加仓管理!$D$2:$D$1001),""))</f>
        <v>33.380000000000003</v>
      </c>
      <c r="AN64" s="24">
        <f>IF(AK64=0,"",IFERROR(LOOKUP(2,1/((加仓管理!$A$2:$A$1001=A64)*(加仓管理!$G$2:$G$1001&gt;0)),加仓管理!$E$2:$E$1001),""))</f>
        <v>30</v>
      </c>
      <c r="AO64" s="24">
        <f>IF(OR(A64="",H64="",H64&lt;=0),"",(E64*H64+SUMIFS(加仓管理!$H$2:$H$1001,加仓管理!$A$2:$A$1001,A64))/AP64)</f>
        <v>36.070952380952384</v>
      </c>
      <c r="AP64" s="23">
        <f t="shared" si="10"/>
        <v>2100</v>
      </c>
      <c r="AQ64" s="24">
        <f>IF(A64="","",IF(M64&lt;&gt;"",0,IF(OR(H64="",N64=""),"",MAX((E64*H64+SUMIFS(加仓管理!$H$2:$H$1001,加仓管理!$A$2:$A$1001,A64))-MAX(N64,AN64)*AP64,0))))</f>
        <v>0</v>
      </c>
      <c r="AR64" s="24" t="str">
        <f>IF(A64="","",IF(OR(E64="",H64=""),"违规：首次买入价格或股数缺失",IF(COUNTIFS(加仓管理!$A$2:$A$1001,A64,加仓管理!$R$2:$R$1001,"违规*")&gt;0,"违规：请检查加仓管理表",IF(SUM($AQ$2:$AQ$201)&gt;账户数据!$B$7,"预警：超过账户风险上限",IF(COUNTIFS(加仓管理!$A$2:$A$1001,A64,加仓管理!$N$2:$N$1001,"&gt;0",加仓管理!$G$2:$G$1001,"")&gt;0,"提示：存在待执行加仓计划","通过")))))</f>
        <v>违规：请检查加仓管理表</v>
      </c>
    </row>
    <row r="65" spans="1:44">
      <c r="A65" s="10">
        <v>64</v>
      </c>
      <c r="B65" s="10" t="s">
        <v>53</v>
      </c>
      <c r="C65" s="7">
        <v>85374</v>
      </c>
      <c r="D65" s="4">
        <v>0.02</v>
      </c>
      <c r="E65" s="7">
        <v>46.03</v>
      </c>
      <c r="F65" s="6">
        <f t="shared" si="0"/>
        <v>500</v>
      </c>
      <c r="G65" s="6" t="str">
        <f>IF(A65="","",IF(H65&lt;&gt;"","已开仓",IF(账户数据!$B$23="已锁仓","禁止开仓：连续亏损达到上限",IF(账户数据!$B$23="解锁信息不完整","禁止开仓：请完整填写解锁信息",IF(OR(F65="",E65="",N65="",E65&lt;=N65,账户数据!$B$7=""),"",IF(OR(AG65="",AH65="",AI65=""),"禁止开仓：交易预期未填写完整",IF(账户数据!$B$9+F65*(E65-N65)&gt;=账户数据!$B$7,"禁止开仓：风险额度不足",IF(AJ65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5" s="10">
        <v>500</v>
      </c>
      <c r="I65" s="21">
        <v>45832</v>
      </c>
      <c r="J65" s="7">
        <v>50</v>
      </c>
      <c r="K65" s="7">
        <v>64.55</v>
      </c>
      <c r="L65" s="6">
        <f t="shared" si="1"/>
        <v>1500</v>
      </c>
      <c r="M65" s="21">
        <v>45904</v>
      </c>
      <c r="N65" s="7">
        <v>43</v>
      </c>
      <c r="O65" s="7"/>
      <c r="P65" s="7"/>
      <c r="Q65" s="10"/>
      <c r="R65" s="10"/>
      <c r="S65" s="10"/>
      <c r="T65" s="10"/>
      <c r="U65" s="5">
        <f t="shared" si="2"/>
        <v>2.1937593677612697E-2</v>
      </c>
      <c r="V65" s="5">
        <f t="shared" si="3"/>
        <v>0.12113366943725308</v>
      </c>
      <c r="W65" s="22">
        <f t="shared" si="4"/>
        <v>0.18110236220472387</v>
      </c>
      <c r="X65" s="3">
        <f t="shared" si="5"/>
        <v>23434.999999999993</v>
      </c>
      <c r="Y65" s="5">
        <f t="shared" si="6"/>
        <v>0.31932143343779795</v>
      </c>
      <c r="Z65" s="5">
        <f>IF(OR(AE65="",多次统计数据!$B$8=""),"",AE65-多次统计数据!$B$8)</f>
        <v>0.16428542184473044</v>
      </c>
      <c r="AA65" s="8">
        <f t="shared" si="7"/>
        <v>72</v>
      </c>
      <c r="AB65" s="5">
        <f>IF(OR(A65="",多次统计数据!$B$8="",多次统计数据!$B$6&lt;=0,多次统计数据!$B$6&gt;=1),"",1-POWER(1+多次统计数据!$B$8,-多次统计数据!$B$6/(1-多次统计数据!$B$6)))</f>
        <v>8.152013270062719E-2</v>
      </c>
      <c r="AC65" s="6" t="str">
        <f>IF(OR(AB65="",多次统计数据!$B$9=""),"",IF(多次统计数据!$B$9&lt;AB65,"低于上限","达到或超过上限"))</f>
        <v>低于上限</v>
      </c>
      <c r="AD65" s="10"/>
      <c r="AE65" s="5">
        <f t="shared" si="8"/>
        <v>0.27449809075362513</v>
      </c>
      <c r="AG65" s="10" t="s">
        <v>51</v>
      </c>
      <c r="AH65" s="10" t="s">
        <v>52</v>
      </c>
      <c r="AI65" s="10" t="s">
        <v>49</v>
      </c>
      <c r="AJ65" s="6" t="str">
        <f t="shared" si="9"/>
        <v>匹配</v>
      </c>
      <c r="AK65" s="23">
        <f>IF(A65="","",COUNTIFS(加仓管理!$A$2:$A$1001,A65,加仓管理!$G$2:$G$1001,"&gt;0"))</f>
        <v>2</v>
      </c>
      <c r="AL65" s="23">
        <f>IF(A65="","",SUMIFS(加仓管理!$G$2:$G$1001,加仓管理!$A$2:$A$1001,A65))</f>
        <v>1000</v>
      </c>
      <c r="AM65" s="24">
        <f>IF(AK65=0,"",IFERROR(LOOKUP(2,1/((加仓管理!$A$2:$A$1001=A65)*(加仓管理!$G$2:$G$1001&gt;0)),加仓管理!$D$2:$D$1001),""))</f>
        <v>51.45</v>
      </c>
      <c r="AN65" s="24">
        <f>IF(AK65=0,"",IFERROR(LOOKUP(2,1/((加仓管理!$A$2:$A$1001=A65)*(加仓管理!$G$2:$G$1001&gt;0)),加仓管理!$E$2:$E$1001),""))</f>
        <v>50</v>
      </c>
      <c r="AO65" s="24">
        <f>IF(OR(A65="",H65="",H65&lt;=0),"",(E65*H65+SUMIFS(加仓管理!$H$2:$H$1001,加仓管理!$A$2:$A$1001,A65))/AP65)</f>
        <v>48.926666666666669</v>
      </c>
      <c r="AP65" s="23">
        <f t="shared" si="10"/>
        <v>1500</v>
      </c>
      <c r="AQ65" s="24">
        <f>IF(A65="","",IF(M65&lt;&gt;"",0,IF(OR(H65="",N65=""),"",MAX((E65*H65+SUMIFS(加仓管理!$H$2:$H$1001,加仓管理!$A$2:$A$1001,A65))-MAX(N65,AN65)*AP65,0))))</f>
        <v>0</v>
      </c>
      <c r="AR65" s="24" t="str">
        <f>IF(A65="","",IF(OR(E65="",H65=""),"违规：首次买入价格或股数缺失",IF(COUNTIFS(加仓管理!$A$2:$A$1001,A65,加仓管理!$R$2:$R$1001,"违规*")&gt;0,"违规：请检查加仓管理表",IF(SUM($AQ$2:$AQ$201)&gt;账户数据!$B$7,"预警：超过账户风险上限",IF(COUNTIFS(加仓管理!$A$2:$A$1001,A65,加仓管理!$N$2:$N$1001,"&gt;0",加仓管理!$G$2:$G$1001,"")&gt;0,"提示：存在待执行加仓计划","通过")))))</f>
        <v>违规：请检查加仓管理表</v>
      </c>
    </row>
    <row r="66" spans="1:44">
      <c r="A66" s="10">
        <v>65</v>
      </c>
      <c r="B66" s="10" t="s">
        <v>53</v>
      </c>
      <c r="C66" s="7">
        <v>108809</v>
      </c>
      <c r="D66" s="4">
        <v>0.02</v>
      </c>
      <c r="E66" s="7">
        <v>76.84</v>
      </c>
      <c r="F66" s="6">
        <f t="shared" ref="F66:F129" si="11">IF(OR(C66="",D66="",E66="",N66="",C66&lt;=0,D66&lt;=0,E66&lt;=N66),"",ROUNDDOWN((C66*D66)/(E66-N66)/100,0)*100)</f>
        <v>300</v>
      </c>
      <c r="G66" s="6" t="str">
        <f>IF(A66="","",IF(H66&lt;&gt;"","已开仓",IF(账户数据!$B$23="已锁仓","禁止开仓：连续亏损达到上限",IF(账户数据!$B$23="解锁信息不完整","禁止开仓：请完整填写解锁信息",IF(OR(F66="",E66="",N66="",E66&lt;=N66,账户数据!$B$7=""),"",IF(OR(AG66="",AH66="",AI66=""),"禁止开仓：交易预期未填写完整",IF(账户数据!$B$9+F66*(E66-N66)&gt;=账户数据!$B$7,"禁止开仓：风险额度不足",IF(AJ66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6" s="10">
        <v>300</v>
      </c>
      <c r="I66" s="21">
        <v>45912</v>
      </c>
      <c r="J66" s="7">
        <v>90</v>
      </c>
      <c r="K66" s="7">
        <v>84.99</v>
      </c>
      <c r="L66" s="6">
        <f t="shared" ref="L66:L129" si="12">IF(AP66="","",AP66)</f>
        <v>900</v>
      </c>
      <c r="M66" s="21">
        <v>45940</v>
      </c>
      <c r="N66" s="7">
        <v>70</v>
      </c>
      <c r="O66" s="7"/>
      <c r="P66" s="7"/>
      <c r="Q66" s="10"/>
      <c r="R66" s="10"/>
      <c r="S66" s="10"/>
      <c r="T66" s="10"/>
      <c r="U66" s="5">
        <f t="shared" ref="U66:U129" si="13">IF(OR(AO66="",J66="",AO66&lt;=0),"",(J66-AO66)/AO66)</f>
        <v>6.1905136474474987E-2</v>
      </c>
      <c r="V66" s="5">
        <f t="shared" ref="V66:V129" si="14">IF(OR(AO66="",N66="",AO66&lt;=0),"",(AO66-N66)/AO66)</f>
        <v>0.17407378274207502</v>
      </c>
      <c r="W66" s="22">
        <f t="shared" ref="W66:W129" si="15">IF(OR(U66="",V66="",V66&lt;=0),"",U66/V66)</f>
        <v>0.35562584726615482</v>
      </c>
      <c r="X66" s="3">
        <f t="shared" ref="X66:X129" si="16">IF(OR(K66="",L66="",AO66="",AP66=""),"",(K66-AO66)*L66-IF(O66="",0,O66)-IF(P66="",0,P66))</f>
        <v>212.99999999999812</v>
      </c>
      <c r="Y66" s="5">
        <f t="shared" ref="Y66:Y129" si="17">IF(OR(X66="",AO66="",L66=""),"",IF(AO66*L66+IF(O66="",0,O66)&lt;=0,"",X66/(AO66*L66+IF(O66="",0,O66))))</f>
        <v>2.7924172107291504E-3</v>
      </c>
      <c r="Z66" s="5">
        <f>IF(OR(AE66="",多次统计数据!$B$8=""),"",AE66-多次统计数据!$B$8)</f>
        <v>-0.10825511025106309</v>
      </c>
      <c r="AA66" s="8">
        <f t="shared" ref="AA66:AA129" si="18">IF(OR(I66="",M66="",M66&lt;I66),"",M66-I66)</f>
        <v>28</v>
      </c>
      <c r="AB66" s="5">
        <f>IF(OR(A66="",多次统计数据!$B$8="",多次统计数据!$B$6&lt;=0,多次统计数据!$B$6&gt;=1),"",1-POWER(1+多次统计数据!$B$8,-多次统计数据!$B$6/(1-多次统计数据!$B$6)))</f>
        <v>8.152013270062719E-2</v>
      </c>
      <c r="AC66" s="6" t="str">
        <f>IF(OR(AB66="",多次统计数据!$B$9=""),"",IF(多次统计数据!$B$9&lt;AB66,"低于上限","达到或超过上限"))</f>
        <v>低于上限</v>
      </c>
      <c r="AD66" s="10"/>
      <c r="AE66" s="5">
        <f t="shared" ref="AE66:AE129" si="19">IF(OR(X66="",C66="",C66&lt;=0),"",X66/C66)</f>
        <v>1.9575586578315959E-3</v>
      </c>
      <c r="AG66" s="10" t="s">
        <v>45</v>
      </c>
      <c r="AH66" s="10" t="s">
        <v>46</v>
      </c>
      <c r="AI66" s="10" t="s">
        <v>47</v>
      </c>
      <c r="AJ66" s="6" t="str">
        <f t="shared" ref="AJ66:AJ129" si="20">IF(OR(AG66="",AH66=""),"",IF(OR(AND(AG66="短期博反弹",OR(AH66="1～3个交易日",AH66="4～10个交易日")),AND(AG66="突破冲新高",OR(AH66="4～10个交易日",AH66="11～20个交易日")),AND(AG66="趋势波段",OR(AH66="11～20个交易日",AH66="21～60个交易日",AH66="60个交易日以上"))),"匹配","周期与交易预期不匹配，请重新确认"))</f>
        <v>匹配</v>
      </c>
      <c r="AK66" s="23">
        <f>IF(A66="","",COUNTIFS(加仓管理!$A$2:$A$1001,A66,加仓管理!$G$2:$G$1001,"&gt;0"))</f>
        <v>2</v>
      </c>
      <c r="AL66" s="23">
        <f>IF(A66="","",SUMIFS(加仓管理!$G$2:$G$1001,加仓管理!$A$2:$A$1001,A66))</f>
        <v>600</v>
      </c>
      <c r="AM66" s="24">
        <f>IF(AK66=0,"",IFERROR(LOOKUP(2,1/((加仓管理!$A$2:$A$1001=A66)*(加仓管理!$G$2:$G$1001&gt;0)),加仓管理!$D$2:$D$1001),""))</f>
        <v>92.1</v>
      </c>
      <c r="AN66" s="24">
        <f>IF(AK66=0,"",IFERROR(LOOKUP(2,1/((加仓管理!$A$2:$A$1001=A66)*(加仓管理!$G$2:$G$1001&gt;0)),加仓管理!$E$2:$E$1001),""))</f>
        <v>85</v>
      </c>
      <c r="AO66" s="24">
        <f>IF(OR(A66="",H66="",H66&lt;=0),"",(E66*H66+SUMIFS(加仓管理!$H$2:$H$1001,加仓管理!$A$2:$A$1001,A66))/AP66)</f>
        <v>84.75333333333333</v>
      </c>
      <c r="AP66" s="23">
        <f t="shared" ref="AP66:AP129" si="21">IF(OR(A66="",H66="",H66&lt;=0),"",H66+AL66)</f>
        <v>900</v>
      </c>
      <c r="AQ66" s="24">
        <f>IF(A66="","",IF(M66&lt;&gt;"",0,IF(OR(H66="",N66=""),"",MAX((E66*H66+SUMIFS(加仓管理!$H$2:$H$1001,加仓管理!$A$2:$A$1001,A66))-MAX(N66,AN66)*AP66,0))))</f>
        <v>0</v>
      </c>
      <c r="AR66" s="24" t="str">
        <f>IF(A66="","",IF(OR(E66="",H66=""),"违规：首次买入价格或股数缺失",IF(COUNTIFS(加仓管理!$A$2:$A$1001,A66,加仓管理!$R$2:$R$1001,"违规*")&gt;0,"违规：请检查加仓管理表",IF(SUM($AQ$2:$AQ$201)&gt;账户数据!$B$7,"预警：超过账户风险上限",IF(COUNTIFS(加仓管理!$A$2:$A$1001,A66,加仓管理!$N$2:$N$1001,"&gt;0",加仓管理!$G$2:$G$1001,"")&gt;0,"提示：存在待执行加仓计划","通过")))))</f>
        <v>违规：请检查加仓管理表</v>
      </c>
    </row>
    <row r="67" spans="1:44">
      <c r="A67" s="10">
        <v>66</v>
      </c>
      <c r="B67" s="10" t="s">
        <v>53</v>
      </c>
      <c r="C67" s="7">
        <v>109022</v>
      </c>
      <c r="D67" s="4">
        <v>0.02</v>
      </c>
      <c r="E67" s="7">
        <v>84.91</v>
      </c>
      <c r="F67" s="6">
        <f t="shared" si="11"/>
        <v>400</v>
      </c>
      <c r="G67" s="6" t="str">
        <f>IF(A67="","",IF(H67&lt;&gt;"","已开仓",IF(账户数据!$B$23="已锁仓","禁止开仓：连续亏损达到上限",IF(账户数据!$B$23="解锁信息不完整","禁止开仓：请完整填写解锁信息",IF(OR(F67="",E67="",N67="",E67&lt;=N67,账户数据!$B$7=""),"",IF(OR(AG67="",AH67="",AI67=""),"禁止开仓：交易预期未填写完整",IF(账户数据!$B$9+F67*(E67-N67)&gt;=账户数据!$B$7,"禁止开仓：风险额度不足",IF(AJ67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7" s="10">
        <v>400</v>
      </c>
      <c r="I67" s="21">
        <v>45952</v>
      </c>
      <c r="J67" s="7">
        <v>100</v>
      </c>
      <c r="K67" s="7">
        <v>79.569999999999993</v>
      </c>
      <c r="L67" s="6">
        <f t="shared" si="12"/>
        <v>400</v>
      </c>
      <c r="M67" s="21">
        <v>45961</v>
      </c>
      <c r="N67" s="7">
        <v>80</v>
      </c>
      <c r="O67" s="7"/>
      <c r="P67" s="7"/>
      <c r="Q67" s="10"/>
      <c r="R67" s="10"/>
      <c r="S67" s="10"/>
      <c r="T67" s="10"/>
      <c r="U67" s="5">
        <f t="shared" si="13"/>
        <v>0.17771758332351906</v>
      </c>
      <c r="V67" s="5">
        <f t="shared" si="14"/>
        <v>5.7825933341184743E-2</v>
      </c>
      <c r="W67" s="22">
        <f t="shared" si="15"/>
        <v>3.0733197556008176</v>
      </c>
      <c r="X67" s="3">
        <f t="shared" si="16"/>
        <v>-2136.0000000000014</v>
      </c>
      <c r="Y67" s="5">
        <f t="shared" si="17"/>
        <v>-6.2890118949475951E-2</v>
      </c>
      <c r="Z67" s="5">
        <f>IF(OR(AE67="",多次统计数据!$B$8=""),"",AE67-多次统计数据!$B$8)</f>
        <v>-0.12980504475964041</v>
      </c>
      <c r="AA67" s="8">
        <f t="shared" si="18"/>
        <v>9</v>
      </c>
      <c r="AB67" s="5">
        <f>IF(OR(A67="",多次统计数据!$B$8="",多次统计数据!$B$6&lt;=0,多次统计数据!$B$6&gt;=1),"",1-POWER(1+多次统计数据!$B$8,-多次统计数据!$B$6/(1-多次统计数据!$B$6)))</f>
        <v>8.152013270062719E-2</v>
      </c>
      <c r="AC67" s="6" t="str">
        <f>IF(OR(AB67="",多次统计数据!$B$9=""),"",IF(多次统计数据!$B$9&lt;AB67,"低于上限","达到或超过上限"))</f>
        <v>低于上限</v>
      </c>
      <c r="AD67" s="10"/>
      <c r="AE67" s="5">
        <f t="shared" si="19"/>
        <v>-1.9592375850745733E-2</v>
      </c>
      <c r="AG67" s="10" t="s">
        <v>51</v>
      </c>
      <c r="AH67" s="10" t="s">
        <v>52</v>
      </c>
      <c r="AI67" s="10" t="s">
        <v>49</v>
      </c>
      <c r="AJ67" s="6" t="str">
        <f t="shared" si="20"/>
        <v>匹配</v>
      </c>
      <c r="AK67" s="23">
        <f>IF(A67="","",COUNTIFS(加仓管理!$A$2:$A$1001,A67,加仓管理!$G$2:$G$1001,"&gt;0"))</f>
        <v>0</v>
      </c>
      <c r="AL67" s="23">
        <f>IF(A67="","",SUMIFS(加仓管理!$G$2:$G$1001,加仓管理!$A$2:$A$1001,A67))</f>
        <v>0</v>
      </c>
      <c r="AM67" s="24" t="str">
        <f>IF(AK67=0,"",IFERROR(LOOKUP(2,1/((加仓管理!$A$2:$A$1001=A67)*(加仓管理!$G$2:$G$1001&gt;0)),加仓管理!$D$2:$D$1001),""))</f>
        <v/>
      </c>
      <c r="AN67" s="24" t="str">
        <f>IF(AK67=0,"",IFERROR(LOOKUP(2,1/((加仓管理!$A$2:$A$1001=A67)*(加仓管理!$G$2:$G$1001&gt;0)),加仓管理!$E$2:$E$1001),""))</f>
        <v/>
      </c>
      <c r="AO67" s="24">
        <f>IF(OR(A67="",H67="",H67&lt;=0),"",(E67*H67+SUMIFS(加仓管理!$H$2:$H$1001,加仓管理!$A$2:$A$1001,A67))/AP67)</f>
        <v>84.91</v>
      </c>
      <c r="AP67" s="23">
        <f t="shared" si="21"/>
        <v>400</v>
      </c>
      <c r="AQ67" s="24">
        <f>IF(A67="","",IF(M67&lt;&gt;"",0,IF(OR(H67="",N67=""),"",MAX((E67*H67+SUMIFS(加仓管理!$H$2:$H$1001,加仓管理!$A$2:$A$1001,A67))-MAX(N67,AN67)*AP67,0))))</f>
        <v>0</v>
      </c>
      <c r="AR67" s="24" t="str">
        <f>IF(A67="","",IF(OR(E67="",H67=""),"违规：首次买入价格或股数缺失",IF(COUNTIFS(加仓管理!$A$2:$A$1001,A67,加仓管理!$R$2:$R$1001,"违规*")&gt;0,"违规：请检查加仓管理表",IF(SUM($AQ$2:$AQ$201)&gt;账户数据!$B$7,"预警：超过账户风险上限",IF(COUNTIFS(加仓管理!$A$2:$A$1001,A67,加仓管理!$N$2:$N$1001,"&gt;0",加仓管理!$G$2:$G$1001,"")&gt;0,"提示：存在待执行加仓计划","通过")))))</f>
        <v>通过</v>
      </c>
    </row>
    <row r="68" spans="1:44">
      <c r="A68" s="10">
        <v>67</v>
      </c>
      <c r="B68" s="10" t="s">
        <v>53</v>
      </c>
      <c r="C68" s="7">
        <v>106886</v>
      </c>
      <c r="D68" s="4">
        <v>0.02</v>
      </c>
      <c r="E68" s="7">
        <v>79.33</v>
      </c>
      <c r="F68" s="6">
        <f t="shared" si="11"/>
        <v>400</v>
      </c>
      <c r="G68" s="6" t="str">
        <f>IF(A68="","",IF(H68&lt;&gt;"","已开仓",IF(账户数据!$B$23="已锁仓","禁止开仓：连续亏损达到上限",IF(账户数据!$B$23="解锁信息不完整","禁止开仓：请完整填写解锁信息",IF(OR(F68="",E68="",N68="",E68&lt;=N68,账户数据!$B$7=""),"",IF(OR(AG68="",AH68="",AI68=""),"禁止开仓：交易预期未填写完整",IF(账户数据!$B$9+F68*(E68-N68)&gt;=账户数据!$B$7,"禁止开仓：风险额度不足",IF(AJ68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8" s="10">
        <v>400</v>
      </c>
      <c r="I68" s="21">
        <v>45999</v>
      </c>
      <c r="J68" s="7">
        <v>100</v>
      </c>
      <c r="K68" s="7">
        <v>75.02</v>
      </c>
      <c r="L68" s="6">
        <f t="shared" si="12"/>
        <v>400</v>
      </c>
      <c r="M68" s="21">
        <v>46006</v>
      </c>
      <c r="N68" s="7">
        <v>75</v>
      </c>
      <c r="O68" s="7"/>
      <c r="P68" s="7"/>
      <c r="Q68" s="10"/>
      <c r="R68" s="10"/>
      <c r="S68" s="10"/>
      <c r="T68" s="10"/>
      <c r="U68" s="5">
        <f t="shared" si="13"/>
        <v>0.26055716626749026</v>
      </c>
      <c r="V68" s="5">
        <f t="shared" si="14"/>
        <v>5.4582125299382306E-2</v>
      </c>
      <c r="W68" s="22">
        <f t="shared" si="15"/>
        <v>4.7736720554272543</v>
      </c>
      <c r="X68" s="3">
        <f t="shared" si="16"/>
        <v>-1724.0000000000009</v>
      </c>
      <c r="Y68" s="5">
        <f t="shared" si="17"/>
        <v>-5.433001386612886E-2</v>
      </c>
      <c r="Z68" s="5">
        <f>IF(OR(AE68="",多次统计数据!$B$8=""),"",AE68-多次统计数据!$B$8)</f>
        <v>-0.1263420029657403</v>
      </c>
      <c r="AA68" s="8">
        <f t="shared" si="18"/>
        <v>7</v>
      </c>
      <c r="AB68" s="5">
        <f>IF(OR(A68="",多次统计数据!$B$8="",多次统计数据!$B$6&lt;=0,多次统计数据!$B$6&gt;=1),"",1-POWER(1+多次统计数据!$B$8,-多次统计数据!$B$6/(1-多次统计数据!$B$6)))</f>
        <v>8.152013270062719E-2</v>
      </c>
      <c r="AC68" s="6" t="str">
        <f>IF(OR(AB68="",多次统计数据!$B$9=""),"",IF(多次统计数据!$B$9&lt;AB68,"低于上限","达到或超过上限"))</f>
        <v>低于上限</v>
      </c>
      <c r="AD68" s="10"/>
      <c r="AE68" s="5">
        <f t="shared" si="19"/>
        <v>-1.6129334056845621E-2</v>
      </c>
      <c r="AG68" s="10" t="s">
        <v>51</v>
      </c>
      <c r="AH68" s="10" t="s">
        <v>52</v>
      </c>
      <c r="AI68" s="10" t="s">
        <v>49</v>
      </c>
      <c r="AJ68" s="6" t="str">
        <f t="shared" si="20"/>
        <v>匹配</v>
      </c>
      <c r="AK68" s="23">
        <f>IF(A68="","",COUNTIFS(加仓管理!$A$2:$A$1001,A68,加仓管理!$G$2:$G$1001,"&gt;0"))</f>
        <v>0</v>
      </c>
      <c r="AL68" s="23">
        <f>IF(A68="","",SUMIFS(加仓管理!$G$2:$G$1001,加仓管理!$A$2:$A$1001,A68))</f>
        <v>0</v>
      </c>
      <c r="AM68" s="24" t="str">
        <f>IF(AK68=0,"",IFERROR(LOOKUP(2,1/((加仓管理!$A$2:$A$1001=A68)*(加仓管理!$G$2:$G$1001&gt;0)),加仓管理!$D$2:$D$1001),""))</f>
        <v/>
      </c>
      <c r="AN68" s="24" t="str">
        <f>IF(AK68=0,"",IFERROR(LOOKUP(2,1/((加仓管理!$A$2:$A$1001=A68)*(加仓管理!$G$2:$G$1001&gt;0)),加仓管理!$E$2:$E$1001),""))</f>
        <v/>
      </c>
      <c r="AO68" s="24">
        <f>IF(OR(A68="",H68="",H68&lt;=0),"",(E68*H68+SUMIFS(加仓管理!$H$2:$H$1001,加仓管理!$A$2:$A$1001,A68))/AP68)</f>
        <v>79.33</v>
      </c>
      <c r="AP68" s="23">
        <f t="shared" si="21"/>
        <v>400</v>
      </c>
      <c r="AQ68" s="24">
        <f>IF(A68="","",IF(M68&lt;&gt;"",0,IF(OR(H68="",N68=""),"",MAX((E68*H68+SUMIFS(加仓管理!$H$2:$H$1001,加仓管理!$A$2:$A$1001,A68))-MAX(N68,AN68)*AP68,0))))</f>
        <v>0</v>
      </c>
      <c r="AR68" s="24" t="str">
        <f>IF(A68="","",IF(OR(E68="",H68=""),"违规：首次买入价格或股数缺失",IF(COUNTIFS(加仓管理!$A$2:$A$1001,A68,加仓管理!$R$2:$R$1001,"违规*")&gt;0,"违规：请检查加仓管理表",IF(SUM($AQ$2:$AQ$201)&gt;账户数据!$B$7,"预警：超过账户风险上限",IF(COUNTIFS(加仓管理!$A$2:$A$1001,A68,加仓管理!$N$2:$N$1001,"&gt;0",加仓管理!$G$2:$G$1001,"")&gt;0,"提示：存在待执行加仓计划","通过")))))</f>
        <v>通过</v>
      </c>
    </row>
    <row r="69" spans="1:44">
      <c r="A69" s="10">
        <v>68</v>
      </c>
      <c r="B69" s="10" t="s">
        <v>53</v>
      </c>
      <c r="C69" s="7">
        <v>105162</v>
      </c>
      <c r="D69" s="4">
        <v>0.02</v>
      </c>
      <c r="E69" s="7">
        <v>82.17</v>
      </c>
      <c r="F69" s="6">
        <f t="shared" si="11"/>
        <v>200</v>
      </c>
      <c r="G69" s="6" t="str">
        <f>IF(A69="","",IF(H69&lt;&gt;"","已开仓",IF(账户数据!$B$23="已锁仓","禁止开仓：连续亏损达到上限",IF(账户数据!$B$23="解锁信息不完整","禁止开仓：请完整填写解锁信息",IF(OR(F69="",E69="",N69="",E69&lt;=N69,账户数据!$B$7=""),"",IF(OR(AG69="",AH69="",AI69=""),"禁止开仓：交易预期未填写完整",IF(账户数据!$B$9+F69*(E69-N69)&gt;=账户数据!$B$7,"禁止开仓：风险额度不足",IF(AJ69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9" s="10">
        <v>200</v>
      </c>
      <c r="I69" s="21">
        <v>46077</v>
      </c>
      <c r="J69" s="7">
        <v>100</v>
      </c>
      <c r="K69" s="7">
        <v>127.65</v>
      </c>
      <c r="L69" s="6">
        <f t="shared" si="12"/>
        <v>1000</v>
      </c>
      <c r="M69" s="21">
        <v>46093</v>
      </c>
      <c r="N69" s="7">
        <v>75</v>
      </c>
      <c r="O69" s="7"/>
      <c r="P69" s="7"/>
      <c r="Q69" s="10"/>
      <c r="R69" s="10"/>
      <c r="S69" s="10"/>
      <c r="T69" s="10"/>
      <c r="U69" s="5">
        <f t="shared" si="13"/>
        <v>3.9457818801713097E-2</v>
      </c>
      <c r="V69" s="5">
        <f t="shared" si="14"/>
        <v>0.22040663589871518</v>
      </c>
      <c r="W69" s="22">
        <f t="shared" si="15"/>
        <v>0.17902282588190943</v>
      </c>
      <c r="X69" s="3">
        <f t="shared" si="16"/>
        <v>31446.000000000011</v>
      </c>
      <c r="Y69" s="5">
        <f t="shared" si="17"/>
        <v>0.32686790570038682</v>
      </c>
      <c r="Z69" s="5">
        <f>IF(OR(AE69="",多次统计数据!$B$8=""),"",AE69-多次统计数据!$B$8)</f>
        <v>0.18881169350338362</v>
      </c>
      <c r="AA69" s="8">
        <f t="shared" si="18"/>
        <v>16</v>
      </c>
      <c r="AB69" s="5">
        <f>IF(OR(A69="",多次统计数据!$B$8="",多次统计数据!$B$6&lt;=0,多次统计数据!$B$6&gt;=1),"",1-POWER(1+多次统计数据!$B$8,-多次统计数据!$B$6/(1-多次统计数据!$B$6)))</f>
        <v>8.152013270062719E-2</v>
      </c>
      <c r="AC69" s="6" t="str">
        <f>IF(OR(AB69="",多次统计数据!$B$9=""),"",IF(多次统计数据!$B$9&lt;AB69,"低于上限","达到或超过上限"))</f>
        <v>低于上限</v>
      </c>
      <c r="AD69" s="10"/>
      <c r="AE69" s="5">
        <f t="shared" si="19"/>
        <v>0.29902436241227831</v>
      </c>
      <c r="AG69" s="10" t="s">
        <v>51</v>
      </c>
      <c r="AH69" s="10" t="s">
        <v>52</v>
      </c>
      <c r="AI69" s="10" t="s">
        <v>49</v>
      </c>
      <c r="AJ69" s="6" t="str">
        <f t="shared" si="20"/>
        <v>匹配</v>
      </c>
      <c r="AK69" s="23">
        <f>IF(A69="","",COUNTIFS(加仓管理!$A$2:$A$1001,A69,加仓管理!$G$2:$G$1001,"&gt;0"))</f>
        <v>4</v>
      </c>
      <c r="AL69" s="23">
        <f>IF(A69="","",SUMIFS(加仓管理!$G$2:$G$1001,加仓管理!$A$2:$A$1001,A69))</f>
        <v>800</v>
      </c>
      <c r="AM69" s="24">
        <f>IF(AK69=0,"",IFERROR(LOOKUP(2,1/((加仓管理!$A$2:$A$1001=A69)*(加仓管理!$G$2:$G$1001&gt;0)),加仓管理!$D$2:$D$1001),""))</f>
        <v>114.53</v>
      </c>
      <c r="AN69" s="24">
        <f>IF(AK69=0,"",IFERROR(LOOKUP(2,1/((加仓管理!$A$2:$A$1001=A69)*(加仓管理!$G$2:$G$1001&gt;0)),加仓管理!$E$2:$E$1001),""))</f>
        <v>105</v>
      </c>
      <c r="AO69" s="24">
        <f>IF(OR(A69="",H69="",H69&lt;=0),"",(E69*H69+SUMIFS(加仓管理!$H$2:$H$1001,加仓管理!$A$2:$A$1001,A69))/AP69)</f>
        <v>96.203999999999994</v>
      </c>
      <c r="AP69" s="23">
        <f t="shared" si="21"/>
        <v>1000</v>
      </c>
      <c r="AQ69" s="24">
        <f>IF(A69="","",IF(M69&lt;&gt;"",0,IF(OR(H69="",N69=""),"",MAX((E69*H69+SUMIFS(加仓管理!$H$2:$H$1001,加仓管理!$A$2:$A$1001,A69))-MAX(N69,AN69)*AP69,0))))</f>
        <v>0</v>
      </c>
      <c r="AR69" s="24" t="str">
        <f>IF(A69="","",IF(OR(E69="",H69=""),"违规：首次买入价格或股数缺失",IF(COUNTIFS(加仓管理!$A$2:$A$1001,A69,加仓管理!$R$2:$R$1001,"违规*")&gt;0,"违规：请检查加仓管理表",IF(SUM($AQ$2:$AQ$201)&gt;账户数据!$B$7,"预警：超过账户风险上限",IF(COUNTIFS(加仓管理!$A$2:$A$1001,A69,加仓管理!$N$2:$N$1001,"&gt;0",加仓管理!$G$2:$G$1001,"")&gt;0,"提示：存在待执行加仓计划","通过")))))</f>
        <v>违规：请检查加仓管理表</v>
      </c>
    </row>
    <row r="70" spans="1:44">
      <c r="A70" s="10">
        <v>69</v>
      </c>
      <c r="B70" s="10" t="s">
        <v>53</v>
      </c>
      <c r="C70" s="7">
        <v>136608</v>
      </c>
      <c r="D70" s="4">
        <v>0.02</v>
      </c>
      <c r="E70" s="7">
        <v>124.91</v>
      </c>
      <c r="F70" s="6">
        <f t="shared" si="11"/>
        <v>100</v>
      </c>
      <c r="G70" s="6" t="str">
        <f>IF(A70="","",IF(H70&lt;&gt;"","已开仓",IF(账户数据!$B$23="已锁仓","禁止开仓：连续亏损达到上限",IF(账户数据!$B$23="解锁信息不完整","禁止开仓：请完整填写解锁信息",IF(OR(F70="",E70="",N70="",E70&lt;=N70,账户数据!$B$7=""),"",IF(OR(AG70="",AH70="",AI70=""),"禁止开仓：交易预期未填写完整",IF(账户数据!$B$9+F70*(E70-N70)&gt;=账户数据!$B$7,"禁止开仓：风险额度不足",IF(AJ70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0" s="10">
        <v>100</v>
      </c>
      <c r="I70" s="21">
        <v>46125</v>
      </c>
      <c r="J70" s="7">
        <v>112.05</v>
      </c>
      <c r="K70" s="7">
        <v>112.05</v>
      </c>
      <c r="L70" s="6">
        <f t="shared" si="12"/>
        <v>100</v>
      </c>
      <c r="M70" s="21">
        <v>46127</v>
      </c>
      <c r="N70" s="7">
        <v>105</v>
      </c>
      <c r="O70" s="7"/>
      <c r="P70" s="7"/>
      <c r="Q70" s="10"/>
      <c r="R70" s="10"/>
      <c r="S70" s="10"/>
      <c r="T70" s="10"/>
      <c r="U70" s="5">
        <f t="shared" si="13"/>
        <v>-0.10295412697141942</v>
      </c>
      <c r="V70" s="5">
        <f t="shared" si="14"/>
        <v>0.15939476423024576</v>
      </c>
      <c r="W70" s="22">
        <f t="shared" si="15"/>
        <v>-0.64590657960823716</v>
      </c>
      <c r="X70" s="3">
        <f t="shared" si="16"/>
        <v>-1286</v>
      </c>
      <c r="Y70" s="5">
        <f t="shared" si="17"/>
        <v>-0.10295412697141942</v>
      </c>
      <c r="Z70" s="5">
        <f>IF(OR(AE70="",多次统计数据!$B$8=""),"",AE70-多次统计数据!$B$8)</f>
        <v>-0.11962646605108254</v>
      </c>
      <c r="AA70" s="8">
        <f t="shared" si="18"/>
        <v>2</v>
      </c>
      <c r="AB70" s="5">
        <f>IF(OR(A70="",多次统计数据!$B$8="",多次统计数据!$B$6&lt;=0,多次统计数据!$B$6&gt;=1),"",1-POWER(1+多次统计数据!$B$8,-多次统计数据!$B$6/(1-多次统计数据!$B$6)))</f>
        <v>8.152013270062719E-2</v>
      </c>
      <c r="AC70" s="6" t="str">
        <f>IF(OR(AB70="",多次统计数据!$B$9=""),"",IF(多次统计数据!$B$9&lt;AB70,"低于上限","达到或超过上限"))</f>
        <v>低于上限</v>
      </c>
      <c r="AD70" s="10"/>
      <c r="AE70" s="5">
        <f t="shared" si="19"/>
        <v>-9.4137971421878654E-3</v>
      </c>
      <c r="AG70" s="10" t="s">
        <v>51</v>
      </c>
      <c r="AH70" s="10" t="s">
        <v>52</v>
      </c>
      <c r="AI70" s="10" t="s">
        <v>49</v>
      </c>
      <c r="AJ70" s="6" t="str">
        <f t="shared" si="20"/>
        <v>匹配</v>
      </c>
      <c r="AK70" s="23">
        <f>IF(A70="","",COUNTIFS(加仓管理!$A$2:$A$1001,A70,加仓管理!$G$2:$G$1001,"&gt;0"))</f>
        <v>0</v>
      </c>
      <c r="AL70" s="23">
        <f>IF(A70="","",SUMIFS(加仓管理!$G$2:$G$1001,加仓管理!$A$2:$A$1001,A70))</f>
        <v>0</v>
      </c>
      <c r="AM70" s="24" t="str">
        <f>IF(AK70=0,"",IFERROR(LOOKUP(2,1/((加仓管理!$A$2:$A$1001=A70)*(加仓管理!$G$2:$G$1001&gt;0)),加仓管理!$D$2:$D$1001),""))</f>
        <v/>
      </c>
      <c r="AN70" s="24" t="str">
        <f>IF(AK70=0,"",IFERROR(LOOKUP(2,1/((加仓管理!$A$2:$A$1001=A70)*(加仓管理!$G$2:$G$1001&gt;0)),加仓管理!$E$2:$E$1001),""))</f>
        <v/>
      </c>
      <c r="AO70" s="24">
        <f>IF(OR(A70="",H70="",H70&lt;=0),"",(E70*H70+SUMIFS(加仓管理!$H$2:$H$1001,加仓管理!$A$2:$A$1001,A70))/AP70)</f>
        <v>124.91</v>
      </c>
      <c r="AP70" s="23">
        <f t="shared" si="21"/>
        <v>100</v>
      </c>
      <c r="AQ70" s="24">
        <f>IF(A70="","",IF(M70&lt;&gt;"",0,IF(OR(H70="",N70=""),"",MAX((E70*H70+SUMIFS(加仓管理!$H$2:$H$1001,加仓管理!$A$2:$A$1001,A70))-MAX(N70,AN70)*AP70,0))))</f>
        <v>0</v>
      </c>
      <c r="AR70" s="24" t="str">
        <f>IF(A70="","",IF(OR(E70="",H70=""),"违规：首次买入价格或股数缺失",IF(COUNTIFS(加仓管理!$A$2:$A$1001,A70,加仓管理!$R$2:$R$1001,"违规*")&gt;0,"违规：请检查加仓管理表",IF(SUM($AQ$2:$AQ$201)&gt;账户数据!$B$7,"预警：超过账户风险上限",IF(COUNTIFS(加仓管理!$A$2:$A$1001,A70,加仓管理!$N$2:$N$1001,"&gt;0",加仓管理!$G$2:$G$1001,"")&gt;0,"提示：存在待执行加仓计划","通过")))))</f>
        <v>通过</v>
      </c>
    </row>
    <row r="71" spans="1:44">
      <c r="A71" s="10">
        <v>70</v>
      </c>
      <c r="B71" s="10" t="s">
        <v>53</v>
      </c>
      <c r="C71" s="7">
        <v>135322</v>
      </c>
      <c r="D71" s="4">
        <v>0.02</v>
      </c>
      <c r="E71" s="7">
        <v>133.25</v>
      </c>
      <c r="F71" s="6">
        <f t="shared" si="11"/>
        <v>200</v>
      </c>
      <c r="G71" s="6" t="str">
        <f>IF(A71="","",IF(H71&lt;&gt;"","已开仓",IF(账户数据!$B$23="已锁仓","禁止开仓：连续亏损达到上限",IF(账户数据!$B$23="解锁信息不完整","禁止开仓：请完整填写解锁信息",IF(OR(F71="",E71="",N71="",E71&lt;=N71,账户数据!$B$7=""),"",IF(OR(AG71="",AH71="",AI71=""),"禁止开仓：交易预期未填写完整",IF(账户数据!$B$9+F71*(E71-N71)&gt;=账户数据!$B$7,"禁止开仓：风险额度不足",IF(AJ71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1" s="10">
        <v>200</v>
      </c>
      <c r="I71" s="21">
        <v>46149</v>
      </c>
      <c r="J71" s="7">
        <v>140</v>
      </c>
      <c r="K71" s="7">
        <v>141.85</v>
      </c>
      <c r="L71" s="6">
        <f t="shared" si="12"/>
        <v>300</v>
      </c>
      <c r="M71" s="21">
        <v>46155</v>
      </c>
      <c r="N71" s="7">
        <v>120</v>
      </c>
      <c r="O71" s="7"/>
      <c r="P71" s="7"/>
      <c r="Q71" s="10"/>
      <c r="R71" s="10"/>
      <c r="S71" s="10"/>
      <c r="T71" s="10"/>
      <c r="U71" s="5">
        <f t="shared" si="13"/>
        <v>1.4958555858969087E-2</v>
      </c>
      <c r="V71" s="5">
        <f t="shared" si="14"/>
        <v>0.13003552354945508</v>
      </c>
      <c r="W71" s="22">
        <f t="shared" si="15"/>
        <v>0.1150343802267236</v>
      </c>
      <c r="X71" s="3">
        <f t="shared" si="16"/>
        <v>1173.9999999999982</v>
      </c>
      <c r="Y71" s="5">
        <f t="shared" si="17"/>
        <v>2.8370508204248284E-2</v>
      </c>
      <c r="Z71" s="5">
        <f>IF(OR(AE71="",多次统计数据!$B$8=""),"",AE71-多次统计数据!$B$8)</f>
        <v>-0.10153706553324254</v>
      </c>
      <c r="AA71" s="8">
        <f t="shared" si="18"/>
        <v>6</v>
      </c>
      <c r="AB71" s="5">
        <f>IF(OR(A71="",多次统计数据!$B$8="",多次统计数据!$B$6&lt;=0,多次统计数据!$B$6&gt;=1),"",1-POWER(1+多次统计数据!$B$8,-多次统计数据!$B$6/(1-多次统计数据!$B$6)))</f>
        <v>8.152013270062719E-2</v>
      </c>
      <c r="AC71" s="6" t="str">
        <f>IF(OR(AB71="",多次统计数据!$B$9=""),"",IF(多次统计数据!$B$9&lt;AB71,"低于上限","达到或超过上限"))</f>
        <v>低于上限</v>
      </c>
      <c r="AD71" s="10"/>
      <c r="AE71" s="5">
        <f t="shared" si="19"/>
        <v>8.6756033756521349E-3</v>
      </c>
      <c r="AG71" s="10" t="s">
        <v>51</v>
      </c>
      <c r="AH71" s="10" t="s">
        <v>52</v>
      </c>
      <c r="AI71" s="10" t="s">
        <v>49</v>
      </c>
      <c r="AJ71" s="6" t="str">
        <f t="shared" si="20"/>
        <v>匹配</v>
      </c>
      <c r="AK71" s="23">
        <f>IF(A71="","",COUNTIFS(加仓管理!$A$2:$A$1001,A71,加仓管理!$G$2:$G$1001,"&gt;0"))</f>
        <v>1</v>
      </c>
      <c r="AL71" s="23">
        <f>IF(A71="","",SUMIFS(加仓管理!$G$2:$G$1001,加仓管理!$A$2:$A$1001,A71))</f>
        <v>100</v>
      </c>
      <c r="AM71" s="24">
        <f>IF(AK71=0,"",IFERROR(LOOKUP(2,1/((加仓管理!$A$2:$A$1001=A71)*(加仓管理!$G$2:$G$1001&gt;0)),加仓管理!$D$2:$D$1001),""))</f>
        <v>147.31</v>
      </c>
      <c r="AN71" s="24">
        <f>IF(AK71=0,"",IFERROR(LOOKUP(2,1/((加仓管理!$A$2:$A$1001=A71)*(加仓管理!$G$2:$G$1001&gt;0)),加仓管理!$E$2:$E$1001),""))</f>
        <v>135</v>
      </c>
      <c r="AO71" s="24">
        <f>IF(OR(A71="",H71="",H71&lt;=0),"",(E71*H71+SUMIFS(加仓管理!$H$2:$H$1001,加仓管理!$A$2:$A$1001,A71))/AP71)</f>
        <v>137.93666666666667</v>
      </c>
      <c r="AP71" s="23">
        <f t="shared" si="21"/>
        <v>300</v>
      </c>
      <c r="AQ71" s="24">
        <f>IF(A71="","",IF(M71&lt;&gt;"",0,IF(OR(H71="",N71=""),"",MAX((E71*H71+SUMIFS(加仓管理!$H$2:$H$1001,加仓管理!$A$2:$A$1001,A71))-MAX(N71,AN71)*AP71,0))))</f>
        <v>0</v>
      </c>
      <c r="AR71" s="24" t="str">
        <f>IF(A71="","",IF(OR(E71="",H71=""),"违规：首次买入价格或股数缺失",IF(COUNTIFS(加仓管理!$A$2:$A$1001,A71,加仓管理!$R$2:$R$1001,"违规*")&gt;0,"违规：请检查加仓管理表",IF(SUM($AQ$2:$AQ$201)&gt;账户数据!$B$7,"预警：超过账户风险上限",IF(COUNTIFS(加仓管理!$A$2:$A$1001,A71,加仓管理!$N$2:$N$1001,"&gt;0",加仓管理!$G$2:$G$1001,"")&gt;0,"提示：存在待执行加仓计划","通过")))))</f>
        <v>违规：请检查加仓管理表</v>
      </c>
    </row>
    <row r="72" spans="1:44">
      <c r="A72" s="10">
        <v>71</v>
      </c>
      <c r="B72" s="37" t="s">
        <v>55</v>
      </c>
      <c r="C72" s="7">
        <v>136496</v>
      </c>
      <c r="D72" s="4">
        <v>0.02</v>
      </c>
      <c r="E72" s="7">
        <v>4.57</v>
      </c>
      <c r="F72" s="6">
        <f t="shared" si="11"/>
        <v>4700</v>
      </c>
      <c r="G72" s="6" t="str">
        <f>IF(A72="","",IF(H72&lt;&gt;"","已开仓",IF(账户数据!$B$23="已锁仓","禁止开仓：连续亏损达到上限",IF(账户数据!$B$23="解锁信息不完整","禁止开仓：请完整填写解锁信息",IF(OR(F72="",E72="",N72="",E72&lt;=N72,账户数据!$B$7=""),"",IF(OR(AG72="",AH72="",AI72=""),"禁止开仓：交易预期未填写完整",IF(账户数据!$B$9+F72*(E72-N72)&gt;=账户数据!$B$7,"禁止开仓：风险额度不足",IF(AJ72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2" s="10">
        <v>4700</v>
      </c>
      <c r="I72" s="21">
        <v>42366</v>
      </c>
      <c r="J72" s="7">
        <v>5</v>
      </c>
      <c r="K72" s="7">
        <v>8.15</v>
      </c>
      <c r="L72" s="6">
        <f t="shared" si="12"/>
        <v>16700</v>
      </c>
      <c r="M72" s="21">
        <v>42524</v>
      </c>
      <c r="N72" s="7">
        <v>4</v>
      </c>
      <c r="O72" s="7"/>
      <c r="P72" s="7"/>
      <c r="Q72" s="10"/>
      <c r="R72" s="10"/>
      <c r="S72" s="10"/>
      <c r="T72" s="10"/>
      <c r="U72" s="5">
        <f t="shared" si="13"/>
        <v>-4.9829879720980047E-2</v>
      </c>
      <c r="V72" s="5">
        <f t="shared" si="14"/>
        <v>0.23986390377678404</v>
      </c>
      <c r="W72" s="22">
        <f t="shared" si="15"/>
        <v>-0.20774230276578606</v>
      </c>
      <c r="X72" s="3">
        <f t="shared" si="16"/>
        <v>48226</v>
      </c>
      <c r="Y72" s="5">
        <f t="shared" si="17"/>
        <v>0.54877729605480263</v>
      </c>
      <c r="Z72" s="5">
        <f>IF(OR(AE72="",多次统计数据!$B$8=""),"",AE72-多次统计数据!$B$8)</f>
        <v>0.24310171393016283</v>
      </c>
      <c r="AA72" s="8">
        <f t="shared" si="18"/>
        <v>158</v>
      </c>
      <c r="AB72" s="5">
        <f>IF(OR(A72="",多次统计数据!$B$8="",多次统计数据!$B$6&lt;=0,多次统计数据!$B$6&gt;=1),"",1-POWER(1+多次统计数据!$B$8,-多次统计数据!$B$6/(1-多次统计数据!$B$6)))</f>
        <v>8.152013270062719E-2</v>
      </c>
      <c r="AC72" s="6" t="str">
        <f>IF(OR(AB72="",多次统计数据!$B$9=""),"",IF(多次统计数据!$B$9&lt;AB72,"低于上限","达到或超过上限"))</f>
        <v>低于上限</v>
      </c>
      <c r="AD72" s="10"/>
      <c r="AE72" s="5">
        <f t="shared" si="19"/>
        <v>0.35331438283905753</v>
      </c>
      <c r="AG72" s="10" t="s">
        <v>51</v>
      </c>
      <c r="AH72" s="10" t="s">
        <v>52</v>
      </c>
      <c r="AI72" s="10" t="s">
        <v>49</v>
      </c>
      <c r="AJ72" s="6" t="str">
        <f t="shared" si="20"/>
        <v>匹配</v>
      </c>
      <c r="AK72" s="23">
        <f>IF(A72="","",COUNTIFS(加仓管理!$A$2:$A$1001,A72,加仓管理!$G$2:$G$1001,"&gt;0"))</f>
        <v>3</v>
      </c>
      <c r="AL72" s="23">
        <f>IF(A72="","",SUMIFS(加仓管理!$G$2:$G$1001,加仓管理!$A$2:$A$1001,A72))</f>
        <v>12000</v>
      </c>
      <c r="AM72" s="24">
        <f>IF(AK72=0,"",IFERROR(LOOKUP(2,1/((加仓管理!$A$2:$A$1001=A72)*(加仓管理!$G$2:$G$1001&gt;0)),加仓管理!$D$2:$D$1001),""))</f>
        <v>5.82</v>
      </c>
      <c r="AN72" s="24">
        <f>IF(AK72=0,"",IFERROR(LOOKUP(2,1/((加仓管理!$A$2:$A$1001=A72)*(加仓管理!$G$2:$G$1001&gt;0)),加仓管理!$E$2:$E$1001),""))</f>
        <v>5.5</v>
      </c>
      <c r="AO72" s="24">
        <f>IF(OR(A72="",H72="",H72&lt;=0),"",(E72*H72+SUMIFS(加仓管理!$H$2:$H$1001,加仓管理!$A$2:$A$1001,A72))/AP72)</f>
        <v>5.2622155688622758</v>
      </c>
      <c r="AP72" s="23">
        <f t="shared" si="21"/>
        <v>16700</v>
      </c>
      <c r="AQ72" s="24">
        <f>IF(A72="","",IF(M72&lt;&gt;"",0,IF(OR(H72="",N72=""),"",MAX((E72*H72+SUMIFS(加仓管理!$H$2:$H$1001,加仓管理!$A$2:$A$1001,A72))-MAX(N72,AN72)*AP72,0))))</f>
        <v>0</v>
      </c>
      <c r="AR72" s="24" t="str">
        <f>IF(A72="","",IF(OR(E72="",H72=""),"违规：首次买入价格或股数缺失",IF(COUNTIFS(加仓管理!$A$2:$A$1001,A72,加仓管理!$R$2:$R$1001,"违规*")&gt;0,"违规：请检查加仓管理表",IF(SUM($AQ$2:$AQ$201)&gt;账户数据!$B$7,"预警：超过账户风险上限",IF(COUNTIFS(加仓管理!$A$2:$A$1001,A72,加仓管理!$N$2:$N$1001,"&gt;0",加仓管理!$G$2:$G$1001,"")&gt;0,"提示：存在待执行加仓计划","通过")))))</f>
        <v>违规：请检查加仓管理表</v>
      </c>
    </row>
    <row r="73" spans="1:44">
      <c r="A73" s="10">
        <v>72</v>
      </c>
      <c r="B73" s="37" t="s">
        <v>55</v>
      </c>
      <c r="C73" s="7">
        <v>184722</v>
      </c>
      <c r="D73" s="4">
        <v>0.02</v>
      </c>
      <c r="E73" s="7">
        <v>6.78</v>
      </c>
      <c r="F73" s="6">
        <f t="shared" si="11"/>
        <v>7600</v>
      </c>
      <c r="G73" s="6" t="str">
        <f>IF(A73="","",IF(H73&lt;&gt;"","已开仓",IF(账户数据!$B$23="已锁仓","禁止开仓：连续亏损达到上限",IF(账户数据!$B$23="解锁信息不完整","禁止开仓：请完整填写解锁信息",IF(OR(F73="",E73="",N73="",E73&lt;=N73,账户数据!$B$7=""),"",IF(OR(AG73="",AH73="",AI73=""),"禁止开仓：交易预期未填写完整",IF(账户数据!$B$9+F73*(E73-N73)&gt;=账户数据!$B$7,"禁止开仓：风险额度不足",IF(AJ73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3" s="10">
        <v>7600</v>
      </c>
      <c r="I73" s="21">
        <v>42653</v>
      </c>
      <c r="J73" s="7">
        <v>8</v>
      </c>
      <c r="K73" s="7">
        <v>6.23</v>
      </c>
      <c r="L73" s="6">
        <f t="shared" si="12"/>
        <v>7600</v>
      </c>
      <c r="M73" s="21">
        <v>42711</v>
      </c>
      <c r="N73" s="7">
        <v>6.3</v>
      </c>
      <c r="O73" s="7"/>
      <c r="P73" s="7"/>
      <c r="Q73" s="10"/>
      <c r="R73" s="10"/>
      <c r="S73" s="10"/>
      <c r="T73" s="10"/>
      <c r="U73" s="5">
        <f t="shared" si="13"/>
        <v>0.17994100294985246</v>
      </c>
      <c r="V73" s="5">
        <f t="shared" si="14"/>
        <v>7.0796460176991205E-2</v>
      </c>
      <c r="W73" s="22">
        <f t="shared" si="15"/>
        <v>2.5416666666666643</v>
      </c>
      <c r="X73" s="3">
        <f t="shared" si="16"/>
        <v>-4179.9999999999991</v>
      </c>
      <c r="Y73" s="5">
        <f t="shared" si="17"/>
        <v>-8.1120943952802338E-2</v>
      </c>
      <c r="Z73" s="5">
        <f>IF(OR(AE73="",多次统计数据!$B$8=""),"",AE73-多次统计数据!$B$8)</f>
        <v>-0.13284126755984044</v>
      </c>
      <c r="AA73" s="8">
        <f t="shared" si="18"/>
        <v>58</v>
      </c>
      <c r="AB73" s="5">
        <f>IF(OR(A73="",多次统计数据!$B$8="",多次统计数据!$B$6&lt;=0,多次统计数据!$B$6&gt;=1),"",1-POWER(1+多次统计数据!$B$8,-多次统计数据!$B$6/(1-多次统计数据!$B$6)))</f>
        <v>8.152013270062719E-2</v>
      </c>
      <c r="AC73" s="6" t="str">
        <f>IF(OR(AB73="",多次统计数据!$B$9=""),"",IF(多次统计数据!$B$9&lt;AB73,"低于上限","达到或超过上限"))</f>
        <v>低于上限</v>
      </c>
      <c r="AD73" s="10"/>
      <c r="AE73" s="5">
        <f t="shared" si="19"/>
        <v>-2.2628598650945742E-2</v>
      </c>
      <c r="AG73" s="10" t="s">
        <v>51</v>
      </c>
      <c r="AH73" s="10" t="s">
        <v>52</v>
      </c>
      <c r="AI73" s="10" t="s">
        <v>49</v>
      </c>
      <c r="AJ73" s="6" t="str">
        <f t="shared" si="20"/>
        <v>匹配</v>
      </c>
      <c r="AK73" s="23">
        <f>IF(A73="","",COUNTIFS(加仓管理!$A$2:$A$1001,A73,加仓管理!$G$2:$G$1001,"&gt;0"))</f>
        <v>0</v>
      </c>
      <c r="AL73" s="23">
        <f>IF(A73="","",SUMIFS(加仓管理!$G$2:$G$1001,加仓管理!$A$2:$A$1001,A73))</f>
        <v>0</v>
      </c>
      <c r="AM73" s="24" t="str">
        <f>IF(AK73=0,"",IFERROR(LOOKUP(2,1/((加仓管理!$A$2:$A$1001=A73)*(加仓管理!$G$2:$G$1001&gt;0)),加仓管理!$D$2:$D$1001),""))</f>
        <v/>
      </c>
      <c r="AN73" s="24" t="str">
        <f>IF(AK73=0,"",IFERROR(LOOKUP(2,1/((加仓管理!$A$2:$A$1001=A73)*(加仓管理!$G$2:$G$1001&gt;0)),加仓管理!$E$2:$E$1001),""))</f>
        <v/>
      </c>
      <c r="AO73" s="24">
        <f>IF(OR(A73="",H73="",H73&lt;=0),"",(E73*H73+SUMIFS(加仓管理!$H$2:$H$1001,加仓管理!$A$2:$A$1001,A73))/AP73)</f>
        <v>6.78</v>
      </c>
      <c r="AP73" s="23">
        <f t="shared" si="21"/>
        <v>7600</v>
      </c>
      <c r="AQ73" s="24">
        <f>IF(A73="","",IF(M73&lt;&gt;"",0,IF(OR(H73="",N73=""),"",MAX((E73*H73+SUMIFS(加仓管理!$H$2:$H$1001,加仓管理!$A$2:$A$1001,A73))-MAX(N73,AN73)*AP73,0))))</f>
        <v>0</v>
      </c>
      <c r="AR73" s="24" t="str">
        <f>IF(A73="","",IF(OR(E73="",H73=""),"违规：首次买入价格或股数缺失",IF(COUNTIFS(加仓管理!$A$2:$A$1001,A73,加仓管理!$R$2:$R$1001,"违规*")&gt;0,"违规：请检查加仓管理表",IF(SUM($AQ$2:$AQ$201)&gt;账户数据!$B$7,"预警：超过账户风险上限",IF(COUNTIFS(加仓管理!$A$2:$A$1001,A73,加仓管理!$N$2:$N$1001,"&gt;0",加仓管理!$G$2:$G$1001,"")&gt;0,"提示：存在待执行加仓计划","通过")))))</f>
        <v>通过</v>
      </c>
    </row>
    <row r="74" spans="1:44">
      <c r="A74" s="10">
        <v>73</v>
      </c>
      <c r="B74" s="37" t="s">
        <v>55</v>
      </c>
      <c r="C74" s="7">
        <v>180542</v>
      </c>
      <c r="D74" s="4">
        <v>0.02</v>
      </c>
      <c r="E74" s="7">
        <v>5.56</v>
      </c>
      <c r="F74" s="6">
        <f t="shared" si="11"/>
        <v>6400</v>
      </c>
      <c r="G74" s="6" t="str">
        <f>IF(A74="","",IF(H74&lt;&gt;"","已开仓",IF(账户数据!$B$23="已锁仓","禁止开仓：连续亏损达到上限",IF(账户数据!$B$23="解锁信息不完整","禁止开仓：请完整填写解锁信息",IF(OR(F74="",E74="",N74="",E74&lt;=N74,账户数据!$B$7=""),"",IF(OR(AG74="",AH74="",AI74=""),"禁止开仓：交易预期未填写完整",IF(账户数据!$B$9+F74*(E74-N74)&gt;=账户数据!$B$7,"禁止开仓：风险额度不足",IF(AJ74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4" s="10">
        <v>6400</v>
      </c>
      <c r="I74" s="21">
        <v>42716</v>
      </c>
      <c r="J74" s="7">
        <v>8</v>
      </c>
      <c r="K74" s="7">
        <v>6.61</v>
      </c>
      <c r="L74" s="6">
        <f t="shared" si="12"/>
        <v>24400</v>
      </c>
      <c r="M74" s="21">
        <v>42843</v>
      </c>
      <c r="N74" s="7">
        <v>5</v>
      </c>
      <c r="O74" s="7"/>
      <c r="P74" s="7"/>
      <c r="Q74" s="10"/>
      <c r="R74" s="10"/>
      <c r="S74" s="10"/>
      <c r="T74" s="10"/>
      <c r="U74" s="5">
        <f t="shared" si="13"/>
        <v>0.30051834183911424</v>
      </c>
      <c r="V74" s="5">
        <f t="shared" si="14"/>
        <v>0.1871760363505536</v>
      </c>
      <c r="W74" s="22">
        <f t="shared" si="15"/>
        <v>1.6055385491564045</v>
      </c>
      <c r="X74" s="3">
        <f t="shared" si="16"/>
        <v>11190.000000000018</v>
      </c>
      <c r="Y74" s="5">
        <f t="shared" si="17"/>
        <v>7.4553279944568188E-2</v>
      </c>
      <c r="Z74" s="5">
        <f>IF(OR(AE74="",多次统计数据!$B$8=""),"",AE74-多次统计数据!$B$8)</f>
        <v>-4.8232631022973302E-2</v>
      </c>
      <c r="AA74" s="8">
        <f t="shared" si="18"/>
        <v>127</v>
      </c>
      <c r="AB74" s="5">
        <f>IF(OR(A74="",多次统计数据!$B$8="",多次统计数据!$B$6&lt;=0,多次统计数据!$B$6&gt;=1),"",1-POWER(1+多次统计数据!$B$8,-多次统计数据!$B$6/(1-多次统计数据!$B$6)))</f>
        <v>8.152013270062719E-2</v>
      </c>
      <c r="AC74" s="6" t="str">
        <f>IF(OR(AB74="",多次统计数据!$B$9=""),"",IF(多次统计数据!$B$9&lt;AB74,"低于上限","达到或超过上限"))</f>
        <v>低于上限</v>
      </c>
      <c r="AD74" s="10"/>
      <c r="AE74" s="5">
        <f t="shared" si="19"/>
        <v>6.198003788592138E-2</v>
      </c>
      <c r="AG74" s="10" t="s">
        <v>48</v>
      </c>
      <c r="AH74" s="10" t="s">
        <v>46</v>
      </c>
      <c r="AI74" s="10" t="s">
        <v>49</v>
      </c>
      <c r="AJ74" s="6" t="str">
        <f t="shared" si="20"/>
        <v>匹配</v>
      </c>
      <c r="AK74" s="23">
        <f>IF(A74="","",COUNTIFS(加仓管理!$A$2:$A$1001,A74,加仓管理!$G$2:$G$1001,"&gt;0"))</f>
        <v>4</v>
      </c>
      <c r="AL74" s="23">
        <f>IF(A74="","",SUMIFS(加仓管理!$G$2:$G$1001,加仓管理!$A$2:$A$1001,A74))</f>
        <v>18000</v>
      </c>
      <c r="AM74" s="24">
        <f>IF(AK74=0,"",IFERROR(LOOKUP(2,1/((加仓管理!$A$2:$A$1001=A74)*(加仓管理!$G$2:$G$1001&gt;0)),加仓管理!$D$2:$D$1001),""))</f>
        <v>8.08</v>
      </c>
      <c r="AN74" s="24">
        <f>IF(AK74=0,"",IFERROR(LOOKUP(2,1/((加仓管理!$A$2:$A$1001=A74)*(加仓管理!$G$2:$G$1001&gt;0)),加仓管理!$E$2:$E$1001),""))</f>
        <v>7</v>
      </c>
      <c r="AO74" s="24">
        <f>IF(OR(A74="",H74="",H74&lt;=0),"",(E74*H74+SUMIFS(加仓管理!$H$2:$H$1001,加仓管理!$A$2:$A$1001,A74))/AP74)</f>
        <v>6.1513934426229504</v>
      </c>
      <c r="AP74" s="23">
        <f t="shared" si="21"/>
        <v>24400</v>
      </c>
      <c r="AQ74" s="24">
        <f>IF(A74="","",IF(M74&lt;&gt;"",0,IF(OR(H74="",N74=""),"",MAX((E74*H74+SUMIFS(加仓管理!$H$2:$H$1001,加仓管理!$A$2:$A$1001,A74))-MAX(N74,AN74)*AP74,0))))</f>
        <v>0</v>
      </c>
      <c r="AR74" s="24" t="str">
        <f>IF(A74="","",IF(OR(E74="",H74=""),"违规：首次买入价格或股数缺失",IF(COUNTIFS(加仓管理!$A$2:$A$1001,A74,加仓管理!$R$2:$R$1001,"违规*")&gt;0,"违规：请检查加仓管理表",IF(SUM($AQ$2:$AQ$201)&gt;账户数据!$B$7,"预警：超过账户风险上限",IF(COUNTIFS(加仓管理!$A$2:$A$1001,A74,加仓管理!$N$2:$N$1001,"&gt;0",加仓管理!$G$2:$G$1001,"")&gt;0,"提示：存在待执行加仓计划","通过")))))</f>
        <v>违规：请检查加仓管理表</v>
      </c>
    </row>
    <row r="75" spans="1:44">
      <c r="A75" s="10">
        <v>74</v>
      </c>
      <c r="B75" s="37" t="s">
        <v>55</v>
      </c>
      <c r="C75" s="7">
        <v>191732</v>
      </c>
      <c r="D75" s="4">
        <v>0.02</v>
      </c>
      <c r="E75" s="7">
        <v>5.82</v>
      </c>
      <c r="F75" s="6">
        <f t="shared" si="11"/>
        <v>4600</v>
      </c>
      <c r="G75" s="6" t="str">
        <f>IF(A75="","",IF(H75&lt;&gt;"","已开仓",IF(账户数据!$B$23="已锁仓","禁止开仓：连续亏损达到上限",IF(账户数据!$B$23="解锁信息不完整","禁止开仓：请完整填写解锁信息",IF(OR(F75="",E75="",N75="",E75&lt;=N75,账户数据!$B$7=""),"",IF(OR(AG75="",AH75="",AI75=""),"禁止开仓：交易预期未填写完整",IF(账户数据!$B$9+F75*(E75-N75)&gt;=账户数据!$B$7,"禁止开仓：风险额度不足",IF(AJ75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5" s="10">
        <v>4600</v>
      </c>
      <c r="I75" s="21">
        <v>42849</v>
      </c>
      <c r="J75" s="7">
        <v>7</v>
      </c>
      <c r="K75" s="7">
        <v>5.39</v>
      </c>
      <c r="L75" s="6">
        <f t="shared" si="12"/>
        <v>4600</v>
      </c>
      <c r="M75" s="21">
        <v>42892</v>
      </c>
      <c r="N75" s="7">
        <v>5</v>
      </c>
      <c r="O75" s="7"/>
      <c r="P75" s="7"/>
      <c r="Q75" s="10"/>
      <c r="R75" s="10"/>
      <c r="S75" s="10"/>
      <c r="T75" s="10"/>
      <c r="U75" s="5">
        <f t="shared" si="13"/>
        <v>0.20274914089347074</v>
      </c>
      <c r="V75" s="5">
        <f t="shared" si="14"/>
        <v>0.14089347079037806</v>
      </c>
      <c r="W75" s="22">
        <f t="shared" si="15"/>
        <v>1.4390243902439015</v>
      </c>
      <c r="X75" s="3">
        <f t="shared" si="16"/>
        <v>-1978.0000000000027</v>
      </c>
      <c r="Y75" s="5">
        <f t="shared" si="17"/>
        <v>-7.388316151202759E-2</v>
      </c>
      <c r="Z75" s="5">
        <f>IF(OR(AE75="",多次统计数据!$B$8=""),"",AE75-多次统计数据!$B$8)</f>
        <v>-0.12052915233367512</v>
      </c>
      <c r="AA75" s="8">
        <f t="shared" si="18"/>
        <v>43</v>
      </c>
      <c r="AB75" s="5">
        <f>IF(OR(A75="",多次统计数据!$B$8="",多次统计数据!$B$6&lt;=0,多次统计数据!$B$6&gt;=1),"",1-POWER(1+多次统计数据!$B$8,-多次统计数据!$B$6/(1-多次统计数据!$B$6)))</f>
        <v>8.152013270062719E-2</v>
      </c>
      <c r="AC75" s="6" t="str">
        <f>IF(OR(AB75="",多次统计数据!$B$9=""),"",IF(多次统计数据!$B$9&lt;AB75,"低于上限","达到或超过上限"))</f>
        <v>低于上限</v>
      </c>
      <c r="AD75" s="10"/>
      <c r="AE75" s="5">
        <f t="shared" si="19"/>
        <v>-1.0316483424780436E-2</v>
      </c>
      <c r="AG75" s="10" t="s">
        <v>48</v>
      </c>
      <c r="AH75" s="10" t="s">
        <v>46</v>
      </c>
      <c r="AI75" s="10" t="s">
        <v>49</v>
      </c>
      <c r="AJ75" s="6" t="str">
        <f t="shared" si="20"/>
        <v>匹配</v>
      </c>
      <c r="AK75" s="23">
        <f>IF(A75="","",COUNTIFS(加仓管理!$A$2:$A$1001,A75,加仓管理!$G$2:$G$1001,"&gt;0"))</f>
        <v>0</v>
      </c>
      <c r="AL75" s="23">
        <f>IF(A75="","",SUMIFS(加仓管理!$G$2:$G$1001,加仓管理!$A$2:$A$1001,A75))</f>
        <v>0</v>
      </c>
      <c r="AM75" s="24" t="str">
        <f>IF(AK75=0,"",IFERROR(LOOKUP(2,1/((加仓管理!$A$2:$A$1001=A75)*(加仓管理!$G$2:$G$1001&gt;0)),加仓管理!$D$2:$D$1001),""))</f>
        <v/>
      </c>
      <c r="AN75" s="24" t="str">
        <f>IF(AK75=0,"",IFERROR(LOOKUP(2,1/((加仓管理!$A$2:$A$1001=A75)*(加仓管理!$G$2:$G$1001&gt;0)),加仓管理!$E$2:$E$1001),""))</f>
        <v/>
      </c>
      <c r="AO75" s="24">
        <f>IF(OR(A75="",H75="",H75&lt;=0),"",(E75*H75+SUMIFS(加仓管理!$H$2:$H$1001,加仓管理!$A$2:$A$1001,A75))/AP75)</f>
        <v>5.82</v>
      </c>
      <c r="AP75" s="23">
        <f t="shared" si="21"/>
        <v>4600</v>
      </c>
      <c r="AQ75" s="24">
        <f>IF(A75="","",IF(M75&lt;&gt;"",0,IF(OR(H75="",N75=""),"",MAX((E75*H75+SUMIFS(加仓管理!$H$2:$H$1001,加仓管理!$A$2:$A$1001,A75))-MAX(N75,AN75)*AP75,0))))</f>
        <v>0</v>
      </c>
      <c r="AR75" s="24" t="str">
        <f>IF(A75="","",IF(OR(E75="",H75=""),"违规：首次买入价格或股数缺失",IF(COUNTIFS(加仓管理!$A$2:$A$1001,A75,加仓管理!$R$2:$R$1001,"违规*")&gt;0,"违规：请检查加仓管理表",IF(SUM($AQ$2:$AQ$201)&gt;账户数据!$B$7,"预警：超过账户风险上限",IF(COUNTIFS(加仓管理!$A$2:$A$1001,A75,加仓管理!$N$2:$N$1001,"&gt;0",加仓管理!$G$2:$G$1001,"")&gt;0,"提示：存在待执行加仓计划","通过")))))</f>
        <v>通过</v>
      </c>
    </row>
    <row r="76" spans="1:44">
      <c r="A76" s="10">
        <v>75</v>
      </c>
      <c r="B76" s="37" t="s">
        <v>55</v>
      </c>
      <c r="C76" s="7">
        <v>189754</v>
      </c>
      <c r="D76" s="4">
        <v>0.02</v>
      </c>
      <c r="E76" s="7">
        <v>6.55</v>
      </c>
      <c r="F76" s="6">
        <f t="shared" si="11"/>
        <v>6900</v>
      </c>
      <c r="G76" s="6" t="str">
        <f>IF(A76="","",IF(H76&lt;&gt;"","已开仓",IF(账户数据!$B$23="已锁仓","禁止开仓：连续亏损达到上限",IF(账户数据!$B$23="解锁信息不完整","禁止开仓：请完整填写解锁信息",IF(OR(F76="",E76="",N76="",E76&lt;=N76,账户数据!$B$7=""),"",IF(OR(AG76="",AH76="",AI76=""),"禁止开仓：交易预期未填写完整",IF(账户数据!$B$9+F76*(E76-N76)&gt;=账户数据!$B$7,"禁止开仓：风险额度不足",IF(AJ76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6" s="10">
        <v>6900</v>
      </c>
      <c r="I76" s="21">
        <v>42901</v>
      </c>
      <c r="J76" s="7">
        <v>8</v>
      </c>
      <c r="K76" s="7">
        <v>9.61</v>
      </c>
      <c r="L76" s="6">
        <f t="shared" si="12"/>
        <v>17900</v>
      </c>
      <c r="M76" s="21">
        <v>42923</v>
      </c>
      <c r="N76" s="7">
        <v>6</v>
      </c>
      <c r="O76" s="7"/>
      <c r="P76" s="7"/>
      <c r="Q76" s="10"/>
      <c r="R76" s="10"/>
      <c r="S76" s="10"/>
      <c r="T76" s="10"/>
      <c r="U76" s="5">
        <f t="shared" si="13"/>
        <v>6.5595118502809094E-2</v>
      </c>
      <c r="V76" s="5">
        <f t="shared" si="14"/>
        <v>0.20080366112289319</v>
      </c>
      <c r="W76" s="22">
        <f t="shared" si="15"/>
        <v>0.32666296090420605</v>
      </c>
      <c r="X76" s="3">
        <f t="shared" si="16"/>
        <v>37633.999999999993</v>
      </c>
      <c r="Y76" s="5">
        <f t="shared" si="17"/>
        <v>0.28004613610149937</v>
      </c>
      <c r="Z76" s="5">
        <f>IF(OR(AE76="",多次统计数据!$B$8=""),"",AE76-多次统计数据!$B$8)</f>
        <v>8.8117801068022764E-2</v>
      </c>
      <c r="AA76" s="8">
        <f t="shared" si="18"/>
        <v>22</v>
      </c>
      <c r="AB76" s="5">
        <f>IF(OR(A76="",多次统计数据!$B$8="",多次统计数据!$B$6&lt;=0,多次统计数据!$B$6&gt;=1),"",1-POWER(1+多次统计数据!$B$8,-多次统计数据!$B$6/(1-多次统计数据!$B$6)))</f>
        <v>8.152013270062719E-2</v>
      </c>
      <c r="AC76" s="6" t="str">
        <f>IF(OR(AB76="",多次统计数据!$B$9=""),"",IF(多次统计数据!$B$9&lt;AB76,"低于上限","达到或超过上限"))</f>
        <v>低于上限</v>
      </c>
      <c r="AD76" s="10"/>
      <c r="AE76" s="5">
        <f t="shared" si="19"/>
        <v>0.19833046997691745</v>
      </c>
      <c r="AG76" s="10" t="s">
        <v>51</v>
      </c>
      <c r="AH76" s="10" t="s">
        <v>54</v>
      </c>
      <c r="AI76" s="10" t="s">
        <v>49</v>
      </c>
      <c r="AJ76" s="6" t="str">
        <f t="shared" si="20"/>
        <v>匹配</v>
      </c>
      <c r="AK76" s="23">
        <f>IF(A76="","",COUNTIFS(加仓管理!$A$2:$A$1001,A76,加仓管理!$G$2:$G$1001,"&gt;0"))</f>
        <v>3</v>
      </c>
      <c r="AL76" s="23">
        <f>IF(A76="","",SUMIFS(加仓管理!$G$2:$G$1001,加仓管理!$A$2:$A$1001,A76))</f>
        <v>11000</v>
      </c>
      <c r="AM76" s="24">
        <f>IF(AK76=0,"",IFERROR(LOOKUP(2,1/((加仓管理!$A$2:$A$1001=A76)*(加仓管理!$G$2:$G$1001&gt;0)),加仓管理!$D$2:$D$1001),""))</f>
        <v>9.25</v>
      </c>
      <c r="AN76" s="24">
        <f>IF(AK76=0,"",IFERROR(LOOKUP(2,1/((加仓管理!$A$2:$A$1001=A76)*(加仓管理!$G$2:$G$1001&gt;0)),加仓管理!$E$2:$E$1001),""))</f>
        <v>8</v>
      </c>
      <c r="AO76" s="24">
        <f>IF(OR(A76="",H76="",H76&lt;=0),"",(E76*H76+SUMIFS(加仓管理!$H$2:$H$1001,加仓管理!$A$2:$A$1001,A76))/AP76)</f>
        <v>7.5075418994413408</v>
      </c>
      <c r="AP76" s="23">
        <f t="shared" si="21"/>
        <v>17900</v>
      </c>
      <c r="AQ76" s="24">
        <f>IF(A76="","",IF(M76&lt;&gt;"",0,IF(OR(H76="",N76=""),"",MAX((E76*H76+SUMIFS(加仓管理!$H$2:$H$1001,加仓管理!$A$2:$A$1001,A76))-MAX(N76,AN76)*AP76,0))))</f>
        <v>0</v>
      </c>
      <c r="AR76" s="24" t="str">
        <f>IF(A76="","",IF(OR(E76="",H76=""),"违规：首次买入价格或股数缺失",IF(COUNTIFS(加仓管理!$A$2:$A$1001,A76,加仓管理!$R$2:$R$1001,"违规*")&gt;0,"违规：请检查加仓管理表",IF(SUM($AQ$2:$AQ$201)&gt;账户数据!$B$7,"预警：超过账户风险上限",IF(COUNTIFS(加仓管理!$A$2:$A$1001,A76,加仓管理!$N$2:$N$1001,"&gt;0",加仓管理!$G$2:$G$1001,"")&gt;0,"提示：存在待执行加仓计划","通过")))))</f>
        <v>违规：请检查加仓管理表</v>
      </c>
    </row>
    <row r="77" spans="1:44">
      <c r="A77" s="10">
        <v>76</v>
      </c>
      <c r="B77" s="37" t="s">
        <v>55</v>
      </c>
      <c r="C77" s="7">
        <v>227388</v>
      </c>
      <c r="D77" s="4">
        <v>0.02</v>
      </c>
      <c r="E77" s="7">
        <v>8.7899999999999991</v>
      </c>
      <c r="F77" s="6">
        <f t="shared" si="11"/>
        <v>5700</v>
      </c>
      <c r="G77" s="6" t="str">
        <f>IF(A77="","",IF(H77&lt;&gt;"","已开仓",IF(账户数据!$B$23="已锁仓","禁止开仓：连续亏损达到上限",IF(账户数据!$B$23="解锁信息不完整","禁止开仓：请完整填写解锁信息",IF(OR(F77="",E77="",N77="",E77&lt;=N77,账户数据!$B$7=""),"",IF(OR(AG77="",AH77="",AI77=""),"禁止开仓：交易预期未填写完整",IF(账户数据!$B$9+F77*(E77-N77)&gt;=账户数据!$B$7,"禁止开仓：风险额度不足",IF(AJ77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7" s="10">
        <v>5700</v>
      </c>
      <c r="I77" s="21">
        <v>42927</v>
      </c>
      <c r="J77" s="7">
        <v>9.6300000000000008</v>
      </c>
      <c r="K77" s="7">
        <v>9.6300000000000008</v>
      </c>
      <c r="L77" s="6">
        <f t="shared" si="12"/>
        <v>13700</v>
      </c>
      <c r="M77" s="21">
        <v>42958</v>
      </c>
      <c r="N77" s="7">
        <v>8</v>
      </c>
      <c r="O77" s="7"/>
      <c r="P77" s="7"/>
      <c r="Q77" s="10"/>
      <c r="R77" s="10"/>
      <c r="S77" s="10"/>
      <c r="T77" s="10"/>
      <c r="U77" s="5">
        <f t="shared" si="13"/>
        <v>1.8984653170931561E-2</v>
      </c>
      <c r="V77" s="5">
        <f t="shared" si="14"/>
        <v>0.15349146154024385</v>
      </c>
      <c r="W77" s="22">
        <f t="shared" si="15"/>
        <v>0.12368540230463559</v>
      </c>
      <c r="X77" s="3">
        <f t="shared" si="16"/>
        <v>2458.0000000000218</v>
      </c>
      <c r="Y77" s="5">
        <f t="shared" si="17"/>
        <v>1.8984653170931561E-2</v>
      </c>
      <c r="Z77" s="5">
        <f>IF(OR(AE77="",多次统计数据!$B$8=""),"",AE77-多次统计数据!$B$8)</f>
        <v>-9.9402951597514916E-2</v>
      </c>
      <c r="AA77" s="8">
        <f t="shared" si="18"/>
        <v>31</v>
      </c>
      <c r="AB77" s="5">
        <f>IF(OR(A77="",多次统计数据!$B$8="",多次统计数据!$B$6&lt;=0,多次统计数据!$B$6&gt;=1),"",1-POWER(1+多次统计数据!$B$8,-多次统计数据!$B$6/(1-多次统计数据!$B$6)))</f>
        <v>8.152013270062719E-2</v>
      </c>
      <c r="AC77" s="6" t="str">
        <f>IF(OR(AB77="",多次统计数据!$B$9=""),"",IF(多次统计数据!$B$9&lt;AB77,"低于上限","达到或超过上限"))</f>
        <v>低于上限</v>
      </c>
      <c r="AD77" s="10"/>
      <c r="AE77" s="5">
        <f t="shared" si="19"/>
        <v>1.0809717311379764E-2</v>
      </c>
      <c r="AG77" s="10" t="s">
        <v>51</v>
      </c>
      <c r="AH77" s="10" t="s">
        <v>52</v>
      </c>
      <c r="AI77" s="10" t="s">
        <v>49</v>
      </c>
      <c r="AJ77" s="6" t="str">
        <f t="shared" si="20"/>
        <v>匹配</v>
      </c>
      <c r="AK77" s="23">
        <f>IF(A77="","",COUNTIFS(加仓管理!$A$2:$A$1001,A77,加仓管理!$G$2:$G$1001,"&gt;0"))</f>
        <v>2</v>
      </c>
      <c r="AL77" s="23">
        <f>IF(A77="","",SUMIFS(加仓管理!$G$2:$G$1001,加仓管理!$A$2:$A$1001,A77))</f>
        <v>8000</v>
      </c>
      <c r="AM77" s="24">
        <f>IF(AK77=0,"",IFERROR(LOOKUP(2,1/((加仓管理!$A$2:$A$1001=A77)*(加仓管理!$G$2:$G$1001&gt;0)),加仓管理!$D$2:$D$1001),""))</f>
        <v>10.75</v>
      </c>
      <c r="AN77" s="24">
        <f>IF(AK77=0,"",IFERROR(LOOKUP(2,1/((加仓管理!$A$2:$A$1001=A77)*(加仓管理!$G$2:$G$1001&gt;0)),加仓管理!$E$2:$E$1001),""))</f>
        <v>9.5</v>
      </c>
      <c r="AO77" s="24">
        <f>IF(OR(A77="",H77="",H77&lt;=0),"",(E77*H77+SUMIFS(加仓管理!$H$2:$H$1001,加仓管理!$A$2:$A$1001,A77))/AP77)</f>
        <v>9.4505839416058386</v>
      </c>
      <c r="AP77" s="23">
        <f t="shared" si="21"/>
        <v>13700</v>
      </c>
      <c r="AQ77" s="24">
        <f>IF(A77="","",IF(M77&lt;&gt;"",0,IF(OR(H77="",N77=""),"",MAX((E77*H77+SUMIFS(加仓管理!$H$2:$H$1001,加仓管理!$A$2:$A$1001,A77))-MAX(N77,AN77)*AP77,0))))</f>
        <v>0</v>
      </c>
      <c r="AR77" s="24" t="str">
        <f>IF(A77="","",IF(OR(E77="",H77=""),"违规：首次买入价格或股数缺失",IF(COUNTIFS(加仓管理!$A$2:$A$1001,A77,加仓管理!$R$2:$R$1001,"违规*")&gt;0,"违规：请检查加仓管理表",IF(SUM($AQ$2:$AQ$201)&gt;账户数据!$B$7,"预警：超过账户风险上限",IF(COUNTIFS(加仓管理!$A$2:$A$1001,A77,加仓管理!$N$2:$N$1001,"&gt;0",加仓管理!$G$2:$G$1001,"")&gt;0,"提示：存在待执行加仓计划","通过")))))</f>
        <v>违规：请检查加仓管理表</v>
      </c>
    </row>
    <row r="78" spans="1:44">
      <c r="A78" s="10">
        <v>77</v>
      </c>
      <c r="B78" s="37" t="s">
        <v>55</v>
      </c>
      <c r="C78" s="7">
        <v>229846</v>
      </c>
      <c r="D78" s="4">
        <v>0.02</v>
      </c>
      <c r="E78" s="7">
        <v>10.029999999999999</v>
      </c>
      <c r="F78" s="6">
        <f t="shared" si="11"/>
        <v>8600</v>
      </c>
      <c r="G78" s="6" t="str">
        <f>IF(A78="","",IF(H78&lt;&gt;"","已开仓",IF(账户数据!$B$23="已锁仓","禁止开仓：连续亏损达到上限",IF(账户数据!$B$23="解锁信息不完整","禁止开仓：请完整填写解锁信息",IF(OR(F78="",E78="",N78="",E78&lt;=N78,账户数据!$B$7=""),"",IF(OR(AG78="",AH78="",AI78=""),"禁止开仓：交易预期未填写完整",IF(账户数据!$B$9+F78*(E78-N78)&gt;=账户数据!$B$7,"禁止开仓：风险额度不足",IF(AJ78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8" s="10">
        <v>8600</v>
      </c>
      <c r="I78" s="21">
        <v>42958</v>
      </c>
      <c r="J78" s="7">
        <v>12</v>
      </c>
      <c r="K78" s="7">
        <v>9.4</v>
      </c>
      <c r="L78" s="6">
        <f t="shared" si="12"/>
        <v>8600</v>
      </c>
      <c r="M78" s="21">
        <v>42970</v>
      </c>
      <c r="N78" s="7">
        <v>9.5</v>
      </c>
      <c r="O78" s="7"/>
      <c r="P78" s="7"/>
      <c r="Q78" s="10"/>
      <c r="R78" s="10"/>
      <c r="S78" s="10"/>
      <c r="T78" s="10"/>
      <c r="U78" s="5">
        <f t="shared" si="13"/>
        <v>0.19641076769690935</v>
      </c>
      <c r="V78" s="5">
        <f t="shared" si="14"/>
        <v>5.2841475573280096E-2</v>
      </c>
      <c r="W78" s="22">
        <f t="shared" si="15"/>
        <v>3.7169811320754778</v>
      </c>
      <c r="X78" s="3">
        <f t="shared" si="16"/>
        <v>-5417.9999999999918</v>
      </c>
      <c r="Y78" s="5">
        <f t="shared" si="17"/>
        <v>-6.2811565304087644E-2</v>
      </c>
      <c r="Z78" s="5">
        <f>IF(OR(AE78="",多次统计数据!$B$8=""),"",AE78-多次统计数据!$B$8)</f>
        <v>-0.13378497384350305</v>
      </c>
      <c r="AA78" s="8">
        <f t="shared" si="18"/>
        <v>12</v>
      </c>
      <c r="AB78" s="5">
        <f>IF(OR(A78="",多次统计数据!$B$8="",多次统计数据!$B$6&lt;=0,多次统计数据!$B$6&gt;=1),"",1-POWER(1+多次统计数据!$B$8,-多次统计数据!$B$6/(1-多次统计数据!$B$6)))</f>
        <v>8.152013270062719E-2</v>
      </c>
      <c r="AC78" s="6" t="str">
        <f>IF(OR(AB78="",多次统计数据!$B$9=""),"",IF(多次统计数据!$B$9&lt;AB78,"低于上限","达到或超过上限"))</f>
        <v>低于上限</v>
      </c>
      <c r="AD78" s="10"/>
      <c r="AE78" s="5">
        <f t="shared" si="19"/>
        <v>-2.3572304934608355E-2</v>
      </c>
      <c r="AG78" s="10" t="s">
        <v>51</v>
      </c>
      <c r="AH78" s="10" t="s">
        <v>52</v>
      </c>
      <c r="AI78" s="10" t="s">
        <v>49</v>
      </c>
      <c r="AJ78" s="6" t="str">
        <f t="shared" si="20"/>
        <v>匹配</v>
      </c>
      <c r="AK78" s="23">
        <f>IF(A78="","",COUNTIFS(加仓管理!$A$2:$A$1001,A78,加仓管理!$G$2:$G$1001,"&gt;0"))</f>
        <v>0</v>
      </c>
      <c r="AL78" s="23">
        <f>IF(A78="","",SUMIFS(加仓管理!$G$2:$G$1001,加仓管理!$A$2:$A$1001,A78))</f>
        <v>0</v>
      </c>
      <c r="AM78" s="24" t="str">
        <f>IF(AK78=0,"",IFERROR(LOOKUP(2,1/((加仓管理!$A$2:$A$1001=A78)*(加仓管理!$G$2:$G$1001&gt;0)),加仓管理!$D$2:$D$1001),""))</f>
        <v/>
      </c>
      <c r="AN78" s="24" t="str">
        <f>IF(AK78=0,"",IFERROR(LOOKUP(2,1/((加仓管理!$A$2:$A$1001=A78)*(加仓管理!$G$2:$G$1001&gt;0)),加仓管理!$E$2:$E$1001),""))</f>
        <v/>
      </c>
      <c r="AO78" s="24">
        <f>IF(OR(A78="",H78="",H78&lt;=0),"",(E78*H78+SUMIFS(加仓管理!$H$2:$H$1001,加仓管理!$A$2:$A$1001,A78))/AP78)</f>
        <v>10.029999999999999</v>
      </c>
      <c r="AP78" s="23">
        <f t="shared" si="21"/>
        <v>8600</v>
      </c>
      <c r="AQ78" s="24">
        <f>IF(A78="","",IF(M78&lt;&gt;"",0,IF(OR(H78="",N78=""),"",MAX((E78*H78+SUMIFS(加仓管理!$H$2:$H$1001,加仓管理!$A$2:$A$1001,A78))-MAX(N78,AN78)*AP78,0))))</f>
        <v>0</v>
      </c>
      <c r="AR78" s="24" t="str">
        <f>IF(A78="","",IF(OR(E78="",H78=""),"违规：首次买入价格或股数缺失",IF(COUNTIFS(加仓管理!$A$2:$A$1001,A78,加仓管理!$R$2:$R$1001,"违规*")&gt;0,"违规：请检查加仓管理表",IF(SUM($AQ$2:$AQ$201)&gt;账户数据!$B$7,"预警：超过账户风险上限",IF(COUNTIFS(加仓管理!$A$2:$A$1001,A78,加仓管理!$N$2:$N$1001,"&gt;0",加仓管理!$G$2:$G$1001,"")&gt;0,"提示：存在待执行加仓计划","通过")))))</f>
        <v>通过</v>
      </c>
    </row>
    <row r="79" spans="1:44">
      <c r="A79" s="10">
        <v>78</v>
      </c>
      <c r="B79" s="37" t="s">
        <v>55</v>
      </c>
      <c r="C79" s="7">
        <v>224428</v>
      </c>
      <c r="D79" s="4">
        <v>0.02</v>
      </c>
      <c r="E79" s="7">
        <v>10.4</v>
      </c>
      <c r="F79" s="6">
        <f t="shared" si="11"/>
        <v>11200</v>
      </c>
      <c r="G79" s="6" t="str">
        <f>IF(A79="","",IF(H79&lt;&gt;"","已开仓",IF(账户数据!$B$23="已锁仓","禁止开仓：连续亏损达到上限",IF(账户数据!$B$23="解锁信息不完整","禁止开仓：请完整填写解锁信息",IF(OR(F79="",E79="",N79="",E79&lt;=N79,账户数据!$B$7=""),"",IF(OR(AG79="",AH79="",AI79=""),"禁止开仓：交易预期未填写完整",IF(账户数据!$B$9+F79*(E79-N79)&gt;=账户数据!$B$7,"禁止开仓：风险额度不足",IF(AJ79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9" s="10">
        <v>11200</v>
      </c>
      <c r="I79" s="21">
        <v>42983</v>
      </c>
      <c r="J79" s="7">
        <v>12</v>
      </c>
      <c r="K79" s="7">
        <v>12.09</v>
      </c>
      <c r="L79" s="6">
        <f t="shared" si="12"/>
        <v>14200</v>
      </c>
      <c r="M79" s="21">
        <v>42991</v>
      </c>
      <c r="N79" s="7">
        <v>10</v>
      </c>
      <c r="O79" s="7"/>
      <c r="P79" s="7"/>
      <c r="Q79" s="10"/>
      <c r="R79" s="10"/>
      <c r="S79" s="10"/>
      <c r="T79" s="10"/>
      <c r="U79" s="5">
        <f t="shared" si="13"/>
        <v>0.12885061278569054</v>
      </c>
      <c r="V79" s="5">
        <f t="shared" si="14"/>
        <v>5.9291156011924549E-2</v>
      </c>
      <c r="W79" s="22">
        <f t="shared" si="15"/>
        <v>2.1731843575418957</v>
      </c>
      <c r="X79" s="3">
        <f t="shared" si="16"/>
        <v>20727.999999999985</v>
      </c>
      <c r="Y79" s="5">
        <f t="shared" si="17"/>
        <v>0.13731699238158321</v>
      </c>
      <c r="Z79" s="5">
        <f>IF(OR(AE79="",多次统计数据!$B$8=""),"",AE79-多次统计数据!$B$8)</f>
        <v>-1.7853426746597706E-2</v>
      </c>
      <c r="AA79" s="8">
        <f t="shared" si="18"/>
        <v>8</v>
      </c>
      <c r="AB79" s="5">
        <f>IF(OR(A79="",多次统计数据!$B$8="",多次统计数据!$B$6&lt;=0,多次统计数据!$B$6&gt;=1),"",1-POWER(1+多次统计数据!$B$8,-多次统计数据!$B$6/(1-多次统计数据!$B$6)))</f>
        <v>8.152013270062719E-2</v>
      </c>
      <c r="AC79" s="6" t="str">
        <f>IF(OR(AB79="",多次统计数据!$B$9=""),"",IF(多次统计数据!$B$9&lt;AB79,"低于上限","达到或超过上限"))</f>
        <v>低于上限</v>
      </c>
      <c r="AD79" s="10"/>
      <c r="AE79" s="5">
        <f t="shared" si="19"/>
        <v>9.2359242162296976E-2</v>
      </c>
      <c r="AG79" s="10" t="s">
        <v>51</v>
      </c>
      <c r="AH79" s="10" t="s">
        <v>52</v>
      </c>
      <c r="AI79" s="10" t="s">
        <v>49</v>
      </c>
      <c r="AJ79" s="6" t="str">
        <f t="shared" si="20"/>
        <v>匹配</v>
      </c>
      <c r="AK79" s="23">
        <f>IF(A79="","",COUNTIFS(加仓管理!$A$2:$A$1001,A79,加仓管理!$G$2:$G$1001,"&gt;0"))</f>
        <v>1</v>
      </c>
      <c r="AL79" s="23">
        <f>IF(A79="","",SUMIFS(加仓管理!$G$2:$G$1001,加仓管理!$A$2:$A$1001,A79))</f>
        <v>3000</v>
      </c>
      <c r="AM79" s="24">
        <f>IF(AK79=0,"",IFERROR(LOOKUP(2,1/((加仓管理!$A$2:$A$1001=A79)*(加仓管理!$G$2:$G$1001&gt;0)),加仓管理!$D$2:$D$1001),""))</f>
        <v>11.49</v>
      </c>
      <c r="AN79" s="24">
        <f>IF(AK79=0,"",IFERROR(LOOKUP(2,1/((加仓管理!$A$2:$A$1001=A79)*(加仓管理!$G$2:$G$1001&gt;0)),加仓管理!$E$2:$E$1001),""))</f>
        <v>10</v>
      </c>
      <c r="AO79" s="24">
        <f>IF(OR(A79="",H79="",H79&lt;=0),"",(E79*H79+SUMIFS(加仓管理!$H$2:$H$1001,加仓管理!$A$2:$A$1001,A79))/AP79)</f>
        <v>10.630281690140846</v>
      </c>
      <c r="AP79" s="23">
        <f t="shared" si="21"/>
        <v>14200</v>
      </c>
      <c r="AQ79" s="24">
        <f>IF(A79="","",IF(M79&lt;&gt;"",0,IF(OR(H79="",N79=""),"",MAX((E79*H79+SUMIFS(加仓管理!$H$2:$H$1001,加仓管理!$A$2:$A$1001,A79))-MAX(N79,AN79)*AP79,0))))</f>
        <v>0</v>
      </c>
      <c r="AR79" s="24" t="str">
        <f>IF(A79="","",IF(OR(E79="",H79=""),"违规：首次买入价格或股数缺失",IF(COUNTIFS(加仓管理!$A$2:$A$1001,A79,加仓管理!$R$2:$R$1001,"违规*")&gt;0,"违规：请检查加仓管理表",IF(SUM($AQ$2:$AQ$201)&gt;账户数据!$B$7,"预警：超过账户风险上限",IF(COUNTIFS(加仓管理!$A$2:$A$1001,A79,加仓管理!$N$2:$N$1001,"&gt;0",加仓管理!$G$2:$G$1001,"")&gt;0,"提示：存在待执行加仓计划","通过")))))</f>
        <v>违规：请检查加仓管理表</v>
      </c>
    </row>
    <row r="80" spans="1:44">
      <c r="A80" s="10">
        <v>79</v>
      </c>
      <c r="B80" s="37" t="s">
        <v>55</v>
      </c>
      <c r="C80" s="7">
        <v>245156</v>
      </c>
      <c r="D80" s="4">
        <v>0.02</v>
      </c>
      <c r="E80" s="7">
        <v>9.59</v>
      </c>
      <c r="F80" s="6">
        <f t="shared" si="11"/>
        <v>8300</v>
      </c>
      <c r="G80" s="6" t="str">
        <f>IF(A80="","",IF(H80&lt;&gt;"","已开仓",IF(账户数据!$B$23="已锁仓","禁止开仓：连续亏损达到上限",IF(账户数据!$B$23="解锁信息不完整","禁止开仓：请完整填写解锁信息",IF(OR(F80="",E80="",N80="",E80&lt;=N80,账户数据!$B$7=""),"",IF(OR(AG80="",AH80="",AI80=""),"禁止开仓：交易预期未填写完整",IF(账户数据!$B$9+F80*(E80-N80)&gt;=账户数据!$B$7,"禁止开仓：风险额度不足",IF(AJ80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0" s="10">
        <v>8300</v>
      </c>
      <c r="I80" s="21">
        <v>43039</v>
      </c>
      <c r="J80" s="7">
        <v>10</v>
      </c>
      <c r="K80" s="7">
        <v>8.64</v>
      </c>
      <c r="L80" s="6">
        <f t="shared" si="12"/>
        <v>8300</v>
      </c>
      <c r="M80" s="21">
        <v>43042</v>
      </c>
      <c r="N80" s="7">
        <v>9</v>
      </c>
      <c r="O80" s="7"/>
      <c r="P80" s="7"/>
      <c r="Q80" s="10"/>
      <c r="R80" s="10"/>
      <c r="S80" s="10"/>
      <c r="T80" s="10"/>
      <c r="U80" s="5">
        <f t="shared" si="13"/>
        <v>4.2752867570385836E-2</v>
      </c>
      <c r="V80" s="5">
        <f t="shared" si="14"/>
        <v>6.1522419186652751E-2</v>
      </c>
      <c r="W80" s="22">
        <f t="shared" si="15"/>
        <v>0.6949152542372885</v>
      </c>
      <c r="X80" s="3">
        <f t="shared" si="16"/>
        <v>-7884.9999999999945</v>
      </c>
      <c r="Y80" s="5">
        <f t="shared" si="17"/>
        <v>-9.9061522419186587E-2</v>
      </c>
      <c r="Z80" s="5">
        <f>IF(OR(AE80="",多次统计数据!$B$8=""),"",AE80-多次统计数据!$B$8)</f>
        <v>-0.14237586295676621</v>
      </c>
      <c r="AA80" s="8">
        <f t="shared" si="18"/>
        <v>3</v>
      </c>
      <c r="AB80" s="5">
        <f>IF(OR(A80="",多次统计数据!$B$8="",多次统计数据!$B$6&lt;=0,多次统计数据!$B$6&gt;=1),"",1-POWER(1+多次统计数据!$B$8,-多次统计数据!$B$6/(1-多次统计数据!$B$6)))</f>
        <v>8.152013270062719E-2</v>
      </c>
      <c r="AC80" s="6" t="str">
        <f>IF(OR(AB80="",多次统计数据!$B$9=""),"",IF(多次统计数据!$B$9&lt;AB80,"低于上限","达到或超过上限"))</f>
        <v>低于上限</v>
      </c>
      <c r="AD80" s="10"/>
      <c r="AE80" s="5">
        <f t="shared" si="19"/>
        <v>-3.2163194047871539E-2</v>
      </c>
      <c r="AG80" s="10" t="s">
        <v>48</v>
      </c>
      <c r="AH80" s="10" t="s">
        <v>46</v>
      </c>
      <c r="AI80" s="10" t="s">
        <v>49</v>
      </c>
      <c r="AJ80" s="6" t="str">
        <f t="shared" si="20"/>
        <v>匹配</v>
      </c>
      <c r="AK80" s="23">
        <f>IF(A80="","",COUNTIFS(加仓管理!$A$2:$A$1001,A80,加仓管理!$G$2:$G$1001,"&gt;0"))</f>
        <v>0</v>
      </c>
      <c r="AL80" s="23">
        <f>IF(A80="","",SUMIFS(加仓管理!$G$2:$G$1001,加仓管理!$A$2:$A$1001,A80))</f>
        <v>0</v>
      </c>
      <c r="AM80" s="24" t="str">
        <f>IF(AK80=0,"",IFERROR(LOOKUP(2,1/((加仓管理!$A$2:$A$1001=A80)*(加仓管理!$G$2:$G$1001&gt;0)),加仓管理!$D$2:$D$1001),""))</f>
        <v/>
      </c>
      <c r="AN80" s="24" t="str">
        <f>IF(AK80=0,"",IFERROR(LOOKUP(2,1/((加仓管理!$A$2:$A$1001=A80)*(加仓管理!$G$2:$G$1001&gt;0)),加仓管理!$E$2:$E$1001),""))</f>
        <v/>
      </c>
      <c r="AO80" s="24">
        <f>IF(OR(A80="",H80="",H80&lt;=0),"",(E80*H80+SUMIFS(加仓管理!$H$2:$H$1001,加仓管理!$A$2:$A$1001,A80))/AP80)</f>
        <v>9.59</v>
      </c>
      <c r="AP80" s="23">
        <f t="shared" si="21"/>
        <v>8300</v>
      </c>
      <c r="AQ80" s="24">
        <f>IF(A80="","",IF(M80&lt;&gt;"",0,IF(OR(H80="",N80=""),"",MAX((E80*H80+SUMIFS(加仓管理!$H$2:$H$1001,加仓管理!$A$2:$A$1001,A80))-MAX(N80,AN80)*AP80,0))))</f>
        <v>0</v>
      </c>
      <c r="AR80" s="24" t="str">
        <f>IF(A80="","",IF(OR(E80="",H80=""),"违规：首次买入价格或股数缺失",IF(COUNTIFS(加仓管理!$A$2:$A$1001,A80,加仓管理!$R$2:$R$1001,"违规*")&gt;0,"违规：请检查加仓管理表",IF(SUM($AQ$2:$AQ$201)&gt;账户数据!$B$7,"预警：超过账户风险上限",IF(COUNTIFS(加仓管理!$A$2:$A$1001,A80,加仓管理!$N$2:$N$1001,"&gt;0",加仓管理!$G$2:$G$1001,"")&gt;0,"提示：存在待执行加仓计划","通过")))))</f>
        <v>通过</v>
      </c>
    </row>
    <row r="81" spans="1:44">
      <c r="A81" s="10">
        <v>80</v>
      </c>
      <c r="B81" s="37" t="s">
        <v>55</v>
      </c>
      <c r="C81" s="7">
        <v>237271</v>
      </c>
      <c r="D81" s="4">
        <v>0.02</v>
      </c>
      <c r="E81" s="7">
        <v>8.57</v>
      </c>
      <c r="F81" s="6">
        <f t="shared" si="11"/>
        <v>6100</v>
      </c>
      <c r="G81" s="6" t="str">
        <f>IF(A81="","",IF(H81&lt;&gt;"","已开仓",IF(账户数据!$B$23="已锁仓","禁止开仓：连续亏损达到上限",IF(账户数据!$B$23="解锁信息不完整","禁止开仓：请完整填写解锁信息",IF(OR(F81="",E81="",N81="",E81&lt;=N81,账户数据!$B$7=""),"",IF(OR(AG81="",AH81="",AI81=""),"禁止开仓：交易预期未填写完整",IF(账户数据!$B$9+F81*(E81-N81)&gt;=账户数据!$B$7,"禁止开仓：风险额度不足",IF(AJ81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1" s="10">
        <v>6100</v>
      </c>
      <c r="I81" s="21">
        <v>43045</v>
      </c>
      <c r="J81" s="7">
        <v>10</v>
      </c>
      <c r="K81" s="7">
        <v>7.75</v>
      </c>
      <c r="L81" s="6">
        <f t="shared" si="12"/>
        <v>6100</v>
      </c>
      <c r="M81" s="21">
        <v>43056</v>
      </c>
      <c r="N81" s="7">
        <v>7.8</v>
      </c>
      <c r="O81" s="7"/>
      <c r="P81" s="7"/>
      <c r="Q81" s="10"/>
      <c r="R81" s="10"/>
      <c r="S81" s="10"/>
      <c r="T81" s="10"/>
      <c r="U81" s="5">
        <f t="shared" si="13"/>
        <v>0.16686114352392062</v>
      </c>
      <c r="V81" s="5">
        <f t="shared" si="14"/>
        <v>8.9848308051341946E-2</v>
      </c>
      <c r="W81" s="22">
        <f t="shared" si="15"/>
        <v>1.8571428571428557</v>
      </c>
      <c r="X81" s="3">
        <f t="shared" si="16"/>
        <v>-5002.0000000000018</v>
      </c>
      <c r="Y81" s="5">
        <f t="shared" si="17"/>
        <v>-9.5682613768961533E-2</v>
      </c>
      <c r="Z81" s="5">
        <f>IF(OR(AE81="",多次统计数据!$B$8=""),"",AE81-多次统计数据!$B$8)</f>
        <v>-0.13129404842851572</v>
      </c>
      <c r="AA81" s="8">
        <f t="shared" si="18"/>
        <v>11</v>
      </c>
      <c r="AB81" s="5">
        <f>IF(OR(A81="",多次统计数据!$B$8="",多次统计数据!$B$6&lt;=0,多次统计数据!$B$6&gt;=1),"",1-POWER(1+多次统计数据!$B$8,-多次统计数据!$B$6/(1-多次统计数据!$B$6)))</f>
        <v>8.152013270062719E-2</v>
      </c>
      <c r="AC81" s="6" t="str">
        <f>IF(OR(AB81="",多次统计数据!$B$9=""),"",IF(多次统计数据!$B$9&lt;AB81,"低于上限","达到或超过上限"))</f>
        <v>低于上限</v>
      </c>
      <c r="AD81" s="10"/>
      <c r="AE81" s="5">
        <f t="shared" si="19"/>
        <v>-2.1081379519621031E-2</v>
      </c>
      <c r="AG81" s="10" t="s">
        <v>48</v>
      </c>
      <c r="AH81" s="10" t="s">
        <v>46</v>
      </c>
      <c r="AI81" s="10" t="s">
        <v>50</v>
      </c>
      <c r="AJ81" s="6" t="str">
        <f t="shared" si="20"/>
        <v>匹配</v>
      </c>
      <c r="AK81" s="23">
        <f>IF(A81="","",COUNTIFS(加仓管理!$A$2:$A$1001,A81,加仓管理!$G$2:$G$1001,"&gt;0"))</f>
        <v>0</v>
      </c>
      <c r="AL81" s="23">
        <f>IF(A81="","",SUMIFS(加仓管理!$G$2:$G$1001,加仓管理!$A$2:$A$1001,A81))</f>
        <v>0</v>
      </c>
      <c r="AM81" s="24" t="str">
        <f>IF(AK81=0,"",IFERROR(LOOKUP(2,1/((加仓管理!$A$2:$A$1001=A81)*(加仓管理!$G$2:$G$1001&gt;0)),加仓管理!$D$2:$D$1001),""))</f>
        <v/>
      </c>
      <c r="AN81" s="24" t="str">
        <f>IF(AK81=0,"",IFERROR(LOOKUP(2,1/((加仓管理!$A$2:$A$1001=A81)*(加仓管理!$G$2:$G$1001&gt;0)),加仓管理!$E$2:$E$1001),""))</f>
        <v/>
      </c>
      <c r="AO81" s="24">
        <f>IF(OR(A81="",H81="",H81&lt;=0),"",(E81*H81+SUMIFS(加仓管理!$H$2:$H$1001,加仓管理!$A$2:$A$1001,A81))/AP81)</f>
        <v>8.57</v>
      </c>
      <c r="AP81" s="23">
        <f t="shared" si="21"/>
        <v>6100</v>
      </c>
      <c r="AQ81" s="24">
        <f>IF(A81="","",IF(M81&lt;&gt;"",0,IF(OR(H81="",N81=""),"",MAX((E81*H81+SUMIFS(加仓管理!$H$2:$H$1001,加仓管理!$A$2:$A$1001,A81))-MAX(N81,AN81)*AP81,0))))</f>
        <v>0</v>
      </c>
      <c r="AR81" s="24" t="str">
        <f>IF(A81="","",IF(OR(E81="",H81=""),"违规：首次买入价格或股数缺失",IF(COUNTIFS(加仓管理!$A$2:$A$1001,A81,加仓管理!$R$2:$R$1001,"违规*")&gt;0,"违规：请检查加仓管理表",IF(SUM($AQ$2:$AQ$201)&gt;账户数据!$B$7,"预警：超过账户风险上限",IF(COUNTIFS(加仓管理!$A$2:$A$1001,A81,加仓管理!$N$2:$N$1001,"&gt;0",加仓管理!$G$2:$G$1001,"")&gt;0,"提示：存在待执行加仓计划","通过")))))</f>
        <v>通过</v>
      </c>
    </row>
    <row r="82" spans="1:44">
      <c r="A82" s="10">
        <v>81</v>
      </c>
      <c r="B82" s="37" t="s">
        <v>55</v>
      </c>
      <c r="C82" s="7">
        <v>232269</v>
      </c>
      <c r="D82" s="4">
        <v>0.02</v>
      </c>
      <c r="E82" s="7">
        <v>7.9</v>
      </c>
      <c r="F82" s="6">
        <f t="shared" si="11"/>
        <v>5100</v>
      </c>
      <c r="G82" s="6" t="str">
        <f>IF(A82="","",IF(H82&lt;&gt;"","已开仓",IF(账户数据!$B$23="已锁仓","禁止开仓：连续亏损达到上限",IF(账户数据!$B$23="解锁信息不完整","禁止开仓：请完整填写解锁信息",IF(OR(F82="",E82="",N82="",E82&lt;=N82,账户数据!$B$7=""),"",IF(OR(AG82="",AH82="",AI82=""),"禁止开仓：交易预期未填写完整",IF(账户数据!$B$9+F82*(E82-N82)&gt;=账户数据!$B$7,"禁止开仓：风险额度不足",IF(AJ82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2" s="10">
        <v>5100</v>
      </c>
      <c r="I82" s="21">
        <v>43067</v>
      </c>
      <c r="J82" s="7">
        <v>10</v>
      </c>
      <c r="K82" s="7">
        <v>6.61</v>
      </c>
      <c r="L82" s="6">
        <f t="shared" si="12"/>
        <v>10100</v>
      </c>
      <c r="M82" s="21">
        <v>43132</v>
      </c>
      <c r="N82" s="7">
        <v>7</v>
      </c>
      <c r="O82" s="7"/>
      <c r="P82" s="7"/>
      <c r="Q82" s="10"/>
      <c r="R82" s="10"/>
      <c r="S82" s="10"/>
      <c r="T82" s="10"/>
      <c r="U82" s="5">
        <f t="shared" si="13"/>
        <v>0.32563328520803253</v>
      </c>
      <c r="V82" s="5">
        <f t="shared" si="14"/>
        <v>7.2056700354377223E-2</v>
      </c>
      <c r="W82" s="22">
        <f t="shared" si="15"/>
        <v>4.5191256830601088</v>
      </c>
      <c r="X82" s="3">
        <f t="shared" si="16"/>
        <v>-9428.9999999999964</v>
      </c>
      <c r="Y82" s="5">
        <f t="shared" si="17"/>
        <v>-0.12375639847749044</v>
      </c>
      <c r="Z82" s="5">
        <f>IF(OR(AE82="",多次统计数据!$B$8=""),"",AE82-多次统计数据!$B$8)</f>
        <v>-0.15080784088621407</v>
      </c>
      <c r="AA82" s="8">
        <f t="shared" si="18"/>
        <v>65</v>
      </c>
      <c r="AB82" s="5">
        <f>IF(OR(A82="",多次统计数据!$B$8="",多次统计数据!$B$6&lt;=0,多次统计数据!$B$6&gt;=1),"",1-POWER(1+多次统计数据!$B$8,-多次统计数据!$B$6/(1-多次统计数据!$B$6)))</f>
        <v>8.152013270062719E-2</v>
      </c>
      <c r="AC82" s="6" t="str">
        <f>IF(OR(AB82="",多次统计数据!$B$9=""),"",IF(多次统计数据!$B$9&lt;AB82,"低于上限","达到或超过上限"))</f>
        <v>低于上限</v>
      </c>
      <c r="AD82" s="10"/>
      <c r="AE82" s="5">
        <f t="shared" si="19"/>
        <v>-4.0595171977319384E-2</v>
      </c>
      <c r="AG82" s="10" t="s">
        <v>48</v>
      </c>
      <c r="AH82" s="10" t="s">
        <v>46</v>
      </c>
      <c r="AI82" s="10" t="s">
        <v>50</v>
      </c>
      <c r="AJ82" s="6" t="str">
        <f t="shared" si="20"/>
        <v>匹配</v>
      </c>
      <c r="AK82" s="23">
        <f>IF(A82="","",COUNTIFS(加仓管理!$A$2:$A$1001,A82,加仓管理!$G$2:$G$1001,"&gt;0"))</f>
        <v>1</v>
      </c>
      <c r="AL82" s="23">
        <f>IF(A82="","",SUMIFS(加仓管理!$G$2:$G$1001,加仓管理!$A$2:$A$1001,A82))</f>
        <v>5000</v>
      </c>
      <c r="AM82" s="24">
        <f>IF(AK82=0,"",IFERROR(LOOKUP(2,1/((加仓管理!$A$2:$A$1001=A82)*(加仓管理!$G$2:$G$1001&gt;0)),加仓管理!$D$2:$D$1001),""))</f>
        <v>7.18</v>
      </c>
      <c r="AN82" s="24">
        <f>IF(AK82=0,"",IFERROR(LOOKUP(2,1/((加仓管理!$A$2:$A$1001=A82)*(加仓管理!$G$2:$G$1001&gt;0)),加仓管理!$E$2:$E$1001),""))</f>
        <v>7</v>
      </c>
      <c r="AO82" s="24">
        <f>IF(OR(A82="",H82="",H82&lt;=0),"",(E82*H82+SUMIFS(加仓管理!$H$2:$H$1001,加仓管理!$A$2:$A$1001,A82))/AP82)</f>
        <v>7.5435643564356436</v>
      </c>
      <c r="AP82" s="23">
        <f t="shared" si="21"/>
        <v>10100</v>
      </c>
      <c r="AQ82" s="24">
        <f>IF(A82="","",IF(M82&lt;&gt;"",0,IF(OR(H82="",N82=""),"",MAX((E82*H82+SUMIFS(加仓管理!$H$2:$H$1001,加仓管理!$A$2:$A$1001,A82))-MAX(N82,AN82)*AP82,0))))</f>
        <v>0</v>
      </c>
      <c r="AR82" s="24" t="str">
        <f>IF(A82="","",IF(OR(E82="",H82=""),"违规：首次买入价格或股数缺失",IF(COUNTIFS(加仓管理!$A$2:$A$1001,A82,加仓管理!$R$2:$R$1001,"违规*")&gt;0,"违规：请检查加仓管理表",IF(SUM($AQ$2:$AQ$201)&gt;账户数据!$B$7,"预警：超过账户风险上限",IF(COUNTIFS(加仓管理!$A$2:$A$1001,A82,加仓管理!$N$2:$N$1001,"&gt;0",加仓管理!$G$2:$G$1001,"")&gt;0,"提示：存在待执行加仓计划","通过")))))</f>
        <v>违规：请检查加仓管理表</v>
      </c>
    </row>
    <row r="83" spans="1:44">
      <c r="A83" s="10">
        <v>82</v>
      </c>
      <c r="B83" s="37" t="s">
        <v>55</v>
      </c>
      <c r="C83" s="7">
        <v>222840</v>
      </c>
      <c r="D83" s="4">
        <v>0.02</v>
      </c>
      <c r="E83" s="7">
        <v>6.52</v>
      </c>
      <c r="F83" s="6">
        <f t="shared" si="11"/>
        <v>8500</v>
      </c>
      <c r="G83" s="6" t="str">
        <f>IF(A83="","",IF(H83&lt;&gt;"","已开仓",IF(账户数据!$B$23="已锁仓","禁止开仓：连续亏损达到上限",IF(账户数据!$B$23="解锁信息不完整","禁止开仓：请完整填写解锁信息",IF(OR(F83="",E83="",N83="",E83&lt;=N83,账户数据!$B$7=""),"",IF(OR(AG83="",AH83="",AI83=""),"禁止开仓：交易预期未填写完整",IF(账户数据!$B$9+F83*(E83-N83)&gt;=账户数据!$B$7,"禁止开仓：风险额度不足",IF(AJ83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3" s="10">
        <v>8500</v>
      </c>
      <c r="I83" s="21">
        <v>43133</v>
      </c>
      <c r="J83" s="7">
        <v>8</v>
      </c>
      <c r="K83" s="7">
        <v>5.6</v>
      </c>
      <c r="L83" s="6">
        <f t="shared" si="12"/>
        <v>8500</v>
      </c>
      <c r="M83" s="21">
        <v>43137</v>
      </c>
      <c r="N83" s="7">
        <v>6</v>
      </c>
      <c r="O83" s="7"/>
      <c r="P83" s="7"/>
      <c r="Q83" s="10"/>
      <c r="R83" s="10"/>
      <c r="S83" s="10"/>
      <c r="T83" s="10"/>
      <c r="U83" s="5">
        <f t="shared" si="13"/>
        <v>0.22699386503067492</v>
      </c>
      <c r="V83" s="5">
        <f t="shared" si="14"/>
        <v>7.9754601226993807E-2</v>
      </c>
      <c r="W83" s="22">
        <f t="shared" si="15"/>
        <v>2.8461538461538494</v>
      </c>
      <c r="X83" s="3">
        <f t="shared" si="16"/>
        <v>-7819.9999999999991</v>
      </c>
      <c r="Y83" s="5">
        <f t="shared" si="17"/>
        <v>-0.1411042944785276</v>
      </c>
      <c r="Z83" s="5">
        <f>IF(OR(AE83="",多次统计数据!$B$8=""),"",AE83-多次统计数据!$B$8)</f>
        <v>-0.14530511191733123</v>
      </c>
      <c r="AA83" s="8">
        <f t="shared" si="18"/>
        <v>4</v>
      </c>
      <c r="AB83" s="5">
        <f>IF(OR(A83="",多次统计数据!$B$8="",多次统计数据!$B$6&lt;=0,多次统计数据!$B$6&gt;=1),"",1-POWER(1+多次统计数据!$B$8,-多次统计数据!$B$6/(1-多次统计数据!$B$6)))</f>
        <v>8.152013270062719E-2</v>
      </c>
      <c r="AC83" s="6" t="str">
        <f>IF(OR(AB83="",多次统计数据!$B$9=""),"",IF(多次统计数据!$B$9&lt;AB83,"低于上限","达到或超过上限"))</f>
        <v>低于上限</v>
      </c>
      <c r="AD83" s="10"/>
      <c r="AE83" s="5">
        <f t="shared" si="19"/>
        <v>-3.5092443008436544E-2</v>
      </c>
      <c r="AG83" s="10" t="s">
        <v>48</v>
      </c>
      <c r="AH83" s="10" t="s">
        <v>46</v>
      </c>
      <c r="AI83" s="10" t="s">
        <v>50</v>
      </c>
      <c r="AJ83" s="6" t="str">
        <f t="shared" si="20"/>
        <v>匹配</v>
      </c>
      <c r="AK83" s="23">
        <f>IF(A83="","",COUNTIFS(加仓管理!$A$2:$A$1001,A83,加仓管理!$G$2:$G$1001,"&gt;0"))</f>
        <v>0</v>
      </c>
      <c r="AL83" s="23">
        <f>IF(A83="","",SUMIFS(加仓管理!$G$2:$G$1001,加仓管理!$A$2:$A$1001,A83))</f>
        <v>0</v>
      </c>
      <c r="AM83" s="24" t="str">
        <f>IF(AK83=0,"",IFERROR(LOOKUP(2,1/((加仓管理!$A$2:$A$1001=A83)*(加仓管理!$G$2:$G$1001&gt;0)),加仓管理!$D$2:$D$1001),""))</f>
        <v/>
      </c>
      <c r="AN83" s="24" t="str">
        <f>IF(AK83=0,"",IFERROR(LOOKUP(2,1/((加仓管理!$A$2:$A$1001=A83)*(加仓管理!$G$2:$G$1001&gt;0)),加仓管理!$E$2:$E$1001),""))</f>
        <v/>
      </c>
      <c r="AO83" s="24">
        <f>IF(OR(A83="",H83="",H83&lt;=0),"",(E83*H83+SUMIFS(加仓管理!$H$2:$H$1001,加仓管理!$A$2:$A$1001,A83))/AP83)</f>
        <v>6.52</v>
      </c>
      <c r="AP83" s="23">
        <f t="shared" si="21"/>
        <v>8500</v>
      </c>
      <c r="AQ83" s="24">
        <f>IF(A83="","",IF(M83&lt;&gt;"",0,IF(OR(H83="",N83=""),"",MAX((E83*H83+SUMIFS(加仓管理!$H$2:$H$1001,加仓管理!$A$2:$A$1001,A83))-MAX(N83,AN83)*AP83,0))))</f>
        <v>0</v>
      </c>
      <c r="AR83" s="24" t="str">
        <f>IF(A83="","",IF(OR(E83="",H83=""),"违规：首次买入价格或股数缺失",IF(COUNTIFS(加仓管理!$A$2:$A$1001,A83,加仓管理!$R$2:$R$1001,"违规*")&gt;0,"违规：请检查加仓管理表",IF(SUM($AQ$2:$AQ$201)&gt;账户数据!$B$7,"预警：超过账户风险上限",IF(COUNTIFS(加仓管理!$A$2:$A$1001,A83,加仓管理!$N$2:$N$1001,"&gt;0",加仓管理!$G$2:$G$1001,"")&gt;0,"提示：存在待执行加仓计划","通过")))))</f>
        <v>通过</v>
      </c>
    </row>
    <row r="84" spans="1:44">
      <c r="A84" s="10">
        <v>83</v>
      </c>
      <c r="B84" s="37" t="s">
        <v>55</v>
      </c>
      <c r="C84" s="7">
        <v>215020</v>
      </c>
      <c r="D84" s="4">
        <v>0.02</v>
      </c>
      <c r="E84" s="7">
        <v>5.73</v>
      </c>
      <c r="F84" s="6">
        <f t="shared" si="11"/>
        <v>18600</v>
      </c>
      <c r="G84" s="6" t="str">
        <f>IF(A84="","",IF(H84&lt;&gt;"","已开仓",IF(账户数据!$B$23="已锁仓","禁止开仓：连续亏损达到上限",IF(账户数据!$B$23="解锁信息不完整","禁止开仓：请完整填写解锁信息",IF(OR(F84="",E84="",N84="",E84&lt;=N84,账户数据!$B$7=""),"",IF(OR(AG84="",AH84="",AI84=""),"禁止开仓：交易预期未填写完整",IF(账户数据!$B$9+F84*(E84-N84)&gt;=账户数据!$B$7,"禁止开仓：风险额度不足",IF(AJ84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4" s="10">
        <v>18600</v>
      </c>
      <c r="I84" s="21">
        <v>43138</v>
      </c>
      <c r="J84" s="7">
        <v>8</v>
      </c>
      <c r="K84" s="7">
        <v>7.79</v>
      </c>
      <c r="L84" s="6">
        <f t="shared" si="12"/>
        <v>23600</v>
      </c>
      <c r="M84" s="21">
        <v>43162</v>
      </c>
      <c r="N84" s="7">
        <v>5.5</v>
      </c>
      <c r="O84" s="7"/>
      <c r="P84" s="7"/>
      <c r="Q84" s="10"/>
      <c r="R84" s="10"/>
      <c r="S84" s="10"/>
      <c r="T84" s="10"/>
      <c r="U84" s="5">
        <f t="shared" si="13"/>
        <v>0.32511686014682972</v>
      </c>
      <c r="V84" s="5">
        <f t="shared" si="14"/>
        <v>8.8982158649054552E-2</v>
      </c>
      <c r="W84" s="22">
        <f t="shared" si="15"/>
        <v>3.6537308723773485</v>
      </c>
      <c r="X84" s="3">
        <f t="shared" si="16"/>
        <v>41366.000000000007</v>
      </c>
      <c r="Y84" s="5">
        <f t="shared" si="17"/>
        <v>0.29033254256797547</v>
      </c>
      <c r="Z84" s="5">
        <f>IF(OR(AE84="",多次统计数据!$B$8=""),"",AE84-多次统计数据!$B$8)</f>
        <v>8.2169435081431833E-2</v>
      </c>
      <c r="AA84" s="8">
        <f t="shared" si="18"/>
        <v>24</v>
      </c>
      <c r="AB84" s="5">
        <f>IF(OR(A84="",多次统计数据!$B$8="",多次统计数据!$B$6&lt;=0,多次统计数据!$B$6&gt;=1),"",1-POWER(1+多次统计数据!$B$8,-多次统计数据!$B$6/(1-多次统计数据!$B$6)))</f>
        <v>8.152013270062719E-2</v>
      </c>
      <c r="AC84" s="6" t="str">
        <f>IF(OR(AB84="",多次统计数据!$B$9=""),"",IF(多次统计数据!$B$9&lt;AB84,"低于上限","达到或超过上限"))</f>
        <v>低于上限</v>
      </c>
      <c r="AD84" s="10"/>
      <c r="AE84" s="5">
        <f t="shared" si="19"/>
        <v>0.19238210399032651</v>
      </c>
      <c r="AG84" s="10" t="s">
        <v>48</v>
      </c>
      <c r="AH84" s="10" t="s">
        <v>46</v>
      </c>
      <c r="AI84" s="10" t="s">
        <v>50</v>
      </c>
      <c r="AJ84" s="6" t="str">
        <f t="shared" si="20"/>
        <v>匹配</v>
      </c>
      <c r="AK84" s="23">
        <f>IF(A84="","",COUNTIFS(加仓管理!$A$2:$A$1001,A84,加仓管理!$G$2:$G$1001,"&gt;0"))</f>
        <v>1</v>
      </c>
      <c r="AL84" s="23">
        <f>IF(A84="","",SUMIFS(加仓管理!$G$2:$G$1001,加仓管理!$A$2:$A$1001,A84))</f>
        <v>5000</v>
      </c>
      <c r="AM84" s="24">
        <f>IF(AK84=0,"",IFERROR(LOOKUP(2,1/((加仓管理!$A$2:$A$1001=A84)*(加仓管理!$G$2:$G$1001&gt;0)),加仓管理!$D$2:$D$1001),""))</f>
        <v>7.18</v>
      </c>
      <c r="AN84" s="24">
        <f>IF(AK84=0,"",IFERROR(LOOKUP(2,1/((加仓管理!$A$2:$A$1001=A84)*(加仓管理!$G$2:$G$1001&gt;0)),加仓管理!$E$2:$E$1001),""))</f>
        <v>7</v>
      </c>
      <c r="AO84" s="24">
        <f>IF(OR(A84="",H84="",H84&lt;=0),"",(E84*H84+SUMIFS(加仓管理!$H$2:$H$1001,加仓管理!$A$2:$A$1001,A84))/AP84)</f>
        <v>6.0372033898305082</v>
      </c>
      <c r="AP84" s="23">
        <f t="shared" si="21"/>
        <v>23600</v>
      </c>
      <c r="AQ84" s="24">
        <f>IF(A84="","",IF(M84&lt;&gt;"",0,IF(OR(H84="",N84=""),"",MAX((E84*H84+SUMIFS(加仓管理!$H$2:$H$1001,加仓管理!$A$2:$A$1001,A84))-MAX(N84,AN84)*AP84,0))))</f>
        <v>0</v>
      </c>
      <c r="AR84" s="24" t="str">
        <f>IF(A84="","",IF(OR(E84="",H84=""),"违规：首次买入价格或股数缺失",IF(COUNTIFS(加仓管理!$A$2:$A$1001,A84,加仓管理!$R$2:$R$1001,"违规*")&gt;0,"违规：请检查加仓管理表",IF(SUM($AQ$2:$AQ$201)&gt;账户数据!$B$7,"预警：超过账户风险上限",IF(COUNTIFS(加仓管理!$A$2:$A$1001,A84,加仓管理!$N$2:$N$1001,"&gt;0",加仓管理!$G$2:$G$1001,"")&gt;0,"提示：存在待执行加仓计划","通过")))))</f>
        <v>通过</v>
      </c>
    </row>
    <row r="85" spans="1:44">
      <c r="A85" s="10">
        <v>84</v>
      </c>
      <c r="B85" s="37" t="s">
        <v>55</v>
      </c>
      <c r="C85" s="7">
        <v>256386</v>
      </c>
      <c r="D85" s="4">
        <v>0.02</v>
      </c>
      <c r="E85" s="7">
        <v>6.27</v>
      </c>
      <c r="F85" s="6">
        <f t="shared" si="11"/>
        <v>18900</v>
      </c>
      <c r="G85" s="6" t="str">
        <f>IF(A85="","",IF(H85&lt;&gt;"","已开仓",IF(账户数据!$B$23="已锁仓","禁止开仓：连续亏损达到上限",IF(账户数据!$B$23="解锁信息不完整","禁止开仓：请完整填写解锁信息",IF(OR(F85="",E85="",N85="",E85&lt;=N85,账户数据!$B$7=""),"",IF(OR(AG85="",AH85="",AI85=""),"禁止开仓：交易预期未填写完整",IF(账户数据!$B$9+F85*(E85-N85)&gt;=账户数据!$B$7,"禁止开仓：风险额度不足",IF(AJ85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5" s="10">
        <v>18900</v>
      </c>
      <c r="I85" s="21">
        <v>43182</v>
      </c>
      <c r="J85" s="7">
        <v>10</v>
      </c>
      <c r="K85" s="7">
        <v>6.79</v>
      </c>
      <c r="L85" s="6">
        <f t="shared" si="12"/>
        <v>26900</v>
      </c>
      <c r="M85" s="21">
        <v>43194</v>
      </c>
      <c r="N85" s="7">
        <v>6</v>
      </c>
      <c r="O85" s="7"/>
      <c r="P85" s="7"/>
      <c r="Q85" s="10"/>
      <c r="R85" s="10"/>
      <c r="S85" s="10"/>
      <c r="T85" s="10"/>
      <c r="U85" s="5">
        <f t="shared" si="13"/>
        <v>0.53869914141731923</v>
      </c>
      <c r="V85" s="5">
        <f t="shared" si="14"/>
        <v>7.6780515149608472E-2</v>
      </c>
      <c r="W85" s="22">
        <f t="shared" si="15"/>
        <v>7.0160917827609319</v>
      </c>
      <c r="X85" s="3">
        <f t="shared" si="16"/>
        <v>7828</v>
      </c>
      <c r="Y85" s="5">
        <f t="shared" si="17"/>
        <v>4.477671702235976E-2</v>
      </c>
      <c r="Z85" s="5">
        <f>IF(OR(AE85="",多次统计数据!$B$8=""),"",AE85-多次统计数据!$B$8)</f>
        <v>-7.9680580573338142E-2</v>
      </c>
      <c r="AA85" s="8">
        <f t="shared" si="18"/>
        <v>12</v>
      </c>
      <c r="AB85" s="5">
        <f>IF(OR(A85="",多次统计数据!$B$8="",多次统计数据!$B$6&lt;=0,多次统计数据!$B$6&gt;=1),"",1-POWER(1+多次统计数据!$B$8,-多次统计数据!$B$6/(1-多次统计数据!$B$6)))</f>
        <v>8.152013270062719E-2</v>
      </c>
      <c r="AC85" s="6" t="str">
        <f>IF(OR(AB85="",多次统计数据!$B$9=""),"",IF(多次统计数据!$B$9&lt;AB85,"低于上限","达到或超过上限"))</f>
        <v>低于上限</v>
      </c>
      <c r="AD85" s="10"/>
      <c r="AE85" s="5">
        <f t="shared" si="19"/>
        <v>3.0532088335556543E-2</v>
      </c>
      <c r="AG85" s="10" t="s">
        <v>48</v>
      </c>
      <c r="AH85" s="10" t="s">
        <v>46</v>
      </c>
      <c r="AI85" s="10" t="s">
        <v>50</v>
      </c>
      <c r="AJ85" s="6" t="str">
        <f t="shared" si="20"/>
        <v>匹配</v>
      </c>
      <c r="AK85" s="23">
        <f>IF(A85="","",COUNTIFS(加仓管理!$A$2:$A$1001,A85,加仓管理!$G$2:$G$1001,"&gt;0"))</f>
        <v>1</v>
      </c>
      <c r="AL85" s="23">
        <f>IF(A85="","",SUMIFS(加仓管理!$G$2:$G$1001,加仓管理!$A$2:$A$1001,A85))</f>
        <v>8000</v>
      </c>
      <c r="AM85" s="24">
        <f>IF(AK85=0,"",IFERROR(LOOKUP(2,1/((加仓管理!$A$2:$A$1001=A85)*(加仓管理!$G$2:$G$1001&gt;0)),加仓管理!$D$2:$D$1001),""))</f>
        <v>7.04</v>
      </c>
      <c r="AN85" s="24">
        <f>IF(AK85=0,"",IFERROR(LOOKUP(2,1/((加仓管理!$A$2:$A$1001=A85)*(加仓管理!$G$2:$G$1001&gt;0)),加仓管理!$E$2:$E$1001),""))</f>
        <v>6.5</v>
      </c>
      <c r="AO85" s="24">
        <f>IF(OR(A85="",H85="",H85&lt;=0),"",(E85*H85+SUMIFS(加仓管理!$H$2:$H$1001,加仓管理!$A$2:$A$1001,A85))/AP85)</f>
        <v>6.4989962825278811</v>
      </c>
      <c r="AP85" s="23">
        <f t="shared" si="21"/>
        <v>26900</v>
      </c>
      <c r="AQ85" s="24">
        <f>IF(A85="","",IF(M85&lt;&gt;"",0,IF(OR(H85="",N85=""),"",MAX((E85*H85+SUMIFS(加仓管理!$H$2:$H$1001,加仓管理!$A$2:$A$1001,A85))-MAX(N85,AN85)*AP85,0))))</f>
        <v>0</v>
      </c>
      <c r="AR85" s="24" t="str">
        <f>IF(A85="","",IF(OR(E85="",H85=""),"违规：首次买入价格或股数缺失",IF(COUNTIFS(加仓管理!$A$2:$A$1001,A85,加仓管理!$R$2:$R$1001,"违规*")&gt;0,"违规：请检查加仓管理表",IF(SUM($AQ$2:$AQ$201)&gt;账户数据!$B$7,"预警：超过账户风险上限",IF(COUNTIFS(加仓管理!$A$2:$A$1001,A85,加仓管理!$N$2:$N$1001,"&gt;0",加仓管理!$G$2:$G$1001,"")&gt;0,"提示：存在待执行加仓计划","通过")))))</f>
        <v>通过</v>
      </c>
    </row>
    <row r="86" spans="1:44">
      <c r="A86" s="10">
        <v>85</v>
      </c>
      <c r="B86" s="37" t="s">
        <v>55</v>
      </c>
      <c r="C86" s="7">
        <v>264214</v>
      </c>
      <c r="D86" s="4">
        <v>0.02</v>
      </c>
      <c r="E86" s="7">
        <v>6.48</v>
      </c>
      <c r="F86" s="6">
        <f t="shared" si="11"/>
        <v>11000</v>
      </c>
      <c r="G86" s="6" t="str">
        <f>IF(A86="","",IF(H86&lt;&gt;"","已开仓",IF(账户数据!$B$23="已锁仓","禁止开仓：连续亏损达到上限",IF(账户数据!$B$23="解锁信息不完整","禁止开仓：请完整填写解锁信息",IF(OR(F86="",E86="",N86="",E86&lt;=N86,账户数据!$B$7=""),"",IF(OR(AG86="",AH86="",AI86=""),"禁止开仓：交易预期未填写完整",IF(账户数据!$B$9+F86*(E86-N86)&gt;=账户数据!$B$7,"禁止开仓：风险额度不足",IF(AJ86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6" s="10">
        <v>11000</v>
      </c>
      <c r="I86" s="21">
        <v>43207</v>
      </c>
      <c r="J86" s="7">
        <v>8</v>
      </c>
      <c r="K86" s="7">
        <v>7.26</v>
      </c>
      <c r="L86" s="6">
        <f t="shared" si="12"/>
        <v>26000</v>
      </c>
      <c r="M86" s="21">
        <v>43245</v>
      </c>
      <c r="N86" s="7">
        <v>6</v>
      </c>
      <c r="O86" s="7"/>
      <c r="P86" s="7"/>
      <c r="Q86" s="10"/>
      <c r="R86" s="10"/>
      <c r="S86" s="10"/>
      <c r="T86" s="10"/>
      <c r="U86" s="5">
        <f t="shared" si="13"/>
        <v>0.18498262405286847</v>
      </c>
      <c r="V86" s="5">
        <f t="shared" si="14"/>
        <v>0.11126303196034865</v>
      </c>
      <c r="W86" s="22">
        <f t="shared" si="15"/>
        <v>1.6625704045058887</v>
      </c>
      <c r="X86" s="3">
        <f t="shared" si="16"/>
        <v>13229.999999999996</v>
      </c>
      <c r="Y86" s="5">
        <f t="shared" si="17"/>
        <v>7.53717313279781E-2</v>
      </c>
      <c r="Z86" s="5">
        <f>IF(OR(AE86="",多次统计数据!$B$8=""),"",AE86-多次统计数据!$B$8)</f>
        <v>-6.0139622060506645E-2</v>
      </c>
      <c r="AA86" s="8">
        <f t="shared" si="18"/>
        <v>38</v>
      </c>
      <c r="AB86" s="5">
        <f>IF(OR(A86="",多次统计数据!$B$8="",多次统计数据!$B$6&lt;=0,多次统计数据!$B$6&gt;=1),"",1-POWER(1+多次统计数据!$B$8,-多次统计数据!$B$6/(1-多次统计数据!$B$6)))</f>
        <v>8.152013270062719E-2</v>
      </c>
      <c r="AC86" s="6" t="str">
        <f>IF(OR(AB86="",多次统计数据!$B$9=""),"",IF(多次统计数据!$B$9&lt;AB86,"低于上限","达到或超过上限"))</f>
        <v>低于上限</v>
      </c>
      <c r="AD86" s="10"/>
      <c r="AE86" s="5">
        <f t="shared" si="19"/>
        <v>5.0073046848388036E-2</v>
      </c>
      <c r="AG86" s="10" t="s">
        <v>51</v>
      </c>
      <c r="AH86" s="10" t="s">
        <v>52</v>
      </c>
      <c r="AI86" s="10" t="s">
        <v>49</v>
      </c>
      <c r="AJ86" s="6" t="str">
        <f t="shared" si="20"/>
        <v>匹配</v>
      </c>
      <c r="AK86" s="23">
        <f>IF(A86="","",COUNTIFS(加仓管理!$A$2:$A$1001,A86,加仓管理!$G$2:$G$1001,"&gt;0"))</f>
        <v>2</v>
      </c>
      <c r="AL86" s="23">
        <f>IF(A86="","",SUMIFS(加仓管理!$G$2:$G$1001,加仓管理!$A$2:$A$1001,A86))</f>
        <v>15000</v>
      </c>
      <c r="AM86" s="24">
        <f>IF(AK86=0,"",IFERROR(LOOKUP(2,1/((加仓管理!$A$2:$A$1001=A86)*(加仓管理!$G$2:$G$1001&gt;0)),加仓管理!$D$2:$D$1001),""))</f>
        <v>7.67</v>
      </c>
      <c r="AN86" s="24">
        <f>IF(AK86=0,"",IFERROR(LOOKUP(2,1/((加仓管理!$A$2:$A$1001=A86)*(加仓管理!$G$2:$G$1001&gt;0)),加仓管理!$E$2:$E$1001),""))</f>
        <v>7</v>
      </c>
      <c r="AO86" s="24">
        <f>IF(OR(A86="",H86="",H86&lt;=0),"",(E86*H86+SUMIFS(加仓管理!$H$2:$H$1001,加仓管理!$A$2:$A$1001,A86))/AP86)</f>
        <v>6.7511538461538461</v>
      </c>
      <c r="AP86" s="23">
        <f t="shared" si="21"/>
        <v>26000</v>
      </c>
      <c r="AQ86" s="24">
        <f>IF(A86="","",IF(M86&lt;&gt;"",0,IF(OR(H86="",N86=""),"",MAX((E86*H86+SUMIFS(加仓管理!$H$2:$H$1001,加仓管理!$A$2:$A$1001,A86))-MAX(N86,AN86)*AP86,0))))</f>
        <v>0</v>
      </c>
      <c r="AR86" s="24" t="str">
        <f>IF(A86="","",IF(OR(E86="",H86=""),"违规：首次买入价格或股数缺失",IF(COUNTIFS(加仓管理!$A$2:$A$1001,A86,加仓管理!$R$2:$R$1001,"违规*")&gt;0,"违规：请检查加仓管理表",IF(SUM($AQ$2:$AQ$201)&gt;账户数据!$B$7,"预警：超过账户风险上限",IF(COUNTIFS(加仓管理!$A$2:$A$1001,A86,加仓管理!$N$2:$N$1001,"&gt;0",加仓管理!$G$2:$G$1001,"")&gt;0,"提示：存在待执行加仓计划","通过")))))</f>
        <v>违规：请检查加仓管理表</v>
      </c>
    </row>
    <row r="87" spans="1:44" s="20" customFormat="1">
      <c r="A87" s="25">
        <v>86</v>
      </c>
      <c r="B87" s="38" t="s">
        <v>55</v>
      </c>
      <c r="C87" s="26">
        <v>277444</v>
      </c>
      <c r="D87" s="27">
        <v>0.02</v>
      </c>
      <c r="E87" s="26">
        <v>7.04</v>
      </c>
      <c r="F87" s="28">
        <f t="shared" si="11"/>
        <v>10200</v>
      </c>
      <c r="G87" s="28" t="str">
        <f>IF(A87="","",IF(H87&lt;&gt;"","已开仓",IF(账户数据!$B$23="已锁仓","禁止开仓：连续亏损达到上限",IF(账户数据!$B$23="解锁信息不完整","禁止开仓：请完整填写解锁信息",IF(OR(F87="",E87="",N87="",E87&lt;=N87,账户数据!$B$7=""),"",IF(OR(AG87="",AH87="",AI87=""),"禁止开仓：交易预期未填写完整",IF(账户数据!$B$9+F87*(E87-N87)&gt;=账户数据!$B$7,"禁止开仓：风险额度不足",IF(AJ87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7" s="25">
        <v>10000</v>
      </c>
      <c r="I87" s="29">
        <v>43250</v>
      </c>
      <c r="J87" s="26">
        <v>8</v>
      </c>
      <c r="K87" s="26">
        <v>5.71</v>
      </c>
      <c r="L87" s="28">
        <f t="shared" si="12"/>
        <v>39500</v>
      </c>
      <c r="M87" s="29">
        <v>43312</v>
      </c>
      <c r="N87" s="26">
        <v>6.5</v>
      </c>
      <c r="O87" s="26"/>
      <c r="P87" s="26"/>
      <c r="Q87" s="25"/>
      <c r="R87" s="25"/>
      <c r="S87" s="25"/>
      <c r="T87" s="25"/>
      <c r="U87" s="30">
        <f t="shared" si="13"/>
        <v>0.14900734492036943</v>
      </c>
      <c r="V87" s="30">
        <f t="shared" si="14"/>
        <v>6.6431532252199832E-2</v>
      </c>
      <c r="W87" s="31">
        <f t="shared" si="15"/>
        <v>2.2430213464696225</v>
      </c>
      <c r="X87" s="32">
        <f t="shared" si="16"/>
        <v>-49475</v>
      </c>
      <c r="Y87" s="30">
        <f t="shared" si="17"/>
        <v>-0.17989600756308632</v>
      </c>
      <c r="Z87" s="30">
        <f>IF(OR(AE87="",多次统计数据!$B$8=""),"",AE87-多次统计数据!$B$8)</f>
        <v>-0.28853694335707158</v>
      </c>
      <c r="AA87" s="33">
        <f t="shared" si="18"/>
        <v>62</v>
      </c>
      <c r="AB87" s="30">
        <f>IF(OR(A87="",多次统计数据!$B$8="",多次统计数据!$B$6&lt;=0,多次统计数据!$B$6&gt;=1),"",1-POWER(1+多次统计数据!$B$8,-多次统计数据!$B$6/(1-多次统计数据!$B$6)))</f>
        <v>8.152013270062719E-2</v>
      </c>
      <c r="AC87" s="28" t="str">
        <f>IF(OR(AB87="",多次统计数据!$B$9=""),"",IF(多次统计数据!$B$9&lt;AB87,"低于上限","达到或超过上限"))</f>
        <v>低于上限</v>
      </c>
      <c r="AD87" s="25"/>
      <c r="AE87" s="30">
        <f t="shared" si="19"/>
        <v>-0.17832427444817692</v>
      </c>
      <c r="AG87" s="25" t="s">
        <v>51</v>
      </c>
      <c r="AH87" s="25" t="s">
        <v>52</v>
      </c>
      <c r="AI87" s="25" t="s">
        <v>49</v>
      </c>
      <c r="AJ87" s="28" t="str">
        <f t="shared" si="20"/>
        <v>匹配</v>
      </c>
      <c r="AK87" s="34">
        <f>IF(A87="","",COUNTIFS(加仓管理!$A$2:$A$1001,A87,加仓管理!$G$2:$G$1001,"&gt;0"))</f>
        <v>3</v>
      </c>
      <c r="AL87" s="34">
        <f>IF(A87="","",SUMIFS(加仓管理!$G$2:$G$1001,加仓管理!$A$2:$A$1001,A87))</f>
        <v>29500</v>
      </c>
      <c r="AM87" s="35">
        <f>IF(AK87=0,"",IFERROR(LOOKUP(2,1/((加仓管理!$A$2:$A$1001=A87)*(加仓管理!$G$2:$G$1001&gt;0)),加仓管理!$D$2:$D$1001),""))</f>
        <v>6.56</v>
      </c>
      <c r="AN87" s="35">
        <f>IF(AK87=0,"",IFERROR(LOOKUP(2,1/((加仓管理!$A$2:$A$1001=A87)*(加仓管理!$G$2:$G$1001&gt;0)),加仓管理!$E$2:$E$1001),""))</f>
        <v>6</v>
      </c>
      <c r="AO87" s="35">
        <f>IF(OR(A87="",H87="",H87&lt;=0),"",(E87*H87+SUMIFS(加仓管理!$H$2:$H$1001,加仓管理!$A$2:$A$1001,A87))/AP87)</f>
        <v>6.9625316455696202</v>
      </c>
      <c r="AP87" s="34">
        <f t="shared" si="21"/>
        <v>39500</v>
      </c>
      <c r="AQ87" s="35">
        <f>IF(A87="","",IF(M87&lt;&gt;"",0,IF(OR(H87="",N87=""),"",MAX((E87*H87+SUMIFS(加仓管理!$H$2:$H$1001,加仓管理!$A$2:$A$1001,A87))-MAX(N87,AN87)*AP87,0))))</f>
        <v>0</v>
      </c>
      <c r="AR87" s="35" t="str">
        <f>IF(A87="","",IF(OR(E87="",H87=""),"违规：首次买入价格或股数缺失",IF(COUNTIFS(加仓管理!$A$2:$A$1001,A87,加仓管理!$R$2:$R$1001,"违规*")&gt;0,"违规：请检查加仓管理表",IF(SUM($AQ$2:$AQ$201)&gt;账户数据!$B$7,"预警：超过账户风险上限",IF(COUNTIFS(加仓管理!$A$2:$A$1001,A87,加仓管理!$N$2:$N$1001,"&gt;0",加仓管理!$G$2:$G$1001,"")&gt;0,"提示：存在待执行加仓计划","通过")))))</f>
        <v>违规：请检查加仓管理表</v>
      </c>
    </row>
    <row r="88" spans="1:44">
      <c r="A88" s="10">
        <v>87</v>
      </c>
      <c r="B88" s="37" t="s">
        <v>55</v>
      </c>
      <c r="C88" s="7">
        <v>227969</v>
      </c>
      <c r="D88" s="4">
        <v>0.02</v>
      </c>
      <c r="E88" s="7">
        <v>5.07</v>
      </c>
      <c r="F88" s="6">
        <f t="shared" si="11"/>
        <v>7900</v>
      </c>
      <c r="G88" s="6" t="str">
        <f>IF(A88="","",IF(H88&lt;&gt;"","已开仓",IF(账户数据!$B$23="已锁仓","禁止开仓：连续亏损达到上限",IF(账户数据!$B$23="解锁信息不完整","禁止开仓：请完整填写解锁信息",IF(OR(F88="",E88="",N88="",E88&lt;=N88,账户数据!$B$7=""),"",IF(OR(AG88="",AH88="",AI88=""),"禁止开仓：交易预期未填写完整",IF(账户数据!$B$9+F88*(E88-N88)&gt;=账户数据!$B$7,"禁止开仓：风险额度不足",IF(AJ88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8" s="10">
        <v>7900</v>
      </c>
      <c r="I88" s="21">
        <v>43329</v>
      </c>
      <c r="J88" s="7">
        <v>6</v>
      </c>
      <c r="K88" s="7">
        <v>6.21</v>
      </c>
      <c r="L88" s="6">
        <f t="shared" si="12"/>
        <v>46900</v>
      </c>
      <c r="M88" s="21">
        <v>43440</v>
      </c>
      <c r="N88" s="7">
        <v>4.5</v>
      </c>
      <c r="O88" s="7"/>
      <c r="P88" s="7"/>
      <c r="Q88" s="10"/>
      <c r="R88" s="10"/>
      <c r="S88" s="10"/>
      <c r="T88" s="10"/>
      <c r="U88" s="5">
        <f t="shared" si="13"/>
        <v>0.27334349956785953</v>
      </c>
      <c r="V88" s="5">
        <f t="shared" si="14"/>
        <v>4.4992375324105341E-2</v>
      </c>
      <c r="W88" s="22">
        <f t="shared" si="15"/>
        <v>6.0753293774514647</v>
      </c>
      <c r="X88" s="3">
        <f t="shared" si="16"/>
        <v>70255.999999999985</v>
      </c>
      <c r="Y88" s="5">
        <f t="shared" si="17"/>
        <v>0.31791052205273462</v>
      </c>
      <c r="Z88" s="5">
        <f>IF(OR(AE88="",多次统计数据!$B$8=""),"",AE88-多次统计数据!$B$8)</f>
        <v>0.19796958394127345</v>
      </c>
      <c r="AA88" s="8">
        <f t="shared" si="18"/>
        <v>111</v>
      </c>
      <c r="AB88" s="5">
        <f>IF(OR(A88="",多次统计数据!$B$8="",多次统计数据!$B$6&lt;=0,多次统计数据!$B$6&gt;=1),"",1-POWER(1+多次统计数据!$B$8,-多次统计数据!$B$6/(1-多次统计数据!$B$6)))</f>
        <v>8.152013270062719E-2</v>
      </c>
      <c r="AC88" s="6" t="str">
        <f>IF(OR(AB88="",多次统计数据!$B$9=""),"",IF(多次统计数据!$B$9&lt;AB88,"低于上限","达到或超过上限"))</f>
        <v>低于上限</v>
      </c>
      <c r="AD88" s="10"/>
      <c r="AE88" s="5">
        <f t="shared" si="19"/>
        <v>0.30818225285016815</v>
      </c>
      <c r="AG88" s="10" t="s">
        <v>48</v>
      </c>
      <c r="AH88" s="10" t="s">
        <v>46</v>
      </c>
      <c r="AI88" s="10" t="s">
        <v>49</v>
      </c>
      <c r="AJ88" s="6" t="str">
        <f t="shared" si="20"/>
        <v>匹配</v>
      </c>
      <c r="AK88" s="23">
        <f>IF(A88="","",COUNTIFS(加仓管理!$A$2:$A$1001,A88,加仓管理!$G$2:$G$1001,"&gt;0"))</f>
        <v>3</v>
      </c>
      <c r="AL88" s="23">
        <f>IF(A88="","",SUMIFS(加仓管理!$G$2:$G$1001,加仓管理!$A$2:$A$1001,A88))</f>
        <v>39000</v>
      </c>
      <c r="AM88" s="24">
        <f>IF(AK88=0,"",IFERROR(LOOKUP(2,1/((加仓管理!$A$2:$A$1001=A88)*(加仓管理!$G$2:$G$1001&gt;0)),加仓管理!$D$2:$D$1001),""))</f>
        <v>5.0599999999999996</v>
      </c>
      <c r="AN88" s="24">
        <f>IF(AK88=0,"",IFERROR(LOOKUP(2,1/((加仓管理!$A$2:$A$1001=A88)*(加仓管理!$G$2:$G$1001&gt;0)),加仓管理!$E$2:$E$1001),""))</f>
        <v>4.5</v>
      </c>
      <c r="AO88" s="24">
        <f>IF(OR(A88="",H88="",H88&lt;=0),"",(E88*H88+SUMIFS(加仓管理!$H$2:$H$1001,加仓管理!$A$2:$A$1001,A88))/AP88)</f>
        <v>4.7120042643923243</v>
      </c>
      <c r="AP88" s="23">
        <f t="shared" si="21"/>
        <v>46900</v>
      </c>
      <c r="AQ88" s="24">
        <f>IF(A88="","",IF(M88&lt;&gt;"",0,IF(OR(H88="",N88=""),"",MAX((E88*H88+SUMIFS(加仓管理!$H$2:$H$1001,加仓管理!$A$2:$A$1001,A88))-MAX(N88,AN88)*AP88,0))))</f>
        <v>0</v>
      </c>
      <c r="AR88" s="24" t="str">
        <f>IF(A88="","",IF(OR(E88="",H88=""),"违规：首次买入价格或股数缺失",IF(COUNTIFS(加仓管理!$A$2:$A$1001,A88,加仓管理!$R$2:$R$1001,"违规*")&gt;0,"违规：请检查加仓管理表",IF(SUM($AQ$2:$AQ$201)&gt;账户数据!$B$7,"预警：超过账户风险上限",IF(COUNTIFS(加仓管理!$A$2:$A$1001,A88,加仓管理!$N$2:$N$1001,"&gt;0",加仓管理!$G$2:$G$1001,"")&gt;0,"提示：存在待执行加仓计划","通过")))))</f>
        <v>违规：请检查加仓管理表</v>
      </c>
    </row>
    <row r="89" spans="1:44">
      <c r="A89" s="10">
        <v>88</v>
      </c>
      <c r="B89" s="37" t="s">
        <v>55</v>
      </c>
      <c r="C89" s="7">
        <v>298225</v>
      </c>
      <c r="D89" s="4">
        <v>0.02</v>
      </c>
      <c r="E89" s="7">
        <v>6.59</v>
      </c>
      <c r="F89" s="6">
        <f t="shared" si="11"/>
        <v>20500</v>
      </c>
      <c r="G89" s="6" t="str">
        <f>IF(A89="","",IF(H89&lt;&gt;"","已开仓",IF(账户数据!$B$23="已锁仓","禁止开仓：连续亏损达到上限",IF(账户数据!$B$23="解锁信息不完整","禁止开仓：请完整填写解锁信息",IF(OR(F89="",E89="",N89="",E89&lt;=N89,账户数据!$B$7=""),"",IF(OR(AG89="",AH89="",AI89=""),"禁止开仓：交易预期未填写完整",IF(账户数据!$B$9+F89*(E89-N89)&gt;=账户数据!$B$7,"禁止开仓：风险额度不足",IF(AJ89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9" s="10">
        <v>20500</v>
      </c>
      <c r="I89" s="21">
        <v>43446</v>
      </c>
      <c r="J89" s="7">
        <v>8</v>
      </c>
      <c r="K89" s="7">
        <v>9.5399999999999991</v>
      </c>
      <c r="L89" s="6">
        <f t="shared" si="12"/>
        <v>46500</v>
      </c>
      <c r="M89" s="21">
        <v>43525</v>
      </c>
      <c r="N89" s="7">
        <v>6.3</v>
      </c>
      <c r="O89" s="7"/>
      <c r="P89" s="7"/>
      <c r="Q89" s="10"/>
      <c r="R89" s="10"/>
      <c r="S89" s="10"/>
      <c r="T89" s="10"/>
      <c r="U89" s="5">
        <f t="shared" si="13"/>
        <v>0.27138194432577462</v>
      </c>
      <c r="V89" s="5">
        <f t="shared" si="14"/>
        <v>-1.2132811565474719E-3</v>
      </c>
      <c r="W89" s="22" t="str">
        <f t="shared" si="15"/>
        <v/>
      </c>
      <c r="X89" s="3">
        <f t="shared" si="16"/>
        <v>151014.99999999997</v>
      </c>
      <c r="Y89" s="5">
        <f t="shared" si="17"/>
        <v>0.51612296860848605</v>
      </c>
      <c r="Z89" s="5">
        <f>IF(OR(AE89="",多次统计数据!$B$8=""),"",AE89-多次统计数据!$B$8)</f>
        <v>0.39616674260925422</v>
      </c>
      <c r="AA89" s="8">
        <f t="shared" si="18"/>
        <v>79</v>
      </c>
      <c r="AB89" s="5">
        <f>IF(OR(A89="",多次统计数据!$B$8="",多次统计数据!$B$6&lt;=0,多次统计数据!$B$6&gt;=1),"",1-POWER(1+多次统计数据!$B$8,-多次统计数据!$B$6/(1-多次统计数据!$B$6)))</f>
        <v>8.152013270062719E-2</v>
      </c>
      <c r="AC89" s="6" t="str">
        <f>IF(OR(AB89="",多次统计数据!$B$9=""),"",IF(多次统计数据!$B$9&lt;AB89,"低于上限","达到或超过上限"))</f>
        <v>低于上限</v>
      </c>
      <c r="AD89" s="10"/>
      <c r="AE89" s="5">
        <f t="shared" si="19"/>
        <v>0.50637941151814891</v>
      </c>
      <c r="AG89" s="10" t="s">
        <v>51</v>
      </c>
      <c r="AH89" s="10" t="s">
        <v>52</v>
      </c>
      <c r="AI89" s="10" t="s">
        <v>49</v>
      </c>
      <c r="AJ89" s="6" t="str">
        <f t="shared" si="20"/>
        <v>匹配</v>
      </c>
      <c r="AK89" s="23">
        <f>IF(A89="","",COUNTIFS(加仓管理!$A$2:$A$1001,A89,加仓管理!$G$2:$G$1001,"&gt;0"))</f>
        <v>3</v>
      </c>
      <c r="AL89" s="23">
        <f>IF(A89="","",SUMIFS(加仓管理!$G$2:$G$1001,加仓管理!$A$2:$A$1001,A89))</f>
        <v>26000</v>
      </c>
      <c r="AM89" s="24">
        <f>IF(AK89=0,"",IFERROR(LOOKUP(2,1/((加仓管理!$A$2:$A$1001=A89)*(加仓管理!$G$2:$G$1001&gt;0)),加仓管理!$D$2:$D$1001),""))</f>
        <v>6.55</v>
      </c>
      <c r="AN89" s="24">
        <f>IF(AK89=0,"",IFERROR(LOOKUP(2,1/((加仓管理!$A$2:$A$1001=A89)*(加仓管理!$G$2:$G$1001&gt;0)),加仓管理!$E$2:$E$1001),""))</f>
        <v>6</v>
      </c>
      <c r="AO89" s="24">
        <f>IF(OR(A89="",H89="",H89&lt;=0),"",(E89*H89+SUMIFS(加仓管理!$H$2:$H$1001,加仓管理!$A$2:$A$1001,A89))/AP89)</f>
        <v>6.2923655913978491</v>
      </c>
      <c r="AP89" s="23">
        <f t="shared" si="21"/>
        <v>46500</v>
      </c>
      <c r="AQ89" s="24">
        <f>IF(A89="","",IF(M89&lt;&gt;"",0,IF(OR(H89="",N89=""),"",MAX((E89*H89+SUMIFS(加仓管理!$H$2:$H$1001,加仓管理!$A$2:$A$1001,A89))-MAX(N89,AN89)*AP89,0))))</f>
        <v>0</v>
      </c>
      <c r="AR89" s="24" t="str">
        <f>IF(A89="","",IF(OR(E89="",H89=""),"违规：首次买入价格或股数缺失",IF(COUNTIFS(加仓管理!$A$2:$A$1001,A89,加仓管理!$R$2:$R$1001,"违规*")&gt;0,"违规：请检查加仓管理表",IF(SUM($AQ$2:$AQ$201)&gt;账户数据!$B$7,"预警：超过账户风险上限",IF(COUNTIFS(加仓管理!$A$2:$A$1001,A89,加仓管理!$N$2:$N$1001,"&gt;0",加仓管理!$G$2:$G$1001,"")&gt;0,"提示：存在待执行加仓计划","通过")))))</f>
        <v>违规：请检查加仓管理表</v>
      </c>
    </row>
    <row r="90" spans="1:44">
      <c r="A90" s="10">
        <v>89</v>
      </c>
      <c r="B90" s="37" t="s">
        <v>55</v>
      </c>
      <c r="C90" s="7">
        <v>449240</v>
      </c>
      <c r="D90" s="4">
        <v>0.02</v>
      </c>
      <c r="E90" s="7">
        <v>12.64</v>
      </c>
      <c r="F90" s="6">
        <f t="shared" si="11"/>
        <v>14000</v>
      </c>
      <c r="G90" s="6" t="str">
        <f>IF(A90="","",IF(H90&lt;&gt;"","已开仓",IF(账户数据!$B$23="已锁仓","禁止开仓：连续亏损达到上限",IF(账户数据!$B$23="解锁信息不完整","禁止开仓：请完整填写解锁信息",IF(OR(F90="",E90="",N90="",E90&lt;=N90,账户数据!$B$7=""),"",IF(OR(AG90="",AH90="",AI90=""),"禁止开仓：交易预期未填写完整",IF(账户数据!$B$9+F90*(E90-N90)&gt;=账户数据!$B$7,"禁止开仓：风险额度不足",IF(AJ90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0" s="10">
        <v>14000</v>
      </c>
      <c r="I90" s="21">
        <v>43559</v>
      </c>
      <c r="J90" s="7">
        <v>15</v>
      </c>
      <c r="K90" s="7">
        <v>11.85</v>
      </c>
      <c r="L90" s="6">
        <f t="shared" si="12"/>
        <v>14000</v>
      </c>
      <c r="M90" s="21">
        <v>43570</v>
      </c>
      <c r="N90" s="7">
        <v>12</v>
      </c>
      <c r="O90" s="7"/>
      <c r="P90" s="7"/>
      <c r="Q90" s="10"/>
      <c r="R90" s="10"/>
      <c r="S90" s="10"/>
      <c r="T90" s="10"/>
      <c r="U90" s="5">
        <f t="shared" si="13"/>
        <v>0.18670886075949361</v>
      </c>
      <c r="V90" s="5">
        <f t="shared" si="14"/>
        <v>5.0632911392405104E-2</v>
      </c>
      <c r="W90" s="22">
        <f t="shared" si="15"/>
        <v>3.687499999999996</v>
      </c>
      <c r="X90" s="3">
        <f t="shared" si="16"/>
        <v>-11060.000000000013</v>
      </c>
      <c r="Y90" s="5">
        <f t="shared" si="17"/>
        <v>-6.2500000000000069E-2</v>
      </c>
      <c r="Z90" s="5">
        <f>IF(OR(AE90="",多次统计数据!$B$8=""),"",AE90-多次统计数据!$B$8)</f>
        <v>-0.13483202604539191</v>
      </c>
      <c r="AA90" s="8">
        <f t="shared" si="18"/>
        <v>11</v>
      </c>
      <c r="AB90" s="5">
        <f>IF(OR(A90="",多次统计数据!$B$8="",多次统计数据!$B$6&lt;=0,多次统计数据!$B$6&gt;=1),"",1-POWER(1+多次统计数据!$B$8,-多次统计数据!$B$6/(1-多次统计数据!$B$6)))</f>
        <v>8.152013270062719E-2</v>
      </c>
      <c r="AC90" s="6" t="str">
        <f>IF(OR(AB90="",多次统计数据!$B$9=""),"",IF(多次统计数据!$B$9&lt;AB90,"低于上限","达到或超过上限"))</f>
        <v>低于上限</v>
      </c>
      <c r="AD90" s="10"/>
      <c r="AE90" s="5">
        <f t="shared" si="19"/>
        <v>-2.4619357136497225E-2</v>
      </c>
      <c r="AG90" s="10" t="s">
        <v>45</v>
      </c>
      <c r="AH90" s="10" t="s">
        <v>52</v>
      </c>
      <c r="AI90" s="10" t="s">
        <v>47</v>
      </c>
      <c r="AJ90" s="6" t="str">
        <f t="shared" si="20"/>
        <v>匹配</v>
      </c>
      <c r="AK90" s="23">
        <f>IF(A90="","",COUNTIFS(加仓管理!$A$2:$A$1001,A90,加仓管理!$G$2:$G$1001,"&gt;0"))</f>
        <v>0</v>
      </c>
      <c r="AL90" s="23">
        <f>IF(A90="","",SUMIFS(加仓管理!$G$2:$G$1001,加仓管理!$A$2:$A$1001,A90))</f>
        <v>0</v>
      </c>
      <c r="AM90" s="24" t="str">
        <f>IF(AK90=0,"",IFERROR(LOOKUP(2,1/((加仓管理!$A$2:$A$1001=A90)*(加仓管理!$G$2:$G$1001&gt;0)),加仓管理!$D$2:$D$1001),""))</f>
        <v/>
      </c>
      <c r="AN90" s="24" t="str">
        <f>IF(AK90=0,"",IFERROR(LOOKUP(2,1/((加仓管理!$A$2:$A$1001=A90)*(加仓管理!$G$2:$G$1001&gt;0)),加仓管理!$E$2:$E$1001),""))</f>
        <v/>
      </c>
      <c r="AO90" s="24">
        <f>IF(OR(A90="",H90="",H90&lt;=0),"",(E90*H90+SUMIFS(加仓管理!$H$2:$H$1001,加仓管理!$A$2:$A$1001,A90))/AP90)</f>
        <v>12.64</v>
      </c>
      <c r="AP90" s="23">
        <f t="shared" si="21"/>
        <v>14000</v>
      </c>
      <c r="AQ90" s="24">
        <f>IF(A90="","",IF(M90&lt;&gt;"",0,IF(OR(H90="",N90=""),"",MAX((E90*H90+SUMIFS(加仓管理!$H$2:$H$1001,加仓管理!$A$2:$A$1001,A90))-MAX(N90,AN90)*AP90,0))))</f>
        <v>0</v>
      </c>
      <c r="AR90" s="24" t="str">
        <f>IF(A90="","",IF(OR(E90="",H90=""),"违规：首次买入价格或股数缺失",IF(COUNTIFS(加仓管理!$A$2:$A$1001,A90,加仓管理!$R$2:$R$1001,"违规*")&gt;0,"违规：请检查加仓管理表",IF(SUM($AQ$2:$AQ$201)&gt;账户数据!$B$7,"预警：超过账户风险上限",IF(COUNTIFS(加仓管理!$A$2:$A$1001,A90,加仓管理!$N$2:$N$1001,"&gt;0",加仓管理!$G$2:$G$1001,"")&gt;0,"提示：存在待执行加仓计划","通过")))))</f>
        <v>通过</v>
      </c>
    </row>
    <row r="91" spans="1:44">
      <c r="A91" s="10">
        <v>90</v>
      </c>
      <c r="B91" s="37" t="s">
        <v>55</v>
      </c>
      <c r="C91" s="7">
        <v>438180</v>
      </c>
      <c r="D91" s="4">
        <v>0.02</v>
      </c>
      <c r="E91" s="7">
        <v>12.29</v>
      </c>
      <c r="F91" s="6">
        <f t="shared" si="11"/>
        <v>30200</v>
      </c>
      <c r="G91" s="6" t="str">
        <f>IF(A91="","",IF(H91&lt;&gt;"","已开仓",IF(账户数据!$B$23="已锁仓","禁止开仓：连续亏损达到上限",IF(账户数据!$B$23="解锁信息不完整","禁止开仓：请完整填写解锁信息",IF(OR(F91="",E91="",N91="",E91&lt;=N91,账户数据!$B$7=""),"",IF(OR(AG91="",AH91="",AI91=""),"禁止开仓：交易预期未填写完整",IF(账户数据!$B$9+F91*(E91-N91)&gt;=账户数据!$B$7,"禁止开仓：风险额度不足",IF(AJ91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1" s="10">
        <v>30200</v>
      </c>
      <c r="I91" s="21">
        <v>43600</v>
      </c>
      <c r="J91" s="7">
        <v>15</v>
      </c>
      <c r="K91" s="7">
        <v>11.61</v>
      </c>
      <c r="L91" s="6">
        <f t="shared" si="12"/>
        <v>30200</v>
      </c>
      <c r="M91" s="21">
        <v>43602</v>
      </c>
      <c r="N91" s="7">
        <v>12</v>
      </c>
      <c r="O91" s="7"/>
      <c r="P91" s="7"/>
      <c r="Q91" s="10"/>
      <c r="R91" s="10"/>
      <c r="S91" s="10"/>
      <c r="T91" s="10"/>
      <c r="U91" s="5">
        <f t="shared" si="13"/>
        <v>0.22050447518307575</v>
      </c>
      <c r="V91" s="5">
        <f t="shared" si="14"/>
        <v>2.3596419853539396E-2</v>
      </c>
      <c r="W91" s="22">
        <f t="shared" si="15"/>
        <v>9.344827586206927</v>
      </c>
      <c r="X91" s="3">
        <f t="shared" si="16"/>
        <v>-20535.999999999993</v>
      </c>
      <c r="Y91" s="5">
        <f t="shared" si="17"/>
        <v>-5.5329536208299411E-2</v>
      </c>
      <c r="Z91" s="5">
        <f>IF(OR(AE91="",多次统计数据!$B$8=""),"",AE91-多次统计数据!$B$8)</f>
        <v>-0.15707925341754408</v>
      </c>
      <c r="AA91" s="8">
        <f t="shared" si="18"/>
        <v>2</v>
      </c>
      <c r="AB91" s="5">
        <f>IF(OR(A91="",多次统计数据!$B$8="",多次统计数据!$B$6&lt;=0,多次统计数据!$B$6&gt;=1),"",1-POWER(1+多次统计数据!$B$8,-多次统计数据!$B$6/(1-多次统计数据!$B$6)))</f>
        <v>8.152013270062719E-2</v>
      </c>
      <c r="AC91" s="6" t="str">
        <f>IF(OR(AB91="",多次统计数据!$B$9=""),"",IF(多次统计数据!$B$9&lt;AB91,"低于上限","达到或超过上限"))</f>
        <v>低于上限</v>
      </c>
      <c r="AD91" s="10"/>
      <c r="AE91" s="5">
        <f t="shared" si="19"/>
        <v>-4.6866584508649396E-2</v>
      </c>
      <c r="AG91" s="10" t="s">
        <v>45</v>
      </c>
      <c r="AH91" s="10" t="s">
        <v>52</v>
      </c>
      <c r="AI91" s="10" t="s">
        <v>47</v>
      </c>
      <c r="AJ91" s="6" t="str">
        <f t="shared" si="20"/>
        <v>匹配</v>
      </c>
      <c r="AK91" s="23">
        <f>IF(A91="","",COUNTIFS(加仓管理!$A$2:$A$1001,A91,加仓管理!$G$2:$G$1001,"&gt;0"))</f>
        <v>0</v>
      </c>
      <c r="AL91" s="23">
        <f>IF(A91="","",SUMIFS(加仓管理!$G$2:$G$1001,加仓管理!$A$2:$A$1001,A91))</f>
        <v>0</v>
      </c>
      <c r="AM91" s="24" t="str">
        <f>IF(AK91=0,"",IFERROR(LOOKUP(2,1/((加仓管理!$A$2:$A$1001=A91)*(加仓管理!$G$2:$G$1001&gt;0)),加仓管理!$D$2:$D$1001),""))</f>
        <v/>
      </c>
      <c r="AN91" s="24" t="str">
        <f>IF(AK91=0,"",IFERROR(LOOKUP(2,1/((加仓管理!$A$2:$A$1001=A91)*(加仓管理!$G$2:$G$1001&gt;0)),加仓管理!$E$2:$E$1001),""))</f>
        <v/>
      </c>
      <c r="AO91" s="24">
        <f>IF(OR(A91="",H91="",H91&lt;=0),"",(E91*H91+SUMIFS(加仓管理!$H$2:$H$1001,加仓管理!$A$2:$A$1001,A91))/AP91)</f>
        <v>12.29</v>
      </c>
      <c r="AP91" s="23">
        <f t="shared" si="21"/>
        <v>30200</v>
      </c>
      <c r="AQ91" s="24">
        <f>IF(A91="","",IF(M91&lt;&gt;"",0,IF(OR(H91="",N91=""),"",MAX((E91*H91+SUMIFS(加仓管理!$H$2:$H$1001,加仓管理!$A$2:$A$1001,A91))-MAX(N91,AN91)*AP91,0))))</f>
        <v>0</v>
      </c>
      <c r="AR91" s="24" t="str">
        <f>IF(A91="","",IF(OR(E91="",H91=""),"违规：首次买入价格或股数缺失",IF(COUNTIFS(加仓管理!$A$2:$A$1001,A91,加仓管理!$R$2:$R$1001,"违规*")&gt;0,"违规：请检查加仓管理表",IF(SUM($AQ$2:$AQ$201)&gt;账户数据!$B$7,"预警：超过账户风险上限",IF(COUNTIFS(加仓管理!$A$2:$A$1001,A91,加仓管理!$N$2:$N$1001,"&gt;0",加仓管理!$G$2:$G$1001,"")&gt;0,"提示：存在待执行加仓计划","通过")))))</f>
        <v>通过</v>
      </c>
    </row>
    <row r="92" spans="1:44">
      <c r="A92" s="10">
        <v>91</v>
      </c>
      <c r="B92" s="37" t="s">
        <v>55</v>
      </c>
      <c r="C92" s="7">
        <v>417644</v>
      </c>
      <c r="D92" s="4">
        <v>0.02</v>
      </c>
      <c r="E92" s="7">
        <v>10.68</v>
      </c>
      <c r="F92" s="6">
        <f t="shared" si="11"/>
        <v>12200</v>
      </c>
      <c r="G92" s="6" t="str">
        <f>IF(A92="","",IF(H92&lt;&gt;"","已开仓",IF(账户数据!$B$23="已锁仓","禁止开仓：连续亏损达到上限",IF(账户数据!$B$23="解锁信息不完整","禁止开仓：请完整填写解锁信息",IF(OR(F92="",E92="",N92="",E92&lt;=N92,账户数据!$B$7=""),"",IF(OR(AG92="",AH92="",AI92=""),"禁止开仓：交易预期未填写完整",IF(账户数据!$B$9+F92*(E92-N92)&gt;=账户数据!$B$7,"禁止开仓：风险额度不足",IF(AJ92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2" s="10">
        <v>12200</v>
      </c>
      <c r="I92" s="21">
        <v>43620</v>
      </c>
      <c r="J92" s="7">
        <v>12</v>
      </c>
      <c r="K92" s="7">
        <v>10.86</v>
      </c>
      <c r="L92" s="6">
        <f t="shared" si="12"/>
        <v>12200</v>
      </c>
      <c r="M92" s="21">
        <v>43633</v>
      </c>
      <c r="N92" s="7">
        <v>10</v>
      </c>
      <c r="O92" s="7"/>
      <c r="P92" s="7"/>
      <c r="Q92" s="10"/>
      <c r="R92" s="10"/>
      <c r="S92" s="10"/>
      <c r="T92" s="10"/>
      <c r="U92" s="5">
        <f t="shared" si="13"/>
        <v>0.12359550561797755</v>
      </c>
      <c r="V92" s="5">
        <f t="shared" si="14"/>
        <v>6.3670411985018702E-2</v>
      </c>
      <c r="W92" s="22">
        <f t="shared" si="15"/>
        <v>1.9411764705882364</v>
      </c>
      <c r="X92" s="3">
        <f t="shared" si="16"/>
        <v>2195.9999999999964</v>
      </c>
      <c r="Y92" s="5">
        <f t="shared" si="17"/>
        <v>1.6853932584269635E-2</v>
      </c>
      <c r="Z92" s="5">
        <f>IF(OR(AE92="",多次统计数据!$B$8=""),"",AE92-多次统计数据!$B$8)</f>
        <v>-0.10495460223009648</v>
      </c>
      <c r="AA92" s="8">
        <f t="shared" si="18"/>
        <v>13</v>
      </c>
      <c r="AB92" s="5">
        <f>IF(OR(A92="",多次统计数据!$B$8="",多次统计数据!$B$6&lt;=0,多次统计数据!$B$6&gt;=1),"",1-POWER(1+多次统计数据!$B$8,-多次统计数据!$B$6/(1-多次统计数据!$B$6)))</f>
        <v>8.152013270062719E-2</v>
      </c>
      <c r="AC92" s="6" t="str">
        <f>IF(OR(AB92="",多次统计数据!$B$9=""),"",IF(多次统计数据!$B$9&lt;AB92,"低于上限","达到或超过上限"))</f>
        <v>低于上限</v>
      </c>
      <c r="AD92" s="10"/>
      <c r="AE92" s="5">
        <f t="shared" si="19"/>
        <v>5.2580666787982022E-3</v>
      </c>
      <c r="AG92" s="10" t="s">
        <v>51</v>
      </c>
      <c r="AH92" s="10" t="s">
        <v>52</v>
      </c>
      <c r="AI92" s="10" t="s">
        <v>49</v>
      </c>
      <c r="AJ92" s="6" t="str">
        <f t="shared" si="20"/>
        <v>匹配</v>
      </c>
      <c r="AK92" s="23">
        <f>IF(A92="","",COUNTIFS(加仓管理!$A$2:$A$1001,A92,加仓管理!$G$2:$G$1001,"&gt;0"))</f>
        <v>0</v>
      </c>
      <c r="AL92" s="23">
        <f>IF(A92="","",SUMIFS(加仓管理!$G$2:$G$1001,加仓管理!$A$2:$A$1001,A92))</f>
        <v>0</v>
      </c>
      <c r="AM92" s="24" t="str">
        <f>IF(AK92=0,"",IFERROR(LOOKUP(2,1/((加仓管理!$A$2:$A$1001=A92)*(加仓管理!$G$2:$G$1001&gt;0)),加仓管理!$D$2:$D$1001),""))</f>
        <v/>
      </c>
      <c r="AN92" s="24" t="str">
        <f>IF(AK92=0,"",IFERROR(LOOKUP(2,1/((加仓管理!$A$2:$A$1001=A92)*(加仓管理!$G$2:$G$1001&gt;0)),加仓管理!$E$2:$E$1001),""))</f>
        <v/>
      </c>
      <c r="AO92" s="24">
        <f>IF(OR(A92="",H92="",H92&lt;=0),"",(E92*H92+SUMIFS(加仓管理!$H$2:$H$1001,加仓管理!$A$2:$A$1001,A92))/AP92)</f>
        <v>10.68</v>
      </c>
      <c r="AP92" s="23">
        <f t="shared" si="21"/>
        <v>12200</v>
      </c>
      <c r="AQ92" s="24">
        <f>IF(A92="","",IF(M92&lt;&gt;"",0,IF(OR(H92="",N92=""),"",MAX((E92*H92+SUMIFS(加仓管理!$H$2:$H$1001,加仓管理!$A$2:$A$1001,A92))-MAX(N92,AN92)*AP92,0))))</f>
        <v>0</v>
      </c>
      <c r="AR92" s="24" t="str">
        <f>IF(A92="","",IF(OR(E92="",H92=""),"违规：首次买入价格或股数缺失",IF(COUNTIFS(加仓管理!$A$2:$A$1001,A92,加仓管理!$R$2:$R$1001,"违规*")&gt;0,"违规：请检查加仓管理表",IF(SUM($AQ$2:$AQ$201)&gt;账户数据!$B$7,"预警：超过账户风险上限",IF(COUNTIFS(加仓管理!$A$2:$A$1001,A92,加仓管理!$N$2:$N$1001,"&gt;0",加仓管理!$G$2:$G$1001,"")&gt;0,"提示：存在待执行加仓计划","通过")))))</f>
        <v>通过</v>
      </c>
    </row>
    <row r="93" spans="1:44">
      <c r="A93" s="10">
        <v>92</v>
      </c>
      <c r="B93" s="37" t="s">
        <v>55</v>
      </c>
      <c r="C93" s="7">
        <v>419840</v>
      </c>
      <c r="D93" s="4">
        <v>0.02</v>
      </c>
      <c r="E93" s="7">
        <v>13.24</v>
      </c>
      <c r="F93" s="6">
        <f t="shared" si="11"/>
        <v>6700</v>
      </c>
      <c r="G93" s="6" t="str">
        <f>IF(A93="","",IF(H93&lt;&gt;"","已开仓",IF(账户数据!$B$23="已锁仓","禁止开仓：连续亏损达到上限",IF(账户数据!$B$23="解锁信息不完整","禁止开仓：请完整填写解锁信息",IF(OR(F93="",E93="",N93="",E93&lt;=N93,账户数据!$B$7=""),"",IF(OR(AG93="",AH93="",AI93=""),"禁止开仓：交易预期未填写完整",IF(账户数据!$B$9+F93*(E93-N93)&gt;=账户数据!$B$7,"禁止开仓：风险额度不足",IF(AJ93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3" s="10">
        <v>6700</v>
      </c>
      <c r="I93" s="21">
        <v>43642</v>
      </c>
      <c r="J93" s="7">
        <v>15</v>
      </c>
      <c r="K93" s="7">
        <v>14.22</v>
      </c>
      <c r="L93" s="6">
        <f t="shared" si="12"/>
        <v>21700</v>
      </c>
      <c r="M93" s="21">
        <v>43663</v>
      </c>
      <c r="N93" s="7">
        <v>12</v>
      </c>
      <c r="O93" s="7"/>
      <c r="P93" s="7"/>
      <c r="Q93" s="10"/>
      <c r="R93" s="10"/>
      <c r="S93" s="10"/>
      <c r="T93" s="10"/>
      <c r="U93" s="5">
        <f t="shared" si="13"/>
        <v>9.1520012876918119E-2</v>
      </c>
      <c r="V93" s="5">
        <f t="shared" si="14"/>
        <v>0.12678398969846552</v>
      </c>
      <c r="W93" s="22">
        <f t="shared" si="15"/>
        <v>0.72185780787134979</v>
      </c>
      <c r="X93" s="3">
        <f t="shared" si="16"/>
        <v>10366.000000000011</v>
      </c>
      <c r="Y93" s="5">
        <f t="shared" si="17"/>
        <v>3.476097220731842E-2</v>
      </c>
      <c r="Z93" s="5">
        <f>IF(OR(AE93="",多次统计数据!$B$8=""),"",AE93-多次统计数据!$B$8)</f>
        <v>-8.5522310677187338E-2</v>
      </c>
      <c r="AA93" s="8">
        <f t="shared" si="18"/>
        <v>21</v>
      </c>
      <c r="AB93" s="5">
        <f>IF(OR(A93="",多次统计数据!$B$8="",多次统计数据!$B$6&lt;=0,多次统计数据!$B$6&gt;=1),"",1-POWER(1+多次统计数据!$B$8,-多次统计数据!$B$6/(1-多次统计数据!$B$6)))</f>
        <v>8.152013270062719E-2</v>
      </c>
      <c r="AC93" s="6" t="str">
        <f>IF(OR(AB93="",多次统计数据!$B$9=""),"",IF(多次统计数据!$B$9&lt;AB93,"低于上限","达到或超过上限"))</f>
        <v>低于上限</v>
      </c>
      <c r="AD93" s="10"/>
      <c r="AE93" s="5">
        <f t="shared" si="19"/>
        <v>2.4690358231707343E-2</v>
      </c>
      <c r="AG93" s="10" t="s">
        <v>51</v>
      </c>
      <c r="AH93" s="10" t="s">
        <v>52</v>
      </c>
      <c r="AI93" s="10" t="s">
        <v>49</v>
      </c>
      <c r="AJ93" s="6" t="str">
        <f t="shared" si="20"/>
        <v>匹配</v>
      </c>
      <c r="AK93" s="23">
        <f>IF(A93="","",COUNTIFS(加仓管理!$A$2:$A$1001,A93,加仓管理!$G$2:$G$1001,"&gt;0"))</f>
        <v>2</v>
      </c>
      <c r="AL93" s="23">
        <f>IF(A93="","",SUMIFS(加仓管理!$G$2:$G$1001,加仓管理!$A$2:$A$1001,A93))</f>
        <v>15000</v>
      </c>
      <c r="AM93" s="24">
        <f>IF(AK93=0,"",IFERROR(LOOKUP(2,1/((加仓管理!$A$2:$A$1001=A93)*(加仓管理!$G$2:$G$1001&gt;0)),加仓管理!$D$2:$D$1001),""))</f>
        <v>14.14</v>
      </c>
      <c r="AN93" s="24">
        <f>IF(AK93=0,"",IFERROR(LOOKUP(2,1/((加仓管理!$A$2:$A$1001=A93)*(加仓管理!$G$2:$G$1001&gt;0)),加仓管理!$E$2:$E$1001),""))</f>
        <v>14</v>
      </c>
      <c r="AO93" s="24">
        <f>IF(OR(A93="",H93="",H93&lt;=0),"",(E93*H93+SUMIFS(加仓管理!$H$2:$H$1001,加仓管理!$A$2:$A$1001,A93))/AP93)</f>
        <v>13.742304147465438</v>
      </c>
      <c r="AP93" s="23">
        <f t="shared" si="21"/>
        <v>21700</v>
      </c>
      <c r="AQ93" s="24">
        <f>IF(A93="","",IF(M93&lt;&gt;"",0,IF(OR(H93="",N93=""),"",MAX((E93*H93+SUMIFS(加仓管理!$H$2:$H$1001,加仓管理!$A$2:$A$1001,A93))-MAX(N93,AN93)*AP93,0))))</f>
        <v>0</v>
      </c>
      <c r="AR93" s="24" t="str">
        <f>IF(A93="","",IF(OR(E93="",H93=""),"违规：首次买入价格或股数缺失",IF(COUNTIFS(加仓管理!$A$2:$A$1001,A93,加仓管理!$R$2:$R$1001,"违规*")&gt;0,"违规：请检查加仓管理表",IF(SUM($AQ$2:$AQ$201)&gt;账户数据!$B$7,"预警：超过账户风险上限",IF(COUNTIFS(加仓管理!$A$2:$A$1001,A93,加仓管理!$N$2:$N$1001,"&gt;0",加仓管理!$G$2:$G$1001,"")&gt;0,"提示：存在待执行加仓计划","通过")))))</f>
        <v>违规：请检查加仓管理表</v>
      </c>
    </row>
    <row r="94" spans="1:44">
      <c r="A94" s="10">
        <v>93</v>
      </c>
      <c r="B94" s="37" t="s">
        <v>55</v>
      </c>
      <c r="C94" s="7">
        <v>430206</v>
      </c>
      <c r="D94" s="4">
        <v>0.02</v>
      </c>
      <c r="E94" s="7">
        <v>15.04</v>
      </c>
      <c r="F94" s="6">
        <f t="shared" si="11"/>
        <v>15900</v>
      </c>
      <c r="G94" s="6" t="str">
        <f>IF(A94="","",IF(H94&lt;&gt;"","已开仓",IF(账户数据!$B$23="已锁仓","禁止开仓：连续亏损达到上限",IF(账户数据!$B$23="解锁信息不完整","禁止开仓：请完整填写解锁信息",IF(OR(F94="",E94="",N94="",E94&lt;=N94,账户数据!$B$7=""),"",IF(OR(AG94="",AH94="",AI94=""),"禁止开仓：交易预期未填写完整",IF(账户数据!$B$9+F94*(E94-N94)&gt;=账户数据!$B$7,"禁止开仓：风险额度不足",IF(AJ94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4" s="10">
        <v>15900</v>
      </c>
      <c r="I94" s="21">
        <v>43676</v>
      </c>
      <c r="J94" s="7">
        <v>18</v>
      </c>
      <c r="K94" s="7">
        <v>13.27</v>
      </c>
      <c r="L94" s="6">
        <f t="shared" si="12"/>
        <v>15900</v>
      </c>
      <c r="M94" s="21">
        <v>43682</v>
      </c>
      <c r="N94" s="7">
        <v>14.5</v>
      </c>
      <c r="O94" s="7"/>
      <c r="P94" s="7"/>
      <c r="Q94" s="10"/>
      <c r="R94" s="10"/>
      <c r="S94" s="10"/>
      <c r="T94" s="10"/>
      <c r="U94" s="5">
        <f t="shared" si="13"/>
        <v>0.19680851063829793</v>
      </c>
      <c r="V94" s="5">
        <f t="shared" si="14"/>
        <v>3.5904255319148884E-2</v>
      </c>
      <c r="W94" s="22">
        <f t="shared" si="15"/>
        <v>5.4814814814814916</v>
      </c>
      <c r="X94" s="3">
        <f t="shared" si="16"/>
        <v>-28142.999999999993</v>
      </c>
      <c r="Y94" s="5">
        <f t="shared" si="17"/>
        <v>-0.11768617021276592</v>
      </c>
      <c r="Z94" s="5">
        <f>IF(OR(AE94="",多次统计数据!$B$8=""),"",AE94-多次统计数据!$B$8)</f>
        <v>-0.1756301665728045</v>
      </c>
      <c r="AA94" s="8">
        <f t="shared" si="18"/>
        <v>6</v>
      </c>
      <c r="AB94" s="5">
        <f>IF(OR(A94="",多次统计数据!$B$8="",多次统计数据!$B$6&lt;=0,多次统计数据!$B$6&gt;=1),"",1-POWER(1+多次统计数据!$B$8,-多次统计数据!$B$6/(1-多次统计数据!$B$6)))</f>
        <v>8.152013270062719E-2</v>
      </c>
      <c r="AC94" s="6" t="str">
        <f>IF(OR(AB94="",多次统计数据!$B$9=""),"",IF(多次统计数据!$B$9&lt;AB94,"低于上限","达到或超过上限"))</f>
        <v>低于上限</v>
      </c>
      <c r="AD94" s="10"/>
      <c r="AE94" s="5">
        <f t="shared" si="19"/>
        <v>-6.5417497663909835E-2</v>
      </c>
      <c r="AG94" s="10" t="s">
        <v>45</v>
      </c>
      <c r="AH94" s="10" t="s">
        <v>52</v>
      </c>
      <c r="AI94" s="10" t="s">
        <v>47</v>
      </c>
      <c r="AJ94" s="6" t="str">
        <f t="shared" si="20"/>
        <v>匹配</v>
      </c>
      <c r="AK94" s="23">
        <f>IF(A94="","",COUNTIFS(加仓管理!$A$2:$A$1001,A94,加仓管理!$G$2:$G$1001,"&gt;0"))</f>
        <v>0</v>
      </c>
      <c r="AL94" s="23">
        <f>IF(A94="","",SUMIFS(加仓管理!$G$2:$G$1001,加仓管理!$A$2:$A$1001,A94))</f>
        <v>0</v>
      </c>
      <c r="AM94" s="24" t="str">
        <f>IF(AK94=0,"",IFERROR(LOOKUP(2,1/((加仓管理!$A$2:$A$1001=A94)*(加仓管理!$G$2:$G$1001&gt;0)),加仓管理!$D$2:$D$1001),""))</f>
        <v/>
      </c>
      <c r="AN94" s="24" t="str">
        <f>IF(AK94=0,"",IFERROR(LOOKUP(2,1/((加仓管理!$A$2:$A$1001=A94)*(加仓管理!$G$2:$G$1001&gt;0)),加仓管理!$E$2:$E$1001),""))</f>
        <v/>
      </c>
      <c r="AO94" s="24">
        <f>IF(OR(A94="",H94="",H94&lt;=0),"",(E94*H94+SUMIFS(加仓管理!$H$2:$H$1001,加仓管理!$A$2:$A$1001,A94))/AP94)</f>
        <v>15.04</v>
      </c>
      <c r="AP94" s="23">
        <f t="shared" si="21"/>
        <v>15900</v>
      </c>
      <c r="AQ94" s="24">
        <f>IF(A94="","",IF(M94&lt;&gt;"",0,IF(OR(H94="",N94=""),"",MAX((E94*H94+SUMIFS(加仓管理!$H$2:$H$1001,加仓管理!$A$2:$A$1001,A94))-MAX(N94,AN94)*AP94,0))))</f>
        <v>0</v>
      </c>
      <c r="AR94" s="24" t="str">
        <f>IF(A94="","",IF(OR(E94="",H94=""),"违规：首次买入价格或股数缺失",IF(COUNTIFS(加仓管理!$A$2:$A$1001,A94,加仓管理!$R$2:$R$1001,"违规*")&gt;0,"违规：请检查加仓管理表",IF(SUM($AQ$2:$AQ$201)&gt;账户数据!$B$7,"预警：超过账户风险上限",IF(COUNTIFS(加仓管理!$A$2:$A$1001,A94,加仓管理!$N$2:$N$1001,"&gt;0",加仓管理!$G$2:$G$1001,"")&gt;0,"提示：存在待执行加仓计划","通过")))))</f>
        <v>通过</v>
      </c>
    </row>
    <row r="95" spans="1:44">
      <c r="A95" s="10">
        <v>94</v>
      </c>
      <c r="B95" s="37" t="s">
        <v>55</v>
      </c>
      <c r="C95" s="7">
        <v>402063</v>
      </c>
      <c r="D95" s="4">
        <v>0.02</v>
      </c>
      <c r="E95" s="7">
        <v>15.71</v>
      </c>
      <c r="F95" s="6">
        <f t="shared" si="11"/>
        <v>19600</v>
      </c>
      <c r="G95" s="6" t="str">
        <f>IF(A95="","",IF(H95&lt;&gt;"","已开仓",IF(账户数据!$B$23="已锁仓","禁止开仓：连续亏损达到上限",IF(账户数据!$B$23="解锁信息不完整","禁止开仓：请完整填写解锁信息",IF(OR(F95="",E95="",N95="",E95&lt;=N95,账户数据!$B$7=""),"",IF(OR(AG95="",AH95="",AI95=""),"禁止开仓：交易预期未填写完整",IF(账户数据!$B$9+F95*(E95-N95)&gt;=账户数据!$B$7,"禁止开仓：风险额度不足",IF(AJ95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5" s="10">
        <v>19600</v>
      </c>
      <c r="I95" s="21">
        <v>43693</v>
      </c>
      <c r="J95" s="7">
        <v>18</v>
      </c>
      <c r="K95" s="7">
        <v>18.48</v>
      </c>
      <c r="L95" s="6">
        <f t="shared" si="12"/>
        <v>25100</v>
      </c>
      <c r="M95" s="21">
        <v>43720</v>
      </c>
      <c r="N95" s="7">
        <v>15.3</v>
      </c>
      <c r="O95" s="7"/>
      <c r="P95" s="7"/>
      <c r="Q95" s="10"/>
      <c r="R95" s="10"/>
      <c r="S95" s="10"/>
      <c r="T95" s="10"/>
      <c r="U95" s="5">
        <f t="shared" si="13"/>
        <v>0.136886922780768</v>
      </c>
      <c r="V95" s="5">
        <f t="shared" si="14"/>
        <v>3.3646115636347146E-2</v>
      </c>
      <c r="W95" s="22">
        <f t="shared" si="15"/>
        <v>4.0684316805025817</v>
      </c>
      <c r="X95" s="3">
        <f t="shared" si="16"/>
        <v>66447</v>
      </c>
      <c r="Y95" s="5">
        <f t="shared" si="17"/>
        <v>0.16720390738825519</v>
      </c>
      <c r="Z95" s="5">
        <f>IF(OR(AE95="",多次统计数据!$B$8=""),"",AE95-多次统计数据!$B$8)</f>
        <v>5.5052476105692597E-2</v>
      </c>
      <c r="AA95" s="8">
        <f t="shared" si="18"/>
        <v>27</v>
      </c>
      <c r="AB95" s="5">
        <f>IF(OR(A95="",多次统计数据!$B$8="",多次统计数据!$B$6&lt;=0,多次统计数据!$B$6&gt;=1),"",1-POWER(1+多次统计数据!$B$8,-多次统计数据!$B$6/(1-多次统计数据!$B$6)))</f>
        <v>8.152013270062719E-2</v>
      </c>
      <c r="AC95" s="6" t="str">
        <f>IF(OR(AB95="",多次统计数据!$B$9=""),"",IF(多次统计数据!$B$9&lt;AB95,"低于上限","达到或超过上限"))</f>
        <v>低于上限</v>
      </c>
      <c r="AD95" s="10"/>
      <c r="AE95" s="5">
        <f t="shared" si="19"/>
        <v>0.16526514501458728</v>
      </c>
      <c r="AG95" s="10" t="s">
        <v>45</v>
      </c>
      <c r="AH95" s="10" t="s">
        <v>52</v>
      </c>
      <c r="AI95" s="10" t="s">
        <v>47</v>
      </c>
      <c r="AJ95" s="6" t="str">
        <f t="shared" si="20"/>
        <v>匹配</v>
      </c>
      <c r="AK95" s="23">
        <f>IF(A95="","",COUNTIFS(加仓管理!$A$2:$A$1001,A95,加仓管理!$G$2:$G$1001,"&gt;0"))</f>
        <v>1</v>
      </c>
      <c r="AL95" s="23">
        <f>IF(A95="","",SUMIFS(加仓管理!$G$2:$G$1001,加仓管理!$A$2:$A$1001,A95))</f>
        <v>5500</v>
      </c>
      <c r="AM95" s="24">
        <f>IF(AK95=0,"",IFERROR(LOOKUP(2,1/((加仓管理!$A$2:$A$1001=A95)*(加仓管理!$G$2:$G$1001&gt;0)),加仓管理!$D$2:$D$1001),""))</f>
        <v>16.27</v>
      </c>
      <c r="AN95" s="24">
        <f>IF(AK95=0,"",IFERROR(LOOKUP(2,1/((加仓管理!$A$2:$A$1001=A95)*(加仓管理!$G$2:$G$1001&gt;0)),加仓管理!$E$2:$E$1001),""))</f>
        <v>15</v>
      </c>
      <c r="AO95" s="24">
        <f>IF(OR(A95="",H95="",H95&lt;=0),"",(E95*H95+SUMIFS(加仓管理!$H$2:$H$1001,加仓管理!$A$2:$A$1001,A95))/AP95)</f>
        <v>15.832709163346614</v>
      </c>
      <c r="AP95" s="23">
        <f t="shared" si="21"/>
        <v>25100</v>
      </c>
      <c r="AQ95" s="24">
        <f>IF(A95="","",IF(M95&lt;&gt;"",0,IF(OR(H95="",N95=""),"",MAX((E95*H95+SUMIFS(加仓管理!$H$2:$H$1001,加仓管理!$A$2:$A$1001,A95))-MAX(N95,AN95)*AP95,0))))</f>
        <v>0</v>
      </c>
      <c r="AR95" s="24" t="str">
        <f>IF(A95="","",IF(OR(E95="",H95=""),"违规：首次买入价格或股数缺失",IF(COUNTIFS(加仓管理!$A$2:$A$1001,A95,加仓管理!$R$2:$R$1001,"违规*")&gt;0,"违规：请检查加仓管理表",IF(SUM($AQ$2:$AQ$201)&gt;账户数据!$B$7,"预警：超过账户风险上限",IF(COUNTIFS(加仓管理!$A$2:$A$1001,A95,加仓管理!$N$2:$N$1001,"&gt;0",加仓管理!$G$2:$G$1001,"")&gt;0,"提示：存在待执行加仓计划","通过")))))</f>
        <v>违规：请检查加仓管理表</v>
      </c>
    </row>
    <row r="96" spans="1:44">
      <c r="A96" s="10">
        <v>95</v>
      </c>
      <c r="B96" s="37" t="s">
        <v>55</v>
      </c>
      <c r="C96" s="7">
        <v>468510</v>
      </c>
      <c r="D96" s="4">
        <v>0.02</v>
      </c>
      <c r="E96" s="7">
        <v>16.95</v>
      </c>
      <c r="F96" s="6">
        <f t="shared" si="11"/>
        <v>9800</v>
      </c>
      <c r="G96" s="6" t="str">
        <f>IF(A96="","",IF(H96&lt;&gt;"","已开仓",IF(账户数据!$B$23="已锁仓","禁止开仓：连续亏损达到上限",IF(账户数据!$B$23="解锁信息不完整","禁止开仓：请完整填写解锁信息",IF(OR(F96="",E96="",N96="",E96&lt;=N96,账户数据!$B$7=""),"",IF(OR(AG96="",AH96="",AI96=""),"禁止开仓：交易预期未填写完整",IF(账户数据!$B$9+F96*(E96-N96)&gt;=账户数据!$B$7,"禁止开仓：风险额度不足",IF(AJ96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6" s="10">
        <v>9800</v>
      </c>
      <c r="I96" s="21">
        <v>43726</v>
      </c>
      <c r="J96" s="7">
        <v>20</v>
      </c>
      <c r="K96" s="7">
        <v>16.05</v>
      </c>
      <c r="L96" s="6">
        <f t="shared" si="12"/>
        <v>24800</v>
      </c>
      <c r="M96" s="21">
        <v>43748</v>
      </c>
      <c r="N96" s="7">
        <v>16</v>
      </c>
      <c r="O96" s="7"/>
      <c r="P96" s="7"/>
      <c r="Q96" s="10"/>
      <c r="R96" s="10"/>
      <c r="S96" s="10"/>
      <c r="T96" s="10"/>
      <c r="U96" s="5">
        <f t="shared" si="13"/>
        <v>0.26867198690403116</v>
      </c>
      <c r="V96" s="5">
        <f t="shared" si="14"/>
        <v>-1.4937589523224932E-2</v>
      </c>
      <c r="W96" s="22" t="str">
        <f t="shared" si="15"/>
        <v/>
      </c>
      <c r="X96" s="3">
        <f t="shared" si="16"/>
        <v>7080.0000000000364</v>
      </c>
      <c r="Y96" s="5">
        <f t="shared" si="17"/>
        <v>1.8109269490485053E-2</v>
      </c>
      <c r="Z96" s="5">
        <f>IF(OR(AE96="",多次统计数据!$B$8=""),"",AE96-多次统计数据!$B$8)</f>
        <v>-9.5100931699443364E-2</v>
      </c>
      <c r="AA96" s="8">
        <f t="shared" si="18"/>
        <v>22</v>
      </c>
      <c r="AB96" s="5">
        <f>IF(OR(A96="",多次统计数据!$B$8="",多次统计数据!$B$6&lt;=0,多次统计数据!$B$6&gt;=1),"",1-POWER(1+多次统计数据!$B$8,-多次统计数据!$B$6/(1-多次统计数据!$B$6)))</f>
        <v>8.152013270062719E-2</v>
      </c>
      <c r="AC96" s="6" t="str">
        <f>IF(OR(AB96="",多次统计数据!$B$9=""),"",IF(多次统计数据!$B$9&lt;AB96,"低于上限","达到或超过上限"))</f>
        <v>低于上限</v>
      </c>
      <c r="AD96" s="10"/>
      <c r="AE96" s="5">
        <f t="shared" si="19"/>
        <v>1.5111737209451317E-2</v>
      </c>
      <c r="AG96" s="10" t="s">
        <v>51</v>
      </c>
      <c r="AH96" s="10" t="s">
        <v>52</v>
      </c>
      <c r="AI96" s="10" t="s">
        <v>49</v>
      </c>
      <c r="AJ96" s="6" t="str">
        <f t="shared" si="20"/>
        <v>匹配</v>
      </c>
      <c r="AK96" s="23">
        <f>IF(A96="","",COUNTIFS(加仓管理!$A$2:$A$1001,A96,加仓管理!$G$2:$G$1001,"&gt;0"))</f>
        <v>2</v>
      </c>
      <c r="AL96" s="23">
        <f>IF(A96="","",SUMIFS(加仓管理!$G$2:$G$1001,加仓管理!$A$2:$A$1001,A96))</f>
        <v>15000</v>
      </c>
      <c r="AM96" s="24">
        <f>IF(AK96=0,"",IFERROR(LOOKUP(2,1/((加仓管理!$A$2:$A$1001=A96)*(加仓管理!$G$2:$G$1001&gt;0)),加仓管理!$D$2:$D$1001),""))</f>
        <v>14.38</v>
      </c>
      <c r="AN96" s="24">
        <f>IF(AK96=0,"",IFERROR(LOOKUP(2,1/((加仓管理!$A$2:$A$1001=A96)*(加仓管理!$G$2:$G$1001&gt;0)),加仓管理!$E$2:$E$1001),""))</f>
        <v>14</v>
      </c>
      <c r="AO96" s="24">
        <f>IF(OR(A96="",H96="",H96&lt;=0),"",(E96*H96+SUMIFS(加仓管理!$H$2:$H$1001,加仓管理!$A$2:$A$1001,A96))/AP96)</f>
        <v>15.764516129032257</v>
      </c>
      <c r="AP96" s="23">
        <f t="shared" si="21"/>
        <v>24800</v>
      </c>
      <c r="AQ96" s="24">
        <f>IF(A96="","",IF(M96&lt;&gt;"",0,IF(OR(H96="",N96=""),"",MAX((E96*H96+SUMIFS(加仓管理!$H$2:$H$1001,加仓管理!$A$2:$A$1001,A96))-MAX(N96,AN96)*AP96,0))))</f>
        <v>0</v>
      </c>
      <c r="AR96" s="24" t="str">
        <f>IF(A96="","",IF(OR(E96="",H96=""),"违规：首次买入价格或股数缺失",IF(COUNTIFS(加仓管理!$A$2:$A$1001,A96,加仓管理!$R$2:$R$1001,"违规*")&gt;0,"违规：请检查加仓管理表",IF(SUM($AQ$2:$AQ$201)&gt;账户数据!$B$7,"预警：超过账户风险上限",IF(COUNTIFS(加仓管理!$A$2:$A$1001,A96,加仓管理!$N$2:$N$1001,"&gt;0",加仓管理!$G$2:$G$1001,"")&gt;0,"提示：存在待执行加仓计划","通过")))))</f>
        <v>违规：请检查加仓管理表</v>
      </c>
    </row>
    <row r="97" spans="1:44">
      <c r="A97" s="10">
        <v>96</v>
      </c>
      <c r="B97" s="37" t="s">
        <v>55</v>
      </c>
      <c r="C97" s="7">
        <v>475590</v>
      </c>
      <c r="D97" s="4">
        <v>0.02</v>
      </c>
      <c r="E97" s="7">
        <v>17.170000000000002</v>
      </c>
      <c r="F97" s="6">
        <f t="shared" si="11"/>
        <v>8100</v>
      </c>
      <c r="G97" s="6" t="str">
        <f>IF(A97="","",IF(H97&lt;&gt;"","已开仓",IF(账户数据!$B$23="已锁仓","禁止开仓：连续亏损达到上限",IF(账户数据!$B$23="解锁信息不完整","禁止开仓：请完整填写解锁信息",IF(OR(F97="",E97="",N97="",E97&lt;=N97,账户数据!$B$7=""),"",IF(OR(AG97="",AH97="",AI97=""),"禁止开仓：交易预期未填写完整",IF(账户数据!$B$9+F97*(E97-N97)&gt;=账户数据!$B$7,"禁止开仓：风险额度不足",IF(AJ97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7" s="10">
        <v>8100</v>
      </c>
      <c r="I97" s="21">
        <v>43748</v>
      </c>
      <c r="J97" s="7">
        <v>20</v>
      </c>
      <c r="K97" s="7">
        <v>17.89</v>
      </c>
      <c r="L97" s="6">
        <f t="shared" si="12"/>
        <v>13100</v>
      </c>
      <c r="M97" s="21">
        <v>43781</v>
      </c>
      <c r="N97" s="7">
        <v>16</v>
      </c>
      <c r="O97" s="7"/>
      <c r="P97" s="7"/>
      <c r="Q97" s="10"/>
      <c r="R97" s="10"/>
      <c r="S97" s="10"/>
      <c r="T97" s="10"/>
      <c r="U97" s="5">
        <f t="shared" si="13"/>
        <v>0.11690404430101849</v>
      </c>
      <c r="V97" s="5">
        <f t="shared" si="14"/>
        <v>0.10647676455918521</v>
      </c>
      <c r="W97" s="22">
        <f t="shared" si="15"/>
        <v>1.097930095688034</v>
      </c>
      <c r="X97" s="3">
        <f t="shared" si="16"/>
        <v>-217.99999999998079</v>
      </c>
      <c r="Y97" s="5">
        <f t="shared" si="17"/>
        <v>-9.2933237273893341E-4</v>
      </c>
      <c r="Z97" s="5">
        <f>IF(OR(AE97="",多次统计数据!$B$8=""),"",AE97-多次统计数据!$B$8)</f>
        <v>-0.11067104692357115</v>
      </c>
      <c r="AA97" s="8">
        <f t="shared" si="18"/>
        <v>33</v>
      </c>
      <c r="AB97" s="5">
        <f>IF(OR(A97="",多次统计数据!$B$8="",多次统计数据!$B$6&lt;=0,多次统计数据!$B$6&gt;=1),"",1-POWER(1+多次统计数据!$B$8,-多次统计数据!$B$6/(1-多次统计数据!$B$6)))</f>
        <v>8.152013270062719E-2</v>
      </c>
      <c r="AC97" s="6" t="str">
        <f>IF(OR(AB97="",多次统计数据!$B$9=""),"",IF(多次统计数据!$B$9&lt;AB97,"低于上限","达到或超过上限"))</f>
        <v>低于上限</v>
      </c>
      <c r="AD97" s="10"/>
      <c r="AE97" s="5">
        <f t="shared" si="19"/>
        <v>-4.583780146764667E-4</v>
      </c>
      <c r="AG97" s="10" t="s">
        <v>51</v>
      </c>
      <c r="AH97" s="10" t="s">
        <v>52</v>
      </c>
      <c r="AI97" s="10" t="s">
        <v>49</v>
      </c>
      <c r="AJ97" s="6" t="str">
        <f t="shared" si="20"/>
        <v>匹配</v>
      </c>
      <c r="AK97" s="23">
        <f>IF(A97="","",COUNTIFS(加仓管理!$A$2:$A$1001,A97,加仓管理!$G$2:$G$1001,"&gt;0"))</f>
        <v>1</v>
      </c>
      <c r="AL97" s="23">
        <f>IF(A97="","",SUMIFS(加仓管理!$G$2:$G$1001,加仓管理!$A$2:$A$1001,A97))</f>
        <v>5000</v>
      </c>
      <c r="AM97" s="24">
        <f>IF(AK97=0,"",IFERROR(LOOKUP(2,1/((加仓管理!$A$2:$A$1001=A97)*(加仓管理!$G$2:$G$1001&gt;0)),加仓管理!$D$2:$D$1001),""))</f>
        <v>19.100000000000001</v>
      </c>
      <c r="AN97" s="24">
        <f>IF(AK97=0,"",IFERROR(LOOKUP(2,1/((加仓管理!$A$2:$A$1001=A97)*(加仓管理!$G$2:$G$1001&gt;0)),加仓管理!$E$2:$E$1001),""))</f>
        <v>18</v>
      </c>
      <c r="AO97" s="24">
        <f>IF(OR(A97="",H97="",H97&lt;=0),"",(E97*H97+SUMIFS(加仓管理!$H$2:$H$1001,加仓管理!$A$2:$A$1001,A97))/AP97)</f>
        <v>17.906641221374045</v>
      </c>
      <c r="AP97" s="23">
        <f t="shared" si="21"/>
        <v>13100</v>
      </c>
      <c r="AQ97" s="24">
        <f>IF(A97="","",IF(M97&lt;&gt;"",0,IF(OR(H97="",N97=""),"",MAX((E97*H97+SUMIFS(加仓管理!$H$2:$H$1001,加仓管理!$A$2:$A$1001,A97))-MAX(N97,AN97)*AP97,0))))</f>
        <v>0</v>
      </c>
      <c r="AR97" s="24" t="str">
        <f>IF(A97="","",IF(OR(E97="",H97=""),"违规：首次买入价格或股数缺失",IF(COUNTIFS(加仓管理!$A$2:$A$1001,A97,加仓管理!$R$2:$R$1001,"违规*")&gt;0,"违规：请检查加仓管理表",IF(SUM($AQ$2:$AQ$201)&gt;账户数据!$B$7,"预警：超过账户风险上限",IF(COUNTIFS(加仓管理!$A$2:$A$1001,A97,加仓管理!$N$2:$N$1001,"&gt;0",加仓管理!$G$2:$G$1001,"")&gt;0,"提示：存在待执行加仓计划","通过")))))</f>
        <v>通过</v>
      </c>
    </row>
    <row r="98" spans="1:44">
      <c r="A98" s="10">
        <v>97</v>
      </c>
      <c r="B98" s="37" t="s">
        <v>55</v>
      </c>
      <c r="C98" s="7">
        <v>475372</v>
      </c>
      <c r="D98" s="4">
        <v>0.02</v>
      </c>
      <c r="E98" s="7">
        <v>20.02</v>
      </c>
      <c r="F98" s="6">
        <f t="shared" si="11"/>
        <v>18200</v>
      </c>
      <c r="G98" s="6" t="str">
        <f>IF(A98="","",IF(H98&lt;&gt;"","已开仓",IF(账户数据!$B$23="已锁仓","禁止开仓：连续亏损达到上限",IF(账户数据!$B$23="解锁信息不完整","禁止开仓：请完整填写解锁信息",IF(OR(F98="",E98="",N98="",E98&lt;=N98,账户数据!$B$7=""),"",IF(OR(AG98="",AH98="",AI98=""),"禁止开仓：交易预期未填写完整",IF(账户数据!$B$9+F98*(E98-N98)&gt;=账户数据!$B$7,"禁止开仓：风险额度不足",IF(AJ98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8" s="10">
        <v>18200</v>
      </c>
      <c r="I98" s="21">
        <v>43789</v>
      </c>
      <c r="J98" s="7">
        <v>25</v>
      </c>
      <c r="K98" s="7">
        <v>25.14</v>
      </c>
      <c r="L98" s="6">
        <f t="shared" si="12"/>
        <v>23200</v>
      </c>
      <c r="M98" s="21">
        <v>43825</v>
      </c>
      <c r="N98" s="7">
        <v>19.5</v>
      </c>
      <c r="O98" s="7"/>
      <c r="P98" s="7"/>
      <c r="Q98" s="10"/>
      <c r="R98" s="10"/>
      <c r="S98" s="10"/>
      <c r="T98" s="10"/>
      <c r="U98" s="5">
        <f t="shared" si="13"/>
        <v>0.22786664521428396</v>
      </c>
      <c r="V98" s="5">
        <f t="shared" si="14"/>
        <v>4.2264016732858505E-2</v>
      </c>
      <c r="W98" s="22">
        <f t="shared" si="15"/>
        <v>5.3915047084752636</v>
      </c>
      <c r="X98" s="3">
        <f t="shared" si="16"/>
        <v>110884.00000000004</v>
      </c>
      <c r="Y98" s="5">
        <f t="shared" si="17"/>
        <v>0.23474269842748399</v>
      </c>
      <c r="Z98" s="5">
        <f>IF(OR(AE98="",多次统计数据!$B$8=""),"",AE98-多次统计数据!$B$8)</f>
        <v>0.12304465377733852</v>
      </c>
      <c r="AA98" s="8">
        <f t="shared" si="18"/>
        <v>36</v>
      </c>
      <c r="AB98" s="5">
        <f>IF(OR(A98="",多次统计数据!$B$8="",多次统计数据!$B$6&lt;=0,多次统计数据!$B$6&gt;=1),"",1-POWER(1+多次统计数据!$B$8,-多次统计数据!$B$6/(1-多次统计数据!$B$6)))</f>
        <v>8.152013270062719E-2</v>
      </c>
      <c r="AC98" s="6" t="str">
        <f>IF(OR(AB98="",多次统计数据!$B$9=""),"",IF(多次统计数据!$B$9&lt;AB98,"低于上限","达到或超过上限"))</f>
        <v>低于上限</v>
      </c>
      <c r="AD98" s="10"/>
      <c r="AE98" s="5">
        <f t="shared" si="19"/>
        <v>0.2332573226862332</v>
      </c>
      <c r="AG98" s="10" t="s">
        <v>51</v>
      </c>
      <c r="AH98" s="10" t="s">
        <v>52</v>
      </c>
      <c r="AI98" s="10" t="s">
        <v>49</v>
      </c>
      <c r="AJ98" s="6" t="str">
        <f t="shared" si="20"/>
        <v>匹配</v>
      </c>
      <c r="AK98" s="23">
        <f>IF(A98="","",COUNTIFS(加仓管理!$A$2:$A$1001,A98,加仓管理!$G$2:$G$1001,"&gt;0"))</f>
        <v>1</v>
      </c>
      <c r="AL98" s="23">
        <f>IF(A98="","",SUMIFS(加仓管理!$G$2:$G$1001,加仓管理!$A$2:$A$1001,A98))</f>
        <v>5000</v>
      </c>
      <c r="AM98" s="24">
        <f>IF(AK98=0,"",IFERROR(LOOKUP(2,1/((加仓管理!$A$2:$A$1001=A98)*(加仓管理!$G$2:$G$1001&gt;0)),加仓管理!$D$2:$D$1001),""))</f>
        <v>21.6</v>
      </c>
      <c r="AN98" s="24">
        <f>IF(AK98=0,"",IFERROR(LOOKUP(2,1/((加仓管理!$A$2:$A$1001=A98)*(加仓管理!$G$2:$G$1001&gt;0)),加仓管理!$E$2:$E$1001),""))</f>
        <v>20</v>
      </c>
      <c r="AO98" s="24">
        <f>IF(OR(A98="",H98="",H98&lt;=0),"",(E98*H98+SUMIFS(加仓管理!$H$2:$H$1001,加仓管理!$A$2:$A$1001,A98))/AP98)</f>
        <v>20.360517241379309</v>
      </c>
      <c r="AP98" s="23">
        <f t="shared" si="21"/>
        <v>23200</v>
      </c>
      <c r="AQ98" s="24">
        <f>IF(A98="","",IF(M98&lt;&gt;"",0,IF(OR(H98="",N98=""),"",MAX((E98*H98+SUMIFS(加仓管理!$H$2:$H$1001,加仓管理!$A$2:$A$1001,A98))-MAX(N98,AN98)*AP98,0))))</f>
        <v>0</v>
      </c>
      <c r="AR98" s="24" t="str">
        <f>IF(A98="","",IF(OR(E98="",H98=""),"违规：首次买入价格或股数缺失",IF(COUNTIFS(加仓管理!$A$2:$A$1001,A98,加仓管理!$R$2:$R$1001,"违规*")&gt;0,"违规：请检查加仓管理表",IF(SUM($AQ$2:$AQ$201)&gt;账户数据!$B$7,"预警：超过账户风险上限",IF(COUNTIFS(加仓管理!$A$2:$A$1001,A98,加仓管理!$N$2:$N$1001,"&gt;0",加仓管理!$G$2:$G$1001,"")&gt;0,"提示：存在待执行加仓计划","通过")))))</f>
        <v>违规：请检查加仓管理表</v>
      </c>
    </row>
    <row r="99" spans="1:44">
      <c r="A99" s="10">
        <v>98</v>
      </c>
      <c r="B99" s="37" t="s">
        <v>55</v>
      </c>
      <c r="C99" s="7">
        <v>586250</v>
      </c>
      <c r="D99" s="4">
        <v>0.02</v>
      </c>
      <c r="E99" s="7">
        <v>26.71</v>
      </c>
      <c r="F99" s="6">
        <f t="shared" si="11"/>
        <v>16500</v>
      </c>
      <c r="G99" s="6" t="str">
        <f>IF(A99="","",IF(H99&lt;&gt;"","已开仓",IF(账户数据!$B$23="已锁仓","禁止开仓：连续亏损达到上限",IF(账户数据!$B$23="解锁信息不完整","禁止开仓：请完整填写解锁信息",IF(OR(F99="",E99="",N99="",E99&lt;=N99,账户数据!$B$7=""),"",IF(OR(AG99="",AH99="",AI99=""),"禁止开仓：交易预期未填写完整",IF(账户数据!$B$9+F99*(E99-N99)&gt;=账户数据!$B$7,"禁止开仓：风险额度不足",IF(AJ99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9" s="10">
        <v>16500</v>
      </c>
      <c r="I99" s="21">
        <v>43843</v>
      </c>
      <c r="J99" s="7">
        <v>30</v>
      </c>
      <c r="K99" s="7">
        <v>29.08</v>
      </c>
      <c r="L99" s="6">
        <f t="shared" si="12"/>
        <v>20500</v>
      </c>
      <c r="M99" s="21">
        <v>43866</v>
      </c>
      <c r="N99" s="7">
        <v>26</v>
      </c>
      <c r="O99" s="7"/>
      <c r="P99" s="7"/>
      <c r="Q99" s="10"/>
      <c r="R99" s="10"/>
      <c r="S99" s="10"/>
      <c r="T99" s="10"/>
      <c r="U99" s="5">
        <f t="shared" si="13"/>
        <v>9.0280547799494751E-2</v>
      </c>
      <c r="V99" s="5">
        <f t="shared" si="14"/>
        <v>5.5090191907104548E-2</v>
      </c>
      <c r="W99" s="22">
        <f t="shared" si="15"/>
        <v>1.6387771520514884</v>
      </c>
      <c r="X99" s="3">
        <f t="shared" si="16"/>
        <v>32064.999999999971</v>
      </c>
      <c r="Y99" s="5">
        <f t="shared" si="17"/>
        <v>5.6845277666976855E-2</v>
      </c>
      <c r="Z99" s="5">
        <f>IF(OR(AE99="",多次统计数据!$B$8=""),"",AE99-多次统计数据!$B$8)</f>
        <v>-5.5517572960067436E-2</v>
      </c>
      <c r="AA99" s="8">
        <f t="shared" si="18"/>
        <v>23</v>
      </c>
      <c r="AB99" s="5">
        <f>IF(OR(A99="",多次统计数据!$B$8="",多次统计数据!$B$6&lt;=0,多次统计数据!$B$6&gt;=1),"",1-POWER(1+多次统计数据!$B$8,-多次统计数据!$B$6/(1-多次统计数据!$B$6)))</f>
        <v>8.152013270062719E-2</v>
      </c>
      <c r="AC99" s="6" t="str">
        <f>IF(OR(AB99="",多次统计数据!$B$9=""),"",IF(多次统计数据!$B$9&lt;AB99,"低于上限","达到或超过上限"))</f>
        <v>低于上限</v>
      </c>
      <c r="AD99" s="10"/>
      <c r="AE99" s="5">
        <f t="shared" si="19"/>
        <v>5.4695095948827245E-2</v>
      </c>
      <c r="AG99" s="10" t="s">
        <v>51</v>
      </c>
      <c r="AH99" s="10" t="s">
        <v>52</v>
      </c>
      <c r="AI99" s="10" t="s">
        <v>49</v>
      </c>
      <c r="AJ99" s="6" t="str">
        <f t="shared" si="20"/>
        <v>匹配</v>
      </c>
      <c r="AK99" s="23">
        <f>IF(A99="","",COUNTIFS(加仓管理!$A$2:$A$1001,A99,加仓管理!$G$2:$G$1001,"&gt;0"))</f>
        <v>1</v>
      </c>
      <c r="AL99" s="23">
        <f>IF(A99="","",SUMIFS(加仓管理!$G$2:$G$1001,加仓管理!$A$2:$A$1001,A99))</f>
        <v>4000</v>
      </c>
      <c r="AM99" s="24">
        <f>IF(AK99=0,"",IFERROR(LOOKUP(2,1/((加仓管理!$A$2:$A$1001=A99)*(加仓管理!$G$2:$G$1001&gt;0)),加仓管理!$D$2:$D$1001),""))</f>
        <v>30.84</v>
      </c>
      <c r="AN99" s="24">
        <f>IF(AK99=0,"",IFERROR(LOOKUP(2,1/((加仓管理!$A$2:$A$1001=A99)*(加仓管理!$G$2:$G$1001&gt;0)),加仓管理!$E$2:$E$1001),""))</f>
        <v>30</v>
      </c>
      <c r="AO99" s="24">
        <f>IF(OR(A99="",H99="",H99&lt;=0),"",(E99*H99+SUMIFS(加仓管理!$H$2:$H$1001,加仓管理!$A$2:$A$1001,A99))/AP99)</f>
        <v>27.515853658536585</v>
      </c>
      <c r="AP99" s="23">
        <f t="shared" si="21"/>
        <v>20500</v>
      </c>
      <c r="AQ99" s="24">
        <f>IF(A99="","",IF(M99&lt;&gt;"",0,IF(OR(H99="",N99=""),"",MAX((E99*H99+SUMIFS(加仓管理!$H$2:$H$1001,加仓管理!$A$2:$A$1001,A99))-MAX(N99,AN99)*AP99,0))))</f>
        <v>0</v>
      </c>
      <c r="AR99" s="24" t="str">
        <f>IF(A99="","",IF(OR(E99="",H99=""),"违规：首次买入价格或股数缺失",IF(COUNTIFS(加仓管理!$A$2:$A$1001,A99,加仓管理!$R$2:$R$1001,"违规*")&gt;0,"违规：请检查加仓管理表",IF(SUM($AQ$2:$AQ$201)&gt;账户数据!$B$7,"预警：超过账户风险上限",IF(COUNTIFS(加仓管理!$A$2:$A$1001,A99,加仓管理!$N$2:$N$1001,"&gt;0",加仓管理!$G$2:$G$1001,"")&gt;0,"提示：存在待执行加仓计划","通过")))))</f>
        <v>通过</v>
      </c>
    </row>
    <row r="100" spans="1:44">
      <c r="A100" s="10">
        <v>99</v>
      </c>
      <c r="B100" s="37" t="s">
        <v>55</v>
      </c>
      <c r="C100" s="7">
        <v>618321</v>
      </c>
      <c r="D100" s="4">
        <v>0.02</v>
      </c>
      <c r="E100" s="7">
        <v>32.74</v>
      </c>
      <c r="F100" s="6">
        <f t="shared" si="11"/>
        <v>4500</v>
      </c>
      <c r="G100" s="6" t="str">
        <f>IF(A100="","",IF(H100&lt;&gt;"","已开仓",IF(账户数据!$B$23="已锁仓","禁止开仓：连续亏损达到上限",IF(账户数据!$B$23="解锁信息不完整","禁止开仓：请完整填写解锁信息",IF(OR(F100="",E100="",N100="",E100&lt;=N100,账户数据!$B$7=""),"",IF(OR(AG100="",AH100="",AI100=""),"禁止开仓：交易预期未填写完整",IF(账户数据!$B$9+F100*(E100-N100)&gt;=账户数据!$B$7,"禁止开仓：风险额度不足",IF(AJ100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00" s="10">
        <v>4500</v>
      </c>
      <c r="I100" s="21">
        <v>43871</v>
      </c>
      <c r="J100" s="7">
        <v>40</v>
      </c>
      <c r="K100" s="7">
        <v>36.99</v>
      </c>
      <c r="L100" s="6">
        <f t="shared" si="12"/>
        <v>12500</v>
      </c>
      <c r="M100" s="21">
        <v>43887</v>
      </c>
      <c r="N100" s="7">
        <v>30</v>
      </c>
      <c r="O100" s="7"/>
      <c r="P100" s="7"/>
      <c r="Q100" s="10"/>
      <c r="R100" s="10"/>
      <c r="S100" s="10"/>
      <c r="T100" s="10"/>
      <c r="U100" s="5">
        <f t="shared" si="13"/>
        <v>0.14818471995774674</v>
      </c>
      <c r="V100" s="5">
        <f t="shared" si="14"/>
        <v>0.13886146003168995</v>
      </c>
      <c r="W100" s="22">
        <f t="shared" si="15"/>
        <v>1.0671407309409615</v>
      </c>
      <c r="X100" s="3">
        <f t="shared" si="16"/>
        <v>26905</v>
      </c>
      <c r="Y100" s="5">
        <f t="shared" si="17"/>
        <v>6.1783819780926355E-2</v>
      </c>
      <c r="Z100" s="5">
        <f>IF(OR(AE100="",多次统计数据!$B$8=""),"",AE100-多次统计数据!$B$8)</f>
        <v>-6.6699671614609018E-2</v>
      </c>
      <c r="AA100" s="8">
        <f t="shared" si="18"/>
        <v>16</v>
      </c>
      <c r="AB100" s="5">
        <f>IF(OR(A100="",多次统计数据!$B$8="",多次统计数据!$B$6&lt;=0,多次统计数据!$B$6&gt;=1),"",1-POWER(1+多次统计数据!$B$8,-多次统计数据!$B$6/(1-多次统计数据!$B$6)))</f>
        <v>8.152013270062719E-2</v>
      </c>
      <c r="AC100" s="6" t="str">
        <f>IF(OR(AB100="",多次统计数据!$B$9=""),"",IF(多次统计数据!$B$9&lt;AB100,"低于上限","达到或超过上限"))</f>
        <v>低于上限</v>
      </c>
      <c r="AD100" s="10"/>
      <c r="AE100" s="5">
        <f t="shared" si="19"/>
        <v>4.3512997294285656E-2</v>
      </c>
      <c r="AG100" s="10" t="s">
        <v>45</v>
      </c>
      <c r="AH100" s="10" t="s">
        <v>46</v>
      </c>
      <c r="AI100" s="10" t="s">
        <v>47</v>
      </c>
      <c r="AJ100" s="6" t="str">
        <f t="shared" si="20"/>
        <v>匹配</v>
      </c>
      <c r="AK100" s="23">
        <f>IF(A100="","",COUNTIFS(加仓管理!$A$2:$A$1001,A100,加仓管理!$G$2:$G$1001,"&gt;0"))</f>
        <v>2</v>
      </c>
      <c r="AL100" s="23">
        <f>IF(A100="","",SUMIFS(加仓管理!$G$2:$G$1001,加仓管理!$A$2:$A$1001,A100))</f>
        <v>8000</v>
      </c>
      <c r="AM100" s="24">
        <f>IF(AK100=0,"",IFERROR(LOOKUP(2,1/((加仓管理!$A$2:$A$1001=A100)*(加仓管理!$G$2:$G$1001&gt;0)),加仓管理!$D$2:$D$1001),""))</f>
        <v>38.380000000000003</v>
      </c>
      <c r="AN100" s="24">
        <f>IF(AK100=0,"",IFERROR(LOOKUP(2,1/((加仓管理!$A$2:$A$1001=A100)*(加仓管理!$G$2:$G$1001&gt;0)),加仓管理!$E$2:$E$1001),""))</f>
        <v>36</v>
      </c>
      <c r="AO100" s="24">
        <f>IF(OR(A100="",H100="",H100&lt;=0),"",(E100*H100+SUMIFS(加仓管理!$H$2:$H$1001,加仓管理!$A$2:$A$1001,A100))/AP100)</f>
        <v>34.837600000000002</v>
      </c>
      <c r="AP100" s="23">
        <f t="shared" si="21"/>
        <v>12500</v>
      </c>
      <c r="AQ100" s="24">
        <f>IF(A100="","",IF(M100&lt;&gt;"",0,IF(OR(H100="",N100=""),"",MAX((E100*H100+SUMIFS(加仓管理!$H$2:$H$1001,加仓管理!$A$2:$A$1001,A100))-MAX(N100,AN100)*AP100,0))))</f>
        <v>0</v>
      </c>
      <c r="AR100" s="24" t="str">
        <f>IF(A100="","",IF(OR(E100="",H100=""),"违规：首次买入价格或股数缺失",IF(COUNTIFS(加仓管理!$A$2:$A$1001,A100,加仓管理!$R$2:$R$1001,"违规*")&gt;0,"违规：请检查加仓管理表",IF(SUM($AQ$2:$AQ$201)&gt;账户数据!$B$7,"预警：超过账户风险上限",IF(COUNTIFS(加仓管理!$A$2:$A$1001,A100,加仓管理!$N$2:$N$1001,"&gt;0",加仓管理!$G$2:$G$1001,"")&gt;0,"提示：存在待执行加仓计划","通过")))))</f>
        <v>违规：请检查加仓管理表</v>
      </c>
    </row>
    <row r="101" spans="1:44">
      <c r="A101" s="10">
        <v>100</v>
      </c>
      <c r="B101" s="37" t="s">
        <v>55</v>
      </c>
      <c r="C101" s="7">
        <v>645226</v>
      </c>
      <c r="D101" s="4">
        <v>0.02</v>
      </c>
      <c r="E101" s="7">
        <v>27.34</v>
      </c>
      <c r="F101" s="6">
        <f t="shared" si="11"/>
        <v>3800</v>
      </c>
      <c r="G101" s="6" t="str">
        <f>IF(A101="","",IF(H101&lt;&gt;"","已开仓",IF(账户数据!$B$23="已锁仓","禁止开仓：连续亏损达到上限",IF(账户数据!$B$23="解锁信息不完整","禁止开仓：请完整填写解锁信息",IF(OR(F101="",E101="",N101="",E101&lt;=N101,账户数据!$B$7=""),"",IF(OR(AG101="",AH101="",AI101=""),"禁止开仓：交易预期未填写完整",IF(账户数据!$B$9+F101*(E101-N101)&gt;=账户数据!$B$7,"禁止开仓：风险额度不足",IF(AJ101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01" s="10">
        <v>3800</v>
      </c>
      <c r="I101" s="21">
        <v>43920</v>
      </c>
      <c r="J101" s="7">
        <v>30</v>
      </c>
      <c r="K101" s="7">
        <v>28.9</v>
      </c>
      <c r="L101" s="6">
        <f t="shared" si="12"/>
        <v>6800</v>
      </c>
      <c r="M101" s="21">
        <v>43931</v>
      </c>
      <c r="N101" s="7">
        <v>24</v>
      </c>
      <c r="O101" s="7"/>
      <c r="P101" s="7"/>
      <c r="Q101" s="10"/>
      <c r="R101" s="10"/>
      <c r="S101" s="10"/>
      <c r="T101" s="10"/>
      <c r="U101" s="5">
        <f t="shared" si="13"/>
        <v>3.3895556276354225E-2</v>
      </c>
      <c r="V101" s="5">
        <f t="shared" si="14"/>
        <v>0.17288355497891661</v>
      </c>
      <c r="W101" s="22">
        <f t="shared" si="15"/>
        <v>0.19606003752345233</v>
      </c>
      <c r="X101" s="3">
        <f t="shared" si="16"/>
        <v>-792.00000000000443</v>
      </c>
      <c r="Y101" s="5">
        <f t="shared" si="17"/>
        <v>-4.0139474537788091E-3</v>
      </c>
      <c r="Z101" s="5">
        <f>IF(OR(AE101="",多次统计数据!$B$8=""),"",AE101-多次统计数据!$B$8)</f>
        <v>-0.11144014579296321</v>
      </c>
      <c r="AA101" s="8">
        <f t="shared" si="18"/>
        <v>11</v>
      </c>
      <c r="AB101" s="5">
        <f>IF(OR(A101="",多次统计数据!$B$8="",多次统计数据!$B$6&lt;=0,多次统计数据!$B$6&gt;=1),"",1-POWER(1+多次统计数据!$B$8,-多次统计数据!$B$6/(1-多次统计数据!$B$6)))</f>
        <v>8.152013270062719E-2</v>
      </c>
      <c r="AC101" s="6" t="str">
        <f>IF(OR(AB101="",多次统计数据!$B$9=""),"",IF(多次统计数据!$B$9&lt;AB101,"低于上限","达到或超过上限"))</f>
        <v>低于上限</v>
      </c>
      <c r="AD101" s="10"/>
      <c r="AE101" s="5">
        <f t="shared" si="19"/>
        <v>-1.2274768840685349E-3</v>
      </c>
      <c r="AG101" s="10" t="s">
        <v>48</v>
      </c>
      <c r="AH101" s="10" t="s">
        <v>46</v>
      </c>
      <c r="AI101" s="10" t="s">
        <v>49</v>
      </c>
      <c r="AJ101" s="6" t="str">
        <f t="shared" si="20"/>
        <v>匹配</v>
      </c>
      <c r="AK101" s="23">
        <f>IF(A101="","",COUNTIFS(加仓管理!$A$2:$A$1001,A101,加仓管理!$G$2:$G$1001,"&gt;0"))</f>
        <v>1</v>
      </c>
      <c r="AL101" s="23">
        <f>IF(A101="","",SUMIFS(加仓管理!$G$2:$G$1001,加仓管理!$A$2:$A$1001,A101))</f>
        <v>3000</v>
      </c>
      <c r="AM101" s="24">
        <f>IF(AK101=0,"",IFERROR(LOOKUP(2,1/((加仓管理!$A$2:$A$1001=A101)*(加仓管理!$G$2:$G$1001&gt;0)),加仓管理!$D$2:$D$1001),""))</f>
        <v>31.14</v>
      </c>
      <c r="AN101" s="24">
        <f>IF(AK101=0,"",IFERROR(LOOKUP(2,1/((加仓管理!$A$2:$A$1001=A101)*(加仓管理!$G$2:$G$1001&gt;0)),加仓管理!$E$2:$E$1001),""))</f>
        <v>30</v>
      </c>
      <c r="AO101" s="24">
        <f>IF(OR(A101="",H101="",H101&lt;=0),"",(E101*H101+SUMIFS(加仓管理!$H$2:$H$1001,加仓管理!$A$2:$A$1001,A101))/AP101)</f>
        <v>29.016470588235293</v>
      </c>
      <c r="AP101" s="23">
        <f t="shared" si="21"/>
        <v>6800</v>
      </c>
      <c r="AQ101" s="24">
        <f>IF(A101="","",IF(M101&lt;&gt;"",0,IF(OR(H101="",N101=""),"",MAX((E101*H101+SUMIFS(加仓管理!$H$2:$H$1001,加仓管理!$A$2:$A$1001,A101))-MAX(N101,AN101)*AP101,0))))</f>
        <v>0</v>
      </c>
      <c r="AR101" s="24" t="str">
        <f>IF(A101="","",IF(OR(E101="",H101=""),"违规：首次买入价格或股数缺失",IF(COUNTIFS(加仓管理!$A$2:$A$1001,A101,加仓管理!$R$2:$R$1001,"违规*")&gt;0,"违规：请检查加仓管理表",IF(SUM($AQ$2:$AQ$201)&gt;账户数据!$B$7,"预警：超过账户风险上限",IF(COUNTIFS(加仓管理!$A$2:$A$1001,A101,加仓管理!$N$2:$N$1001,"&gt;0",加仓管理!$G$2:$G$1001,"")&gt;0,"提示：存在待执行加仓计划","通过")))))</f>
        <v>通过</v>
      </c>
    </row>
    <row r="102" spans="1:44">
      <c r="A102" s="10">
        <v>101</v>
      </c>
      <c r="B102" s="37" t="s">
        <v>55</v>
      </c>
      <c r="C102" s="7">
        <v>644434</v>
      </c>
      <c r="D102" s="4">
        <v>0.02</v>
      </c>
      <c r="E102" s="7">
        <v>31.44</v>
      </c>
      <c r="F102" s="6">
        <f t="shared" si="11"/>
        <v>4300</v>
      </c>
      <c r="G102" s="6" t="str">
        <f>IF(A102="","",IF(H102&lt;&gt;"","已开仓",IF(账户数据!$B$23="已锁仓","禁止开仓：连续亏损达到上限",IF(账户数据!$B$23="解锁信息不完整","禁止开仓：请完整填写解锁信息",IF(OR(F102="",E102="",N102="",E102&lt;=N102,账户数据!$B$7=""),"",IF(OR(AG102="",AH102="",AI102=""),"禁止开仓：交易预期未填写完整",IF(账户数据!$B$9+F102*(E102-N102)&gt;=账户数据!$B$7,"禁止开仓：风险额度不足",IF(AJ102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02" s="10">
        <v>4300</v>
      </c>
      <c r="I102" s="21">
        <v>43950</v>
      </c>
      <c r="J102" s="7">
        <v>35</v>
      </c>
      <c r="K102" s="7">
        <v>40.46</v>
      </c>
      <c r="L102" s="6">
        <f t="shared" si="12"/>
        <v>19300</v>
      </c>
      <c r="M102" s="21">
        <v>44000</v>
      </c>
      <c r="N102" s="7">
        <v>28.5</v>
      </c>
      <c r="O102" s="7"/>
      <c r="P102" s="7"/>
      <c r="Q102" s="10"/>
      <c r="R102" s="10"/>
      <c r="S102" s="10"/>
      <c r="T102" s="10"/>
      <c r="U102" s="5">
        <f t="shared" si="13"/>
        <v>7.3326214900405487E-2</v>
      </c>
      <c r="V102" s="5">
        <f t="shared" si="14"/>
        <v>0.12600579643824125</v>
      </c>
      <c r="W102" s="22">
        <f t="shared" si="15"/>
        <v>0.58192731583062207</v>
      </c>
      <c r="X102" s="3">
        <f t="shared" si="16"/>
        <v>151526</v>
      </c>
      <c r="Y102" s="5">
        <f t="shared" si="17"/>
        <v>0.24076510442486876</v>
      </c>
      <c r="Z102" s="5">
        <f>IF(OR(AE102="",多次统计数据!$B$8=""),"",AE102-多次统计数据!$B$8)</f>
        <v>0.12491769354870376</v>
      </c>
      <c r="AA102" s="8">
        <f t="shared" si="18"/>
        <v>50</v>
      </c>
      <c r="AB102" s="5">
        <f>IF(OR(A102="",多次统计数据!$B$8="",多次统计数据!$B$6&lt;=0,多次统计数据!$B$6&gt;=1),"",1-POWER(1+多次统计数据!$B$8,-多次统计数据!$B$6/(1-多次统计数据!$B$6)))</f>
        <v>8.152013270062719E-2</v>
      </c>
      <c r="AC102" s="6" t="str">
        <f>IF(OR(AB102="",多次统计数据!$B$9=""),"",IF(多次统计数据!$B$9&lt;AB102,"低于上限","达到或超过上限"))</f>
        <v>低于上限</v>
      </c>
      <c r="AD102" s="10"/>
      <c r="AE102" s="5">
        <f t="shared" si="19"/>
        <v>0.23513036245759844</v>
      </c>
      <c r="AG102" s="10" t="s">
        <v>51</v>
      </c>
      <c r="AH102" s="10" t="s">
        <v>52</v>
      </c>
      <c r="AI102" s="10" t="s">
        <v>49</v>
      </c>
      <c r="AJ102" s="6" t="str">
        <f t="shared" si="20"/>
        <v>匹配</v>
      </c>
      <c r="AK102" s="23">
        <f>IF(A102="","",COUNTIFS(加仓管理!$A$2:$A$1001,A102,加仓管理!$G$2:$G$1001,"&gt;0"))</f>
        <v>4</v>
      </c>
      <c r="AL102" s="23">
        <f>IF(A102="","",SUMIFS(加仓管理!$G$2:$G$1001,加仓管理!$A$2:$A$1001,A102))</f>
        <v>15000</v>
      </c>
      <c r="AM102" s="24">
        <f>IF(AK102=0,"",IFERROR(LOOKUP(2,1/((加仓管理!$A$2:$A$1001=A102)*(加仓管理!$G$2:$G$1001&gt;0)),加仓管理!$D$2:$D$1001),""))</f>
        <v>35.619999999999997</v>
      </c>
      <c r="AN102" s="24">
        <f>IF(AK102=0,"",IFERROR(LOOKUP(2,1/((加仓管理!$A$2:$A$1001=A102)*(加仓管理!$G$2:$G$1001&gt;0)),加仓管理!$E$2:$E$1001),""))</f>
        <v>33</v>
      </c>
      <c r="AO102" s="24">
        <f>IF(OR(A102="",H102="",H102&lt;=0),"",(E102*H102+SUMIFS(加仓管理!$H$2:$H$1001,加仓管理!$A$2:$A$1001,A102))/AP102)</f>
        <v>32.608911917098446</v>
      </c>
      <c r="AP102" s="23">
        <f t="shared" si="21"/>
        <v>19300</v>
      </c>
      <c r="AQ102" s="24">
        <f>IF(A102="","",IF(M102&lt;&gt;"",0,IF(OR(H102="",N102=""),"",MAX((E102*H102+SUMIFS(加仓管理!$H$2:$H$1001,加仓管理!$A$2:$A$1001,A102))-MAX(N102,AN102)*AP102,0))))</f>
        <v>0</v>
      </c>
      <c r="AR102" s="24" t="str">
        <f>IF(A102="","",IF(OR(E102="",H102=""),"违规：首次买入价格或股数缺失",IF(COUNTIFS(加仓管理!$A$2:$A$1001,A102,加仓管理!$R$2:$R$1001,"违规*")&gt;0,"违规：请检查加仓管理表",IF(SUM($AQ$2:$AQ$201)&gt;账户数据!$B$7,"预警：超过账户风险上限",IF(COUNTIFS(加仓管理!$A$2:$A$1001,A102,加仓管理!$N$2:$N$1001,"&gt;0",加仓管理!$G$2:$G$1001,"")&gt;0,"提示：存在待执行加仓计划","通过")))))</f>
        <v>违规：请检查加仓管理表</v>
      </c>
    </row>
    <row r="103" spans="1:44">
      <c r="A103" s="10">
        <v>102</v>
      </c>
      <c r="B103" s="37" t="s">
        <v>55</v>
      </c>
      <c r="C103" s="7">
        <v>795960</v>
      </c>
      <c r="D103" s="4">
        <v>0.02</v>
      </c>
      <c r="E103" s="7">
        <v>45.5</v>
      </c>
      <c r="F103" s="6">
        <f t="shared" si="11"/>
        <v>2800</v>
      </c>
      <c r="G103" s="6" t="str">
        <f>IF(A103="","",IF(H103&lt;&gt;"","已开仓",IF(账户数据!$B$23="已锁仓","禁止开仓：连续亏损达到上限",IF(账户数据!$B$23="解锁信息不完整","禁止开仓：请完整填写解锁信息",IF(OR(F103="",E103="",N103="",E103&lt;=N103,账户数据!$B$7=""),"",IF(OR(AG103="",AH103="",AI103=""),"禁止开仓：交易预期未填写完整",IF(账户数据!$B$9+F103*(E103-N103)&gt;=账户数据!$B$7,"禁止开仓：风险额度不足",IF(AJ103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03" s="10">
        <v>2800</v>
      </c>
      <c r="I103" s="21">
        <v>44011</v>
      </c>
      <c r="J103" s="7">
        <v>50</v>
      </c>
      <c r="K103" s="7">
        <v>51.54</v>
      </c>
      <c r="L103" s="6">
        <f t="shared" si="12"/>
        <v>2800</v>
      </c>
      <c r="M103" s="21">
        <v>44019</v>
      </c>
      <c r="N103" s="7">
        <v>40</v>
      </c>
      <c r="O103" s="7"/>
      <c r="P103" s="7"/>
      <c r="Q103" s="10"/>
      <c r="R103" s="10"/>
      <c r="S103" s="10"/>
      <c r="T103" s="10"/>
      <c r="U103" s="5">
        <f t="shared" si="13"/>
        <v>9.8901098901098897E-2</v>
      </c>
      <c r="V103" s="5">
        <f t="shared" si="14"/>
        <v>0.12087912087912088</v>
      </c>
      <c r="W103" s="22">
        <f t="shared" si="15"/>
        <v>0.81818181818181812</v>
      </c>
      <c r="X103" s="3">
        <f t="shared" si="16"/>
        <v>16911.999999999996</v>
      </c>
      <c r="Y103" s="5">
        <f t="shared" si="17"/>
        <v>0.13274725274725271</v>
      </c>
      <c r="Z103" s="5">
        <f>IF(OR(AE103="",多次统计数据!$B$8=""),"",AE103-多次统计数据!$B$8)</f>
        <v>-8.8965370049655532E-2</v>
      </c>
      <c r="AA103" s="8">
        <f t="shared" si="18"/>
        <v>8</v>
      </c>
      <c r="AB103" s="5">
        <f>IF(OR(A103="",多次统计数据!$B$8="",多次统计数据!$B$6&lt;=0,多次统计数据!$B$6&gt;=1),"",1-POWER(1+多次统计数据!$B$8,-多次统计数据!$B$6/(1-多次统计数据!$B$6)))</f>
        <v>8.152013270062719E-2</v>
      </c>
      <c r="AC103" s="6" t="str">
        <f>IF(OR(AB103="",多次统计数据!$B$9=""),"",IF(多次统计数据!$B$9&lt;AB103,"低于上限","达到或超过上限"))</f>
        <v>低于上限</v>
      </c>
      <c r="AD103" s="10"/>
      <c r="AE103" s="5">
        <f t="shared" si="19"/>
        <v>2.1247298859239153E-2</v>
      </c>
      <c r="AG103" s="10" t="s">
        <v>45</v>
      </c>
      <c r="AH103" s="10" t="s">
        <v>46</v>
      </c>
      <c r="AI103" s="10" t="s">
        <v>47</v>
      </c>
      <c r="AJ103" s="6" t="str">
        <f t="shared" si="20"/>
        <v>匹配</v>
      </c>
      <c r="AK103" s="23">
        <f>IF(A103="","",COUNTIFS(加仓管理!$A$2:$A$1001,A103,加仓管理!$G$2:$G$1001,"&gt;0"))</f>
        <v>0</v>
      </c>
      <c r="AL103" s="23">
        <f>IF(A103="","",SUMIFS(加仓管理!$G$2:$G$1001,加仓管理!$A$2:$A$1001,A103))</f>
        <v>0</v>
      </c>
      <c r="AM103" s="24" t="str">
        <f>IF(AK103=0,"",IFERROR(LOOKUP(2,1/((加仓管理!$A$2:$A$1001=A103)*(加仓管理!$G$2:$G$1001&gt;0)),加仓管理!$D$2:$D$1001),""))</f>
        <v/>
      </c>
      <c r="AN103" s="24" t="str">
        <f>IF(AK103=0,"",IFERROR(LOOKUP(2,1/((加仓管理!$A$2:$A$1001=A103)*(加仓管理!$G$2:$G$1001&gt;0)),加仓管理!$E$2:$E$1001),""))</f>
        <v/>
      </c>
      <c r="AO103" s="24">
        <f>IF(OR(A103="",H103="",H103&lt;=0),"",(E103*H103+SUMIFS(加仓管理!$H$2:$H$1001,加仓管理!$A$2:$A$1001,A103))/AP103)</f>
        <v>45.5</v>
      </c>
      <c r="AP103" s="23">
        <f t="shared" si="21"/>
        <v>2800</v>
      </c>
      <c r="AQ103" s="24">
        <f>IF(A103="","",IF(M103&lt;&gt;"",0,IF(OR(H103="",N103=""),"",MAX((E103*H103+SUMIFS(加仓管理!$H$2:$H$1001,加仓管理!$A$2:$A$1001,A103))-MAX(N103,AN103)*AP103,0))))</f>
        <v>0</v>
      </c>
      <c r="AR103" s="24" t="str">
        <f>IF(A103="","",IF(OR(E103="",H103=""),"违规：首次买入价格或股数缺失",IF(COUNTIFS(加仓管理!$A$2:$A$1001,A103,加仓管理!$R$2:$R$1001,"违规*")&gt;0,"违规：请检查加仓管理表",IF(SUM($AQ$2:$AQ$201)&gt;账户数据!$B$7,"预警：超过账户风险上限",IF(COUNTIFS(加仓管理!$A$2:$A$1001,A103,加仓管理!$N$2:$N$1001,"&gt;0",加仓管理!$G$2:$G$1001,"")&gt;0,"提示：存在待执行加仓计划","通过")))))</f>
        <v>通过</v>
      </c>
    </row>
    <row r="104" spans="1:44" ht="27" customHeight="1">
      <c r="A104" s="10">
        <v>103</v>
      </c>
      <c r="B104" s="37" t="s">
        <v>55</v>
      </c>
      <c r="C104" s="7">
        <v>812872</v>
      </c>
      <c r="D104" s="4">
        <v>0.02</v>
      </c>
      <c r="E104" s="7">
        <v>57.95</v>
      </c>
      <c r="F104" s="6">
        <f t="shared" si="11"/>
        <v>2000</v>
      </c>
      <c r="G104" s="6" t="str">
        <f>IF(A104="","",IF(H104&lt;&gt;"","已开仓",IF(账户数据!$B$23="已锁仓","禁止开仓：连续亏损达到上限",IF(账户数据!$B$23="解锁信息不完整","禁止开仓：请完整填写解锁信息",IF(OR(F104="",E104="",N104="",E104&lt;=N104,账户数据!$B$7=""),"",IF(OR(AG104="",AH104="",AI104=""),"禁止开仓：交易预期未填写完整",IF(账户数据!$B$9+F104*(E104-N104)&gt;=账户数据!$B$7,"禁止开仓：风险额度不足",IF(AJ104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04" s="10">
        <v>2000</v>
      </c>
      <c r="I104" s="21">
        <v>44019</v>
      </c>
      <c r="J104" s="7">
        <v>60</v>
      </c>
      <c r="K104" s="3">
        <v>51.86</v>
      </c>
      <c r="L104" s="6">
        <f t="shared" si="12"/>
        <v>2000</v>
      </c>
      <c r="M104" s="39">
        <v>44026</v>
      </c>
      <c r="N104" s="7">
        <v>50</v>
      </c>
      <c r="O104" s="7"/>
      <c r="P104" s="3"/>
      <c r="Q104" s="10"/>
      <c r="R104" s="10"/>
      <c r="S104" s="10"/>
      <c r="T104" s="10"/>
      <c r="U104" s="5">
        <f t="shared" si="13"/>
        <v>3.5375323554788562E-2</v>
      </c>
      <c r="V104" s="5">
        <f t="shared" si="14"/>
        <v>0.13718723037100952</v>
      </c>
      <c r="W104" s="22">
        <f t="shared" si="15"/>
        <v>0.2578616352201254</v>
      </c>
      <c r="X104" s="3">
        <f t="shared" si="16"/>
        <v>-12180.000000000007</v>
      </c>
      <c r="Y104" s="5">
        <f t="shared" si="17"/>
        <v>-0.10509059534081111</v>
      </c>
      <c r="Z104" s="5">
        <f>IF(OR(AE104="",多次统计数据!$B$8=""),"",AE104-多次统计数据!$B$8)</f>
        <v>-0.12519657781460186</v>
      </c>
      <c r="AA104" s="8">
        <f t="shared" si="18"/>
        <v>7</v>
      </c>
      <c r="AB104" s="5">
        <f>IF(OR(A104="",多次统计数据!$B$8="",多次统计数据!$B$6&lt;=0,多次统计数据!$B$6&gt;=1),"",1-POWER(1+多次统计数据!$B$8,-多次统计数据!$B$6/(1-多次统计数据!$B$6)))</f>
        <v>8.152013270062719E-2</v>
      </c>
      <c r="AC104" s="6" t="str">
        <f>IF(OR(AB104="",多次统计数据!$B$9=""),"",IF(多次统计数据!$B$9&lt;AB104,"低于上限","达到或超过上限"))</f>
        <v>低于上限</v>
      </c>
      <c r="AD104" s="10"/>
      <c r="AE104" s="5">
        <f t="shared" si="19"/>
        <v>-1.498390890570718E-2</v>
      </c>
      <c r="AG104" s="10" t="s">
        <v>45</v>
      </c>
      <c r="AH104" s="10" t="s">
        <v>46</v>
      </c>
      <c r="AI104" s="10" t="s">
        <v>47</v>
      </c>
      <c r="AJ104" s="6" t="str">
        <f t="shared" si="20"/>
        <v>匹配</v>
      </c>
      <c r="AK104" s="23">
        <f>IF(A104="","",COUNTIFS(加仓管理!$A$2:$A$1001,A104,加仓管理!$G$2:$G$1001,"&gt;0"))</f>
        <v>0</v>
      </c>
      <c r="AL104" s="23">
        <f>IF(A104="","",SUMIFS(加仓管理!$G$2:$G$1001,加仓管理!$A$2:$A$1001,A104))</f>
        <v>0</v>
      </c>
      <c r="AM104" s="24" t="str">
        <f>IF(AK104=0,"",IFERROR(LOOKUP(2,1/((加仓管理!$A$2:$A$1001=A104)*(加仓管理!$G$2:$G$1001&gt;0)),加仓管理!$D$2:$D$1001),""))</f>
        <v/>
      </c>
      <c r="AN104" s="24" t="str">
        <f>IF(AK104=0,"",IFERROR(LOOKUP(2,1/((加仓管理!$A$2:$A$1001=A104)*(加仓管理!$G$2:$G$1001&gt;0)),加仓管理!$E$2:$E$1001),""))</f>
        <v/>
      </c>
      <c r="AO104" s="24">
        <f>IF(OR(A104="",H104="",H104&lt;=0),"",(E104*H104+SUMIFS(加仓管理!$H$2:$H$1001,加仓管理!$A$2:$A$1001,A104))/AP104)</f>
        <v>57.95</v>
      </c>
      <c r="AP104" s="23">
        <f t="shared" si="21"/>
        <v>2000</v>
      </c>
      <c r="AQ104" s="24">
        <f>IF(A104="","",IF(M104&lt;&gt;"",0,IF(OR(H104="",N104=""),"",MAX((E104*H104+SUMIFS(加仓管理!$H$2:$H$1001,加仓管理!$A$2:$A$1001,A104))-MAX(N104,AN104)*AP104,0))))</f>
        <v>0</v>
      </c>
      <c r="AR104" s="24" t="str">
        <f>IF(A104="","",IF(OR(E104="",H104=""),"违规：首次买入价格或股数缺失",IF(COUNTIFS(加仓管理!$A$2:$A$1001,A104,加仓管理!$R$2:$R$1001,"违规*")&gt;0,"违规：请检查加仓管理表",IF(SUM($AQ$2:$AQ$201)&gt;账户数据!$B$7,"预警：超过账户风险上限",IF(COUNTIFS(加仓管理!$A$2:$A$1001,A104,加仓管理!$N$2:$N$1001,"&gt;0",加仓管理!$G$2:$G$1001,"")&gt;0,"提示：存在待执行加仓计划","通过")))))</f>
        <v>通过</v>
      </c>
    </row>
    <row r="105" spans="1:44">
      <c r="A105" s="10">
        <v>104</v>
      </c>
      <c r="B105" s="37" t="s">
        <v>55</v>
      </c>
      <c r="C105" s="7">
        <v>800692</v>
      </c>
      <c r="D105" s="4">
        <v>0.02</v>
      </c>
      <c r="E105" s="7">
        <v>58.15</v>
      </c>
      <c r="F105" s="6">
        <f t="shared" si="11"/>
        <v>5000</v>
      </c>
      <c r="G105" s="6" t="str">
        <f>IF(A105="","",IF(H105&lt;&gt;"","已开仓",IF(账户数据!$B$23="已锁仓","禁止开仓：连续亏损达到上限",IF(账户数据!$B$23="解锁信息不完整","禁止开仓：请完整填写解锁信息",IF(OR(F105="",E105="",N105="",E105&lt;=N105,账户数据!$B$7=""),"",IF(OR(AG105="",AH105="",AI105=""),"禁止开仓：交易预期未填写完整",IF(账户数据!$B$9+F105*(E105-N105)&gt;=账户数据!$B$7,"禁止开仓：风险额度不足",IF(AJ105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05" s="10">
        <v>5000</v>
      </c>
      <c r="I105" s="21">
        <v>44043</v>
      </c>
      <c r="J105" s="7">
        <v>60</v>
      </c>
      <c r="K105" s="3">
        <v>53.76</v>
      </c>
      <c r="L105" s="6">
        <f t="shared" si="12"/>
        <v>5000</v>
      </c>
      <c r="M105" s="39">
        <v>44049</v>
      </c>
      <c r="N105" s="7">
        <v>55</v>
      </c>
      <c r="O105" s="7"/>
      <c r="P105" s="3"/>
      <c r="Q105" s="10"/>
      <c r="R105" s="10"/>
      <c r="S105" s="10"/>
      <c r="T105" s="10"/>
      <c r="U105" s="5">
        <f t="shared" si="13"/>
        <v>3.1814273430782483E-2</v>
      </c>
      <c r="V105" s="5">
        <f t="shared" si="14"/>
        <v>5.4170249355116058E-2</v>
      </c>
      <c r="W105" s="22">
        <f t="shared" si="15"/>
        <v>0.58730158730158799</v>
      </c>
      <c r="X105" s="3">
        <f t="shared" si="16"/>
        <v>-21950.000000000004</v>
      </c>
      <c r="Y105" s="5">
        <f t="shared" si="17"/>
        <v>-7.5494411006018933E-2</v>
      </c>
      <c r="Z105" s="5">
        <f>IF(OR(AE105="",多次统计数据!$B$8=""),"",AE105-多次统计数据!$B$8)</f>
        <v>-0.13762645598307552</v>
      </c>
      <c r="AA105" s="8">
        <f t="shared" si="18"/>
        <v>6</v>
      </c>
      <c r="AB105" s="5">
        <f>IF(OR(A105="",多次统计数据!$B$8="",多次统计数据!$B$6&lt;=0,多次统计数据!$B$6&gt;=1),"",1-POWER(1+多次统计数据!$B$8,-多次统计数据!$B$6/(1-多次统计数据!$B$6)))</f>
        <v>8.152013270062719E-2</v>
      </c>
      <c r="AC105" s="6" t="str">
        <f>IF(OR(AB105="",多次统计数据!$B$9=""),"",IF(多次统计数据!$B$9&lt;AB105,"低于上限","达到或超过上限"))</f>
        <v>低于上限</v>
      </c>
      <c r="AD105" s="10"/>
      <c r="AE105" s="5">
        <f t="shared" si="19"/>
        <v>-2.7413787074180837E-2</v>
      </c>
      <c r="AG105" s="10" t="s">
        <v>45</v>
      </c>
      <c r="AH105" s="10" t="s">
        <v>46</v>
      </c>
      <c r="AI105" s="10" t="s">
        <v>47</v>
      </c>
      <c r="AJ105" s="6" t="str">
        <f t="shared" si="20"/>
        <v>匹配</v>
      </c>
      <c r="AK105" s="23">
        <f>IF(A105="","",COUNTIFS(加仓管理!$A$2:$A$1001,A105,加仓管理!$G$2:$G$1001,"&gt;0"))</f>
        <v>0</v>
      </c>
      <c r="AL105" s="23">
        <f>IF(A105="","",SUMIFS(加仓管理!$G$2:$G$1001,加仓管理!$A$2:$A$1001,A105))</f>
        <v>0</v>
      </c>
      <c r="AM105" s="24" t="str">
        <f>IF(AK105=0,"",IFERROR(LOOKUP(2,1/((加仓管理!$A$2:$A$1001=A105)*(加仓管理!$G$2:$G$1001&gt;0)),加仓管理!$D$2:$D$1001),""))</f>
        <v/>
      </c>
      <c r="AN105" s="24" t="str">
        <f>IF(AK105=0,"",IFERROR(LOOKUP(2,1/((加仓管理!$A$2:$A$1001=A105)*(加仓管理!$G$2:$G$1001&gt;0)),加仓管理!$E$2:$E$1001),""))</f>
        <v/>
      </c>
      <c r="AO105" s="24">
        <f>IF(OR(A105="",H105="",H105&lt;=0),"",(E105*H105+SUMIFS(加仓管理!$H$2:$H$1001,加仓管理!$A$2:$A$1001,A105))/AP105)</f>
        <v>58.15</v>
      </c>
      <c r="AP105" s="23">
        <f t="shared" si="21"/>
        <v>5000</v>
      </c>
      <c r="AQ105" s="24">
        <f>IF(A105="","",IF(M105&lt;&gt;"",0,IF(OR(H105="",N105=""),"",MAX((E105*H105+SUMIFS(加仓管理!$H$2:$H$1001,加仓管理!$A$2:$A$1001,A105))-MAX(N105,AN105)*AP105,0))))</f>
        <v>0</v>
      </c>
      <c r="AR105" s="24" t="str">
        <f>IF(A105="","",IF(OR(E105="",H105=""),"违规：首次买入价格或股数缺失",IF(COUNTIFS(加仓管理!$A$2:$A$1001,A105,加仓管理!$R$2:$R$1001,"违规*")&gt;0,"违规：请检查加仓管理表",IF(SUM($AQ$2:$AQ$201)&gt;账户数据!$B$7,"预警：超过账户风险上限",IF(COUNTIFS(加仓管理!$A$2:$A$1001,A105,加仓管理!$N$2:$N$1001,"&gt;0",加仓管理!$G$2:$G$1001,"")&gt;0,"提示：存在待执行加仓计划","通过")))))</f>
        <v>通过</v>
      </c>
    </row>
    <row r="106" spans="1:44" ht="27" customHeight="1">
      <c r="A106" s="10">
        <v>105</v>
      </c>
      <c r="B106" s="37" t="s">
        <v>55</v>
      </c>
      <c r="C106" s="7">
        <v>778742</v>
      </c>
      <c r="D106" s="4">
        <v>0.02</v>
      </c>
      <c r="E106" s="7">
        <v>59.33</v>
      </c>
      <c r="F106" s="6">
        <f t="shared" si="11"/>
        <v>6600</v>
      </c>
      <c r="G106" s="6" t="str">
        <f>IF(A106="","",IF(H106&lt;&gt;"","已开仓",IF(账户数据!$B$23="已锁仓","禁止开仓：连续亏损达到上限",IF(账户数据!$B$23="解锁信息不完整","禁止开仓：请完整填写解锁信息",IF(OR(F106="",E106="",N106="",E106&lt;=N106,账户数据!$B$7=""),"",IF(OR(AG106="",AH106="",AI106=""),"禁止开仓：交易预期未填写完整",IF(账户数据!$B$9+F106*(E106-N106)&gt;=账户数据!$B$7,"禁止开仓：风险额度不足",IF(AJ106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06" s="10">
        <v>6600</v>
      </c>
      <c r="I106" s="21">
        <v>44140</v>
      </c>
      <c r="J106" s="7">
        <v>80</v>
      </c>
      <c r="K106" s="3">
        <v>59.25</v>
      </c>
      <c r="L106" s="6">
        <f t="shared" si="12"/>
        <v>8600</v>
      </c>
      <c r="M106" s="39">
        <v>44153</v>
      </c>
      <c r="N106" s="7">
        <v>57</v>
      </c>
      <c r="O106" s="7"/>
      <c r="P106" s="3"/>
      <c r="Q106" s="10"/>
      <c r="R106" s="10"/>
      <c r="S106" s="10"/>
      <c r="T106" s="10"/>
      <c r="U106" s="5">
        <f t="shared" si="13"/>
        <v>0.31730610900708056</v>
      </c>
      <c r="V106" s="5">
        <f t="shared" si="14"/>
        <v>6.1419397332455078E-2</v>
      </c>
      <c r="W106" s="22">
        <f t="shared" si="15"/>
        <v>5.1662198391420961</v>
      </c>
      <c r="X106" s="3">
        <f t="shared" si="16"/>
        <v>-12727.999999999973</v>
      </c>
      <c r="Y106" s="5">
        <f t="shared" si="17"/>
        <v>-2.4370163016630936E-2</v>
      </c>
      <c r="Z106" s="5">
        <f>IF(OR(AE106="",多次统计数据!$B$8=""),"",AE106-多次统计数据!$B$8)</f>
        <v>-0.12655697806391647</v>
      </c>
      <c r="AA106" s="8">
        <f t="shared" si="18"/>
        <v>13</v>
      </c>
      <c r="AB106" s="5">
        <f>IF(OR(A106="",多次统计数据!$B$8="",多次统计数据!$B$6&lt;=0,多次统计数据!$B$6&gt;=1),"",1-POWER(1+多次统计数据!$B$8,-多次统计数据!$B$6/(1-多次统计数据!$B$6)))</f>
        <v>8.152013270062719E-2</v>
      </c>
      <c r="AC106" s="6" t="str">
        <f>IF(OR(AB106="",多次统计数据!$B$9=""),"",IF(多次统计数据!$B$9&lt;AB106,"低于上限","达到或超过上限"))</f>
        <v>低于上限</v>
      </c>
      <c r="AD106" s="10"/>
      <c r="AE106" s="5">
        <f t="shared" si="19"/>
        <v>-1.6344309155021781E-2</v>
      </c>
      <c r="AG106" s="10" t="s">
        <v>45</v>
      </c>
      <c r="AH106" s="10" t="s">
        <v>46</v>
      </c>
      <c r="AI106" s="10" t="s">
        <v>47</v>
      </c>
      <c r="AJ106" s="6" t="str">
        <f t="shared" si="20"/>
        <v>匹配</v>
      </c>
      <c r="AK106" s="23">
        <f>IF(A106="","",COUNTIFS(加仓管理!$A$2:$A$1001,A106,加仓管理!$G$2:$G$1001,"&gt;0"))</f>
        <v>1</v>
      </c>
      <c r="AL106" s="23">
        <f>IF(A106="","",SUMIFS(加仓管理!$G$2:$G$1001,加仓管理!$A$2:$A$1001,A106))</f>
        <v>2000</v>
      </c>
      <c r="AM106" s="24">
        <f>IF(AK106=0,"",IFERROR(LOOKUP(2,1/((加仓管理!$A$2:$A$1001=A106)*(加仓管理!$G$2:$G$1001&gt;0)),加仓管理!$D$2:$D$1001),""))</f>
        <v>65.349999999999994</v>
      </c>
      <c r="AN106" s="24">
        <f>IF(AK106=0,"",IFERROR(LOOKUP(2,1/((加仓管理!$A$2:$A$1001=A106)*(加仓管理!$G$2:$G$1001&gt;0)),加仓管理!$E$2:$E$1001),""))</f>
        <v>60</v>
      </c>
      <c r="AO106" s="24">
        <f>IF(OR(A106="",H106="",H106&lt;=0),"",(E106*H106+SUMIFS(加仓管理!$H$2:$H$1001,加仓管理!$A$2:$A$1001,A106))/AP106)</f>
        <v>60.73</v>
      </c>
      <c r="AP106" s="23">
        <f t="shared" si="21"/>
        <v>8600</v>
      </c>
      <c r="AQ106" s="24">
        <f>IF(A106="","",IF(M106&lt;&gt;"",0,IF(OR(H106="",N106=""),"",MAX((E106*H106+SUMIFS(加仓管理!$H$2:$H$1001,加仓管理!$A$2:$A$1001,A106))-MAX(N106,AN106)*AP106,0))))</f>
        <v>0</v>
      </c>
      <c r="AR106" s="24" t="str">
        <f>IF(A106="","",IF(OR(E106="",H106=""),"违规：首次买入价格或股数缺失",IF(COUNTIFS(加仓管理!$A$2:$A$1001,A106,加仓管理!$R$2:$R$1001,"违规*")&gt;0,"违规：请检查加仓管理表",IF(SUM($AQ$2:$AQ$201)&gt;账户数据!$B$7,"预警：超过账户风险上限",IF(COUNTIFS(加仓管理!$A$2:$A$1001,A106,加仓管理!$N$2:$N$1001,"&gt;0",加仓管理!$G$2:$G$1001,"")&gt;0,"提示：存在待执行加仓计划","通过")))))</f>
        <v>违规：请检查加仓管理表</v>
      </c>
    </row>
    <row r="107" spans="1:44">
      <c r="A107" s="10">
        <v>106</v>
      </c>
      <c r="B107" s="37" t="s">
        <v>55</v>
      </c>
      <c r="C107" s="7">
        <v>766014</v>
      </c>
      <c r="D107" s="4">
        <v>0.02</v>
      </c>
      <c r="E107" s="7">
        <v>65.959999999999994</v>
      </c>
      <c r="F107" s="6">
        <f t="shared" si="11"/>
        <v>7800</v>
      </c>
      <c r="G107" s="6" t="str">
        <f>IF(A107="","",IF(H107&lt;&gt;"","已开仓",IF(账户数据!$B$23="已锁仓","禁止开仓：连续亏损达到上限",IF(账户数据!$B$23="解锁信息不完整","禁止开仓：请完整填写解锁信息",IF(OR(F107="",E107="",N107="",E107&lt;=N107,账户数据!$B$7=""),"",IF(OR(AG107="",AH107="",AI107=""),"禁止开仓：交易预期未填写完整",IF(账户数据!$B$9+F107*(E107-N107)&gt;=账户数据!$B$7,"禁止开仓：风险额度不足",IF(AJ107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07" s="10">
        <v>7800</v>
      </c>
      <c r="I107" s="21">
        <v>44158</v>
      </c>
      <c r="J107" s="7">
        <v>80</v>
      </c>
      <c r="K107" s="3">
        <v>60.13</v>
      </c>
      <c r="L107" s="6">
        <f t="shared" si="12"/>
        <v>7800</v>
      </c>
      <c r="M107" s="39">
        <v>44167</v>
      </c>
      <c r="N107" s="7">
        <v>64</v>
      </c>
      <c r="O107" s="7"/>
      <c r="P107" s="3"/>
      <c r="Q107" s="10"/>
      <c r="R107" s="10"/>
      <c r="S107" s="10"/>
      <c r="T107" s="10"/>
      <c r="U107" s="5">
        <f t="shared" si="13"/>
        <v>0.21285627653123115</v>
      </c>
      <c r="V107" s="5">
        <f t="shared" si="14"/>
        <v>2.9714978775015069E-2</v>
      </c>
      <c r="W107" s="22">
        <f t="shared" si="15"/>
        <v>7.1632653061224749</v>
      </c>
      <c r="X107" s="3">
        <f t="shared" si="16"/>
        <v>-45473.999999999935</v>
      </c>
      <c r="Y107" s="5">
        <f t="shared" si="17"/>
        <v>-8.8386901152213343E-2</v>
      </c>
      <c r="Z107" s="5">
        <f>IF(OR(AE107="",多次统计数据!$B$8=""),"",AE107-多次统计数据!$B$8)</f>
        <v>-0.16957711916698387</v>
      </c>
      <c r="AA107" s="8">
        <f t="shared" si="18"/>
        <v>9</v>
      </c>
      <c r="AB107" s="5">
        <f>IF(OR(A107="",多次统计数据!$B$8="",多次统计数据!$B$6&lt;=0,多次统计数据!$B$6&gt;=1),"",1-POWER(1+多次统计数据!$B$8,-多次统计数据!$B$6/(1-多次统计数据!$B$6)))</f>
        <v>8.152013270062719E-2</v>
      </c>
      <c r="AC107" s="6" t="str">
        <f>IF(OR(AB107="",多次统计数据!$B$9=""),"",IF(多次统计数据!$B$9&lt;AB107,"低于上限","达到或超过上限"))</f>
        <v>低于上限</v>
      </c>
      <c r="AD107" s="10"/>
      <c r="AE107" s="5">
        <f t="shared" si="19"/>
        <v>-5.9364450258089195E-2</v>
      </c>
      <c r="AG107" s="10" t="s">
        <v>45</v>
      </c>
      <c r="AH107" s="10" t="s">
        <v>46</v>
      </c>
      <c r="AI107" s="10" t="s">
        <v>47</v>
      </c>
      <c r="AJ107" s="6" t="str">
        <f t="shared" si="20"/>
        <v>匹配</v>
      </c>
      <c r="AK107" s="23">
        <f>IF(A107="","",COUNTIFS(加仓管理!$A$2:$A$1001,A107,加仓管理!$G$2:$G$1001,"&gt;0"))</f>
        <v>0</v>
      </c>
      <c r="AL107" s="23">
        <f>IF(A107="","",SUMIFS(加仓管理!$G$2:$G$1001,加仓管理!$A$2:$A$1001,A107))</f>
        <v>0</v>
      </c>
      <c r="AM107" s="24" t="str">
        <f>IF(AK107=0,"",IFERROR(LOOKUP(2,1/((加仓管理!$A$2:$A$1001=A107)*(加仓管理!$G$2:$G$1001&gt;0)),加仓管理!$D$2:$D$1001),""))</f>
        <v/>
      </c>
      <c r="AN107" s="24" t="str">
        <f>IF(AK107=0,"",IFERROR(LOOKUP(2,1/((加仓管理!$A$2:$A$1001=A107)*(加仓管理!$G$2:$G$1001&gt;0)),加仓管理!$E$2:$E$1001),""))</f>
        <v/>
      </c>
      <c r="AO107" s="24">
        <f>IF(OR(A107="",H107="",H107&lt;=0),"",(E107*H107+SUMIFS(加仓管理!$H$2:$H$1001,加仓管理!$A$2:$A$1001,A107))/AP107)</f>
        <v>65.959999999999994</v>
      </c>
      <c r="AP107" s="23">
        <f t="shared" si="21"/>
        <v>7800</v>
      </c>
      <c r="AQ107" s="24">
        <f>IF(A107="","",IF(M107&lt;&gt;"",0,IF(OR(H107="",N107=""),"",MAX((E107*H107+SUMIFS(加仓管理!$H$2:$H$1001,加仓管理!$A$2:$A$1001,A107))-MAX(N107,AN107)*AP107,0))))</f>
        <v>0</v>
      </c>
      <c r="AR107" s="24" t="str">
        <f>IF(A107="","",IF(OR(E107="",H107=""),"违规：首次买入价格或股数缺失",IF(COUNTIFS(加仓管理!$A$2:$A$1001,A107,加仓管理!$R$2:$R$1001,"违规*")&gt;0,"违规：请检查加仓管理表",IF(SUM($AQ$2:$AQ$201)&gt;账户数据!$B$7,"预警：超过账户风险上限",IF(COUNTIFS(加仓管理!$A$2:$A$1001,A107,加仓管理!$N$2:$N$1001,"&gt;0",加仓管理!$G$2:$G$1001,"")&gt;0,"提示：存在待执行加仓计划","通过")))))</f>
        <v>通过</v>
      </c>
    </row>
    <row r="108" spans="1:44">
      <c r="A108" s="10">
        <v>107</v>
      </c>
      <c r="B108" s="37" t="s">
        <v>55</v>
      </c>
      <c r="C108" s="7">
        <v>720540</v>
      </c>
      <c r="D108" s="4">
        <v>0.02</v>
      </c>
      <c r="E108" s="7">
        <v>65.63</v>
      </c>
      <c r="F108" s="6">
        <f t="shared" si="11"/>
        <v>12700</v>
      </c>
      <c r="G108" s="6" t="str">
        <f>IF(A108="","",IF(H108&lt;&gt;"","已开仓",IF(账户数据!$B$23="已锁仓","禁止开仓：连续亏损达到上限",IF(账户数据!$B$23="解锁信息不完整","禁止开仓：请完整填写解锁信息",IF(OR(F108="",E108="",N108="",E108&lt;=N108,账户数据!$B$7=""),"",IF(OR(AG108="",AH108="",AI108=""),"禁止开仓：交易预期未填写完整",IF(账户数据!$B$9+F108*(E108-N108)&gt;=账户数据!$B$7,"禁止开仓：风险额度不足",IF(AJ108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08" s="10">
        <v>12000</v>
      </c>
      <c r="I108" s="21">
        <v>44179</v>
      </c>
      <c r="J108" s="7">
        <v>80</v>
      </c>
      <c r="K108" s="3">
        <v>93.15</v>
      </c>
      <c r="L108" s="6">
        <f t="shared" si="12"/>
        <v>12000</v>
      </c>
      <c r="M108" s="39">
        <v>44201</v>
      </c>
      <c r="N108" s="7">
        <v>64.5</v>
      </c>
      <c r="O108" s="7"/>
      <c r="P108" s="3"/>
      <c r="Q108" s="10"/>
      <c r="R108" s="10"/>
      <c r="S108" s="10"/>
      <c r="T108" s="10"/>
      <c r="U108" s="5">
        <f t="shared" si="13"/>
        <v>0.2189547463050435</v>
      </c>
      <c r="V108" s="5">
        <f t="shared" si="14"/>
        <v>1.7217735791558671E-2</v>
      </c>
      <c r="W108" s="22">
        <f t="shared" si="15"/>
        <v>12.71681415929209</v>
      </c>
      <c r="X108" s="3">
        <f t="shared" si="16"/>
        <v>330240.00000000012</v>
      </c>
      <c r="Y108" s="5">
        <f t="shared" si="17"/>
        <v>0.4193204327289351</v>
      </c>
      <c r="Z108" s="5">
        <f>IF(OR(AE108="",多次统计数据!$B$8=""),"",AE108-多次统计数据!$B$8)</f>
        <v>0.34811025556441716</v>
      </c>
      <c r="AA108" s="8">
        <f t="shared" si="18"/>
        <v>22</v>
      </c>
      <c r="AB108" s="5">
        <f>IF(OR(A108="",多次统计数据!$B$8="",多次统计数据!$B$6&lt;=0,多次统计数据!$B$6&gt;=1),"",1-POWER(1+多次统计数据!$B$8,-多次统计数据!$B$6/(1-多次统计数据!$B$6)))</f>
        <v>8.152013270062719E-2</v>
      </c>
      <c r="AC108" s="6" t="str">
        <f>IF(OR(AB108="",多次统计数据!$B$9=""),"",IF(多次统计数据!$B$9&lt;AB108,"低于上限","达到或超过上限"))</f>
        <v>低于上限</v>
      </c>
      <c r="AD108" s="10"/>
      <c r="AE108" s="5">
        <f t="shared" si="19"/>
        <v>0.45832292447331185</v>
      </c>
      <c r="AG108" s="10" t="s">
        <v>45</v>
      </c>
      <c r="AH108" s="10" t="s">
        <v>46</v>
      </c>
      <c r="AI108" s="10" t="s">
        <v>47</v>
      </c>
      <c r="AJ108" s="6" t="str">
        <f t="shared" si="20"/>
        <v>匹配</v>
      </c>
      <c r="AK108" s="23">
        <f>IF(A108="","",COUNTIFS(加仓管理!$A$2:$A$1001,A108,加仓管理!$G$2:$G$1001,"&gt;0"))</f>
        <v>0</v>
      </c>
      <c r="AL108" s="23">
        <f>IF(A108="","",SUMIFS(加仓管理!$G$2:$G$1001,加仓管理!$A$2:$A$1001,A108))</f>
        <v>0</v>
      </c>
      <c r="AM108" s="24" t="str">
        <f>IF(AK108=0,"",IFERROR(LOOKUP(2,1/((加仓管理!$A$2:$A$1001=A108)*(加仓管理!$G$2:$G$1001&gt;0)),加仓管理!$D$2:$D$1001),""))</f>
        <v/>
      </c>
      <c r="AN108" s="24" t="str">
        <f>IF(AK108=0,"",IFERROR(LOOKUP(2,1/((加仓管理!$A$2:$A$1001=A108)*(加仓管理!$G$2:$G$1001&gt;0)),加仓管理!$E$2:$E$1001),""))</f>
        <v/>
      </c>
      <c r="AO108" s="24">
        <f>IF(OR(A108="",H108="",H108&lt;=0),"",(E108*H108+SUMIFS(加仓管理!$H$2:$H$1001,加仓管理!$A$2:$A$1001,A108))/AP108)</f>
        <v>65.63</v>
      </c>
      <c r="AP108" s="23">
        <f t="shared" si="21"/>
        <v>12000</v>
      </c>
      <c r="AQ108" s="24">
        <f>IF(A108="","",IF(M108&lt;&gt;"",0,IF(OR(H108="",N108=""),"",MAX((E108*H108+SUMIFS(加仓管理!$H$2:$H$1001,加仓管理!$A$2:$A$1001,A108))-MAX(N108,AN108)*AP108,0))))</f>
        <v>0</v>
      </c>
      <c r="AR108" s="24" t="str">
        <f>IF(A108="","",IF(OR(E108="",H108=""),"违规：首次买入价格或股数缺失",IF(COUNTIFS(加仓管理!$A$2:$A$1001,A108,加仓管理!$R$2:$R$1001,"违规*")&gt;0,"违规：请检查加仓管理表",IF(SUM($AQ$2:$AQ$201)&gt;账户数据!$B$7,"预警：超过账户风险上限",IF(COUNTIFS(加仓管理!$A$2:$A$1001,A108,加仓管理!$N$2:$N$1001,"&gt;0",加仓管理!$G$2:$G$1001,"")&gt;0,"提示：存在待执行加仓计划","通过")))))</f>
        <v>通过</v>
      </c>
    </row>
    <row r="109" spans="1:44">
      <c r="A109" s="10">
        <v>108</v>
      </c>
      <c r="B109" s="37" t="s">
        <v>55</v>
      </c>
      <c r="C109" s="7">
        <v>1050780</v>
      </c>
      <c r="D109" s="4">
        <v>0.02</v>
      </c>
      <c r="E109" s="7">
        <v>72.150000000000006</v>
      </c>
      <c r="F109" s="6">
        <f t="shared" si="11"/>
        <v>2900</v>
      </c>
      <c r="G109" s="6" t="str">
        <f>IF(A109="","",IF(H109&lt;&gt;"","已开仓",IF(账户数据!$B$23="已锁仓","禁止开仓：连续亏损达到上限",IF(账户数据!$B$23="解锁信息不完整","禁止开仓：请完整填写解锁信息",IF(OR(F109="",E109="",N109="",E109&lt;=N109,账户数据!$B$7=""),"",IF(OR(AG109="",AH109="",AI109=""),"禁止开仓：交易预期未填写完整",IF(账户数据!$B$9+F109*(E109-N109)&gt;=账户数据!$B$7,"禁止开仓：风险额度不足",IF(AJ109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09" s="10">
        <v>2900</v>
      </c>
      <c r="I109" s="21">
        <v>44264</v>
      </c>
      <c r="J109" s="7">
        <v>80</v>
      </c>
      <c r="K109" s="3">
        <v>79.73</v>
      </c>
      <c r="L109" s="6">
        <f t="shared" si="12"/>
        <v>2900</v>
      </c>
      <c r="M109" s="39">
        <v>44267</v>
      </c>
      <c r="N109" s="7">
        <v>65</v>
      </c>
      <c r="O109" s="7"/>
      <c r="P109" s="3"/>
      <c r="Q109" s="10"/>
      <c r="R109" s="10"/>
      <c r="S109" s="10"/>
      <c r="T109" s="10"/>
      <c r="U109" s="5">
        <f t="shared" si="13"/>
        <v>0.10880110880110871</v>
      </c>
      <c r="V109" s="5">
        <f t="shared" si="14"/>
        <v>9.9099099099099169E-2</v>
      </c>
      <c r="W109" s="22">
        <f t="shared" si="15"/>
        <v>1.0979020979020961</v>
      </c>
      <c r="X109" s="3">
        <f t="shared" si="16"/>
        <v>21981.999999999996</v>
      </c>
      <c r="Y109" s="5">
        <f t="shared" si="17"/>
        <v>0.10505890505890503</v>
      </c>
      <c r="Z109" s="5">
        <f>IF(OR(AE109="",多次统计数据!$B$8=""),"",AE109-多次统计数据!$B$8)</f>
        <v>-8.9292971160555359E-2</v>
      </c>
      <c r="AA109" s="8">
        <f t="shared" si="18"/>
        <v>3</v>
      </c>
      <c r="AB109" s="5">
        <f>IF(OR(A109="",多次统计数据!$B$8="",多次统计数据!$B$6&lt;=0,多次统计数据!$B$6&gt;=1),"",1-POWER(1+多次统计数据!$B$8,-多次统计数据!$B$6/(1-多次统计数据!$B$6)))</f>
        <v>8.152013270062719E-2</v>
      </c>
      <c r="AC109" s="6" t="str">
        <f>IF(OR(AB109="",多次统计数据!$B$9=""),"",IF(多次统计数据!$B$9&lt;AB109,"低于上限","达到或超过上限"))</f>
        <v>低于上限</v>
      </c>
      <c r="AD109" s="10"/>
      <c r="AE109" s="5">
        <f t="shared" si="19"/>
        <v>2.0919697748339326E-2</v>
      </c>
      <c r="AG109" s="10" t="s">
        <v>51</v>
      </c>
      <c r="AH109" s="10" t="s">
        <v>52</v>
      </c>
      <c r="AI109" s="10" t="s">
        <v>50</v>
      </c>
      <c r="AJ109" s="6" t="str">
        <f t="shared" si="20"/>
        <v>匹配</v>
      </c>
      <c r="AK109" s="23">
        <f>IF(A109="","",COUNTIFS(加仓管理!$A$2:$A$1001,A109,加仓管理!$G$2:$G$1001,"&gt;0"))</f>
        <v>0</v>
      </c>
      <c r="AL109" s="23">
        <f>IF(A109="","",SUMIFS(加仓管理!$G$2:$G$1001,加仓管理!$A$2:$A$1001,A109))</f>
        <v>0</v>
      </c>
      <c r="AM109" s="24" t="str">
        <f>IF(AK109=0,"",IFERROR(LOOKUP(2,1/((加仓管理!$A$2:$A$1001=A109)*(加仓管理!$G$2:$G$1001&gt;0)),加仓管理!$D$2:$D$1001),""))</f>
        <v/>
      </c>
      <c r="AN109" s="24" t="str">
        <f>IF(AK109=0,"",IFERROR(LOOKUP(2,1/((加仓管理!$A$2:$A$1001=A109)*(加仓管理!$G$2:$G$1001&gt;0)),加仓管理!$E$2:$E$1001),""))</f>
        <v/>
      </c>
      <c r="AO109" s="24">
        <f>IF(OR(A109="",H109="",H109&lt;=0),"",(E109*H109+SUMIFS(加仓管理!$H$2:$H$1001,加仓管理!$A$2:$A$1001,A109))/AP109)</f>
        <v>72.150000000000006</v>
      </c>
      <c r="AP109" s="23">
        <f t="shared" si="21"/>
        <v>2900</v>
      </c>
      <c r="AQ109" s="24">
        <f>IF(A109="","",IF(M109&lt;&gt;"",0,IF(OR(H109="",N109=""),"",MAX((E109*H109+SUMIFS(加仓管理!$H$2:$H$1001,加仓管理!$A$2:$A$1001,A109))-MAX(N109,AN109)*AP109,0))))</f>
        <v>0</v>
      </c>
      <c r="AR109" s="24" t="str">
        <f>IF(A109="","",IF(OR(E109="",H109=""),"违规：首次买入价格或股数缺失",IF(COUNTIFS(加仓管理!$A$2:$A$1001,A109,加仓管理!$R$2:$R$1001,"违规*")&gt;0,"违规：请检查加仓管理表",IF(SUM($AQ$2:$AQ$201)&gt;账户数据!$B$7,"预警：超过账户风险上限",IF(COUNTIFS(加仓管理!$A$2:$A$1001,A109,加仓管理!$N$2:$N$1001,"&gt;0",加仓管理!$G$2:$G$1001,"")&gt;0,"提示：存在待执行加仓计划","通过")))))</f>
        <v>通过</v>
      </c>
    </row>
    <row r="110" spans="1:44">
      <c r="A110" s="10">
        <v>109</v>
      </c>
      <c r="B110" s="37" t="s">
        <v>55</v>
      </c>
      <c r="C110" s="7">
        <v>1072762</v>
      </c>
      <c r="D110" s="4">
        <v>0.02</v>
      </c>
      <c r="E110" s="7">
        <v>67.58</v>
      </c>
      <c r="F110" s="6">
        <f t="shared" si="11"/>
        <v>2800</v>
      </c>
      <c r="G110" s="6" t="str">
        <f>IF(A110="","",IF(H110&lt;&gt;"","已开仓",IF(账户数据!$B$23="已锁仓","禁止开仓：连续亏损达到上限",IF(账户数据!$B$23="解锁信息不完整","禁止开仓：请完整填写解锁信息",IF(OR(F110="",E110="",N110="",E110&lt;=N110,账户数据!$B$7=""),"",IF(OR(AG110="",AH110="",AI110=""),"禁止开仓：交易预期未填写完整",IF(账户数据!$B$9+F110*(E110-N110)&gt;=账户数据!$B$7,"禁止开仓：风险额度不足",IF(AJ110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10" s="10">
        <v>2800</v>
      </c>
      <c r="I110" s="21">
        <v>44267</v>
      </c>
      <c r="J110" s="7">
        <v>75</v>
      </c>
      <c r="K110" s="3">
        <v>71.42</v>
      </c>
      <c r="L110" s="6">
        <f t="shared" si="12"/>
        <v>2800</v>
      </c>
      <c r="M110" s="39">
        <v>44284</v>
      </c>
      <c r="N110" s="7">
        <v>60</v>
      </c>
      <c r="O110" s="7"/>
      <c r="P110" s="3"/>
      <c r="Q110" s="10"/>
      <c r="R110" s="10"/>
      <c r="S110" s="10"/>
      <c r="T110" s="10"/>
      <c r="U110" s="5">
        <f t="shared" si="13"/>
        <v>0.10979579757324655</v>
      </c>
      <c r="V110" s="5">
        <f t="shared" si="14"/>
        <v>0.11216336194140276</v>
      </c>
      <c r="W110" s="22">
        <f t="shared" si="15"/>
        <v>0.9788918205804753</v>
      </c>
      <c r="X110" s="3">
        <f t="shared" si="16"/>
        <v>10752.000000000009</v>
      </c>
      <c r="Y110" s="5">
        <f t="shared" si="17"/>
        <v>5.6821544835750269E-2</v>
      </c>
      <c r="Z110" s="5">
        <f>IF(OR(AE110="",多次统计数据!$B$8=""),"",AE110-多次统计数据!$B$8)</f>
        <v>-0.10018994252596911</v>
      </c>
      <c r="AA110" s="8">
        <f t="shared" si="18"/>
        <v>17</v>
      </c>
      <c r="AB110" s="5">
        <f>IF(OR(A110="",多次统计数据!$B$8="",多次统计数据!$B$6&lt;=0,多次统计数据!$B$6&gt;=1),"",1-POWER(1+多次统计数据!$B$8,-多次统计数据!$B$6/(1-多次统计数据!$B$6)))</f>
        <v>8.152013270062719E-2</v>
      </c>
      <c r="AC110" s="6" t="str">
        <f>IF(OR(AB110="",多次统计数据!$B$9=""),"",IF(多次统计数据!$B$9&lt;AB110,"低于上限","达到或超过上限"))</f>
        <v>低于上限</v>
      </c>
      <c r="AD110" s="10"/>
      <c r="AE110" s="5">
        <f t="shared" si="19"/>
        <v>1.0022726382925578E-2</v>
      </c>
      <c r="AG110" s="10" t="s">
        <v>48</v>
      </c>
      <c r="AH110" s="10" t="s">
        <v>46</v>
      </c>
      <c r="AI110" s="10" t="s">
        <v>50</v>
      </c>
      <c r="AJ110" s="6" t="str">
        <f t="shared" si="20"/>
        <v>匹配</v>
      </c>
      <c r="AK110" s="23">
        <f>IF(A110="","",COUNTIFS(加仓管理!$A$2:$A$1001,A110,加仓管理!$G$2:$G$1001,"&gt;0"))</f>
        <v>0</v>
      </c>
      <c r="AL110" s="23">
        <f>IF(A110="","",SUMIFS(加仓管理!$G$2:$G$1001,加仓管理!$A$2:$A$1001,A110))</f>
        <v>0</v>
      </c>
      <c r="AM110" s="24" t="str">
        <f>IF(AK110=0,"",IFERROR(LOOKUP(2,1/((加仓管理!$A$2:$A$1001=A110)*(加仓管理!$G$2:$G$1001&gt;0)),加仓管理!$D$2:$D$1001),""))</f>
        <v/>
      </c>
      <c r="AN110" s="24" t="str">
        <f>IF(AK110=0,"",IFERROR(LOOKUP(2,1/((加仓管理!$A$2:$A$1001=A110)*(加仓管理!$G$2:$G$1001&gt;0)),加仓管理!$E$2:$E$1001),""))</f>
        <v/>
      </c>
      <c r="AO110" s="24">
        <f>IF(OR(A110="",H110="",H110&lt;=0),"",(E110*H110+SUMIFS(加仓管理!$H$2:$H$1001,加仓管理!$A$2:$A$1001,A110))/AP110)</f>
        <v>67.58</v>
      </c>
      <c r="AP110" s="23">
        <f t="shared" si="21"/>
        <v>2800</v>
      </c>
      <c r="AQ110" s="24">
        <f>IF(A110="","",IF(M110&lt;&gt;"",0,IF(OR(H110="",N110=""),"",MAX((E110*H110+SUMIFS(加仓管理!$H$2:$H$1001,加仓管理!$A$2:$A$1001,A110))-MAX(N110,AN110)*AP110,0))))</f>
        <v>0</v>
      </c>
      <c r="AR110" s="24" t="str">
        <f>IF(A110="","",IF(OR(E110="",H110=""),"违规：首次买入价格或股数缺失",IF(COUNTIFS(加仓管理!$A$2:$A$1001,A110,加仓管理!$R$2:$R$1001,"违规*")&gt;0,"违规：请检查加仓管理表",IF(SUM($AQ$2:$AQ$201)&gt;账户数据!$B$7,"预警：超过账户风险上限",IF(COUNTIFS(加仓管理!$A$2:$A$1001,A110,加仓管理!$N$2:$N$1001,"&gt;0",加仓管理!$G$2:$G$1001,"")&gt;0,"提示：存在待执行加仓计划","通过")))))</f>
        <v>通过</v>
      </c>
    </row>
    <row r="111" spans="1:44">
      <c r="A111" s="10">
        <v>110</v>
      </c>
      <c r="B111" s="37" t="s">
        <v>55</v>
      </c>
      <c r="C111" s="7">
        <v>1083514</v>
      </c>
      <c r="D111" s="4">
        <v>0.02</v>
      </c>
      <c r="E111" s="7">
        <v>94.53</v>
      </c>
      <c r="F111" s="6">
        <f t="shared" si="11"/>
        <v>4700</v>
      </c>
      <c r="G111" s="6" t="str">
        <f>IF(A111="","",IF(H111&lt;&gt;"","已开仓",IF(账户数据!$B$23="已锁仓","禁止开仓：连续亏损达到上限",IF(账户数据!$B$23="解锁信息不完整","禁止开仓：请完整填写解锁信息",IF(OR(F111="",E111="",N111="",E111&lt;=N111,账户数据!$B$7=""),"",IF(OR(AG111="",AH111="",AI111=""),"禁止开仓：交易预期未填写完整",IF(账户数据!$B$9+F111*(E111-N111)&gt;=账户数据!$B$7,"禁止开仓：风险额度不足",IF(AJ111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11" s="10">
        <v>4700</v>
      </c>
      <c r="I111" s="21">
        <v>44330</v>
      </c>
      <c r="J111" s="7">
        <v>100</v>
      </c>
      <c r="K111" s="3">
        <v>98.07</v>
      </c>
      <c r="L111" s="6">
        <f t="shared" si="12"/>
        <v>5700</v>
      </c>
      <c r="M111" s="39">
        <v>44343</v>
      </c>
      <c r="N111" s="7">
        <v>90</v>
      </c>
      <c r="O111" s="7"/>
      <c r="P111" s="3"/>
      <c r="Q111" s="10"/>
      <c r="R111" s="10"/>
      <c r="S111" s="10"/>
      <c r="T111" s="10"/>
      <c r="U111" s="5">
        <f t="shared" si="13"/>
        <v>3.721037719884044E-2</v>
      </c>
      <c r="V111" s="5">
        <f t="shared" si="14"/>
        <v>6.651066052104361E-2</v>
      </c>
      <c r="W111" s="22">
        <f t="shared" si="15"/>
        <v>0.55946485732264351</v>
      </c>
      <c r="X111" s="3">
        <f t="shared" si="16"/>
        <v>9447.9999999999254</v>
      </c>
      <c r="Y111" s="5">
        <f t="shared" si="17"/>
        <v>1.7192216918902749E-2</v>
      </c>
      <c r="Z111" s="5">
        <f>IF(OR(AE111="",多次统计数据!$B$8=""),"",AE111-多次统计数据!$B$8)</f>
        <v>-0.10149289233009651</v>
      </c>
      <c r="AA111" s="8">
        <f t="shared" si="18"/>
        <v>13</v>
      </c>
      <c r="AB111" s="5">
        <f>IF(OR(A111="",多次统计数据!$B$8="",多次统计数据!$B$6&lt;=0,多次统计数据!$B$6&gt;=1),"",1-POWER(1+多次统计数据!$B$8,-多次统计数据!$B$6/(1-多次统计数据!$B$6)))</f>
        <v>8.152013270062719E-2</v>
      </c>
      <c r="AC111" s="6" t="str">
        <f>IF(OR(AB111="",多次统计数据!$B$9=""),"",IF(多次统计数据!$B$9&lt;AB111,"低于上限","达到或超过上限"))</f>
        <v>低于上限</v>
      </c>
      <c r="AD111" s="10"/>
      <c r="AE111" s="5">
        <f t="shared" si="19"/>
        <v>8.7197765787981746E-3</v>
      </c>
      <c r="AG111" s="10" t="s">
        <v>51</v>
      </c>
      <c r="AH111" s="10" t="s">
        <v>52</v>
      </c>
      <c r="AI111" s="10" t="s">
        <v>49</v>
      </c>
      <c r="AJ111" s="6" t="str">
        <f t="shared" si="20"/>
        <v>匹配</v>
      </c>
      <c r="AK111" s="23">
        <f>IF(A111="","",COUNTIFS(加仓管理!$A$2:$A$1001,A111,加仓管理!$G$2:$G$1001,"&gt;0"))</f>
        <v>1</v>
      </c>
      <c r="AL111" s="23">
        <f>IF(A111="","",SUMIFS(加仓管理!$G$2:$G$1001,加仓管理!$A$2:$A$1001,A111))</f>
        <v>1000</v>
      </c>
      <c r="AM111" s="24">
        <f>IF(AK111=0,"",IFERROR(LOOKUP(2,1/((加仓管理!$A$2:$A$1001=A111)*(加仓管理!$G$2:$G$1001&gt;0)),加仓管理!$D$2:$D$1001),""))</f>
        <v>105.26</v>
      </c>
      <c r="AN111" s="24">
        <f>IF(AK111=0,"",IFERROR(LOOKUP(2,1/((加仓管理!$A$2:$A$1001=A111)*(加仓管理!$G$2:$G$1001&gt;0)),加仓管理!$E$2:$E$1001),""))</f>
        <v>100</v>
      </c>
      <c r="AO111" s="24">
        <f>IF(OR(A111="",H111="",H111&lt;=0),"",(E111*H111+SUMIFS(加仓管理!$H$2:$H$1001,加仓管理!$A$2:$A$1001,A111))/AP111)</f>
        <v>96.412456140350884</v>
      </c>
      <c r="AP111" s="23">
        <f t="shared" si="21"/>
        <v>5700</v>
      </c>
      <c r="AQ111" s="24">
        <f>IF(A111="","",IF(M111&lt;&gt;"",0,IF(OR(H111="",N111=""),"",MAX((E111*H111+SUMIFS(加仓管理!$H$2:$H$1001,加仓管理!$A$2:$A$1001,A111))-MAX(N111,AN111)*AP111,0))))</f>
        <v>0</v>
      </c>
      <c r="AR111" s="24" t="str">
        <f>IF(A111="","",IF(OR(E111="",H111=""),"违规：首次买入价格或股数缺失",IF(COUNTIFS(加仓管理!$A$2:$A$1001,A111,加仓管理!$R$2:$R$1001,"违规*")&gt;0,"违规：请检查加仓管理表",IF(SUM($AQ$2:$AQ$201)&gt;账户数据!$B$7,"预警：超过账户风险上限",IF(COUNTIFS(加仓管理!$A$2:$A$1001,A111,加仓管理!$N$2:$N$1001,"&gt;0",加仓管理!$G$2:$G$1001,"")&gt;0,"提示：存在待执行加仓计划","通过")))))</f>
        <v>通过</v>
      </c>
    </row>
    <row r="112" spans="1:44">
      <c r="A112" s="10">
        <v>111</v>
      </c>
      <c r="B112" s="37" t="s">
        <v>55</v>
      </c>
      <c r="C112" s="7">
        <v>1092962</v>
      </c>
      <c r="D112" s="4">
        <v>0.02</v>
      </c>
      <c r="E112" s="7">
        <v>109.02</v>
      </c>
      <c r="F112" s="6">
        <f t="shared" si="11"/>
        <v>2400</v>
      </c>
      <c r="G112" s="6" t="str">
        <f>IF(A112="","",IF(H112&lt;&gt;"","已开仓",IF(账户数据!$B$23="已锁仓","禁止开仓：连续亏损达到上限",IF(账户数据!$B$23="解锁信息不完整","禁止开仓：请完整填写解锁信息",IF(OR(F112="",E112="",N112="",E112&lt;=N112,账户数据!$B$7=""),"",IF(OR(AG112="",AH112="",AI112=""),"禁止开仓：交易预期未填写完整",IF(账户数据!$B$9+F112*(E112-N112)&gt;=账户数据!$B$7,"禁止开仓：风险额度不足",IF(AJ112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12" s="10">
        <v>2400</v>
      </c>
      <c r="I112" s="21">
        <v>44347</v>
      </c>
      <c r="J112" s="7">
        <v>120</v>
      </c>
      <c r="K112" s="3">
        <v>101.93</v>
      </c>
      <c r="L112" s="6">
        <f t="shared" si="12"/>
        <v>2400</v>
      </c>
      <c r="M112" s="39">
        <v>44351</v>
      </c>
      <c r="N112" s="7">
        <v>100</v>
      </c>
      <c r="O112" s="7"/>
      <c r="P112" s="3"/>
      <c r="Q112" s="10"/>
      <c r="R112" s="10"/>
      <c r="S112" s="10"/>
      <c r="T112" s="10"/>
      <c r="U112" s="5">
        <f t="shared" si="13"/>
        <v>0.10071546505228403</v>
      </c>
      <c r="V112" s="5">
        <f t="shared" si="14"/>
        <v>8.2737112456429979E-2</v>
      </c>
      <c r="W112" s="22">
        <f t="shared" si="15"/>
        <v>1.2172949002217306</v>
      </c>
      <c r="X112" s="3">
        <f t="shared" si="16"/>
        <v>-17015.999999999975</v>
      </c>
      <c r="Y112" s="5">
        <f t="shared" si="17"/>
        <v>-6.5033938726839019E-2</v>
      </c>
      <c r="Z112" s="5">
        <f>IF(OR(AE112="",多次统计数据!$B$8=""),"",AE112-多次统计数据!$B$8)</f>
        <v>-0.12578137120595531</v>
      </c>
      <c r="AA112" s="8">
        <f t="shared" si="18"/>
        <v>4</v>
      </c>
      <c r="AB112" s="5">
        <f>IF(OR(A112="",多次统计数据!$B$8="",多次统计数据!$B$6&lt;=0,多次统计数据!$B$6&gt;=1),"",1-POWER(1+多次统计数据!$B$8,-多次统计数据!$B$6/(1-多次统计数据!$B$6)))</f>
        <v>8.152013270062719E-2</v>
      </c>
      <c r="AC112" s="6" t="str">
        <f>IF(OR(AB112="",多次统计数据!$B$9=""),"",IF(多次统计数据!$B$9&lt;AB112,"低于上限","达到或超过上限"))</f>
        <v>低于上限</v>
      </c>
      <c r="AD112" s="10"/>
      <c r="AE112" s="5">
        <f t="shared" si="19"/>
        <v>-1.5568702297060625E-2</v>
      </c>
      <c r="AG112" s="10" t="s">
        <v>45</v>
      </c>
      <c r="AH112" s="10" t="s">
        <v>52</v>
      </c>
      <c r="AI112" s="10" t="s">
        <v>47</v>
      </c>
      <c r="AJ112" s="6" t="str">
        <f t="shared" si="20"/>
        <v>匹配</v>
      </c>
      <c r="AK112" s="23">
        <f>IF(A112="","",COUNTIFS(加仓管理!$A$2:$A$1001,A112,加仓管理!$G$2:$G$1001,"&gt;0"))</f>
        <v>0</v>
      </c>
      <c r="AL112" s="23">
        <f>IF(A112="","",SUMIFS(加仓管理!$G$2:$G$1001,加仓管理!$A$2:$A$1001,A112))</f>
        <v>0</v>
      </c>
      <c r="AM112" s="24" t="str">
        <f>IF(AK112=0,"",IFERROR(LOOKUP(2,1/((加仓管理!$A$2:$A$1001=A112)*(加仓管理!$G$2:$G$1001&gt;0)),加仓管理!$D$2:$D$1001),""))</f>
        <v/>
      </c>
      <c r="AN112" s="24" t="str">
        <f>IF(AK112=0,"",IFERROR(LOOKUP(2,1/((加仓管理!$A$2:$A$1001=A112)*(加仓管理!$G$2:$G$1001&gt;0)),加仓管理!$E$2:$E$1001),""))</f>
        <v/>
      </c>
      <c r="AO112" s="24">
        <f>IF(OR(A112="",H112="",H112&lt;=0),"",(E112*H112+SUMIFS(加仓管理!$H$2:$H$1001,加仓管理!$A$2:$A$1001,A112))/AP112)</f>
        <v>109.02</v>
      </c>
      <c r="AP112" s="23">
        <f t="shared" si="21"/>
        <v>2400</v>
      </c>
      <c r="AQ112" s="24">
        <f>IF(A112="","",IF(M112&lt;&gt;"",0,IF(OR(H112="",N112=""),"",MAX((E112*H112+SUMIFS(加仓管理!$H$2:$H$1001,加仓管理!$A$2:$A$1001,A112))-MAX(N112,AN112)*AP112,0))))</f>
        <v>0</v>
      </c>
      <c r="AR112" s="24" t="str">
        <f>IF(A112="","",IF(OR(E112="",H112=""),"违规：首次买入价格或股数缺失",IF(COUNTIFS(加仓管理!$A$2:$A$1001,A112,加仓管理!$R$2:$R$1001,"违规*")&gt;0,"违规：请检查加仓管理表",IF(SUM($AQ$2:$AQ$201)&gt;账户数据!$B$7,"预警：超过账户风险上限",IF(COUNTIFS(加仓管理!$A$2:$A$1001,A112,加仓管理!$N$2:$N$1001,"&gt;0",加仓管理!$G$2:$G$1001,"")&gt;0,"提示：存在待执行加仓计划","通过")))))</f>
        <v>通过</v>
      </c>
    </row>
    <row r="113" spans="1:44">
      <c r="A113" s="10">
        <v>112</v>
      </c>
      <c r="B113" s="37" t="s">
        <v>55</v>
      </c>
      <c r="C113" s="7">
        <v>1075946</v>
      </c>
      <c r="D113" s="4">
        <v>0.02</v>
      </c>
      <c r="E113" s="7">
        <v>113.03</v>
      </c>
      <c r="F113" s="6">
        <f t="shared" si="11"/>
        <v>2600</v>
      </c>
      <c r="G113" s="6" t="str">
        <f>IF(A113="","",IF(H113&lt;&gt;"","已开仓",IF(账户数据!$B$23="已锁仓","禁止开仓：连续亏损达到上限",IF(账户数据!$B$23="解锁信息不完整","禁止开仓：请完整填写解锁信息",IF(OR(F113="",E113="",N113="",E113&lt;=N113,账户数据!$B$7=""),"",IF(OR(AG113="",AH113="",AI113=""),"禁止开仓：交易预期未填写完整",IF(账户数据!$B$9+F113*(E113-N113)&gt;=账户数据!$B$7,"禁止开仓：风险额度不足",IF(AJ113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13" s="10">
        <v>2600</v>
      </c>
      <c r="I113" s="21">
        <v>44384</v>
      </c>
      <c r="J113" s="7">
        <v>120</v>
      </c>
      <c r="K113" s="3">
        <v>119.52</v>
      </c>
      <c r="L113" s="6">
        <f t="shared" si="12"/>
        <v>3600</v>
      </c>
      <c r="M113" s="39">
        <v>44393</v>
      </c>
      <c r="N113" s="7">
        <v>105</v>
      </c>
      <c r="O113" s="7"/>
      <c r="P113" s="3"/>
      <c r="Q113" s="10"/>
      <c r="R113" s="10"/>
      <c r="S113" s="10"/>
      <c r="T113" s="10"/>
      <c r="U113" s="5">
        <f t="shared" si="13"/>
        <v>2.6523270237003342E-2</v>
      </c>
      <c r="V113" s="5">
        <f t="shared" si="14"/>
        <v>0.10179213854262208</v>
      </c>
      <c r="W113" s="22">
        <f t="shared" si="15"/>
        <v>0.26056305149633541</v>
      </c>
      <c r="X113" s="3">
        <f t="shared" si="16"/>
        <v>9433.9999999999982</v>
      </c>
      <c r="Y113" s="5">
        <f t="shared" si="17"/>
        <v>2.2417177156055294E-2</v>
      </c>
      <c r="Z113" s="5">
        <f>IF(OR(AE113="",多次统计数据!$B$8=""),"",AE113-多次统计数据!$B$8)</f>
        <v>-0.10144457088167028</v>
      </c>
      <c r="AA113" s="8">
        <f t="shared" si="18"/>
        <v>9</v>
      </c>
      <c r="AB113" s="5">
        <f>IF(OR(A113="",多次统计数据!$B$8="",多次统计数据!$B$6&lt;=0,多次统计数据!$B$6&gt;=1),"",1-POWER(1+多次统计数据!$B$8,-多次统计数据!$B$6/(1-多次统计数据!$B$6)))</f>
        <v>8.152013270062719E-2</v>
      </c>
      <c r="AC113" s="6" t="str">
        <f>IF(OR(AB113="",多次统计数据!$B$9=""),"",IF(多次统计数据!$B$9&lt;AB113,"低于上限","达到或超过上限"))</f>
        <v>低于上限</v>
      </c>
      <c r="AD113" s="10"/>
      <c r="AE113" s="5">
        <f t="shared" si="19"/>
        <v>8.7680980272244122E-3</v>
      </c>
      <c r="AG113" s="10" t="s">
        <v>45</v>
      </c>
      <c r="AH113" s="10" t="s">
        <v>52</v>
      </c>
      <c r="AI113" s="10" t="s">
        <v>47</v>
      </c>
      <c r="AJ113" s="6" t="str">
        <f t="shared" si="20"/>
        <v>匹配</v>
      </c>
      <c r="AK113" s="23">
        <f>IF(A113="","",COUNTIFS(加仓管理!$A$2:$A$1001,A113,加仓管理!$G$2:$G$1001,"&gt;0"))</f>
        <v>1</v>
      </c>
      <c r="AL113" s="23">
        <f>IF(A113="","",SUMIFS(加仓管理!$G$2:$G$1001,加仓管理!$A$2:$A$1001,A113))</f>
        <v>1000</v>
      </c>
      <c r="AM113" s="24">
        <f>IF(AK113=0,"",IFERROR(LOOKUP(2,1/((加仓管理!$A$2:$A$1001=A113)*(加仓管理!$G$2:$G$1001&gt;0)),加仓管理!$D$2:$D$1001),""))</f>
        <v>126.96</v>
      </c>
      <c r="AN113" s="24">
        <f>IF(AK113=0,"",IFERROR(LOOKUP(2,1/((加仓管理!$A$2:$A$1001=A113)*(加仓管理!$G$2:$G$1001&gt;0)),加仓管理!$E$2:$E$1001),""))</f>
        <v>120</v>
      </c>
      <c r="AO113" s="24">
        <f>IF(OR(A113="",H113="",H113&lt;=0),"",(E113*H113+SUMIFS(加仓管理!$H$2:$H$1001,加仓管理!$A$2:$A$1001,A113))/AP113)</f>
        <v>116.89944444444444</v>
      </c>
      <c r="AP113" s="23">
        <f t="shared" si="21"/>
        <v>3600</v>
      </c>
      <c r="AQ113" s="24">
        <f>IF(A113="","",IF(M113&lt;&gt;"",0,IF(OR(H113="",N113=""),"",MAX((E113*H113+SUMIFS(加仓管理!$H$2:$H$1001,加仓管理!$A$2:$A$1001,A113))-MAX(N113,AN113)*AP113,0))))</f>
        <v>0</v>
      </c>
      <c r="AR113" s="24" t="str">
        <f>IF(A113="","",IF(OR(E113="",H113=""),"违规：首次买入价格或股数缺失",IF(COUNTIFS(加仓管理!$A$2:$A$1001,A113,加仓管理!$R$2:$R$1001,"违规*")&gt;0,"违规：请检查加仓管理表",IF(SUM($AQ$2:$AQ$201)&gt;账户数据!$B$7,"预警：超过账户风险上限",IF(COUNTIFS(加仓管理!$A$2:$A$1001,A113,加仓管理!$N$2:$N$1001,"&gt;0",加仓管理!$G$2:$G$1001,"")&gt;0,"提示：存在待执行加仓计划","通过")))))</f>
        <v>通过</v>
      </c>
    </row>
    <row r="114" spans="1:44">
      <c r="A114" s="10">
        <v>113</v>
      </c>
      <c r="B114" s="37" t="s">
        <v>55</v>
      </c>
      <c r="C114" s="7">
        <v>1085380</v>
      </c>
      <c r="D114" s="4">
        <v>0.02</v>
      </c>
      <c r="E114" s="7">
        <v>106.12</v>
      </c>
      <c r="F114" s="6">
        <f t="shared" si="11"/>
        <v>3500</v>
      </c>
      <c r="G114" s="6" t="str">
        <f>IF(A114="","",IF(H114&lt;&gt;"","已开仓",IF(账户数据!$B$23="已锁仓","禁止开仓：连续亏损达到上限",IF(账户数据!$B$23="解锁信息不完整","禁止开仓：请完整填写解锁信息",IF(OR(F114="",E114="",N114="",E114&lt;=N114,账户数据!$B$7=""),"",IF(OR(AG114="",AH114="",AI114=""),"禁止开仓：交易预期未填写完整",IF(账户数据!$B$9+F114*(E114-N114)&gt;=账户数据!$B$7,"禁止开仓：风险额度不足",IF(AJ114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14" s="10">
        <v>3500</v>
      </c>
      <c r="I114" s="21">
        <v>44484</v>
      </c>
      <c r="J114" s="7">
        <v>120</v>
      </c>
      <c r="K114" s="3">
        <v>107.12</v>
      </c>
      <c r="L114" s="6">
        <f t="shared" si="12"/>
        <v>3500</v>
      </c>
      <c r="M114" s="39">
        <v>44501</v>
      </c>
      <c r="N114" s="7">
        <v>100</v>
      </c>
      <c r="O114" s="7"/>
      <c r="P114" s="3"/>
      <c r="Q114" s="10"/>
      <c r="R114" s="10"/>
      <c r="S114" s="10"/>
      <c r="T114" s="10"/>
      <c r="U114" s="5">
        <f t="shared" si="13"/>
        <v>0.13079532604598562</v>
      </c>
      <c r="V114" s="5">
        <f t="shared" si="14"/>
        <v>5.7670561628345308E-2</v>
      </c>
      <c r="W114" s="22">
        <f t="shared" si="15"/>
        <v>2.267973856209148</v>
      </c>
      <c r="X114" s="3">
        <f t="shared" si="16"/>
        <v>3500</v>
      </c>
      <c r="Y114" s="5">
        <f t="shared" si="17"/>
        <v>9.4232943837165468E-3</v>
      </c>
      <c r="Z114" s="5">
        <f>IF(OR(AE114="",多次统计数据!$B$8=""),"",AE114-多次统计数据!$B$8)</f>
        <v>-0.10698799183726999</v>
      </c>
      <c r="AA114" s="8">
        <f t="shared" si="18"/>
        <v>17</v>
      </c>
      <c r="AB114" s="5">
        <f>IF(OR(A114="",多次统计数据!$B$8="",多次统计数据!$B$6&lt;=0,多次统计数据!$B$6&gt;=1),"",1-POWER(1+多次统计数据!$B$8,-多次统计数据!$B$6/(1-多次统计数据!$B$6)))</f>
        <v>8.152013270062719E-2</v>
      </c>
      <c r="AC114" s="6" t="str">
        <f>IF(OR(AB114="",多次统计数据!$B$9=""),"",IF(多次统计数据!$B$9&lt;AB114,"低于上限","达到或超过上限"))</f>
        <v>低于上限</v>
      </c>
      <c r="AD114" s="10"/>
      <c r="AE114" s="5">
        <f t="shared" si="19"/>
        <v>3.2246770716246845E-3</v>
      </c>
      <c r="AG114" s="10" t="s">
        <v>51</v>
      </c>
      <c r="AH114" s="10" t="s">
        <v>52</v>
      </c>
      <c r="AI114" s="10" t="s">
        <v>49</v>
      </c>
      <c r="AJ114" s="6" t="str">
        <f t="shared" si="20"/>
        <v>匹配</v>
      </c>
      <c r="AK114" s="23">
        <f>IF(A114="","",COUNTIFS(加仓管理!$A$2:$A$1001,A114,加仓管理!$G$2:$G$1001,"&gt;0"))</f>
        <v>0</v>
      </c>
      <c r="AL114" s="23">
        <f>IF(A114="","",SUMIFS(加仓管理!$G$2:$G$1001,加仓管理!$A$2:$A$1001,A114))</f>
        <v>0</v>
      </c>
      <c r="AM114" s="24" t="str">
        <f>IF(AK114=0,"",IFERROR(LOOKUP(2,1/((加仓管理!$A$2:$A$1001=A114)*(加仓管理!$G$2:$G$1001&gt;0)),加仓管理!$D$2:$D$1001),""))</f>
        <v/>
      </c>
      <c r="AN114" s="24" t="str">
        <f>IF(AK114=0,"",IFERROR(LOOKUP(2,1/((加仓管理!$A$2:$A$1001=A114)*(加仓管理!$G$2:$G$1001&gt;0)),加仓管理!$E$2:$E$1001),""))</f>
        <v/>
      </c>
      <c r="AO114" s="24">
        <f>IF(OR(A114="",H114="",H114&lt;=0),"",(E114*H114+SUMIFS(加仓管理!$H$2:$H$1001,加仓管理!$A$2:$A$1001,A114))/AP114)</f>
        <v>106.12</v>
      </c>
      <c r="AP114" s="23">
        <f t="shared" si="21"/>
        <v>3500</v>
      </c>
      <c r="AQ114" s="24">
        <f>IF(A114="","",IF(M114&lt;&gt;"",0,IF(OR(H114="",N114=""),"",MAX((E114*H114+SUMIFS(加仓管理!$H$2:$H$1001,加仓管理!$A$2:$A$1001,A114))-MAX(N114,AN114)*AP114,0))))</f>
        <v>0</v>
      </c>
      <c r="AR114" s="24" t="str">
        <f>IF(A114="","",IF(OR(E114="",H114=""),"违规：首次买入价格或股数缺失",IF(COUNTIFS(加仓管理!$A$2:$A$1001,A114,加仓管理!$R$2:$R$1001,"违规*")&gt;0,"违规：请检查加仓管理表",IF(SUM($AQ$2:$AQ$201)&gt;账户数据!$B$7,"预警：超过账户风险上限",IF(COUNTIFS(加仓管理!$A$2:$A$1001,A114,加仓管理!$N$2:$N$1001,"&gt;0",加仓管理!$G$2:$G$1001,"")&gt;0,"提示：存在待执行加仓计划","通过")))))</f>
        <v>通过</v>
      </c>
    </row>
    <row r="115" spans="1:44">
      <c r="A115" s="10">
        <v>114</v>
      </c>
      <c r="B115" s="37" t="s">
        <v>55</v>
      </c>
      <c r="C115" s="7">
        <v>1088880</v>
      </c>
      <c r="D115" s="4">
        <v>0.02</v>
      </c>
      <c r="E115" s="7">
        <v>132.59</v>
      </c>
      <c r="F115" s="6">
        <f t="shared" si="11"/>
        <v>1400</v>
      </c>
      <c r="G115" s="6" t="str">
        <f>IF(A115="","",IF(H115&lt;&gt;"","已开仓",IF(账户数据!$B$23="已锁仓","禁止开仓：连续亏损达到上限",IF(账户数据!$B$23="解锁信息不完整","禁止开仓：请完整填写解锁信息",IF(OR(F115="",E115="",N115="",E115&lt;=N115,账户数据!$B$7=""),"",IF(OR(AG115="",AH115="",AI115=""),"禁止开仓：交易预期未填写完整",IF(账户数据!$B$9+F115*(E115-N115)&gt;=账户数据!$B$7,"禁止开仓：风险额度不足",IF(AJ115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15" s="10">
        <v>1400</v>
      </c>
      <c r="I115" s="21">
        <v>44501</v>
      </c>
      <c r="J115" s="7">
        <v>160</v>
      </c>
      <c r="K115" s="3">
        <v>132.93</v>
      </c>
      <c r="L115" s="6">
        <f t="shared" si="12"/>
        <v>3400</v>
      </c>
      <c r="M115" s="39">
        <v>44537</v>
      </c>
      <c r="N115" s="7">
        <v>118</v>
      </c>
      <c r="O115" s="7"/>
      <c r="P115" s="3"/>
      <c r="Q115" s="10"/>
      <c r="R115" s="10"/>
      <c r="S115" s="10"/>
      <c r="T115" s="10"/>
      <c r="U115" s="5">
        <f t="shared" si="13"/>
        <v>0.15043162333515192</v>
      </c>
      <c r="V115" s="5">
        <f t="shared" si="14"/>
        <v>0.15155667779032547</v>
      </c>
      <c r="W115" s="22">
        <f t="shared" si="15"/>
        <v>0.99257667513186032</v>
      </c>
      <c r="X115" s="3">
        <f t="shared" si="16"/>
        <v>-20904.000000000025</v>
      </c>
      <c r="Y115" s="5">
        <f t="shared" si="17"/>
        <v>-4.4207026937864054E-2</v>
      </c>
      <c r="Z115" s="5">
        <f>IF(OR(AE115="",多次统计数据!$B$8=""),"",AE115-多次统计数据!$B$8)</f>
        <v>-0.12941037664528438</v>
      </c>
      <c r="AA115" s="8">
        <f t="shared" si="18"/>
        <v>36</v>
      </c>
      <c r="AB115" s="5">
        <f>IF(OR(A115="",多次统计数据!$B$8="",多次统计数据!$B$6&lt;=0,多次统计数据!$B$6&gt;=1),"",1-POWER(1+多次统计数据!$B$8,-多次统计数据!$B$6/(1-多次统计数据!$B$6)))</f>
        <v>8.152013270062719E-2</v>
      </c>
      <c r="AC115" s="6" t="str">
        <f>IF(OR(AB115="",多次统计数据!$B$9=""),"",IF(多次统计数据!$B$9&lt;AB115,"低于上限","达到或超过上限"))</f>
        <v>低于上限</v>
      </c>
      <c r="AD115" s="10"/>
      <c r="AE115" s="5">
        <f t="shared" si="19"/>
        <v>-1.9197707736389708E-2</v>
      </c>
      <c r="AG115" s="10" t="s">
        <v>45</v>
      </c>
      <c r="AH115" s="10" t="s">
        <v>46</v>
      </c>
      <c r="AI115" s="10" t="s">
        <v>47</v>
      </c>
      <c r="AJ115" s="6" t="str">
        <f t="shared" si="20"/>
        <v>匹配</v>
      </c>
      <c r="AK115" s="23">
        <f>IF(A115="","",COUNTIFS(加仓管理!$A$2:$A$1001,A115,加仓管理!$G$2:$G$1001,"&gt;0"))</f>
        <v>2</v>
      </c>
      <c r="AL115" s="23">
        <f>IF(A115="","",SUMIFS(加仓管理!$G$2:$G$1001,加仓管理!$A$2:$A$1001,A115))</f>
        <v>2000</v>
      </c>
      <c r="AM115" s="24">
        <f>IF(AK115=0,"",IFERROR(LOOKUP(2,1/((加仓管理!$A$2:$A$1001=A115)*(加仓管理!$G$2:$G$1001&gt;0)),加仓管理!$D$2:$D$1001),""))</f>
        <v>146.72</v>
      </c>
      <c r="AN115" s="24">
        <f>IF(AK115=0,"",IFERROR(LOOKUP(2,1/((加仓管理!$A$2:$A$1001=A115)*(加仓管理!$G$2:$G$1001&gt;0)),加仓管理!$E$2:$E$1001),""))</f>
        <v>140</v>
      </c>
      <c r="AO115" s="24">
        <f>IF(OR(A115="",H115="",H115&lt;=0),"",(E115*H115+SUMIFS(加仓管理!$H$2:$H$1001,加仓管理!$A$2:$A$1001,A115))/AP115)</f>
        <v>139.07823529411766</v>
      </c>
      <c r="AP115" s="23">
        <f t="shared" si="21"/>
        <v>3400</v>
      </c>
      <c r="AQ115" s="24">
        <f>IF(A115="","",IF(M115&lt;&gt;"",0,IF(OR(H115="",N115=""),"",MAX((E115*H115+SUMIFS(加仓管理!$H$2:$H$1001,加仓管理!$A$2:$A$1001,A115))-MAX(N115,AN115)*AP115,0))))</f>
        <v>0</v>
      </c>
      <c r="AR115" s="24" t="str">
        <f>IF(A115="","",IF(OR(E115="",H115=""),"违规：首次买入价格或股数缺失",IF(COUNTIFS(加仓管理!$A$2:$A$1001,A115,加仓管理!$R$2:$R$1001,"违规*")&gt;0,"违规：请检查加仓管理表",IF(SUM($AQ$2:$AQ$201)&gt;账户数据!$B$7,"预警：超过账户风险上限",IF(COUNTIFS(加仓管理!$A$2:$A$1001,A115,加仓管理!$N$2:$N$1001,"&gt;0",加仓管理!$G$2:$G$1001,"")&gt;0,"提示：存在待执行加仓计划","通过")))))</f>
        <v>通过</v>
      </c>
    </row>
    <row r="116" spans="1:44">
      <c r="A116" s="10">
        <v>115</v>
      </c>
      <c r="B116" s="37" t="s">
        <v>55</v>
      </c>
      <c r="C116" s="7">
        <v>1067976</v>
      </c>
      <c r="D116" s="4">
        <v>0.02</v>
      </c>
      <c r="E116" s="7">
        <v>105.47</v>
      </c>
      <c r="F116" s="6">
        <f t="shared" si="11"/>
        <v>2500</v>
      </c>
      <c r="G116" s="6" t="str">
        <f>IF(A116="","",IF(H116&lt;&gt;"","已开仓",IF(账户数据!$B$23="已锁仓","禁止开仓：连续亏损达到上限",IF(账户数据!$B$23="解锁信息不完整","禁止开仓：请完整填写解锁信息",IF(OR(F116="",E116="",N116="",E116&lt;=N116,账户数据!$B$7=""),"",IF(OR(AG116="",AH116="",AI116=""),"禁止开仓：交易预期未填写完整",IF(账户数据!$B$9+F116*(E116-N116)&gt;=账户数据!$B$7,"禁止开仓：风险额度不足",IF(AJ116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16" s="10">
        <v>2500</v>
      </c>
      <c r="I116" s="21">
        <v>44566</v>
      </c>
      <c r="J116" s="7">
        <v>120</v>
      </c>
      <c r="K116" s="3">
        <v>105.34</v>
      </c>
      <c r="L116" s="6">
        <f t="shared" si="12"/>
        <v>3500</v>
      </c>
      <c r="M116" s="39">
        <v>44579</v>
      </c>
      <c r="N116" s="7">
        <v>97</v>
      </c>
      <c r="O116" s="7"/>
      <c r="P116" s="3"/>
      <c r="Q116" s="10"/>
      <c r="R116" s="10"/>
      <c r="S116" s="10"/>
      <c r="T116" s="10"/>
      <c r="U116" s="5">
        <f t="shared" si="13"/>
        <v>0.12346025759338766</v>
      </c>
      <c r="V116" s="5">
        <f t="shared" si="14"/>
        <v>9.1869625112011646E-2</v>
      </c>
      <c r="W116" s="22">
        <f t="shared" si="15"/>
        <v>1.3438637356238177</v>
      </c>
      <c r="X116" s="3">
        <f t="shared" si="16"/>
        <v>-5154.99999999998</v>
      </c>
      <c r="Y116" s="5">
        <f t="shared" si="17"/>
        <v>-1.3789137209271168E-2</v>
      </c>
      <c r="Z116" s="5">
        <f>IF(OR(AE116="",多次统计数据!$B$8=""),"",AE116-多次统计数据!$B$8)</f>
        <v>-0.11503955640449381</v>
      </c>
      <c r="AA116" s="8">
        <f t="shared" si="18"/>
        <v>13</v>
      </c>
      <c r="AB116" s="5">
        <f>IF(OR(A116="",多次统计数据!$B$8="",多次统计数据!$B$6&lt;=0,多次统计数据!$B$6&gt;=1),"",1-POWER(1+多次统计数据!$B$8,-多次统计数据!$B$6/(1-多次统计数据!$B$6)))</f>
        <v>8.152013270062719E-2</v>
      </c>
      <c r="AC116" s="6" t="str">
        <f>IF(OR(AB116="",多次统计数据!$B$9=""),"",IF(多次统计数据!$B$9&lt;AB116,"低于上限","达到或超过上限"))</f>
        <v>低于上限</v>
      </c>
      <c r="AD116" s="10"/>
      <c r="AE116" s="5">
        <f t="shared" si="19"/>
        <v>-4.8268874955991331E-3</v>
      </c>
      <c r="AG116" s="10" t="s">
        <v>48</v>
      </c>
      <c r="AH116" s="10" t="s">
        <v>46</v>
      </c>
      <c r="AI116" s="10" t="s">
        <v>50</v>
      </c>
      <c r="AJ116" s="6" t="str">
        <f t="shared" si="20"/>
        <v>匹配</v>
      </c>
      <c r="AK116" s="23">
        <f>IF(A116="","",COUNTIFS(加仓管理!$A$2:$A$1001,A116,加仓管理!$G$2:$G$1001,"&gt;0"))</f>
        <v>1</v>
      </c>
      <c r="AL116" s="23">
        <f>IF(A116="","",SUMIFS(加仓管理!$G$2:$G$1001,加仓管理!$A$2:$A$1001,A116))</f>
        <v>1000</v>
      </c>
      <c r="AM116" s="24">
        <f>IF(AK116=0,"",IFERROR(LOOKUP(2,1/((加仓管理!$A$2:$A$1001=A116)*(加仓管理!$G$2:$G$1001&gt;0)),加仓管理!$D$2:$D$1001),""))</f>
        <v>110.17</v>
      </c>
      <c r="AN116" s="24">
        <f>IF(AK116=0,"",IFERROR(LOOKUP(2,1/((加仓管理!$A$2:$A$1001=A116)*(加仓管理!$G$2:$G$1001&gt;0)),加仓管理!$E$2:$E$1001),""))</f>
        <v>100</v>
      </c>
      <c r="AO116" s="24">
        <f>IF(OR(A116="",H116="",H116&lt;=0),"",(E116*H116+SUMIFS(加仓管理!$H$2:$H$1001,加仓管理!$A$2:$A$1001,A116))/AP116)</f>
        <v>106.81285714285714</v>
      </c>
      <c r="AP116" s="23">
        <f t="shared" si="21"/>
        <v>3500</v>
      </c>
      <c r="AQ116" s="24">
        <f>IF(A116="","",IF(M116&lt;&gt;"",0,IF(OR(H116="",N116=""),"",MAX((E116*H116+SUMIFS(加仓管理!$H$2:$H$1001,加仓管理!$A$2:$A$1001,A116))-MAX(N116,AN116)*AP116,0))))</f>
        <v>0</v>
      </c>
      <c r="AR116" s="24" t="str">
        <f>IF(A116="","",IF(OR(E116="",H116=""),"违规：首次买入价格或股数缺失",IF(COUNTIFS(加仓管理!$A$2:$A$1001,A116,加仓管理!$R$2:$R$1001,"违规*")&gt;0,"违规：请检查加仓管理表",IF(SUM($AQ$2:$AQ$201)&gt;账户数据!$B$7,"预警：超过账户风险上限",IF(COUNTIFS(加仓管理!$A$2:$A$1001,A116,加仓管理!$N$2:$N$1001,"&gt;0",加仓管理!$G$2:$G$1001,"")&gt;0,"提示：存在待执行加仓计划","通过")))))</f>
        <v>违规：请检查加仓管理表</v>
      </c>
    </row>
    <row r="117" spans="1:44">
      <c r="A117" s="10">
        <v>116</v>
      </c>
      <c r="B117" s="37" t="s">
        <v>55</v>
      </c>
      <c r="C117" s="7">
        <v>1062821</v>
      </c>
      <c r="D117" s="4">
        <v>0.02</v>
      </c>
      <c r="E117" s="7">
        <v>93.67</v>
      </c>
      <c r="F117" s="6">
        <f t="shared" si="11"/>
        <v>5700</v>
      </c>
      <c r="G117" s="6" t="str">
        <f>IF(A117="","",IF(H117&lt;&gt;"","已开仓",IF(账户数据!$B$23="已锁仓","禁止开仓：连续亏损达到上限",IF(账户数据!$B$23="解锁信息不完整","禁止开仓：请完整填写解锁信息",IF(OR(F117="",E117="",N117="",E117&lt;=N117,账户数据!$B$7=""),"",IF(OR(AG117="",AH117="",AI117=""),"禁止开仓：交易预期未填写完整",IF(账户数据!$B$9+F117*(E117-N117)&gt;=账户数据!$B$7,"禁止开仓：风险额度不足",IF(AJ117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17" s="10">
        <v>5700</v>
      </c>
      <c r="I117" s="21">
        <v>44581</v>
      </c>
      <c r="J117" s="7">
        <v>120</v>
      </c>
      <c r="K117" s="3">
        <v>87.37</v>
      </c>
      <c r="L117" s="6">
        <f t="shared" si="12"/>
        <v>5700</v>
      </c>
      <c r="M117" s="39">
        <v>44600</v>
      </c>
      <c r="N117" s="7">
        <v>90</v>
      </c>
      <c r="O117" s="7"/>
      <c r="P117" s="3"/>
      <c r="Q117" s="10"/>
      <c r="R117" s="10"/>
      <c r="S117" s="10"/>
      <c r="T117" s="10"/>
      <c r="U117" s="5">
        <f t="shared" si="13"/>
        <v>0.28109319953026579</v>
      </c>
      <c r="V117" s="5">
        <f t="shared" si="14"/>
        <v>3.9180100352300649E-2</v>
      </c>
      <c r="W117" s="22">
        <f t="shared" si="15"/>
        <v>7.1743869209809219</v>
      </c>
      <c r="X117" s="3">
        <f t="shared" si="16"/>
        <v>-35909.999999999985</v>
      </c>
      <c r="Y117" s="5">
        <f t="shared" si="17"/>
        <v>-6.7257392975338934E-2</v>
      </c>
      <c r="Z117" s="5">
        <f>IF(OR(AE117="",多次统计数据!$B$8=""),"",AE117-多次统计数据!$B$8)</f>
        <v>-0.14400010818606362</v>
      </c>
      <c r="AA117" s="8">
        <f t="shared" si="18"/>
        <v>19</v>
      </c>
      <c r="AB117" s="5">
        <f>IF(OR(A117="",多次统计数据!$B$8="",多次统计数据!$B$6&lt;=0,多次统计数据!$B$6&gt;=1),"",1-POWER(1+多次统计数据!$B$8,-多次统计数据!$B$6/(1-多次统计数据!$B$6)))</f>
        <v>8.152013270062719E-2</v>
      </c>
      <c r="AC117" s="6" t="str">
        <f>IF(OR(AB117="",多次统计数据!$B$9=""),"",IF(多次统计数据!$B$9&lt;AB117,"低于上限","达到或超过上限"))</f>
        <v>低于上限</v>
      </c>
      <c r="AD117" s="10"/>
      <c r="AE117" s="5">
        <f t="shared" si="19"/>
        <v>-3.3787439277168957E-2</v>
      </c>
      <c r="AG117" s="10" t="s">
        <v>48</v>
      </c>
      <c r="AH117" s="10" t="s">
        <v>46</v>
      </c>
      <c r="AI117" s="10" t="s">
        <v>50</v>
      </c>
      <c r="AJ117" s="6" t="str">
        <f t="shared" si="20"/>
        <v>匹配</v>
      </c>
      <c r="AK117" s="23">
        <f>IF(A117="","",COUNTIFS(加仓管理!$A$2:$A$1001,A117,加仓管理!$G$2:$G$1001,"&gt;0"))</f>
        <v>0</v>
      </c>
      <c r="AL117" s="23">
        <f>IF(A117="","",SUMIFS(加仓管理!$G$2:$G$1001,加仓管理!$A$2:$A$1001,A117))</f>
        <v>0</v>
      </c>
      <c r="AM117" s="24" t="str">
        <f>IF(AK117=0,"",IFERROR(LOOKUP(2,1/((加仓管理!$A$2:$A$1001=A117)*(加仓管理!$G$2:$G$1001&gt;0)),加仓管理!$D$2:$D$1001),""))</f>
        <v/>
      </c>
      <c r="AN117" s="24" t="str">
        <f>IF(AK117=0,"",IFERROR(LOOKUP(2,1/((加仓管理!$A$2:$A$1001=A117)*(加仓管理!$G$2:$G$1001&gt;0)),加仓管理!$E$2:$E$1001),""))</f>
        <v/>
      </c>
      <c r="AO117" s="24">
        <f>IF(OR(A117="",H117="",H117&lt;=0),"",(E117*H117+SUMIFS(加仓管理!$H$2:$H$1001,加仓管理!$A$2:$A$1001,A117))/AP117)</f>
        <v>93.67</v>
      </c>
      <c r="AP117" s="23">
        <f t="shared" si="21"/>
        <v>5700</v>
      </c>
      <c r="AQ117" s="24">
        <f>IF(A117="","",IF(M117&lt;&gt;"",0,IF(OR(H117="",N117=""),"",MAX((E117*H117+SUMIFS(加仓管理!$H$2:$H$1001,加仓管理!$A$2:$A$1001,A117))-MAX(N117,AN117)*AP117,0))))</f>
        <v>0</v>
      </c>
      <c r="AR117" s="24" t="str">
        <f>IF(A117="","",IF(OR(E117="",H117=""),"违规：首次买入价格或股数缺失",IF(COUNTIFS(加仓管理!$A$2:$A$1001,A117,加仓管理!$R$2:$R$1001,"违规*")&gt;0,"违规：请检查加仓管理表",IF(SUM($AQ$2:$AQ$201)&gt;账户数据!$B$7,"预警：超过账户风险上限",IF(COUNTIFS(加仓管理!$A$2:$A$1001,A117,加仓管理!$N$2:$N$1001,"&gt;0",加仓管理!$G$2:$G$1001,"")&gt;0,"提示：存在待执行加仓计划","通过")))))</f>
        <v>通过</v>
      </c>
    </row>
    <row r="118" spans="1:44">
      <c r="A118" s="10">
        <v>117</v>
      </c>
      <c r="B118" s="37" t="s">
        <v>55</v>
      </c>
      <c r="C118" s="7">
        <v>1026911</v>
      </c>
      <c r="D118" s="4">
        <v>0.02</v>
      </c>
      <c r="E118" s="7">
        <v>83.84</v>
      </c>
      <c r="F118" s="6">
        <f t="shared" si="11"/>
        <v>5300</v>
      </c>
      <c r="G118" s="6" t="str">
        <f>IF(A118="","",IF(H118&lt;&gt;"","已开仓",IF(账户数据!$B$23="已锁仓","禁止开仓：连续亏损达到上限",IF(账户数据!$B$23="解锁信息不完整","禁止开仓：请完整填写解锁信息",IF(OR(F118="",E118="",N118="",E118&lt;=N118,账户数据!$B$7=""),"",IF(OR(AG118="",AH118="",AI118=""),"禁止开仓：交易预期未填写完整",IF(账户数据!$B$9+F118*(E118-N118)&gt;=账户数据!$B$7,"禁止开仓：风险额度不足",IF(AJ118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18" s="10">
        <v>5300</v>
      </c>
      <c r="I118" s="21">
        <v>44602</v>
      </c>
      <c r="J118" s="7">
        <v>100</v>
      </c>
      <c r="K118" s="3">
        <v>83.24</v>
      </c>
      <c r="L118" s="6">
        <f t="shared" si="12"/>
        <v>5300</v>
      </c>
      <c r="M118" s="39">
        <v>44610</v>
      </c>
      <c r="N118" s="7">
        <v>80</v>
      </c>
      <c r="O118" s="7"/>
      <c r="P118" s="3"/>
      <c r="Q118" s="10"/>
      <c r="R118" s="10"/>
      <c r="S118" s="10"/>
      <c r="T118" s="10"/>
      <c r="U118" s="5">
        <f t="shared" si="13"/>
        <v>0.1927480916030534</v>
      </c>
      <c r="V118" s="5">
        <f t="shared" si="14"/>
        <v>4.5801526717557293E-2</v>
      </c>
      <c r="W118" s="22">
        <f t="shared" si="15"/>
        <v>4.2083333333333286</v>
      </c>
      <c r="X118" s="3">
        <f t="shared" si="16"/>
        <v>-3180.000000000045</v>
      </c>
      <c r="Y118" s="5">
        <f t="shared" si="17"/>
        <v>-7.1564885496184219E-3</v>
      </c>
      <c r="Z118" s="5">
        <f>IF(OR(AE118="",多次统计数据!$B$8=""),"",AE118-多次统计数据!$B$8)</f>
        <v>-0.11330933454009354</v>
      </c>
      <c r="AA118" s="8">
        <f t="shared" si="18"/>
        <v>8</v>
      </c>
      <c r="AB118" s="5">
        <f>IF(OR(A118="",多次统计数据!$B$8="",多次统计数据!$B$6&lt;=0,多次统计数据!$B$6&gt;=1),"",1-POWER(1+多次统计数据!$B$8,-多次统计数据!$B$6/(1-多次统计数据!$B$6)))</f>
        <v>8.152013270062719E-2</v>
      </c>
      <c r="AC118" s="6" t="str">
        <f>IF(OR(AB118="",多次统计数据!$B$9=""),"",IF(多次统计数据!$B$9&lt;AB118,"低于上限","达到或超过上限"))</f>
        <v>低于上限</v>
      </c>
      <c r="AD118" s="10"/>
      <c r="AE118" s="5">
        <f t="shared" si="19"/>
        <v>-3.0966656311988525E-3</v>
      </c>
      <c r="AG118" s="10" t="s">
        <v>48</v>
      </c>
      <c r="AH118" s="10" t="s">
        <v>46</v>
      </c>
      <c r="AI118" s="10" t="s">
        <v>50</v>
      </c>
      <c r="AJ118" s="6" t="str">
        <f t="shared" si="20"/>
        <v>匹配</v>
      </c>
      <c r="AK118" s="23">
        <f>IF(A118="","",COUNTIFS(加仓管理!$A$2:$A$1001,A118,加仓管理!$G$2:$G$1001,"&gt;0"))</f>
        <v>0</v>
      </c>
      <c r="AL118" s="23">
        <f>IF(A118="","",SUMIFS(加仓管理!$G$2:$G$1001,加仓管理!$A$2:$A$1001,A118))</f>
        <v>0</v>
      </c>
      <c r="AM118" s="24" t="str">
        <f>IF(AK118=0,"",IFERROR(LOOKUP(2,1/((加仓管理!$A$2:$A$1001=A118)*(加仓管理!$G$2:$G$1001&gt;0)),加仓管理!$D$2:$D$1001),""))</f>
        <v/>
      </c>
      <c r="AN118" s="24" t="str">
        <f>IF(AK118=0,"",IFERROR(LOOKUP(2,1/((加仓管理!$A$2:$A$1001=A118)*(加仓管理!$G$2:$G$1001&gt;0)),加仓管理!$E$2:$E$1001),""))</f>
        <v/>
      </c>
      <c r="AO118" s="24">
        <f>IF(OR(A118="",H118="",H118&lt;=0),"",(E118*H118+SUMIFS(加仓管理!$H$2:$H$1001,加仓管理!$A$2:$A$1001,A118))/AP118)</f>
        <v>83.84</v>
      </c>
      <c r="AP118" s="23">
        <f t="shared" si="21"/>
        <v>5300</v>
      </c>
      <c r="AQ118" s="24">
        <f>IF(A118="","",IF(M118&lt;&gt;"",0,IF(OR(H118="",N118=""),"",MAX((E118*H118+SUMIFS(加仓管理!$H$2:$H$1001,加仓管理!$A$2:$A$1001,A118))-MAX(N118,AN118)*AP118,0))))</f>
        <v>0</v>
      </c>
      <c r="AR118" s="24" t="str">
        <f>IF(A118="","",IF(OR(E118="",H118=""),"违规：首次买入价格或股数缺失",IF(COUNTIFS(加仓管理!$A$2:$A$1001,A118,加仓管理!$R$2:$R$1001,"违规*")&gt;0,"违规：请检查加仓管理表",IF(SUM($AQ$2:$AQ$201)&gt;账户数据!$B$7,"预警：超过账户风险上限",IF(COUNTIFS(加仓管理!$A$2:$A$1001,A118,加仓管理!$N$2:$N$1001,"&gt;0",加仓管理!$G$2:$G$1001,"")&gt;0,"提示：存在待执行加仓计划","通过")))))</f>
        <v>通过</v>
      </c>
    </row>
    <row r="119" spans="1:44">
      <c r="A119" s="10">
        <v>118</v>
      </c>
      <c r="B119" s="37" t="s">
        <v>55</v>
      </c>
      <c r="C119" s="7">
        <v>1023731</v>
      </c>
      <c r="D119" s="4">
        <v>0.02</v>
      </c>
      <c r="E119" s="7">
        <v>72.47</v>
      </c>
      <c r="F119" s="6">
        <f t="shared" si="11"/>
        <v>8200</v>
      </c>
      <c r="G119" s="6" t="str">
        <f>IF(A119="","",IF(H119&lt;&gt;"","已开仓",IF(账户数据!$B$23="已锁仓","禁止开仓：连续亏损达到上限",IF(账户数据!$B$23="解锁信息不完整","禁止开仓：请完整填写解锁信息",IF(OR(F119="",E119="",N119="",E119&lt;=N119,账户数据!$B$7=""),"",IF(OR(AG119="",AH119="",AI119=""),"禁止开仓：交易预期未填写完整",IF(账户数据!$B$9+F119*(E119-N119)&gt;=账户数据!$B$7,"禁止开仓：风险额度不足",IF(AJ119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19" s="10">
        <v>8200</v>
      </c>
      <c r="I119" s="21">
        <v>44627</v>
      </c>
      <c r="J119" s="7">
        <v>80</v>
      </c>
      <c r="K119" s="3">
        <v>69.34</v>
      </c>
      <c r="L119" s="6">
        <f t="shared" si="12"/>
        <v>8200</v>
      </c>
      <c r="M119" s="39">
        <v>44628</v>
      </c>
      <c r="N119" s="7">
        <v>70</v>
      </c>
      <c r="O119" s="7"/>
      <c r="P119" s="3"/>
      <c r="Q119" s="10"/>
      <c r="R119" s="10"/>
      <c r="S119" s="10"/>
      <c r="T119" s="10"/>
      <c r="U119" s="5">
        <f t="shared" si="13"/>
        <v>0.10390506416448188</v>
      </c>
      <c r="V119" s="5">
        <f t="shared" si="14"/>
        <v>3.4083068856078362E-2</v>
      </c>
      <c r="W119" s="22">
        <f t="shared" si="15"/>
        <v>3.0485829959514192</v>
      </c>
      <c r="X119" s="3">
        <f t="shared" si="16"/>
        <v>-25665.999999999964</v>
      </c>
      <c r="Y119" s="5">
        <f t="shared" si="17"/>
        <v>-4.319028563543529E-2</v>
      </c>
      <c r="Z119" s="5">
        <f>IF(OR(AE119="",多次统计数据!$B$8=""),"",AE119-多次统计数据!$B$8)</f>
        <v>-0.13528370807836398</v>
      </c>
      <c r="AA119" s="8">
        <f t="shared" si="18"/>
        <v>1</v>
      </c>
      <c r="AB119" s="5">
        <f>IF(OR(A119="",多次统计数据!$B$8="",多次统计数据!$B$6&lt;=0,多次统计数据!$B$6&gt;=1),"",1-POWER(1+多次统计数据!$B$8,-多次统计数据!$B$6/(1-多次统计数据!$B$6)))</f>
        <v>8.152013270062719E-2</v>
      </c>
      <c r="AC119" s="6" t="str">
        <f>IF(OR(AB119="",多次统计数据!$B$9=""),"",IF(多次统计数据!$B$9&lt;AB119,"低于上限","达到或超过上限"))</f>
        <v>低于上限</v>
      </c>
      <c r="AD119" s="10"/>
      <c r="AE119" s="5">
        <f t="shared" si="19"/>
        <v>-2.5071039169469289E-2</v>
      </c>
      <c r="AG119" s="10" t="s">
        <v>48</v>
      </c>
      <c r="AH119" s="10" t="s">
        <v>46</v>
      </c>
      <c r="AI119" s="10" t="s">
        <v>50</v>
      </c>
      <c r="AJ119" s="6" t="str">
        <f t="shared" si="20"/>
        <v>匹配</v>
      </c>
      <c r="AK119" s="23">
        <f>IF(A119="","",COUNTIFS(加仓管理!$A$2:$A$1001,A119,加仓管理!$G$2:$G$1001,"&gt;0"))</f>
        <v>0</v>
      </c>
      <c r="AL119" s="23">
        <f>IF(A119="","",SUMIFS(加仓管理!$G$2:$G$1001,加仓管理!$A$2:$A$1001,A119))</f>
        <v>0</v>
      </c>
      <c r="AM119" s="24" t="str">
        <f>IF(AK119=0,"",IFERROR(LOOKUP(2,1/((加仓管理!$A$2:$A$1001=A119)*(加仓管理!$G$2:$G$1001&gt;0)),加仓管理!$D$2:$D$1001),""))</f>
        <v/>
      </c>
      <c r="AN119" s="24" t="str">
        <f>IF(AK119=0,"",IFERROR(LOOKUP(2,1/((加仓管理!$A$2:$A$1001=A119)*(加仓管理!$G$2:$G$1001&gt;0)),加仓管理!$E$2:$E$1001),""))</f>
        <v/>
      </c>
      <c r="AO119" s="24">
        <f>IF(OR(A119="",H119="",H119&lt;=0),"",(E119*H119+SUMIFS(加仓管理!$H$2:$H$1001,加仓管理!$A$2:$A$1001,A119))/AP119)</f>
        <v>72.47</v>
      </c>
      <c r="AP119" s="23">
        <f t="shared" si="21"/>
        <v>8200</v>
      </c>
      <c r="AQ119" s="24">
        <f>IF(A119="","",IF(M119&lt;&gt;"",0,IF(OR(H119="",N119=""),"",MAX((E119*H119+SUMIFS(加仓管理!$H$2:$H$1001,加仓管理!$A$2:$A$1001,A119))-MAX(N119,AN119)*AP119,0))))</f>
        <v>0</v>
      </c>
      <c r="AR119" s="24" t="str">
        <f>IF(A119="","",IF(OR(E119="",H119=""),"违规：首次买入价格或股数缺失",IF(COUNTIFS(加仓管理!$A$2:$A$1001,A119,加仓管理!$R$2:$R$1001,"违规*")&gt;0,"违规：请检查加仓管理表",IF(SUM($AQ$2:$AQ$201)&gt;账户数据!$B$7,"预警：超过账户风险上限",IF(COUNTIFS(加仓管理!$A$2:$A$1001,A119,加仓管理!$N$2:$N$1001,"&gt;0",加仓管理!$G$2:$G$1001,"")&gt;0,"提示：存在待执行加仓计划","通过")))))</f>
        <v>通过</v>
      </c>
    </row>
    <row r="120" spans="1:44">
      <c r="A120" s="10">
        <v>119</v>
      </c>
      <c r="B120" s="37" t="s">
        <v>55</v>
      </c>
      <c r="C120" s="7">
        <v>998065</v>
      </c>
      <c r="D120" s="4">
        <v>0.02</v>
      </c>
      <c r="E120" s="7">
        <v>68.48</v>
      </c>
      <c r="F120" s="6">
        <f t="shared" si="11"/>
        <v>8000</v>
      </c>
      <c r="G120" s="6" t="str">
        <f>IF(A120="","",IF(H120&lt;&gt;"","已开仓",IF(账户数据!$B$23="已锁仓","禁止开仓：连续亏损达到上限",IF(账户数据!$B$23="解锁信息不完整","禁止开仓：请完整填写解锁信息",IF(OR(F120="",E120="",N120="",E120&lt;=N120,账户数据!$B$7=""),"",IF(OR(AG120="",AH120="",AI120=""),"禁止开仓：交易预期未填写完整",IF(账户数据!$B$9+F120*(E120-N120)&gt;=账户数据!$B$7,"禁止开仓：风险额度不足",IF(AJ120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20" s="10">
        <v>8000</v>
      </c>
      <c r="I120" s="21">
        <v>44629</v>
      </c>
      <c r="J120" s="7">
        <v>80</v>
      </c>
      <c r="K120" s="3">
        <v>76.430000000000007</v>
      </c>
      <c r="L120" s="6">
        <f t="shared" si="12"/>
        <v>8000</v>
      </c>
      <c r="M120" s="39">
        <v>44645</v>
      </c>
      <c r="N120" s="7">
        <v>66</v>
      </c>
      <c r="O120" s="7"/>
      <c r="P120" s="3"/>
      <c r="Q120" s="10"/>
      <c r="R120" s="10"/>
      <c r="S120" s="10"/>
      <c r="T120" s="10"/>
      <c r="U120" s="5">
        <f t="shared" si="13"/>
        <v>0.1682242990654205</v>
      </c>
      <c r="V120" s="5">
        <f t="shared" si="14"/>
        <v>3.621495327102809E-2</v>
      </c>
      <c r="W120" s="22">
        <f t="shared" si="15"/>
        <v>4.6451612903225721</v>
      </c>
      <c r="X120" s="3">
        <f t="shared" si="16"/>
        <v>63600.000000000022</v>
      </c>
      <c r="Y120" s="5">
        <f t="shared" si="17"/>
        <v>0.11609228971962621</v>
      </c>
      <c r="Z120" s="5">
        <f>IF(OR(AE120="",多次统计数据!$B$8=""),"",AE120-多次统计数据!$B$8)</f>
        <v>-4.6489364314504511E-2</v>
      </c>
      <c r="AA120" s="8">
        <f t="shared" si="18"/>
        <v>16</v>
      </c>
      <c r="AB120" s="5">
        <f>IF(OR(A120="",多次统计数据!$B$8="",多次统计数据!$B$6&lt;=0,多次统计数据!$B$6&gt;=1),"",1-POWER(1+多次统计数据!$B$8,-多次统计数据!$B$6/(1-多次统计数据!$B$6)))</f>
        <v>8.152013270062719E-2</v>
      </c>
      <c r="AC120" s="6" t="str">
        <f>IF(OR(AB120="",多次统计数据!$B$9=""),"",IF(多次统计数据!$B$9&lt;AB120,"低于上限","达到或超过上限"))</f>
        <v>低于上限</v>
      </c>
      <c r="AD120" s="10"/>
      <c r="AE120" s="5">
        <f t="shared" si="19"/>
        <v>6.372330459439017E-2</v>
      </c>
      <c r="AG120" s="10" t="s">
        <v>48</v>
      </c>
      <c r="AH120" s="10" t="s">
        <v>46</v>
      </c>
      <c r="AI120" s="10" t="s">
        <v>50</v>
      </c>
      <c r="AJ120" s="6" t="str">
        <f t="shared" si="20"/>
        <v>匹配</v>
      </c>
      <c r="AK120" s="23">
        <f>IF(A120="","",COUNTIFS(加仓管理!$A$2:$A$1001,A120,加仓管理!$G$2:$G$1001,"&gt;0"))</f>
        <v>0</v>
      </c>
      <c r="AL120" s="23">
        <f>IF(A120="","",SUMIFS(加仓管理!$G$2:$G$1001,加仓管理!$A$2:$A$1001,A120))</f>
        <v>0</v>
      </c>
      <c r="AM120" s="24" t="str">
        <f>IF(AK120=0,"",IFERROR(LOOKUP(2,1/((加仓管理!$A$2:$A$1001=A120)*(加仓管理!$G$2:$G$1001&gt;0)),加仓管理!$D$2:$D$1001),""))</f>
        <v/>
      </c>
      <c r="AN120" s="24" t="str">
        <f>IF(AK120=0,"",IFERROR(LOOKUP(2,1/((加仓管理!$A$2:$A$1001=A120)*(加仓管理!$G$2:$G$1001&gt;0)),加仓管理!$E$2:$E$1001),""))</f>
        <v/>
      </c>
      <c r="AO120" s="24">
        <f>IF(OR(A120="",H120="",H120&lt;=0),"",(E120*H120+SUMIFS(加仓管理!$H$2:$H$1001,加仓管理!$A$2:$A$1001,A120))/AP120)</f>
        <v>68.48</v>
      </c>
      <c r="AP120" s="23">
        <f t="shared" si="21"/>
        <v>8000</v>
      </c>
      <c r="AQ120" s="24">
        <f>IF(A120="","",IF(M120&lt;&gt;"",0,IF(OR(H120="",N120=""),"",MAX((E120*H120+SUMIFS(加仓管理!$H$2:$H$1001,加仓管理!$A$2:$A$1001,A120))-MAX(N120,AN120)*AP120,0))))</f>
        <v>0</v>
      </c>
      <c r="AR120" s="24" t="str">
        <f>IF(A120="","",IF(OR(E120="",H120=""),"违规：首次买入价格或股数缺失",IF(COUNTIFS(加仓管理!$A$2:$A$1001,A120,加仓管理!$R$2:$R$1001,"违规*")&gt;0,"违规：请检查加仓管理表",IF(SUM($AQ$2:$AQ$201)&gt;账户数据!$B$7,"预警：超过账户风险上限",IF(COUNTIFS(加仓管理!$A$2:$A$1001,A120,加仓管理!$N$2:$N$1001,"&gt;0",加仓管理!$G$2:$G$1001,"")&gt;0,"提示：存在待执行加仓计划","通过")))))</f>
        <v>通过</v>
      </c>
    </row>
    <row r="121" spans="1:44">
      <c r="A121" s="10">
        <v>120</v>
      </c>
      <c r="B121" s="37" t="s">
        <v>55</v>
      </c>
      <c r="C121" s="7">
        <v>1061665</v>
      </c>
      <c r="D121" s="4">
        <v>0.02</v>
      </c>
      <c r="E121" s="7">
        <v>52</v>
      </c>
      <c r="F121" s="6">
        <f t="shared" si="11"/>
        <v>10600</v>
      </c>
      <c r="G121" s="6" t="str">
        <f>IF(A121="","",IF(H121&lt;&gt;"","已开仓",IF(账户数据!$B$23="已锁仓","禁止开仓：连续亏损达到上限",IF(账户数据!$B$23="解锁信息不完整","禁止开仓：请完整填写解锁信息",IF(OR(F121="",E121="",N121="",E121&lt;=N121,账户数据!$B$7=""),"",IF(OR(AG121="",AH121="",AI121=""),"禁止开仓：交易预期未填写完整",IF(账户数据!$B$9+F121*(E121-N121)&gt;=账户数据!$B$7,"禁止开仓：风险额度不足",IF(AJ121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21" s="10">
        <v>10000</v>
      </c>
      <c r="I121" s="21">
        <v>44677</v>
      </c>
      <c r="J121" s="7">
        <v>70</v>
      </c>
      <c r="K121" s="3">
        <v>62.18</v>
      </c>
      <c r="L121" s="6">
        <f t="shared" si="12"/>
        <v>12000</v>
      </c>
      <c r="M121" s="39">
        <v>44687</v>
      </c>
      <c r="N121" s="7">
        <v>50</v>
      </c>
      <c r="O121" s="7"/>
      <c r="P121" s="3"/>
      <c r="Q121" s="10"/>
      <c r="R121" s="10"/>
      <c r="S121" s="10"/>
      <c r="T121" s="10"/>
      <c r="U121" s="5">
        <f t="shared" si="13"/>
        <v>0.30301244066639788</v>
      </c>
      <c r="V121" s="5">
        <f t="shared" si="14"/>
        <v>6.9276828095430107E-2</v>
      </c>
      <c r="W121" s="22">
        <f t="shared" si="15"/>
        <v>4.373936408419171</v>
      </c>
      <c r="X121" s="3">
        <f t="shared" si="16"/>
        <v>101500.00000000003</v>
      </c>
      <c r="Y121" s="5">
        <f t="shared" si="17"/>
        <v>0.15744733658052312</v>
      </c>
      <c r="Z121" s="5">
        <f>IF(OR(AE121="",多次统计数据!$B$8=""),"",AE121-多次统计数据!$B$8)</f>
        <v>-1.460812321887002E-2</v>
      </c>
      <c r="AA121" s="8">
        <f t="shared" si="18"/>
        <v>10</v>
      </c>
      <c r="AB121" s="5">
        <f>IF(OR(A121="",多次统计数据!$B$8="",多次统计数据!$B$6&lt;=0,多次统计数据!$B$6&gt;=1),"",1-POWER(1+多次统计数据!$B$8,-多次统计数据!$B$6/(1-多次统计数据!$B$6)))</f>
        <v>8.152013270062719E-2</v>
      </c>
      <c r="AC121" s="6" t="str">
        <f>IF(OR(AB121="",多次统计数据!$B$9=""),"",IF(多次统计数据!$B$9&lt;AB121,"低于上限","达到或超过上限"))</f>
        <v>低于上限</v>
      </c>
      <c r="AD121" s="10"/>
      <c r="AE121" s="5">
        <f t="shared" si="19"/>
        <v>9.5604545690024662E-2</v>
      </c>
      <c r="AG121" s="10" t="s">
        <v>48</v>
      </c>
      <c r="AH121" s="10" t="s">
        <v>46</v>
      </c>
      <c r="AI121" s="10" t="s">
        <v>50</v>
      </c>
      <c r="AJ121" s="6" t="str">
        <f t="shared" si="20"/>
        <v>匹配</v>
      </c>
      <c r="AK121" s="23">
        <f>IF(A121="","",COUNTIFS(加仓管理!$A$2:$A$1001,A121,加仓管理!$G$2:$G$1001,"&gt;0"))</f>
        <v>2</v>
      </c>
      <c r="AL121" s="23">
        <f>IF(A121="","",SUMIFS(加仓管理!$G$2:$G$1001,加仓管理!$A$2:$A$1001,A121))</f>
        <v>2000</v>
      </c>
      <c r="AM121" s="24">
        <f>IF(AK121=0,"",IFERROR(LOOKUP(2,1/((加仓管理!$A$2:$A$1001=A121)*(加仓管理!$G$2:$G$1001&gt;0)),加仓管理!$D$2:$D$1001),""))</f>
        <v>63.84</v>
      </c>
      <c r="AN121" s="24">
        <f>IF(AK121=0,"",IFERROR(LOOKUP(2,1/((加仓管理!$A$2:$A$1001=A121)*(加仓管理!$G$2:$G$1001&gt;0)),加仓管理!$E$2:$E$1001),""))</f>
        <v>60</v>
      </c>
      <c r="AO121" s="24">
        <f>IF(OR(A121="",H121="",H121&lt;=0),"",(E121*H121+SUMIFS(加仓管理!$H$2:$H$1001,加仓管理!$A$2:$A$1001,A121))/AP121)</f>
        <v>53.721666666666664</v>
      </c>
      <c r="AP121" s="23">
        <f t="shared" si="21"/>
        <v>12000</v>
      </c>
      <c r="AQ121" s="24">
        <f>IF(A121="","",IF(M121&lt;&gt;"",0,IF(OR(H121="",N121=""),"",MAX((E121*H121+SUMIFS(加仓管理!$H$2:$H$1001,加仓管理!$A$2:$A$1001,A121))-MAX(N121,AN121)*AP121,0))))</f>
        <v>0</v>
      </c>
      <c r="AR121" s="24" t="str">
        <f>IF(A121="","",IF(OR(E121="",H121=""),"违规：首次买入价格或股数缺失",IF(COUNTIFS(加仓管理!$A$2:$A$1001,A121,加仓管理!$R$2:$R$1001,"违规*")&gt;0,"违规：请检查加仓管理表",IF(SUM($AQ$2:$AQ$201)&gt;账户数据!$B$7,"预警：超过账户风险上限",IF(COUNTIFS(加仓管理!$A$2:$A$1001,A121,加仓管理!$N$2:$N$1001,"&gt;0",加仓管理!$G$2:$G$1001,"")&gt;0,"提示：存在待执行加仓计划","通过")))))</f>
        <v>通过</v>
      </c>
    </row>
    <row r="122" spans="1:44">
      <c r="A122" s="10">
        <v>121</v>
      </c>
      <c r="B122" s="37" t="s">
        <v>55</v>
      </c>
      <c r="C122" s="7">
        <v>1163165</v>
      </c>
      <c r="D122" s="4">
        <v>0.02</v>
      </c>
      <c r="E122" s="7">
        <v>75.97</v>
      </c>
      <c r="F122" s="6">
        <f>IF(OR(C122="",D122="",E122="",N122="",C122&lt;=0,D122&lt;=0,E122&lt;=N122),"",ROUNDDOWN((C122*D122)/(E122-N122)/100,0)*100)</f>
        <v>3800</v>
      </c>
      <c r="G122" s="6" t="str">
        <f>IF(A122="","",IF(H122&lt;&gt;"","已开仓",IF(账户数据!$B$23="已锁仓","禁止开仓：连续亏损达到上限",IF(账户数据!$B$23="解锁信息不完整","禁止开仓：请完整填写解锁信息",IF(OR(F122="",E122="",N122="",E122&lt;=N122,账户数据!$B$7=""),"",IF(OR(AG122="",AH122="",AI122=""),"禁止开仓：交易预期未填写完整",IF(账户数据!$B$9+F122*(E122-N122)&gt;=账户数据!$B$7,"禁止开仓：风险额度不足",IF(AJ122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22" s="10">
        <v>3800</v>
      </c>
      <c r="I122" s="21">
        <v>44692</v>
      </c>
      <c r="J122" s="7">
        <v>80</v>
      </c>
      <c r="K122" s="3">
        <v>73.77</v>
      </c>
      <c r="L122" s="6">
        <f t="shared" si="12"/>
        <v>3800</v>
      </c>
      <c r="M122" s="39">
        <v>44705</v>
      </c>
      <c r="N122" s="7">
        <v>70</v>
      </c>
      <c r="O122" s="7"/>
      <c r="P122" s="3"/>
      <c r="Q122" s="10"/>
      <c r="R122" s="10"/>
      <c r="S122" s="10"/>
      <c r="T122" s="10"/>
      <c r="U122" s="5">
        <f t="shared" si="13"/>
        <v>5.3047255495590383E-2</v>
      </c>
      <c r="V122" s="5">
        <f t="shared" si="14"/>
        <v>7.8583651441358413E-2</v>
      </c>
      <c r="W122" s="22">
        <f t="shared" si="15"/>
        <v>0.67504187604690158</v>
      </c>
      <c r="X122" s="3">
        <f t="shared" si="16"/>
        <v>-8360.0000000000109</v>
      </c>
      <c r="Y122" s="5">
        <f t="shared" si="17"/>
        <v>-2.8958799526128773E-2</v>
      </c>
      <c r="Z122" s="5">
        <f>IF(OR(AE122="",多次统计数据!$B$8=""),"",AE122-多次统计数据!$B$8)</f>
        <v>-0.11739995532139851</v>
      </c>
      <c r="AA122" s="8">
        <f t="shared" si="18"/>
        <v>13</v>
      </c>
      <c r="AB122" s="5">
        <f>IF(OR(A122="",多次统计数据!$B$8="",多次统计数据!$B$6&lt;=0,多次统计数据!$B$6&gt;=1),"",1-POWER(1+多次统计数据!$B$8,-多次统计数据!$B$6/(1-多次统计数据!$B$6)))</f>
        <v>8.152013270062719E-2</v>
      </c>
      <c r="AC122" s="6" t="str">
        <f>IF(OR(AB122="",多次统计数据!$B$9=""),"",IF(多次统计数据!$B$9&lt;AB122,"低于上限","达到或超过上限"))</f>
        <v>低于上限</v>
      </c>
      <c r="AD122" s="10"/>
      <c r="AE122" s="5">
        <f t="shared" si="19"/>
        <v>-7.1872864125038247E-3</v>
      </c>
      <c r="AG122" s="10" t="s">
        <v>48</v>
      </c>
      <c r="AH122" s="10" t="s">
        <v>46</v>
      </c>
      <c r="AI122" s="10" t="s">
        <v>50</v>
      </c>
      <c r="AJ122" s="6" t="str">
        <f t="shared" si="20"/>
        <v>匹配</v>
      </c>
      <c r="AK122" s="23">
        <f>IF(A122="","",COUNTIFS(加仓管理!$A$2:$A$1001,A122,加仓管理!$G$2:$G$1001,"&gt;0"))</f>
        <v>0</v>
      </c>
      <c r="AL122" s="23">
        <f>IF(A122="","",SUMIFS(加仓管理!$G$2:$G$1001,加仓管理!$A$2:$A$1001,A122))</f>
        <v>0</v>
      </c>
      <c r="AM122" s="24" t="str">
        <f>IF(AK122=0,"",IFERROR(LOOKUP(2,1/((加仓管理!$A$2:$A$1001=A122)*(加仓管理!$G$2:$G$1001&gt;0)),加仓管理!$D$2:$D$1001),""))</f>
        <v/>
      </c>
      <c r="AN122" s="24" t="str">
        <f>IF(AK122=0,"",IFERROR(LOOKUP(2,1/((加仓管理!$A$2:$A$1001=A122)*(加仓管理!$G$2:$G$1001&gt;0)),加仓管理!$E$2:$E$1001),""))</f>
        <v/>
      </c>
      <c r="AO122" s="24">
        <f>IF(OR(A122="",H122="",H122&lt;=0),"",(E122*H122+SUMIFS(加仓管理!$H$2:$H$1001,加仓管理!$A$2:$A$1001,A122))/AP122)</f>
        <v>75.97</v>
      </c>
      <c r="AP122" s="23">
        <f t="shared" si="21"/>
        <v>3800</v>
      </c>
      <c r="AQ122" s="24">
        <f>IF(A122="","",IF(M122&lt;&gt;"",0,IF(OR(H122="",N122=""),"",MAX((E122*H122+SUMIFS(加仓管理!$H$2:$H$1001,加仓管理!$A$2:$A$1001,A122))-MAX(N122,AN122)*AP122,0))))</f>
        <v>0</v>
      </c>
      <c r="AR122" s="24" t="str">
        <f>IF(A122="","",IF(OR(E122="",H122=""),"违规：首次买入价格或股数缺失",IF(COUNTIFS(加仓管理!$A$2:$A$1001,A122,加仓管理!$R$2:$R$1001,"违规*")&gt;0,"违规：请检查加仓管理表",IF(SUM($AQ$2:$AQ$201)&gt;账户数据!$B$7,"预警：超过账户风险上限",IF(COUNTIFS(加仓管理!$A$2:$A$1001,A122,加仓管理!$N$2:$N$1001,"&gt;0",加仓管理!$G$2:$G$1001,"")&gt;0,"提示：存在待执行加仓计划","通过")))))</f>
        <v>通过</v>
      </c>
    </row>
    <row r="123" spans="1:44">
      <c r="A123" s="10">
        <v>122</v>
      </c>
      <c r="B123" s="37" t="s">
        <v>55</v>
      </c>
      <c r="C123" s="7">
        <v>1154805</v>
      </c>
      <c r="D123" s="4">
        <v>0.02</v>
      </c>
      <c r="E123" s="7">
        <v>84.8</v>
      </c>
      <c r="F123" s="6">
        <f t="shared" si="11"/>
        <v>4800</v>
      </c>
      <c r="G123" s="6" t="str">
        <f>IF(A123="","",IF(H123&lt;&gt;"","已开仓",IF(账户数据!$B$23="已锁仓","禁止开仓：连续亏损达到上限",IF(账户数据!$B$23="解锁信息不完整","禁止开仓：请完整填写解锁信息",IF(OR(F123="",E123="",N123="",E123&lt;=N123,账户数据!$B$7=""),"",IF(OR(AG123="",AH123="",AI123=""),"禁止开仓：交易预期未填写完整",IF(账户数据!$B$9+F123*(E123-N123)&gt;=账户数据!$B$7,"禁止开仓：风险额度不足",IF(AJ123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23" s="10">
        <v>4800</v>
      </c>
      <c r="I123" s="21">
        <v>44711</v>
      </c>
      <c r="J123" s="7">
        <v>100</v>
      </c>
      <c r="K123" s="3">
        <v>94.94</v>
      </c>
      <c r="L123" s="6">
        <f t="shared" si="12"/>
        <v>4800</v>
      </c>
      <c r="M123" s="39">
        <v>44720</v>
      </c>
      <c r="N123" s="7">
        <v>80</v>
      </c>
      <c r="O123" s="7"/>
      <c r="P123" s="3"/>
      <c r="Q123" s="10"/>
      <c r="R123" s="10"/>
      <c r="S123" s="10"/>
      <c r="T123" s="10"/>
      <c r="U123" s="5">
        <f t="shared" si="13"/>
        <v>0.17924528301886797</v>
      </c>
      <c r="V123" s="5">
        <f t="shared" si="14"/>
        <v>5.6603773584905627E-2</v>
      </c>
      <c r="W123" s="22">
        <f t="shared" si="15"/>
        <v>3.1666666666666692</v>
      </c>
      <c r="X123" s="3">
        <f t="shared" si="16"/>
        <v>48672</v>
      </c>
      <c r="Y123" s="5">
        <f t="shared" si="17"/>
        <v>0.11957547169811321</v>
      </c>
      <c r="Z123" s="5">
        <f>IF(OR(AE123="",多次统计数据!$B$8=""),"",AE123-多次统计数据!$B$8)</f>
        <v>-6.8065293377960884E-2</v>
      </c>
      <c r="AA123" s="8">
        <f t="shared" si="18"/>
        <v>9</v>
      </c>
      <c r="AB123" s="5">
        <f>IF(OR(A123="",多次统计数据!$B$8="",多次统计数据!$B$6&lt;=0,多次统计数据!$B$6&gt;=1),"",1-POWER(1+多次统计数据!$B$8,-多次统计数据!$B$6/(1-多次统计数据!$B$6)))</f>
        <v>8.152013270062719E-2</v>
      </c>
      <c r="AC123" s="6" t="str">
        <f>IF(OR(AB123="",多次统计数据!$B$9=""),"",IF(多次统计数据!$B$9&lt;AB123,"低于上限","达到或超过上限"))</f>
        <v>低于上限</v>
      </c>
      <c r="AD123" s="10"/>
      <c r="AE123" s="5">
        <f t="shared" si="19"/>
        <v>4.2147375530933791E-2</v>
      </c>
      <c r="AG123" s="10" t="s">
        <v>48</v>
      </c>
      <c r="AH123" s="10" t="s">
        <v>46</v>
      </c>
      <c r="AI123" s="10" t="s">
        <v>50</v>
      </c>
      <c r="AJ123" s="6" t="str">
        <f t="shared" si="20"/>
        <v>匹配</v>
      </c>
      <c r="AK123" s="23">
        <f>IF(A123="","",COUNTIFS(加仓管理!$A$2:$A$1001,A123,加仓管理!$G$2:$G$1001,"&gt;0"))</f>
        <v>0</v>
      </c>
      <c r="AL123" s="23">
        <f>IF(A123="","",SUMIFS(加仓管理!$G$2:$G$1001,加仓管理!$A$2:$A$1001,A123))</f>
        <v>0</v>
      </c>
      <c r="AM123" s="24" t="str">
        <f>IF(AK123=0,"",IFERROR(LOOKUP(2,1/((加仓管理!$A$2:$A$1001=A123)*(加仓管理!$G$2:$G$1001&gt;0)),加仓管理!$D$2:$D$1001),""))</f>
        <v/>
      </c>
      <c r="AN123" s="24" t="str">
        <f>IF(AK123=0,"",IFERROR(LOOKUP(2,1/((加仓管理!$A$2:$A$1001=A123)*(加仓管理!$G$2:$G$1001&gt;0)),加仓管理!$E$2:$E$1001),""))</f>
        <v/>
      </c>
      <c r="AO123" s="24">
        <f>IF(OR(A123="",H123="",H123&lt;=0),"",(E123*H123+SUMIFS(加仓管理!$H$2:$H$1001,加仓管理!$A$2:$A$1001,A123))/AP123)</f>
        <v>84.8</v>
      </c>
      <c r="AP123" s="23">
        <f t="shared" si="21"/>
        <v>4800</v>
      </c>
      <c r="AQ123" s="24">
        <f>IF(A123="","",IF(M123&lt;&gt;"",0,IF(OR(H123="",N123=""),"",MAX((E123*H123+SUMIFS(加仓管理!$H$2:$H$1001,加仓管理!$A$2:$A$1001,A123))-MAX(N123,AN123)*AP123,0))))</f>
        <v>0</v>
      </c>
      <c r="AR123" s="24" t="str">
        <f>IF(A123="","",IF(OR(E123="",H123=""),"违规：首次买入价格或股数缺失",IF(COUNTIFS(加仓管理!$A$2:$A$1001,A123,加仓管理!$R$2:$R$1001,"违规*")&gt;0,"违规：请检查加仓管理表",IF(SUM($AQ$2:$AQ$201)&gt;账户数据!$B$7,"预警：超过账户风险上限",IF(COUNTIFS(加仓管理!$A$2:$A$1001,A123,加仓管理!$N$2:$N$1001,"&gt;0",加仓管理!$G$2:$G$1001,"")&gt;0,"提示：存在待执行加仓计划","通过")))))</f>
        <v>通过</v>
      </c>
    </row>
    <row r="124" spans="1:44">
      <c r="A124" s="10">
        <v>123</v>
      </c>
      <c r="B124" s="37" t="s">
        <v>55</v>
      </c>
      <c r="C124" s="7">
        <v>1203477</v>
      </c>
      <c r="D124" s="4">
        <v>0.02</v>
      </c>
      <c r="E124" s="7">
        <v>108.93</v>
      </c>
      <c r="F124" s="6">
        <f t="shared" si="11"/>
        <v>2600</v>
      </c>
      <c r="G124" s="6" t="str">
        <f>IF(A124="","",IF(H124&lt;&gt;"","已开仓",IF(账户数据!$B$23="已锁仓","禁止开仓：连续亏损达到上限",IF(账户数据!$B$23="解锁信息不完整","禁止开仓：请完整填写解锁信息",IF(OR(F124="",E124="",N124="",E124&lt;=N124,账户数据!$B$7=""),"",IF(OR(AG124="",AH124="",AI124=""),"禁止开仓：交易预期未填写完整",IF(账户数据!$B$9+F124*(E124-N124)&gt;=账户数据!$B$7,"禁止开仓：风险额度不足",IF(AJ124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24" s="10">
        <v>2600</v>
      </c>
      <c r="I124" s="21">
        <v>44790</v>
      </c>
      <c r="J124" s="7">
        <v>106.61</v>
      </c>
      <c r="K124" s="3">
        <v>106.61</v>
      </c>
      <c r="L124" s="6">
        <f t="shared" si="12"/>
        <v>2600</v>
      </c>
      <c r="M124" s="39">
        <v>44797</v>
      </c>
      <c r="N124" s="7">
        <v>100</v>
      </c>
      <c r="O124" s="7"/>
      <c r="P124" s="3"/>
      <c r="Q124" s="10"/>
      <c r="R124" s="10"/>
      <c r="S124" s="10"/>
      <c r="T124" s="10"/>
      <c r="U124" s="5">
        <f t="shared" si="13"/>
        <v>-2.1298081336638276E-2</v>
      </c>
      <c r="V124" s="5">
        <f t="shared" si="14"/>
        <v>8.1979252731111785E-2</v>
      </c>
      <c r="W124" s="22">
        <f t="shared" si="15"/>
        <v>-0.25979843225084048</v>
      </c>
      <c r="X124" s="3">
        <f t="shared" si="16"/>
        <v>-6032.0000000000191</v>
      </c>
      <c r="Y124" s="5">
        <f t="shared" si="17"/>
        <v>-2.1298081336638276E-2</v>
      </c>
      <c r="Z124" s="5">
        <f>IF(OR(AE124="",多次统计数据!$B$8=""),"",AE124-多次统计数据!$B$8)</f>
        <v>-0.11522481288838081</v>
      </c>
      <c r="AA124" s="8">
        <f t="shared" si="18"/>
        <v>7</v>
      </c>
      <c r="AB124" s="5">
        <f>IF(OR(A124="",多次统计数据!$B$8="",多次统计数据!$B$6&lt;=0,多次统计数据!$B$6&gt;=1),"",1-POWER(1+多次统计数据!$B$8,-多次统计数据!$B$6/(1-多次统计数据!$B$6)))</f>
        <v>8.152013270062719E-2</v>
      </c>
      <c r="AC124" s="6" t="str">
        <f>IF(OR(AB124="",多次统计数据!$B$9=""),"",IF(多次统计数据!$B$9&lt;AB124,"低于上限","达到或超过上限"))</f>
        <v>低于上限</v>
      </c>
      <c r="AD124" s="10"/>
      <c r="AE124" s="5">
        <f t="shared" si="19"/>
        <v>-5.0121439794861217E-3</v>
      </c>
      <c r="AG124" s="10" t="s">
        <v>51</v>
      </c>
      <c r="AH124" s="10" t="s">
        <v>52</v>
      </c>
      <c r="AI124" s="10" t="s">
        <v>49</v>
      </c>
      <c r="AJ124" s="6" t="str">
        <f t="shared" si="20"/>
        <v>匹配</v>
      </c>
      <c r="AK124" s="23">
        <f>IF(A124="","",COUNTIFS(加仓管理!$A$2:$A$1001,A124,加仓管理!$G$2:$G$1001,"&gt;0"))</f>
        <v>0</v>
      </c>
      <c r="AL124" s="23">
        <f>IF(A124="","",SUMIFS(加仓管理!$G$2:$G$1001,加仓管理!$A$2:$A$1001,A124))</f>
        <v>0</v>
      </c>
      <c r="AM124" s="24" t="str">
        <f>IF(AK124=0,"",IFERROR(LOOKUP(2,1/((加仓管理!$A$2:$A$1001=A124)*(加仓管理!$G$2:$G$1001&gt;0)),加仓管理!$D$2:$D$1001),""))</f>
        <v/>
      </c>
      <c r="AN124" s="24" t="str">
        <f>IF(AK124=0,"",IFERROR(LOOKUP(2,1/((加仓管理!$A$2:$A$1001=A124)*(加仓管理!$G$2:$G$1001&gt;0)),加仓管理!$E$2:$E$1001),""))</f>
        <v/>
      </c>
      <c r="AO124" s="24">
        <f>IF(OR(A124="",H124="",H124&lt;=0),"",(E124*H124+SUMIFS(加仓管理!$H$2:$H$1001,加仓管理!$A$2:$A$1001,A124))/AP124)</f>
        <v>108.93</v>
      </c>
      <c r="AP124" s="23">
        <f t="shared" si="21"/>
        <v>2600</v>
      </c>
      <c r="AQ124" s="24">
        <f>IF(A124="","",IF(M124&lt;&gt;"",0,IF(OR(H124="",N124=""),"",MAX((E124*H124+SUMIFS(加仓管理!$H$2:$H$1001,加仓管理!$A$2:$A$1001,A124))-MAX(N124,AN124)*AP124,0))))</f>
        <v>0</v>
      </c>
      <c r="AR124" s="24" t="str">
        <f>IF(A124="","",IF(OR(E124="",H124=""),"违规：首次买入价格或股数缺失",IF(COUNTIFS(加仓管理!$A$2:$A$1001,A124,加仓管理!$R$2:$R$1001,"违规*")&gt;0,"违规：请检查加仓管理表",IF(SUM($AQ$2:$AQ$201)&gt;账户数据!$B$7,"预警：超过账户风险上限",IF(COUNTIFS(加仓管理!$A$2:$A$1001,A124,加仓管理!$N$2:$N$1001,"&gt;0",加仓管理!$G$2:$G$1001,"")&gt;0,"提示：存在待执行加仓计划","通过")))))</f>
        <v>通过</v>
      </c>
    </row>
    <row r="125" spans="1:44">
      <c r="A125" s="10">
        <v>124</v>
      </c>
      <c r="B125" s="37" t="s">
        <v>55</v>
      </c>
      <c r="C125" s="7">
        <v>1197445</v>
      </c>
      <c r="D125" s="4">
        <v>0.02</v>
      </c>
      <c r="E125" s="7">
        <v>87.43</v>
      </c>
      <c r="F125" s="6">
        <f t="shared" si="11"/>
        <v>1900</v>
      </c>
      <c r="G125" s="6" t="str">
        <f>IF(A125="","",IF(H125&lt;&gt;"","已开仓",IF(账户数据!$B$23="已锁仓","禁止开仓：连续亏损达到上限",IF(账户数据!$B$23="解锁信息不完整","禁止开仓：请完整填写解锁信息",IF(OR(F125="",E125="",N125="",E125&lt;=N125,账户数据!$B$7=""),"",IF(OR(AG125="",AH125="",AI125=""),"禁止开仓：交易预期未填写完整",IF(账户数据!$B$9+F125*(E125-N125)&gt;=账户数据!$B$7,"禁止开仓：风险额度不足",IF(AJ125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25" s="10">
        <v>1900</v>
      </c>
      <c r="I125" s="21">
        <v>44867</v>
      </c>
      <c r="J125" s="7">
        <v>100</v>
      </c>
      <c r="K125" s="3">
        <v>95.49</v>
      </c>
      <c r="L125" s="6">
        <f t="shared" si="12"/>
        <v>2900</v>
      </c>
      <c r="M125" s="39">
        <v>44872</v>
      </c>
      <c r="N125" s="7">
        <v>75</v>
      </c>
      <c r="O125" s="7"/>
      <c r="P125" s="3"/>
      <c r="Q125" s="10"/>
      <c r="R125" s="10"/>
      <c r="S125" s="10"/>
      <c r="T125" s="10"/>
      <c r="U125" s="5">
        <f t="shared" si="13"/>
        <v>0.11664298613437442</v>
      </c>
      <c r="V125" s="5">
        <f t="shared" si="14"/>
        <v>0.16251776039921917</v>
      </c>
      <c r="W125" s="22">
        <f t="shared" si="15"/>
        <v>0.71772454806074748</v>
      </c>
      <c r="X125" s="3">
        <f t="shared" si="16"/>
        <v>17213.999999999967</v>
      </c>
      <c r="Y125" s="5">
        <f t="shared" si="17"/>
        <v>6.6282387459714084E-2</v>
      </c>
      <c r="Z125" s="5">
        <f>IF(OR(AE125="",多次统计数据!$B$8=""),"",AE125-多次统计数据!$B$8)</f>
        <v>-9.5837060843388569E-2</v>
      </c>
      <c r="AA125" s="8">
        <f t="shared" si="18"/>
        <v>5</v>
      </c>
      <c r="AB125" s="5">
        <f>IF(OR(A125="",多次统计数据!$B$8="",多次统计数据!$B$6&lt;=0,多次统计数据!$B$6&gt;=1),"",1-POWER(1+多次统计数据!$B$8,-多次统计数据!$B$6/(1-多次统计数据!$B$6)))</f>
        <v>8.152013270062719E-2</v>
      </c>
      <c r="AC125" s="6" t="str">
        <f>IF(OR(AB125="",多次统计数据!$B$9=""),"",IF(多次统计数据!$B$9&lt;AB125,"低于上限","达到或超过上限"))</f>
        <v>低于上限</v>
      </c>
      <c r="AD125" s="10"/>
      <c r="AE125" s="5">
        <f t="shared" si="19"/>
        <v>1.4375608065506112E-2</v>
      </c>
      <c r="AG125" s="10" t="s">
        <v>48</v>
      </c>
      <c r="AH125" s="10" t="s">
        <v>46</v>
      </c>
      <c r="AI125" s="10" t="s">
        <v>50</v>
      </c>
      <c r="AJ125" s="6" t="str">
        <f t="shared" si="20"/>
        <v>匹配</v>
      </c>
      <c r="AK125" s="23">
        <f>IF(A125="","",COUNTIFS(加仓管理!$A$2:$A$1001,A125,加仓管理!$G$2:$G$1001,"&gt;0"))</f>
        <v>1</v>
      </c>
      <c r="AL125" s="23">
        <f>IF(A125="","",SUMIFS(加仓管理!$G$2:$G$1001,加仓管理!$A$2:$A$1001,A125))</f>
        <v>1000</v>
      </c>
      <c r="AM125" s="24">
        <f>IF(AK125=0,"",IFERROR(LOOKUP(2,1/((加仓管理!$A$2:$A$1001=A125)*(加仓管理!$G$2:$G$1001&gt;0)),加仓管理!$D$2:$D$1001),""))</f>
        <v>93.59</v>
      </c>
      <c r="AN125" s="24">
        <f>IF(AK125=0,"",IFERROR(LOOKUP(2,1/((加仓管理!$A$2:$A$1001=A125)*(加仓管理!$G$2:$G$1001&gt;0)),加仓管理!$E$2:$E$1001),""))</f>
        <v>90</v>
      </c>
      <c r="AO125" s="24">
        <f>IF(OR(A125="",H125="",H125&lt;=0),"",(E125*H125+SUMIFS(加仓管理!$H$2:$H$1001,加仓管理!$A$2:$A$1001,A125))/AP125)</f>
        <v>89.554137931034489</v>
      </c>
      <c r="AP125" s="23">
        <f t="shared" si="21"/>
        <v>2900</v>
      </c>
      <c r="AQ125" s="24">
        <f>IF(A125="","",IF(M125&lt;&gt;"",0,IF(OR(H125="",N125=""),"",MAX((E125*H125+SUMIFS(加仓管理!$H$2:$H$1001,加仓管理!$A$2:$A$1001,A125))-MAX(N125,AN125)*AP125,0))))</f>
        <v>0</v>
      </c>
      <c r="AR125" s="24" t="str">
        <f>IF(A125="","",IF(OR(E125="",H125=""),"违规：首次买入价格或股数缺失",IF(COUNTIFS(加仓管理!$A$2:$A$1001,A125,加仓管理!$R$2:$R$1001,"违规*")&gt;0,"违规：请检查加仓管理表",IF(SUM($AQ$2:$AQ$201)&gt;账户数据!$B$7,"预警：超过账户风险上限",IF(COUNTIFS(加仓管理!$A$2:$A$1001,A125,加仓管理!$N$2:$N$1001,"&gt;0",加仓管理!$G$2:$G$1001,"")&gt;0,"提示：存在待执行加仓计划","通过")))))</f>
        <v>通过</v>
      </c>
    </row>
    <row r="126" spans="1:44">
      <c r="A126" s="10">
        <v>125</v>
      </c>
      <c r="B126" s="37" t="s">
        <v>55</v>
      </c>
      <c r="C126" s="7">
        <v>1214659</v>
      </c>
      <c r="D126" s="4">
        <v>0.02</v>
      </c>
      <c r="E126" s="7">
        <v>88.85</v>
      </c>
      <c r="F126" s="6">
        <f t="shared" si="11"/>
        <v>1700</v>
      </c>
      <c r="G126" s="6" t="str">
        <f>IF(A126="","",IF(H126&lt;&gt;"","已开仓",IF(账户数据!$B$23="已锁仓","禁止开仓：连续亏损达到上限",IF(账户数据!$B$23="解锁信息不完整","禁止开仓：请完整填写解锁信息",IF(OR(F126="",E126="",N126="",E126&lt;=N126,账户数据!$B$7=""),"",IF(OR(AG126="",AH126="",AI126=""),"禁止开仓：交易预期未填写完整",IF(账户数据!$B$9+F126*(E126-N126)&gt;=账户数据!$B$7,"禁止开仓：风险额度不足",IF(AJ126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26" s="10">
        <v>1700</v>
      </c>
      <c r="I126" s="21">
        <v>44902</v>
      </c>
      <c r="J126" s="7">
        <v>100</v>
      </c>
      <c r="K126" s="3">
        <v>88.73</v>
      </c>
      <c r="L126" s="6">
        <f t="shared" si="12"/>
        <v>1700</v>
      </c>
      <c r="M126" s="39">
        <v>44904</v>
      </c>
      <c r="N126" s="7">
        <v>75</v>
      </c>
      <c r="O126" s="7"/>
      <c r="P126" s="3"/>
      <c r="Q126" s="10"/>
      <c r="R126" s="10"/>
      <c r="S126" s="10"/>
      <c r="T126" s="10"/>
      <c r="U126" s="5">
        <f t="shared" si="13"/>
        <v>0.12549240292628033</v>
      </c>
      <c r="V126" s="5">
        <f t="shared" si="14"/>
        <v>0.15588069780528976</v>
      </c>
      <c r="W126" s="22">
        <f t="shared" si="15"/>
        <v>0.80505415162454952</v>
      </c>
      <c r="X126" s="3">
        <f t="shared" si="16"/>
        <v>-203.99999999998357</v>
      </c>
      <c r="Y126" s="5">
        <f t="shared" si="17"/>
        <v>-1.3505908835114275E-3</v>
      </c>
      <c r="Z126" s="5">
        <f>IF(OR(AE126="",多次统计数据!$B$8=""),"",AE126-多次统计数据!$B$8)</f>
        <v>-0.11038061727958966</v>
      </c>
      <c r="AA126" s="8">
        <f t="shared" si="18"/>
        <v>2</v>
      </c>
      <c r="AB126" s="5">
        <f>IF(OR(A126="",多次统计数据!$B$8="",多次统计数据!$B$6&lt;=0,多次统计数据!$B$6&gt;=1),"",1-POWER(1+多次统计数据!$B$8,-多次统计数据!$B$6/(1-多次统计数据!$B$6)))</f>
        <v>8.152013270062719E-2</v>
      </c>
      <c r="AC126" s="6" t="str">
        <f>IF(OR(AB126="",多次统计数据!$B$9=""),"",IF(多次统计数据!$B$9&lt;AB126,"低于上限","达到或超过上限"))</f>
        <v>低于上限</v>
      </c>
      <c r="AD126" s="10"/>
      <c r="AE126" s="5">
        <f t="shared" si="19"/>
        <v>-1.6794837069497167E-4</v>
      </c>
      <c r="AG126" s="10" t="s">
        <v>48</v>
      </c>
      <c r="AH126" s="10" t="s">
        <v>46</v>
      </c>
      <c r="AI126" s="10" t="s">
        <v>50</v>
      </c>
      <c r="AJ126" s="6" t="str">
        <f t="shared" si="20"/>
        <v>匹配</v>
      </c>
      <c r="AK126" s="23">
        <f>IF(A126="","",COUNTIFS(加仓管理!$A$2:$A$1001,A126,加仓管理!$G$2:$G$1001,"&gt;0"))</f>
        <v>0</v>
      </c>
      <c r="AL126" s="23">
        <f>IF(A126="","",SUMIFS(加仓管理!$G$2:$G$1001,加仓管理!$A$2:$A$1001,A126))</f>
        <v>0</v>
      </c>
      <c r="AM126" s="24" t="str">
        <f>IF(AK126=0,"",IFERROR(LOOKUP(2,1/((加仓管理!$A$2:$A$1001=A126)*(加仓管理!$G$2:$G$1001&gt;0)),加仓管理!$D$2:$D$1001),""))</f>
        <v/>
      </c>
      <c r="AN126" s="24" t="str">
        <f>IF(AK126=0,"",IFERROR(LOOKUP(2,1/((加仓管理!$A$2:$A$1001=A126)*(加仓管理!$G$2:$G$1001&gt;0)),加仓管理!$E$2:$E$1001),""))</f>
        <v/>
      </c>
      <c r="AO126" s="24">
        <f>IF(OR(A126="",H126="",H126&lt;=0),"",(E126*H126+SUMIFS(加仓管理!$H$2:$H$1001,加仓管理!$A$2:$A$1001,A126))/AP126)</f>
        <v>88.85</v>
      </c>
      <c r="AP126" s="23">
        <f t="shared" si="21"/>
        <v>1700</v>
      </c>
      <c r="AQ126" s="24">
        <f>IF(A126="","",IF(M126&lt;&gt;"",0,IF(OR(H126="",N126=""),"",MAX((E126*H126+SUMIFS(加仓管理!$H$2:$H$1001,加仓管理!$A$2:$A$1001,A126))-MAX(N126,AN126)*AP126,0))))</f>
        <v>0</v>
      </c>
      <c r="AR126" s="24" t="str">
        <f>IF(A126="","",IF(OR(E126="",H126=""),"违规：首次买入价格或股数缺失",IF(COUNTIFS(加仓管理!$A$2:$A$1001,A126,加仓管理!$R$2:$R$1001,"违规*")&gt;0,"违规：请检查加仓管理表",IF(SUM($AQ$2:$AQ$201)&gt;账户数据!$B$7,"预警：超过账户风险上限",IF(COUNTIFS(加仓管理!$A$2:$A$1001,A126,加仓管理!$N$2:$N$1001,"&gt;0",加仓管理!$G$2:$G$1001,"")&gt;0,"提示：存在待执行加仓计划","通过")))))</f>
        <v>通过</v>
      </c>
    </row>
    <row r="127" spans="1:44">
      <c r="A127" s="10">
        <v>126</v>
      </c>
      <c r="B127" s="37" t="s">
        <v>55</v>
      </c>
      <c r="C127" s="7">
        <v>1214455</v>
      </c>
      <c r="D127" s="4">
        <v>0.02</v>
      </c>
      <c r="E127" s="7">
        <v>83.29</v>
      </c>
      <c r="F127" s="6">
        <f t="shared" si="11"/>
        <v>2900</v>
      </c>
      <c r="G127" s="6" t="str">
        <f>IF(A127="","",IF(H127&lt;&gt;"","已开仓",IF(账户数据!$B$23="已锁仓","禁止开仓：连续亏损达到上限",IF(账户数据!$B$23="解锁信息不完整","禁止开仓：请完整填写解锁信息",IF(OR(F127="",E127="",N127="",E127&lt;=N127,账户数据!$B$7=""),"",IF(OR(AG127="",AH127="",AI127=""),"禁止开仓：交易预期未填写完整",IF(账户数据!$B$9+F127*(E127-N127)&gt;=账户数据!$B$7,"禁止开仓：风险额度不足",IF(AJ127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27" s="10">
        <v>2900</v>
      </c>
      <c r="I127" s="21">
        <v>44904</v>
      </c>
      <c r="J127" s="7">
        <v>90</v>
      </c>
      <c r="K127" s="3">
        <v>82.24</v>
      </c>
      <c r="L127" s="6">
        <f t="shared" si="12"/>
        <v>2900</v>
      </c>
      <c r="M127" s="39">
        <v>44971</v>
      </c>
      <c r="N127" s="7">
        <v>75</v>
      </c>
      <c r="O127" s="7"/>
      <c r="P127" s="3"/>
      <c r="Q127" s="10"/>
      <c r="R127" s="10"/>
      <c r="S127" s="10"/>
      <c r="T127" s="10"/>
      <c r="U127" s="5">
        <f t="shared" si="13"/>
        <v>8.0561892183935571E-2</v>
      </c>
      <c r="V127" s="5">
        <f t="shared" si="14"/>
        <v>9.9531756513387026E-2</v>
      </c>
      <c r="W127" s="22">
        <f t="shared" si="15"/>
        <v>0.80940892641736906</v>
      </c>
      <c r="X127" s="3">
        <f t="shared" si="16"/>
        <v>-3045.0000000000327</v>
      </c>
      <c r="Y127" s="5">
        <f t="shared" si="17"/>
        <v>-1.2606555408812717E-2</v>
      </c>
      <c r="Z127" s="5">
        <f>IF(OR(AE127="",多次统计数据!$B$8=""),"",AE127-多次统计数据!$B$8)</f>
        <v>-0.11271996642094743</v>
      </c>
      <c r="AA127" s="8">
        <f t="shared" si="18"/>
        <v>67</v>
      </c>
      <c r="AB127" s="5">
        <f>IF(OR(A127="",多次统计数据!$B$8="",多次统计数据!$B$6&lt;=0,多次统计数据!$B$6&gt;=1),"",1-POWER(1+多次统计数据!$B$8,-多次统计数据!$B$6/(1-多次统计数据!$B$6)))</f>
        <v>8.152013270062719E-2</v>
      </c>
      <c r="AC127" s="6" t="str">
        <f>IF(OR(AB127="",多次统计数据!$B$9=""),"",IF(多次统计数据!$B$9&lt;AB127,"低于上限","达到或超过上限"))</f>
        <v>低于上限</v>
      </c>
      <c r="AD127" s="10"/>
      <c r="AE127" s="5">
        <f t="shared" si="19"/>
        <v>-2.5072975120527586E-3</v>
      </c>
      <c r="AG127" s="10" t="s">
        <v>51</v>
      </c>
      <c r="AH127" s="10" t="s">
        <v>52</v>
      </c>
      <c r="AI127" s="10" t="s">
        <v>49</v>
      </c>
      <c r="AJ127" s="6" t="str">
        <f t="shared" si="20"/>
        <v>匹配</v>
      </c>
      <c r="AK127" s="23">
        <f>IF(A127="","",COUNTIFS(加仓管理!$A$2:$A$1001,A127,加仓管理!$G$2:$G$1001,"&gt;0"))</f>
        <v>0</v>
      </c>
      <c r="AL127" s="23">
        <f>IF(A127="","",SUMIFS(加仓管理!$G$2:$G$1001,加仓管理!$A$2:$A$1001,A127))</f>
        <v>0</v>
      </c>
      <c r="AM127" s="24" t="str">
        <f>IF(AK127=0,"",IFERROR(LOOKUP(2,1/((加仓管理!$A$2:$A$1001=A127)*(加仓管理!$G$2:$G$1001&gt;0)),加仓管理!$D$2:$D$1001),""))</f>
        <v/>
      </c>
      <c r="AN127" s="24" t="str">
        <f>IF(AK127=0,"",IFERROR(LOOKUP(2,1/((加仓管理!$A$2:$A$1001=A127)*(加仓管理!$G$2:$G$1001&gt;0)),加仓管理!$E$2:$E$1001),""))</f>
        <v/>
      </c>
      <c r="AO127" s="24">
        <f>IF(OR(A127="",H127="",H127&lt;=0),"",(E127*H127+SUMIFS(加仓管理!$H$2:$H$1001,加仓管理!$A$2:$A$1001,A127))/AP127)</f>
        <v>83.29</v>
      </c>
      <c r="AP127" s="23">
        <f t="shared" si="21"/>
        <v>2900</v>
      </c>
      <c r="AQ127" s="24">
        <f>IF(A127="","",IF(M127&lt;&gt;"",0,IF(OR(H127="",N127=""),"",MAX((E127*H127+SUMIFS(加仓管理!$H$2:$H$1001,加仓管理!$A$2:$A$1001,A127))-MAX(N127,AN127)*AP127,0))))</f>
        <v>0</v>
      </c>
      <c r="AR127" s="24" t="str">
        <f>IF(A127="","",IF(OR(E127="",H127=""),"违规：首次买入价格或股数缺失",IF(COUNTIFS(加仓管理!$A$2:$A$1001,A127,加仓管理!$R$2:$R$1001,"违规*")&gt;0,"违规：请检查加仓管理表",IF(SUM($AQ$2:$AQ$201)&gt;账户数据!$B$7,"预警：超过账户风险上限",IF(COUNTIFS(加仓管理!$A$2:$A$1001,A127,加仓管理!$N$2:$N$1001,"&gt;0",加仓管理!$G$2:$G$1001,"")&gt;0,"提示：存在待执行加仓计划","通过")))))</f>
        <v>通过</v>
      </c>
    </row>
    <row r="128" spans="1:44">
      <c r="A128" s="10">
        <v>127</v>
      </c>
      <c r="B128" s="37" t="s">
        <v>55</v>
      </c>
      <c r="C128" s="7">
        <v>1211410</v>
      </c>
      <c r="D128" s="4">
        <v>0.02</v>
      </c>
      <c r="E128" s="7">
        <v>64.739999999999995</v>
      </c>
      <c r="F128" s="6">
        <f t="shared" si="11"/>
        <v>3500</v>
      </c>
      <c r="G128" s="6" t="str">
        <f>IF(A128="","",IF(H128&lt;&gt;"","已开仓",IF(账户数据!$B$23="已锁仓","禁止开仓：连续亏损达到上限",IF(账户数据!$B$23="解锁信息不完整","禁止开仓：请完整填写解锁信息",IF(OR(F128="",E128="",N128="",E128&lt;=N128,账户数据!$B$7=""),"",IF(OR(AG128="",AH128="",AI128=""),"禁止开仓：交易预期未填写完整",IF(账户数据!$B$9+F128*(E128-N128)&gt;=账户数据!$B$7,"禁止开仓：风险额度不足",IF(AJ128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28" s="10">
        <v>3500</v>
      </c>
      <c r="I128" s="21">
        <v>45006</v>
      </c>
      <c r="J128" s="7">
        <v>70</v>
      </c>
      <c r="K128" s="3">
        <v>65.88</v>
      </c>
      <c r="L128" s="6">
        <f t="shared" si="12"/>
        <v>3500</v>
      </c>
      <c r="M128" s="39">
        <v>45007</v>
      </c>
      <c r="N128" s="7">
        <v>58</v>
      </c>
      <c r="O128" s="7"/>
      <c r="P128" s="3"/>
      <c r="Q128" s="10"/>
      <c r="R128" s="10"/>
      <c r="S128" s="10"/>
      <c r="T128" s="10"/>
      <c r="U128" s="5">
        <f t="shared" si="13"/>
        <v>8.124806919987651E-2</v>
      </c>
      <c r="V128" s="5">
        <f t="shared" si="14"/>
        <v>0.10410874266295946</v>
      </c>
      <c r="W128" s="22">
        <f t="shared" si="15"/>
        <v>0.78041543026706361</v>
      </c>
      <c r="X128" s="3">
        <f t="shared" si="16"/>
        <v>3990.0000000000018</v>
      </c>
      <c r="Y128" s="5">
        <f t="shared" si="17"/>
        <v>1.7608897126969426E-2</v>
      </c>
      <c r="Z128" s="5">
        <f>IF(OR(AE128="",多次统计数据!$B$8=""),"",AE128-多次统计数据!$B$8)</f>
        <v>-0.10691898634064777</v>
      </c>
      <c r="AA128" s="8">
        <f t="shared" si="18"/>
        <v>1</v>
      </c>
      <c r="AB128" s="5">
        <f>IF(OR(A128="",多次统计数据!$B$8="",多次统计数据!$B$6&lt;=0,多次统计数据!$B$6&gt;=1),"",1-POWER(1+多次统计数据!$B$8,-多次统计数据!$B$6/(1-多次统计数据!$B$6)))</f>
        <v>8.152013270062719E-2</v>
      </c>
      <c r="AC128" s="6" t="str">
        <f>IF(OR(AB128="",多次统计数据!$B$9=""),"",IF(多次统计数据!$B$9&lt;AB128,"低于上限","达到或超过上限"))</f>
        <v>低于上限</v>
      </c>
      <c r="AD128" s="10"/>
      <c r="AE128" s="5">
        <f t="shared" si="19"/>
        <v>3.2936825682469205E-3</v>
      </c>
      <c r="AG128" s="10" t="s">
        <v>48</v>
      </c>
      <c r="AH128" s="10" t="s">
        <v>46</v>
      </c>
      <c r="AI128" s="10" t="s">
        <v>50</v>
      </c>
      <c r="AJ128" s="6" t="str">
        <f t="shared" si="20"/>
        <v>匹配</v>
      </c>
      <c r="AK128" s="23">
        <f>IF(A128="","",COUNTIFS(加仓管理!$A$2:$A$1001,A128,加仓管理!$G$2:$G$1001,"&gt;0"))</f>
        <v>0</v>
      </c>
      <c r="AL128" s="23">
        <f>IF(A128="","",SUMIFS(加仓管理!$G$2:$G$1001,加仓管理!$A$2:$A$1001,A128))</f>
        <v>0</v>
      </c>
      <c r="AM128" s="24" t="str">
        <f>IF(AK128=0,"",IFERROR(LOOKUP(2,1/((加仓管理!$A$2:$A$1001=A128)*(加仓管理!$G$2:$G$1001&gt;0)),加仓管理!$D$2:$D$1001),""))</f>
        <v/>
      </c>
      <c r="AN128" s="24" t="str">
        <f>IF(AK128=0,"",IFERROR(LOOKUP(2,1/((加仓管理!$A$2:$A$1001=A128)*(加仓管理!$G$2:$G$1001&gt;0)),加仓管理!$E$2:$E$1001),""))</f>
        <v/>
      </c>
      <c r="AO128" s="24">
        <f>IF(OR(A128="",H128="",H128&lt;=0),"",(E128*H128+SUMIFS(加仓管理!$H$2:$H$1001,加仓管理!$A$2:$A$1001,A128))/AP128)</f>
        <v>64.739999999999995</v>
      </c>
      <c r="AP128" s="23">
        <f t="shared" si="21"/>
        <v>3500</v>
      </c>
      <c r="AQ128" s="24">
        <f>IF(A128="","",IF(M128&lt;&gt;"",0,IF(OR(H128="",N128=""),"",MAX((E128*H128+SUMIFS(加仓管理!$H$2:$H$1001,加仓管理!$A$2:$A$1001,A128))-MAX(N128,AN128)*AP128,0))))</f>
        <v>0</v>
      </c>
      <c r="AR128" s="24" t="str">
        <f>IF(A128="","",IF(OR(E128="",H128=""),"违规：首次买入价格或股数缺失",IF(COUNTIFS(加仓管理!$A$2:$A$1001,A128,加仓管理!$R$2:$R$1001,"违规*")&gt;0,"违规：请检查加仓管理表",IF(SUM($AQ$2:$AQ$201)&gt;账户数据!$B$7,"预警：超过账户风险上限",IF(COUNTIFS(加仓管理!$A$2:$A$1001,A128,加仓管理!$N$2:$N$1001,"&gt;0",加仓管理!$G$2:$G$1001,"")&gt;0,"提示：存在待执行加仓计划","通过")))))</f>
        <v>通过</v>
      </c>
    </row>
    <row r="129" spans="1:44">
      <c r="A129" s="10">
        <v>128</v>
      </c>
      <c r="B129" s="37" t="s">
        <v>55</v>
      </c>
      <c r="C129" s="7">
        <v>1215400</v>
      </c>
      <c r="D129" s="4">
        <v>0.02</v>
      </c>
      <c r="E129" s="7">
        <v>57.09</v>
      </c>
      <c r="F129" s="6">
        <f t="shared" si="11"/>
        <v>3400</v>
      </c>
      <c r="G129" s="6" t="str">
        <f>IF(A129="","",IF(H129&lt;&gt;"","已开仓",IF(账户数据!$B$23="已锁仓","禁止开仓：连续亏损达到上限",IF(账户数据!$B$23="解锁信息不完整","禁止开仓：请完整填写解锁信息",IF(OR(F129="",E129="",N129="",E129&lt;=N129,账户数据!$B$7=""),"",IF(OR(AG129="",AH129="",AI129=""),"禁止开仓：交易预期未填写完整",IF(账户数据!$B$9+F129*(E129-N129)&gt;=账户数据!$B$7,"禁止开仓：风险额度不足",IF(AJ129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29" s="10">
        <v>3400</v>
      </c>
      <c r="I129" s="21">
        <v>45139</v>
      </c>
      <c r="J129" s="7">
        <v>70</v>
      </c>
      <c r="K129" s="3">
        <v>55.79</v>
      </c>
      <c r="L129" s="6">
        <f t="shared" si="12"/>
        <v>3400</v>
      </c>
      <c r="M129" s="39">
        <v>45149</v>
      </c>
      <c r="N129" s="7">
        <v>50</v>
      </c>
      <c r="O129" s="7"/>
      <c r="P129" s="3"/>
      <c r="Q129" s="10"/>
      <c r="R129" s="10"/>
      <c r="S129" s="10"/>
      <c r="T129" s="10"/>
      <c r="U129" s="5">
        <f t="shared" si="13"/>
        <v>0.22613417411105266</v>
      </c>
      <c r="V129" s="5">
        <f t="shared" si="14"/>
        <v>0.12418987563496239</v>
      </c>
      <c r="W129" s="22">
        <f t="shared" si="15"/>
        <v>1.8208744710860354</v>
      </c>
      <c r="X129" s="3">
        <f t="shared" si="16"/>
        <v>-4420.0000000000146</v>
      </c>
      <c r="Y129" s="5">
        <f t="shared" si="17"/>
        <v>-2.2771063233491054E-2</v>
      </c>
      <c r="Z129" s="5">
        <f>IF(OR(AE129="",多次统计数据!$B$8=""),"",AE129-多次统计数据!$B$8)</f>
        <v>-0.11384933173594751</v>
      </c>
      <c r="AA129" s="8">
        <f t="shared" si="18"/>
        <v>10</v>
      </c>
      <c r="AB129" s="5">
        <f>IF(OR(A129="",多次统计数据!$B$8="",多次统计数据!$B$6&lt;=0,多次统计数据!$B$6&gt;=1),"",1-POWER(1+多次统计数据!$B$8,-多次统计数据!$B$6/(1-多次统计数据!$B$6)))</f>
        <v>8.152013270062719E-2</v>
      </c>
      <c r="AC129" s="6" t="str">
        <f>IF(OR(AB129="",多次统计数据!$B$9=""),"",IF(多次统计数据!$B$9&lt;AB129,"低于上限","达到或超过上限"))</f>
        <v>低于上限</v>
      </c>
      <c r="AD129" s="10"/>
      <c r="AE129" s="5">
        <f t="shared" si="19"/>
        <v>-3.6366628270528339E-3</v>
      </c>
      <c r="AG129" s="10" t="s">
        <v>48</v>
      </c>
      <c r="AH129" s="10" t="s">
        <v>46</v>
      </c>
      <c r="AI129" s="10" t="s">
        <v>50</v>
      </c>
      <c r="AJ129" s="6" t="str">
        <f t="shared" si="20"/>
        <v>匹配</v>
      </c>
      <c r="AK129" s="23">
        <f>IF(A129="","",COUNTIFS(加仓管理!$A$2:$A$1001,A129,加仓管理!$G$2:$G$1001,"&gt;0"))</f>
        <v>0</v>
      </c>
      <c r="AL129" s="23">
        <f>IF(A129="","",SUMIFS(加仓管理!$G$2:$G$1001,加仓管理!$A$2:$A$1001,A129))</f>
        <v>0</v>
      </c>
      <c r="AM129" s="24" t="str">
        <f>IF(AK129=0,"",IFERROR(LOOKUP(2,1/((加仓管理!$A$2:$A$1001=A129)*(加仓管理!$G$2:$G$1001&gt;0)),加仓管理!$D$2:$D$1001),""))</f>
        <v/>
      </c>
      <c r="AN129" s="24" t="str">
        <f>IF(AK129=0,"",IFERROR(LOOKUP(2,1/((加仓管理!$A$2:$A$1001=A129)*(加仓管理!$G$2:$G$1001&gt;0)),加仓管理!$E$2:$E$1001),""))</f>
        <v/>
      </c>
      <c r="AO129" s="24">
        <f>IF(OR(A129="",H129="",H129&lt;=0),"",(E129*H129+SUMIFS(加仓管理!$H$2:$H$1001,加仓管理!$A$2:$A$1001,A129))/AP129)</f>
        <v>57.09</v>
      </c>
      <c r="AP129" s="23">
        <f t="shared" si="21"/>
        <v>3400</v>
      </c>
      <c r="AQ129" s="24">
        <f>IF(A129="","",IF(M129&lt;&gt;"",0,IF(OR(H129="",N129=""),"",MAX((E129*H129+SUMIFS(加仓管理!$H$2:$H$1001,加仓管理!$A$2:$A$1001,A129))-MAX(N129,AN129)*AP129,0))))</f>
        <v>0</v>
      </c>
      <c r="AR129" s="24" t="str">
        <f>IF(A129="","",IF(OR(E129="",H129=""),"违规：首次买入价格或股数缺失",IF(COUNTIFS(加仓管理!$A$2:$A$1001,A129,加仓管理!$R$2:$R$1001,"违规*")&gt;0,"违规：请检查加仓管理表",IF(SUM($AQ$2:$AQ$201)&gt;账户数据!$B$7,"预警：超过账户风险上限",IF(COUNTIFS(加仓管理!$A$2:$A$1001,A129,加仓管理!$N$2:$N$1001,"&gt;0",加仓管理!$G$2:$G$1001,"")&gt;0,"提示：存在待执行加仓计划","通过")))))</f>
        <v>通过</v>
      </c>
    </row>
    <row r="130" spans="1:44">
      <c r="A130" s="10">
        <v>129</v>
      </c>
      <c r="B130" s="37" t="s">
        <v>55</v>
      </c>
      <c r="C130" s="7">
        <v>1210980</v>
      </c>
      <c r="D130" s="4">
        <v>0.02</v>
      </c>
      <c r="E130" s="7">
        <v>42.1</v>
      </c>
      <c r="F130" s="6">
        <f t="shared" ref="F130:F193" si="22">IF(OR(C130="",D130="",E130="",N130="",C130&lt;=0,D130&lt;=0,E130&lt;=N130),"",ROUNDDOWN((C130*D130)/(E130-N130)/100,0)*100)</f>
        <v>11500</v>
      </c>
      <c r="G130" s="6" t="str">
        <f>IF(A130="","",IF(H130&lt;&gt;"","已开仓",IF(账户数据!$B$23="已锁仓","禁止开仓：连续亏损达到上限",IF(账户数据!$B$23="解锁信息不完整","禁止开仓：请完整填写解锁信息",IF(OR(F130="",E130="",N130="",E130&lt;=N130,账户数据!$B$7=""),"",IF(OR(AG130="",AH130="",AI130=""),"禁止开仓：交易预期未填写完整",IF(账户数据!$B$9+F130*(E130-N130)&gt;=账户数据!$B$7,"禁止开仓：风险额度不足",IF(AJ130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30" s="10">
        <v>5000</v>
      </c>
      <c r="I130" s="21">
        <v>45219</v>
      </c>
      <c r="J130" s="7">
        <v>50</v>
      </c>
      <c r="K130" s="3">
        <v>44.71</v>
      </c>
      <c r="L130" s="6">
        <f t="shared" ref="L130:L193" si="23">IF(AP130="","",AP130)</f>
        <v>5000</v>
      </c>
      <c r="M130" s="39">
        <v>45230</v>
      </c>
      <c r="N130" s="7">
        <v>40</v>
      </c>
      <c r="O130" s="7"/>
      <c r="P130" s="3"/>
      <c r="Q130" s="10"/>
      <c r="R130" s="10"/>
      <c r="S130" s="10"/>
      <c r="T130" s="10"/>
      <c r="U130" s="5">
        <f t="shared" ref="U130:U193" si="24">IF(OR(AO130="",J130="",AO130&lt;=0),"",(J130-AO130)/AO130)</f>
        <v>0.18764845605700708</v>
      </c>
      <c r="V130" s="5">
        <f t="shared" ref="V130:V193" si="25">IF(OR(AO130="",N130="",AO130&lt;=0),"",(AO130-N130)/AO130)</f>
        <v>4.9881235154394334E-2</v>
      </c>
      <c r="W130" s="22">
        <f t="shared" ref="W130:W193" si="26">IF(OR(U130="",V130="",V130&lt;=0),"",U130/V130)</f>
        <v>3.7619047619047583</v>
      </c>
      <c r="X130" s="3">
        <f t="shared" ref="X130:X193" si="27">IF(OR(K130="",L130="",AO130="",AP130=""),"",(K130-AO130)*L130-IF(O130="",0,O130)-IF(P130="",0,P130))</f>
        <v>13049.999999999996</v>
      </c>
      <c r="Y130" s="5">
        <f t="shared" ref="Y130:Y193" si="28">IF(OR(X130="",AO130="",L130=""),"",IF(AO130*L130+IF(O130="",0,O130)&lt;=0,"",X130/(AO130*L130+IF(O130="",0,O130))))</f>
        <v>6.1995249406175755E-2</v>
      </c>
      <c r="Z130" s="5">
        <f>IF(OR(AE130="",多次统计数据!$B$8=""),"",AE130-多次统计数据!$B$8)</f>
        <v>-9.9436272932082514E-2</v>
      </c>
      <c r="AA130" s="8">
        <f t="shared" ref="AA130:AA193" si="29">IF(OR(I130="",M130="",M130&lt;I130),"",M130-I130)</f>
        <v>11</v>
      </c>
      <c r="AB130" s="5">
        <f>IF(OR(A130="",多次统计数据!$B$8="",多次统计数据!$B$6&lt;=0,多次统计数据!$B$6&gt;=1),"",1-POWER(1+多次统计数据!$B$8,-多次统计数据!$B$6/(1-多次统计数据!$B$6)))</f>
        <v>8.152013270062719E-2</v>
      </c>
      <c r="AC130" s="6" t="str">
        <f>IF(OR(AB130="",多次统计数据!$B$9=""),"",IF(多次统计数据!$B$9&lt;AB130,"低于上限","达到或超过上限"))</f>
        <v>低于上限</v>
      </c>
      <c r="AD130" s="10"/>
      <c r="AE130" s="5">
        <f t="shared" ref="AE130:AE193" si="30">IF(OR(X130="",C130="",C130&lt;=0),"",X130/C130)</f>
        <v>1.0776395976812165E-2</v>
      </c>
      <c r="AG130" s="10" t="s">
        <v>48</v>
      </c>
      <c r="AH130" s="10" t="s">
        <v>46</v>
      </c>
      <c r="AI130" s="10" t="s">
        <v>50</v>
      </c>
      <c r="AJ130" s="6" t="str">
        <f t="shared" ref="AJ130:AJ193" si="31">IF(OR(AG130="",AH130=""),"",IF(OR(AND(AG130="短期博反弹",OR(AH130="1～3个交易日",AH130="4～10个交易日")),AND(AG130="突破冲新高",OR(AH130="4～10个交易日",AH130="11～20个交易日")),AND(AG130="趋势波段",OR(AH130="11～20个交易日",AH130="21～60个交易日",AH130="60个交易日以上"))),"匹配","周期与交易预期不匹配，请重新确认"))</f>
        <v>匹配</v>
      </c>
      <c r="AK130" s="23">
        <f>IF(A130="","",COUNTIFS(加仓管理!$A$2:$A$1001,A130,加仓管理!$G$2:$G$1001,"&gt;0"))</f>
        <v>0</v>
      </c>
      <c r="AL130" s="23">
        <f>IF(A130="","",SUMIFS(加仓管理!$G$2:$G$1001,加仓管理!$A$2:$A$1001,A130))</f>
        <v>0</v>
      </c>
      <c r="AM130" s="24" t="str">
        <f>IF(AK130=0,"",IFERROR(LOOKUP(2,1/((加仓管理!$A$2:$A$1001=A130)*(加仓管理!$G$2:$G$1001&gt;0)),加仓管理!$D$2:$D$1001),""))</f>
        <v/>
      </c>
      <c r="AN130" s="24" t="str">
        <f>IF(AK130=0,"",IFERROR(LOOKUP(2,1/((加仓管理!$A$2:$A$1001=A130)*(加仓管理!$G$2:$G$1001&gt;0)),加仓管理!$E$2:$E$1001),""))</f>
        <v/>
      </c>
      <c r="AO130" s="24">
        <f>IF(OR(A130="",H130="",H130&lt;=0),"",(E130*H130+SUMIFS(加仓管理!$H$2:$H$1001,加仓管理!$A$2:$A$1001,A130))/AP130)</f>
        <v>42.1</v>
      </c>
      <c r="AP130" s="23">
        <f t="shared" ref="AP130:AP193" si="32">IF(OR(A130="",H130="",H130&lt;=0),"",H130+AL130)</f>
        <v>5000</v>
      </c>
      <c r="AQ130" s="24">
        <f>IF(A130="","",IF(M130&lt;&gt;"",0,IF(OR(H130="",N130=""),"",MAX((E130*H130+SUMIFS(加仓管理!$H$2:$H$1001,加仓管理!$A$2:$A$1001,A130))-MAX(N130,AN130)*AP130,0))))</f>
        <v>0</v>
      </c>
      <c r="AR130" s="24" t="str">
        <f>IF(A130="","",IF(OR(E130="",H130=""),"违规：首次买入价格或股数缺失",IF(COUNTIFS(加仓管理!$A$2:$A$1001,A130,加仓管理!$R$2:$R$1001,"违规*")&gt;0,"违规：请检查加仓管理表",IF(SUM($AQ$2:$AQ$201)&gt;账户数据!$B$7,"预警：超过账户风险上限",IF(COUNTIFS(加仓管理!$A$2:$A$1001,A130,加仓管理!$N$2:$N$1001,"&gt;0",加仓管理!$G$2:$G$1001,"")&gt;0,"提示：存在待执行加仓计划","通过")))))</f>
        <v>通过</v>
      </c>
    </row>
    <row r="131" spans="1:44">
      <c r="A131" s="10">
        <v>130</v>
      </c>
      <c r="B131" s="37" t="s">
        <v>55</v>
      </c>
      <c r="C131" s="7">
        <v>1224030</v>
      </c>
      <c r="D131" s="4">
        <v>0.02</v>
      </c>
      <c r="E131" s="7">
        <v>31.09</v>
      </c>
      <c r="F131" s="6">
        <f t="shared" si="22"/>
        <v>22400</v>
      </c>
      <c r="G131" s="6" t="str">
        <f>IF(A131="","",IF(H131&lt;&gt;"","已开仓",IF(账户数据!$B$23="已锁仓","禁止开仓：连续亏损达到上限",IF(账户数据!$B$23="解锁信息不完整","禁止开仓：请完整填写解锁信息",IF(OR(F131="",E131="",N131="",E131&lt;=N131,账户数据!$B$7=""),"",IF(OR(AG131="",AH131="",AI131=""),"禁止开仓：交易预期未填写完整",IF(账户数据!$B$9+F131*(E131-N131)&gt;=账户数据!$B$7,"禁止开仓：风险额度不足",IF(AJ131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31" s="10">
        <v>10000</v>
      </c>
      <c r="I131" s="21">
        <v>45324</v>
      </c>
      <c r="J131" s="7">
        <v>35</v>
      </c>
      <c r="K131" s="3">
        <v>33.44</v>
      </c>
      <c r="L131" s="6">
        <f t="shared" si="23"/>
        <v>10000</v>
      </c>
      <c r="M131" s="39">
        <v>45341</v>
      </c>
      <c r="N131" s="7">
        <v>30</v>
      </c>
      <c r="O131" s="7"/>
      <c r="P131" s="3"/>
      <c r="Q131" s="10"/>
      <c r="R131" s="10"/>
      <c r="S131" s="10"/>
      <c r="T131" s="10"/>
      <c r="U131" s="5">
        <f t="shared" si="24"/>
        <v>0.12576391122547442</v>
      </c>
      <c r="V131" s="5">
        <f t="shared" si="25"/>
        <v>3.5059504663879054E-2</v>
      </c>
      <c r="W131" s="22">
        <f t="shared" si="26"/>
        <v>3.5871559633027528</v>
      </c>
      <c r="X131" s="3">
        <f t="shared" si="27"/>
        <v>23499.999999999978</v>
      </c>
      <c r="Y131" s="5">
        <f t="shared" si="28"/>
        <v>7.5587005467996071E-2</v>
      </c>
      <c r="Z131" s="5">
        <f>IF(OR(AE131="",多次统计数据!$B$8=""),"",AE131-多次统计数据!$B$8)</f>
        <v>-9.1013793064348397E-2</v>
      </c>
      <c r="AA131" s="8">
        <f t="shared" si="29"/>
        <v>17</v>
      </c>
      <c r="AB131" s="5">
        <f>IF(OR(A131="",多次统计数据!$B$8="",多次统计数据!$B$6&lt;=0,多次统计数据!$B$6&gt;=1),"",1-POWER(1+多次统计数据!$B$8,-多次统计数据!$B$6/(1-多次统计数据!$B$6)))</f>
        <v>8.152013270062719E-2</v>
      </c>
      <c r="AC131" s="6" t="str">
        <f>IF(OR(AB131="",多次统计数据!$B$9=""),"",IF(多次统计数据!$B$9&lt;AB131,"低于上限","达到或超过上限"))</f>
        <v>低于上限</v>
      </c>
      <c r="AD131" s="10"/>
      <c r="AE131" s="5">
        <f t="shared" si="30"/>
        <v>1.9198875844546277E-2</v>
      </c>
      <c r="AG131" s="10" t="s">
        <v>48</v>
      </c>
      <c r="AH131" s="10" t="s">
        <v>46</v>
      </c>
      <c r="AI131" s="10" t="s">
        <v>50</v>
      </c>
      <c r="AJ131" s="6" t="str">
        <f t="shared" si="31"/>
        <v>匹配</v>
      </c>
      <c r="AK131" s="23">
        <f>IF(A131="","",COUNTIFS(加仓管理!$A$2:$A$1001,A131,加仓管理!$G$2:$G$1001,"&gt;0"))</f>
        <v>0</v>
      </c>
      <c r="AL131" s="23">
        <f>IF(A131="","",SUMIFS(加仓管理!$G$2:$G$1001,加仓管理!$A$2:$A$1001,A131))</f>
        <v>0</v>
      </c>
      <c r="AM131" s="24" t="str">
        <f>IF(AK131=0,"",IFERROR(LOOKUP(2,1/((加仓管理!$A$2:$A$1001=A131)*(加仓管理!$G$2:$G$1001&gt;0)),加仓管理!$D$2:$D$1001),""))</f>
        <v/>
      </c>
      <c r="AN131" s="24" t="str">
        <f>IF(AK131=0,"",IFERROR(LOOKUP(2,1/((加仓管理!$A$2:$A$1001=A131)*(加仓管理!$G$2:$G$1001&gt;0)),加仓管理!$E$2:$E$1001),""))</f>
        <v/>
      </c>
      <c r="AO131" s="24">
        <f>IF(OR(A131="",H131="",H131&lt;=0),"",(E131*H131+SUMIFS(加仓管理!$H$2:$H$1001,加仓管理!$A$2:$A$1001,A131))/AP131)</f>
        <v>31.09</v>
      </c>
      <c r="AP131" s="23">
        <f t="shared" si="32"/>
        <v>10000</v>
      </c>
      <c r="AQ131" s="24">
        <f>IF(A131="","",IF(M131&lt;&gt;"",0,IF(OR(H131="",N131=""),"",MAX((E131*H131+SUMIFS(加仓管理!$H$2:$H$1001,加仓管理!$A$2:$A$1001,A131))-MAX(N131,AN131)*AP131,0))))</f>
        <v>0</v>
      </c>
      <c r="AR131" s="24" t="str">
        <f>IF(A131="","",IF(OR(E131="",H131=""),"违规：首次买入价格或股数缺失",IF(COUNTIFS(加仓管理!$A$2:$A$1001,A131,加仓管理!$R$2:$R$1001,"违规*")&gt;0,"违规：请检查加仓管理表",IF(SUM($AQ$2:$AQ$201)&gt;账户数据!$B$7,"预警：超过账户风险上限",IF(COUNTIFS(加仓管理!$A$2:$A$1001,A131,加仓管理!$N$2:$N$1001,"&gt;0",加仓管理!$G$2:$G$1001,"")&gt;0,"提示：存在待执行加仓计划","通过")))))</f>
        <v>通过</v>
      </c>
    </row>
    <row r="132" spans="1:44">
      <c r="A132" s="10">
        <v>131</v>
      </c>
      <c r="B132" s="37" t="s">
        <v>55</v>
      </c>
      <c r="C132" s="7">
        <v>1247530</v>
      </c>
      <c r="D132" s="4">
        <v>0.02</v>
      </c>
      <c r="E132" s="7">
        <v>39.57</v>
      </c>
      <c r="F132" s="6">
        <f t="shared" si="22"/>
        <v>5400</v>
      </c>
      <c r="G132" s="6" t="str">
        <f>IF(A132="","",IF(H132&lt;&gt;"","已开仓",IF(账户数据!$B$23="已锁仓","禁止开仓：连续亏损达到上限",IF(账户数据!$B$23="解锁信息不完整","禁止开仓：请完整填写解锁信息",IF(OR(F132="",E132="",N132="",E132&lt;=N132,账户数据!$B$7=""),"",IF(OR(AG132="",AH132="",AI132=""),"禁止开仓：交易预期未填写完整",IF(账户数据!$B$9+F132*(E132-N132)&gt;=账户数据!$B$7,"禁止开仓：风险额度不足",IF(AJ132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32" s="10">
        <v>5400</v>
      </c>
      <c r="I132" s="21">
        <v>45446</v>
      </c>
      <c r="J132" s="7">
        <v>45</v>
      </c>
      <c r="K132" s="3">
        <v>39.54</v>
      </c>
      <c r="L132" s="6">
        <f t="shared" si="23"/>
        <v>8400</v>
      </c>
      <c r="M132" s="39">
        <v>45455</v>
      </c>
      <c r="N132" s="7">
        <v>35</v>
      </c>
      <c r="O132" s="7"/>
      <c r="P132" s="3"/>
      <c r="Q132" s="10"/>
      <c r="R132" s="10"/>
      <c r="S132" s="10"/>
      <c r="T132" s="10"/>
      <c r="U132" s="5">
        <f t="shared" si="24"/>
        <v>0.10792606791762659</v>
      </c>
      <c r="V132" s="5">
        <f t="shared" si="25"/>
        <v>0.13827972495295709</v>
      </c>
      <c r="W132" s="22">
        <f t="shared" si="26"/>
        <v>0.78049090677858335</v>
      </c>
      <c r="X132" s="3">
        <f t="shared" si="27"/>
        <v>-9042.0000000000036</v>
      </c>
      <c r="Y132" s="5">
        <f t="shared" si="28"/>
        <v>-2.6502294989712127E-2</v>
      </c>
      <c r="Z132" s="5">
        <f>IF(OR(AE132="",多次统计数据!$B$8=""),"",AE132-多次统计数据!$B$8)</f>
        <v>-0.11746059080255657</v>
      </c>
      <c r="AA132" s="8">
        <f t="shared" si="29"/>
        <v>9</v>
      </c>
      <c r="AB132" s="5">
        <f>IF(OR(A132="",多次统计数据!$B$8="",多次统计数据!$B$6&lt;=0,多次统计数据!$B$6&gt;=1),"",1-POWER(1+多次统计数据!$B$8,-多次统计数据!$B$6/(1-多次统计数据!$B$6)))</f>
        <v>8.152013270062719E-2</v>
      </c>
      <c r="AC132" s="6" t="str">
        <f>IF(OR(AB132="",多次统计数据!$B$9=""),"",IF(多次统计数据!$B$9&lt;AB132,"低于上限","达到或超过上限"))</f>
        <v>低于上限</v>
      </c>
      <c r="AD132" s="10"/>
      <c r="AE132" s="5">
        <f t="shared" si="30"/>
        <v>-7.2479218936618789E-3</v>
      </c>
      <c r="AG132" s="10" t="s">
        <v>45</v>
      </c>
      <c r="AH132" s="10" t="s">
        <v>46</v>
      </c>
      <c r="AI132" s="40" t="s">
        <v>157</v>
      </c>
      <c r="AJ132" s="6" t="str">
        <f t="shared" si="31"/>
        <v>匹配</v>
      </c>
      <c r="AK132" s="23">
        <f>IF(A132="","",COUNTIFS(加仓管理!$A$2:$A$1001,A132,加仓管理!$G$2:$G$1001,"&gt;0"))</f>
        <v>1</v>
      </c>
      <c r="AL132" s="23">
        <f>IF(A132="","",SUMIFS(加仓管理!$G$2:$G$1001,加仓管理!$A$2:$A$1001,A132))</f>
        <v>3000</v>
      </c>
      <c r="AM132" s="24">
        <f>IF(AK132=0,"",IFERROR(LOOKUP(2,1/((加仓管理!$A$2:$A$1001=A132)*(加仓管理!$G$2:$G$1001&gt;0)),加仓管理!$D$2:$D$1001),""))</f>
        <v>42.5</v>
      </c>
      <c r="AN132" s="24">
        <f>IF(AK132=0,"",IFERROR(LOOKUP(2,1/((加仓管理!$A$2:$A$1001=A132)*(加仓管理!$G$2:$G$1001&gt;0)),加仓管理!$E$2:$E$1001),""))</f>
        <v>40</v>
      </c>
      <c r="AO132" s="24">
        <f>IF(OR(A132="",H132="",H132&lt;=0),"",(E132*H132+SUMIFS(加仓管理!$H$2:$H$1001,加仓管理!$A$2:$A$1001,A132))/AP132)</f>
        <v>40.616428571428571</v>
      </c>
      <c r="AP132" s="23">
        <f t="shared" si="32"/>
        <v>8400</v>
      </c>
      <c r="AQ132" s="24">
        <f>IF(A132="","",IF(M132&lt;&gt;"",0,IF(OR(H132="",N132=""),"",MAX((E132*H132+SUMIFS(加仓管理!$H$2:$H$1001,加仓管理!$A$2:$A$1001,A132))-MAX(N132,AN132)*AP132,0))))</f>
        <v>0</v>
      </c>
      <c r="AR132" s="24" t="str">
        <f>IF(A132="","",IF(OR(E132="",H132=""),"违规：首次买入价格或股数缺失",IF(COUNTIFS(加仓管理!$A$2:$A$1001,A132,加仓管理!$R$2:$R$1001,"违规*")&gt;0,"违规：请检查加仓管理表",IF(SUM($AQ$2:$AQ$201)&gt;账户数据!$B$7,"预警：超过账户风险上限",IF(COUNTIFS(加仓管理!$A$2:$A$1001,A132,加仓管理!$N$2:$N$1001,"&gt;0",加仓管理!$G$2:$G$1001,"")&gt;0,"提示：存在待执行加仓计划","通过")))))</f>
        <v>违规：请检查加仓管理表</v>
      </c>
    </row>
    <row r="133" spans="1:44">
      <c r="A133" s="10">
        <v>132</v>
      </c>
      <c r="B133" s="37" t="s">
        <v>55</v>
      </c>
      <c r="C133" s="7">
        <v>1238488</v>
      </c>
      <c r="D133" s="4">
        <v>0.02</v>
      </c>
      <c r="E133" s="7">
        <v>40.74</v>
      </c>
      <c r="F133" s="6">
        <f t="shared" si="22"/>
        <v>33400</v>
      </c>
      <c r="G133" s="6" t="str">
        <f>IF(A133="","",IF(H133&lt;&gt;"","已开仓",IF(账户数据!$B$23="已锁仓","禁止开仓：连续亏损达到上限",IF(账户数据!$B$23="解锁信息不完整","禁止开仓：请完整填写解锁信息",IF(OR(F133="",E133="",N133="",E133&lt;=N133,账户数据!$B$7=""),"",IF(OR(AG133="",AH133="",AI133=""),"禁止开仓：交易预期未填写完整",IF(账户数据!$B$9+F133*(E133-N133)&gt;=账户数据!$B$7,"禁止开仓：风险额度不足",IF(AJ133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33" s="10">
        <v>10000</v>
      </c>
      <c r="I133" s="21">
        <v>45467</v>
      </c>
      <c r="J133" s="7">
        <v>45</v>
      </c>
      <c r="K133" s="3">
        <v>39.69</v>
      </c>
      <c r="L133" s="6">
        <f t="shared" si="23"/>
        <v>10000</v>
      </c>
      <c r="M133" s="39">
        <v>45468</v>
      </c>
      <c r="N133" s="7">
        <v>40</v>
      </c>
      <c r="O133" s="7"/>
      <c r="P133" s="3"/>
      <c r="Q133" s="10"/>
      <c r="R133" s="10"/>
      <c r="S133" s="10"/>
      <c r="T133" s="10"/>
      <c r="U133" s="5">
        <f t="shared" si="24"/>
        <v>0.10456553755522822</v>
      </c>
      <c r="V133" s="5">
        <f t="shared" si="25"/>
        <v>1.8163966617574911E-2</v>
      </c>
      <c r="W133" s="22">
        <f t="shared" si="26"/>
        <v>5.7567567567567393</v>
      </c>
      <c r="X133" s="3">
        <f t="shared" si="27"/>
        <v>-10500.000000000042</v>
      </c>
      <c r="Y133" s="5">
        <f t="shared" si="28"/>
        <v>-2.5773195876288763E-2</v>
      </c>
      <c r="Z133" s="5">
        <f>IF(OR(AE133="",多次统计数据!$B$8=""),"",AE133-多次统计数据!$B$8)</f>
        <v>-0.11869074863191181</v>
      </c>
      <c r="AA133" s="8">
        <f t="shared" si="29"/>
        <v>1</v>
      </c>
      <c r="AB133" s="5">
        <f>IF(OR(A133="",多次统计数据!$B$8="",多次统计数据!$B$6&lt;=0,多次统计数据!$B$6&gt;=1),"",1-POWER(1+多次统计数据!$B$8,-多次统计数据!$B$6/(1-多次统计数据!$B$6)))</f>
        <v>8.152013270062719E-2</v>
      </c>
      <c r="AC133" s="6" t="str">
        <f>IF(OR(AB133="",多次统计数据!$B$9=""),"",IF(多次统计数据!$B$9&lt;AB133,"低于上限","达到或超过上限"))</f>
        <v>低于上限</v>
      </c>
      <c r="AD133" s="10"/>
      <c r="AE133" s="5">
        <f t="shared" si="30"/>
        <v>-8.4780797230171318E-3</v>
      </c>
      <c r="AG133" s="10" t="s">
        <v>45</v>
      </c>
      <c r="AH133" s="10" t="s">
        <v>46</v>
      </c>
      <c r="AI133" s="40" t="s">
        <v>157</v>
      </c>
      <c r="AJ133" s="6" t="str">
        <f t="shared" si="31"/>
        <v>匹配</v>
      </c>
      <c r="AK133" s="23">
        <f>IF(A133="","",COUNTIFS(加仓管理!$A$2:$A$1001,A133,加仓管理!$G$2:$G$1001,"&gt;0"))</f>
        <v>0</v>
      </c>
      <c r="AL133" s="23">
        <f>IF(A133="","",SUMIFS(加仓管理!$G$2:$G$1001,加仓管理!$A$2:$A$1001,A133))</f>
        <v>0</v>
      </c>
      <c r="AM133" s="24" t="str">
        <f>IF(AK133=0,"",IFERROR(LOOKUP(2,1/((加仓管理!$A$2:$A$1001=A133)*(加仓管理!$G$2:$G$1001&gt;0)),加仓管理!$D$2:$D$1001),""))</f>
        <v/>
      </c>
      <c r="AN133" s="24" t="str">
        <f>IF(AK133=0,"",IFERROR(LOOKUP(2,1/((加仓管理!$A$2:$A$1001=A133)*(加仓管理!$G$2:$G$1001&gt;0)),加仓管理!$E$2:$E$1001),""))</f>
        <v/>
      </c>
      <c r="AO133" s="24">
        <f>IF(OR(A133="",H133="",H133&lt;=0),"",(E133*H133+SUMIFS(加仓管理!$H$2:$H$1001,加仓管理!$A$2:$A$1001,A133))/AP133)</f>
        <v>40.74</v>
      </c>
      <c r="AP133" s="23">
        <f t="shared" si="32"/>
        <v>10000</v>
      </c>
      <c r="AQ133" s="24">
        <f>IF(A133="","",IF(M133&lt;&gt;"",0,IF(OR(H133="",N133=""),"",MAX((E133*H133+SUMIFS(加仓管理!$H$2:$H$1001,加仓管理!$A$2:$A$1001,A133))-MAX(N133,AN133)*AP133,0))))</f>
        <v>0</v>
      </c>
      <c r="AR133" s="24" t="str">
        <f>IF(A133="","",IF(OR(E133="",H133=""),"违规：首次买入价格或股数缺失",IF(COUNTIFS(加仓管理!$A$2:$A$1001,A133,加仓管理!$R$2:$R$1001,"违规*")&gt;0,"违规：请检查加仓管理表",IF(SUM($AQ$2:$AQ$201)&gt;账户数据!$B$7,"预警：超过账户风险上限",IF(COUNTIFS(加仓管理!$A$2:$A$1001,A133,加仓管理!$N$2:$N$1001,"&gt;0",加仓管理!$G$2:$G$1001,"")&gt;0,"提示：存在待执行加仓计划","通过")))))</f>
        <v>通过</v>
      </c>
    </row>
    <row r="134" spans="1:44">
      <c r="A134" s="10">
        <v>133</v>
      </c>
      <c r="B134" s="37" t="s">
        <v>55</v>
      </c>
      <c r="C134" s="7">
        <v>1227988</v>
      </c>
      <c r="D134" s="4">
        <v>0.02</v>
      </c>
      <c r="E134" s="7">
        <v>36.24</v>
      </c>
      <c r="F134" s="6">
        <f t="shared" si="22"/>
        <v>19800</v>
      </c>
      <c r="G134" s="6" t="str">
        <f>IF(A134="","",IF(H134&lt;&gt;"","已开仓",IF(账户数据!$B$23="已锁仓","禁止开仓：连续亏损达到上限",IF(账户数据!$B$23="解锁信息不完整","禁止开仓：请完整填写解锁信息",IF(OR(F134="",E134="",N134="",E134&lt;=N134,账户数据!$B$7=""),"",IF(OR(AG134="",AH134="",AI134=""),"禁止开仓：交易预期未填写完整",IF(账户数据!$B$9+F134*(E134-N134)&gt;=账户数据!$B$7,"禁止开仓：风险额度不足",IF(AJ134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34" s="10">
        <v>10000</v>
      </c>
      <c r="I134" s="21">
        <v>45478</v>
      </c>
      <c r="J134" s="7">
        <v>40</v>
      </c>
      <c r="K134" s="3">
        <v>34.33</v>
      </c>
      <c r="L134" s="6">
        <f t="shared" si="23"/>
        <v>10000</v>
      </c>
      <c r="M134" s="39">
        <v>45482</v>
      </c>
      <c r="N134" s="7">
        <v>35</v>
      </c>
      <c r="O134" s="7"/>
      <c r="P134" s="3"/>
      <c r="Q134" s="10"/>
      <c r="R134" s="10"/>
      <c r="S134" s="10"/>
      <c r="T134" s="10"/>
      <c r="U134" s="5">
        <f t="shared" si="24"/>
        <v>0.10375275938189839</v>
      </c>
      <c r="V134" s="5">
        <f t="shared" si="25"/>
        <v>3.4216335540838902E-2</v>
      </c>
      <c r="W134" s="22">
        <f t="shared" si="26"/>
        <v>3.0322580645161228</v>
      </c>
      <c r="X134" s="3">
        <f t="shared" si="27"/>
        <v>-19100.000000000036</v>
      </c>
      <c r="Y134" s="5">
        <f t="shared" si="28"/>
        <v>-5.2704194260485754E-2</v>
      </c>
      <c r="Z134" s="5">
        <f>IF(OR(AE134="",多次统计数据!$B$8=""),"",AE134-多次统计数据!$B$8)</f>
        <v>-0.12576656682972129</v>
      </c>
      <c r="AA134" s="8">
        <f t="shared" si="29"/>
        <v>4</v>
      </c>
      <c r="AB134" s="5">
        <f>IF(OR(A134="",多次统计数据!$B$8="",多次统计数据!$B$6&lt;=0,多次统计数据!$B$6&gt;=1),"",1-POWER(1+多次统计数据!$B$8,-多次统计数据!$B$6/(1-多次统计数据!$B$6)))</f>
        <v>8.152013270062719E-2</v>
      </c>
      <c r="AC134" s="6" t="str">
        <f>IF(OR(AB134="",多次统计数据!$B$9=""),"",IF(多次统计数据!$B$9&lt;AB134,"低于上限","达到或超过上限"))</f>
        <v>低于上限</v>
      </c>
      <c r="AD134" s="10"/>
      <c r="AE134" s="5">
        <f t="shared" si="30"/>
        <v>-1.5553897920826617E-2</v>
      </c>
      <c r="AG134" s="10" t="s">
        <v>51</v>
      </c>
      <c r="AH134" s="10" t="s">
        <v>52</v>
      </c>
      <c r="AI134" s="10" t="s">
        <v>49</v>
      </c>
      <c r="AJ134" s="6" t="str">
        <f t="shared" si="31"/>
        <v>匹配</v>
      </c>
      <c r="AK134" s="23">
        <f>IF(A134="","",COUNTIFS(加仓管理!$A$2:$A$1001,A134,加仓管理!$G$2:$G$1001,"&gt;0"))</f>
        <v>0</v>
      </c>
      <c r="AL134" s="23">
        <f>IF(A134="","",SUMIFS(加仓管理!$G$2:$G$1001,加仓管理!$A$2:$A$1001,A134))</f>
        <v>0</v>
      </c>
      <c r="AM134" s="24" t="str">
        <f>IF(AK134=0,"",IFERROR(LOOKUP(2,1/((加仓管理!$A$2:$A$1001=A134)*(加仓管理!$G$2:$G$1001&gt;0)),加仓管理!$D$2:$D$1001),""))</f>
        <v/>
      </c>
      <c r="AN134" s="24" t="str">
        <f>IF(AK134=0,"",IFERROR(LOOKUP(2,1/((加仓管理!$A$2:$A$1001=A134)*(加仓管理!$G$2:$G$1001&gt;0)),加仓管理!$E$2:$E$1001),""))</f>
        <v/>
      </c>
      <c r="AO134" s="24">
        <f>IF(OR(A134="",H134="",H134&lt;=0),"",(E134*H134+SUMIFS(加仓管理!$H$2:$H$1001,加仓管理!$A$2:$A$1001,A134))/AP134)</f>
        <v>36.24</v>
      </c>
      <c r="AP134" s="23">
        <f t="shared" si="32"/>
        <v>10000</v>
      </c>
      <c r="AQ134" s="24">
        <f>IF(A134="","",IF(M134&lt;&gt;"",0,IF(OR(H134="",N134=""),"",MAX((E134*H134+SUMIFS(加仓管理!$H$2:$H$1001,加仓管理!$A$2:$A$1001,A134))-MAX(N134,AN134)*AP134,0))))</f>
        <v>0</v>
      </c>
      <c r="AR134" s="24" t="str">
        <f>IF(A134="","",IF(OR(E134="",H134=""),"违规：首次买入价格或股数缺失",IF(COUNTIFS(加仓管理!$A$2:$A$1001,A134,加仓管理!$R$2:$R$1001,"违规*")&gt;0,"违规：请检查加仓管理表",IF(SUM($AQ$2:$AQ$201)&gt;账户数据!$B$7,"预警：超过账户风险上限",IF(COUNTIFS(加仓管理!$A$2:$A$1001,A134,加仓管理!$N$2:$N$1001,"&gt;0",加仓管理!$G$2:$G$1001,"")&gt;0,"提示：存在待执行加仓计划","通过")))))</f>
        <v>通过</v>
      </c>
    </row>
    <row r="135" spans="1:44">
      <c r="A135" s="10">
        <v>134</v>
      </c>
      <c r="B135" s="37" t="s">
        <v>55</v>
      </c>
      <c r="C135" s="7">
        <v>1208888</v>
      </c>
      <c r="D135" s="4">
        <v>0.02</v>
      </c>
      <c r="E135" s="7">
        <v>36.119999999999997</v>
      </c>
      <c r="F135" s="6">
        <f t="shared" si="22"/>
        <v>21500</v>
      </c>
      <c r="G135" s="6" t="str">
        <f>IF(A135="","",IF(H135&lt;&gt;"","已开仓",IF(账户数据!$B$23="已锁仓","禁止开仓：连续亏损达到上限",IF(账户数据!$B$23="解锁信息不完整","禁止开仓：请完整填写解锁信息",IF(OR(F135="",E135="",N135="",E135&lt;=N135,账户数据!$B$7=""),"",IF(OR(AG135="",AH135="",AI135=""),"禁止开仓：交易预期未填写完整",IF(账户数据!$B$9+F135*(E135-N135)&gt;=账户数据!$B$7,"禁止开仓：风险额度不足",IF(AJ135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35" s="10">
        <v>20000</v>
      </c>
      <c r="I135" s="21">
        <v>45484</v>
      </c>
      <c r="J135" s="7">
        <v>40</v>
      </c>
      <c r="K135" s="3">
        <v>37.44</v>
      </c>
      <c r="L135" s="6">
        <f t="shared" si="23"/>
        <v>20000</v>
      </c>
      <c r="M135" s="39">
        <v>45490</v>
      </c>
      <c r="N135" s="7">
        <v>35</v>
      </c>
      <c r="O135" s="7"/>
      <c r="P135" s="3"/>
      <c r="Q135" s="10"/>
      <c r="R135" s="10"/>
      <c r="S135" s="10"/>
      <c r="T135" s="10"/>
      <c r="U135" s="5">
        <f t="shared" si="24"/>
        <v>0.10741971207087495</v>
      </c>
      <c r="V135" s="5">
        <f t="shared" si="25"/>
        <v>3.1007751937984426E-2</v>
      </c>
      <c r="W135" s="22">
        <f t="shared" si="26"/>
        <v>3.4642857142857246</v>
      </c>
      <c r="X135" s="3">
        <f t="shared" si="27"/>
        <v>26400.000000000007</v>
      </c>
      <c r="Y135" s="5">
        <f t="shared" si="28"/>
        <v>3.6544850498338881E-2</v>
      </c>
      <c r="Z135" s="5">
        <f>IF(OR(AE135="",多次统计数据!$B$8=""),"",AE135-多次统计数据!$B$8)</f>
        <v>-8.8374417557239265E-2</v>
      </c>
      <c r="AA135" s="8">
        <f t="shared" si="29"/>
        <v>6</v>
      </c>
      <c r="AB135" s="5">
        <f>IF(OR(A135="",多次统计数据!$B$8="",多次统计数据!$B$6&lt;=0,多次统计数据!$B$6&gt;=1),"",1-POWER(1+多次统计数据!$B$8,-多次统计数据!$B$6/(1-多次统计数据!$B$6)))</f>
        <v>8.152013270062719E-2</v>
      </c>
      <c r="AC135" s="6" t="str">
        <f>IF(OR(AB135="",多次统计数据!$B$9=""),"",IF(多次统计数据!$B$9&lt;AB135,"低于上限","达到或超过上限"))</f>
        <v>低于上限</v>
      </c>
      <c r="AD135" s="10"/>
      <c r="AE135" s="5">
        <f t="shared" si="30"/>
        <v>2.1838251351655413E-2</v>
      </c>
      <c r="AG135" s="10" t="s">
        <v>51</v>
      </c>
      <c r="AH135" s="10" t="s">
        <v>52</v>
      </c>
      <c r="AI135" s="10" t="s">
        <v>49</v>
      </c>
      <c r="AJ135" s="6" t="str">
        <f t="shared" si="31"/>
        <v>匹配</v>
      </c>
      <c r="AK135" s="23">
        <f>IF(A135="","",COUNTIFS(加仓管理!$A$2:$A$1001,A135,加仓管理!$G$2:$G$1001,"&gt;0"))</f>
        <v>0</v>
      </c>
      <c r="AL135" s="23">
        <f>IF(A135="","",SUMIFS(加仓管理!$G$2:$G$1001,加仓管理!$A$2:$A$1001,A135))</f>
        <v>0</v>
      </c>
      <c r="AM135" s="24" t="str">
        <f>IF(AK135=0,"",IFERROR(LOOKUP(2,1/((加仓管理!$A$2:$A$1001=A135)*(加仓管理!$G$2:$G$1001&gt;0)),加仓管理!$D$2:$D$1001),""))</f>
        <v/>
      </c>
      <c r="AN135" s="24" t="str">
        <f>IF(AK135=0,"",IFERROR(LOOKUP(2,1/((加仓管理!$A$2:$A$1001=A135)*(加仓管理!$G$2:$G$1001&gt;0)),加仓管理!$E$2:$E$1001),""))</f>
        <v/>
      </c>
      <c r="AO135" s="24">
        <f>IF(OR(A135="",H135="",H135&lt;=0),"",(E135*H135+SUMIFS(加仓管理!$H$2:$H$1001,加仓管理!$A$2:$A$1001,A135))/AP135)</f>
        <v>36.119999999999997</v>
      </c>
      <c r="AP135" s="23">
        <f t="shared" si="32"/>
        <v>20000</v>
      </c>
      <c r="AQ135" s="24">
        <f>IF(A135="","",IF(M135&lt;&gt;"",0,IF(OR(H135="",N135=""),"",MAX((E135*H135+SUMIFS(加仓管理!$H$2:$H$1001,加仓管理!$A$2:$A$1001,A135))-MAX(N135,AN135)*AP135,0))))</f>
        <v>0</v>
      </c>
      <c r="AR135" s="24" t="str">
        <f>IF(A135="","",IF(OR(E135="",H135=""),"违规：首次买入价格或股数缺失",IF(COUNTIFS(加仓管理!$A$2:$A$1001,A135,加仓管理!$R$2:$R$1001,"违规*")&gt;0,"违规：请检查加仓管理表",IF(SUM($AQ$2:$AQ$201)&gt;账户数据!$B$7,"预警：超过账户风险上限",IF(COUNTIFS(加仓管理!$A$2:$A$1001,A135,加仓管理!$N$2:$N$1001,"&gt;0",加仓管理!$G$2:$G$1001,"")&gt;0,"提示：存在待执行加仓计划","通过")))))</f>
        <v>通过</v>
      </c>
    </row>
    <row r="136" spans="1:44">
      <c r="A136" s="10">
        <v>135</v>
      </c>
      <c r="B136" s="37" t="s">
        <v>55</v>
      </c>
      <c r="C136" s="7">
        <v>1235288</v>
      </c>
      <c r="D136" s="4">
        <v>0.02</v>
      </c>
      <c r="E136" s="7">
        <v>35.39</v>
      </c>
      <c r="F136" s="6">
        <f t="shared" si="22"/>
        <v>13000</v>
      </c>
      <c r="G136" s="6" t="str">
        <f>IF(A136="","",IF(H136&lt;&gt;"","已开仓",IF(账户数据!$B$23="已锁仓","禁止开仓：连续亏损达到上限",IF(账户数据!$B$23="解锁信息不完整","禁止开仓：请完整填写解锁信息",IF(OR(F136="",E136="",N136="",E136&lt;=N136,账户数据!$B$7=""),"",IF(OR(AG136="",AH136="",AI136=""),"禁止开仓：交易预期未填写完整",IF(账户数据!$B$9+F136*(E136-N136)&gt;=账户数据!$B$7,"禁止开仓：风险额度不足",IF(AJ136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36" s="10">
        <v>13000</v>
      </c>
      <c r="I136" s="21">
        <v>45512</v>
      </c>
      <c r="J136" s="7">
        <v>40</v>
      </c>
      <c r="K136" s="3">
        <v>32.99</v>
      </c>
      <c r="L136" s="6">
        <f t="shared" si="23"/>
        <v>13000</v>
      </c>
      <c r="M136" s="39">
        <v>45526</v>
      </c>
      <c r="N136" s="7">
        <v>33.5</v>
      </c>
      <c r="O136" s="7"/>
      <c r="P136" s="3"/>
      <c r="Q136" s="10"/>
      <c r="R136" s="10"/>
      <c r="S136" s="10"/>
      <c r="T136" s="10"/>
      <c r="U136" s="5">
        <f t="shared" si="24"/>
        <v>0.1302627860977677</v>
      </c>
      <c r="V136" s="5">
        <f t="shared" si="25"/>
        <v>5.340491664311954E-2</v>
      </c>
      <c r="W136" s="22">
        <f t="shared" si="26"/>
        <v>2.4391534391534377</v>
      </c>
      <c r="X136" s="3">
        <f t="shared" si="27"/>
        <v>-31199.999999999982</v>
      </c>
      <c r="Y136" s="5">
        <f t="shared" si="28"/>
        <v>-6.7815767165866028E-2</v>
      </c>
      <c r="Z136" s="5">
        <f>IF(OR(AE136="",多次统计数据!$B$8=""),"",AE136-多次统计数据!$B$8)</f>
        <v>-0.1354699368496502</v>
      </c>
      <c r="AA136" s="8">
        <f t="shared" si="29"/>
        <v>14</v>
      </c>
      <c r="AB136" s="5">
        <f>IF(OR(A136="",多次统计数据!$B$8="",多次统计数据!$B$6&lt;=0,多次统计数据!$B$6&gt;=1),"",1-POWER(1+多次统计数据!$B$8,-多次统计数据!$B$6/(1-多次统计数据!$B$6)))</f>
        <v>8.152013270062719E-2</v>
      </c>
      <c r="AC136" s="6" t="str">
        <f>IF(OR(AB136="",多次统计数据!$B$9=""),"",IF(多次统计数据!$B$9&lt;AB136,"低于上限","达到或超过上限"))</f>
        <v>低于上限</v>
      </c>
      <c r="AD136" s="10"/>
      <c r="AE136" s="5">
        <f t="shared" si="30"/>
        <v>-2.5257267940755501E-2</v>
      </c>
      <c r="AG136" s="10" t="s">
        <v>51</v>
      </c>
      <c r="AH136" s="10" t="s">
        <v>52</v>
      </c>
      <c r="AI136" s="10" t="s">
        <v>49</v>
      </c>
      <c r="AJ136" s="6" t="str">
        <f t="shared" si="31"/>
        <v>匹配</v>
      </c>
      <c r="AK136" s="23">
        <f>IF(A136="","",COUNTIFS(加仓管理!$A$2:$A$1001,A136,加仓管理!$G$2:$G$1001,"&gt;0"))</f>
        <v>0</v>
      </c>
      <c r="AL136" s="23">
        <f>IF(A136="","",SUMIFS(加仓管理!$G$2:$G$1001,加仓管理!$A$2:$A$1001,A136))</f>
        <v>0</v>
      </c>
      <c r="AM136" s="24" t="str">
        <f>IF(AK136=0,"",IFERROR(LOOKUP(2,1/((加仓管理!$A$2:$A$1001=A136)*(加仓管理!$G$2:$G$1001&gt;0)),加仓管理!$D$2:$D$1001),""))</f>
        <v/>
      </c>
      <c r="AN136" s="24" t="str">
        <f>IF(AK136=0,"",IFERROR(LOOKUP(2,1/((加仓管理!$A$2:$A$1001=A136)*(加仓管理!$G$2:$G$1001&gt;0)),加仓管理!$E$2:$E$1001),""))</f>
        <v/>
      </c>
      <c r="AO136" s="24">
        <f>IF(OR(A136="",H136="",H136&lt;=0),"",(E136*H136+SUMIFS(加仓管理!$H$2:$H$1001,加仓管理!$A$2:$A$1001,A136))/AP136)</f>
        <v>35.39</v>
      </c>
      <c r="AP136" s="23">
        <f t="shared" si="32"/>
        <v>13000</v>
      </c>
      <c r="AQ136" s="24">
        <f>IF(A136="","",IF(M136&lt;&gt;"",0,IF(OR(H136="",N136=""),"",MAX((E136*H136+SUMIFS(加仓管理!$H$2:$H$1001,加仓管理!$A$2:$A$1001,A136))-MAX(N136,AN136)*AP136,0))))</f>
        <v>0</v>
      </c>
      <c r="AR136" s="24" t="str">
        <f>IF(A136="","",IF(OR(E136="",H136=""),"违规：首次买入价格或股数缺失",IF(COUNTIFS(加仓管理!$A$2:$A$1001,A136,加仓管理!$R$2:$R$1001,"违规*")&gt;0,"违规：请检查加仓管理表",IF(SUM($AQ$2:$AQ$201)&gt;账户数据!$B$7,"预警：超过账户风险上限",IF(COUNTIFS(加仓管理!$A$2:$A$1001,A136,加仓管理!$N$2:$N$1001,"&gt;0",加仓管理!$G$2:$G$1001,"")&gt;0,"提示：存在待执行加仓计划","通过")))))</f>
        <v>通过</v>
      </c>
    </row>
    <row r="137" spans="1:44">
      <c r="A137" s="10">
        <v>136</v>
      </c>
      <c r="B137" s="37" t="s">
        <v>55</v>
      </c>
      <c r="C137" s="7">
        <v>1204088</v>
      </c>
      <c r="D137" s="4">
        <v>0.02</v>
      </c>
      <c r="E137" s="7">
        <v>31.25</v>
      </c>
      <c r="F137" s="6">
        <f t="shared" si="22"/>
        <v>10700</v>
      </c>
      <c r="G137" s="6" t="str">
        <f>IF(A137="","",IF(H137&lt;&gt;"","已开仓",IF(账户数据!$B$23="已锁仓","禁止开仓：连续亏损达到上限",IF(账户数据!$B$23="解锁信息不完整","禁止开仓：请完整填写解锁信息",IF(OR(F137="",E137="",N137="",E137&lt;=N137,账户数据!$B$7=""),"",IF(OR(AG137="",AH137="",AI137=""),"禁止开仓：交易预期未填写完整",IF(账户数据!$B$9+F137*(E137-N137)&gt;=账户数据!$B$7,"禁止开仓：风险额度不足",IF(AJ137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37" s="10">
        <v>10000</v>
      </c>
      <c r="I137" s="21">
        <v>45527</v>
      </c>
      <c r="J137" s="7">
        <v>35</v>
      </c>
      <c r="K137" s="3">
        <v>31.35</v>
      </c>
      <c r="L137" s="6">
        <f t="shared" si="23"/>
        <v>10000</v>
      </c>
      <c r="M137" s="39"/>
      <c r="N137" s="7">
        <v>29</v>
      </c>
      <c r="O137" s="7"/>
      <c r="P137" s="3"/>
      <c r="Q137" s="10"/>
      <c r="R137" s="10"/>
      <c r="S137" s="10"/>
      <c r="T137" s="10"/>
      <c r="U137" s="5">
        <f t="shared" si="24"/>
        <v>0.12</v>
      </c>
      <c r="V137" s="5">
        <f t="shared" si="25"/>
        <v>7.1999999999999995E-2</v>
      </c>
      <c r="W137" s="22">
        <f t="shared" si="26"/>
        <v>1.6666666666666667</v>
      </c>
      <c r="X137" s="3">
        <f t="shared" si="27"/>
        <v>1000.0000000000142</v>
      </c>
      <c r="Y137" s="5">
        <f t="shared" si="28"/>
        <v>3.2000000000000457E-3</v>
      </c>
      <c r="Z137" s="5">
        <f>IF(OR(AE137="",多次统计数据!$B$8=""),"",AE137-多次统计数据!$B$8)</f>
        <v>-0.10938216482613659</v>
      </c>
      <c r="AA137" s="8" t="str">
        <f t="shared" si="29"/>
        <v/>
      </c>
      <c r="AB137" s="5">
        <f>IF(OR(A137="",多次统计数据!$B$8="",多次统计数据!$B$6&lt;=0,多次统计数据!$B$6&gt;=1),"",1-POWER(1+多次统计数据!$B$8,-多次统计数据!$B$6/(1-多次统计数据!$B$6)))</f>
        <v>8.152013270062719E-2</v>
      </c>
      <c r="AC137" s="6" t="str">
        <f>IF(OR(AB137="",多次统计数据!$B$9=""),"",IF(多次统计数据!$B$9&lt;AB137,"低于上限","达到或超过上限"))</f>
        <v>低于上限</v>
      </c>
      <c r="AD137" s="10"/>
      <c r="AE137" s="5">
        <f t="shared" si="30"/>
        <v>8.3050408275808264E-4</v>
      </c>
      <c r="AG137" s="10" t="s">
        <v>48</v>
      </c>
      <c r="AH137" s="10" t="s">
        <v>46</v>
      </c>
      <c r="AI137" s="10" t="s">
        <v>50</v>
      </c>
      <c r="AJ137" s="6" t="str">
        <f t="shared" si="31"/>
        <v>匹配</v>
      </c>
      <c r="AK137" s="23">
        <f>IF(A137="","",COUNTIFS(加仓管理!$A$2:$A$1001,A137,加仓管理!$G$2:$G$1001,"&gt;0"))</f>
        <v>0</v>
      </c>
      <c r="AL137" s="23">
        <f>IF(A137="","",SUMIFS(加仓管理!$G$2:$G$1001,加仓管理!$A$2:$A$1001,A137))</f>
        <v>0</v>
      </c>
      <c r="AM137" s="24" t="str">
        <f>IF(AK137=0,"",IFERROR(LOOKUP(2,1/((加仓管理!$A$2:$A$1001=A137)*(加仓管理!$G$2:$G$1001&gt;0)),加仓管理!$D$2:$D$1001),""))</f>
        <v/>
      </c>
      <c r="AN137" s="24" t="str">
        <f>IF(AK137=0,"",IFERROR(LOOKUP(2,1/((加仓管理!$A$2:$A$1001=A137)*(加仓管理!$G$2:$G$1001&gt;0)),加仓管理!$E$2:$E$1001),""))</f>
        <v/>
      </c>
      <c r="AO137" s="24">
        <f>IF(OR(A137="",H137="",H137&lt;=0),"",(E137*H137+SUMIFS(加仓管理!$H$2:$H$1001,加仓管理!$A$2:$A$1001,A137))/AP137)</f>
        <v>31.25</v>
      </c>
      <c r="AP137" s="23">
        <f t="shared" si="32"/>
        <v>10000</v>
      </c>
      <c r="AQ137" s="24">
        <f>IF(A137="","",IF(M137&lt;&gt;"",0,IF(OR(H137="",N137=""),"",MAX((E137*H137+SUMIFS(加仓管理!$H$2:$H$1001,加仓管理!$A$2:$A$1001,A137))-MAX(N137,AN137)*AP137,0))))</f>
        <v>22500</v>
      </c>
      <c r="AR137" s="24" t="str">
        <f>IF(A137="","",IF(OR(E137="",H137=""),"违规：首次买入价格或股数缺失",IF(COUNTIFS(加仓管理!$A$2:$A$1001,A137,加仓管理!$R$2:$R$1001,"违规*")&gt;0,"违规：请检查加仓管理表",IF(SUM($AQ$2:$AQ$201)&gt;账户数据!$B$7,"预警：超过账户风险上限",IF(COUNTIFS(加仓管理!$A$2:$A$1001,A137,加仓管理!$N$2:$N$1001,"&gt;0",加仓管理!$G$2:$G$1001,"")&gt;0,"提示：存在待执行加仓计划","通过")))))</f>
        <v>通过</v>
      </c>
    </row>
    <row r="138" spans="1:44">
      <c r="A138" s="10"/>
      <c r="B138" s="37"/>
      <c r="C138" s="7"/>
      <c r="D138" s="4"/>
      <c r="E138" s="7"/>
      <c r="F138" s="6" t="str">
        <f t="shared" si="22"/>
        <v/>
      </c>
      <c r="G138" s="6" t="str">
        <f>IF(A138="","",IF(H138&lt;&gt;"","已开仓",IF(账户数据!$B$23="已锁仓","禁止开仓：连续亏损达到上限",IF(账户数据!$B$23="解锁信息不完整","禁止开仓：请完整填写解锁信息",IF(OR(F138="",E138="",N138="",E138&lt;=N138,账户数据!$B$7=""),"",IF(OR(AG138="",AH138="",AI138=""),"禁止开仓：交易预期未填写完整",IF(账户数据!$B$9+F138*(E138-N138)&gt;=账户数据!$B$7,"禁止开仓：风险额度不足",IF(AJ138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8" s="10"/>
      <c r="I138" s="21"/>
      <c r="J138" s="7"/>
      <c r="K138" s="3"/>
      <c r="L138" s="6" t="str">
        <f t="shared" si="23"/>
        <v/>
      </c>
      <c r="M138" s="39"/>
      <c r="N138" s="7"/>
      <c r="O138" s="7"/>
      <c r="P138" s="3"/>
      <c r="Q138" s="10"/>
      <c r="R138" s="10"/>
      <c r="S138" s="10"/>
      <c r="T138" s="10"/>
      <c r="U138" s="5" t="str">
        <f t="shared" si="24"/>
        <v/>
      </c>
      <c r="V138" s="5" t="str">
        <f t="shared" si="25"/>
        <v/>
      </c>
      <c r="W138" s="22" t="str">
        <f t="shared" si="26"/>
        <v/>
      </c>
      <c r="X138" s="3" t="str">
        <f t="shared" si="27"/>
        <v/>
      </c>
      <c r="Y138" s="5" t="str">
        <f t="shared" si="28"/>
        <v/>
      </c>
      <c r="Z138" s="5" t="str">
        <f>IF(OR(AE138="",多次统计数据!$B$8=""),"",AE138-多次统计数据!$B$8)</f>
        <v/>
      </c>
      <c r="AA138" s="8" t="str">
        <f t="shared" si="29"/>
        <v/>
      </c>
      <c r="AB138" s="5" t="str">
        <f>IF(OR(A138="",多次统计数据!$B$8="",多次统计数据!$B$6&lt;=0,多次统计数据!$B$6&gt;=1),"",1-POWER(1+多次统计数据!$B$8,-多次统计数据!$B$6/(1-多次统计数据!$B$6)))</f>
        <v/>
      </c>
      <c r="AC138" s="6" t="str">
        <f>IF(OR(AB138="",多次统计数据!$B$9=""),"",IF(多次统计数据!$B$9&lt;AB138,"低于上限","达到或超过上限"))</f>
        <v/>
      </c>
      <c r="AD138" s="10"/>
      <c r="AE138" s="5" t="str">
        <f t="shared" si="30"/>
        <v/>
      </c>
      <c r="AG138" s="10"/>
      <c r="AH138" s="10"/>
      <c r="AI138" s="10"/>
      <c r="AJ138" s="6" t="str">
        <f t="shared" si="31"/>
        <v/>
      </c>
      <c r="AK138" s="23" t="str">
        <f>IF(A138="","",COUNTIFS(加仓管理!$A$2:$A$1001,A138,加仓管理!$G$2:$G$1001,"&gt;0"))</f>
        <v/>
      </c>
      <c r="AL138" s="23" t="str">
        <f>IF(A138="","",SUMIFS(加仓管理!$G$2:$G$1001,加仓管理!$A$2:$A$1001,A138))</f>
        <v/>
      </c>
      <c r="AM138" s="24" t="str">
        <f>IF(AK138=0,"",IFERROR(LOOKUP(2,1/((加仓管理!$A$2:$A$1001=A138)*(加仓管理!$G$2:$G$1001&gt;0)),加仓管理!$D$2:$D$1001),""))</f>
        <v/>
      </c>
      <c r="AN138" s="24" t="str">
        <f>IF(AK138=0,"",IFERROR(LOOKUP(2,1/((加仓管理!$A$2:$A$1001=A138)*(加仓管理!$G$2:$G$1001&gt;0)),加仓管理!$E$2:$E$1001),""))</f>
        <v/>
      </c>
      <c r="AO138" s="24" t="str">
        <f>IF(OR(A138="",H138="",H138&lt;=0),"",(E138*H138+SUMIFS(加仓管理!$H$2:$H$1001,加仓管理!$A$2:$A$1001,A138))/AP138)</f>
        <v/>
      </c>
      <c r="AP138" s="23" t="str">
        <f t="shared" si="32"/>
        <v/>
      </c>
      <c r="AQ138" s="24" t="str">
        <f>IF(A138="","",IF(M138&lt;&gt;"",0,IF(OR(H138="",N138=""),"",MAX((E138*H138+SUMIFS(加仓管理!$H$2:$H$1001,加仓管理!$A$2:$A$1001,A138))-MAX(N138,AN138)*AP138,0))))</f>
        <v/>
      </c>
      <c r="AR138" s="24" t="str">
        <f>IF(A138="","",IF(OR(E138="",H138=""),"违规：首次买入价格或股数缺失",IF(COUNTIFS(加仓管理!$A$2:$A$1001,A138,加仓管理!$R$2:$R$1001,"违规*")&gt;0,"违规：请检查加仓管理表",IF(SUM($AQ$2:$AQ$201)&gt;账户数据!$B$7,"预警：超过账户风险上限",IF(COUNTIFS(加仓管理!$A$2:$A$1001,A138,加仓管理!$N$2:$N$1001,"&gt;0",加仓管理!$G$2:$G$1001,"")&gt;0,"提示：存在待执行加仓计划","通过")))))</f>
        <v/>
      </c>
    </row>
    <row r="139" spans="1:44">
      <c r="A139" s="10"/>
      <c r="B139" s="10"/>
      <c r="C139" s="7"/>
      <c r="D139" s="4"/>
      <c r="E139" s="7"/>
      <c r="F139" s="6" t="str">
        <f t="shared" si="22"/>
        <v/>
      </c>
      <c r="G139" s="6" t="str">
        <f>IF(A139="","",IF(H139&lt;&gt;"","已开仓",IF(账户数据!$B$23="已锁仓","禁止开仓：连续亏损达到上限",IF(账户数据!$B$23="解锁信息不完整","禁止开仓：请完整填写解锁信息",IF(OR(F139="",E139="",N139="",E139&lt;=N139,账户数据!$B$7=""),"",IF(OR(AG139="",AH139="",AI139=""),"禁止开仓：交易预期未填写完整",IF(账户数据!$B$9+F139*(E139-N139)&gt;=账户数据!$B$7,"禁止开仓：风险额度不足",IF(AJ139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9" s="10"/>
      <c r="I139" s="21"/>
      <c r="J139" s="7"/>
      <c r="K139" s="3"/>
      <c r="L139" s="6" t="str">
        <f t="shared" si="23"/>
        <v/>
      </c>
      <c r="M139" s="39"/>
      <c r="N139" s="7"/>
      <c r="O139" s="7"/>
      <c r="P139" s="3"/>
      <c r="Q139" s="10"/>
      <c r="R139" s="10"/>
      <c r="S139" s="10"/>
      <c r="T139" s="10"/>
      <c r="U139" s="5" t="str">
        <f t="shared" si="24"/>
        <v/>
      </c>
      <c r="V139" s="5" t="str">
        <f t="shared" si="25"/>
        <v/>
      </c>
      <c r="W139" s="22" t="str">
        <f t="shared" si="26"/>
        <v/>
      </c>
      <c r="X139" s="3" t="str">
        <f t="shared" si="27"/>
        <v/>
      </c>
      <c r="Y139" s="5" t="str">
        <f t="shared" si="28"/>
        <v/>
      </c>
      <c r="Z139" s="5" t="str">
        <f>IF(OR(AE139="",多次统计数据!$B$8=""),"",AE139-多次统计数据!$B$8)</f>
        <v/>
      </c>
      <c r="AA139" s="8" t="str">
        <f t="shared" si="29"/>
        <v/>
      </c>
      <c r="AB139" s="5" t="str">
        <f>IF(OR(A139="",多次统计数据!$B$8="",多次统计数据!$B$6&lt;=0,多次统计数据!$B$6&gt;=1),"",1-POWER(1+多次统计数据!$B$8,-多次统计数据!$B$6/(1-多次统计数据!$B$6)))</f>
        <v/>
      </c>
      <c r="AC139" s="6" t="str">
        <f>IF(OR(AB139="",多次统计数据!$B$9=""),"",IF(多次统计数据!$B$9&lt;AB139,"低于上限","达到或超过上限"))</f>
        <v/>
      </c>
      <c r="AD139" s="10"/>
      <c r="AE139" s="5" t="str">
        <f t="shared" si="30"/>
        <v/>
      </c>
      <c r="AG139" s="10"/>
      <c r="AH139" s="10"/>
      <c r="AI139" s="10"/>
      <c r="AJ139" s="6" t="str">
        <f t="shared" si="31"/>
        <v/>
      </c>
      <c r="AK139" s="23" t="str">
        <f>IF(A139="","",COUNTIFS(加仓管理!$A$2:$A$1001,A139,加仓管理!$G$2:$G$1001,"&gt;0"))</f>
        <v/>
      </c>
      <c r="AL139" s="23" t="str">
        <f>IF(A139="","",SUMIFS(加仓管理!$G$2:$G$1001,加仓管理!$A$2:$A$1001,A139))</f>
        <v/>
      </c>
      <c r="AM139" s="24" t="str">
        <f>IF(AK139=0,"",IFERROR(LOOKUP(2,1/((加仓管理!$A$2:$A$1001=A139)*(加仓管理!$G$2:$G$1001&gt;0)),加仓管理!$D$2:$D$1001),""))</f>
        <v/>
      </c>
      <c r="AN139" s="24" t="str">
        <f>IF(AK139=0,"",IFERROR(LOOKUP(2,1/((加仓管理!$A$2:$A$1001=A139)*(加仓管理!$G$2:$G$1001&gt;0)),加仓管理!$E$2:$E$1001),""))</f>
        <v/>
      </c>
      <c r="AO139" s="24" t="str">
        <f>IF(OR(A139="",H139="",H139&lt;=0),"",(E139*H139+SUMIFS(加仓管理!$H$2:$H$1001,加仓管理!$A$2:$A$1001,A139))/AP139)</f>
        <v/>
      </c>
      <c r="AP139" s="23" t="str">
        <f t="shared" si="32"/>
        <v/>
      </c>
      <c r="AQ139" s="24" t="str">
        <f>IF(A139="","",IF(M139&lt;&gt;"",0,IF(OR(H139="",N139=""),"",MAX((E139*H139+SUMIFS(加仓管理!$H$2:$H$1001,加仓管理!$A$2:$A$1001,A139))-MAX(N139,AN139)*AP139,0))))</f>
        <v/>
      </c>
      <c r="AR139" s="24" t="str">
        <f>IF(A139="","",IF(OR(E139="",H139=""),"违规：首次买入价格或股数缺失",IF(COUNTIFS(加仓管理!$A$2:$A$1001,A139,加仓管理!$R$2:$R$1001,"违规*")&gt;0,"违规：请检查加仓管理表",IF(SUM($AQ$2:$AQ$201)&gt;账户数据!$B$7,"预警：超过账户风险上限",IF(COUNTIFS(加仓管理!$A$2:$A$1001,A139,加仓管理!$N$2:$N$1001,"&gt;0",加仓管理!$G$2:$G$1001,"")&gt;0,"提示：存在待执行加仓计划","通过")))))</f>
        <v/>
      </c>
    </row>
    <row r="140" spans="1:44">
      <c r="A140" s="10"/>
      <c r="B140" s="10"/>
      <c r="C140" s="7"/>
      <c r="D140" s="4"/>
      <c r="E140" s="7"/>
      <c r="F140" s="6" t="str">
        <f t="shared" si="22"/>
        <v/>
      </c>
      <c r="G140" s="6" t="str">
        <f>IF(A140="","",IF(H140&lt;&gt;"","已开仓",IF(账户数据!$B$23="已锁仓","禁止开仓：连续亏损达到上限",IF(账户数据!$B$23="解锁信息不完整","禁止开仓：请完整填写解锁信息",IF(OR(F140="",E140="",N140="",E140&lt;=N140,账户数据!$B$7=""),"",IF(OR(AG140="",AH140="",AI140=""),"禁止开仓：交易预期未填写完整",IF(账户数据!$B$9+F140*(E140-N140)&gt;=账户数据!$B$7,"禁止开仓：风险额度不足",IF(AJ140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0" s="10"/>
      <c r="I140" s="21"/>
      <c r="J140" s="7"/>
      <c r="K140" s="3"/>
      <c r="L140" s="6" t="str">
        <f t="shared" si="23"/>
        <v/>
      </c>
      <c r="M140" s="39"/>
      <c r="N140" s="7"/>
      <c r="O140" s="7"/>
      <c r="P140" s="3"/>
      <c r="Q140" s="10"/>
      <c r="R140" s="10"/>
      <c r="S140" s="10"/>
      <c r="T140" s="10"/>
      <c r="U140" s="5" t="str">
        <f t="shared" si="24"/>
        <v/>
      </c>
      <c r="V140" s="5" t="str">
        <f t="shared" si="25"/>
        <v/>
      </c>
      <c r="W140" s="22" t="str">
        <f t="shared" si="26"/>
        <v/>
      </c>
      <c r="X140" s="3" t="str">
        <f t="shared" si="27"/>
        <v/>
      </c>
      <c r="Y140" s="5" t="str">
        <f t="shared" si="28"/>
        <v/>
      </c>
      <c r="Z140" s="5" t="str">
        <f>IF(OR(AE140="",多次统计数据!$B$8=""),"",AE140-多次统计数据!$B$8)</f>
        <v/>
      </c>
      <c r="AA140" s="8" t="str">
        <f t="shared" si="29"/>
        <v/>
      </c>
      <c r="AB140" s="5" t="str">
        <f>IF(OR(A140="",多次统计数据!$B$8="",多次统计数据!$B$6&lt;=0,多次统计数据!$B$6&gt;=1),"",1-POWER(1+多次统计数据!$B$8,-多次统计数据!$B$6/(1-多次统计数据!$B$6)))</f>
        <v/>
      </c>
      <c r="AC140" s="6" t="str">
        <f>IF(OR(AB140="",多次统计数据!$B$9=""),"",IF(多次统计数据!$B$9&lt;AB140,"低于上限","达到或超过上限"))</f>
        <v/>
      </c>
      <c r="AD140" s="10"/>
      <c r="AE140" s="5" t="str">
        <f t="shared" si="30"/>
        <v/>
      </c>
      <c r="AG140" s="10"/>
      <c r="AH140" s="10"/>
      <c r="AI140" s="10"/>
      <c r="AJ140" s="6" t="str">
        <f t="shared" si="31"/>
        <v/>
      </c>
      <c r="AK140" s="23" t="str">
        <f>IF(A140="","",COUNTIFS(加仓管理!$A$2:$A$1001,A140,加仓管理!$G$2:$G$1001,"&gt;0"))</f>
        <v/>
      </c>
      <c r="AL140" s="23" t="str">
        <f>IF(A140="","",SUMIFS(加仓管理!$G$2:$G$1001,加仓管理!$A$2:$A$1001,A140))</f>
        <v/>
      </c>
      <c r="AM140" s="24" t="str">
        <f>IF(AK140=0,"",IFERROR(LOOKUP(2,1/((加仓管理!$A$2:$A$1001=A140)*(加仓管理!$G$2:$G$1001&gt;0)),加仓管理!$D$2:$D$1001),""))</f>
        <v/>
      </c>
      <c r="AN140" s="24" t="str">
        <f>IF(AK140=0,"",IFERROR(LOOKUP(2,1/((加仓管理!$A$2:$A$1001=A140)*(加仓管理!$G$2:$G$1001&gt;0)),加仓管理!$E$2:$E$1001),""))</f>
        <v/>
      </c>
      <c r="AO140" s="24" t="str">
        <f>IF(OR(A140="",H140="",H140&lt;=0),"",(E140*H140+SUMIFS(加仓管理!$H$2:$H$1001,加仓管理!$A$2:$A$1001,A140))/AP140)</f>
        <v/>
      </c>
      <c r="AP140" s="23" t="str">
        <f t="shared" si="32"/>
        <v/>
      </c>
      <c r="AQ140" s="24" t="str">
        <f>IF(A140="","",IF(M140&lt;&gt;"",0,IF(OR(H140="",N140=""),"",MAX((E140*H140+SUMIFS(加仓管理!$H$2:$H$1001,加仓管理!$A$2:$A$1001,A140))-MAX(N140,AN140)*AP140,0))))</f>
        <v/>
      </c>
      <c r="AR140" s="24" t="str">
        <f>IF(A140="","",IF(OR(E140="",H140=""),"违规：首次买入价格或股数缺失",IF(COUNTIFS(加仓管理!$A$2:$A$1001,A140,加仓管理!$R$2:$R$1001,"违规*")&gt;0,"违规：请检查加仓管理表",IF(SUM($AQ$2:$AQ$201)&gt;账户数据!$B$7,"预警：超过账户风险上限",IF(COUNTIFS(加仓管理!$A$2:$A$1001,A140,加仓管理!$N$2:$N$1001,"&gt;0",加仓管理!$G$2:$G$1001,"")&gt;0,"提示：存在待执行加仓计划","通过")))))</f>
        <v/>
      </c>
    </row>
    <row r="141" spans="1:44">
      <c r="A141" s="10"/>
      <c r="B141" s="10"/>
      <c r="C141" s="7"/>
      <c r="D141" s="4"/>
      <c r="E141" s="7"/>
      <c r="F141" s="6" t="str">
        <f t="shared" si="22"/>
        <v/>
      </c>
      <c r="G141" s="6" t="str">
        <f>IF(A141="","",IF(H141&lt;&gt;"","已开仓",IF(账户数据!$B$23="已锁仓","禁止开仓：连续亏损达到上限",IF(账户数据!$B$23="解锁信息不完整","禁止开仓：请完整填写解锁信息",IF(OR(F141="",E141="",N141="",E141&lt;=N141,账户数据!$B$7=""),"",IF(OR(AG141="",AH141="",AI141=""),"禁止开仓：交易预期未填写完整",IF(账户数据!$B$9+F141*(E141-N141)&gt;=账户数据!$B$7,"禁止开仓：风险额度不足",IF(AJ141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1" s="10"/>
      <c r="I141" s="21"/>
      <c r="J141" s="7"/>
      <c r="K141" s="3"/>
      <c r="L141" s="6" t="str">
        <f t="shared" si="23"/>
        <v/>
      </c>
      <c r="M141" s="39"/>
      <c r="N141" s="7"/>
      <c r="O141" s="7"/>
      <c r="P141" s="3"/>
      <c r="Q141" s="10"/>
      <c r="R141" s="10"/>
      <c r="S141" s="10"/>
      <c r="T141" s="10"/>
      <c r="U141" s="5" t="str">
        <f t="shared" si="24"/>
        <v/>
      </c>
      <c r="V141" s="5" t="str">
        <f t="shared" si="25"/>
        <v/>
      </c>
      <c r="W141" s="22" t="str">
        <f t="shared" si="26"/>
        <v/>
      </c>
      <c r="X141" s="3" t="str">
        <f t="shared" si="27"/>
        <v/>
      </c>
      <c r="Y141" s="5" t="str">
        <f t="shared" si="28"/>
        <v/>
      </c>
      <c r="Z141" s="5" t="str">
        <f>IF(OR(AE141="",多次统计数据!$B$8=""),"",AE141-多次统计数据!$B$8)</f>
        <v/>
      </c>
      <c r="AA141" s="8" t="str">
        <f t="shared" si="29"/>
        <v/>
      </c>
      <c r="AB141" s="5" t="str">
        <f>IF(OR(A141="",多次统计数据!$B$8="",多次统计数据!$B$6&lt;=0,多次统计数据!$B$6&gt;=1),"",1-POWER(1+多次统计数据!$B$8,-多次统计数据!$B$6/(1-多次统计数据!$B$6)))</f>
        <v/>
      </c>
      <c r="AC141" s="6" t="str">
        <f>IF(OR(AB141="",多次统计数据!$B$9=""),"",IF(多次统计数据!$B$9&lt;AB141,"低于上限","达到或超过上限"))</f>
        <v/>
      </c>
      <c r="AD141" s="10"/>
      <c r="AE141" s="5" t="str">
        <f t="shared" si="30"/>
        <v/>
      </c>
      <c r="AG141" s="10"/>
      <c r="AH141" s="10"/>
      <c r="AI141" s="10"/>
      <c r="AJ141" s="6" t="str">
        <f t="shared" si="31"/>
        <v/>
      </c>
      <c r="AK141" s="23" t="str">
        <f>IF(A141="","",COUNTIFS(加仓管理!$A$2:$A$1001,A141,加仓管理!$G$2:$G$1001,"&gt;0"))</f>
        <v/>
      </c>
      <c r="AL141" s="23" t="str">
        <f>IF(A141="","",SUMIFS(加仓管理!$G$2:$G$1001,加仓管理!$A$2:$A$1001,A141))</f>
        <v/>
      </c>
      <c r="AM141" s="24" t="str">
        <f>IF(AK141=0,"",IFERROR(LOOKUP(2,1/((加仓管理!$A$2:$A$1001=A141)*(加仓管理!$G$2:$G$1001&gt;0)),加仓管理!$D$2:$D$1001),""))</f>
        <v/>
      </c>
      <c r="AN141" s="24" t="str">
        <f>IF(AK141=0,"",IFERROR(LOOKUP(2,1/((加仓管理!$A$2:$A$1001=A141)*(加仓管理!$G$2:$G$1001&gt;0)),加仓管理!$E$2:$E$1001),""))</f>
        <v/>
      </c>
      <c r="AO141" s="24" t="str">
        <f>IF(OR(A141="",H141="",H141&lt;=0),"",(E141*H141+SUMIFS(加仓管理!$H$2:$H$1001,加仓管理!$A$2:$A$1001,A141))/AP141)</f>
        <v/>
      </c>
      <c r="AP141" s="23" t="str">
        <f t="shared" si="32"/>
        <v/>
      </c>
      <c r="AQ141" s="24" t="str">
        <f>IF(A141="","",IF(M141&lt;&gt;"",0,IF(OR(H141="",N141=""),"",MAX((E141*H141+SUMIFS(加仓管理!$H$2:$H$1001,加仓管理!$A$2:$A$1001,A141))-MAX(N141,AN141)*AP141,0))))</f>
        <v/>
      </c>
      <c r="AR141" s="24" t="str">
        <f>IF(A141="","",IF(OR(E141="",H141=""),"违规：首次买入价格或股数缺失",IF(COUNTIFS(加仓管理!$A$2:$A$1001,A141,加仓管理!$R$2:$R$1001,"违规*")&gt;0,"违规：请检查加仓管理表",IF(SUM($AQ$2:$AQ$201)&gt;账户数据!$B$7,"预警：超过账户风险上限",IF(COUNTIFS(加仓管理!$A$2:$A$1001,A141,加仓管理!$N$2:$N$1001,"&gt;0",加仓管理!$G$2:$G$1001,"")&gt;0,"提示：存在待执行加仓计划","通过")))))</f>
        <v/>
      </c>
    </row>
    <row r="142" spans="1:44">
      <c r="A142" s="10"/>
      <c r="B142" s="10"/>
      <c r="C142" s="7"/>
      <c r="D142" s="4"/>
      <c r="E142" s="7"/>
      <c r="F142" s="6" t="str">
        <f t="shared" si="22"/>
        <v/>
      </c>
      <c r="G142" s="6" t="str">
        <f>IF(A142="","",IF(H142&lt;&gt;"","已开仓",IF(账户数据!$B$23="已锁仓","禁止开仓：连续亏损达到上限",IF(账户数据!$B$23="解锁信息不完整","禁止开仓：请完整填写解锁信息",IF(OR(F142="",E142="",N142="",E142&lt;=N142,账户数据!$B$7=""),"",IF(OR(AG142="",AH142="",AI142=""),"禁止开仓：交易预期未填写完整",IF(账户数据!$B$9+F142*(E142-N142)&gt;=账户数据!$B$7,"禁止开仓：风险额度不足",IF(AJ142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2" s="10"/>
      <c r="I142" s="21"/>
      <c r="J142" s="7"/>
      <c r="K142" s="3"/>
      <c r="L142" s="6" t="str">
        <f t="shared" si="23"/>
        <v/>
      </c>
      <c r="M142" s="39"/>
      <c r="N142" s="7"/>
      <c r="O142" s="7"/>
      <c r="P142" s="3"/>
      <c r="Q142" s="10"/>
      <c r="R142" s="10"/>
      <c r="S142" s="10"/>
      <c r="T142" s="10"/>
      <c r="U142" s="5" t="str">
        <f t="shared" si="24"/>
        <v/>
      </c>
      <c r="V142" s="5" t="str">
        <f t="shared" si="25"/>
        <v/>
      </c>
      <c r="W142" s="22" t="str">
        <f t="shared" si="26"/>
        <v/>
      </c>
      <c r="X142" s="3" t="str">
        <f t="shared" si="27"/>
        <v/>
      </c>
      <c r="Y142" s="5" t="str">
        <f t="shared" si="28"/>
        <v/>
      </c>
      <c r="Z142" s="5" t="str">
        <f>IF(OR(AE142="",多次统计数据!$B$8=""),"",AE142-多次统计数据!$B$8)</f>
        <v/>
      </c>
      <c r="AA142" s="8" t="str">
        <f t="shared" si="29"/>
        <v/>
      </c>
      <c r="AB142" s="5" t="str">
        <f>IF(OR(A142="",多次统计数据!$B$8="",多次统计数据!$B$6&lt;=0,多次统计数据!$B$6&gt;=1),"",1-POWER(1+多次统计数据!$B$8,-多次统计数据!$B$6/(1-多次统计数据!$B$6)))</f>
        <v/>
      </c>
      <c r="AC142" s="6" t="str">
        <f>IF(OR(AB142="",多次统计数据!$B$9=""),"",IF(多次统计数据!$B$9&lt;AB142,"低于上限","达到或超过上限"))</f>
        <v/>
      </c>
      <c r="AD142" s="10"/>
      <c r="AE142" s="5" t="str">
        <f t="shared" si="30"/>
        <v/>
      </c>
      <c r="AG142" s="10"/>
      <c r="AH142" s="10"/>
      <c r="AI142" s="10"/>
      <c r="AJ142" s="6" t="str">
        <f t="shared" si="31"/>
        <v/>
      </c>
      <c r="AK142" s="23" t="str">
        <f>IF(A142="","",COUNTIFS(加仓管理!$A$2:$A$1001,A142,加仓管理!$G$2:$G$1001,"&gt;0"))</f>
        <v/>
      </c>
      <c r="AL142" s="23" t="str">
        <f>IF(A142="","",SUMIFS(加仓管理!$G$2:$G$1001,加仓管理!$A$2:$A$1001,A142))</f>
        <v/>
      </c>
      <c r="AM142" s="24" t="str">
        <f>IF(AK142=0,"",IFERROR(LOOKUP(2,1/((加仓管理!$A$2:$A$1001=A142)*(加仓管理!$G$2:$G$1001&gt;0)),加仓管理!$D$2:$D$1001),""))</f>
        <v/>
      </c>
      <c r="AN142" s="24" t="str">
        <f>IF(AK142=0,"",IFERROR(LOOKUP(2,1/((加仓管理!$A$2:$A$1001=A142)*(加仓管理!$G$2:$G$1001&gt;0)),加仓管理!$E$2:$E$1001),""))</f>
        <v/>
      </c>
      <c r="AO142" s="24" t="str">
        <f>IF(OR(A142="",H142="",H142&lt;=0),"",(E142*H142+SUMIFS(加仓管理!$H$2:$H$1001,加仓管理!$A$2:$A$1001,A142))/AP142)</f>
        <v/>
      </c>
      <c r="AP142" s="23" t="str">
        <f t="shared" si="32"/>
        <v/>
      </c>
      <c r="AQ142" s="24" t="str">
        <f>IF(A142="","",IF(M142&lt;&gt;"",0,IF(OR(H142="",N142=""),"",MAX((E142*H142+SUMIFS(加仓管理!$H$2:$H$1001,加仓管理!$A$2:$A$1001,A142))-MAX(N142,AN142)*AP142,0))))</f>
        <v/>
      </c>
      <c r="AR142" s="24" t="str">
        <f>IF(A142="","",IF(OR(E142="",H142=""),"违规：首次买入价格或股数缺失",IF(COUNTIFS(加仓管理!$A$2:$A$1001,A142,加仓管理!$R$2:$R$1001,"违规*")&gt;0,"违规：请检查加仓管理表",IF(SUM($AQ$2:$AQ$201)&gt;账户数据!$B$7,"预警：超过账户风险上限",IF(COUNTIFS(加仓管理!$A$2:$A$1001,A142,加仓管理!$N$2:$N$1001,"&gt;0",加仓管理!$G$2:$G$1001,"")&gt;0,"提示：存在待执行加仓计划","通过")))))</f>
        <v/>
      </c>
    </row>
    <row r="143" spans="1:44">
      <c r="A143" s="10"/>
      <c r="B143" s="10"/>
      <c r="C143" s="7"/>
      <c r="D143" s="4"/>
      <c r="E143" s="7"/>
      <c r="F143" s="6" t="str">
        <f t="shared" si="22"/>
        <v/>
      </c>
      <c r="G143" s="6" t="str">
        <f>IF(A143="","",IF(H143&lt;&gt;"","已开仓",IF(账户数据!$B$23="已锁仓","禁止开仓：连续亏损达到上限",IF(账户数据!$B$23="解锁信息不完整","禁止开仓：请完整填写解锁信息",IF(OR(F143="",E143="",N143="",E143&lt;=N143,账户数据!$B$7=""),"",IF(OR(AG143="",AH143="",AI143=""),"禁止开仓：交易预期未填写完整",IF(账户数据!$B$9+F143*(E143-N143)&gt;=账户数据!$B$7,"禁止开仓：风险额度不足",IF(AJ143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3" s="10"/>
      <c r="I143" s="21"/>
      <c r="J143" s="7"/>
      <c r="K143" s="3"/>
      <c r="L143" s="6" t="str">
        <f t="shared" si="23"/>
        <v/>
      </c>
      <c r="M143" s="39"/>
      <c r="N143" s="7"/>
      <c r="O143" s="7"/>
      <c r="P143" s="3"/>
      <c r="Q143" s="10"/>
      <c r="R143" s="10"/>
      <c r="S143" s="10"/>
      <c r="T143" s="10"/>
      <c r="U143" s="5" t="str">
        <f t="shared" si="24"/>
        <v/>
      </c>
      <c r="V143" s="5" t="str">
        <f t="shared" si="25"/>
        <v/>
      </c>
      <c r="W143" s="22" t="str">
        <f t="shared" si="26"/>
        <v/>
      </c>
      <c r="X143" s="3" t="str">
        <f t="shared" si="27"/>
        <v/>
      </c>
      <c r="Y143" s="5" t="str">
        <f t="shared" si="28"/>
        <v/>
      </c>
      <c r="Z143" s="5" t="str">
        <f>IF(OR(AE143="",多次统计数据!$B$8=""),"",AE143-多次统计数据!$B$8)</f>
        <v/>
      </c>
      <c r="AA143" s="8" t="str">
        <f t="shared" si="29"/>
        <v/>
      </c>
      <c r="AB143" s="5" t="str">
        <f>IF(OR(A143="",多次统计数据!$B$8="",多次统计数据!$B$6&lt;=0,多次统计数据!$B$6&gt;=1),"",1-POWER(1+多次统计数据!$B$8,-多次统计数据!$B$6/(1-多次统计数据!$B$6)))</f>
        <v/>
      </c>
      <c r="AC143" s="6" t="str">
        <f>IF(OR(AB143="",多次统计数据!$B$9=""),"",IF(多次统计数据!$B$9&lt;AB143,"低于上限","达到或超过上限"))</f>
        <v/>
      </c>
      <c r="AD143" s="10"/>
      <c r="AE143" s="5" t="str">
        <f t="shared" si="30"/>
        <v/>
      </c>
      <c r="AG143" s="10"/>
      <c r="AH143" s="10"/>
      <c r="AI143" s="10"/>
      <c r="AJ143" s="6" t="str">
        <f t="shared" si="31"/>
        <v/>
      </c>
      <c r="AK143" s="23" t="str">
        <f>IF(A143="","",COUNTIFS(加仓管理!$A$2:$A$1001,A143,加仓管理!$G$2:$G$1001,"&gt;0"))</f>
        <v/>
      </c>
      <c r="AL143" s="23" t="str">
        <f>IF(A143="","",SUMIFS(加仓管理!$G$2:$G$1001,加仓管理!$A$2:$A$1001,A143))</f>
        <v/>
      </c>
      <c r="AM143" s="24" t="str">
        <f>IF(AK143=0,"",IFERROR(LOOKUP(2,1/((加仓管理!$A$2:$A$1001=A143)*(加仓管理!$G$2:$G$1001&gt;0)),加仓管理!$D$2:$D$1001),""))</f>
        <v/>
      </c>
      <c r="AN143" s="24" t="str">
        <f>IF(AK143=0,"",IFERROR(LOOKUP(2,1/((加仓管理!$A$2:$A$1001=A143)*(加仓管理!$G$2:$G$1001&gt;0)),加仓管理!$E$2:$E$1001),""))</f>
        <v/>
      </c>
      <c r="AO143" s="24" t="str">
        <f>IF(OR(A143="",H143="",H143&lt;=0),"",(E143*H143+SUMIFS(加仓管理!$H$2:$H$1001,加仓管理!$A$2:$A$1001,A143))/AP143)</f>
        <v/>
      </c>
      <c r="AP143" s="23" t="str">
        <f t="shared" si="32"/>
        <v/>
      </c>
      <c r="AQ143" s="24" t="str">
        <f>IF(A143="","",IF(M143&lt;&gt;"",0,IF(OR(H143="",N143=""),"",MAX((E143*H143+SUMIFS(加仓管理!$H$2:$H$1001,加仓管理!$A$2:$A$1001,A143))-MAX(N143,AN143)*AP143,0))))</f>
        <v/>
      </c>
      <c r="AR143" s="24" t="str">
        <f>IF(A143="","",IF(OR(E143="",H143=""),"违规：首次买入价格或股数缺失",IF(COUNTIFS(加仓管理!$A$2:$A$1001,A143,加仓管理!$R$2:$R$1001,"违规*")&gt;0,"违规：请检查加仓管理表",IF(SUM($AQ$2:$AQ$201)&gt;账户数据!$B$7,"预警：超过账户风险上限",IF(COUNTIFS(加仓管理!$A$2:$A$1001,A143,加仓管理!$N$2:$N$1001,"&gt;0",加仓管理!$G$2:$G$1001,"")&gt;0,"提示：存在待执行加仓计划","通过")))))</f>
        <v/>
      </c>
    </row>
    <row r="144" spans="1:44">
      <c r="A144" s="10"/>
      <c r="B144" s="10"/>
      <c r="C144" s="7"/>
      <c r="D144" s="4"/>
      <c r="E144" s="7"/>
      <c r="F144" s="6" t="str">
        <f t="shared" si="22"/>
        <v/>
      </c>
      <c r="G144" s="6" t="str">
        <f>IF(A144="","",IF(H144&lt;&gt;"","已开仓",IF(账户数据!$B$23="已锁仓","禁止开仓：连续亏损达到上限",IF(账户数据!$B$23="解锁信息不完整","禁止开仓：请完整填写解锁信息",IF(OR(F144="",E144="",N144="",E144&lt;=N144,账户数据!$B$7=""),"",IF(OR(AG144="",AH144="",AI144=""),"禁止开仓：交易预期未填写完整",IF(账户数据!$B$9+F144*(E144-N144)&gt;=账户数据!$B$7,"禁止开仓：风险额度不足",IF(AJ144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4" s="10"/>
      <c r="I144" s="21"/>
      <c r="J144" s="7"/>
      <c r="K144" s="3"/>
      <c r="L144" s="6" t="str">
        <f t="shared" si="23"/>
        <v/>
      </c>
      <c r="M144" s="39"/>
      <c r="N144" s="7"/>
      <c r="O144" s="7"/>
      <c r="P144" s="3"/>
      <c r="Q144" s="10"/>
      <c r="R144" s="10"/>
      <c r="S144" s="10"/>
      <c r="T144" s="10"/>
      <c r="U144" s="5" t="str">
        <f t="shared" si="24"/>
        <v/>
      </c>
      <c r="V144" s="5" t="str">
        <f t="shared" si="25"/>
        <v/>
      </c>
      <c r="W144" s="22" t="str">
        <f t="shared" si="26"/>
        <v/>
      </c>
      <c r="X144" s="3" t="str">
        <f t="shared" si="27"/>
        <v/>
      </c>
      <c r="Y144" s="5" t="str">
        <f t="shared" si="28"/>
        <v/>
      </c>
      <c r="Z144" s="5" t="str">
        <f>IF(OR(AE144="",多次统计数据!$B$8=""),"",AE144-多次统计数据!$B$8)</f>
        <v/>
      </c>
      <c r="AA144" s="8" t="str">
        <f t="shared" si="29"/>
        <v/>
      </c>
      <c r="AB144" s="5" t="str">
        <f>IF(OR(A144="",多次统计数据!$B$8="",多次统计数据!$B$6&lt;=0,多次统计数据!$B$6&gt;=1),"",1-POWER(1+多次统计数据!$B$8,-多次统计数据!$B$6/(1-多次统计数据!$B$6)))</f>
        <v/>
      </c>
      <c r="AC144" s="6" t="str">
        <f>IF(OR(AB144="",多次统计数据!$B$9=""),"",IF(多次统计数据!$B$9&lt;AB144,"低于上限","达到或超过上限"))</f>
        <v/>
      </c>
      <c r="AD144" s="10"/>
      <c r="AE144" s="5" t="str">
        <f t="shared" si="30"/>
        <v/>
      </c>
      <c r="AG144" s="10"/>
      <c r="AH144" s="10"/>
      <c r="AI144" s="10"/>
      <c r="AJ144" s="6" t="str">
        <f t="shared" si="31"/>
        <v/>
      </c>
      <c r="AK144" s="23" t="str">
        <f>IF(A144="","",COUNTIFS(加仓管理!$A$2:$A$1001,A144,加仓管理!$G$2:$G$1001,"&gt;0"))</f>
        <v/>
      </c>
      <c r="AL144" s="23" t="str">
        <f>IF(A144="","",SUMIFS(加仓管理!$G$2:$G$1001,加仓管理!$A$2:$A$1001,A144))</f>
        <v/>
      </c>
      <c r="AM144" s="24" t="str">
        <f>IF(AK144=0,"",IFERROR(LOOKUP(2,1/((加仓管理!$A$2:$A$1001=A144)*(加仓管理!$G$2:$G$1001&gt;0)),加仓管理!$D$2:$D$1001),""))</f>
        <v/>
      </c>
      <c r="AN144" s="24" t="str">
        <f>IF(AK144=0,"",IFERROR(LOOKUP(2,1/((加仓管理!$A$2:$A$1001=A144)*(加仓管理!$G$2:$G$1001&gt;0)),加仓管理!$E$2:$E$1001),""))</f>
        <v/>
      </c>
      <c r="AO144" s="24" t="str">
        <f>IF(OR(A144="",H144="",H144&lt;=0),"",(E144*H144+SUMIFS(加仓管理!$H$2:$H$1001,加仓管理!$A$2:$A$1001,A144))/AP144)</f>
        <v/>
      </c>
      <c r="AP144" s="23" t="str">
        <f t="shared" si="32"/>
        <v/>
      </c>
      <c r="AQ144" s="24" t="str">
        <f>IF(A144="","",IF(M144&lt;&gt;"",0,IF(OR(H144="",N144=""),"",MAX((E144*H144+SUMIFS(加仓管理!$H$2:$H$1001,加仓管理!$A$2:$A$1001,A144))-MAX(N144,AN144)*AP144,0))))</f>
        <v/>
      </c>
      <c r="AR144" s="24" t="str">
        <f>IF(A144="","",IF(OR(E144="",H144=""),"违规：首次买入价格或股数缺失",IF(COUNTIFS(加仓管理!$A$2:$A$1001,A144,加仓管理!$R$2:$R$1001,"违规*")&gt;0,"违规：请检查加仓管理表",IF(SUM($AQ$2:$AQ$201)&gt;账户数据!$B$7,"预警：超过账户风险上限",IF(COUNTIFS(加仓管理!$A$2:$A$1001,A144,加仓管理!$N$2:$N$1001,"&gt;0",加仓管理!$G$2:$G$1001,"")&gt;0,"提示：存在待执行加仓计划","通过")))))</f>
        <v/>
      </c>
    </row>
    <row r="145" spans="1:44">
      <c r="A145" s="10"/>
      <c r="B145" s="10"/>
      <c r="C145" s="7"/>
      <c r="D145" s="4"/>
      <c r="E145" s="7"/>
      <c r="F145" s="6" t="str">
        <f t="shared" si="22"/>
        <v/>
      </c>
      <c r="G145" s="6" t="str">
        <f>IF(A145="","",IF(H145&lt;&gt;"","已开仓",IF(账户数据!$B$23="已锁仓","禁止开仓：连续亏损达到上限",IF(账户数据!$B$23="解锁信息不完整","禁止开仓：请完整填写解锁信息",IF(OR(F145="",E145="",N145="",E145&lt;=N145,账户数据!$B$7=""),"",IF(OR(AG145="",AH145="",AI145=""),"禁止开仓：交易预期未填写完整",IF(账户数据!$B$9+F145*(E145-N145)&gt;=账户数据!$B$7,"禁止开仓：风险额度不足",IF(AJ145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5" s="10"/>
      <c r="I145" s="21"/>
      <c r="J145" s="7"/>
      <c r="K145" s="3"/>
      <c r="L145" s="6" t="str">
        <f t="shared" si="23"/>
        <v/>
      </c>
      <c r="M145" s="39"/>
      <c r="N145" s="7"/>
      <c r="O145" s="7"/>
      <c r="P145" s="3"/>
      <c r="Q145" s="10"/>
      <c r="R145" s="10"/>
      <c r="S145" s="10"/>
      <c r="T145" s="10"/>
      <c r="U145" s="5" t="str">
        <f t="shared" si="24"/>
        <v/>
      </c>
      <c r="V145" s="5" t="str">
        <f t="shared" si="25"/>
        <v/>
      </c>
      <c r="W145" s="22" t="str">
        <f t="shared" si="26"/>
        <v/>
      </c>
      <c r="X145" s="3" t="str">
        <f t="shared" si="27"/>
        <v/>
      </c>
      <c r="Y145" s="5" t="str">
        <f t="shared" si="28"/>
        <v/>
      </c>
      <c r="Z145" s="5" t="str">
        <f>IF(OR(AE145="",多次统计数据!$B$8=""),"",AE145-多次统计数据!$B$8)</f>
        <v/>
      </c>
      <c r="AA145" s="8" t="str">
        <f t="shared" si="29"/>
        <v/>
      </c>
      <c r="AB145" s="5" t="str">
        <f>IF(OR(A145="",多次统计数据!$B$8="",多次统计数据!$B$6&lt;=0,多次统计数据!$B$6&gt;=1),"",1-POWER(1+多次统计数据!$B$8,-多次统计数据!$B$6/(1-多次统计数据!$B$6)))</f>
        <v/>
      </c>
      <c r="AC145" s="6" t="str">
        <f>IF(OR(AB145="",多次统计数据!$B$9=""),"",IF(多次统计数据!$B$9&lt;AB145,"低于上限","达到或超过上限"))</f>
        <v/>
      </c>
      <c r="AD145" s="10"/>
      <c r="AE145" s="5" t="str">
        <f t="shared" si="30"/>
        <v/>
      </c>
      <c r="AG145" s="10"/>
      <c r="AH145" s="10"/>
      <c r="AI145" s="10"/>
      <c r="AJ145" s="6" t="str">
        <f t="shared" si="31"/>
        <v/>
      </c>
      <c r="AK145" s="23" t="str">
        <f>IF(A145="","",COUNTIFS(加仓管理!$A$2:$A$1001,A145,加仓管理!$G$2:$G$1001,"&gt;0"))</f>
        <v/>
      </c>
      <c r="AL145" s="23" t="str">
        <f>IF(A145="","",SUMIFS(加仓管理!$G$2:$G$1001,加仓管理!$A$2:$A$1001,A145))</f>
        <v/>
      </c>
      <c r="AM145" s="24" t="str">
        <f>IF(AK145=0,"",IFERROR(LOOKUP(2,1/((加仓管理!$A$2:$A$1001=A145)*(加仓管理!$G$2:$G$1001&gt;0)),加仓管理!$D$2:$D$1001),""))</f>
        <v/>
      </c>
      <c r="AN145" s="24" t="str">
        <f>IF(AK145=0,"",IFERROR(LOOKUP(2,1/((加仓管理!$A$2:$A$1001=A145)*(加仓管理!$G$2:$G$1001&gt;0)),加仓管理!$E$2:$E$1001),""))</f>
        <v/>
      </c>
      <c r="AO145" s="24" t="str">
        <f>IF(OR(A145="",H145="",H145&lt;=0),"",(E145*H145+SUMIFS(加仓管理!$H$2:$H$1001,加仓管理!$A$2:$A$1001,A145))/AP145)</f>
        <v/>
      </c>
      <c r="AP145" s="23" t="str">
        <f t="shared" si="32"/>
        <v/>
      </c>
      <c r="AQ145" s="24" t="str">
        <f>IF(A145="","",IF(M145&lt;&gt;"",0,IF(OR(H145="",N145=""),"",MAX((E145*H145+SUMIFS(加仓管理!$H$2:$H$1001,加仓管理!$A$2:$A$1001,A145))-MAX(N145,AN145)*AP145,0))))</f>
        <v/>
      </c>
      <c r="AR145" s="24" t="str">
        <f>IF(A145="","",IF(OR(E145="",H145=""),"违规：首次买入价格或股数缺失",IF(COUNTIFS(加仓管理!$A$2:$A$1001,A145,加仓管理!$R$2:$R$1001,"违规*")&gt;0,"违规：请检查加仓管理表",IF(SUM($AQ$2:$AQ$201)&gt;账户数据!$B$7,"预警：超过账户风险上限",IF(COUNTIFS(加仓管理!$A$2:$A$1001,A145,加仓管理!$N$2:$N$1001,"&gt;0",加仓管理!$G$2:$G$1001,"")&gt;0,"提示：存在待执行加仓计划","通过")))))</f>
        <v/>
      </c>
    </row>
    <row r="146" spans="1:44">
      <c r="A146" s="10"/>
      <c r="B146" s="10"/>
      <c r="C146" s="7"/>
      <c r="D146" s="4"/>
      <c r="E146" s="7"/>
      <c r="F146" s="6" t="str">
        <f t="shared" si="22"/>
        <v/>
      </c>
      <c r="G146" s="6" t="str">
        <f>IF(A146="","",IF(H146&lt;&gt;"","已开仓",IF(账户数据!$B$23="已锁仓","禁止开仓：连续亏损达到上限",IF(账户数据!$B$23="解锁信息不完整","禁止开仓：请完整填写解锁信息",IF(OR(F146="",E146="",N146="",E146&lt;=N146,账户数据!$B$7=""),"",IF(OR(AG146="",AH146="",AI146=""),"禁止开仓：交易预期未填写完整",IF(账户数据!$B$9+F146*(E146-N146)&gt;=账户数据!$B$7,"禁止开仓：风险额度不足",IF(AJ146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6" s="10"/>
      <c r="I146" s="21"/>
      <c r="J146" s="7"/>
      <c r="K146" s="3"/>
      <c r="L146" s="6" t="str">
        <f t="shared" si="23"/>
        <v/>
      </c>
      <c r="M146" s="39"/>
      <c r="N146" s="7"/>
      <c r="O146" s="7"/>
      <c r="P146" s="3"/>
      <c r="Q146" s="10"/>
      <c r="R146" s="10"/>
      <c r="S146" s="10"/>
      <c r="T146" s="10"/>
      <c r="U146" s="5" t="str">
        <f t="shared" si="24"/>
        <v/>
      </c>
      <c r="V146" s="5" t="str">
        <f t="shared" si="25"/>
        <v/>
      </c>
      <c r="W146" s="22" t="str">
        <f t="shared" si="26"/>
        <v/>
      </c>
      <c r="X146" s="3" t="str">
        <f t="shared" si="27"/>
        <v/>
      </c>
      <c r="Y146" s="5" t="str">
        <f t="shared" si="28"/>
        <v/>
      </c>
      <c r="Z146" s="5" t="str">
        <f>IF(OR(AE146="",多次统计数据!$B$8=""),"",AE146-多次统计数据!$B$8)</f>
        <v/>
      </c>
      <c r="AA146" s="8" t="str">
        <f t="shared" si="29"/>
        <v/>
      </c>
      <c r="AB146" s="5" t="str">
        <f>IF(OR(A146="",多次统计数据!$B$8="",多次统计数据!$B$6&lt;=0,多次统计数据!$B$6&gt;=1),"",1-POWER(1+多次统计数据!$B$8,-多次统计数据!$B$6/(1-多次统计数据!$B$6)))</f>
        <v/>
      </c>
      <c r="AC146" s="6" t="str">
        <f>IF(OR(AB146="",多次统计数据!$B$9=""),"",IF(多次统计数据!$B$9&lt;AB146,"低于上限","达到或超过上限"))</f>
        <v/>
      </c>
      <c r="AD146" s="10"/>
      <c r="AE146" s="5" t="str">
        <f t="shared" si="30"/>
        <v/>
      </c>
      <c r="AG146" s="10"/>
      <c r="AH146" s="10"/>
      <c r="AI146" s="10"/>
      <c r="AJ146" s="6" t="str">
        <f t="shared" si="31"/>
        <v/>
      </c>
      <c r="AK146" s="23" t="str">
        <f>IF(A146="","",COUNTIFS(加仓管理!$A$2:$A$1001,A146,加仓管理!$G$2:$G$1001,"&gt;0"))</f>
        <v/>
      </c>
      <c r="AL146" s="23" t="str">
        <f>IF(A146="","",SUMIFS(加仓管理!$G$2:$G$1001,加仓管理!$A$2:$A$1001,A146))</f>
        <v/>
      </c>
      <c r="AM146" s="24" t="str">
        <f>IF(AK146=0,"",IFERROR(LOOKUP(2,1/((加仓管理!$A$2:$A$1001=A146)*(加仓管理!$G$2:$G$1001&gt;0)),加仓管理!$D$2:$D$1001),""))</f>
        <v/>
      </c>
      <c r="AN146" s="24" t="str">
        <f>IF(AK146=0,"",IFERROR(LOOKUP(2,1/((加仓管理!$A$2:$A$1001=A146)*(加仓管理!$G$2:$G$1001&gt;0)),加仓管理!$E$2:$E$1001),""))</f>
        <v/>
      </c>
      <c r="AO146" s="24" t="str">
        <f>IF(OR(A146="",H146="",H146&lt;=0),"",(E146*H146+SUMIFS(加仓管理!$H$2:$H$1001,加仓管理!$A$2:$A$1001,A146))/AP146)</f>
        <v/>
      </c>
      <c r="AP146" s="23" t="str">
        <f t="shared" si="32"/>
        <v/>
      </c>
      <c r="AQ146" s="24" t="str">
        <f>IF(A146="","",IF(M146&lt;&gt;"",0,IF(OR(H146="",N146=""),"",MAX((E146*H146+SUMIFS(加仓管理!$H$2:$H$1001,加仓管理!$A$2:$A$1001,A146))-MAX(N146,AN146)*AP146,0))))</f>
        <v/>
      </c>
      <c r="AR146" s="24" t="str">
        <f>IF(A146="","",IF(OR(E146="",H146=""),"违规：首次买入价格或股数缺失",IF(COUNTIFS(加仓管理!$A$2:$A$1001,A146,加仓管理!$R$2:$R$1001,"违规*")&gt;0,"违规：请检查加仓管理表",IF(SUM($AQ$2:$AQ$201)&gt;账户数据!$B$7,"预警：超过账户风险上限",IF(COUNTIFS(加仓管理!$A$2:$A$1001,A146,加仓管理!$N$2:$N$1001,"&gt;0",加仓管理!$G$2:$G$1001,"")&gt;0,"提示：存在待执行加仓计划","通过")))))</f>
        <v/>
      </c>
    </row>
    <row r="147" spans="1:44">
      <c r="A147" s="10"/>
      <c r="B147" s="10"/>
      <c r="C147" s="7"/>
      <c r="D147" s="4"/>
      <c r="E147" s="7"/>
      <c r="F147" s="6" t="str">
        <f t="shared" si="22"/>
        <v/>
      </c>
      <c r="G147" s="6" t="str">
        <f>IF(A147="","",IF(H147&lt;&gt;"","已开仓",IF(账户数据!$B$23="已锁仓","禁止开仓：连续亏损达到上限",IF(账户数据!$B$23="解锁信息不完整","禁止开仓：请完整填写解锁信息",IF(OR(F147="",E147="",N147="",E147&lt;=N147,账户数据!$B$7=""),"",IF(OR(AG147="",AH147="",AI147=""),"禁止开仓：交易预期未填写完整",IF(账户数据!$B$9+F147*(E147-N147)&gt;=账户数据!$B$7,"禁止开仓：风险额度不足",IF(AJ147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7" s="10"/>
      <c r="I147" s="21"/>
      <c r="J147" s="7"/>
      <c r="K147" s="3"/>
      <c r="L147" s="6" t="str">
        <f t="shared" si="23"/>
        <v/>
      </c>
      <c r="M147" s="39"/>
      <c r="N147" s="7"/>
      <c r="O147" s="7"/>
      <c r="P147" s="3"/>
      <c r="Q147" s="10"/>
      <c r="R147" s="10"/>
      <c r="S147" s="10"/>
      <c r="T147" s="10"/>
      <c r="U147" s="5" t="str">
        <f t="shared" si="24"/>
        <v/>
      </c>
      <c r="V147" s="5" t="str">
        <f t="shared" si="25"/>
        <v/>
      </c>
      <c r="W147" s="22" t="str">
        <f t="shared" si="26"/>
        <v/>
      </c>
      <c r="X147" s="3" t="str">
        <f t="shared" si="27"/>
        <v/>
      </c>
      <c r="Y147" s="5" t="str">
        <f t="shared" si="28"/>
        <v/>
      </c>
      <c r="Z147" s="5" t="str">
        <f>IF(OR(AE147="",多次统计数据!$B$8=""),"",AE147-多次统计数据!$B$8)</f>
        <v/>
      </c>
      <c r="AA147" s="8" t="str">
        <f t="shared" si="29"/>
        <v/>
      </c>
      <c r="AB147" s="5" t="str">
        <f>IF(OR(A147="",多次统计数据!$B$8="",多次统计数据!$B$6&lt;=0,多次统计数据!$B$6&gt;=1),"",1-POWER(1+多次统计数据!$B$8,-多次统计数据!$B$6/(1-多次统计数据!$B$6)))</f>
        <v/>
      </c>
      <c r="AC147" s="6" t="str">
        <f>IF(OR(AB147="",多次统计数据!$B$9=""),"",IF(多次统计数据!$B$9&lt;AB147,"低于上限","达到或超过上限"))</f>
        <v/>
      </c>
      <c r="AD147" s="10"/>
      <c r="AE147" s="5" t="str">
        <f t="shared" si="30"/>
        <v/>
      </c>
      <c r="AG147" s="10"/>
      <c r="AH147" s="10"/>
      <c r="AI147" s="10"/>
      <c r="AJ147" s="6" t="str">
        <f t="shared" si="31"/>
        <v/>
      </c>
      <c r="AK147" s="23" t="str">
        <f>IF(A147="","",COUNTIFS(加仓管理!$A$2:$A$1001,A147,加仓管理!$G$2:$G$1001,"&gt;0"))</f>
        <v/>
      </c>
      <c r="AL147" s="23" t="str">
        <f>IF(A147="","",SUMIFS(加仓管理!$G$2:$G$1001,加仓管理!$A$2:$A$1001,A147))</f>
        <v/>
      </c>
      <c r="AM147" s="24" t="str">
        <f>IF(AK147=0,"",IFERROR(LOOKUP(2,1/((加仓管理!$A$2:$A$1001=A147)*(加仓管理!$G$2:$G$1001&gt;0)),加仓管理!$D$2:$D$1001),""))</f>
        <v/>
      </c>
      <c r="AN147" s="24" t="str">
        <f>IF(AK147=0,"",IFERROR(LOOKUP(2,1/((加仓管理!$A$2:$A$1001=A147)*(加仓管理!$G$2:$G$1001&gt;0)),加仓管理!$E$2:$E$1001),""))</f>
        <v/>
      </c>
      <c r="AO147" s="24" t="str">
        <f>IF(OR(A147="",H147="",H147&lt;=0),"",(E147*H147+SUMIFS(加仓管理!$H$2:$H$1001,加仓管理!$A$2:$A$1001,A147))/AP147)</f>
        <v/>
      </c>
      <c r="AP147" s="23" t="str">
        <f t="shared" si="32"/>
        <v/>
      </c>
      <c r="AQ147" s="24" t="str">
        <f>IF(A147="","",IF(M147&lt;&gt;"",0,IF(OR(H147="",N147=""),"",MAX((E147*H147+SUMIFS(加仓管理!$H$2:$H$1001,加仓管理!$A$2:$A$1001,A147))-MAX(N147,AN147)*AP147,0))))</f>
        <v/>
      </c>
      <c r="AR147" s="24" t="str">
        <f>IF(A147="","",IF(OR(E147="",H147=""),"违规：首次买入价格或股数缺失",IF(COUNTIFS(加仓管理!$A$2:$A$1001,A147,加仓管理!$R$2:$R$1001,"违规*")&gt;0,"违规：请检查加仓管理表",IF(SUM($AQ$2:$AQ$201)&gt;账户数据!$B$7,"预警：超过账户风险上限",IF(COUNTIFS(加仓管理!$A$2:$A$1001,A147,加仓管理!$N$2:$N$1001,"&gt;0",加仓管理!$G$2:$G$1001,"")&gt;0,"提示：存在待执行加仓计划","通过")))))</f>
        <v/>
      </c>
    </row>
    <row r="148" spans="1:44">
      <c r="A148" s="10"/>
      <c r="B148" s="10"/>
      <c r="C148" s="7"/>
      <c r="D148" s="4"/>
      <c r="E148" s="7"/>
      <c r="F148" s="6" t="str">
        <f t="shared" si="22"/>
        <v/>
      </c>
      <c r="G148" s="6" t="str">
        <f>IF(A148="","",IF(H148&lt;&gt;"","已开仓",IF(账户数据!$B$23="已锁仓","禁止开仓：连续亏损达到上限",IF(账户数据!$B$23="解锁信息不完整","禁止开仓：请完整填写解锁信息",IF(OR(F148="",E148="",N148="",E148&lt;=N148,账户数据!$B$7=""),"",IF(OR(AG148="",AH148="",AI148=""),"禁止开仓：交易预期未填写完整",IF(账户数据!$B$9+F148*(E148-N148)&gt;=账户数据!$B$7,"禁止开仓：风险额度不足",IF(AJ148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8" s="10"/>
      <c r="I148" s="21"/>
      <c r="J148" s="7"/>
      <c r="K148" s="3"/>
      <c r="L148" s="6" t="str">
        <f t="shared" si="23"/>
        <v/>
      </c>
      <c r="M148" s="39"/>
      <c r="N148" s="7"/>
      <c r="O148" s="7"/>
      <c r="P148" s="3"/>
      <c r="Q148" s="10"/>
      <c r="R148" s="10"/>
      <c r="S148" s="10"/>
      <c r="T148" s="10"/>
      <c r="U148" s="5" t="str">
        <f t="shared" si="24"/>
        <v/>
      </c>
      <c r="V148" s="5" t="str">
        <f t="shared" si="25"/>
        <v/>
      </c>
      <c r="W148" s="22" t="str">
        <f t="shared" si="26"/>
        <v/>
      </c>
      <c r="X148" s="3" t="str">
        <f t="shared" si="27"/>
        <v/>
      </c>
      <c r="Y148" s="5" t="str">
        <f t="shared" si="28"/>
        <v/>
      </c>
      <c r="Z148" s="5" t="str">
        <f>IF(OR(AE148="",多次统计数据!$B$8=""),"",AE148-多次统计数据!$B$8)</f>
        <v/>
      </c>
      <c r="AA148" s="8" t="str">
        <f t="shared" si="29"/>
        <v/>
      </c>
      <c r="AB148" s="5" t="str">
        <f>IF(OR(A148="",多次统计数据!$B$8="",多次统计数据!$B$6&lt;=0,多次统计数据!$B$6&gt;=1),"",1-POWER(1+多次统计数据!$B$8,-多次统计数据!$B$6/(1-多次统计数据!$B$6)))</f>
        <v/>
      </c>
      <c r="AC148" s="6" t="str">
        <f>IF(OR(AB148="",多次统计数据!$B$9=""),"",IF(多次统计数据!$B$9&lt;AB148,"低于上限","达到或超过上限"))</f>
        <v/>
      </c>
      <c r="AD148" s="10"/>
      <c r="AE148" s="5" t="str">
        <f t="shared" si="30"/>
        <v/>
      </c>
      <c r="AG148" s="10"/>
      <c r="AH148" s="10"/>
      <c r="AI148" s="10"/>
      <c r="AJ148" s="6" t="str">
        <f t="shared" si="31"/>
        <v/>
      </c>
      <c r="AK148" s="23" t="str">
        <f>IF(A148="","",COUNTIFS(加仓管理!$A$2:$A$1001,A148,加仓管理!$G$2:$G$1001,"&gt;0"))</f>
        <v/>
      </c>
      <c r="AL148" s="23" t="str">
        <f>IF(A148="","",SUMIFS(加仓管理!$G$2:$G$1001,加仓管理!$A$2:$A$1001,A148))</f>
        <v/>
      </c>
      <c r="AM148" s="24" t="str">
        <f>IF(AK148=0,"",IFERROR(LOOKUP(2,1/((加仓管理!$A$2:$A$1001=A148)*(加仓管理!$G$2:$G$1001&gt;0)),加仓管理!$D$2:$D$1001),""))</f>
        <v/>
      </c>
      <c r="AN148" s="24" t="str">
        <f>IF(AK148=0,"",IFERROR(LOOKUP(2,1/((加仓管理!$A$2:$A$1001=A148)*(加仓管理!$G$2:$G$1001&gt;0)),加仓管理!$E$2:$E$1001),""))</f>
        <v/>
      </c>
      <c r="AO148" s="24" t="str">
        <f>IF(OR(A148="",H148="",H148&lt;=0),"",(E148*H148+SUMIFS(加仓管理!$H$2:$H$1001,加仓管理!$A$2:$A$1001,A148))/AP148)</f>
        <v/>
      </c>
      <c r="AP148" s="23" t="str">
        <f t="shared" si="32"/>
        <v/>
      </c>
      <c r="AQ148" s="24" t="str">
        <f>IF(A148="","",IF(M148&lt;&gt;"",0,IF(OR(H148="",N148=""),"",MAX((E148*H148+SUMIFS(加仓管理!$H$2:$H$1001,加仓管理!$A$2:$A$1001,A148))-MAX(N148,AN148)*AP148,0))))</f>
        <v/>
      </c>
      <c r="AR148" s="24" t="str">
        <f>IF(A148="","",IF(OR(E148="",H148=""),"违规：首次买入价格或股数缺失",IF(COUNTIFS(加仓管理!$A$2:$A$1001,A148,加仓管理!$R$2:$R$1001,"违规*")&gt;0,"违规：请检查加仓管理表",IF(SUM($AQ$2:$AQ$201)&gt;账户数据!$B$7,"预警：超过账户风险上限",IF(COUNTIFS(加仓管理!$A$2:$A$1001,A148,加仓管理!$N$2:$N$1001,"&gt;0",加仓管理!$G$2:$G$1001,"")&gt;0,"提示：存在待执行加仓计划","通过")))))</f>
        <v/>
      </c>
    </row>
    <row r="149" spans="1:44">
      <c r="A149" s="10"/>
      <c r="B149" s="10"/>
      <c r="C149" s="7"/>
      <c r="D149" s="4"/>
      <c r="E149" s="7"/>
      <c r="F149" s="6" t="str">
        <f t="shared" si="22"/>
        <v/>
      </c>
      <c r="G149" s="6" t="str">
        <f>IF(A149="","",IF(H149&lt;&gt;"","已开仓",IF(账户数据!$B$23="已锁仓","禁止开仓：连续亏损达到上限",IF(账户数据!$B$23="解锁信息不完整","禁止开仓：请完整填写解锁信息",IF(OR(F149="",E149="",N149="",E149&lt;=N149,账户数据!$B$7=""),"",IF(OR(AG149="",AH149="",AI149=""),"禁止开仓：交易预期未填写完整",IF(账户数据!$B$9+F149*(E149-N149)&gt;=账户数据!$B$7,"禁止开仓：风险额度不足",IF(AJ149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9" s="10"/>
      <c r="I149" s="21"/>
      <c r="J149" s="7"/>
      <c r="K149" s="3"/>
      <c r="L149" s="6" t="str">
        <f t="shared" si="23"/>
        <v/>
      </c>
      <c r="M149" s="39"/>
      <c r="N149" s="7"/>
      <c r="O149" s="7"/>
      <c r="P149" s="3"/>
      <c r="Q149" s="10"/>
      <c r="R149" s="10"/>
      <c r="S149" s="10"/>
      <c r="T149" s="10"/>
      <c r="U149" s="5" t="str">
        <f t="shared" si="24"/>
        <v/>
      </c>
      <c r="V149" s="5" t="str">
        <f t="shared" si="25"/>
        <v/>
      </c>
      <c r="W149" s="22" t="str">
        <f t="shared" si="26"/>
        <v/>
      </c>
      <c r="X149" s="3" t="str">
        <f t="shared" si="27"/>
        <v/>
      </c>
      <c r="Y149" s="5" t="str">
        <f t="shared" si="28"/>
        <v/>
      </c>
      <c r="Z149" s="5" t="str">
        <f>IF(OR(AE149="",多次统计数据!$B$8=""),"",AE149-多次统计数据!$B$8)</f>
        <v/>
      </c>
      <c r="AA149" s="8" t="str">
        <f t="shared" si="29"/>
        <v/>
      </c>
      <c r="AB149" s="5" t="str">
        <f>IF(OR(A149="",多次统计数据!$B$8="",多次统计数据!$B$6&lt;=0,多次统计数据!$B$6&gt;=1),"",1-POWER(1+多次统计数据!$B$8,-多次统计数据!$B$6/(1-多次统计数据!$B$6)))</f>
        <v/>
      </c>
      <c r="AC149" s="6" t="str">
        <f>IF(OR(AB149="",多次统计数据!$B$9=""),"",IF(多次统计数据!$B$9&lt;AB149,"低于上限","达到或超过上限"))</f>
        <v/>
      </c>
      <c r="AD149" s="10"/>
      <c r="AE149" s="5" t="str">
        <f t="shared" si="30"/>
        <v/>
      </c>
      <c r="AG149" s="10"/>
      <c r="AH149" s="10"/>
      <c r="AI149" s="10"/>
      <c r="AJ149" s="6" t="str">
        <f t="shared" si="31"/>
        <v/>
      </c>
      <c r="AK149" s="23" t="str">
        <f>IF(A149="","",COUNTIFS(加仓管理!$A$2:$A$1001,A149,加仓管理!$G$2:$G$1001,"&gt;0"))</f>
        <v/>
      </c>
      <c r="AL149" s="23" t="str">
        <f>IF(A149="","",SUMIFS(加仓管理!$G$2:$G$1001,加仓管理!$A$2:$A$1001,A149))</f>
        <v/>
      </c>
      <c r="AM149" s="24" t="str">
        <f>IF(AK149=0,"",IFERROR(LOOKUP(2,1/((加仓管理!$A$2:$A$1001=A149)*(加仓管理!$G$2:$G$1001&gt;0)),加仓管理!$D$2:$D$1001),""))</f>
        <v/>
      </c>
      <c r="AN149" s="24" t="str">
        <f>IF(AK149=0,"",IFERROR(LOOKUP(2,1/((加仓管理!$A$2:$A$1001=A149)*(加仓管理!$G$2:$G$1001&gt;0)),加仓管理!$E$2:$E$1001),""))</f>
        <v/>
      </c>
      <c r="AO149" s="24" t="str">
        <f>IF(OR(A149="",H149="",H149&lt;=0),"",(E149*H149+SUMIFS(加仓管理!$H$2:$H$1001,加仓管理!$A$2:$A$1001,A149))/AP149)</f>
        <v/>
      </c>
      <c r="AP149" s="23" t="str">
        <f t="shared" si="32"/>
        <v/>
      </c>
      <c r="AQ149" s="24" t="str">
        <f>IF(A149="","",IF(M149&lt;&gt;"",0,IF(OR(H149="",N149=""),"",MAX((E149*H149+SUMIFS(加仓管理!$H$2:$H$1001,加仓管理!$A$2:$A$1001,A149))-MAX(N149,AN149)*AP149,0))))</f>
        <v/>
      </c>
      <c r="AR149" s="24" t="str">
        <f>IF(A149="","",IF(OR(E149="",H149=""),"违规：首次买入价格或股数缺失",IF(COUNTIFS(加仓管理!$A$2:$A$1001,A149,加仓管理!$R$2:$R$1001,"违规*")&gt;0,"违规：请检查加仓管理表",IF(SUM($AQ$2:$AQ$201)&gt;账户数据!$B$7,"预警：超过账户风险上限",IF(COUNTIFS(加仓管理!$A$2:$A$1001,A149,加仓管理!$N$2:$N$1001,"&gt;0",加仓管理!$G$2:$G$1001,"")&gt;0,"提示：存在待执行加仓计划","通过")))))</f>
        <v/>
      </c>
    </row>
    <row r="150" spans="1:44">
      <c r="A150" s="10"/>
      <c r="B150" s="10"/>
      <c r="C150" s="7"/>
      <c r="D150" s="4"/>
      <c r="E150" s="7"/>
      <c r="F150" s="6" t="str">
        <f t="shared" si="22"/>
        <v/>
      </c>
      <c r="G150" s="6" t="str">
        <f>IF(A150="","",IF(H150&lt;&gt;"","已开仓",IF(账户数据!$B$23="已锁仓","禁止开仓：连续亏损达到上限",IF(账户数据!$B$23="解锁信息不完整","禁止开仓：请完整填写解锁信息",IF(OR(F150="",E150="",N150="",E150&lt;=N150,账户数据!$B$7=""),"",IF(OR(AG150="",AH150="",AI150=""),"禁止开仓：交易预期未填写完整",IF(账户数据!$B$9+F150*(E150-N150)&gt;=账户数据!$B$7,"禁止开仓：风险额度不足",IF(AJ150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0" s="10"/>
      <c r="I150" s="21"/>
      <c r="J150" s="7"/>
      <c r="K150" s="3"/>
      <c r="L150" s="6" t="str">
        <f t="shared" si="23"/>
        <v/>
      </c>
      <c r="M150" s="39"/>
      <c r="N150" s="7"/>
      <c r="O150" s="7"/>
      <c r="P150" s="3"/>
      <c r="Q150" s="10"/>
      <c r="R150" s="10"/>
      <c r="S150" s="10"/>
      <c r="T150" s="10"/>
      <c r="U150" s="5" t="str">
        <f t="shared" si="24"/>
        <v/>
      </c>
      <c r="V150" s="5" t="str">
        <f t="shared" si="25"/>
        <v/>
      </c>
      <c r="W150" s="22" t="str">
        <f t="shared" si="26"/>
        <v/>
      </c>
      <c r="X150" s="3" t="str">
        <f t="shared" si="27"/>
        <v/>
      </c>
      <c r="Y150" s="5" t="str">
        <f t="shared" si="28"/>
        <v/>
      </c>
      <c r="Z150" s="5" t="str">
        <f>IF(OR(AE150="",多次统计数据!$B$8=""),"",AE150-多次统计数据!$B$8)</f>
        <v/>
      </c>
      <c r="AA150" s="8" t="str">
        <f t="shared" si="29"/>
        <v/>
      </c>
      <c r="AB150" s="5" t="str">
        <f>IF(OR(A150="",多次统计数据!$B$8="",多次统计数据!$B$6&lt;=0,多次统计数据!$B$6&gt;=1),"",1-POWER(1+多次统计数据!$B$8,-多次统计数据!$B$6/(1-多次统计数据!$B$6)))</f>
        <v/>
      </c>
      <c r="AC150" s="6" t="str">
        <f>IF(OR(AB150="",多次统计数据!$B$9=""),"",IF(多次统计数据!$B$9&lt;AB150,"低于上限","达到或超过上限"))</f>
        <v/>
      </c>
      <c r="AD150" s="10"/>
      <c r="AE150" s="5" t="str">
        <f t="shared" si="30"/>
        <v/>
      </c>
      <c r="AG150" s="10"/>
      <c r="AH150" s="10"/>
      <c r="AI150" s="10"/>
      <c r="AJ150" s="6" t="str">
        <f t="shared" si="31"/>
        <v/>
      </c>
      <c r="AK150" s="23" t="str">
        <f>IF(A150="","",COUNTIFS(加仓管理!$A$2:$A$1001,A150,加仓管理!$G$2:$G$1001,"&gt;0"))</f>
        <v/>
      </c>
      <c r="AL150" s="23" t="str">
        <f>IF(A150="","",SUMIFS(加仓管理!$G$2:$G$1001,加仓管理!$A$2:$A$1001,A150))</f>
        <v/>
      </c>
      <c r="AM150" s="24" t="str">
        <f>IF(AK150=0,"",IFERROR(LOOKUP(2,1/((加仓管理!$A$2:$A$1001=A150)*(加仓管理!$G$2:$G$1001&gt;0)),加仓管理!$D$2:$D$1001),""))</f>
        <v/>
      </c>
      <c r="AN150" s="24" t="str">
        <f>IF(AK150=0,"",IFERROR(LOOKUP(2,1/((加仓管理!$A$2:$A$1001=A150)*(加仓管理!$G$2:$G$1001&gt;0)),加仓管理!$E$2:$E$1001),""))</f>
        <v/>
      </c>
      <c r="AO150" s="24" t="str">
        <f>IF(OR(A150="",H150="",H150&lt;=0),"",(E150*H150+SUMIFS(加仓管理!$H$2:$H$1001,加仓管理!$A$2:$A$1001,A150))/AP150)</f>
        <v/>
      </c>
      <c r="AP150" s="23" t="str">
        <f t="shared" si="32"/>
        <v/>
      </c>
      <c r="AQ150" s="24" t="str">
        <f>IF(A150="","",IF(M150&lt;&gt;"",0,IF(OR(H150="",N150=""),"",MAX((E150*H150+SUMIFS(加仓管理!$H$2:$H$1001,加仓管理!$A$2:$A$1001,A150))-MAX(N150,AN150)*AP150,0))))</f>
        <v/>
      </c>
      <c r="AR150" s="24" t="str">
        <f>IF(A150="","",IF(OR(E150="",H150=""),"违规：首次买入价格或股数缺失",IF(COUNTIFS(加仓管理!$A$2:$A$1001,A150,加仓管理!$R$2:$R$1001,"违规*")&gt;0,"违规：请检查加仓管理表",IF(SUM($AQ$2:$AQ$201)&gt;账户数据!$B$7,"预警：超过账户风险上限",IF(COUNTIFS(加仓管理!$A$2:$A$1001,A150,加仓管理!$N$2:$N$1001,"&gt;0",加仓管理!$G$2:$G$1001,"")&gt;0,"提示：存在待执行加仓计划","通过")))))</f>
        <v/>
      </c>
    </row>
    <row r="151" spans="1:44">
      <c r="A151" s="10"/>
      <c r="B151" s="10"/>
      <c r="C151" s="7"/>
      <c r="D151" s="4"/>
      <c r="E151" s="7"/>
      <c r="F151" s="6" t="str">
        <f t="shared" si="22"/>
        <v/>
      </c>
      <c r="G151" s="6" t="str">
        <f>IF(A151="","",IF(H151&lt;&gt;"","已开仓",IF(账户数据!$B$23="已锁仓","禁止开仓：连续亏损达到上限",IF(账户数据!$B$23="解锁信息不完整","禁止开仓：请完整填写解锁信息",IF(OR(F151="",E151="",N151="",E151&lt;=N151,账户数据!$B$7=""),"",IF(OR(AG151="",AH151="",AI151=""),"禁止开仓：交易预期未填写完整",IF(账户数据!$B$9+F151*(E151-N151)&gt;=账户数据!$B$7,"禁止开仓：风险额度不足",IF(AJ151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1" s="10"/>
      <c r="I151" s="21"/>
      <c r="J151" s="7"/>
      <c r="K151" s="3"/>
      <c r="L151" s="6" t="str">
        <f t="shared" si="23"/>
        <v/>
      </c>
      <c r="M151" s="39"/>
      <c r="N151" s="7"/>
      <c r="O151" s="7"/>
      <c r="P151" s="3"/>
      <c r="Q151" s="10"/>
      <c r="R151" s="10"/>
      <c r="S151" s="10"/>
      <c r="T151" s="10"/>
      <c r="U151" s="5" t="str">
        <f t="shared" si="24"/>
        <v/>
      </c>
      <c r="V151" s="5" t="str">
        <f t="shared" si="25"/>
        <v/>
      </c>
      <c r="W151" s="22" t="str">
        <f t="shared" si="26"/>
        <v/>
      </c>
      <c r="X151" s="3" t="str">
        <f t="shared" si="27"/>
        <v/>
      </c>
      <c r="Y151" s="5" t="str">
        <f t="shared" si="28"/>
        <v/>
      </c>
      <c r="Z151" s="5" t="str">
        <f>IF(OR(AE151="",多次统计数据!$B$8=""),"",AE151-多次统计数据!$B$8)</f>
        <v/>
      </c>
      <c r="AA151" s="8" t="str">
        <f t="shared" si="29"/>
        <v/>
      </c>
      <c r="AB151" s="5" t="str">
        <f>IF(OR(A151="",多次统计数据!$B$8="",多次统计数据!$B$6&lt;=0,多次统计数据!$B$6&gt;=1),"",1-POWER(1+多次统计数据!$B$8,-多次统计数据!$B$6/(1-多次统计数据!$B$6)))</f>
        <v/>
      </c>
      <c r="AC151" s="6" t="str">
        <f>IF(OR(AB151="",多次统计数据!$B$9=""),"",IF(多次统计数据!$B$9&lt;AB151,"低于上限","达到或超过上限"))</f>
        <v/>
      </c>
      <c r="AD151" s="10"/>
      <c r="AE151" s="5" t="str">
        <f t="shared" si="30"/>
        <v/>
      </c>
      <c r="AG151" s="10"/>
      <c r="AH151" s="10"/>
      <c r="AI151" s="10"/>
      <c r="AJ151" s="6" t="str">
        <f t="shared" si="31"/>
        <v/>
      </c>
      <c r="AK151" s="23" t="str">
        <f>IF(A151="","",COUNTIFS(加仓管理!$A$2:$A$1001,A151,加仓管理!$G$2:$G$1001,"&gt;0"))</f>
        <v/>
      </c>
      <c r="AL151" s="23" t="str">
        <f>IF(A151="","",SUMIFS(加仓管理!$G$2:$G$1001,加仓管理!$A$2:$A$1001,A151))</f>
        <v/>
      </c>
      <c r="AM151" s="24" t="str">
        <f>IF(AK151=0,"",IFERROR(LOOKUP(2,1/((加仓管理!$A$2:$A$1001=A151)*(加仓管理!$G$2:$G$1001&gt;0)),加仓管理!$D$2:$D$1001),""))</f>
        <v/>
      </c>
      <c r="AN151" s="24" t="str">
        <f>IF(AK151=0,"",IFERROR(LOOKUP(2,1/((加仓管理!$A$2:$A$1001=A151)*(加仓管理!$G$2:$G$1001&gt;0)),加仓管理!$E$2:$E$1001),""))</f>
        <v/>
      </c>
      <c r="AO151" s="24" t="str">
        <f>IF(OR(A151="",H151="",H151&lt;=0),"",(E151*H151+SUMIFS(加仓管理!$H$2:$H$1001,加仓管理!$A$2:$A$1001,A151))/AP151)</f>
        <v/>
      </c>
      <c r="AP151" s="23" t="str">
        <f t="shared" si="32"/>
        <v/>
      </c>
      <c r="AQ151" s="24" t="str">
        <f>IF(A151="","",IF(M151&lt;&gt;"",0,IF(OR(H151="",N151=""),"",MAX((E151*H151+SUMIFS(加仓管理!$H$2:$H$1001,加仓管理!$A$2:$A$1001,A151))-MAX(N151,AN151)*AP151,0))))</f>
        <v/>
      </c>
      <c r="AR151" s="24" t="str">
        <f>IF(A151="","",IF(OR(E151="",H151=""),"违规：首次买入价格或股数缺失",IF(COUNTIFS(加仓管理!$A$2:$A$1001,A151,加仓管理!$R$2:$R$1001,"违规*")&gt;0,"违规：请检查加仓管理表",IF(SUM($AQ$2:$AQ$201)&gt;账户数据!$B$7,"预警：超过账户风险上限",IF(COUNTIFS(加仓管理!$A$2:$A$1001,A151,加仓管理!$N$2:$N$1001,"&gt;0",加仓管理!$G$2:$G$1001,"")&gt;0,"提示：存在待执行加仓计划","通过")))))</f>
        <v/>
      </c>
    </row>
    <row r="152" spans="1:44">
      <c r="A152" s="10"/>
      <c r="B152" s="10"/>
      <c r="C152" s="7"/>
      <c r="D152" s="4"/>
      <c r="E152" s="7"/>
      <c r="F152" s="6" t="str">
        <f t="shared" si="22"/>
        <v/>
      </c>
      <c r="G152" s="6" t="str">
        <f>IF(A152="","",IF(H152&lt;&gt;"","已开仓",IF(账户数据!$B$23="已锁仓","禁止开仓：连续亏损达到上限",IF(账户数据!$B$23="解锁信息不完整","禁止开仓：请完整填写解锁信息",IF(OR(F152="",E152="",N152="",E152&lt;=N152,账户数据!$B$7=""),"",IF(OR(AG152="",AH152="",AI152=""),"禁止开仓：交易预期未填写完整",IF(账户数据!$B$9+F152*(E152-N152)&gt;=账户数据!$B$7,"禁止开仓：风险额度不足",IF(AJ152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2" s="10"/>
      <c r="I152" s="21"/>
      <c r="J152" s="7"/>
      <c r="K152" s="3"/>
      <c r="L152" s="6" t="str">
        <f t="shared" si="23"/>
        <v/>
      </c>
      <c r="M152" s="39"/>
      <c r="N152" s="7"/>
      <c r="O152" s="7"/>
      <c r="P152" s="3"/>
      <c r="Q152" s="10"/>
      <c r="R152" s="10"/>
      <c r="S152" s="10"/>
      <c r="T152" s="10"/>
      <c r="U152" s="5" t="str">
        <f t="shared" si="24"/>
        <v/>
      </c>
      <c r="V152" s="5" t="str">
        <f t="shared" si="25"/>
        <v/>
      </c>
      <c r="W152" s="22" t="str">
        <f t="shared" si="26"/>
        <v/>
      </c>
      <c r="X152" s="3" t="str">
        <f t="shared" si="27"/>
        <v/>
      </c>
      <c r="Y152" s="5" t="str">
        <f t="shared" si="28"/>
        <v/>
      </c>
      <c r="Z152" s="5" t="str">
        <f>IF(OR(AE152="",多次统计数据!$B$8=""),"",AE152-多次统计数据!$B$8)</f>
        <v/>
      </c>
      <c r="AA152" s="8" t="str">
        <f t="shared" si="29"/>
        <v/>
      </c>
      <c r="AB152" s="5" t="str">
        <f>IF(OR(A152="",多次统计数据!$B$8="",多次统计数据!$B$6&lt;=0,多次统计数据!$B$6&gt;=1),"",1-POWER(1+多次统计数据!$B$8,-多次统计数据!$B$6/(1-多次统计数据!$B$6)))</f>
        <v/>
      </c>
      <c r="AC152" s="6" t="str">
        <f>IF(OR(AB152="",多次统计数据!$B$9=""),"",IF(多次统计数据!$B$9&lt;AB152,"低于上限","达到或超过上限"))</f>
        <v/>
      </c>
      <c r="AD152" s="10"/>
      <c r="AE152" s="5" t="str">
        <f t="shared" si="30"/>
        <v/>
      </c>
      <c r="AG152" s="10"/>
      <c r="AH152" s="10"/>
      <c r="AI152" s="10"/>
      <c r="AJ152" s="6" t="str">
        <f t="shared" si="31"/>
        <v/>
      </c>
      <c r="AK152" s="23" t="str">
        <f>IF(A152="","",COUNTIFS(加仓管理!$A$2:$A$1001,A152,加仓管理!$G$2:$G$1001,"&gt;0"))</f>
        <v/>
      </c>
      <c r="AL152" s="23" t="str">
        <f>IF(A152="","",SUMIFS(加仓管理!$G$2:$G$1001,加仓管理!$A$2:$A$1001,A152))</f>
        <v/>
      </c>
      <c r="AM152" s="24" t="str">
        <f>IF(AK152=0,"",IFERROR(LOOKUP(2,1/((加仓管理!$A$2:$A$1001=A152)*(加仓管理!$G$2:$G$1001&gt;0)),加仓管理!$D$2:$D$1001),""))</f>
        <v/>
      </c>
      <c r="AN152" s="24" t="str">
        <f>IF(AK152=0,"",IFERROR(LOOKUP(2,1/((加仓管理!$A$2:$A$1001=A152)*(加仓管理!$G$2:$G$1001&gt;0)),加仓管理!$E$2:$E$1001),""))</f>
        <v/>
      </c>
      <c r="AO152" s="24" t="str">
        <f>IF(OR(A152="",H152="",H152&lt;=0),"",(E152*H152+SUMIFS(加仓管理!$H$2:$H$1001,加仓管理!$A$2:$A$1001,A152))/AP152)</f>
        <v/>
      </c>
      <c r="AP152" s="23" t="str">
        <f t="shared" si="32"/>
        <v/>
      </c>
      <c r="AQ152" s="24" t="str">
        <f>IF(A152="","",IF(M152&lt;&gt;"",0,IF(OR(H152="",N152=""),"",MAX((E152*H152+SUMIFS(加仓管理!$H$2:$H$1001,加仓管理!$A$2:$A$1001,A152))-MAX(N152,AN152)*AP152,0))))</f>
        <v/>
      </c>
      <c r="AR152" s="24" t="str">
        <f>IF(A152="","",IF(OR(E152="",H152=""),"违规：首次买入价格或股数缺失",IF(COUNTIFS(加仓管理!$A$2:$A$1001,A152,加仓管理!$R$2:$R$1001,"违规*")&gt;0,"违规：请检查加仓管理表",IF(SUM($AQ$2:$AQ$201)&gt;账户数据!$B$7,"预警：超过账户风险上限",IF(COUNTIFS(加仓管理!$A$2:$A$1001,A152,加仓管理!$N$2:$N$1001,"&gt;0",加仓管理!$G$2:$G$1001,"")&gt;0,"提示：存在待执行加仓计划","通过")))))</f>
        <v/>
      </c>
    </row>
    <row r="153" spans="1:44">
      <c r="A153" s="10"/>
      <c r="B153" s="10"/>
      <c r="C153" s="7"/>
      <c r="D153" s="4"/>
      <c r="E153" s="7"/>
      <c r="F153" s="6" t="str">
        <f t="shared" si="22"/>
        <v/>
      </c>
      <c r="G153" s="6" t="str">
        <f>IF(A153="","",IF(H153&lt;&gt;"","已开仓",IF(账户数据!$B$23="已锁仓","禁止开仓：连续亏损达到上限",IF(账户数据!$B$23="解锁信息不完整","禁止开仓：请完整填写解锁信息",IF(OR(F153="",E153="",N153="",E153&lt;=N153,账户数据!$B$7=""),"",IF(OR(AG153="",AH153="",AI153=""),"禁止开仓：交易预期未填写完整",IF(账户数据!$B$9+F153*(E153-N153)&gt;=账户数据!$B$7,"禁止开仓：风险额度不足",IF(AJ153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3" s="10"/>
      <c r="I153" s="21"/>
      <c r="J153" s="7"/>
      <c r="K153" s="3"/>
      <c r="L153" s="6" t="str">
        <f t="shared" si="23"/>
        <v/>
      </c>
      <c r="M153" s="39"/>
      <c r="N153" s="7"/>
      <c r="O153" s="7"/>
      <c r="P153" s="3"/>
      <c r="Q153" s="10"/>
      <c r="R153" s="10"/>
      <c r="S153" s="10"/>
      <c r="T153" s="10"/>
      <c r="U153" s="5" t="str">
        <f t="shared" si="24"/>
        <v/>
      </c>
      <c r="V153" s="5" t="str">
        <f t="shared" si="25"/>
        <v/>
      </c>
      <c r="W153" s="22" t="str">
        <f t="shared" si="26"/>
        <v/>
      </c>
      <c r="X153" s="3" t="str">
        <f t="shared" si="27"/>
        <v/>
      </c>
      <c r="Y153" s="5" t="str">
        <f t="shared" si="28"/>
        <v/>
      </c>
      <c r="Z153" s="5" t="str">
        <f>IF(OR(AE153="",多次统计数据!$B$8=""),"",AE153-多次统计数据!$B$8)</f>
        <v/>
      </c>
      <c r="AA153" s="8" t="str">
        <f t="shared" si="29"/>
        <v/>
      </c>
      <c r="AB153" s="5" t="str">
        <f>IF(OR(A153="",多次统计数据!$B$8="",多次统计数据!$B$6&lt;=0,多次统计数据!$B$6&gt;=1),"",1-POWER(1+多次统计数据!$B$8,-多次统计数据!$B$6/(1-多次统计数据!$B$6)))</f>
        <v/>
      </c>
      <c r="AC153" s="6" t="str">
        <f>IF(OR(AB153="",多次统计数据!$B$9=""),"",IF(多次统计数据!$B$9&lt;AB153,"低于上限","达到或超过上限"))</f>
        <v/>
      </c>
      <c r="AD153" s="10"/>
      <c r="AE153" s="5" t="str">
        <f t="shared" si="30"/>
        <v/>
      </c>
      <c r="AG153" s="10"/>
      <c r="AH153" s="10"/>
      <c r="AI153" s="10"/>
      <c r="AJ153" s="6" t="str">
        <f t="shared" si="31"/>
        <v/>
      </c>
      <c r="AK153" s="23" t="str">
        <f>IF(A153="","",COUNTIFS(加仓管理!$A$2:$A$1001,A153,加仓管理!$G$2:$G$1001,"&gt;0"))</f>
        <v/>
      </c>
      <c r="AL153" s="23" t="str">
        <f>IF(A153="","",SUMIFS(加仓管理!$G$2:$G$1001,加仓管理!$A$2:$A$1001,A153))</f>
        <v/>
      </c>
      <c r="AM153" s="24" t="str">
        <f>IF(AK153=0,"",IFERROR(LOOKUP(2,1/((加仓管理!$A$2:$A$1001=A153)*(加仓管理!$G$2:$G$1001&gt;0)),加仓管理!$D$2:$D$1001),""))</f>
        <v/>
      </c>
      <c r="AN153" s="24" t="str">
        <f>IF(AK153=0,"",IFERROR(LOOKUP(2,1/((加仓管理!$A$2:$A$1001=A153)*(加仓管理!$G$2:$G$1001&gt;0)),加仓管理!$E$2:$E$1001),""))</f>
        <v/>
      </c>
      <c r="AO153" s="24" t="str">
        <f>IF(OR(A153="",H153="",H153&lt;=0),"",(E153*H153+SUMIFS(加仓管理!$H$2:$H$1001,加仓管理!$A$2:$A$1001,A153))/AP153)</f>
        <v/>
      </c>
      <c r="AP153" s="23" t="str">
        <f t="shared" si="32"/>
        <v/>
      </c>
      <c r="AQ153" s="24" t="str">
        <f>IF(A153="","",IF(M153&lt;&gt;"",0,IF(OR(H153="",N153=""),"",MAX((E153*H153+SUMIFS(加仓管理!$H$2:$H$1001,加仓管理!$A$2:$A$1001,A153))-MAX(N153,AN153)*AP153,0))))</f>
        <v/>
      </c>
      <c r="AR153" s="24" t="str">
        <f>IF(A153="","",IF(OR(E153="",H153=""),"违规：首次买入价格或股数缺失",IF(COUNTIFS(加仓管理!$A$2:$A$1001,A153,加仓管理!$R$2:$R$1001,"违规*")&gt;0,"违规：请检查加仓管理表",IF(SUM($AQ$2:$AQ$201)&gt;账户数据!$B$7,"预警：超过账户风险上限",IF(COUNTIFS(加仓管理!$A$2:$A$1001,A153,加仓管理!$N$2:$N$1001,"&gt;0",加仓管理!$G$2:$G$1001,"")&gt;0,"提示：存在待执行加仓计划","通过")))))</f>
        <v/>
      </c>
    </row>
    <row r="154" spans="1:44">
      <c r="A154" s="10"/>
      <c r="B154" s="10"/>
      <c r="C154" s="7"/>
      <c r="D154" s="4"/>
      <c r="E154" s="7"/>
      <c r="F154" s="6" t="str">
        <f t="shared" si="22"/>
        <v/>
      </c>
      <c r="G154" s="6" t="str">
        <f>IF(A154="","",IF(H154&lt;&gt;"","已开仓",IF(账户数据!$B$23="已锁仓","禁止开仓：连续亏损达到上限",IF(账户数据!$B$23="解锁信息不完整","禁止开仓：请完整填写解锁信息",IF(OR(F154="",E154="",N154="",E154&lt;=N154,账户数据!$B$7=""),"",IF(OR(AG154="",AH154="",AI154=""),"禁止开仓：交易预期未填写完整",IF(账户数据!$B$9+F154*(E154-N154)&gt;=账户数据!$B$7,"禁止开仓：风险额度不足",IF(AJ154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4" s="10"/>
      <c r="I154" s="21"/>
      <c r="J154" s="7"/>
      <c r="K154" s="3"/>
      <c r="L154" s="6" t="str">
        <f t="shared" si="23"/>
        <v/>
      </c>
      <c r="M154" s="39"/>
      <c r="N154" s="7"/>
      <c r="O154" s="7"/>
      <c r="P154" s="3"/>
      <c r="Q154" s="10"/>
      <c r="R154" s="10"/>
      <c r="S154" s="10"/>
      <c r="T154" s="10"/>
      <c r="U154" s="5" t="str">
        <f t="shared" si="24"/>
        <v/>
      </c>
      <c r="V154" s="5" t="str">
        <f t="shared" si="25"/>
        <v/>
      </c>
      <c r="W154" s="22" t="str">
        <f t="shared" si="26"/>
        <v/>
      </c>
      <c r="X154" s="3" t="str">
        <f t="shared" si="27"/>
        <v/>
      </c>
      <c r="Y154" s="5" t="str">
        <f t="shared" si="28"/>
        <v/>
      </c>
      <c r="Z154" s="5" t="str">
        <f>IF(OR(AE154="",多次统计数据!$B$8=""),"",AE154-多次统计数据!$B$8)</f>
        <v/>
      </c>
      <c r="AA154" s="8" t="str">
        <f t="shared" si="29"/>
        <v/>
      </c>
      <c r="AB154" s="5" t="str">
        <f>IF(OR(A154="",多次统计数据!$B$8="",多次统计数据!$B$6&lt;=0,多次统计数据!$B$6&gt;=1),"",1-POWER(1+多次统计数据!$B$8,-多次统计数据!$B$6/(1-多次统计数据!$B$6)))</f>
        <v/>
      </c>
      <c r="AC154" s="6" t="str">
        <f>IF(OR(AB154="",多次统计数据!$B$9=""),"",IF(多次统计数据!$B$9&lt;AB154,"低于上限","达到或超过上限"))</f>
        <v/>
      </c>
      <c r="AD154" s="10"/>
      <c r="AE154" s="5" t="str">
        <f t="shared" si="30"/>
        <v/>
      </c>
      <c r="AG154" s="10"/>
      <c r="AH154" s="10"/>
      <c r="AI154" s="10"/>
      <c r="AJ154" s="6" t="str">
        <f t="shared" si="31"/>
        <v/>
      </c>
      <c r="AK154" s="23" t="str">
        <f>IF(A154="","",COUNTIFS(加仓管理!$A$2:$A$1001,A154,加仓管理!$G$2:$G$1001,"&gt;0"))</f>
        <v/>
      </c>
      <c r="AL154" s="23" t="str">
        <f>IF(A154="","",SUMIFS(加仓管理!$G$2:$G$1001,加仓管理!$A$2:$A$1001,A154))</f>
        <v/>
      </c>
      <c r="AM154" s="24" t="str">
        <f>IF(AK154=0,"",IFERROR(LOOKUP(2,1/((加仓管理!$A$2:$A$1001=A154)*(加仓管理!$G$2:$G$1001&gt;0)),加仓管理!$D$2:$D$1001),""))</f>
        <v/>
      </c>
      <c r="AN154" s="24" t="str">
        <f>IF(AK154=0,"",IFERROR(LOOKUP(2,1/((加仓管理!$A$2:$A$1001=A154)*(加仓管理!$G$2:$G$1001&gt;0)),加仓管理!$E$2:$E$1001),""))</f>
        <v/>
      </c>
      <c r="AO154" s="24" t="str">
        <f>IF(OR(A154="",H154="",H154&lt;=0),"",(E154*H154+SUMIFS(加仓管理!$H$2:$H$1001,加仓管理!$A$2:$A$1001,A154))/AP154)</f>
        <v/>
      </c>
      <c r="AP154" s="23" t="str">
        <f t="shared" si="32"/>
        <v/>
      </c>
      <c r="AQ154" s="24" t="str">
        <f>IF(A154="","",IF(M154&lt;&gt;"",0,IF(OR(H154="",N154=""),"",MAX((E154*H154+SUMIFS(加仓管理!$H$2:$H$1001,加仓管理!$A$2:$A$1001,A154))-MAX(N154,AN154)*AP154,0))))</f>
        <v/>
      </c>
      <c r="AR154" s="24" t="str">
        <f>IF(A154="","",IF(OR(E154="",H154=""),"违规：首次买入价格或股数缺失",IF(COUNTIFS(加仓管理!$A$2:$A$1001,A154,加仓管理!$R$2:$R$1001,"违规*")&gt;0,"违规：请检查加仓管理表",IF(SUM($AQ$2:$AQ$201)&gt;账户数据!$B$7,"预警：超过账户风险上限",IF(COUNTIFS(加仓管理!$A$2:$A$1001,A154,加仓管理!$N$2:$N$1001,"&gt;0",加仓管理!$G$2:$G$1001,"")&gt;0,"提示：存在待执行加仓计划","通过")))))</f>
        <v/>
      </c>
    </row>
    <row r="155" spans="1:44">
      <c r="A155" s="10"/>
      <c r="B155" s="10"/>
      <c r="C155" s="7"/>
      <c r="D155" s="4"/>
      <c r="E155" s="7"/>
      <c r="F155" s="6" t="str">
        <f t="shared" si="22"/>
        <v/>
      </c>
      <c r="G155" s="6" t="str">
        <f>IF(A155="","",IF(H155&lt;&gt;"","已开仓",IF(账户数据!$B$23="已锁仓","禁止开仓：连续亏损达到上限",IF(账户数据!$B$23="解锁信息不完整","禁止开仓：请完整填写解锁信息",IF(OR(F155="",E155="",N155="",E155&lt;=N155,账户数据!$B$7=""),"",IF(OR(AG155="",AH155="",AI155=""),"禁止开仓：交易预期未填写完整",IF(账户数据!$B$9+F155*(E155-N155)&gt;=账户数据!$B$7,"禁止开仓：风险额度不足",IF(AJ155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5" s="10"/>
      <c r="I155" s="21"/>
      <c r="J155" s="7"/>
      <c r="K155" s="3"/>
      <c r="L155" s="6" t="str">
        <f t="shared" si="23"/>
        <v/>
      </c>
      <c r="M155" s="39"/>
      <c r="N155" s="7"/>
      <c r="O155" s="7"/>
      <c r="P155" s="3"/>
      <c r="Q155" s="10"/>
      <c r="R155" s="10"/>
      <c r="S155" s="10"/>
      <c r="T155" s="10"/>
      <c r="U155" s="5" t="str">
        <f t="shared" si="24"/>
        <v/>
      </c>
      <c r="V155" s="5" t="str">
        <f t="shared" si="25"/>
        <v/>
      </c>
      <c r="W155" s="22" t="str">
        <f t="shared" si="26"/>
        <v/>
      </c>
      <c r="X155" s="3" t="str">
        <f t="shared" si="27"/>
        <v/>
      </c>
      <c r="Y155" s="5" t="str">
        <f t="shared" si="28"/>
        <v/>
      </c>
      <c r="Z155" s="5" t="str">
        <f>IF(OR(AE155="",多次统计数据!$B$8=""),"",AE155-多次统计数据!$B$8)</f>
        <v/>
      </c>
      <c r="AA155" s="8" t="str">
        <f t="shared" si="29"/>
        <v/>
      </c>
      <c r="AB155" s="5" t="str">
        <f>IF(OR(A155="",多次统计数据!$B$8="",多次统计数据!$B$6&lt;=0,多次统计数据!$B$6&gt;=1),"",1-POWER(1+多次统计数据!$B$8,-多次统计数据!$B$6/(1-多次统计数据!$B$6)))</f>
        <v/>
      </c>
      <c r="AC155" s="6" t="str">
        <f>IF(OR(AB155="",多次统计数据!$B$9=""),"",IF(多次统计数据!$B$9&lt;AB155,"低于上限","达到或超过上限"))</f>
        <v/>
      </c>
      <c r="AD155" s="10"/>
      <c r="AE155" s="5" t="str">
        <f t="shared" si="30"/>
        <v/>
      </c>
      <c r="AG155" s="10"/>
      <c r="AH155" s="10"/>
      <c r="AI155" s="10"/>
      <c r="AJ155" s="6" t="str">
        <f t="shared" si="31"/>
        <v/>
      </c>
      <c r="AK155" s="23" t="str">
        <f>IF(A155="","",COUNTIFS(加仓管理!$A$2:$A$1001,A155,加仓管理!$G$2:$G$1001,"&gt;0"))</f>
        <v/>
      </c>
      <c r="AL155" s="23" t="str">
        <f>IF(A155="","",SUMIFS(加仓管理!$G$2:$G$1001,加仓管理!$A$2:$A$1001,A155))</f>
        <v/>
      </c>
      <c r="AM155" s="24" t="str">
        <f>IF(AK155=0,"",IFERROR(LOOKUP(2,1/((加仓管理!$A$2:$A$1001=A155)*(加仓管理!$G$2:$G$1001&gt;0)),加仓管理!$D$2:$D$1001),""))</f>
        <v/>
      </c>
      <c r="AN155" s="24" t="str">
        <f>IF(AK155=0,"",IFERROR(LOOKUP(2,1/((加仓管理!$A$2:$A$1001=A155)*(加仓管理!$G$2:$G$1001&gt;0)),加仓管理!$E$2:$E$1001),""))</f>
        <v/>
      </c>
      <c r="AO155" s="24" t="str">
        <f>IF(OR(A155="",H155="",H155&lt;=0),"",(E155*H155+SUMIFS(加仓管理!$H$2:$H$1001,加仓管理!$A$2:$A$1001,A155))/AP155)</f>
        <v/>
      </c>
      <c r="AP155" s="23" t="str">
        <f t="shared" si="32"/>
        <v/>
      </c>
      <c r="AQ155" s="24" t="str">
        <f>IF(A155="","",IF(M155&lt;&gt;"",0,IF(OR(H155="",N155=""),"",MAX((E155*H155+SUMIFS(加仓管理!$H$2:$H$1001,加仓管理!$A$2:$A$1001,A155))-MAX(N155,AN155)*AP155,0))))</f>
        <v/>
      </c>
      <c r="AR155" s="24" t="str">
        <f>IF(A155="","",IF(OR(E155="",H155=""),"违规：首次买入价格或股数缺失",IF(COUNTIFS(加仓管理!$A$2:$A$1001,A155,加仓管理!$R$2:$R$1001,"违规*")&gt;0,"违规：请检查加仓管理表",IF(SUM($AQ$2:$AQ$201)&gt;账户数据!$B$7,"预警：超过账户风险上限",IF(COUNTIFS(加仓管理!$A$2:$A$1001,A155,加仓管理!$N$2:$N$1001,"&gt;0",加仓管理!$G$2:$G$1001,"")&gt;0,"提示：存在待执行加仓计划","通过")))))</f>
        <v/>
      </c>
    </row>
    <row r="156" spans="1:44">
      <c r="A156" s="10"/>
      <c r="B156" s="10"/>
      <c r="C156" s="7"/>
      <c r="D156" s="4"/>
      <c r="E156" s="7"/>
      <c r="F156" s="6" t="str">
        <f t="shared" si="22"/>
        <v/>
      </c>
      <c r="G156" s="6" t="str">
        <f>IF(A156="","",IF(H156&lt;&gt;"","已开仓",IF(账户数据!$B$23="已锁仓","禁止开仓：连续亏损达到上限",IF(账户数据!$B$23="解锁信息不完整","禁止开仓：请完整填写解锁信息",IF(OR(F156="",E156="",N156="",E156&lt;=N156,账户数据!$B$7=""),"",IF(OR(AG156="",AH156="",AI156=""),"禁止开仓：交易预期未填写完整",IF(账户数据!$B$9+F156*(E156-N156)&gt;=账户数据!$B$7,"禁止开仓：风险额度不足",IF(AJ156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6" s="10"/>
      <c r="I156" s="21"/>
      <c r="J156" s="7"/>
      <c r="K156" s="3"/>
      <c r="L156" s="6" t="str">
        <f t="shared" si="23"/>
        <v/>
      </c>
      <c r="M156" s="39"/>
      <c r="N156" s="7"/>
      <c r="O156" s="7"/>
      <c r="P156" s="3"/>
      <c r="Q156" s="10"/>
      <c r="R156" s="10"/>
      <c r="S156" s="10"/>
      <c r="T156" s="10"/>
      <c r="U156" s="5" t="str">
        <f t="shared" si="24"/>
        <v/>
      </c>
      <c r="V156" s="5" t="str">
        <f t="shared" si="25"/>
        <v/>
      </c>
      <c r="W156" s="22" t="str">
        <f t="shared" si="26"/>
        <v/>
      </c>
      <c r="X156" s="3" t="str">
        <f t="shared" si="27"/>
        <v/>
      </c>
      <c r="Y156" s="5" t="str">
        <f t="shared" si="28"/>
        <v/>
      </c>
      <c r="Z156" s="5" t="str">
        <f>IF(OR(AE156="",多次统计数据!$B$8=""),"",AE156-多次统计数据!$B$8)</f>
        <v/>
      </c>
      <c r="AA156" s="8" t="str">
        <f t="shared" si="29"/>
        <v/>
      </c>
      <c r="AB156" s="5" t="str">
        <f>IF(OR(A156="",多次统计数据!$B$8="",多次统计数据!$B$6&lt;=0,多次统计数据!$B$6&gt;=1),"",1-POWER(1+多次统计数据!$B$8,-多次统计数据!$B$6/(1-多次统计数据!$B$6)))</f>
        <v/>
      </c>
      <c r="AC156" s="6" t="str">
        <f>IF(OR(AB156="",多次统计数据!$B$9=""),"",IF(多次统计数据!$B$9&lt;AB156,"低于上限","达到或超过上限"))</f>
        <v/>
      </c>
      <c r="AD156" s="10"/>
      <c r="AE156" s="5" t="str">
        <f t="shared" si="30"/>
        <v/>
      </c>
      <c r="AG156" s="10"/>
      <c r="AH156" s="10"/>
      <c r="AI156" s="10"/>
      <c r="AJ156" s="6" t="str">
        <f t="shared" si="31"/>
        <v/>
      </c>
      <c r="AK156" s="23" t="str">
        <f>IF(A156="","",COUNTIFS(加仓管理!$A$2:$A$1001,A156,加仓管理!$G$2:$G$1001,"&gt;0"))</f>
        <v/>
      </c>
      <c r="AL156" s="23" t="str">
        <f>IF(A156="","",SUMIFS(加仓管理!$G$2:$G$1001,加仓管理!$A$2:$A$1001,A156))</f>
        <v/>
      </c>
      <c r="AM156" s="24" t="str">
        <f>IF(AK156=0,"",IFERROR(LOOKUP(2,1/((加仓管理!$A$2:$A$1001=A156)*(加仓管理!$G$2:$G$1001&gt;0)),加仓管理!$D$2:$D$1001),""))</f>
        <v/>
      </c>
      <c r="AN156" s="24" t="str">
        <f>IF(AK156=0,"",IFERROR(LOOKUP(2,1/((加仓管理!$A$2:$A$1001=A156)*(加仓管理!$G$2:$G$1001&gt;0)),加仓管理!$E$2:$E$1001),""))</f>
        <v/>
      </c>
      <c r="AO156" s="24" t="str">
        <f>IF(OR(A156="",H156="",H156&lt;=0),"",(E156*H156+SUMIFS(加仓管理!$H$2:$H$1001,加仓管理!$A$2:$A$1001,A156))/AP156)</f>
        <v/>
      </c>
      <c r="AP156" s="23" t="str">
        <f t="shared" si="32"/>
        <v/>
      </c>
      <c r="AQ156" s="24" t="str">
        <f>IF(A156="","",IF(M156&lt;&gt;"",0,IF(OR(H156="",N156=""),"",MAX((E156*H156+SUMIFS(加仓管理!$H$2:$H$1001,加仓管理!$A$2:$A$1001,A156))-MAX(N156,AN156)*AP156,0))))</f>
        <v/>
      </c>
      <c r="AR156" s="24" t="str">
        <f>IF(A156="","",IF(OR(E156="",H156=""),"违规：首次买入价格或股数缺失",IF(COUNTIFS(加仓管理!$A$2:$A$1001,A156,加仓管理!$R$2:$R$1001,"违规*")&gt;0,"违规：请检查加仓管理表",IF(SUM($AQ$2:$AQ$201)&gt;账户数据!$B$7,"预警：超过账户风险上限",IF(COUNTIFS(加仓管理!$A$2:$A$1001,A156,加仓管理!$N$2:$N$1001,"&gt;0",加仓管理!$G$2:$G$1001,"")&gt;0,"提示：存在待执行加仓计划","通过")))))</f>
        <v/>
      </c>
    </row>
    <row r="157" spans="1:44">
      <c r="A157" s="10"/>
      <c r="B157" s="10"/>
      <c r="C157" s="7"/>
      <c r="D157" s="4"/>
      <c r="E157" s="7"/>
      <c r="F157" s="6" t="str">
        <f t="shared" si="22"/>
        <v/>
      </c>
      <c r="G157" s="6" t="str">
        <f>IF(A157="","",IF(H157&lt;&gt;"","已开仓",IF(账户数据!$B$23="已锁仓","禁止开仓：连续亏损达到上限",IF(账户数据!$B$23="解锁信息不完整","禁止开仓：请完整填写解锁信息",IF(OR(F157="",E157="",N157="",E157&lt;=N157,账户数据!$B$7=""),"",IF(OR(AG157="",AH157="",AI157=""),"禁止开仓：交易预期未填写完整",IF(账户数据!$B$9+F157*(E157-N157)&gt;=账户数据!$B$7,"禁止开仓：风险额度不足",IF(AJ157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7" s="10"/>
      <c r="I157" s="21"/>
      <c r="J157" s="7"/>
      <c r="K157" s="3"/>
      <c r="L157" s="6" t="str">
        <f t="shared" si="23"/>
        <v/>
      </c>
      <c r="M157" s="39"/>
      <c r="N157" s="7"/>
      <c r="O157" s="7"/>
      <c r="P157" s="3"/>
      <c r="Q157" s="10"/>
      <c r="R157" s="10"/>
      <c r="S157" s="10"/>
      <c r="T157" s="10"/>
      <c r="U157" s="5" t="str">
        <f t="shared" si="24"/>
        <v/>
      </c>
      <c r="V157" s="5" t="str">
        <f t="shared" si="25"/>
        <v/>
      </c>
      <c r="W157" s="22" t="str">
        <f t="shared" si="26"/>
        <v/>
      </c>
      <c r="X157" s="3" t="str">
        <f t="shared" si="27"/>
        <v/>
      </c>
      <c r="Y157" s="5" t="str">
        <f t="shared" si="28"/>
        <v/>
      </c>
      <c r="Z157" s="5" t="str">
        <f>IF(OR(AE157="",多次统计数据!$B$8=""),"",AE157-多次统计数据!$B$8)</f>
        <v/>
      </c>
      <c r="AA157" s="8" t="str">
        <f t="shared" si="29"/>
        <v/>
      </c>
      <c r="AB157" s="5" t="str">
        <f>IF(OR(A157="",多次统计数据!$B$8="",多次统计数据!$B$6&lt;=0,多次统计数据!$B$6&gt;=1),"",1-POWER(1+多次统计数据!$B$8,-多次统计数据!$B$6/(1-多次统计数据!$B$6)))</f>
        <v/>
      </c>
      <c r="AC157" s="6" t="str">
        <f>IF(OR(AB157="",多次统计数据!$B$9=""),"",IF(多次统计数据!$B$9&lt;AB157,"低于上限","达到或超过上限"))</f>
        <v/>
      </c>
      <c r="AD157" s="10"/>
      <c r="AE157" s="5" t="str">
        <f t="shared" si="30"/>
        <v/>
      </c>
      <c r="AG157" s="10"/>
      <c r="AH157" s="10"/>
      <c r="AI157" s="10"/>
      <c r="AJ157" s="6" t="str">
        <f t="shared" si="31"/>
        <v/>
      </c>
      <c r="AK157" s="23" t="str">
        <f>IF(A157="","",COUNTIFS(加仓管理!$A$2:$A$1001,A157,加仓管理!$G$2:$G$1001,"&gt;0"))</f>
        <v/>
      </c>
      <c r="AL157" s="23" t="str">
        <f>IF(A157="","",SUMIFS(加仓管理!$G$2:$G$1001,加仓管理!$A$2:$A$1001,A157))</f>
        <v/>
      </c>
      <c r="AM157" s="24" t="str">
        <f>IF(AK157=0,"",IFERROR(LOOKUP(2,1/((加仓管理!$A$2:$A$1001=A157)*(加仓管理!$G$2:$G$1001&gt;0)),加仓管理!$D$2:$D$1001),""))</f>
        <v/>
      </c>
      <c r="AN157" s="24" t="str">
        <f>IF(AK157=0,"",IFERROR(LOOKUP(2,1/((加仓管理!$A$2:$A$1001=A157)*(加仓管理!$G$2:$G$1001&gt;0)),加仓管理!$E$2:$E$1001),""))</f>
        <v/>
      </c>
      <c r="AO157" s="24" t="str">
        <f>IF(OR(A157="",H157="",H157&lt;=0),"",(E157*H157+SUMIFS(加仓管理!$H$2:$H$1001,加仓管理!$A$2:$A$1001,A157))/AP157)</f>
        <v/>
      </c>
      <c r="AP157" s="23" t="str">
        <f t="shared" si="32"/>
        <v/>
      </c>
      <c r="AQ157" s="24" t="str">
        <f>IF(A157="","",IF(M157&lt;&gt;"",0,IF(OR(H157="",N157=""),"",MAX((E157*H157+SUMIFS(加仓管理!$H$2:$H$1001,加仓管理!$A$2:$A$1001,A157))-MAX(N157,AN157)*AP157,0))))</f>
        <v/>
      </c>
      <c r="AR157" s="24" t="str">
        <f>IF(A157="","",IF(OR(E157="",H157=""),"违规：首次买入价格或股数缺失",IF(COUNTIFS(加仓管理!$A$2:$A$1001,A157,加仓管理!$R$2:$R$1001,"违规*")&gt;0,"违规：请检查加仓管理表",IF(SUM($AQ$2:$AQ$201)&gt;账户数据!$B$7,"预警：超过账户风险上限",IF(COUNTIFS(加仓管理!$A$2:$A$1001,A157,加仓管理!$N$2:$N$1001,"&gt;0",加仓管理!$G$2:$G$1001,"")&gt;0,"提示：存在待执行加仓计划","通过")))))</f>
        <v/>
      </c>
    </row>
    <row r="158" spans="1:44">
      <c r="A158" s="10"/>
      <c r="B158" s="10"/>
      <c r="C158" s="7"/>
      <c r="D158" s="4"/>
      <c r="E158" s="7"/>
      <c r="F158" s="6" t="str">
        <f t="shared" si="22"/>
        <v/>
      </c>
      <c r="G158" s="6" t="str">
        <f>IF(A158="","",IF(H158&lt;&gt;"","已开仓",IF(账户数据!$B$23="已锁仓","禁止开仓：连续亏损达到上限",IF(账户数据!$B$23="解锁信息不完整","禁止开仓：请完整填写解锁信息",IF(OR(F158="",E158="",N158="",E158&lt;=N158,账户数据!$B$7=""),"",IF(OR(AG158="",AH158="",AI158=""),"禁止开仓：交易预期未填写完整",IF(账户数据!$B$9+F158*(E158-N158)&gt;=账户数据!$B$7,"禁止开仓：风险额度不足",IF(AJ158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8" s="10"/>
      <c r="I158" s="21"/>
      <c r="J158" s="7"/>
      <c r="K158" s="3"/>
      <c r="L158" s="6" t="str">
        <f t="shared" si="23"/>
        <v/>
      </c>
      <c r="M158" s="39"/>
      <c r="N158" s="7"/>
      <c r="O158" s="7"/>
      <c r="P158" s="3"/>
      <c r="Q158" s="10"/>
      <c r="R158" s="10"/>
      <c r="S158" s="10"/>
      <c r="T158" s="10"/>
      <c r="U158" s="5" t="str">
        <f t="shared" si="24"/>
        <v/>
      </c>
      <c r="V158" s="5" t="str">
        <f t="shared" si="25"/>
        <v/>
      </c>
      <c r="W158" s="22" t="str">
        <f t="shared" si="26"/>
        <v/>
      </c>
      <c r="X158" s="3" t="str">
        <f t="shared" si="27"/>
        <v/>
      </c>
      <c r="Y158" s="5" t="str">
        <f t="shared" si="28"/>
        <v/>
      </c>
      <c r="Z158" s="5" t="str">
        <f>IF(OR(AE158="",多次统计数据!$B$8=""),"",AE158-多次统计数据!$B$8)</f>
        <v/>
      </c>
      <c r="AA158" s="8" t="str">
        <f t="shared" si="29"/>
        <v/>
      </c>
      <c r="AB158" s="5" t="str">
        <f>IF(OR(A158="",多次统计数据!$B$8="",多次统计数据!$B$6&lt;=0,多次统计数据!$B$6&gt;=1),"",1-POWER(1+多次统计数据!$B$8,-多次统计数据!$B$6/(1-多次统计数据!$B$6)))</f>
        <v/>
      </c>
      <c r="AC158" s="6" t="str">
        <f>IF(OR(AB158="",多次统计数据!$B$9=""),"",IF(多次统计数据!$B$9&lt;AB158,"低于上限","达到或超过上限"))</f>
        <v/>
      </c>
      <c r="AD158" s="10"/>
      <c r="AE158" s="5" t="str">
        <f t="shared" si="30"/>
        <v/>
      </c>
      <c r="AG158" s="10"/>
      <c r="AH158" s="10"/>
      <c r="AI158" s="10"/>
      <c r="AJ158" s="6" t="str">
        <f t="shared" si="31"/>
        <v/>
      </c>
      <c r="AK158" s="23" t="str">
        <f>IF(A158="","",COUNTIFS(加仓管理!$A$2:$A$1001,A158,加仓管理!$G$2:$G$1001,"&gt;0"))</f>
        <v/>
      </c>
      <c r="AL158" s="23" t="str">
        <f>IF(A158="","",SUMIFS(加仓管理!$G$2:$G$1001,加仓管理!$A$2:$A$1001,A158))</f>
        <v/>
      </c>
      <c r="AM158" s="24" t="str">
        <f>IF(AK158=0,"",IFERROR(LOOKUP(2,1/((加仓管理!$A$2:$A$1001=A158)*(加仓管理!$G$2:$G$1001&gt;0)),加仓管理!$D$2:$D$1001),""))</f>
        <v/>
      </c>
      <c r="AN158" s="24" t="str">
        <f>IF(AK158=0,"",IFERROR(LOOKUP(2,1/((加仓管理!$A$2:$A$1001=A158)*(加仓管理!$G$2:$G$1001&gt;0)),加仓管理!$E$2:$E$1001),""))</f>
        <v/>
      </c>
      <c r="AO158" s="24" t="str">
        <f>IF(OR(A158="",H158="",H158&lt;=0),"",(E158*H158+SUMIFS(加仓管理!$H$2:$H$1001,加仓管理!$A$2:$A$1001,A158))/AP158)</f>
        <v/>
      </c>
      <c r="AP158" s="23" t="str">
        <f t="shared" si="32"/>
        <v/>
      </c>
      <c r="AQ158" s="24" t="str">
        <f>IF(A158="","",IF(M158&lt;&gt;"",0,IF(OR(H158="",N158=""),"",MAX((E158*H158+SUMIFS(加仓管理!$H$2:$H$1001,加仓管理!$A$2:$A$1001,A158))-MAX(N158,AN158)*AP158,0))))</f>
        <v/>
      </c>
      <c r="AR158" s="24" t="str">
        <f>IF(A158="","",IF(OR(E158="",H158=""),"违规：首次买入价格或股数缺失",IF(COUNTIFS(加仓管理!$A$2:$A$1001,A158,加仓管理!$R$2:$R$1001,"违规*")&gt;0,"违规：请检查加仓管理表",IF(SUM($AQ$2:$AQ$201)&gt;账户数据!$B$7,"预警：超过账户风险上限",IF(COUNTIFS(加仓管理!$A$2:$A$1001,A158,加仓管理!$N$2:$N$1001,"&gt;0",加仓管理!$G$2:$G$1001,"")&gt;0,"提示：存在待执行加仓计划","通过")))))</f>
        <v/>
      </c>
    </row>
    <row r="159" spans="1:44">
      <c r="A159" s="10"/>
      <c r="B159" s="10"/>
      <c r="C159" s="7"/>
      <c r="D159" s="4"/>
      <c r="E159" s="7"/>
      <c r="F159" s="6" t="str">
        <f t="shared" si="22"/>
        <v/>
      </c>
      <c r="G159" s="6" t="str">
        <f>IF(A159="","",IF(H159&lt;&gt;"","已开仓",IF(账户数据!$B$23="已锁仓","禁止开仓：连续亏损达到上限",IF(账户数据!$B$23="解锁信息不完整","禁止开仓：请完整填写解锁信息",IF(OR(F159="",E159="",N159="",E159&lt;=N159,账户数据!$B$7=""),"",IF(OR(AG159="",AH159="",AI159=""),"禁止开仓：交易预期未填写完整",IF(账户数据!$B$9+F159*(E159-N159)&gt;=账户数据!$B$7,"禁止开仓：风险额度不足",IF(AJ159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9" s="10"/>
      <c r="I159" s="21"/>
      <c r="J159" s="7"/>
      <c r="K159" s="3"/>
      <c r="L159" s="6" t="str">
        <f t="shared" si="23"/>
        <v/>
      </c>
      <c r="M159" s="39"/>
      <c r="N159" s="7"/>
      <c r="O159" s="7"/>
      <c r="P159" s="3"/>
      <c r="Q159" s="10"/>
      <c r="R159" s="10"/>
      <c r="S159" s="10"/>
      <c r="T159" s="10"/>
      <c r="U159" s="5" t="str">
        <f t="shared" si="24"/>
        <v/>
      </c>
      <c r="V159" s="5" t="str">
        <f t="shared" si="25"/>
        <v/>
      </c>
      <c r="W159" s="22" t="str">
        <f t="shared" si="26"/>
        <v/>
      </c>
      <c r="X159" s="3" t="str">
        <f t="shared" si="27"/>
        <v/>
      </c>
      <c r="Y159" s="5" t="str">
        <f t="shared" si="28"/>
        <v/>
      </c>
      <c r="Z159" s="5" t="str">
        <f>IF(OR(AE159="",多次统计数据!$B$8=""),"",AE159-多次统计数据!$B$8)</f>
        <v/>
      </c>
      <c r="AA159" s="8" t="str">
        <f t="shared" si="29"/>
        <v/>
      </c>
      <c r="AB159" s="5" t="str">
        <f>IF(OR(A159="",多次统计数据!$B$8="",多次统计数据!$B$6&lt;=0,多次统计数据!$B$6&gt;=1),"",1-POWER(1+多次统计数据!$B$8,-多次统计数据!$B$6/(1-多次统计数据!$B$6)))</f>
        <v/>
      </c>
      <c r="AC159" s="6" t="str">
        <f>IF(OR(AB159="",多次统计数据!$B$9=""),"",IF(多次统计数据!$B$9&lt;AB159,"低于上限","达到或超过上限"))</f>
        <v/>
      </c>
      <c r="AD159" s="10"/>
      <c r="AE159" s="5" t="str">
        <f t="shared" si="30"/>
        <v/>
      </c>
      <c r="AG159" s="10"/>
      <c r="AH159" s="10"/>
      <c r="AI159" s="10"/>
      <c r="AJ159" s="6" t="str">
        <f t="shared" si="31"/>
        <v/>
      </c>
      <c r="AK159" s="23" t="str">
        <f>IF(A159="","",COUNTIFS(加仓管理!$A$2:$A$1001,A159,加仓管理!$G$2:$G$1001,"&gt;0"))</f>
        <v/>
      </c>
      <c r="AL159" s="23" t="str">
        <f>IF(A159="","",SUMIFS(加仓管理!$G$2:$G$1001,加仓管理!$A$2:$A$1001,A159))</f>
        <v/>
      </c>
      <c r="AM159" s="24" t="str">
        <f>IF(AK159=0,"",IFERROR(LOOKUP(2,1/((加仓管理!$A$2:$A$1001=A159)*(加仓管理!$G$2:$G$1001&gt;0)),加仓管理!$D$2:$D$1001),""))</f>
        <v/>
      </c>
      <c r="AN159" s="24" t="str">
        <f>IF(AK159=0,"",IFERROR(LOOKUP(2,1/((加仓管理!$A$2:$A$1001=A159)*(加仓管理!$G$2:$G$1001&gt;0)),加仓管理!$E$2:$E$1001),""))</f>
        <v/>
      </c>
      <c r="AO159" s="24" t="str">
        <f>IF(OR(A159="",H159="",H159&lt;=0),"",(E159*H159+SUMIFS(加仓管理!$H$2:$H$1001,加仓管理!$A$2:$A$1001,A159))/AP159)</f>
        <v/>
      </c>
      <c r="AP159" s="23" t="str">
        <f t="shared" si="32"/>
        <v/>
      </c>
      <c r="AQ159" s="24" t="str">
        <f>IF(A159="","",IF(M159&lt;&gt;"",0,IF(OR(H159="",N159=""),"",MAX((E159*H159+SUMIFS(加仓管理!$H$2:$H$1001,加仓管理!$A$2:$A$1001,A159))-MAX(N159,AN159)*AP159,0))))</f>
        <v/>
      </c>
      <c r="AR159" s="24" t="str">
        <f>IF(A159="","",IF(OR(E159="",H159=""),"违规：首次买入价格或股数缺失",IF(COUNTIFS(加仓管理!$A$2:$A$1001,A159,加仓管理!$R$2:$R$1001,"违规*")&gt;0,"违规：请检查加仓管理表",IF(SUM($AQ$2:$AQ$201)&gt;账户数据!$B$7,"预警：超过账户风险上限",IF(COUNTIFS(加仓管理!$A$2:$A$1001,A159,加仓管理!$N$2:$N$1001,"&gt;0",加仓管理!$G$2:$G$1001,"")&gt;0,"提示：存在待执行加仓计划","通过")))))</f>
        <v/>
      </c>
    </row>
    <row r="160" spans="1:44">
      <c r="A160" s="10"/>
      <c r="B160" s="10"/>
      <c r="C160" s="7"/>
      <c r="D160" s="4"/>
      <c r="E160" s="7"/>
      <c r="F160" s="6" t="str">
        <f t="shared" si="22"/>
        <v/>
      </c>
      <c r="G160" s="6" t="str">
        <f>IF(A160="","",IF(H160&lt;&gt;"","已开仓",IF(账户数据!$B$23="已锁仓","禁止开仓：连续亏损达到上限",IF(账户数据!$B$23="解锁信息不完整","禁止开仓：请完整填写解锁信息",IF(OR(F160="",E160="",N160="",E160&lt;=N160,账户数据!$B$7=""),"",IF(OR(AG160="",AH160="",AI160=""),"禁止开仓：交易预期未填写完整",IF(账户数据!$B$9+F160*(E160-N160)&gt;=账户数据!$B$7,"禁止开仓：风险额度不足",IF(AJ160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0" s="10"/>
      <c r="I160" s="21"/>
      <c r="J160" s="7"/>
      <c r="K160" s="3"/>
      <c r="L160" s="6" t="str">
        <f t="shared" si="23"/>
        <v/>
      </c>
      <c r="M160" s="39"/>
      <c r="N160" s="7"/>
      <c r="O160" s="7"/>
      <c r="P160" s="3"/>
      <c r="Q160" s="10"/>
      <c r="R160" s="10"/>
      <c r="S160" s="10"/>
      <c r="T160" s="10"/>
      <c r="U160" s="5" t="str">
        <f t="shared" si="24"/>
        <v/>
      </c>
      <c r="V160" s="5" t="str">
        <f t="shared" si="25"/>
        <v/>
      </c>
      <c r="W160" s="22" t="str">
        <f t="shared" si="26"/>
        <v/>
      </c>
      <c r="X160" s="3" t="str">
        <f t="shared" si="27"/>
        <v/>
      </c>
      <c r="Y160" s="5" t="str">
        <f t="shared" si="28"/>
        <v/>
      </c>
      <c r="Z160" s="5" t="str">
        <f>IF(OR(AE160="",多次统计数据!$B$8=""),"",AE160-多次统计数据!$B$8)</f>
        <v/>
      </c>
      <c r="AA160" s="8" t="str">
        <f t="shared" si="29"/>
        <v/>
      </c>
      <c r="AB160" s="5" t="str">
        <f>IF(OR(A160="",多次统计数据!$B$8="",多次统计数据!$B$6&lt;=0,多次统计数据!$B$6&gt;=1),"",1-POWER(1+多次统计数据!$B$8,-多次统计数据!$B$6/(1-多次统计数据!$B$6)))</f>
        <v/>
      </c>
      <c r="AC160" s="6" t="str">
        <f>IF(OR(AB160="",多次统计数据!$B$9=""),"",IF(多次统计数据!$B$9&lt;AB160,"低于上限","达到或超过上限"))</f>
        <v/>
      </c>
      <c r="AD160" s="10"/>
      <c r="AE160" s="5" t="str">
        <f t="shared" si="30"/>
        <v/>
      </c>
      <c r="AG160" s="10"/>
      <c r="AH160" s="10"/>
      <c r="AI160" s="10"/>
      <c r="AJ160" s="6" t="str">
        <f t="shared" si="31"/>
        <v/>
      </c>
      <c r="AK160" s="23" t="str">
        <f>IF(A160="","",COUNTIFS(加仓管理!$A$2:$A$1001,A160,加仓管理!$G$2:$G$1001,"&gt;0"))</f>
        <v/>
      </c>
      <c r="AL160" s="23" t="str">
        <f>IF(A160="","",SUMIFS(加仓管理!$G$2:$G$1001,加仓管理!$A$2:$A$1001,A160))</f>
        <v/>
      </c>
      <c r="AM160" s="24" t="str">
        <f>IF(AK160=0,"",IFERROR(LOOKUP(2,1/((加仓管理!$A$2:$A$1001=A160)*(加仓管理!$G$2:$G$1001&gt;0)),加仓管理!$D$2:$D$1001),""))</f>
        <v/>
      </c>
      <c r="AN160" s="24" t="str">
        <f>IF(AK160=0,"",IFERROR(LOOKUP(2,1/((加仓管理!$A$2:$A$1001=A160)*(加仓管理!$G$2:$G$1001&gt;0)),加仓管理!$E$2:$E$1001),""))</f>
        <v/>
      </c>
      <c r="AO160" s="24" t="str">
        <f>IF(OR(A160="",H160="",H160&lt;=0),"",(E160*H160+SUMIFS(加仓管理!$H$2:$H$1001,加仓管理!$A$2:$A$1001,A160))/AP160)</f>
        <v/>
      </c>
      <c r="AP160" s="23" t="str">
        <f t="shared" si="32"/>
        <v/>
      </c>
      <c r="AQ160" s="24" t="str">
        <f>IF(A160="","",IF(M160&lt;&gt;"",0,IF(OR(H160="",N160=""),"",MAX((E160*H160+SUMIFS(加仓管理!$H$2:$H$1001,加仓管理!$A$2:$A$1001,A160))-MAX(N160,AN160)*AP160,0))))</f>
        <v/>
      </c>
      <c r="AR160" s="24" t="str">
        <f>IF(A160="","",IF(OR(E160="",H160=""),"违规：首次买入价格或股数缺失",IF(COUNTIFS(加仓管理!$A$2:$A$1001,A160,加仓管理!$R$2:$R$1001,"违规*")&gt;0,"违规：请检查加仓管理表",IF(SUM($AQ$2:$AQ$201)&gt;账户数据!$B$7,"预警：超过账户风险上限",IF(COUNTIFS(加仓管理!$A$2:$A$1001,A160,加仓管理!$N$2:$N$1001,"&gt;0",加仓管理!$G$2:$G$1001,"")&gt;0,"提示：存在待执行加仓计划","通过")))))</f>
        <v/>
      </c>
    </row>
    <row r="161" spans="1:44">
      <c r="A161" s="10"/>
      <c r="B161" s="10"/>
      <c r="C161" s="7"/>
      <c r="D161" s="4"/>
      <c r="E161" s="7"/>
      <c r="F161" s="6" t="str">
        <f t="shared" si="22"/>
        <v/>
      </c>
      <c r="G161" s="6" t="str">
        <f>IF(A161="","",IF(H161&lt;&gt;"","已开仓",IF(账户数据!$B$23="已锁仓","禁止开仓：连续亏损达到上限",IF(账户数据!$B$23="解锁信息不完整","禁止开仓：请完整填写解锁信息",IF(OR(F161="",E161="",N161="",E161&lt;=N161,账户数据!$B$7=""),"",IF(OR(AG161="",AH161="",AI161=""),"禁止开仓：交易预期未填写完整",IF(账户数据!$B$9+F161*(E161-N161)&gt;=账户数据!$B$7,"禁止开仓：风险额度不足",IF(AJ161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1" s="10"/>
      <c r="I161" s="21"/>
      <c r="J161" s="7"/>
      <c r="K161" s="3"/>
      <c r="L161" s="6" t="str">
        <f t="shared" si="23"/>
        <v/>
      </c>
      <c r="M161" s="39"/>
      <c r="N161" s="7"/>
      <c r="O161" s="7"/>
      <c r="P161" s="3"/>
      <c r="Q161" s="10"/>
      <c r="R161" s="10"/>
      <c r="S161" s="10"/>
      <c r="T161" s="10"/>
      <c r="U161" s="5" t="str">
        <f t="shared" si="24"/>
        <v/>
      </c>
      <c r="V161" s="5" t="str">
        <f t="shared" si="25"/>
        <v/>
      </c>
      <c r="W161" s="22" t="str">
        <f t="shared" si="26"/>
        <v/>
      </c>
      <c r="X161" s="3" t="str">
        <f t="shared" si="27"/>
        <v/>
      </c>
      <c r="Y161" s="5" t="str">
        <f t="shared" si="28"/>
        <v/>
      </c>
      <c r="Z161" s="5" t="str">
        <f>IF(OR(AE161="",多次统计数据!$B$8=""),"",AE161-多次统计数据!$B$8)</f>
        <v/>
      </c>
      <c r="AA161" s="8" t="str">
        <f t="shared" si="29"/>
        <v/>
      </c>
      <c r="AB161" s="5" t="str">
        <f>IF(OR(A161="",多次统计数据!$B$8="",多次统计数据!$B$6&lt;=0,多次统计数据!$B$6&gt;=1),"",1-POWER(1+多次统计数据!$B$8,-多次统计数据!$B$6/(1-多次统计数据!$B$6)))</f>
        <v/>
      </c>
      <c r="AC161" s="6" t="str">
        <f>IF(OR(AB161="",多次统计数据!$B$9=""),"",IF(多次统计数据!$B$9&lt;AB161,"低于上限","达到或超过上限"))</f>
        <v/>
      </c>
      <c r="AD161" s="10"/>
      <c r="AE161" s="5" t="str">
        <f t="shared" si="30"/>
        <v/>
      </c>
      <c r="AG161" s="10"/>
      <c r="AH161" s="10"/>
      <c r="AI161" s="10"/>
      <c r="AJ161" s="6" t="str">
        <f t="shared" si="31"/>
        <v/>
      </c>
      <c r="AK161" s="23" t="str">
        <f>IF(A161="","",COUNTIFS(加仓管理!$A$2:$A$1001,A161,加仓管理!$G$2:$G$1001,"&gt;0"))</f>
        <v/>
      </c>
      <c r="AL161" s="23" t="str">
        <f>IF(A161="","",SUMIFS(加仓管理!$G$2:$G$1001,加仓管理!$A$2:$A$1001,A161))</f>
        <v/>
      </c>
      <c r="AM161" s="24" t="str">
        <f>IF(AK161=0,"",IFERROR(LOOKUP(2,1/((加仓管理!$A$2:$A$1001=A161)*(加仓管理!$G$2:$G$1001&gt;0)),加仓管理!$D$2:$D$1001),""))</f>
        <v/>
      </c>
      <c r="AN161" s="24" t="str">
        <f>IF(AK161=0,"",IFERROR(LOOKUP(2,1/((加仓管理!$A$2:$A$1001=A161)*(加仓管理!$G$2:$G$1001&gt;0)),加仓管理!$E$2:$E$1001),""))</f>
        <v/>
      </c>
      <c r="AO161" s="24" t="str">
        <f>IF(OR(A161="",H161="",H161&lt;=0),"",(E161*H161+SUMIFS(加仓管理!$H$2:$H$1001,加仓管理!$A$2:$A$1001,A161))/AP161)</f>
        <v/>
      </c>
      <c r="AP161" s="23" t="str">
        <f t="shared" si="32"/>
        <v/>
      </c>
      <c r="AQ161" s="24" t="str">
        <f>IF(A161="","",IF(M161&lt;&gt;"",0,IF(OR(H161="",N161=""),"",MAX((E161*H161+SUMIFS(加仓管理!$H$2:$H$1001,加仓管理!$A$2:$A$1001,A161))-MAX(N161,AN161)*AP161,0))))</f>
        <v/>
      </c>
      <c r="AR161" s="24" t="str">
        <f>IF(A161="","",IF(OR(E161="",H161=""),"违规：首次买入价格或股数缺失",IF(COUNTIFS(加仓管理!$A$2:$A$1001,A161,加仓管理!$R$2:$R$1001,"违规*")&gt;0,"违规：请检查加仓管理表",IF(SUM($AQ$2:$AQ$201)&gt;账户数据!$B$7,"预警：超过账户风险上限",IF(COUNTIFS(加仓管理!$A$2:$A$1001,A161,加仓管理!$N$2:$N$1001,"&gt;0",加仓管理!$G$2:$G$1001,"")&gt;0,"提示：存在待执行加仓计划","通过")))))</f>
        <v/>
      </c>
    </row>
    <row r="162" spans="1:44">
      <c r="A162" s="10"/>
      <c r="B162" s="10"/>
      <c r="C162" s="7"/>
      <c r="D162" s="4"/>
      <c r="E162" s="7"/>
      <c r="F162" s="6" t="str">
        <f t="shared" si="22"/>
        <v/>
      </c>
      <c r="G162" s="6" t="str">
        <f>IF(A162="","",IF(H162&lt;&gt;"","已开仓",IF(账户数据!$B$23="已锁仓","禁止开仓：连续亏损达到上限",IF(账户数据!$B$23="解锁信息不完整","禁止开仓：请完整填写解锁信息",IF(OR(F162="",E162="",N162="",E162&lt;=N162,账户数据!$B$7=""),"",IF(OR(AG162="",AH162="",AI162=""),"禁止开仓：交易预期未填写完整",IF(账户数据!$B$9+F162*(E162-N162)&gt;=账户数据!$B$7,"禁止开仓：风险额度不足",IF(AJ162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2" s="10"/>
      <c r="I162" s="21"/>
      <c r="J162" s="7"/>
      <c r="K162" s="3"/>
      <c r="L162" s="6" t="str">
        <f t="shared" si="23"/>
        <v/>
      </c>
      <c r="M162" s="39"/>
      <c r="N162" s="7"/>
      <c r="O162" s="7"/>
      <c r="P162" s="3"/>
      <c r="Q162" s="10"/>
      <c r="R162" s="10"/>
      <c r="S162" s="10"/>
      <c r="T162" s="10"/>
      <c r="U162" s="5" t="str">
        <f t="shared" si="24"/>
        <v/>
      </c>
      <c r="V162" s="5" t="str">
        <f t="shared" si="25"/>
        <v/>
      </c>
      <c r="W162" s="22" t="str">
        <f t="shared" si="26"/>
        <v/>
      </c>
      <c r="X162" s="3" t="str">
        <f t="shared" si="27"/>
        <v/>
      </c>
      <c r="Y162" s="5" t="str">
        <f t="shared" si="28"/>
        <v/>
      </c>
      <c r="Z162" s="5" t="str">
        <f>IF(OR(AE162="",多次统计数据!$B$8=""),"",AE162-多次统计数据!$B$8)</f>
        <v/>
      </c>
      <c r="AA162" s="8" t="str">
        <f t="shared" si="29"/>
        <v/>
      </c>
      <c r="AB162" s="5" t="str">
        <f>IF(OR(A162="",多次统计数据!$B$8="",多次统计数据!$B$6&lt;=0,多次统计数据!$B$6&gt;=1),"",1-POWER(1+多次统计数据!$B$8,-多次统计数据!$B$6/(1-多次统计数据!$B$6)))</f>
        <v/>
      </c>
      <c r="AC162" s="6" t="str">
        <f>IF(OR(AB162="",多次统计数据!$B$9=""),"",IF(多次统计数据!$B$9&lt;AB162,"低于上限","达到或超过上限"))</f>
        <v/>
      </c>
      <c r="AD162" s="10"/>
      <c r="AE162" s="5" t="str">
        <f t="shared" si="30"/>
        <v/>
      </c>
      <c r="AG162" s="10"/>
      <c r="AH162" s="10"/>
      <c r="AI162" s="10"/>
      <c r="AJ162" s="6" t="str">
        <f t="shared" si="31"/>
        <v/>
      </c>
      <c r="AK162" s="23" t="str">
        <f>IF(A162="","",COUNTIFS(加仓管理!$A$2:$A$1001,A162,加仓管理!$G$2:$G$1001,"&gt;0"))</f>
        <v/>
      </c>
      <c r="AL162" s="23" t="str">
        <f>IF(A162="","",SUMIFS(加仓管理!$G$2:$G$1001,加仓管理!$A$2:$A$1001,A162))</f>
        <v/>
      </c>
      <c r="AM162" s="24" t="str">
        <f>IF(AK162=0,"",IFERROR(LOOKUP(2,1/((加仓管理!$A$2:$A$1001=A162)*(加仓管理!$G$2:$G$1001&gt;0)),加仓管理!$D$2:$D$1001),""))</f>
        <v/>
      </c>
      <c r="AN162" s="24" t="str">
        <f>IF(AK162=0,"",IFERROR(LOOKUP(2,1/((加仓管理!$A$2:$A$1001=A162)*(加仓管理!$G$2:$G$1001&gt;0)),加仓管理!$E$2:$E$1001),""))</f>
        <v/>
      </c>
      <c r="AO162" s="24" t="str">
        <f>IF(OR(A162="",H162="",H162&lt;=0),"",(E162*H162+SUMIFS(加仓管理!$H$2:$H$1001,加仓管理!$A$2:$A$1001,A162))/AP162)</f>
        <v/>
      </c>
      <c r="AP162" s="23" t="str">
        <f t="shared" si="32"/>
        <v/>
      </c>
      <c r="AQ162" s="24" t="str">
        <f>IF(A162="","",IF(M162&lt;&gt;"",0,IF(OR(H162="",N162=""),"",MAX((E162*H162+SUMIFS(加仓管理!$H$2:$H$1001,加仓管理!$A$2:$A$1001,A162))-MAX(N162,AN162)*AP162,0))))</f>
        <v/>
      </c>
      <c r="AR162" s="24" t="str">
        <f>IF(A162="","",IF(OR(E162="",H162=""),"违规：首次买入价格或股数缺失",IF(COUNTIFS(加仓管理!$A$2:$A$1001,A162,加仓管理!$R$2:$R$1001,"违规*")&gt;0,"违规：请检查加仓管理表",IF(SUM($AQ$2:$AQ$201)&gt;账户数据!$B$7,"预警：超过账户风险上限",IF(COUNTIFS(加仓管理!$A$2:$A$1001,A162,加仓管理!$N$2:$N$1001,"&gt;0",加仓管理!$G$2:$G$1001,"")&gt;0,"提示：存在待执行加仓计划","通过")))))</f>
        <v/>
      </c>
    </row>
    <row r="163" spans="1:44">
      <c r="A163" s="10"/>
      <c r="B163" s="10"/>
      <c r="C163" s="7"/>
      <c r="D163" s="4"/>
      <c r="E163" s="7"/>
      <c r="F163" s="6" t="str">
        <f t="shared" si="22"/>
        <v/>
      </c>
      <c r="G163" s="6" t="str">
        <f>IF(A163="","",IF(H163&lt;&gt;"","已开仓",IF(账户数据!$B$23="已锁仓","禁止开仓：连续亏损达到上限",IF(账户数据!$B$23="解锁信息不完整","禁止开仓：请完整填写解锁信息",IF(OR(F163="",E163="",N163="",E163&lt;=N163,账户数据!$B$7=""),"",IF(OR(AG163="",AH163="",AI163=""),"禁止开仓：交易预期未填写完整",IF(账户数据!$B$9+F163*(E163-N163)&gt;=账户数据!$B$7,"禁止开仓：风险额度不足",IF(AJ163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3" s="10"/>
      <c r="I163" s="21"/>
      <c r="J163" s="7"/>
      <c r="K163" s="3"/>
      <c r="L163" s="6" t="str">
        <f t="shared" si="23"/>
        <v/>
      </c>
      <c r="M163" s="39"/>
      <c r="N163" s="7"/>
      <c r="O163" s="7"/>
      <c r="P163" s="3"/>
      <c r="Q163" s="10"/>
      <c r="R163" s="10"/>
      <c r="S163" s="10"/>
      <c r="T163" s="10"/>
      <c r="U163" s="5" t="str">
        <f t="shared" si="24"/>
        <v/>
      </c>
      <c r="V163" s="5" t="str">
        <f t="shared" si="25"/>
        <v/>
      </c>
      <c r="W163" s="22" t="str">
        <f t="shared" si="26"/>
        <v/>
      </c>
      <c r="X163" s="3" t="str">
        <f t="shared" si="27"/>
        <v/>
      </c>
      <c r="Y163" s="5" t="str">
        <f t="shared" si="28"/>
        <v/>
      </c>
      <c r="Z163" s="5" t="str">
        <f>IF(OR(AE163="",多次统计数据!$B$8=""),"",AE163-多次统计数据!$B$8)</f>
        <v/>
      </c>
      <c r="AA163" s="8" t="str">
        <f t="shared" si="29"/>
        <v/>
      </c>
      <c r="AB163" s="5" t="str">
        <f>IF(OR(A163="",多次统计数据!$B$8="",多次统计数据!$B$6&lt;=0,多次统计数据!$B$6&gt;=1),"",1-POWER(1+多次统计数据!$B$8,-多次统计数据!$B$6/(1-多次统计数据!$B$6)))</f>
        <v/>
      </c>
      <c r="AC163" s="6" t="str">
        <f>IF(OR(AB163="",多次统计数据!$B$9=""),"",IF(多次统计数据!$B$9&lt;AB163,"低于上限","达到或超过上限"))</f>
        <v/>
      </c>
      <c r="AD163" s="10"/>
      <c r="AE163" s="5" t="str">
        <f t="shared" si="30"/>
        <v/>
      </c>
      <c r="AG163" s="10"/>
      <c r="AH163" s="10"/>
      <c r="AI163" s="10"/>
      <c r="AJ163" s="6" t="str">
        <f t="shared" si="31"/>
        <v/>
      </c>
      <c r="AK163" s="23" t="str">
        <f>IF(A163="","",COUNTIFS(加仓管理!$A$2:$A$1001,A163,加仓管理!$G$2:$G$1001,"&gt;0"))</f>
        <v/>
      </c>
      <c r="AL163" s="23" t="str">
        <f>IF(A163="","",SUMIFS(加仓管理!$G$2:$G$1001,加仓管理!$A$2:$A$1001,A163))</f>
        <v/>
      </c>
      <c r="AM163" s="24" t="str">
        <f>IF(AK163=0,"",IFERROR(LOOKUP(2,1/((加仓管理!$A$2:$A$1001=A163)*(加仓管理!$G$2:$G$1001&gt;0)),加仓管理!$D$2:$D$1001),""))</f>
        <v/>
      </c>
      <c r="AN163" s="24" t="str">
        <f>IF(AK163=0,"",IFERROR(LOOKUP(2,1/((加仓管理!$A$2:$A$1001=A163)*(加仓管理!$G$2:$G$1001&gt;0)),加仓管理!$E$2:$E$1001),""))</f>
        <v/>
      </c>
      <c r="AO163" s="24" t="str">
        <f>IF(OR(A163="",H163="",H163&lt;=0),"",(E163*H163+SUMIFS(加仓管理!$H$2:$H$1001,加仓管理!$A$2:$A$1001,A163))/AP163)</f>
        <v/>
      </c>
      <c r="AP163" s="23" t="str">
        <f t="shared" si="32"/>
        <v/>
      </c>
      <c r="AQ163" s="24" t="str">
        <f>IF(A163="","",IF(M163&lt;&gt;"",0,IF(OR(H163="",N163=""),"",MAX((E163*H163+SUMIFS(加仓管理!$H$2:$H$1001,加仓管理!$A$2:$A$1001,A163))-MAX(N163,AN163)*AP163,0))))</f>
        <v/>
      </c>
      <c r="AR163" s="24" t="str">
        <f>IF(A163="","",IF(OR(E163="",H163=""),"违规：首次买入价格或股数缺失",IF(COUNTIFS(加仓管理!$A$2:$A$1001,A163,加仓管理!$R$2:$R$1001,"违规*")&gt;0,"违规：请检查加仓管理表",IF(SUM($AQ$2:$AQ$201)&gt;账户数据!$B$7,"预警：超过账户风险上限",IF(COUNTIFS(加仓管理!$A$2:$A$1001,A163,加仓管理!$N$2:$N$1001,"&gt;0",加仓管理!$G$2:$G$1001,"")&gt;0,"提示：存在待执行加仓计划","通过")))))</f>
        <v/>
      </c>
    </row>
    <row r="164" spans="1:44">
      <c r="A164" s="10"/>
      <c r="B164" s="10"/>
      <c r="C164" s="7"/>
      <c r="D164" s="4"/>
      <c r="E164" s="7"/>
      <c r="F164" s="6" t="str">
        <f t="shared" si="22"/>
        <v/>
      </c>
      <c r="G164" s="6" t="str">
        <f>IF(A164="","",IF(H164&lt;&gt;"","已开仓",IF(账户数据!$B$23="已锁仓","禁止开仓：连续亏损达到上限",IF(账户数据!$B$23="解锁信息不完整","禁止开仓：请完整填写解锁信息",IF(OR(F164="",E164="",N164="",E164&lt;=N164,账户数据!$B$7=""),"",IF(OR(AG164="",AH164="",AI164=""),"禁止开仓：交易预期未填写完整",IF(账户数据!$B$9+F164*(E164-N164)&gt;=账户数据!$B$7,"禁止开仓：风险额度不足",IF(AJ164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4" s="10"/>
      <c r="I164" s="21"/>
      <c r="J164" s="7"/>
      <c r="K164" s="3"/>
      <c r="L164" s="6" t="str">
        <f t="shared" si="23"/>
        <v/>
      </c>
      <c r="M164" s="39"/>
      <c r="N164" s="7"/>
      <c r="O164" s="7"/>
      <c r="P164" s="3"/>
      <c r="Q164" s="10"/>
      <c r="R164" s="10"/>
      <c r="S164" s="10"/>
      <c r="T164" s="10"/>
      <c r="U164" s="5" t="str">
        <f t="shared" si="24"/>
        <v/>
      </c>
      <c r="V164" s="5" t="str">
        <f t="shared" si="25"/>
        <v/>
      </c>
      <c r="W164" s="22" t="str">
        <f t="shared" si="26"/>
        <v/>
      </c>
      <c r="X164" s="3" t="str">
        <f t="shared" si="27"/>
        <v/>
      </c>
      <c r="Y164" s="5" t="str">
        <f t="shared" si="28"/>
        <v/>
      </c>
      <c r="Z164" s="5" t="str">
        <f>IF(OR(AE164="",多次统计数据!$B$8=""),"",AE164-多次统计数据!$B$8)</f>
        <v/>
      </c>
      <c r="AA164" s="8" t="str">
        <f t="shared" si="29"/>
        <v/>
      </c>
      <c r="AB164" s="5" t="str">
        <f>IF(OR(A164="",多次统计数据!$B$8="",多次统计数据!$B$6&lt;=0,多次统计数据!$B$6&gt;=1),"",1-POWER(1+多次统计数据!$B$8,-多次统计数据!$B$6/(1-多次统计数据!$B$6)))</f>
        <v/>
      </c>
      <c r="AC164" s="6" t="str">
        <f>IF(OR(AB164="",多次统计数据!$B$9=""),"",IF(多次统计数据!$B$9&lt;AB164,"低于上限","达到或超过上限"))</f>
        <v/>
      </c>
      <c r="AD164" s="10"/>
      <c r="AE164" s="5" t="str">
        <f t="shared" si="30"/>
        <v/>
      </c>
      <c r="AG164" s="10"/>
      <c r="AH164" s="10"/>
      <c r="AI164" s="10"/>
      <c r="AJ164" s="6" t="str">
        <f t="shared" si="31"/>
        <v/>
      </c>
      <c r="AK164" s="23" t="str">
        <f>IF(A164="","",COUNTIFS(加仓管理!$A$2:$A$1001,A164,加仓管理!$G$2:$G$1001,"&gt;0"))</f>
        <v/>
      </c>
      <c r="AL164" s="23" t="str">
        <f>IF(A164="","",SUMIFS(加仓管理!$G$2:$G$1001,加仓管理!$A$2:$A$1001,A164))</f>
        <v/>
      </c>
      <c r="AM164" s="24" t="str">
        <f>IF(AK164=0,"",IFERROR(LOOKUP(2,1/((加仓管理!$A$2:$A$1001=A164)*(加仓管理!$G$2:$G$1001&gt;0)),加仓管理!$D$2:$D$1001),""))</f>
        <v/>
      </c>
      <c r="AN164" s="24" t="str">
        <f>IF(AK164=0,"",IFERROR(LOOKUP(2,1/((加仓管理!$A$2:$A$1001=A164)*(加仓管理!$G$2:$G$1001&gt;0)),加仓管理!$E$2:$E$1001),""))</f>
        <v/>
      </c>
      <c r="AO164" s="24" t="str">
        <f>IF(OR(A164="",H164="",H164&lt;=0),"",(E164*H164+SUMIFS(加仓管理!$H$2:$H$1001,加仓管理!$A$2:$A$1001,A164))/AP164)</f>
        <v/>
      </c>
      <c r="AP164" s="23" t="str">
        <f t="shared" si="32"/>
        <v/>
      </c>
      <c r="AQ164" s="24" t="str">
        <f>IF(A164="","",IF(M164&lt;&gt;"",0,IF(OR(H164="",N164=""),"",MAX((E164*H164+SUMIFS(加仓管理!$H$2:$H$1001,加仓管理!$A$2:$A$1001,A164))-MAX(N164,AN164)*AP164,0))))</f>
        <v/>
      </c>
      <c r="AR164" s="24" t="str">
        <f>IF(A164="","",IF(OR(E164="",H164=""),"违规：首次买入价格或股数缺失",IF(COUNTIFS(加仓管理!$A$2:$A$1001,A164,加仓管理!$R$2:$R$1001,"违规*")&gt;0,"违规：请检查加仓管理表",IF(SUM($AQ$2:$AQ$201)&gt;账户数据!$B$7,"预警：超过账户风险上限",IF(COUNTIFS(加仓管理!$A$2:$A$1001,A164,加仓管理!$N$2:$N$1001,"&gt;0",加仓管理!$G$2:$G$1001,"")&gt;0,"提示：存在待执行加仓计划","通过")))))</f>
        <v/>
      </c>
    </row>
    <row r="165" spans="1:44">
      <c r="A165" s="10"/>
      <c r="B165" s="10"/>
      <c r="C165" s="7"/>
      <c r="D165" s="4"/>
      <c r="E165" s="7"/>
      <c r="F165" s="6" t="str">
        <f t="shared" si="22"/>
        <v/>
      </c>
      <c r="G165" s="6" t="str">
        <f>IF(A165="","",IF(H165&lt;&gt;"","已开仓",IF(账户数据!$B$23="已锁仓","禁止开仓：连续亏损达到上限",IF(账户数据!$B$23="解锁信息不完整","禁止开仓：请完整填写解锁信息",IF(OR(F165="",E165="",N165="",E165&lt;=N165,账户数据!$B$7=""),"",IF(OR(AG165="",AH165="",AI165=""),"禁止开仓：交易预期未填写完整",IF(账户数据!$B$9+F165*(E165-N165)&gt;=账户数据!$B$7,"禁止开仓：风险额度不足",IF(AJ165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5" s="10"/>
      <c r="I165" s="21"/>
      <c r="J165" s="7"/>
      <c r="K165" s="3"/>
      <c r="L165" s="6" t="str">
        <f t="shared" si="23"/>
        <v/>
      </c>
      <c r="M165" s="39"/>
      <c r="N165" s="7"/>
      <c r="O165" s="7"/>
      <c r="P165" s="3"/>
      <c r="Q165" s="10"/>
      <c r="R165" s="10"/>
      <c r="S165" s="10"/>
      <c r="T165" s="10"/>
      <c r="U165" s="5" t="str">
        <f t="shared" si="24"/>
        <v/>
      </c>
      <c r="V165" s="5" t="str">
        <f t="shared" si="25"/>
        <v/>
      </c>
      <c r="W165" s="22" t="str">
        <f t="shared" si="26"/>
        <v/>
      </c>
      <c r="X165" s="3" t="str">
        <f t="shared" si="27"/>
        <v/>
      </c>
      <c r="Y165" s="5" t="str">
        <f t="shared" si="28"/>
        <v/>
      </c>
      <c r="Z165" s="5" t="str">
        <f>IF(OR(AE165="",多次统计数据!$B$8=""),"",AE165-多次统计数据!$B$8)</f>
        <v/>
      </c>
      <c r="AA165" s="8" t="str">
        <f t="shared" si="29"/>
        <v/>
      </c>
      <c r="AB165" s="5" t="str">
        <f>IF(OR(A165="",多次统计数据!$B$8="",多次统计数据!$B$6&lt;=0,多次统计数据!$B$6&gt;=1),"",1-POWER(1+多次统计数据!$B$8,-多次统计数据!$B$6/(1-多次统计数据!$B$6)))</f>
        <v/>
      </c>
      <c r="AC165" s="6" t="str">
        <f>IF(OR(AB165="",多次统计数据!$B$9=""),"",IF(多次统计数据!$B$9&lt;AB165,"低于上限","达到或超过上限"))</f>
        <v/>
      </c>
      <c r="AD165" s="10"/>
      <c r="AE165" s="5" t="str">
        <f t="shared" si="30"/>
        <v/>
      </c>
      <c r="AG165" s="10"/>
      <c r="AH165" s="10"/>
      <c r="AI165" s="10"/>
      <c r="AJ165" s="6" t="str">
        <f t="shared" si="31"/>
        <v/>
      </c>
      <c r="AK165" s="23" t="str">
        <f>IF(A165="","",COUNTIFS(加仓管理!$A$2:$A$1001,A165,加仓管理!$G$2:$G$1001,"&gt;0"))</f>
        <v/>
      </c>
      <c r="AL165" s="23" t="str">
        <f>IF(A165="","",SUMIFS(加仓管理!$G$2:$G$1001,加仓管理!$A$2:$A$1001,A165))</f>
        <v/>
      </c>
      <c r="AM165" s="24" t="str">
        <f>IF(AK165=0,"",IFERROR(LOOKUP(2,1/((加仓管理!$A$2:$A$1001=A165)*(加仓管理!$G$2:$G$1001&gt;0)),加仓管理!$D$2:$D$1001),""))</f>
        <v/>
      </c>
      <c r="AN165" s="24" t="str">
        <f>IF(AK165=0,"",IFERROR(LOOKUP(2,1/((加仓管理!$A$2:$A$1001=A165)*(加仓管理!$G$2:$G$1001&gt;0)),加仓管理!$E$2:$E$1001),""))</f>
        <v/>
      </c>
      <c r="AO165" s="24" t="str">
        <f>IF(OR(A165="",H165="",H165&lt;=0),"",(E165*H165+SUMIFS(加仓管理!$H$2:$H$1001,加仓管理!$A$2:$A$1001,A165))/AP165)</f>
        <v/>
      </c>
      <c r="AP165" s="23" t="str">
        <f t="shared" si="32"/>
        <v/>
      </c>
      <c r="AQ165" s="24" t="str">
        <f>IF(A165="","",IF(M165&lt;&gt;"",0,IF(OR(H165="",N165=""),"",MAX((E165*H165+SUMIFS(加仓管理!$H$2:$H$1001,加仓管理!$A$2:$A$1001,A165))-MAX(N165,AN165)*AP165,0))))</f>
        <v/>
      </c>
      <c r="AR165" s="24" t="str">
        <f>IF(A165="","",IF(OR(E165="",H165=""),"违规：首次买入价格或股数缺失",IF(COUNTIFS(加仓管理!$A$2:$A$1001,A165,加仓管理!$R$2:$R$1001,"违规*")&gt;0,"违规：请检查加仓管理表",IF(SUM($AQ$2:$AQ$201)&gt;账户数据!$B$7,"预警：超过账户风险上限",IF(COUNTIFS(加仓管理!$A$2:$A$1001,A165,加仓管理!$N$2:$N$1001,"&gt;0",加仓管理!$G$2:$G$1001,"")&gt;0,"提示：存在待执行加仓计划","通过")))))</f>
        <v/>
      </c>
    </row>
    <row r="166" spans="1:44">
      <c r="A166" s="10"/>
      <c r="B166" s="10"/>
      <c r="C166" s="7"/>
      <c r="D166" s="4"/>
      <c r="E166" s="7"/>
      <c r="F166" s="6" t="str">
        <f t="shared" si="22"/>
        <v/>
      </c>
      <c r="G166" s="6" t="str">
        <f>IF(A166="","",IF(H166&lt;&gt;"","已开仓",IF(账户数据!$B$23="已锁仓","禁止开仓：连续亏损达到上限",IF(账户数据!$B$23="解锁信息不完整","禁止开仓：请完整填写解锁信息",IF(OR(F166="",E166="",N166="",E166&lt;=N166,账户数据!$B$7=""),"",IF(OR(AG166="",AH166="",AI166=""),"禁止开仓：交易预期未填写完整",IF(账户数据!$B$9+F166*(E166-N166)&gt;=账户数据!$B$7,"禁止开仓：风险额度不足",IF(AJ166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6" s="10"/>
      <c r="I166" s="21"/>
      <c r="J166" s="7"/>
      <c r="K166" s="3"/>
      <c r="L166" s="6" t="str">
        <f t="shared" si="23"/>
        <v/>
      </c>
      <c r="M166" s="39"/>
      <c r="N166" s="7"/>
      <c r="O166" s="7"/>
      <c r="P166" s="3"/>
      <c r="Q166" s="10"/>
      <c r="R166" s="10"/>
      <c r="S166" s="10"/>
      <c r="T166" s="10"/>
      <c r="U166" s="5" t="str">
        <f t="shared" si="24"/>
        <v/>
      </c>
      <c r="V166" s="5" t="str">
        <f t="shared" si="25"/>
        <v/>
      </c>
      <c r="W166" s="22" t="str">
        <f t="shared" si="26"/>
        <v/>
      </c>
      <c r="X166" s="3" t="str">
        <f t="shared" si="27"/>
        <v/>
      </c>
      <c r="Y166" s="5" t="str">
        <f t="shared" si="28"/>
        <v/>
      </c>
      <c r="Z166" s="5" t="str">
        <f>IF(OR(AE166="",多次统计数据!$B$8=""),"",AE166-多次统计数据!$B$8)</f>
        <v/>
      </c>
      <c r="AA166" s="8" t="str">
        <f t="shared" si="29"/>
        <v/>
      </c>
      <c r="AB166" s="5" t="str">
        <f>IF(OR(A166="",多次统计数据!$B$8="",多次统计数据!$B$6&lt;=0,多次统计数据!$B$6&gt;=1),"",1-POWER(1+多次统计数据!$B$8,-多次统计数据!$B$6/(1-多次统计数据!$B$6)))</f>
        <v/>
      </c>
      <c r="AC166" s="6" t="str">
        <f>IF(OR(AB166="",多次统计数据!$B$9=""),"",IF(多次统计数据!$B$9&lt;AB166,"低于上限","达到或超过上限"))</f>
        <v/>
      </c>
      <c r="AD166" s="10"/>
      <c r="AE166" s="5" t="str">
        <f t="shared" si="30"/>
        <v/>
      </c>
      <c r="AG166" s="10"/>
      <c r="AH166" s="10"/>
      <c r="AI166" s="10"/>
      <c r="AJ166" s="6" t="str">
        <f t="shared" si="31"/>
        <v/>
      </c>
      <c r="AK166" s="23" t="str">
        <f>IF(A166="","",COUNTIFS(加仓管理!$A$2:$A$1001,A166,加仓管理!$G$2:$G$1001,"&gt;0"))</f>
        <v/>
      </c>
      <c r="AL166" s="23" t="str">
        <f>IF(A166="","",SUMIFS(加仓管理!$G$2:$G$1001,加仓管理!$A$2:$A$1001,A166))</f>
        <v/>
      </c>
      <c r="AM166" s="24" t="str">
        <f>IF(AK166=0,"",IFERROR(LOOKUP(2,1/((加仓管理!$A$2:$A$1001=A166)*(加仓管理!$G$2:$G$1001&gt;0)),加仓管理!$D$2:$D$1001),""))</f>
        <v/>
      </c>
      <c r="AN166" s="24" t="str">
        <f>IF(AK166=0,"",IFERROR(LOOKUP(2,1/((加仓管理!$A$2:$A$1001=A166)*(加仓管理!$G$2:$G$1001&gt;0)),加仓管理!$E$2:$E$1001),""))</f>
        <v/>
      </c>
      <c r="AO166" s="24" t="str">
        <f>IF(OR(A166="",H166="",H166&lt;=0),"",(E166*H166+SUMIFS(加仓管理!$H$2:$H$1001,加仓管理!$A$2:$A$1001,A166))/AP166)</f>
        <v/>
      </c>
      <c r="AP166" s="23" t="str">
        <f t="shared" si="32"/>
        <v/>
      </c>
      <c r="AQ166" s="24" t="str">
        <f>IF(A166="","",IF(M166&lt;&gt;"",0,IF(OR(H166="",N166=""),"",MAX((E166*H166+SUMIFS(加仓管理!$H$2:$H$1001,加仓管理!$A$2:$A$1001,A166))-MAX(N166,AN166)*AP166,0))))</f>
        <v/>
      </c>
      <c r="AR166" s="24" t="str">
        <f>IF(A166="","",IF(OR(E166="",H166=""),"违规：首次买入价格或股数缺失",IF(COUNTIFS(加仓管理!$A$2:$A$1001,A166,加仓管理!$R$2:$R$1001,"违规*")&gt;0,"违规：请检查加仓管理表",IF(SUM($AQ$2:$AQ$201)&gt;账户数据!$B$7,"预警：超过账户风险上限",IF(COUNTIFS(加仓管理!$A$2:$A$1001,A166,加仓管理!$N$2:$N$1001,"&gt;0",加仓管理!$G$2:$G$1001,"")&gt;0,"提示：存在待执行加仓计划","通过")))))</f>
        <v/>
      </c>
    </row>
    <row r="167" spans="1:44">
      <c r="A167" s="10"/>
      <c r="B167" s="10"/>
      <c r="C167" s="7"/>
      <c r="D167" s="4"/>
      <c r="E167" s="7"/>
      <c r="F167" s="6" t="str">
        <f t="shared" si="22"/>
        <v/>
      </c>
      <c r="G167" s="6" t="str">
        <f>IF(A167="","",IF(H167&lt;&gt;"","已开仓",IF(账户数据!$B$23="已锁仓","禁止开仓：连续亏损达到上限",IF(账户数据!$B$23="解锁信息不完整","禁止开仓：请完整填写解锁信息",IF(OR(F167="",E167="",N167="",E167&lt;=N167,账户数据!$B$7=""),"",IF(OR(AG167="",AH167="",AI167=""),"禁止开仓：交易预期未填写完整",IF(账户数据!$B$9+F167*(E167-N167)&gt;=账户数据!$B$7,"禁止开仓：风险额度不足",IF(AJ167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7" s="10"/>
      <c r="I167" s="21"/>
      <c r="J167" s="7"/>
      <c r="K167" s="3"/>
      <c r="L167" s="6" t="str">
        <f t="shared" si="23"/>
        <v/>
      </c>
      <c r="M167" s="39"/>
      <c r="N167" s="7"/>
      <c r="O167" s="7"/>
      <c r="P167" s="3"/>
      <c r="Q167" s="10"/>
      <c r="R167" s="10"/>
      <c r="S167" s="10"/>
      <c r="T167" s="10"/>
      <c r="U167" s="5" t="str">
        <f t="shared" si="24"/>
        <v/>
      </c>
      <c r="V167" s="5" t="str">
        <f t="shared" si="25"/>
        <v/>
      </c>
      <c r="W167" s="22" t="str">
        <f t="shared" si="26"/>
        <v/>
      </c>
      <c r="X167" s="3" t="str">
        <f t="shared" si="27"/>
        <v/>
      </c>
      <c r="Y167" s="5" t="str">
        <f t="shared" si="28"/>
        <v/>
      </c>
      <c r="Z167" s="5" t="str">
        <f>IF(OR(AE167="",多次统计数据!$B$8=""),"",AE167-多次统计数据!$B$8)</f>
        <v/>
      </c>
      <c r="AA167" s="8" t="str">
        <f t="shared" si="29"/>
        <v/>
      </c>
      <c r="AB167" s="5" t="str">
        <f>IF(OR(A167="",多次统计数据!$B$8="",多次统计数据!$B$6&lt;=0,多次统计数据!$B$6&gt;=1),"",1-POWER(1+多次统计数据!$B$8,-多次统计数据!$B$6/(1-多次统计数据!$B$6)))</f>
        <v/>
      </c>
      <c r="AC167" s="6" t="str">
        <f>IF(OR(AB167="",多次统计数据!$B$9=""),"",IF(多次统计数据!$B$9&lt;AB167,"低于上限","达到或超过上限"))</f>
        <v/>
      </c>
      <c r="AD167" s="10"/>
      <c r="AE167" s="5" t="str">
        <f t="shared" si="30"/>
        <v/>
      </c>
      <c r="AG167" s="10"/>
      <c r="AH167" s="10"/>
      <c r="AI167" s="10"/>
      <c r="AJ167" s="6" t="str">
        <f t="shared" si="31"/>
        <v/>
      </c>
      <c r="AK167" s="23" t="str">
        <f>IF(A167="","",COUNTIFS(加仓管理!$A$2:$A$1001,A167,加仓管理!$G$2:$G$1001,"&gt;0"))</f>
        <v/>
      </c>
      <c r="AL167" s="23" t="str">
        <f>IF(A167="","",SUMIFS(加仓管理!$G$2:$G$1001,加仓管理!$A$2:$A$1001,A167))</f>
        <v/>
      </c>
      <c r="AM167" s="24" t="str">
        <f>IF(AK167=0,"",IFERROR(LOOKUP(2,1/((加仓管理!$A$2:$A$1001=A167)*(加仓管理!$G$2:$G$1001&gt;0)),加仓管理!$D$2:$D$1001),""))</f>
        <v/>
      </c>
      <c r="AN167" s="24" t="str">
        <f>IF(AK167=0,"",IFERROR(LOOKUP(2,1/((加仓管理!$A$2:$A$1001=A167)*(加仓管理!$G$2:$G$1001&gt;0)),加仓管理!$E$2:$E$1001),""))</f>
        <v/>
      </c>
      <c r="AO167" s="24" t="str">
        <f>IF(OR(A167="",H167="",H167&lt;=0),"",(E167*H167+SUMIFS(加仓管理!$H$2:$H$1001,加仓管理!$A$2:$A$1001,A167))/AP167)</f>
        <v/>
      </c>
      <c r="AP167" s="23" t="str">
        <f t="shared" si="32"/>
        <v/>
      </c>
      <c r="AQ167" s="24" t="str">
        <f>IF(A167="","",IF(M167&lt;&gt;"",0,IF(OR(H167="",N167=""),"",MAX((E167*H167+SUMIFS(加仓管理!$H$2:$H$1001,加仓管理!$A$2:$A$1001,A167))-MAX(N167,AN167)*AP167,0))))</f>
        <v/>
      </c>
      <c r="AR167" s="24" t="str">
        <f>IF(A167="","",IF(OR(E167="",H167=""),"违规：首次买入价格或股数缺失",IF(COUNTIFS(加仓管理!$A$2:$A$1001,A167,加仓管理!$R$2:$R$1001,"违规*")&gt;0,"违规：请检查加仓管理表",IF(SUM($AQ$2:$AQ$201)&gt;账户数据!$B$7,"预警：超过账户风险上限",IF(COUNTIFS(加仓管理!$A$2:$A$1001,A167,加仓管理!$N$2:$N$1001,"&gt;0",加仓管理!$G$2:$G$1001,"")&gt;0,"提示：存在待执行加仓计划","通过")))))</f>
        <v/>
      </c>
    </row>
    <row r="168" spans="1:44">
      <c r="A168" s="10"/>
      <c r="B168" s="10"/>
      <c r="C168" s="7"/>
      <c r="D168" s="4"/>
      <c r="E168" s="7"/>
      <c r="F168" s="6" t="str">
        <f t="shared" si="22"/>
        <v/>
      </c>
      <c r="G168" s="6" t="str">
        <f>IF(A168="","",IF(H168&lt;&gt;"","已开仓",IF(账户数据!$B$23="已锁仓","禁止开仓：连续亏损达到上限",IF(账户数据!$B$23="解锁信息不完整","禁止开仓：请完整填写解锁信息",IF(OR(F168="",E168="",N168="",E168&lt;=N168,账户数据!$B$7=""),"",IF(OR(AG168="",AH168="",AI168=""),"禁止开仓：交易预期未填写完整",IF(账户数据!$B$9+F168*(E168-N168)&gt;=账户数据!$B$7,"禁止开仓：风险额度不足",IF(AJ168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8" s="10"/>
      <c r="I168" s="21"/>
      <c r="J168" s="7"/>
      <c r="K168" s="3"/>
      <c r="L168" s="6" t="str">
        <f t="shared" si="23"/>
        <v/>
      </c>
      <c r="M168" s="39"/>
      <c r="N168" s="7"/>
      <c r="O168" s="7"/>
      <c r="P168" s="3"/>
      <c r="Q168" s="10"/>
      <c r="R168" s="10"/>
      <c r="S168" s="10"/>
      <c r="T168" s="10"/>
      <c r="U168" s="5" t="str">
        <f t="shared" si="24"/>
        <v/>
      </c>
      <c r="V168" s="5" t="str">
        <f t="shared" si="25"/>
        <v/>
      </c>
      <c r="W168" s="22" t="str">
        <f t="shared" si="26"/>
        <v/>
      </c>
      <c r="X168" s="3" t="str">
        <f t="shared" si="27"/>
        <v/>
      </c>
      <c r="Y168" s="5" t="str">
        <f t="shared" si="28"/>
        <v/>
      </c>
      <c r="Z168" s="5" t="str">
        <f>IF(OR(AE168="",多次统计数据!$B$8=""),"",AE168-多次统计数据!$B$8)</f>
        <v/>
      </c>
      <c r="AA168" s="8" t="str">
        <f t="shared" si="29"/>
        <v/>
      </c>
      <c r="AB168" s="5" t="str">
        <f>IF(OR(A168="",多次统计数据!$B$8="",多次统计数据!$B$6&lt;=0,多次统计数据!$B$6&gt;=1),"",1-POWER(1+多次统计数据!$B$8,-多次统计数据!$B$6/(1-多次统计数据!$B$6)))</f>
        <v/>
      </c>
      <c r="AC168" s="6" t="str">
        <f>IF(OR(AB168="",多次统计数据!$B$9=""),"",IF(多次统计数据!$B$9&lt;AB168,"低于上限","达到或超过上限"))</f>
        <v/>
      </c>
      <c r="AD168" s="10"/>
      <c r="AE168" s="5" t="str">
        <f t="shared" si="30"/>
        <v/>
      </c>
      <c r="AG168" s="10"/>
      <c r="AH168" s="10"/>
      <c r="AI168" s="10"/>
      <c r="AJ168" s="6" t="str">
        <f t="shared" si="31"/>
        <v/>
      </c>
      <c r="AK168" s="23" t="str">
        <f>IF(A168="","",COUNTIFS(加仓管理!$A$2:$A$1001,A168,加仓管理!$G$2:$G$1001,"&gt;0"))</f>
        <v/>
      </c>
      <c r="AL168" s="23" t="str">
        <f>IF(A168="","",SUMIFS(加仓管理!$G$2:$G$1001,加仓管理!$A$2:$A$1001,A168))</f>
        <v/>
      </c>
      <c r="AM168" s="24" t="str">
        <f>IF(AK168=0,"",IFERROR(LOOKUP(2,1/((加仓管理!$A$2:$A$1001=A168)*(加仓管理!$G$2:$G$1001&gt;0)),加仓管理!$D$2:$D$1001),""))</f>
        <v/>
      </c>
      <c r="AN168" s="24" t="str">
        <f>IF(AK168=0,"",IFERROR(LOOKUP(2,1/((加仓管理!$A$2:$A$1001=A168)*(加仓管理!$G$2:$G$1001&gt;0)),加仓管理!$E$2:$E$1001),""))</f>
        <v/>
      </c>
      <c r="AO168" s="24" t="str">
        <f>IF(OR(A168="",H168="",H168&lt;=0),"",(E168*H168+SUMIFS(加仓管理!$H$2:$H$1001,加仓管理!$A$2:$A$1001,A168))/AP168)</f>
        <v/>
      </c>
      <c r="AP168" s="23" t="str">
        <f t="shared" si="32"/>
        <v/>
      </c>
      <c r="AQ168" s="24" t="str">
        <f>IF(A168="","",IF(M168&lt;&gt;"",0,IF(OR(H168="",N168=""),"",MAX((E168*H168+SUMIFS(加仓管理!$H$2:$H$1001,加仓管理!$A$2:$A$1001,A168))-MAX(N168,AN168)*AP168,0))))</f>
        <v/>
      </c>
      <c r="AR168" s="24" t="str">
        <f>IF(A168="","",IF(OR(E168="",H168=""),"违规：首次买入价格或股数缺失",IF(COUNTIFS(加仓管理!$A$2:$A$1001,A168,加仓管理!$R$2:$R$1001,"违规*")&gt;0,"违规：请检查加仓管理表",IF(SUM($AQ$2:$AQ$201)&gt;账户数据!$B$7,"预警：超过账户风险上限",IF(COUNTIFS(加仓管理!$A$2:$A$1001,A168,加仓管理!$N$2:$N$1001,"&gt;0",加仓管理!$G$2:$G$1001,"")&gt;0,"提示：存在待执行加仓计划","通过")))))</f>
        <v/>
      </c>
    </row>
    <row r="169" spans="1:44">
      <c r="A169" s="10"/>
      <c r="B169" s="10"/>
      <c r="C169" s="7"/>
      <c r="D169" s="4"/>
      <c r="E169" s="7"/>
      <c r="F169" s="6" t="str">
        <f t="shared" si="22"/>
        <v/>
      </c>
      <c r="G169" s="6" t="str">
        <f>IF(A169="","",IF(H169&lt;&gt;"","已开仓",IF(账户数据!$B$23="已锁仓","禁止开仓：连续亏损达到上限",IF(账户数据!$B$23="解锁信息不完整","禁止开仓：请完整填写解锁信息",IF(OR(F169="",E169="",N169="",E169&lt;=N169,账户数据!$B$7=""),"",IF(OR(AG169="",AH169="",AI169=""),"禁止开仓：交易预期未填写完整",IF(账户数据!$B$9+F169*(E169-N169)&gt;=账户数据!$B$7,"禁止开仓：风险额度不足",IF(AJ169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9" s="10"/>
      <c r="I169" s="21"/>
      <c r="J169" s="7"/>
      <c r="K169" s="3"/>
      <c r="L169" s="6" t="str">
        <f t="shared" si="23"/>
        <v/>
      </c>
      <c r="M169" s="39"/>
      <c r="N169" s="7"/>
      <c r="O169" s="7"/>
      <c r="P169" s="3"/>
      <c r="Q169" s="10"/>
      <c r="R169" s="10"/>
      <c r="S169" s="10"/>
      <c r="T169" s="10"/>
      <c r="U169" s="5" t="str">
        <f t="shared" si="24"/>
        <v/>
      </c>
      <c r="V169" s="5" t="str">
        <f t="shared" si="25"/>
        <v/>
      </c>
      <c r="W169" s="22" t="str">
        <f t="shared" si="26"/>
        <v/>
      </c>
      <c r="X169" s="3" t="str">
        <f t="shared" si="27"/>
        <v/>
      </c>
      <c r="Y169" s="5" t="str">
        <f t="shared" si="28"/>
        <v/>
      </c>
      <c r="Z169" s="5" t="str">
        <f>IF(OR(AE169="",多次统计数据!$B$8=""),"",AE169-多次统计数据!$B$8)</f>
        <v/>
      </c>
      <c r="AA169" s="8" t="str">
        <f t="shared" si="29"/>
        <v/>
      </c>
      <c r="AB169" s="5" t="str">
        <f>IF(OR(A169="",多次统计数据!$B$8="",多次统计数据!$B$6&lt;=0,多次统计数据!$B$6&gt;=1),"",1-POWER(1+多次统计数据!$B$8,-多次统计数据!$B$6/(1-多次统计数据!$B$6)))</f>
        <v/>
      </c>
      <c r="AC169" s="6" t="str">
        <f>IF(OR(AB169="",多次统计数据!$B$9=""),"",IF(多次统计数据!$B$9&lt;AB169,"低于上限","达到或超过上限"))</f>
        <v/>
      </c>
      <c r="AD169" s="10"/>
      <c r="AE169" s="5" t="str">
        <f t="shared" si="30"/>
        <v/>
      </c>
      <c r="AG169" s="10"/>
      <c r="AH169" s="10"/>
      <c r="AI169" s="10"/>
      <c r="AJ169" s="6" t="str">
        <f t="shared" si="31"/>
        <v/>
      </c>
      <c r="AK169" s="23" t="str">
        <f>IF(A169="","",COUNTIFS(加仓管理!$A$2:$A$1001,A169,加仓管理!$G$2:$G$1001,"&gt;0"))</f>
        <v/>
      </c>
      <c r="AL169" s="23" t="str">
        <f>IF(A169="","",SUMIFS(加仓管理!$G$2:$G$1001,加仓管理!$A$2:$A$1001,A169))</f>
        <v/>
      </c>
      <c r="AM169" s="24" t="str">
        <f>IF(AK169=0,"",IFERROR(LOOKUP(2,1/((加仓管理!$A$2:$A$1001=A169)*(加仓管理!$G$2:$G$1001&gt;0)),加仓管理!$D$2:$D$1001),""))</f>
        <v/>
      </c>
      <c r="AN169" s="24" t="str">
        <f>IF(AK169=0,"",IFERROR(LOOKUP(2,1/((加仓管理!$A$2:$A$1001=A169)*(加仓管理!$G$2:$G$1001&gt;0)),加仓管理!$E$2:$E$1001),""))</f>
        <v/>
      </c>
      <c r="AO169" s="24" t="str">
        <f>IF(OR(A169="",H169="",H169&lt;=0),"",(E169*H169+SUMIFS(加仓管理!$H$2:$H$1001,加仓管理!$A$2:$A$1001,A169))/AP169)</f>
        <v/>
      </c>
      <c r="AP169" s="23" t="str">
        <f t="shared" si="32"/>
        <v/>
      </c>
      <c r="AQ169" s="24" t="str">
        <f>IF(A169="","",IF(M169&lt;&gt;"",0,IF(OR(H169="",N169=""),"",MAX((E169*H169+SUMIFS(加仓管理!$H$2:$H$1001,加仓管理!$A$2:$A$1001,A169))-MAX(N169,AN169)*AP169,0))))</f>
        <v/>
      </c>
      <c r="AR169" s="24" t="str">
        <f>IF(A169="","",IF(OR(E169="",H169=""),"违规：首次买入价格或股数缺失",IF(COUNTIFS(加仓管理!$A$2:$A$1001,A169,加仓管理!$R$2:$R$1001,"违规*")&gt;0,"违规：请检查加仓管理表",IF(SUM($AQ$2:$AQ$201)&gt;账户数据!$B$7,"预警：超过账户风险上限",IF(COUNTIFS(加仓管理!$A$2:$A$1001,A169,加仓管理!$N$2:$N$1001,"&gt;0",加仓管理!$G$2:$G$1001,"")&gt;0,"提示：存在待执行加仓计划","通过")))))</f>
        <v/>
      </c>
    </row>
    <row r="170" spans="1:44">
      <c r="A170" s="10"/>
      <c r="B170" s="10"/>
      <c r="C170" s="7"/>
      <c r="D170" s="4"/>
      <c r="E170" s="7"/>
      <c r="F170" s="6" t="str">
        <f t="shared" si="22"/>
        <v/>
      </c>
      <c r="G170" s="6" t="str">
        <f>IF(A170="","",IF(H170&lt;&gt;"","已开仓",IF(账户数据!$B$23="已锁仓","禁止开仓：连续亏损达到上限",IF(账户数据!$B$23="解锁信息不完整","禁止开仓：请完整填写解锁信息",IF(OR(F170="",E170="",N170="",E170&lt;=N170,账户数据!$B$7=""),"",IF(OR(AG170="",AH170="",AI170=""),"禁止开仓：交易预期未填写完整",IF(账户数据!$B$9+F170*(E170-N170)&gt;=账户数据!$B$7,"禁止开仓：风险额度不足",IF(AJ170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0" s="10"/>
      <c r="I170" s="21"/>
      <c r="J170" s="7"/>
      <c r="K170" s="3"/>
      <c r="L170" s="6" t="str">
        <f t="shared" si="23"/>
        <v/>
      </c>
      <c r="M170" s="39"/>
      <c r="N170" s="7"/>
      <c r="O170" s="7"/>
      <c r="P170" s="3"/>
      <c r="Q170" s="10"/>
      <c r="R170" s="10"/>
      <c r="S170" s="10"/>
      <c r="T170" s="10"/>
      <c r="U170" s="5" t="str">
        <f t="shared" si="24"/>
        <v/>
      </c>
      <c r="V170" s="5" t="str">
        <f t="shared" si="25"/>
        <v/>
      </c>
      <c r="W170" s="22" t="str">
        <f t="shared" si="26"/>
        <v/>
      </c>
      <c r="X170" s="3" t="str">
        <f t="shared" si="27"/>
        <v/>
      </c>
      <c r="Y170" s="5" t="str">
        <f t="shared" si="28"/>
        <v/>
      </c>
      <c r="Z170" s="5" t="str">
        <f>IF(OR(AE170="",多次统计数据!$B$8=""),"",AE170-多次统计数据!$B$8)</f>
        <v/>
      </c>
      <c r="AA170" s="8" t="str">
        <f t="shared" si="29"/>
        <v/>
      </c>
      <c r="AB170" s="5" t="str">
        <f>IF(OR(A170="",多次统计数据!$B$8="",多次统计数据!$B$6&lt;=0,多次统计数据!$B$6&gt;=1),"",1-POWER(1+多次统计数据!$B$8,-多次统计数据!$B$6/(1-多次统计数据!$B$6)))</f>
        <v/>
      </c>
      <c r="AC170" s="6" t="str">
        <f>IF(OR(AB170="",多次统计数据!$B$9=""),"",IF(多次统计数据!$B$9&lt;AB170,"低于上限","达到或超过上限"))</f>
        <v/>
      </c>
      <c r="AD170" s="10"/>
      <c r="AE170" s="5" t="str">
        <f t="shared" si="30"/>
        <v/>
      </c>
      <c r="AG170" s="10"/>
      <c r="AH170" s="10"/>
      <c r="AI170" s="10"/>
      <c r="AJ170" s="6" t="str">
        <f t="shared" si="31"/>
        <v/>
      </c>
      <c r="AK170" s="23" t="str">
        <f>IF(A170="","",COUNTIFS(加仓管理!$A$2:$A$1001,A170,加仓管理!$G$2:$G$1001,"&gt;0"))</f>
        <v/>
      </c>
      <c r="AL170" s="23" t="str">
        <f>IF(A170="","",SUMIFS(加仓管理!$G$2:$G$1001,加仓管理!$A$2:$A$1001,A170))</f>
        <v/>
      </c>
      <c r="AM170" s="24" t="str">
        <f>IF(AK170=0,"",IFERROR(LOOKUP(2,1/((加仓管理!$A$2:$A$1001=A170)*(加仓管理!$G$2:$G$1001&gt;0)),加仓管理!$D$2:$D$1001),""))</f>
        <v/>
      </c>
      <c r="AN170" s="24" t="str">
        <f>IF(AK170=0,"",IFERROR(LOOKUP(2,1/((加仓管理!$A$2:$A$1001=A170)*(加仓管理!$G$2:$G$1001&gt;0)),加仓管理!$E$2:$E$1001),""))</f>
        <v/>
      </c>
      <c r="AO170" s="24" t="str">
        <f>IF(OR(A170="",H170="",H170&lt;=0),"",(E170*H170+SUMIFS(加仓管理!$H$2:$H$1001,加仓管理!$A$2:$A$1001,A170))/AP170)</f>
        <v/>
      </c>
      <c r="AP170" s="23" t="str">
        <f t="shared" si="32"/>
        <v/>
      </c>
      <c r="AQ170" s="24" t="str">
        <f>IF(A170="","",IF(M170&lt;&gt;"",0,IF(OR(H170="",N170=""),"",MAX((E170*H170+SUMIFS(加仓管理!$H$2:$H$1001,加仓管理!$A$2:$A$1001,A170))-MAX(N170,AN170)*AP170,0))))</f>
        <v/>
      </c>
      <c r="AR170" s="24" t="str">
        <f>IF(A170="","",IF(OR(E170="",H170=""),"违规：首次买入价格或股数缺失",IF(COUNTIFS(加仓管理!$A$2:$A$1001,A170,加仓管理!$R$2:$R$1001,"违规*")&gt;0,"违规：请检查加仓管理表",IF(SUM($AQ$2:$AQ$201)&gt;账户数据!$B$7,"预警：超过账户风险上限",IF(COUNTIFS(加仓管理!$A$2:$A$1001,A170,加仓管理!$N$2:$N$1001,"&gt;0",加仓管理!$G$2:$G$1001,"")&gt;0,"提示：存在待执行加仓计划","通过")))))</f>
        <v/>
      </c>
    </row>
    <row r="171" spans="1:44">
      <c r="A171" s="10"/>
      <c r="B171" s="10"/>
      <c r="C171" s="7"/>
      <c r="D171" s="4"/>
      <c r="E171" s="7"/>
      <c r="F171" s="6" t="str">
        <f t="shared" si="22"/>
        <v/>
      </c>
      <c r="G171" s="6" t="str">
        <f>IF(A171="","",IF(H171&lt;&gt;"","已开仓",IF(账户数据!$B$23="已锁仓","禁止开仓：连续亏损达到上限",IF(账户数据!$B$23="解锁信息不完整","禁止开仓：请完整填写解锁信息",IF(OR(F171="",E171="",N171="",E171&lt;=N171,账户数据!$B$7=""),"",IF(OR(AG171="",AH171="",AI171=""),"禁止开仓：交易预期未填写完整",IF(账户数据!$B$9+F171*(E171-N171)&gt;=账户数据!$B$7,"禁止开仓：风险额度不足",IF(AJ171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1" s="10"/>
      <c r="I171" s="21"/>
      <c r="J171" s="7"/>
      <c r="K171" s="3"/>
      <c r="L171" s="6" t="str">
        <f t="shared" si="23"/>
        <v/>
      </c>
      <c r="M171" s="39"/>
      <c r="N171" s="7"/>
      <c r="O171" s="7"/>
      <c r="P171" s="3"/>
      <c r="Q171" s="10"/>
      <c r="R171" s="10"/>
      <c r="S171" s="10"/>
      <c r="T171" s="10"/>
      <c r="U171" s="5" t="str">
        <f t="shared" si="24"/>
        <v/>
      </c>
      <c r="V171" s="5" t="str">
        <f t="shared" si="25"/>
        <v/>
      </c>
      <c r="W171" s="22" t="str">
        <f t="shared" si="26"/>
        <v/>
      </c>
      <c r="X171" s="3" t="str">
        <f t="shared" si="27"/>
        <v/>
      </c>
      <c r="Y171" s="5" t="str">
        <f t="shared" si="28"/>
        <v/>
      </c>
      <c r="Z171" s="5" t="str">
        <f>IF(OR(AE171="",多次统计数据!$B$8=""),"",AE171-多次统计数据!$B$8)</f>
        <v/>
      </c>
      <c r="AA171" s="8" t="str">
        <f t="shared" si="29"/>
        <v/>
      </c>
      <c r="AB171" s="5" t="str">
        <f>IF(OR(A171="",多次统计数据!$B$8="",多次统计数据!$B$6&lt;=0,多次统计数据!$B$6&gt;=1),"",1-POWER(1+多次统计数据!$B$8,-多次统计数据!$B$6/(1-多次统计数据!$B$6)))</f>
        <v/>
      </c>
      <c r="AC171" s="6" t="str">
        <f>IF(OR(AB171="",多次统计数据!$B$9=""),"",IF(多次统计数据!$B$9&lt;AB171,"低于上限","达到或超过上限"))</f>
        <v/>
      </c>
      <c r="AD171" s="10"/>
      <c r="AE171" s="5" t="str">
        <f t="shared" si="30"/>
        <v/>
      </c>
      <c r="AG171" s="10"/>
      <c r="AH171" s="10"/>
      <c r="AI171" s="10"/>
      <c r="AJ171" s="6" t="str">
        <f t="shared" si="31"/>
        <v/>
      </c>
      <c r="AK171" s="23" t="str">
        <f>IF(A171="","",COUNTIFS(加仓管理!$A$2:$A$1001,A171,加仓管理!$G$2:$G$1001,"&gt;0"))</f>
        <v/>
      </c>
      <c r="AL171" s="23" t="str">
        <f>IF(A171="","",SUMIFS(加仓管理!$G$2:$G$1001,加仓管理!$A$2:$A$1001,A171))</f>
        <v/>
      </c>
      <c r="AM171" s="24" t="str">
        <f>IF(AK171=0,"",IFERROR(LOOKUP(2,1/((加仓管理!$A$2:$A$1001=A171)*(加仓管理!$G$2:$G$1001&gt;0)),加仓管理!$D$2:$D$1001),""))</f>
        <v/>
      </c>
      <c r="AN171" s="24" t="str">
        <f>IF(AK171=0,"",IFERROR(LOOKUP(2,1/((加仓管理!$A$2:$A$1001=A171)*(加仓管理!$G$2:$G$1001&gt;0)),加仓管理!$E$2:$E$1001),""))</f>
        <v/>
      </c>
      <c r="AO171" s="24" t="str">
        <f>IF(OR(A171="",H171="",H171&lt;=0),"",(E171*H171+SUMIFS(加仓管理!$H$2:$H$1001,加仓管理!$A$2:$A$1001,A171))/AP171)</f>
        <v/>
      </c>
      <c r="AP171" s="23" t="str">
        <f t="shared" si="32"/>
        <v/>
      </c>
      <c r="AQ171" s="24" t="str">
        <f>IF(A171="","",IF(M171&lt;&gt;"",0,IF(OR(H171="",N171=""),"",MAX((E171*H171+SUMIFS(加仓管理!$H$2:$H$1001,加仓管理!$A$2:$A$1001,A171))-MAX(N171,AN171)*AP171,0))))</f>
        <v/>
      </c>
      <c r="AR171" s="24" t="str">
        <f>IF(A171="","",IF(OR(E171="",H171=""),"违规：首次买入价格或股数缺失",IF(COUNTIFS(加仓管理!$A$2:$A$1001,A171,加仓管理!$R$2:$R$1001,"违规*")&gt;0,"违规：请检查加仓管理表",IF(SUM($AQ$2:$AQ$201)&gt;账户数据!$B$7,"预警：超过账户风险上限",IF(COUNTIFS(加仓管理!$A$2:$A$1001,A171,加仓管理!$N$2:$N$1001,"&gt;0",加仓管理!$G$2:$G$1001,"")&gt;0,"提示：存在待执行加仓计划","通过")))))</f>
        <v/>
      </c>
    </row>
    <row r="172" spans="1:44">
      <c r="A172" s="10"/>
      <c r="B172" s="10"/>
      <c r="C172" s="7"/>
      <c r="D172" s="4"/>
      <c r="E172" s="7"/>
      <c r="F172" s="6" t="str">
        <f t="shared" si="22"/>
        <v/>
      </c>
      <c r="G172" s="6" t="str">
        <f>IF(A172="","",IF(H172&lt;&gt;"","已开仓",IF(账户数据!$B$23="已锁仓","禁止开仓：连续亏损达到上限",IF(账户数据!$B$23="解锁信息不完整","禁止开仓：请完整填写解锁信息",IF(OR(F172="",E172="",N172="",E172&lt;=N172,账户数据!$B$7=""),"",IF(OR(AG172="",AH172="",AI172=""),"禁止开仓：交易预期未填写完整",IF(账户数据!$B$9+F172*(E172-N172)&gt;=账户数据!$B$7,"禁止开仓：风险额度不足",IF(AJ172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2" s="10"/>
      <c r="I172" s="21"/>
      <c r="J172" s="7"/>
      <c r="K172" s="3"/>
      <c r="L172" s="6" t="str">
        <f t="shared" si="23"/>
        <v/>
      </c>
      <c r="M172" s="39"/>
      <c r="N172" s="7"/>
      <c r="O172" s="7"/>
      <c r="P172" s="3"/>
      <c r="Q172" s="10"/>
      <c r="R172" s="10"/>
      <c r="S172" s="10"/>
      <c r="T172" s="10"/>
      <c r="U172" s="5" t="str">
        <f t="shared" si="24"/>
        <v/>
      </c>
      <c r="V172" s="5" t="str">
        <f t="shared" si="25"/>
        <v/>
      </c>
      <c r="W172" s="22" t="str">
        <f t="shared" si="26"/>
        <v/>
      </c>
      <c r="X172" s="3" t="str">
        <f t="shared" si="27"/>
        <v/>
      </c>
      <c r="Y172" s="5" t="str">
        <f t="shared" si="28"/>
        <v/>
      </c>
      <c r="Z172" s="5" t="str">
        <f>IF(OR(AE172="",多次统计数据!$B$8=""),"",AE172-多次统计数据!$B$8)</f>
        <v/>
      </c>
      <c r="AA172" s="8" t="str">
        <f t="shared" si="29"/>
        <v/>
      </c>
      <c r="AB172" s="5" t="str">
        <f>IF(OR(A172="",多次统计数据!$B$8="",多次统计数据!$B$6&lt;=0,多次统计数据!$B$6&gt;=1),"",1-POWER(1+多次统计数据!$B$8,-多次统计数据!$B$6/(1-多次统计数据!$B$6)))</f>
        <v/>
      </c>
      <c r="AC172" s="6" t="str">
        <f>IF(OR(AB172="",多次统计数据!$B$9=""),"",IF(多次统计数据!$B$9&lt;AB172,"低于上限","达到或超过上限"))</f>
        <v/>
      </c>
      <c r="AD172" s="10"/>
      <c r="AE172" s="5" t="str">
        <f t="shared" si="30"/>
        <v/>
      </c>
      <c r="AG172" s="10"/>
      <c r="AH172" s="10"/>
      <c r="AI172" s="10"/>
      <c r="AJ172" s="6" t="str">
        <f t="shared" si="31"/>
        <v/>
      </c>
      <c r="AK172" s="23" t="str">
        <f>IF(A172="","",COUNTIFS(加仓管理!$A$2:$A$1001,A172,加仓管理!$G$2:$G$1001,"&gt;0"))</f>
        <v/>
      </c>
      <c r="AL172" s="23" t="str">
        <f>IF(A172="","",SUMIFS(加仓管理!$G$2:$G$1001,加仓管理!$A$2:$A$1001,A172))</f>
        <v/>
      </c>
      <c r="AM172" s="24" t="str">
        <f>IF(AK172=0,"",IFERROR(LOOKUP(2,1/((加仓管理!$A$2:$A$1001=A172)*(加仓管理!$G$2:$G$1001&gt;0)),加仓管理!$D$2:$D$1001),""))</f>
        <v/>
      </c>
      <c r="AN172" s="24" t="str">
        <f>IF(AK172=0,"",IFERROR(LOOKUP(2,1/((加仓管理!$A$2:$A$1001=A172)*(加仓管理!$G$2:$G$1001&gt;0)),加仓管理!$E$2:$E$1001),""))</f>
        <v/>
      </c>
      <c r="AO172" s="24" t="str">
        <f>IF(OR(A172="",H172="",H172&lt;=0),"",(E172*H172+SUMIFS(加仓管理!$H$2:$H$1001,加仓管理!$A$2:$A$1001,A172))/AP172)</f>
        <v/>
      </c>
      <c r="AP172" s="23" t="str">
        <f t="shared" si="32"/>
        <v/>
      </c>
      <c r="AQ172" s="24" t="str">
        <f>IF(A172="","",IF(M172&lt;&gt;"",0,IF(OR(H172="",N172=""),"",MAX((E172*H172+SUMIFS(加仓管理!$H$2:$H$1001,加仓管理!$A$2:$A$1001,A172))-MAX(N172,AN172)*AP172,0))))</f>
        <v/>
      </c>
      <c r="AR172" s="24" t="str">
        <f>IF(A172="","",IF(OR(E172="",H172=""),"违规：首次买入价格或股数缺失",IF(COUNTIFS(加仓管理!$A$2:$A$1001,A172,加仓管理!$R$2:$R$1001,"违规*")&gt;0,"违规：请检查加仓管理表",IF(SUM($AQ$2:$AQ$201)&gt;账户数据!$B$7,"预警：超过账户风险上限",IF(COUNTIFS(加仓管理!$A$2:$A$1001,A172,加仓管理!$N$2:$N$1001,"&gt;0",加仓管理!$G$2:$G$1001,"")&gt;0,"提示：存在待执行加仓计划","通过")))))</f>
        <v/>
      </c>
    </row>
    <row r="173" spans="1:44">
      <c r="A173" s="10"/>
      <c r="B173" s="10"/>
      <c r="C173" s="7"/>
      <c r="D173" s="4"/>
      <c r="E173" s="7"/>
      <c r="F173" s="6" t="str">
        <f t="shared" si="22"/>
        <v/>
      </c>
      <c r="G173" s="6" t="str">
        <f>IF(A173="","",IF(H173&lt;&gt;"","已开仓",IF(账户数据!$B$23="已锁仓","禁止开仓：连续亏损达到上限",IF(账户数据!$B$23="解锁信息不完整","禁止开仓：请完整填写解锁信息",IF(OR(F173="",E173="",N173="",E173&lt;=N173,账户数据!$B$7=""),"",IF(OR(AG173="",AH173="",AI173=""),"禁止开仓：交易预期未填写完整",IF(账户数据!$B$9+F173*(E173-N173)&gt;=账户数据!$B$7,"禁止开仓：风险额度不足",IF(AJ173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3" s="10"/>
      <c r="I173" s="21"/>
      <c r="J173" s="7"/>
      <c r="K173" s="3"/>
      <c r="L173" s="6" t="str">
        <f t="shared" si="23"/>
        <v/>
      </c>
      <c r="M173" s="39"/>
      <c r="N173" s="7"/>
      <c r="O173" s="7"/>
      <c r="P173" s="3"/>
      <c r="Q173" s="10"/>
      <c r="R173" s="10"/>
      <c r="S173" s="10"/>
      <c r="T173" s="10"/>
      <c r="U173" s="5" t="str">
        <f t="shared" si="24"/>
        <v/>
      </c>
      <c r="V173" s="5" t="str">
        <f t="shared" si="25"/>
        <v/>
      </c>
      <c r="W173" s="22" t="str">
        <f t="shared" si="26"/>
        <v/>
      </c>
      <c r="X173" s="3" t="str">
        <f t="shared" si="27"/>
        <v/>
      </c>
      <c r="Y173" s="5" t="str">
        <f t="shared" si="28"/>
        <v/>
      </c>
      <c r="Z173" s="5" t="str">
        <f>IF(OR(AE173="",多次统计数据!$B$8=""),"",AE173-多次统计数据!$B$8)</f>
        <v/>
      </c>
      <c r="AA173" s="8" t="str">
        <f t="shared" si="29"/>
        <v/>
      </c>
      <c r="AB173" s="5" t="str">
        <f>IF(OR(A173="",多次统计数据!$B$8="",多次统计数据!$B$6&lt;=0,多次统计数据!$B$6&gt;=1),"",1-POWER(1+多次统计数据!$B$8,-多次统计数据!$B$6/(1-多次统计数据!$B$6)))</f>
        <v/>
      </c>
      <c r="AC173" s="6" t="str">
        <f>IF(OR(AB173="",多次统计数据!$B$9=""),"",IF(多次统计数据!$B$9&lt;AB173,"低于上限","达到或超过上限"))</f>
        <v/>
      </c>
      <c r="AD173" s="10"/>
      <c r="AE173" s="5" t="str">
        <f t="shared" si="30"/>
        <v/>
      </c>
      <c r="AG173" s="10"/>
      <c r="AH173" s="10"/>
      <c r="AI173" s="10"/>
      <c r="AJ173" s="6" t="str">
        <f t="shared" si="31"/>
        <v/>
      </c>
      <c r="AK173" s="23" t="str">
        <f>IF(A173="","",COUNTIFS(加仓管理!$A$2:$A$1001,A173,加仓管理!$G$2:$G$1001,"&gt;0"))</f>
        <v/>
      </c>
      <c r="AL173" s="23" t="str">
        <f>IF(A173="","",SUMIFS(加仓管理!$G$2:$G$1001,加仓管理!$A$2:$A$1001,A173))</f>
        <v/>
      </c>
      <c r="AM173" s="24" t="str">
        <f>IF(AK173=0,"",IFERROR(LOOKUP(2,1/((加仓管理!$A$2:$A$1001=A173)*(加仓管理!$G$2:$G$1001&gt;0)),加仓管理!$D$2:$D$1001),""))</f>
        <v/>
      </c>
      <c r="AN173" s="24" t="str">
        <f>IF(AK173=0,"",IFERROR(LOOKUP(2,1/((加仓管理!$A$2:$A$1001=A173)*(加仓管理!$G$2:$G$1001&gt;0)),加仓管理!$E$2:$E$1001),""))</f>
        <v/>
      </c>
      <c r="AO173" s="24" t="str">
        <f>IF(OR(A173="",H173="",H173&lt;=0),"",(E173*H173+SUMIFS(加仓管理!$H$2:$H$1001,加仓管理!$A$2:$A$1001,A173))/AP173)</f>
        <v/>
      </c>
      <c r="AP173" s="23" t="str">
        <f t="shared" si="32"/>
        <v/>
      </c>
      <c r="AQ173" s="24" t="str">
        <f>IF(A173="","",IF(M173&lt;&gt;"",0,IF(OR(H173="",N173=""),"",MAX((E173*H173+SUMIFS(加仓管理!$H$2:$H$1001,加仓管理!$A$2:$A$1001,A173))-MAX(N173,AN173)*AP173,0))))</f>
        <v/>
      </c>
      <c r="AR173" s="24" t="str">
        <f>IF(A173="","",IF(OR(E173="",H173=""),"违规：首次买入价格或股数缺失",IF(COUNTIFS(加仓管理!$A$2:$A$1001,A173,加仓管理!$R$2:$R$1001,"违规*")&gt;0,"违规：请检查加仓管理表",IF(SUM($AQ$2:$AQ$201)&gt;账户数据!$B$7,"预警：超过账户风险上限",IF(COUNTIFS(加仓管理!$A$2:$A$1001,A173,加仓管理!$N$2:$N$1001,"&gt;0",加仓管理!$G$2:$G$1001,"")&gt;0,"提示：存在待执行加仓计划","通过")))))</f>
        <v/>
      </c>
    </row>
    <row r="174" spans="1:44">
      <c r="A174" s="10"/>
      <c r="B174" s="10"/>
      <c r="C174" s="7"/>
      <c r="D174" s="4"/>
      <c r="E174" s="7"/>
      <c r="F174" s="6" t="str">
        <f t="shared" si="22"/>
        <v/>
      </c>
      <c r="G174" s="6" t="str">
        <f>IF(A174="","",IF(H174&lt;&gt;"","已开仓",IF(账户数据!$B$23="已锁仓","禁止开仓：连续亏损达到上限",IF(账户数据!$B$23="解锁信息不完整","禁止开仓：请完整填写解锁信息",IF(OR(F174="",E174="",N174="",E174&lt;=N174,账户数据!$B$7=""),"",IF(OR(AG174="",AH174="",AI174=""),"禁止开仓：交易预期未填写完整",IF(账户数据!$B$9+F174*(E174-N174)&gt;=账户数据!$B$7,"禁止开仓：风险额度不足",IF(AJ174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4" s="10"/>
      <c r="I174" s="21"/>
      <c r="J174" s="7"/>
      <c r="K174" s="3"/>
      <c r="L174" s="6" t="str">
        <f t="shared" si="23"/>
        <v/>
      </c>
      <c r="M174" s="39"/>
      <c r="N174" s="7"/>
      <c r="O174" s="7"/>
      <c r="P174" s="3"/>
      <c r="Q174" s="10"/>
      <c r="R174" s="10"/>
      <c r="S174" s="10"/>
      <c r="T174" s="10"/>
      <c r="U174" s="5" t="str">
        <f t="shared" si="24"/>
        <v/>
      </c>
      <c r="V174" s="5" t="str">
        <f t="shared" si="25"/>
        <v/>
      </c>
      <c r="W174" s="22" t="str">
        <f t="shared" si="26"/>
        <v/>
      </c>
      <c r="X174" s="3" t="str">
        <f t="shared" si="27"/>
        <v/>
      </c>
      <c r="Y174" s="5" t="str">
        <f t="shared" si="28"/>
        <v/>
      </c>
      <c r="Z174" s="5" t="str">
        <f>IF(OR(AE174="",多次统计数据!$B$8=""),"",AE174-多次统计数据!$B$8)</f>
        <v/>
      </c>
      <c r="AA174" s="8" t="str">
        <f t="shared" si="29"/>
        <v/>
      </c>
      <c r="AB174" s="5" t="str">
        <f>IF(OR(A174="",多次统计数据!$B$8="",多次统计数据!$B$6&lt;=0,多次统计数据!$B$6&gt;=1),"",1-POWER(1+多次统计数据!$B$8,-多次统计数据!$B$6/(1-多次统计数据!$B$6)))</f>
        <v/>
      </c>
      <c r="AC174" s="6" t="str">
        <f>IF(OR(AB174="",多次统计数据!$B$9=""),"",IF(多次统计数据!$B$9&lt;AB174,"低于上限","达到或超过上限"))</f>
        <v/>
      </c>
      <c r="AD174" s="10"/>
      <c r="AE174" s="5" t="str">
        <f t="shared" si="30"/>
        <v/>
      </c>
      <c r="AG174" s="10"/>
      <c r="AH174" s="10"/>
      <c r="AI174" s="10"/>
      <c r="AJ174" s="6" t="str">
        <f t="shared" si="31"/>
        <v/>
      </c>
      <c r="AK174" s="23" t="str">
        <f>IF(A174="","",COUNTIFS(加仓管理!$A$2:$A$1001,A174,加仓管理!$G$2:$G$1001,"&gt;0"))</f>
        <v/>
      </c>
      <c r="AL174" s="23" t="str">
        <f>IF(A174="","",SUMIFS(加仓管理!$G$2:$G$1001,加仓管理!$A$2:$A$1001,A174))</f>
        <v/>
      </c>
      <c r="AM174" s="24" t="str">
        <f>IF(AK174=0,"",IFERROR(LOOKUP(2,1/((加仓管理!$A$2:$A$1001=A174)*(加仓管理!$G$2:$G$1001&gt;0)),加仓管理!$D$2:$D$1001),""))</f>
        <v/>
      </c>
      <c r="AN174" s="24" t="str">
        <f>IF(AK174=0,"",IFERROR(LOOKUP(2,1/((加仓管理!$A$2:$A$1001=A174)*(加仓管理!$G$2:$G$1001&gt;0)),加仓管理!$E$2:$E$1001),""))</f>
        <v/>
      </c>
      <c r="AO174" s="24" t="str">
        <f>IF(OR(A174="",H174="",H174&lt;=0),"",(E174*H174+SUMIFS(加仓管理!$H$2:$H$1001,加仓管理!$A$2:$A$1001,A174))/AP174)</f>
        <v/>
      </c>
      <c r="AP174" s="23" t="str">
        <f t="shared" si="32"/>
        <v/>
      </c>
      <c r="AQ174" s="24" t="str">
        <f>IF(A174="","",IF(M174&lt;&gt;"",0,IF(OR(H174="",N174=""),"",MAX((E174*H174+SUMIFS(加仓管理!$H$2:$H$1001,加仓管理!$A$2:$A$1001,A174))-MAX(N174,AN174)*AP174,0))))</f>
        <v/>
      </c>
      <c r="AR174" s="24" t="str">
        <f>IF(A174="","",IF(OR(E174="",H174=""),"违规：首次买入价格或股数缺失",IF(COUNTIFS(加仓管理!$A$2:$A$1001,A174,加仓管理!$R$2:$R$1001,"违规*")&gt;0,"违规：请检查加仓管理表",IF(SUM($AQ$2:$AQ$201)&gt;账户数据!$B$7,"预警：超过账户风险上限",IF(COUNTIFS(加仓管理!$A$2:$A$1001,A174,加仓管理!$N$2:$N$1001,"&gt;0",加仓管理!$G$2:$G$1001,"")&gt;0,"提示：存在待执行加仓计划","通过")))))</f>
        <v/>
      </c>
    </row>
    <row r="175" spans="1:44">
      <c r="A175" s="10"/>
      <c r="B175" s="10"/>
      <c r="C175" s="7"/>
      <c r="D175" s="4"/>
      <c r="E175" s="7"/>
      <c r="F175" s="6" t="str">
        <f t="shared" si="22"/>
        <v/>
      </c>
      <c r="G175" s="6" t="str">
        <f>IF(A175="","",IF(H175&lt;&gt;"","已开仓",IF(账户数据!$B$23="已锁仓","禁止开仓：连续亏损达到上限",IF(账户数据!$B$23="解锁信息不完整","禁止开仓：请完整填写解锁信息",IF(OR(F175="",E175="",N175="",E175&lt;=N175,账户数据!$B$7=""),"",IF(OR(AG175="",AH175="",AI175=""),"禁止开仓：交易预期未填写完整",IF(账户数据!$B$9+F175*(E175-N175)&gt;=账户数据!$B$7,"禁止开仓：风险额度不足",IF(AJ175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5" s="10"/>
      <c r="I175" s="21"/>
      <c r="J175" s="7"/>
      <c r="K175" s="3"/>
      <c r="L175" s="6" t="str">
        <f t="shared" si="23"/>
        <v/>
      </c>
      <c r="M175" s="39"/>
      <c r="N175" s="7"/>
      <c r="O175" s="7"/>
      <c r="P175" s="3"/>
      <c r="Q175" s="10"/>
      <c r="R175" s="10"/>
      <c r="S175" s="10"/>
      <c r="T175" s="10"/>
      <c r="U175" s="5" t="str">
        <f t="shared" si="24"/>
        <v/>
      </c>
      <c r="V175" s="5" t="str">
        <f t="shared" si="25"/>
        <v/>
      </c>
      <c r="W175" s="22" t="str">
        <f t="shared" si="26"/>
        <v/>
      </c>
      <c r="X175" s="3" t="str">
        <f t="shared" si="27"/>
        <v/>
      </c>
      <c r="Y175" s="5" t="str">
        <f t="shared" si="28"/>
        <v/>
      </c>
      <c r="Z175" s="5" t="str">
        <f>IF(OR(AE175="",多次统计数据!$B$8=""),"",AE175-多次统计数据!$B$8)</f>
        <v/>
      </c>
      <c r="AA175" s="8" t="str">
        <f t="shared" si="29"/>
        <v/>
      </c>
      <c r="AB175" s="5" t="str">
        <f>IF(OR(A175="",多次统计数据!$B$8="",多次统计数据!$B$6&lt;=0,多次统计数据!$B$6&gt;=1),"",1-POWER(1+多次统计数据!$B$8,-多次统计数据!$B$6/(1-多次统计数据!$B$6)))</f>
        <v/>
      </c>
      <c r="AC175" s="6" t="str">
        <f>IF(OR(AB175="",多次统计数据!$B$9=""),"",IF(多次统计数据!$B$9&lt;AB175,"低于上限","达到或超过上限"))</f>
        <v/>
      </c>
      <c r="AD175" s="10"/>
      <c r="AE175" s="5" t="str">
        <f t="shared" si="30"/>
        <v/>
      </c>
      <c r="AG175" s="10"/>
      <c r="AH175" s="10"/>
      <c r="AI175" s="10"/>
      <c r="AJ175" s="6" t="str">
        <f t="shared" si="31"/>
        <v/>
      </c>
      <c r="AK175" s="23" t="str">
        <f>IF(A175="","",COUNTIFS(加仓管理!$A$2:$A$1001,A175,加仓管理!$G$2:$G$1001,"&gt;0"))</f>
        <v/>
      </c>
      <c r="AL175" s="23" t="str">
        <f>IF(A175="","",SUMIFS(加仓管理!$G$2:$G$1001,加仓管理!$A$2:$A$1001,A175))</f>
        <v/>
      </c>
      <c r="AM175" s="24" t="str">
        <f>IF(AK175=0,"",IFERROR(LOOKUP(2,1/((加仓管理!$A$2:$A$1001=A175)*(加仓管理!$G$2:$G$1001&gt;0)),加仓管理!$D$2:$D$1001),""))</f>
        <v/>
      </c>
      <c r="AN175" s="24" t="str">
        <f>IF(AK175=0,"",IFERROR(LOOKUP(2,1/((加仓管理!$A$2:$A$1001=A175)*(加仓管理!$G$2:$G$1001&gt;0)),加仓管理!$E$2:$E$1001),""))</f>
        <v/>
      </c>
      <c r="AO175" s="24" t="str">
        <f>IF(OR(A175="",H175="",H175&lt;=0),"",(E175*H175+SUMIFS(加仓管理!$H$2:$H$1001,加仓管理!$A$2:$A$1001,A175))/AP175)</f>
        <v/>
      </c>
      <c r="AP175" s="23" t="str">
        <f t="shared" si="32"/>
        <v/>
      </c>
      <c r="AQ175" s="24" t="str">
        <f>IF(A175="","",IF(M175&lt;&gt;"",0,IF(OR(H175="",N175=""),"",MAX((E175*H175+SUMIFS(加仓管理!$H$2:$H$1001,加仓管理!$A$2:$A$1001,A175))-MAX(N175,AN175)*AP175,0))))</f>
        <v/>
      </c>
      <c r="AR175" s="24" t="str">
        <f>IF(A175="","",IF(OR(E175="",H175=""),"违规：首次买入价格或股数缺失",IF(COUNTIFS(加仓管理!$A$2:$A$1001,A175,加仓管理!$R$2:$R$1001,"违规*")&gt;0,"违规：请检查加仓管理表",IF(SUM($AQ$2:$AQ$201)&gt;账户数据!$B$7,"预警：超过账户风险上限",IF(COUNTIFS(加仓管理!$A$2:$A$1001,A175,加仓管理!$N$2:$N$1001,"&gt;0",加仓管理!$G$2:$G$1001,"")&gt;0,"提示：存在待执行加仓计划","通过")))))</f>
        <v/>
      </c>
    </row>
    <row r="176" spans="1:44">
      <c r="A176" s="10"/>
      <c r="B176" s="10"/>
      <c r="C176" s="7"/>
      <c r="D176" s="4"/>
      <c r="E176" s="7"/>
      <c r="F176" s="6" t="str">
        <f t="shared" si="22"/>
        <v/>
      </c>
      <c r="G176" s="6" t="str">
        <f>IF(A176="","",IF(H176&lt;&gt;"","已开仓",IF(账户数据!$B$23="已锁仓","禁止开仓：连续亏损达到上限",IF(账户数据!$B$23="解锁信息不完整","禁止开仓：请完整填写解锁信息",IF(OR(F176="",E176="",N176="",E176&lt;=N176,账户数据!$B$7=""),"",IF(OR(AG176="",AH176="",AI176=""),"禁止开仓：交易预期未填写完整",IF(账户数据!$B$9+F176*(E176-N176)&gt;=账户数据!$B$7,"禁止开仓：风险额度不足",IF(AJ176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6" s="10"/>
      <c r="I176" s="21"/>
      <c r="J176" s="7"/>
      <c r="K176" s="3"/>
      <c r="L176" s="6" t="str">
        <f t="shared" si="23"/>
        <v/>
      </c>
      <c r="M176" s="39"/>
      <c r="N176" s="7"/>
      <c r="O176" s="7"/>
      <c r="P176" s="3"/>
      <c r="Q176" s="10"/>
      <c r="R176" s="10"/>
      <c r="S176" s="10"/>
      <c r="T176" s="10"/>
      <c r="U176" s="5" t="str">
        <f t="shared" si="24"/>
        <v/>
      </c>
      <c r="V176" s="5" t="str">
        <f t="shared" si="25"/>
        <v/>
      </c>
      <c r="W176" s="22" t="str">
        <f t="shared" si="26"/>
        <v/>
      </c>
      <c r="X176" s="3" t="str">
        <f t="shared" si="27"/>
        <v/>
      </c>
      <c r="Y176" s="5" t="str">
        <f t="shared" si="28"/>
        <v/>
      </c>
      <c r="Z176" s="5" t="str">
        <f>IF(OR(AE176="",多次统计数据!$B$8=""),"",AE176-多次统计数据!$B$8)</f>
        <v/>
      </c>
      <c r="AA176" s="8" t="str">
        <f t="shared" si="29"/>
        <v/>
      </c>
      <c r="AB176" s="5" t="str">
        <f>IF(OR(A176="",多次统计数据!$B$8="",多次统计数据!$B$6&lt;=0,多次统计数据!$B$6&gt;=1),"",1-POWER(1+多次统计数据!$B$8,-多次统计数据!$B$6/(1-多次统计数据!$B$6)))</f>
        <v/>
      </c>
      <c r="AC176" s="6" t="str">
        <f>IF(OR(AB176="",多次统计数据!$B$9=""),"",IF(多次统计数据!$B$9&lt;AB176,"低于上限","达到或超过上限"))</f>
        <v/>
      </c>
      <c r="AD176" s="10"/>
      <c r="AE176" s="5" t="str">
        <f t="shared" si="30"/>
        <v/>
      </c>
      <c r="AG176" s="10"/>
      <c r="AH176" s="10"/>
      <c r="AI176" s="10"/>
      <c r="AJ176" s="6" t="str">
        <f t="shared" si="31"/>
        <v/>
      </c>
      <c r="AK176" s="23" t="str">
        <f>IF(A176="","",COUNTIFS(加仓管理!$A$2:$A$1001,A176,加仓管理!$G$2:$G$1001,"&gt;0"))</f>
        <v/>
      </c>
      <c r="AL176" s="23" t="str">
        <f>IF(A176="","",SUMIFS(加仓管理!$G$2:$G$1001,加仓管理!$A$2:$A$1001,A176))</f>
        <v/>
      </c>
      <c r="AM176" s="24" t="str">
        <f>IF(AK176=0,"",IFERROR(LOOKUP(2,1/((加仓管理!$A$2:$A$1001=A176)*(加仓管理!$G$2:$G$1001&gt;0)),加仓管理!$D$2:$D$1001),""))</f>
        <v/>
      </c>
      <c r="AN176" s="24" t="str">
        <f>IF(AK176=0,"",IFERROR(LOOKUP(2,1/((加仓管理!$A$2:$A$1001=A176)*(加仓管理!$G$2:$G$1001&gt;0)),加仓管理!$E$2:$E$1001),""))</f>
        <v/>
      </c>
      <c r="AO176" s="24" t="str">
        <f>IF(OR(A176="",H176="",H176&lt;=0),"",(E176*H176+SUMIFS(加仓管理!$H$2:$H$1001,加仓管理!$A$2:$A$1001,A176))/AP176)</f>
        <v/>
      </c>
      <c r="AP176" s="23" t="str">
        <f t="shared" si="32"/>
        <v/>
      </c>
      <c r="AQ176" s="24" t="str">
        <f>IF(A176="","",IF(M176&lt;&gt;"",0,IF(OR(H176="",N176=""),"",MAX((E176*H176+SUMIFS(加仓管理!$H$2:$H$1001,加仓管理!$A$2:$A$1001,A176))-MAX(N176,AN176)*AP176,0))))</f>
        <v/>
      </c>
      <c r="AR176" s="24" t="str">
        <f>IF(A176="","",IF(OR(E176="",H176=""),"违规：首次买入价格或股数缺失",IF(COUNTIFS(加仓管理!$A$2:$A$1001,A176,加仓管理!$R$2:$R$1001,"违规*")&gt;0,"违规：请检查加仓管理表",IF(SUM($AQ$2:$AQ$201)&gt;账户数据!$B$7,"预警：超过账户风险上限",IF(COUNTIFS(加仓管理!$A$2:$A$1001,A176,加仓管理!$N$2:$N$1001,"&gt;0",加仓管理!$G$2:$G$1001,"")&gt;0,"提示：存在待执行加仓计划","通过")))))</f>
        <v/>
      </c>
    </row>
    <row r="177" spans="1:44">
      <c r="A177" s="10"/>
      <c r="B177" s="10"/>
      <c r="C177" s="7"/>
      <c r="D177" s="4"/>
      <c r="E177" s="7"/>
      <c r="F177" s="6" t="str">
        <f t="shared" si="22"/>
        <v/>
      </c>
      <c r="G177" s="6" t="str">
        <f>IF(A177="","",IF(H177&lt;&gt;"","已开仓",IF(账户数据!$B$23="已锁仓","禁止开仓：连续亏损达到上限",IF(账户数据!$B$23="解锁信息不完整","禁止开仓：请完整填写解锁信息",IF(OR(F177="",E177="",N177="",E177&lt;=N177,账户数据!$B$7=""),"",IF(OR(AG177="",AH177="",AI177=""),"禁止开仓：交易预期未填写完整",IF(账户数据!$B$9+F177*(E177-N177)&gt;=账户数据!$B$7,"禁止开仓：风险额度不足",IF(AJ177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7" s="10"/>
      <c r="I177" s="21"/>
      <c r="J177" s="7"/>
      <c r="K177" s="3"/>
      <c r="L177" s="6" t="str">
        <f t="shared" si="23"/>
        <v/>
      </c>
      <c r="M177" s="39"/>
      <c r="N177" s="7"/>
      <c r="O177" s="7"/>
      <c r="P177" s="3"/>
      <c r="Q177" s="10"/>
      <c r="R177" s="10"/>
      <c r="S177" s="10"/>
      <c r="T177" s="10"/>
      <c r="U177" s="5" t="str">
        <f t="shared" si="24"/>
        <v/>
      </c>
      <c r="V177" s="5" t="str">
        <f t="shared" si="25"/>
        <v/>
      </c>
      <c r="W177" s="22" t="str">
        <f t="shared" si="26"/>
        <v/>
      </c>
      <c r="X177" s="3" t="str">
        <f t="shared" si="27"/>
        <v/>
      </c>
      <c r="Y177" s="5" t="str">
        <f t="shared" si="28"/>
        <v/>
      </c>
      <c r="Z177" s="5" t="str">
        <f>IF(OR(AE177="",多次统计数据!$B$8=""),"",AE177-多次统计数据!$B$8)</f>
        <v/>
      </c>
      <c r="AA177" s="8" t="str">
        <f t="shared" si="29"/>
        <v/>
      </c>
      <c r="AB177" s="5" t="str">
        <f>IF(OR(A177="",多次统计数据!$B$8="",多次统计数据!$B$6&lt;=0,多次统计数据!$B$6&gt;=1),"",1-POWER(1+多次统计数据!$B$8,-多次统计数据!$B$6/(1-多次统计数据!$B$6)))</f>
        <v/>
      </c>
      <c r="AC177" s="6" t="str">
        <f>IF(OR(AB177="",多次统计数据!$B$9=""),"",IF(多次统计数据!$B$9&lt;AB177,"低于上限","达到或超过上限"))</f>
        <v/>
      </c>
      <c r="AD177" s="10"/>
      <c r="AE177" s="5" t="str">
        <f t="shared" si="30"/>
        <v/>
      </c>
      <c r="AG177" s="10"/>
      <c r="AH177" s="10"/>
      <c r="AI177" s="10"/>
      <c r="AJ177" s="6" t="str">
        <f t="shared" si="31"/>
        <v/>
      </c>
      <c r="AK177" s="23" t="str">
        <f>IF(A177="","",COUNTIFS(加仓管理!$A$2:$A$1001,A177,加仓管理!$G$2:$G$1001,"&gt;0"))</f>
        <v/>
      </c>
      <c r="AL177" s="23" t="str">
        <f>IF(A177="","",SUMIFS(加仓管理!$G$2:$G$1001,加仓管理!$A$2:$A$1001,A177))</f>
        <v/>
      </c>
      <c r="AM177" s="24" t="str">
        <f>IF(AK177=0,"",IFERROR(LOOKUP(2,1/((加仓管理!$A$2:$A$1001=A177)*(加仓管理!$G$2:$G$1001&gt;0)),加仓管理!$D$2:$D$1001),""))</f>
        <v/>
      </c>
      <c r="AN177" s="24" t="str">
        <f>IF(AK177=0,"",IFERROR(LOOKUP(2,1/((加仓管理!$A$2:$A$1001=A177)*(加仓管理!$G$2:$G$1001&gt;0)),加仓管理!$E$2:$E$1001),""))</f>
        <v/>
      </c>
      <c r="AO177" s="24" t="str">
        <f>IF(OR(A177="",H177="",H177&lt;=0),"",(E177*H177+SUMIFS(加仓管理!$H$2:$H$1001,加仓管理!$A$2:$A$1001,A177))/AP177)</f>
        <v/>
      </c>
      <c r="AP177" s="23" t="str">
        <f t="shared" si="32"/>
        <v/>
      </c>
      <c r="AQ177" s="24" t="str">
        <f>IF(A177="","",IF(M177&lt;&gt;"",0,IF(OR(H177="",N177=""),"",MAX((E177*H177+SUMIFS(加仓管理!$H$2:$H$1001,加仓管理!$A$2:$A$1001,A177))-MAX(N177,AN177)*AP177,0))))</f>
        <v/>
      </c>
      <c r="AR177" s="24" t="str">
        <f>IF(A177="","",IF(OR(E177="",H177=""),"违规：首次买入价格或股数缺失",IF(COUNTIFS(加仓管理!$A$2:$A$1001,A177,加仓管理!$R$2:$R$1001,"违规*")&gt;0,"违规：请检查加仓管理表",IF(SUM($AQ$2:$AQ$201)&gt;账户数据!$B$7,"预警：超过账户风险上限",IF(COUNTIFS(加仓管理!$A$2:$A$1001,A177,加仓管理!$N$2:$N$1001,"&gt;0",加仓管理!$G$2:$G$1001,"")&gt;0,"提示：存在待执行加仓计划","通过")))))</f>
        <v/>
      </c>
    </row>
    <row r="178" spans="1:44">
      <c r="A178" s="10"/>
      <c r="B178" s="10"/>
      <c r="C178" s="7"/>
      <c r="D178" s="4"/>
      <c r="E178" s="7"/>
      <c r="F178" s="6" t="str">
        <f t="shared" si="22"/>
        <v/>
      </c>
      <c r="G178" s="6" t="str">
        <f>IF(A178="","",IF(H178&lt;&gt;"","已开仓",IF(账户数据!$B$23="已锁仓","禁止开仓：连续亏损达到上限",IF(账户数据!$B$23="解锁信息不完整","禁止开仓：请完整填写解锁信息",IF(OR(F178="",E178="",N178="",E178&lt;=N178,账户数据!$B$7=""),"",IF(OR(AG178="",AH178="",AI178=""),"禁止开仓：交易预期未填写完整",IF(账户数据!$B$9+F178*(E178-N178)&gt;=账户数据!$B$7,"禁止开仓：风险额度不足",IF(AJ178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8" s="10"/>
      <c r="I178" s="21"/>
      <c r="J178" s="7"/>
      <c r="K178" s="3"/>
      <c r="L178" s="6" t="str">
        <f t="shared" si="23"/>
        <v/>
      </c>
      <c r="M178" s="39"/>
      <c r="N178" s="7"/>
      <c r="O178" s="7"/>
      <c r="P178" s="3"/>
      <c r="Q178" s="10"/>
      <c r="R178" s="10"/>
      <c r="S178" s="10"/>
      <c r="T178" s="10"/>
      <c r="U178" s="5" t="str">
        <f t="shared" si="24"/>
        <v/>
      </c>
      <c r="V178" s="5" t="str">
        <f t="shared" si="25"/>
        <v/>
      </c>
      <c r="W178" s="22" t="str">
        <f t="shared" si="26"/>
        <v/>
      </c>
      <c r="X178" s="3" t="str">
        <f t="shared" si="27"/>
        <v/>
      </c>
      <c r="Y178" s="5" t="str">
        <f t="shared" si="28"/>
        <v/>
      </c>
      <c r="Z178" s="5" t="str">
        <f>IF(OR(AE178="",多次统计数据!$B$8=""),"",AE178-多次统计数据!$B$8)</f>
        <v/>
      </c>
      <c r="AA178" s="8" t="str">
        <f t="shared" si="29"/>
        <v/>
      </c>
      <c r="AB178" s="5" t="str">
        <f>IF(OR(A178="",多次统计数据!$B$8="",多次统计数据!$B$6&lt;=0,多次统计数据!$B$6&gt;=1),"",1-POWER(1+多次统计数据!$B$8,-多次统计数据!$B$6/(1-多次统计数据!$B$6)))</f>
        <v/>
      </c>
      <c r="AC178" s="6" t="str">
        <f>IF(OR(AB178="",多次统计数据!$B$9=""),"",IF(多次统计数据!$B$9&lt;AB178,"低于上限","达到或超过上限"))</f>
        <v/>
      </c>
      <c r="AD178" s="10"/>
      <c r="AE178" s="5" t="str">
        <f t="shared" si="30"/>
        <v/>
      </c>
      <c r="AG178" s="10"/>
      <c r="AH178" s="10"/>
      <c r="AI178" s="10"/>
      <c r="AJ178" s="6" t="str">
        <f t="shared" si="31"/>
        <v/>
      </c>
      <c r="AK178" s="23" t="str">
        <f>IF(A178="","",COUNTIFS(加仓管理!$A$2:$A$1001,A178,加仓管理!$G$2:$G$1001,"&gt;0"))</f>
        <v/>
      </c>
      <c r="AL178" s="23" t="str">
        <f>IF(A178="","",SUMIFS(加仓管理!$G$2:$G$1001,加仓管理!$A$2:$A$1001,A178))</f>
        <v/>
      </c>
      <c r="AM178" s="24" t="str">
        <f>IF(AK178=0,"",IFERROR(LOOKUP(2,1/((加仓管理!$A$2:$A$1001=A178)*(加仓管理!$G$2:$G$1001&gt;0)),加仓管理!$D$2:$D$1001),""))</f>
        <v/>
      </c>
      <c r="AN178" s="24" t="str">
        <f>IF(AK178=0,"",IFERROR(LOOKUP(2,1/((加仓管理!$A$2:$A$1001=A178)*(加仓管理!$G$2:$G$1001&gt;0)),加仓管理!$E$2:$E$1001),""))</f>
        <v/>
      </c>
      <c r="AO178" s="24" t="str">
        <f>IF(OR(A178="",H178="",H178&lt;=0),"",(E178*H178+SUMIFS(加仓管理!$H$2:$H$1001,加仓管理!$A$2:$A$1001,A178))/AP178)</f>
        <v/>
      </c>
      <c r="AP178" s="23" t="str">
        <f t="shared" si="32"/>
        <v/>
      </c>
      <c r="AQ178" s="24" t="str">
        <f>IF(A178="","",IF(M178&lt;&gt;"",0,IF(OR(H178="",N178=""),"",MAX((E178*H178+SUMIFS(加仓管理!$H$2:$H$1001,加仓管理!$A$2:$A$1001,A178))-MAX(N178,AN178)*AP178,0))))</f>
        <v/>
      </c>
      <c r="AR178" s="24" t="str">
        <f>IF(A178="","",IF(OR(E178="",H178=""),"违规：首次买入价格或股数缺失",IF(COUNTIFS(加仓管理!$A$2:$A$1001,A178,加仓管理!$R$2:$R$1001,"违规*")&gt;0,"违规：请检查加仓管理表",IF(SUM($AQ$2:$AQ$201)&gt;账户数据!$B$7,"预警：超过账户风险上限",IF(COUNTIFS(加仓管理!$A$2:$A$1001,A178,加仓管理!$N$2:$N$1001,"&gt;0",加仓管理!$G$2:$G$1001,"")&gt;0,"提示：存在待执行加仓计划","通过")))))</f>
        <v/>
      </c>
    </row>
    <row r="179" spans="1:44">
      <c r="A179" s="10"/>
      <c r="B179" s="10"/>
      <c r="C179" s="7"/>
      <c r="D179" s="4"/>
      <c r="E179" s="7"/>
      <c r="F179" s="6" t="str">
        <f t="shared" si="22"/>
        <v/>
      </c>
      <c r="G179" s="6" t="str">
        <f>IF(A179="","",IF(H179&lt;&gt;"","已开仓",IF(账户数据!$B$23="已锁仓","禁止开仓：连续亏损达到上限",IF(账户数据!$B$23="解锁信息不完整","禁止开仓：请完整填写解锁信息",IF(OR(F179="",E179="",N179="",E179&lt;=N179,账户数据!$B$7=""),"",IF(OR(AG179="",AH179="",AI179=""),"禁止开仓：交易预期未填写完整",IF(账户数据!$B$9+F179*(E179-N179)&gt;=账户数据!$B$7,"禁止开仓：风险额度不足",IF(AJ179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9" s="10"/>
      <c r="I179" s="21"/>
      <c r="J179" s="7"/>
      <c r="K179" s="3"/>
      <c r="L179" s="6" t="str">
        <f t="shared" si="23"/>
        <v/>
      </c>
      <c r="M179" s="39"/>
      <c r="N179" s="7"/>
      <c r="O179" s="7"/>
      <c r="P179" s="3"/>
      <c r="Q179" s="10"/>
      <c r="R179" s="10"/>
      <c r="S179" s="10"/>
      <c r="T179" s="10"/>
      <c r="U179" s="5" t="str">
        <f t="shared" si="24"/>
        <v/>
      </c>
      <c r="V179" s="5" t="str">
        <f t="shared" si="25"/>
        <v/>
      </c>
      <c r="W179" s="22" t="str">
        <f t="shared" si="26"/>
        <v/>
      </c>
      <c r="X179" s="3" t="str">
        <f t="shared" si="27"/>
        <v/>
      </c>
      <c r="Y179" s="5" t="str">
        <f t="shared" si="28"/>
        <v/>
      </c>
      <c r="Z179" s="5" t="str">
        <f>IF(OR(AE179="",多次统计数据!$B$8=""),"",AE179-多次统计数据!$B$8)</f>
        <v/>
      </c>
      <c r="AA179" s="8" t="str">
        <f t="shared" si="29"/>
        <v/>
      </c>
      <c r="AB179" s="5" t="str">
        <f>IF(OR(A179="",多次统计数据!$B$8="",多次统计数据!$B$6&lt;=0,多次统计数据!$B$6&gt;=1),"",1-POWER(1+多次统计数据!$B$8,-多次统计数据!$B$6/(1-多次统计数据!$B$6)))</f>
        <v/>
      </c>
      <c r="AC179" s="6" t="str">
        <f>IF(OR(AB179="",多次统计数据!$B$9=""),"",IF(多次统计数据!$B$9&lt;AB179,"低于上限","达到或超过上限"))</f>
        <v/>
      </c>
      <c r="AD179" s="10"/>
      <c r="AE179" s="5" t="str">
        <f t="shared" si="30"/>
        <v/>
      </c>
      <c r="AG179" s="10"/>
      <c r="AH179" s="10"/>
      <c r="AI179" s="10"/>
      <c r="AJ179" s="6" t="str">
        <f t="shared" si="31"/>
        <v/>
      </c>
      <c r="AK179" s="23" t="str">
        <f>IF(A179="","",COUNTIFS(加仓管理!$A$2:$A$1001,A179,加仓管理!$G$2:$G$1001,"&gt;0"))</f>
        <v/>
      </c>
      <c r="AL179" s="23" t="str">
        <f>IF(A179="","",SUMIFS(加仓管理!$G$2:$G$1001,加仓管理!$A$2:$A$1001,A179))</f>
        <v/>
      </c>
      <c r="AM179" s="24" t="str">
        <f>IF(AK179=0,"",IFERROR(LOOKUP(2,1/((加仓管理!$A$2:$A$1001=A179)*(加仓管理!$G$2:$G$1001&gt;0)),加仓管理!$D$2:$D$1001),""))</f>
        <v/>
      </c>
      <c r="AN179" s="24" t="str">
        <f>IF(AK179=0,"",IFERROR(LOOKUP(2,1/((加仓管理!$A$2:$A$1001=A179)*(加仓管理!$G$2:$G$1001&gt;0)),加仓管理!$E$2:$E$1001),""))</f>
        <v/>
      </c>
      <c r="AO179" s="24" t="str">
        <f>IF(OR(A179="",H179="",H179&lt;=0),"",(E179*H179+SUMIFS(加仓管理!$H$2:$H$1001,加仓管理!$A$2:$A$1001,A179))/AP179)</f>
        <v/>
      </c>
      <c r="AP179" s="23" t="str">
        <f t="shared" si="32"/>
        <v/>
      </c>
      <c r="AQ179" s="24" t="str">
        <f>IF(A179="","",IF(M179&lt;&gt;"",0,IF(OR(H179="",N179=""),"",MAX((E179*H179+SUMIFS(加仓管理!$H$2:$H$1001,加仓管理!$A$2:$A$1001,A179))-MAX(N179,AN179)*AP179,0))))</f>
        <v/>
      </c>
      <c r="AR179" s="24" t="str">
        <f>IF(A179="","",IF(OR(E179="",H179=""),"违规：首次买入价格或股数缺失",IF(COUNTIFS(加仓管理!$A$2:$A$1001,A179,加仓管理!$R$2:$R$1001,"违规*")&gt;0,"违规：请检查加仓管理表",IF(SUM($AQ$2:$AQ$201)&gt;账户数据!$B$7,"预警：超过账户风险上限",IF(COUNTIFS(加仓管理!$A$2:$A$1001,A179,加仓管理!$N$2:$N$1001,"&gt;0",加仓管理!$G$2:$G$1001,"")&gt;0,"提示：存在待执行加仓计划","通过")))))</f>
        <v/>
      </c>
    </row>
    <row r="180" spans="1:44">
      <c r="A180" s="10"/>
      <c r="B180" s="10"/>
      <c r="C180" s="7"/>
      <c r="D180" s="4"/>
      <c r="E180" s="7"/>
      <c r="F180" s="6" t="str">
        <f t="shared" si="22"/>
        <v/>
      </c>
      <c r="G180" s="6" t="str">
        <f>IF(A180="","",IF(H180&lt;&gt;"","已开仓",IF(账户数据!$B$23="已锁仓","禁止开仓：连续亏损达到上限",IF(账户数据!$B$23="解锁信息不完整","禁止开仓：请完整填写解锁信息",IF(OR(F180="",E180="",N180="",E180&lt;=N180,账户数据!$B$7=""),"",IF(OR(AG180="",AH180="",AI180=""),"禁止开仓：交易预期未填写完整",IF(账户数据!$B$9+F180*(E180-N180)&gt;=账户数据!$B$7,"禁止开仓：风险额度不足",IF(AJ180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0" s="10"/>
      <c r="I180" s="21"/>
      <c r="J180" s="7"/>
      <c r="K180" s="3"/>
      <c r="L180" s="6" t="str">
        <f t="shared" si="23"/>
        <v/>
      </c>
      <c r="M180" s="39"/>
      <c r="N180" s="7"/>
      <c r="O180" s="7"/>
      <c r="P180" s="3"/>
      <c r="Q180" s="10"/>
      <c r="R180" s="10"/>
      <c r="S180" s="10"/>
      <c r="T180" s="10"/>
      <c r="U180" s="5" t="str">
        <f t="shared" si="24"/>
        <v/>
      </c>
      <c r="V180" s="5" t="str">
        <f t="shared" si="25"/>
        <v/>
      </c>
      <c r="W180" s="22" t="str">
        <f t="shared" si="26"/>
        <v/>
      </c>
      <c r="X180" s="3" t="str">
        <f t="shared" si="27"/>
        <v/>
      </c>
      <c r="Y180" s="5" t="str">
        <f t="shared" si="28"/>
        <v/>
      </c>
      <c r="Z180" s="5" t="str">
        <f>IF(OR(AE180="",多次统计数据!$B$8=""),"",AE180-多次统计数据!$B$8)</f>
        <v/>
      </c>
      <c r="AA180" s="8" t="str">
        <f t="shared" si="29"/>
        <v/>
      </c>
      <c r="AB180" s="5" t="str">
        <f>IF(OR(A180="",多次统计数据!$B$8="",多次统计数据!$B$6&lt;=0,多次统计数据!$B$6&gt;=1),"",1-POWER(1+多次统计数据!$B$8,-多次统计数据!$B$6/(1-多次统计数据!$B$6)))</f>
        <v/>
      </c>
      <c r="AC180" s="6" t="str">
        <f>IF(OR(AB180="",多次统计数据!$B$9=""),"",IF(多次统计数据!$B$9&lt;AB180,"低于上限","达到或超过上限"))</f>
        <v/>
      </c>
      <c r="AD180" s="10"/>
      <c r="AE180" s="5" t="str">
        <f t="shared" si="30"/>
        <v/>
      </c>
      <c r="AG180" s="10"/>
      <c r="AH180" s="10"/>
      <c r="AI180" s="10"/>
      <c r="AJ180" s="6" t="str">
        <f t="shared" si="31"/>
        <v/>
      </c>
      <c r="AK180" s="23" t="str">
        <f>IF(A180="","",COUNTIFS(加仓管理!$A$2:$A$1001,A180,加仓管理!$G$2:$G$1001,"&gt;0"))</f>
        <v/>
      </c>
      <c r="AL180" s="23" t="str">
        <f>IF(A180="","",SUMIFS(加仓管理!$G$2:$G$1001,加仓管理!$A$2:$A$1001,A180))</f>
        <v/>
      </c>
      <c r="AM180" s="24" t="str">
        <f>IF(AK180=0,"",IFERROR(LOOKUP(2,1/((加仓管理!$A$2:$A$1001=A180)*(加仓管理!$G$2:$G$1001&gt;0)),加仓管理!$D$2:$D$1001),""))</f>
        <v/>
      </c>
      <c r="AN180" s="24" t="str">
        <f>IF(AK180=0,"",IFERROR(LOOKUP(2,1/((加仓管理!$A$2:$A$1001=A180)*(加仓管理!$G$2:$G$1001&gt;0)),加仓管理!$E$2:$E$1001),""))</f>
        <v/>
      </c>
      <c r="AO180" s="24" t="str">
        <f>IF(OR(A180="",H180="",H180&lt;=0),"",(E180*H180+SUMIFS(加仓管理!$H$2:$H$1001,加仓管理!$A$2:$A$1001,A180))/AP180)</f>
        <v/>
      </c>
      <c r="AP180" s="23" t="str">
        <f t="shared" si="32"/>
        <v/>
      </c>
      <c r="AQ180" s="24" t="str">
        <f>IF(A180="","",IF(M180&lt;&gt;"",0,IF(OR(H180="",N180=""),"",MAX((E180*H180+SUMIFS(加仓管理!$H$2:$H$1001,加仓管理!$A$2:$A$1001,A180))-MAX(N180,AN180)*AP180,0))))</f>
        <v/>
      </c>
      <c r="AR180" s="24" t="str">
        <f>IF(A180="","",IF(OR(E180="",H180=""),"违规：首次买入价格或股数缺失",IF(COUNTIFS(加仓管理!$A$2:$A$1001,A180,加仓管理!$R$2:$R$1001,"违规*")&gt;0,"违规：请检查加仓管理表",IF(SUM($AQ$2:$AQ$201)&gt;账户数据!$B$7,"预警：超过账户风险上限",IF(COUNTIFS(加仓管理!$A$2:$A$1001,A180,加仓管理!$N$2:$N$1001,"&gt;0",加仓管理!$G$2:$G$1001,"")&gt;0,"提示：存在待执行加仓计划","通过")))))</f>
        <v/>
      </c>
    </row>
    <row r="181" spans="1:44">
      <c r="A181" s="10"/>
      <c r="B181" s="10"/>
      <c r="C181" s="7"/>
      <c r="D181" s="4"/>
      <c r="E181" s="7"/>
      <c r="F181" s="6" t="str">
        <f t="shared" si="22"/>
        <v/>
      </c>
      <c r="G181" s="6" t="str">
        <f>IF(A181="","",IF(H181&lt;&gt;"","已开仓",IF(账户数据!$B$23="已锁仓","禁止开仓：连续亏损达到上限",IF(账户数据!$B$23="解锁信息不完整","禁止开仓：请完整填写解锁信息",IF(OR(F181="",E181="",N181="",E181&lt;=N181,账户数据!$B$7=""),"",IF(OR(AG181="",AH181="",AI181=""),"禁止开仓：交易预期未填写完整",IF(账户数据!$B$9+F181*(E181-N181)&gt;=账户数据!$B$7,"禁止开仓：风险额度不足",IF(AJ181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1" s="10"/>
      <c r="I181" s="21"/>
      <c r="J181" s="7"/>
      <c r="K181" s="3"/>
      <c r="L181" s="6" t="str">
        <f t="shared" si="23"/>
        <v/>
      </c>
      <c r="M181" s="39"/>
      <c r="N181" s="7"/>
      <c r="O181" s="7"/>
      <c r="P181" s="3"/>
      <c r="Q181" s="10"/>
      <c r="R181" s="10"/>
      <c r="S181" s="10"/>
      <c r="T181" s="10"/>
      <c r="U181" s="5" t="str">
        <f t="shared" si="24"/>
        <v/>
      </c>
      <c r="V181" s="5" t="str">
        <f t="shared" si="25"/>
        <v/>
      </c>
      <c r="W181" s="22" t="str">
        <f t="shared" si="26"/>
        <v/>
      </c>
      <c r="X181" s="3" t="str">
        <f t="shared" si="27"/>
        <v/>
      </c>
      <c r="Y181" s="5" t="str">
        <f t="shared" si="28"/>
        <v/>
      </c>
      <c r="Z181" s="5" t="str">
        <f>IF(OR(AE181="",多次统计数据!$B$8=""),"",AE181-多次统计数据!$B$8)</f>
        <v/>
      </c>
      <c r="AA181" s="8" t="str">
        <f t="shared" si="29"/>
        <v/>
      </c>
      <c r="AB181" s="5" t="str">
        <f>IF(OR(A181="",多次统计数据!$B$8="",多次统计数据!$B$6&lt;=0,多次统计数据!$B$6&gt;=1),"",1-POWER(1+多次统计数据!$B$8,-多次统计数据!$B$6/(1-多次统计数据!$B$6)))</f>
        <v/>
      </c>
      <c r="AC181" s="6" t="str">
        <f>IF(OR(AB181="",多次统计数据!$B$9=""),"",IF(多次统计数据!$B$9&lt;AB181,"低于上限","达到或超过上限"))</f>
        <v/>
      </c>
      <c r="AD181" s="10"/>
      <c r="AE181" s="5" t="str">
        <f t="shared" si="30"/>
        <v/>
      </c>
      <c r="AG181" s="10"/>
      <c r="AH181" s="10"/>
      <c r="AI181" s="10"/>
      <c r="AJ181" s="6" t="str">
        <f t="shared" si="31"/>
        <v/>
      </c>
      <c r="AK181" s="23" t="str">
        <f>IF(A181="","",COUNTIFS(加仓管理!$A$2:$A$1001,A181,加仓管理!$G$2:$G$1001,"&gt;0"))</f>
        <v/>
      </c>
      <c r="AL181" s="23" t="str">
        <f>IF(A181="","",SUMIFS(加仓管理!$G$2:$G$1001,加仓管理!$A$2:$A$1001,A181))</f>
        <v/>
      </c>
      <c r="AM181" s="24" t="str">
        <f>IF(AK181=0,"",IFERROR(LOOKUP(2,1/((加仓管理!$A$2:$A$1001=A181)*(加仓管理!$G$2:$G$1001&gt;0)),加仓管理!$D$2:$D$1001),""))</f>
        <v/>
      </c>
      <c r="AN181" s="24" t="str">
        <f>IF(AK181=0,"",IFERROR(LOOKUP(2,1/((加仓管理!$A$2:$A$1001=A181)*(加仓管理!$G$2:$G$1001&gt;0)),加仓管理!$E$2:$E$1001),""))</f>
        <v/>
      </c>
      <c r="AO181" s="24" t="str">
        <f>IF(OR(A181="",H181="",H181&lt;=0),"",(E181*H181+SUMIFS(加仓管理!$H$2:$H$1001,加仓管理!$A$2:$A$1001,A181))/AP181)</f>
        <v/>
      </c>
      <c r="AP181" s="23" t="str">
        <f t="shared" si="32"/>
        <v/>
      </c>
      <c r="AQ181" s="24" t="str">
        <f>IF(A181="","",IF(M181&lt;&gt;"",0,IF(OR(H181="",N181=""),"",MAX((E181*H181+SUMIFS(加仓管理!$H$2:$H$1001,加仓管理!$A$2:$A$1001,A181))-MAX(N181,AN181)*AP181,0))))</f>
        <v/>
      </c>
      <c r="AR181" s="24" t="str">
        <f>IF(A181="","",IF(OR(E181="",H181=""),"违规：首次买入价格或股数缺失",IF(COUNTIFS(加仓管理!$A$2:$A$1001,A181,加仓管理!$R$2:$R$1001,"违规*")&gt;0,"违规：请检查加仓管理表",IF(SUM($AQ$2:$AQ$201)&gt;账户数据!$B$7,"预警：超过账户风险上限",IF(COUNTIFS(加仓管理!$A$2:$A$1001,A181,加仓管理!$N$2:$N$1001,"&gt;0",加仓管理!$G$2:$G$1001,"")&gt;0,"提示：存在待执行加仓计划","通过")))))</f>
        <v/>
      </c>
    </row>
    <row r="182" spans="1:44">
      <c r="A182" s="10"/>
      <c r="B182" s="10"/>
      <c r="C182" s="7"/>
      <c r="D182" s="4"/>
      <c r="E182" s="7"/>
      <c r="F182" s="6" t="str">
        <f t="shared" si="22"/>
        <v/>
      </c>
      <c r="G182" s="6" t="str">
        <f>IF(A182="","",IF(H182&lt;&gt;"","已开仓",IF(账户数据!$B$23="已锁仓","禁止开仓：连续亏损达到上限",IF(账户数据!$B$23="解锁信息不完整","禁止开仓：请完整填写解锁信息",IF(OR(F182="",E182="",N182="",E182&lt;=N182,账户数据!$B$7=""),"",IF(OR(AG182="",AH182="",AI182=""),"禁止开仓：交易预期未填写完整",IF(账户数据!$B$9+F182*(E182-N182)&gt;=账户数据!$B$7,"禁止开仓：风险额度不足",IF(AJ182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2" s="10"/>
      <c r="I182" s="21"/>
      <c r="J182" s="7"/>
      <c r="K182" s="3"/>
      <c r="L182" s="6" t="str">
        <f t="shared" si="23"/>
        <v/>
      </c>
      <c r="M182" s="39"/>
      <c r="N182" s="7"/>
      <c r="O182" s="7"/>
      <c r="P182" s="3"/>
      <c r="Q182" s="10"/>
      <c r="R182" s="10"/>
      <c r="S182" s="10"/>
      <c r="T182" s="10"/>
      <c r="U182" s="5" t="str">
        <f t="shared" si="24"/>
        <v/>
      </c>
      <c r="V182" s="5" t="str">
        <f t="shared" si="25"/>
        <v/>
      </c>
      <c r="W182" s="22" t="str">
        <f t="shared" si="26"/>
        <v/>
      </c>
      <c r="X182" s="3" t="str">
        <f t="shared" si="27"/>
        <v/>
      </c>
      <c r="Y182" s="5" t="str">
        <f t="shared" si="28"/>
        <v/>
      </c>
      <c r="Z182" s="5" t="str">
        <f>IF(OR(AE182="",多次统计数据!$B$8=""),"",AE182-多次统计数据!$B$8)</f>
        <v/>
      </c>
      <c r="AA182" s="8" t="str">
        <f t="shared" si="29"/>
        <v/>
      </c>
      <c r="AB182" s="5" t="str">
        <f>IF(OR(A182="",多次统计数据!$B$8="",多次统计数据!$B$6&lt;=0,多次统计数据!$B$6&gt;=1),"",1-POWER(1+多次统计数据!$B$8,-多次统计数据!$B$6/(1-多次统计数据!$B$6)))</f>
        <v/>
      </c>
      <c r="AC182" s="6" t="str">
        <f>IF(OR(AB182="",多次统计数据!$B$9=""),"",IF(多次统计数据!$B$9&lt;AB182,"低于上限","达到或超过上限"))</f>
        <v/>
      </c>
      <c r="AD182" s="10"/>
      <c r="AE182" s="5" t="str">
        <f t="shared" si="30"/>
        <v/>
      </c>
      <c r="AG182" s="10"/>
      <c r="AH182" s="10"/>
      <c r="AI182" s="10"/>
      <c r="AJ182" s="6" t="str">
        <f t="shared" si="31"/>
        <v/>
      </c>
      <c r="AK182" s="23" t="str">
        <f>IF(A182="","",COUNTIFS(加仓管理!$A$2:$A$1001,A182,加仓管理!$G$2:$G$1001,"&gt;0"))</f>
        <v/>
      </c>
      <c r="AL182" s="23" t="str">
        <f>IF(A182="","",SUMIFS(加仓管理!$G$2:$G$1001,加仓管理!$A$2:$A$1001,A182))</f>
        <v/>
      </c>
      <c r="AM182" s="24" t="str">
        <f>IF(AK182=0,"",IFERROR(LOOKUP(2,1/((加仓管理!$A$2:$A$1001=A182)*(加仓管理!$G$2:$G$1001&gt;0)),加仓管理!$D$2:$D$1001),""))</f>
        <v/>
      </c>
      <c r="AN182" s="24" t="str">
        <f>IF(AK182=0,"",IFERROR(LOOKUP(2,1/((加仓管理!$A$2:$A$1001=A182)*(加仓管理!$G$2:$G$1001&gt;0)),加仓管理!$E$2:$E$1001),""))</f>
        <v/>
      </c>
      <c r="AO182" s="24" t="str">
        <f>IF(OR(A182="",H182="",H182&lt;=0),"",(E182*H182+SUMIFS(加仓管理!$H$2:$H$1001,加仓管理!$A$2:$A$1001,A182))/AP182)</f>
        <v/>
      </c>
      <c r="AP182" s="23" t="str">
        <f t="shared" si="32"/>
        <v/>
      </c>
      <c r="AQ182" s="24" t="str">
        <f>IF(A182="","",IF(M182&lt;&gt;"",0,IF(OR(H182="",N182=""),"",MAX((E182*H182+SUMIFS(加仓管理!$H$2:$H$1001,加仓管理!$A$2:$A$1001,A182))-MAX(N182,AN182)*AP182,0))))</f>
        <v/>
      </c>
      <c r="AR182" s="24" t="str">
        <f>IF(A182="","",IF(OR(E182="",H182=""),"违规：首次买入价格或股数缺失",IF(COUNTIFS(加仓管理!$A$2:$A$1001,A182,加仓管理!$R$2:$R$1001,"违规*")&gt;0,"违规：请检查加仓管理表",IF(SUM($AQ$2:$AQ$201)&gt;账户数据!$B$7,"预警：超过账户风险上限",IF(COUNTIFS(加仓管理!$A$2:$A$1001,A182,加仓管理!$N$2:$N$1001,"&gt;0",加仓管理!$G$2:$G$1001,"")&gt;0,"提示：存在待执行加仓计划","通过")))))</f>
        <v/>
      </c>
    </row>
    <row r="183" spans="1:44">
      <c r="A183" s="10"/>
      <c r="B183" s="10"/>
      <c r="C183" s="7"/>
      <c r="D183" s="4"/>
      <c r="E183" s="7"/>
      <c r="F183" s="6" t="str">
        <f t="shared" si="22"/>
        <v/>
      </c>
      <c r="G183" s="6" t="str">
        <f>IF(A183="","",IF(H183&lt;&gt;"","已开仓",IF(账户数据!$B$23="已锁仓","禁止开仓：连续亏损达到上限",IF(账户数据!$B$23="解锁信息不完整","禁止开仓：请完整填写解锁信息",IF(OR(F183="",E183="",N183="",E183&lt;=N183,账户数据!$B$7=""),"",IF(OR(AG183="",AH183="",AI183=""),"禁止开仓：交易预期未填写完整",IF(账户数据!$B$9+F183*(E183-N183)&gt;=账户数据!$B$7,"禁止开仓：风险额度不足",IF(AJ183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3" s="10"/>
      <c r="I183" s="21"/>
      <c r="J183" s="7"/>
      <c r="K183" s="3"/>
      <c r="L183" s="6" t="str">
        <f t="shared" si="23"/>
        <v/>
      </c>
      <c r="M183" s="39"/>
      <c r="N183" s="7"/>
      <c r="O183" s="7"/>
      <c r="P183" s="3"/>
      <c r="Q183" s="10"/>
      <c r="R183" s="10"/>
      <c r="S183" s="10"/>
      <c r="T183" s="10"/>
      <c r="U183" s="5" t="str">
        <f t="shared" si="24"/>
        <v/>
      </c>
      <c r="V183" s="5" t="str">
        <f t="shared" si="25"/>
        <v/>
      </c>
      <c r="W183" s="22" t="str">
        <f t="shared" si="26"/>
        <v/>
      </c>
      <c r="X183" s="3" t="str">
        <f t="shared" si="27"/>
        <v/>
      </c>
      <c r="Y183" s="5" t="str">
        <f t="shared" si="28"/>
        <v/>
      </c>
      <c r="Z183" s="5" t="str">
        <f>IF(OR(AE183="",多次统计数据!$B$8=""),"",AE183-多次统计数据!$B$8)</f>
        <v/>
      </c>
      <c r="AA183" s="8" t="str">
        <f t="shared" si="29"/>
        <v/>
      </c>
      <c r="AB183" s="5" t="str">
        <f>IF(OR(A183="",多次统计数据!$B$8="",多次统计数据!$B$6&lt;=0,多次统计数据!$B$6&gt;=1),"",1-POWER(1+多次统计数据!$B$8,-多次统计数据!$B$6/(1-多次统计数据!$B$6)))</f>
        <v/>
      </c>
      <c r="AC183" s="6" t="str">
        <f>IF(OR(AB183="",多次统计数据!$B$9=""),"",IF(多次统计数据!$B$9&lt;AB183,"低于上限","达到或超过上限"))</f>
        <v/>
      </c>
      <c r="AD183" s="10"/>
      <c r="AE183" s="5" t="str">
        <f t="shared" si="30"/>
        <v/>
      </c>
      <c r="AG183" s="10"/>
      <c r="AH183" s="10"/>
      <c r="AI183" s="10"/>
      <c r="AJ183" s="6" t="str">
        <f t="shared" si="31"/>
        <v/>
      </c>
      <c r="AK183" s="23" t="str">
        <f>IF(A183="","",COUNTIFS(加仓管理!$A$2:$A$1001,A183,加仓管理!$G$2:$G$1001,"&gt;0"))</f>
        <v/>
      </c>
      <c r="AL183" s="23" t="str">
        <f>IF(A183="","",SUMIFS(加仓管理!$G$2:$G$1001,加仓管理!$A$2:$A$1001,A183))</f>
        <v/>
      </c>
      <c r="AM183" s="24" t="str">
        <f>IF(AK183=0,"",IFERROR(LOOKUP(2,1/((加仓管理!$A$2:$A$1001=A183)*(加仓管理!$G$2:$G$1001&gt;0)),加仓管理!$D$2:$D$1001),""))</f>
        <v/>
      </c>
      <c r="AN183" s="24" t="str">
        <f>IF(AK183=0,"",IFERROR(LOOKUP(2,1/((加仓管理!$A$2:$A$1001=A183)*(加仓管理!$G$2:$G$1001&gt;0)),加仓管理!$E$2:$E$1001),""))</f>
        <v/>
      </c>
      <c r="AO183" s="24" t="str">
        <f>IF(OR(A183="",H183="",H183&lt;=0),"",(E183*H183+SUMIFS(加仓管理!$H$2:$H$1001,加仓管理!$A$2:$A$1001,A183))/AP183)</f>
        <v/>
      </c>
      <c r="AP183" s="23" t="str">
        <f t="shared" si="32"/>
        <v/>
      </c>
      <c r="AQ183" s="24" t="str">
        <f>IF(A183="","",IF(M183&lt;&gt;"",0,IF(OR(H183="",N183=""),"",MAX((E183*H183+SUMIFS(加仓管理!$H$2:$H$1001,加仓管理!$A$2:$A$1001,A183))-MAX(N183,AN183)*AP183,0))))</f>
        <v/>
      </c>
      <c r="AR183" s="24" t="str">
        <f>IF(A183="","",IF(OR(E183="",H183=""),"违规：首次买入价格或股数缺失",IF(COUNTIFS(加仓管理!$A$2:$A$1001,A183,加仓管理!$R$2:$R$1001,"违规*")&gt;0,"违规：请检查加仓管理表",IF(SUM($AQ$2:$AQ$201)&gt;账户数据!$B$7,"预警：超过账户风险上限",IF(COUNTIFS(加仓管理!$A$2:$A$1001,A183,加仓管理!$N$2:$N$1001,"&gt;0",加仓管理!$G$2:$G$1001,"")&gt;0,"提示：存在待执行加仓计划","通过")))))</f>
        <v/>
      </c>
    </row>
    <row r="184" spans="1:44">
      <c r="A184" s="10"/>
      <c r="B184" s="10"/>
      <c r="C184" s="7"/>
      <c r="D184" s="4"/>
      <c r="E184" s="7"/>
      <c r="F184" s="6" t="str">
        <f t="shared" si="22"/>
        <v/>
      </c>
      <c r="G184" s="6" t="str">
        <f>IF(A184="","",IF(H184&lt;&gt;"","已开仓",IF(账户数据!$B$23="已锁仓","禁止开仓：连续亏损达到上限",IF(账户数据!$B$23="解锁信息不完整","禁止开仓：请完整填写解锁信息",IF(OR(F184="",E184="",N184="",E184&lt;=N184,账户数据!$B$7=""),"",IF(OR(AG184="",AH184="",AI184=""),"禁止开仓：交易预期未填写完整",IF(账户数据!$B$9+F184*(E184-N184)&gt;=账户数据!$B$7,"禁止开仓：风险额度不足",IF(AJ184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4" s="10"/>
      <c r="I184" s="21"/>
      <c r="J184" s="7"/>
      <c r="K184" s="3"/>
      <c r="L184" s="6" t="str">
        <f t="shared" si="23"/>
        <v/>
      </c>
      <c r="M184" s="39"/>
      <c r="N184" s="7"/>
      <c r="O184" s="7"/>
      <c r="P184" s="3"/>
      <c r="Q184" s="10"/>
      <c r="R184" s="10"/>
      <c r="S184" s="10"/>
      <c r="T184" s="10"/>
      <c r="U184" s="5" t="str">
        <f t="shared" si="24"/>
        <v/>
      </c>
      <c r="V184" s="5" t="str">
        <f t="shared" si="25"/>
        <v/>
      </c>
      <c r="W184" s="22" t="str">
        <f t="shared" si="26"/>
        <v/>
      </c>
      <c r="X184" s="3" t="str">
        <f t="shared" si="27"/>
        <v/>
      </c>
      <c r="Y184" s="5" t="str">
        <f t="shared" si="28"/>
        <v/>
      </c>
      <c r="Z184" s="5" t="str">
        <f>IF(OR(AE184="",多次统计数据!$B$8=""),"",AE184-多次统计数据!$B$8)</f>
        <v/>
      </c>
      <c r="AA184" s="8" t="str">
        <f t="shared" si="29"/>
        <v/>
      </c>
      <c r="AB184" s="5" t="str">
        <f>IF(OR(A184="",多次统计数据!$B$8="",多次统计数据!$B$6&lt;=0,多次统计数据!$B$6&gt;=1),"",1-POWER(1+多次统计数据!$B$8,-多次统计数据!$B$6/(1-多次统计数据!$B$6)))</f>
        <v/>
      </c>
      <c r="AC184" s="6" t="str">
        <f>IF(OR(AB184="",多次统计数据!$B$9=""),"",IF(多次统计数据!$B$9&lt;AB184,"低于上限","达到或超过上限"))</f>
        <v/>
      </c>
      <c r="AD184" s="10"/>
      <c r="AE184" s="5" t="str">
        <f t="shared" si="30"/>
        <v/>
      </c>
      <c r="AG184" s="10"/>
      <c r="AH184" s="10"/>
      <c r="AI184" s="10"/>
      <c r="AJ184" s="6" t="str">
        <f t="shared" si="31"/>
        <v/>
      </c>
      <c r="AK184" s="23" t="str">
        <f>IF(A184="","",COUNTIFS(加仓管理!$A$2:$A$1001,A184,加仓管理!$G$2:$G$1001,"&gt;0"))</f>
        <v/>
      </c>
      <c r="AL184" s="23" t="str">
        <f>IF(A184="","",SUMIFS(加仓管理!$G$2:$G$1001,加仓管理!$A$2:$A$1001,A184))</f>
        <v/>
      </c>
      <c r="AM184" s="24" t="str">
        <f>IF(AK184=0,"",IFERROR(LOOKUP(2,1/((加仓管理!$A$2:$A$1001=A184)*(加仓管理!$G$2:$G$1001&gt;0)),加仓管理!$D$2:$D$1001),""))</f>
        <v/>
      </c>
      <c r="AN184" s="24" t="str">
        <f>IF(AK184=0,"",IFERROR(LOOKUP(2,1/((加仓管理!$A$2:$A$1001=A184)*(加仓管理!$G$2:$G$1001&gt;0)),加仓管理!$E$2:$E$1001),""))</f>
        <v/>
      </c>
      <c r="AO184" s="24" t="str">
        <f>IF(OR(A184="",H184="",H184&lt;=0),"",(E184*H184+SUMIFS(加仓管理!$H$2:$H$1001,加仓管理!$A$2:$A$1001,A184))/AP184)</f>
        <v/>
      </c>
      <c r="AP184" s="23" t="str">
        <f t="shared" si="32"/>
        <v/>
      </c>
      <c r="AQ184" s="24" t="str">
        <f>IF(A184="","",IF(M184&lt;&gt;"",0,IF(OR(H184="",N184=""),"",MAX((E184*H184+SUMIFS(加仓管理!$H$2:$H$1001,加仓管理!$A$2:$A$1001,A184))-MAX(N184,AN184)*AP184,0))))</f>
        <v/>
      </c>
      <c r="AR184" s="24" t="str">
        <f>IF(A184="","",IF(OR(E184="",H184=""),"违规：首次买入价格或股数缺失",IF(COUNTIFS(加仓管理!$A$2:$A$1001,A184,加仓管理!$R$2:$R$1001,"违规*")&gt;0,"违规：请检查加仓管理表",IF(SUM($AQ$2:$AQ$201)&gt;账户数据!$B$7,"预警：超过账户风险上限",IF(COUNTIFS(加仓管理!$A$2:$A$1001,A184,加仓管理!$N$2:$N$1001,"&gt;0",加仓管理!$G$2:$G$1001,"")&gt;0,"提示：存在待执行加仓计划","通过")))))</f>
        <v/>
      </c>
    </row>
    <row r="185" spans="1:44">
      <c r="A185" s="10"/>
      <c r="B185" s="10"/>
      <c r="C185" s="7"/>
      <c r="D185" s="4"/>
      <c r="E185" s="7"/>
      <c r="F185" s="6" t="str">
        <f t="shared" si="22"/>
        <v/>
      </c>
      <c r="G185" s="6" t="str">
        <f>IF(A185="","",IF(H185&lt;&gt;"","已开仓",IF(账户数据!$B$23="已锁仓","禁止开仓：连续亏损达到上限",IF(账户数据!$B$23="解锁信息不完整","禁止开仓：请完整填写解锁信息",IF(OR(F185="",E185="",N185="",E185&lt;=N185,账户数据!$B$7=""),"",IF(OR(AG185="",AH185="",AI185=""),"禁止开仓：交易预期未填写完整",IF(账户数据!$B$9+F185*(E185-N185)&gt;=账户数据!$B$7,"禁止开仓：风险额度不足",IF(AJ185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5" s="10"/>
      <c r="I185" s="21"/>
      <c r="J185" s="7"/>
      <c r="K185" s="3"/>
      <c r="L185" s="6" t="str">
        <f t="shared" si="23"/>
        <v/>
      </c>
      <c r="M185" s="39"/>
      <c r="N185" s="7"/>
      <c r="O185" s="7"/>
      <c r="P185" s="3"/>
      <c r="Q185" s="10"/>
      <c r="R185" s="10"/>
      <c r="S185" s="10"/>
      <c r="T185" s="10"/>
      <c r="U185" s="5" t="str">
        <f t="shared" si="24"/>
        <v/>
      </c>
      <c r="V185" s="5" t="str">
        <f t="shared" si="25"/>
        <v/>
      </c>
      <c r="W185" s="22" t="str">
        <f t="shared" si="26"/>
        <v/>
      </c>
      <c r="X185" s="3" t="str">
        <f t="shared" si="27"/>
        <v/>
      </c>
      <c r="Y185" s="5" t="str">
        <f t="shared" si="28"/>
        <v/>
      </c>
      <c r="Z185" s="5" t="str">
        <f>IF(OR(AE185="",多次统计数据!$B$8=""),"",AE185-多次统计数据!$B$8)</f>
        <v/>
      </c>
      <c r="AA185" s="8" t="str">
        <f t="shared" si="29"/>
        <v/>
      </c>
      <c r="AB185" s="5" t="str">
        <f>IF(OR(A185="",多次统计数据!$B$8="",多次统计数据!$B$6&lt;=0,多次统计数据!$B$6&gt;=1),"",1-POWER(1+多次统计数据!$B$8,-多次统计数据!$B$6/(1-多次统计数据!$B$6)))</f>
        <v/>
      </c>
      <c r="AC185" s="6" t="str">
        <f>IF(OR(AB185="",多次统计数据!$B$9=""),"",IF(多次统计数据!$B$9&lt;AB185,"低于上限","达到或超过上限"))</f>
        <v/>
      </c>
      <c r="AD185" s="10"/>
      <c r="AE185" s="5" t="str">
        <f t="shared" si="30"/>
        <v/>
      </c>
      <c r="AG185" s="10"/>
      <c r="AH185" s="10"/>
      <c r="AI185" s="10"/>
      <c r="AJ185" s="6" t="str">
        <f t="shared" si="31"/>
        <v/>
      </c>
      <c r="AK185" s="23" t="str">
        <f>IF(A185="","",COUNTIFS(加仓管理!$A$2:$A$1001,A185,加仓管理!$G$2:$G$1001,"&gt;0"))</f>
        <v/>
      </c>
      <c r="AL185" s="23" t="str">
        <f>IF(A185="","",SUMIFS(加仓管理!$G$2:$G$1001,加仓管理!$A$2:$A$1001,A185))</f>
        <v/>
      </c>
      <c r="AM185" s="24" t="str">
        <f>IF(AK185=0,"",IFERROR(LOOKUP(2,1/((加仓管理!$A$2:$A$1001=A185)*(加仓管理!$G$2:$G$1001&gt;0)),加仓管理!$D$2:$D$1001),""))</f>
        <v/>
      </c>
      <c r="AN185" s="24" t="str">
        <f>IF(AK185=0,"",IFERROR(LOOKUP(2,1/((加仓管理!$A$2:$A$1001=A185)*(加仓管理!$G$2:$G$1001&gt;0)),加仓管理!$E$2:$E$1001),""))</f>
        <v/>
      </c>
      <c r="AO185" s="24" t="str">
        <f>IF(OR(A185="",H185="",H185&lt;=0),"",(E185*H185+SUMIFS(加仓管理!$H$2:$H$1001,加仓管理!$A$2:$A$1001,A185))/AP185)</f>
        <v/>
      </c>
      <c r="AP185" s="23" t="str">
        <f t="shared" si="32"/>
        <v/>
      </c>
      <c r="AQ185" s="24" t="str">
        <f>IF(A185="","",IF(M185&lt;&gt;"",0,IF(OR(H185="",N185=""),"",MAX((E185*H185+SUMIFS(加仓管理!$H$2:$H$1001,加仓管理!$A$2:$A$1001,A185))-MAX(N185,AN185)*AP185,0))))</f>
        <v/>
      </c>
      <c r="AR185" s="24" t="str">
        <f>IF(A185="","",IF(OR(E185="",H185=""),"违规：首次买入价格或股数缺失",IF(COUNTIFS(加仓管理!$A$2:$A$1001,A185,加仓管理!$R$2:$R$1001,"违规*")&gt;0,"违规：请检查加仓管理表",IF(SUM($AQ$2:$AQ$201)&gt;账户数据!$B$7,"预警：超过账户风险上限",IF(COUNTIFS(加仓管理!$A$2:$A$1001,A185,加仓管理!$N$2:$N$1001,"&gt;0",加仓管理!$G$2:$G$1001,"")&gt;0,"提示：存在待执行加仓计划","通过")))))</f>
        <v/>
      </c>
    </row>
    <row r="186" spans="1:44">
      <c r="A186" s="10"/>
      <c r="B186" s="10"/>
      <c r="C186" s="7"/>
      <c r="D186" s="4"/>
      <c r="E186" s="7"/>
      <c r="F186" s="6" t="str">
        <f t="shared" si="22"/>
        <v/>
      </c>
      <c r="G186" s="6" t="str">
        <f>IF(A186="","",IF(H186&lt;&gt;"","已开仓",IF(账户数据!$B$23="已锁仓","禁止开仓：连续亏损达到上限",IF(账户数据!$B$23="解锁信息不完整","禁止开仓：请完整填写解锁信息",IF(OR(F186="",E186="",N186="",E186&lt;=N186,账户数据!$B$7=""),"",IF(OR(AG186="",AH186="",AI186=""),"禁止开仓：交易预期未填写完整",IF(账户数据!$B$9+F186*(E186-N186)&gt;=账户数据!$B$7,"禁止开仓：风险额度不足",IF(AJ186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6" s="10"/>
      <c r="I186" s="21"/>
      <c r="J186" s="7"/>
      <c r="K186" s="3"/>
      <c r="L186" s="6" t="str">
        <f t="shared" si="23"/>
        <v/>
      </c>
      <c r="M186" s="39"/>
      <c r="N186" s="7"/>
      <c r="O186" s="7"/>
      <c r="P186" s="3"/>
      <c r="Q186" s="10"/>
      <c r="R186" s="10"/>
      <c r="S186" s="10"/>
      <c r="T186" s="10"/>
      <c r="U186" s="5" t="str">
        <f t="shared" si="24"/>
        <v/>
      </c>
      <c r="V186" s="5" t="str">
        <f t="shared" si="25"/>
        <v/>
      </c>
      <c r="W186" s="22" t="str">
        <f t="shared" si="26"/>
        <v/>
      </c>
      <c r="X186" s="3" t="str">
        <f t="shared" si="27"/>
        <v/>
      </c>
      <c r="Y186" s="5" t="str">
        <f t="shared" si="28"/>
        <v/>
      </c>
      <c r="Z186" s="5" t="str">
        <f>IF(OR(AE186="",多次统计数据!$B$8=""),"",AE186-多次统计数据!$B$8)</f>
        <v/>
      </c>
      <c r="AA186" s="8" t="str">
        <f t="shared" si="29"/>
        <v/>
      </c>
      <c r="AB186" s="5" t="str">
        <f>IF(OR(A186="",多次统计数据!$B$8="",多次统计数据!$B$6&lt;=0,多次统计数据!$B$6&gt;=1),"",1-POWER(1+多次统计数据!$B$8,-多次统计数据!$B$6/(1-多次统计数据!$B$6)))</f>
        <v/>
      </c>
      <c r="AC186" s="6" t="str">
        <f>IF(OR(AB186="",多次统计数据!$B$9=""),"",IF(多次统计数据!$B$9&lt;AB186,"低于上限","达到或超过上限"))</f>
        <v/>
      </c>
      <c r="AD186" s="10"/>
      <c r="AE186" s="5" t="str">
        <f t="shared" si="30"/>
        <v/>
      </c>
      <c r="AG186" s="10"/>
      <c r="AH186" s="10"/>
      <c r="AI186" s="10"/>
      <c r="AJ186" s="6" t="str">
        <f t="shared" si="31"/>
        <v/>
      </c>
      <c r="AK186" s="23" t="str">
        <f>IF(A186="","",COUNTIFS(加仓管理!$A$2:$A$1001,A186,加仓管理!$G$2:$G$1001,"&gt;0"))</f>
        <v/>
      </c>
      <c r="AL186" s="23" t="str">
        <f>IF(A186="","",SUMIFS(加仓管理!$G$2:$G$1001,加仓管理!$A$2:$A$1001,A186))</f>
        <v/>
      </c>
      <c r="AM186" s="24" t="str">
        <f>IF(AK186=0,"",IFERROR(LOOKUP(2,1/((加仓管理!$A$2:$A$1001=A186)*(加仓管理!$G$2:$G$1001&gt;0)),加仓管理!$D$2:$D$1001),""))</f>
        <v/>
      </c>
      <c r="AN186" s="24" t="str">
        <f>IF(AK186=0,"",IFERROR(LOOKUP(2,1/((加仓管理!$A$2:$A$1001=A186)*(加仓管理!$G$2:$G$1001&gt;0)),加仓管理!$E$2:$E$1001),""))</f>
        <v/>
      </c>
      <c r="AO186" s="24" t="str">
        <f>IF(OR(A186="",H186="",H186&lt;=0),"",(E186*H186+SUMIFS(加仓管理!$H$2:$H$1001,加仓管理!$A$2:$A$1001,A186))/AP186)</f>
        <v/>
      </c>
      <c r="AP186" s="23" t="str">
        <f t="shared" si="32"/>
        <v/>
      </c>
      <c r="AQ186" s="24" t="str">
        <f>IF(A186="","",IF(M186&lt;&gt;"",0,IF(OR(H186="",N186=""),"",MAX((E186*H186+SUMIFS(加仓管理!$H$2:$H$1001,加仓管理!$A$2:$A$1001,A186))-MAX(N186,AN186)*AP186,0))))</f>
        <v/>
      </c>
      <c r="AR186" s="24" t="str">
        <f>IF(A186="","",IF(OR(E186="",H186=""),"违规：首次买入价格或股数缺失",IF(COUNTIFS(加仓管理!$A$2:$A$1001,A186,加仓管理!$R$2:$R$1001,"违规*")&gt;0,"违规：请检查加仓管理表",IF(SUM($AQ$2:$AQ$201)&gt;账户数据!$B$7,"预警：超过账户风险上限",IF(COUNTIFS(加仓管理!$A$2:$A$1001,A186,加仓管理!$N$2:$N$1001,"&gt;0",加仓管理!$G$2:$G$1001,"")&gt;0,"提示：存在待执行加仓计划","通过")))))</f>
        <v/>
      </c>
    </row>
    <row r="187" spans="1:44">
      <c r="A187" s="10"/>
      <c r="B187" s="10"/>
      <c r="C187" s="7"/>
      <c r="D187" s="4"/>
      <c r="E187" s="7"/>
      <c r="F187" s="6" t="str">
        <f t="shared" si="22"/>
        <v/>
      </c>
      <c r="G187" s="6" t="str">
        <f>IF(A187="","",IF(H187&lt;&gt;"","已开仓",IF(账户数据!$B$23="已锁仓","禁止开仓：连续亏损达到上限",IF(账户数据!$B$23="解锁信息不完整","禁止开仓：请完整填写解锁信息",IF(OR(F187="",E187="",N187="",E187&lt;=N187,账户数据!$B$7=""),"",IF(OR(AG187="",AH187="",AI187=""),"禁止开仓：交易预期未填写完整",IF(账户数据!$B$9+F187*(E187-N187)&gt;=账户数据!$B$7,"禁止开仓：风险额度不足",IF(AJ187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7" s="10"/>
      <c r="I187" s="21"/>
      <c r="J187" s="7"/>
      <c r="K187" s="3"/>
      <c r="L187" s="6" t="str">
        <f t="shared" si="23"/>
        <v/>
      </c>
      <c r="M187" s="39"/>
      <c r="N187" s="7"/>
      <c r="O187" s="7"/>
      <c r="P187" s="3"/>
      <c r="Q187" s="10"/>
      <c r="R187" s="10"/>
      <c r="S187" s="10"/>
      <c r="T187" s="10"/>
      <c r="U187" s="5" t="str">
        <f t="shared" si="24"/>
        <v/>
      </c>
      <c r="V187" s="5" t="str">
        <f t="shared" si="25"/>
        <v/>
      </c>
      <c r="W187" s="22" t="str">
        <f t="shared" si="26"/>
        <v/>
      </c>
      <c r="X187" s="3" t="str">
        <f t="shared" si="27"/>
        <v/>
      </c>
      <c r="Y187" s="5" t="str">
        <f t="shared" si="28"/>
        <v/>
      </c>
      <c r="Z187" s="5" t="str">
        <f>IF(OR(AE187="",多次统计数据!$B$8=""),"",AE187-多次统计数据!$B$8)</f>
        <v/>
      </c>
      <c r="AA187" s="8" t="str">
        <f t="shared" si="29"/>
        <v/>
      </c>
      <c r="AB187" s="5" t="str">
        <f>IF(OR(A187="",多次统计数据!$B$8="",多次统计数据!$B$6&lt;=0,多次统计数据!$B$6&gt;=1),"",1-POWER(1+多次统计数据!$B$8,-多次统计数据!$B$6/(1-多次统计数据!$B$6)))</f>
        <v/>
      </c>
      <c r="AC187" s="6" t="str">
        <f>IF(OR(AB187="",多次统计数据!$B$9=""),"",IF(多次统计数据!$B$9&lt;AB187,"低于上限","达到或超过上限"))</f>
        <v/>
      </c>
      <c r="AD187" s="10"/>
      <c r="AE187" s="5" t="str">
        <f t="shared" si="30"/>
        <v/>
      </c>
      <c r="AG187" s="10"/>
      <c r="AH187" s="10"/>
      <c r="AI187" s="10"/>
      <c r="AJ187" s="6" t="str">
        <f t="shared" si="31"/>
        <v/>
      </c>
      <c r="AK187" s="23" t="str">
        <f>IF(A187="","",COUNTIFS(加仓管理!$A$2:$A$1001,A187,加仓管理!$G$2:$G$1001,"&gt;0"))</f>
        <v/>
      </c>
      <c r="AL187" s="23" t="str">
        <f>IF(A187="","",SUMIFS(加仓管理!$G$2:$G$1001,加仓管理!$A$2:$A$1001,A187))</f>
        <v/>
      </c>
      <c r="AM187" s="24" t="str">
        <f>IF(AK187=0,"",IFERROR(LOOKUP(2,1/((加仓管理!$A$2:$A$1001=A187)*(加仓管理!$G$2:$G$1001&gt;0)),加仓管理!$D$2:$D$1001),""))</f>
        <v/>
      </c>
      <c r="AN187" s="24" t="str">
        <f>IF(AK187=0,"",IFERROR(LOOKUP(2,1/((加仓管理!$A$2:$A$1001=A187)*(加仓管理!$G$2:$G$1001&gt;0)),加仓管理!$E$2:$E$1001),""))</f>
        <v/>
      </c>
      <c r="AO187" s="24" t="str">
        <f>IF(OR(A187="",H187="",H187&lt;=0),"",(E187*H187+SUMIFS(加仓管理!$H$2:$H$1001,加仓管理!$A$2:$A$1001,A187))/AP187)</f>
        <v/>
      </c>
      <c r="AP187" s="23" t="str">
        <f t="shared" si="32"/>
        <v/>
      </c>
      <c r="AQ187" s="24" t="str">
        <f>IF(A187="","",IF(M187&lt;&gt;"",0,IF(OR(H187="",N187=""),"",MAX((E187*H187+SUMIFS(加仓管理!$H$2:$H$1001,加仓管理!$A$2:$A$1001,A187))-MAX(N187,AN187)*AP187,0))))</f>
        <v/>
      </c>
      <c r="AR187" s="24" t="str">
        <f>IF(A187="","",IF(OR(E187="",H187=""),"违规：首次买入价格或股数缺失",IF(COUNTIFS(加仓管理!$A$2:$A$1001,A187,加仓管理!$R$2:$R$1001,"违规*")&gt;0,"违规：请检查加仓管理表",IF(SUM($AQ$2:$AQ$201)&gt;账户数据!$B$7,"预警：超过账户风险上限",IF(COUNTIFS(加仓管理!$A$2:$A$1001,A187,加仓管理!$N$2:$N$1001,"&gt;0",加仓管理!$G$2:$G$1001,"")&gt;0,"提示：存在待执行加仓计划","通过")))))</f>
        <v/>
      </c>
    </row>
    <row r="188" spans="1:44">
      <c r="A188" s="10"/>
      <c r="B188" s="10"/>
      <c r="C188" s="7"/>
      <c r="D188" s="4"/>
      <c r="E188" s="7"/>
      <c r="F188" s="6" t="str">
        <f t="shared" si="22"/>
        <v/>
      </c>
      <c r="G188" s="6" t="str">
        <f>IF(A188="","",IF(H188&lt;&gt;"","已开仓",IF(账户数据!$B$23="已锁仓","禁止开仓：连续亏损达到上限",IF(账户数据!$B$23="解锁信息不完整","禁止开仓：请完整填写解锁信息",IF(OR(F188="",E188="",N188="",E188&lt;=N188,账户数据!$B$7=""),"",IF(OR(AG188="",AH188="",AI188=""),"禁止开仓：交易预期未填写完整",IF(账户数据!$B$9+F188*(E188-N188)&gt;=账户数据!$B$7,"禁止开仓：风险额度不足",IF(AJ188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8" s="10"/>
      <c r="I188" s="21"/>
      <c r="J188" s="7"/>
      <c r="K188" s="3"/>
      <c r="L188" s="6" t="str">
        <f t="shared" si="23"/>
        <v/>
      </c>
      <c r="M188" s="39"/>
      <c r="N188" s="7"/>
      <c r="O188" s="7"/>
      <c r="P188" s="3"/>
      <c r="Q188" s="10"/>
      <c r="R188" s="10"/>
      <c r="S188" s="10"/>
      <c r="T188" s="10"/>
      <c r="U188" s="5" t="str">
        <f t="shared" si="24"/>
        <v/>
      </c>
      <c r="V188" s="5" t="str">
        <f t="shared" si="25"/>
        <v/>
      </c>
      <c r="W188" s="22" t="str">
        <f t="shared" si="26"/>
        <v/>
      </c>
      <c r="X188" s="3" t="str">
        <f t="shared" si="27"/>
        <v/>
      </c>
      <c r="Y188" s="5" t="str">
        <f t="shared" si="28"/>
        <v/>
      </c>
      <c r="Z188" s="5" t="str">
        <f>IF(OR(AE188="",多次统计数据!$B$8=""),"",AE188-多次统计数据!$B$8)</f>
        <v/>
      </c>
      <c r="AA188" s="8" t="str">
        <f t="shared" si="29"/>
        <v/>
      </c>
      <c r="AB188" s="5" t="str">
        <f>IF(OR(A188="",多次统计数据!$B$8="",多次统计数据!$B$6&lt;=0,多次统计数据!$B$6&gt;=1),"",1-POWER(1+多次统计数据!$B$8,-多次统计数据!$B$6/(1-多次统计数据!$B$6)))</f>
        <v/>
      </c>
      <c r="AC188" s="6" t="str">
        <f>IF(OR(AB188="",多次统计数据!$B$9=""),"",IF(多次统计数据!$B$9&lt;AB188,"低于上限","达到或超过上限"))</f>
        <v/>
      </c>
      <c r="AD188" s="10"/>
      <c r="AE188" s="5" t="str">
        <f t="shared" si="30"/>
        <v/>
      </c>
      <c r="AG188" s="10"/>
      <c r="AH188" s="10"/>
      <c r="AI188" s="10"/>
      <c r="AJ188" s="6" t="str">
        <f t="shared" si="31"/>
        <v/>
      </c>
      <c r="AK188" s="23" t="str">
        <f>IF(A188="","",COUNTIFS(加仓管理!$A$2:$A$1001,A188,加仓管理!$G$2:$G$1001,"&gt;0"))</f>
        <v/>
      </c>
      <c r="AL188" s="23" t="str">
        <f>IF(A188="","",SUMIFS(加仓管理!$G$2:$G$1001,加仓管理!$A$2:$A$1001,A188))</f>
        <v/>
      </c>
      <c r="AM188" s="24" t="str">
        <f>IF(AK188=0,"",IFERROR(LOOKUP(2,1/((加仓管理!$A$2:$A$1001=A188)*(加仓管理!$G$2:$G$1001&gt;0)),加仓管理!$D$2:$D$1001),""))</f>
        <v/>
      </c>
      <c r="AN188" s="24" t="str">
        <f>IF(AK188=0,"",IFERROR(LOOKUP(2,1/((加仓管理!$A$2:$A$1001=A188)*(加仓管理!$G$2:$G$1001&gt;0)),加仓管理!$E$2:$E$1001),""))</f>
        <v/>
      </c>
      <c r="AO188" s="24" t="str">
        <f>IF(OR(A188="",H188="",H188&lt;=0),"",(E188*H188+SUMIFS(加仓管理!$H$2:$H$1001,加仓管理!$A$2:$A$1001,A188))/AP188)</f>
        <v/>
      </c>
      <c r="AP188" s="23" t="str">
        <f t="shared" si="32"/>
        <v/>
      </c>
      <c r="AQ188" s="24" t="str">
        <f>IF(A188="","",IF(M188&lt;&gt;"",0,IF(OR(H188="",N188=""),"",MAX((E188*H188+SUMIFS(加仓管理!$H$2:$H$1001,加仓管理!$A$2:$A$1001,A188))-MAX(N188,AN188)*AP188,0))))</f>
        <v/>
      </c>
      <c r="AR188" s="24" t="str">
        <f>IF(A188="","",IF(OR(E188="",H188=""),"违规：首次买入价格或股数缺失",IF(COUNTIFS(加仓管理!$A$2:$A$1001,A188,加仓管理!$R$2:$R$1001,"违规*")&gt;0,"违规：请检查加仓管理表",IF(SUM($AQ$2:$AQ$201)&gt;账户数据!$B$7,"预警：超过账户风险上限",IF(COUNTIFS(加仓管理!$A$2:$A$1001,A188,加仓管理!$N$2:$N$1001,"&gt;0",加仓管理!$G$2:$G$1001,"")&gt;0,"提示：存在待执行加仓计划","通过")))))</f>
        <v/>
      </c>
    </row>
    <row r="189" spans="1:44">
      <c r="A189" s="10"/>
      <c r="B189" s="10"/>
      <c r="C189" s="7"/>
      <c r="D189" s="4"/>
      <c r="E189" s="7"/>
      <c r="F189" s="6" t="str">
        <f t="shared" si="22"/>
        <v/>
      </c>
      <c r="G189" s="6" t="str">
        <f>IF(A189="","",IF(H189&lt;&gt;"","已开仓",IF(账户数据!$B$23="已锁仓","禁止开仓：连续亏损达到上限",IF(账户数据!$B$23="解锁信息不完整","禁止开仓：请完整填写解锁信息",IF(OR(F189="",E189="",N189="",E189&lt;=N189,账户数据!$B$7=""),"",IF(OR(AG189="",AH189="",AI189=""),"禁止开仓：交易预期未填写完整",IF(账户数据!$B$9+F189*(E189-N189)&gt;=账户数据!$B$7,"禁止开仓：风险额度不足",IF(AJ189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9" s="10"/>
      <c r="I189" s="21"/>
      <c r="J189" s="7"/>
      <c r="K189" s="3"/>
      <c r="L189" s="6" t="str">
        <f t="shared" si="23"/>
        <v/>
      </c>
      <c r="M189" s="39"/>
      <c r="N189" s="7"/>
      <c r="O189" s="7"/>
      <c r="P189" s="3"/>
      <c r="Q189" s="10"/>
      <c r="R189" s="10"/>
      <c r="S189" s="10"/>
      <c r="T189" s="10"/>
      <c r="U189" s="5" t="str">
        <f t="shared" si="24"/>
        <v/>
      </c>
      <c r="V189" s="5" t="str">
        <f t="shared" si="25"/>
        <v/>
      </c>
      <c r="W189" s="22" t="str">
        <f t="shared" si="26"/>
        <v/>
      </c>
      <c r="X189" s="3" t="str">
        <f t="shared" si="27"/>
        <v/>
      </c>
      <c r="Y189" s="5" t="str">
        <f t="shared" si="28"/>
        <v/>
      </c>
      <c r="Z189" s="5" t="str">
        <f>IF(OR(AE189="",多次统计数据!$B$8=""),"",AE189-多次统计数据!$B$8)</f>
        <v/>
      </c>
      <c r="AA189" s="8" t="str">
        <f t="shared" si="29"/>
        <v/>
      </c>
      <c r="AB189" s="5" t="str">
        <f>IF(OR(A189="",多次统计数据!$B$8="",多次统计数据!$B$6&lt;=0,多次统计数据!$B$6&gt;=1),"",1-POWER(1+多次统计数据!$B$8,-多次统计数据!$B$6/(1-多次统计数据!$B$6)))</f>
        <v/>
      </c>
      <c r="AC189" s="6" t="str">
        <f>IF(OR(AB189="",多次统计数据!$B$9=""),"",IF(多次统计数据!$B$9&lt;AB189,"低于上限","达到或超过上限"))</f>
        <v/>
      </c>
      <c r="AD189" s="10"/>
      <c r="AE189" s="5" t="str">
        <f t="shared" si="30"/>
        <v/>
      </c>
      <c r="AG189" s="10"/>
      <c r="AH189" s="10"/>
      <c r="AI189" s="10"/>
      <c r="AJ189" s="6" t="str">
        <f t="shared" si="31"/>
        <v/>
      </c>
      <c r="AK189" s="23" t="str">
        <f>IF(A189="","",COUNTIFS(加仓管理!$A$2:$A$1001,A189,加仓管理!$G$2:$G$1001,"&gt;0"))</f>
        <v/>
      </c>
      <c r="AL189" s="23" t="str">
        <f>IF(A189="","",SUMIFS(加仓管理!$G$2:$G$1001,加仓管理!$A$2:$A$1001,A189))</f>
        <v/>
      </c>
      <c r="AM189" s="24" t="str">
        <f>IF(AK189=0,"",IFERROR(LOOKUP(2,1/((加仓管理!$A$2:$A$1001=A189)*(加仓管理!$G$2:$G$1001&gt;0)),加仓管理!$D$2:$D$1001),""))</f>
        <v/>
      </c>
      <c r="AN189" s="24" t="str">
        <f>IF(AK189=0,"",IFERROR(LOOKUP(2,1/((加仓管理!$A$2:$A$1001=A189)*(加仓管理!$G$2:$G$1001&gt;0)),加仓管理!$E$2:$E$1001),""))</f>
        <v/>
      </c>
      <c r="AO189" s="24" t="str">
        <f>IF(OR(A189="",H189="",H189&lt;=0),"",(E189*H189+SUMIFS(加仓管理!$H$2:$H$1001,加仓管理!$A$2:$A$1001,A189))/AP189)</f>
        <v/>
      </c>
      <c r="AP189" s="23" t="str">
        <f t="shared" si="32"/>
        <v/>
      </c>
      <c r="AQ189" s="24" t="str">
        <f>IF(A189="","",IF(M189&lt;&gt;"",0,IF(OR(H189="",N189=""),"",MAX((E189*H189+SUMIFS(加仓管理!$H$2:$H$1001,加仓管理!$A$2:$A$1001,A189))-MAX(N189,AN189)*AP189,0))))</f>
        <v/>
      </c>
      <c r="AR189" s="24" t="str">
        <f>IF(A189="","",IF(OR(E189="",H189=""),"违规：首次买入价格或股数缺失",IF(COUNTIFS(加仓管理!$A$2:$A$1001,A189,加仓管理!$R$2:$R$1001,"违规*")&gt;0,"违规：请检查加仓管理表",IF(SUM($AQ$2:$AQ$201)&gt;账户数据!$B$7,"预警：超过账户风险上限",IF(COUNTIFS(加仓管理!$A$2:$A$1001,A189,加仓管理!$N$2:$N$1001,"&gt;0",加仓管理!$G$2:$G$1001,"")&gt;0,"提示：存在待执行加仓计划","通过")))))</f>
        <v/>
      </c>
    </row>
    <row r="190" spans="1:44">
      <c r="A190" s="10"/>
      <c r="B190" s="10"/>
      <c r="C190" s="7"/>
      <c r="D190" s="4"/>
      <c r="E190" s="7"/>
      <c r="F190" s="6" t="str">
        <f t="shared" si="22"/>
        <v/>
      </c>
      <c r="G190" s="6" t="str">
        <f>IF(A190="","",IF(H190&lt;&gt;"","已开仓",IF(账户数据!$B$23="已锁仓","禁止开仓：连续亏损达到上限",IF(账户数据!$B$23="解锁信息不完整","禁止开仓：请完整填写解锁信息",IF(OR(F190="",E190="",N190="",E190&lt;=N190,账户数据!$B$7=""),"",IF(OR(AG190="",AH190="",AI190=""),"禁止开仓：交易预期未填写完整",IF(账户数据!$B$9+F190*(E190-N190)&gt;=账户数据!$B$7,"禁止开仓：风险额度不足",IF(AJ190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0" s="10"/>
      <c r="I190" s="21"/>
      <c r="J190" s="7"/>
      <c r="K190" s="3"/>
      <c r="L190" s="6" t="str">
        <f t="shared" si="23"/>
        <v/>
      </c>
      <c r="M190" s="39"/>
      <c r="N190" s="7"/>
      <c r="O190" s="7"/>
      <c r="P190" s="3"/>
      <c r="Q190" s="10"/>
      <c r="R190" s="10"/>
      <c r="S190" s="10"/>
      <c r="T190" s="10"/>
      <c r="U190" s="5" t="str">
        <f t="shared" si="24"/>
        <v/>
      </c>
      <c r="V190" s="5" t="str">
        <f t="shared" si="25"/>
        <v/>
      </c>
      <c r="W190" s="22" t="str">
        <f t="shared" si="26"/>
        <v/>
      </c>
      <c r="X190" s="3" t="str">
        <f t="shared" si="27"/>
        <v/>
      </c>
      <c r="Y190" s="5" t="str">
        <f t="shared" si="28"/>
        <v/>
      </c>
      <c r="Z190" s="5" t="str">
        <f>IF(OR(AE190="",多次统计数据!$B$8=""),"",AE190-多次统计数据!$B$8)</f>
        <v/>
      </c>
      <c r="AA190" s="8" t="str">
        <f t="shared" si="29"/>
        <v/>
      </c>
      <c r="AB190" s="5" t="str">
        <f>IF(OR(A190="",多次统计数据!$B$8="",多次统计数据!$B$6&lt;=0,多次统计数据!$B$6&gt;=1),"",1-POWER(1+多次统计数据!$B$8,-多次统计数据!$B$6/(1-多次统计数据!$B$6)))</f>
        <v/>
      </c>
      <c r="AC190" s="6" t="str">
        <f>IF(OR(AB190="",多次统计数据!$B$9=""),"",IF(多次统计数据!$B$9&lt;AB190,"低于上限","达到或超过上限"))</f>
        <v/>
      </c>
      <c r="AD190" s="10"/>
      <c r="AE190" s="5" t="str">
        <f t="shared" si="30"/>
        <v/>
      </c>
      <c r="AG190" s="10"/>
      <c r="AH190" s="10"/>
      <c r="AI190" s="10"/>
      <c r="AJ190" s="6" t="str">
        <f t="shared" si="31"/>
        <v/>
      </c>
      <c r="AK190" s="23" t="str">
        <f>IF(A190="","",COUNTIFS(加仓管理!$A$2:$A$1001,A190,加仓管理!$G$2:$G$1001,"&gt;0"))</f>
        <v/>
      </c>
      <c r="AL190" s="23" t="str">
        <f>IF(A190="","",SUMIFS(加仓管理!$G$2:$G$1001,加仓管理!$A$2:$A$1001,A190))</f>
        <v/>
      </c>
      <c r="AM190" s="24" t="str">
        <f>IF(AK190=0,"",IFERROR(LOOKUP(2,1/((加仓管理!$A$2:$A$1001=A190)*(加仓管理!$G$2:$G$1001&gt;0)),加仓管理!$D$2:$D$1001),""))</f>
        <v/>
      </c>
      <c r="AN190" s="24" t="str">
        <f>IF(AK190=0,"",IFERROR(LOOKUP(2,1/((加仓管理!$A$2:$A$1001=A190)*(加仓管理!$G$2:$G$1001&gt;0)),加仓管理!$E$2:$E$1001),""))</f>
        <v/>
      </c>
      <c r="AO190" s="24" t="str">
        <f>IF(OR(A190="",H190="",H190&lt;=0),"",(E190*H190+SUMIFS(加仓管理!$H$2:$H$1001,加仓管理!$A$2:$A$1001,A190))/AP190)</f>
        <v/>
      </c>
      <c r="AP190" s="23" t="str">
        <f t="shared" si="32"/>
        <v/>
      </c>
      <c r="AQ190" s="24" t="str">
        <f>IF(A190="","",IF(M190&lt;&gt;"",0,IF(OR(H190="",N190=""),"",MAX((E190*H190+SUMIFS(加仓管理!$H$2:$H$1001,加仓管理!$A$2:$A$1001,A190))-MAX(N190,AN190)*AP190,0))))</f>
        <v/>
      </c>
      <c r="AR190" s="24" t="str">
        <f>IF(A190="","",IF(OR(E190="",H190=""),"违规：首次买入价格或股数缺失",IF(COUNTIFS(加仓管理!$A$2:$A$1001,A190,加仓管理!$R$2:$R$1001,"违规*")&gt;0,"违规：请检查加仓管理表",IF(SUM($AQ$2:$AQ$201)&gt;账户数据!$B$7,"预警：超过账户风险上限",IF(COUNTIFS(加仓管理!$A$2:$A$1001,A190,加仓管理!$N$2:$N$1001,"&gt;0",加仓管理!$G$2:$G$1001,"")&gt;0,"提示：存在待执行加仓计划","通过")))))</f>
        <v/>
      </c>
    </row>
    <row r="191" spans="1:44">
      <c r="A191" s="10"/>
      <c r="B191" s="10"/>
      <c r="C191" s="7"/>
      <c r="D191" s="4"/>
      <c r="E191" s="7"/>
      <c r="F191" s="6" t="str">
        <f t="shared" si="22"/>
        <v/>
      </c>
      <c r="G191" s="6" t="str">
        <f>IF(A191="","",IF(H191&lt;&gt;"","已开仓",IF(账户数据!$B$23="已锁仓","禁止开仓：连续亏损达到上限",IF(账户数据!$B$23="解锁信息不完整","禁止开仓：请完整填写解锁信息",IF(OR(F191="",E191="",N191="",E191&lt;=N191,账户数据!$B$7=""),"",IF(OR(AG191="",AH191="",AI191=""),"禁止开仓：交易预期未填写完整",IF(账户数据!$B$9+F191*(E191-N191)&gt;=账户数据!$B$7,"禁止开仓：风险额度不足",IF(AJ191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1" s="10"/>
      <c r="I191" s="21"/>
      <c r="J191" s="7"/>
      <c r="K191" s="3"/>
      <c r="L191" s="6" t="str">
        <f t="shared" si="23"/>
        <v/>
      </c>
      <c r="M191" s="39"/>
      <c r="N191" s="7"/>
      <c r="O191" s="7"/>
      <c r="P191" s="3"/>
      <c r="Q191" s="10"/>
      <c r="R191" s="10"/>
      <c r="S191" s="10"/>
      <c r="T191" s="10"/>
      <c r="U191" s="5" t="str">
        <f t="shared" si="24"/>
        <v/>
      </c>
      <c r="V191" s="5" t="str">
        <f t="shared" si="25"/>
        <v/>
      </c>
      <c r="W191" s="22" t="str">
        <f t="shared" si="26"/>
        <v/>
      </c>
      <c r="X191" s="3" t="str">
        <f t="shared" si="27"/>
        <v/>
      </c>
      <c r="Y191" s="5" t="str">
        <f t="shared" si="28"/>
        <v/>
      </c>
      <c r="Z191" s="5" t="str">
        <f>IF(OR(AE191="",多次统计数据!$B$8=""),"",AE191-多次统计数据!$B$8)</f>
        <v/>
      </c>
      <c r="AA191" s="8" t="str">
        <f t="shared" si="29"/>
        <v/>
      </c>
      <c r="AB191" s="5" t="str">
        <f>IF(OR(A191="",多次统计数据!$B$8="",多次统计数据!$B$6&lt;=0,多次统计数据!$B$6&gt;=1),"",1-POWER(1+多次统计数据!$B$8,-多次统计数据!$B$6/(1-多次统计数据!$B$6)))</f>
        <v/>
      </c>
      <c r="AC191" s="6" t="str">
        <f>IF(OR(AB191="",多次统计数据!$B$9=""),"",IF(多次统计数据!$B$9&lt;AB191,"低于上限","达到或超过上限"))</f>
        <v/>
      </c>
      <c r="AD191" s="10"/>
      <c r="AE191" s="5" t="str">
        <f t="shared" si="30"/>
        <v/>
      </c>
      <c r="AG191" s="10"/>
      <c r="AH191" s="10"/>
      <c r="AI191" s="10"/>
      <c r="AJ191" s="6" t="str">
        <f t="shared" si="31"/>
        <v/>
      </c>
      <c r="AK191" s="23" t="str">
        <f>IF(A191="","",COUNTIFS(加仓管理!$A$2:$A$1001,A191,加仓管理!$G$2:$G$1001,"&gt;0"))</f>
        <v/>
      </c>
      <c r="AL191" s="23" t="str">
        <f>IF(A191="","",SUMIFS(加仓管理!$G$2:$G$1001,加仓管理!$A$2:$A$1001,A191))</f>
        <v/>
      </c>
      <c r="AM191" s="24" t="str">
        <f>IF(AK191=0,"",IFERROR(LOOKUP(2,1/((加仓管理!$A$2:$A$1001=A191)*(加仓管理!$G$2:$G$1001&gt;0)),加仓管理!$D$2:$D$1001),""))</f>
        <v/>
      </c>
      <c r="AN191" s="24" t="str">
        <f>IF(AK191=0,"",IFERROR(LOOKUP(2,1/((加仓管理!$A$2:$A$1001=A191)*(加仓管理!$G$2:$G$1001&gt;0)),加仓管理!$E$2:$E$1001),""))</f>
        <v/>
      </c>
      <c r="AO191" s="24" t="str">
        <f>IF(OR(A191="",H191="",H191&lt;=0),"",(E191*H191+SUMIFS(加仓管理!$H$2:$H$1001,加仓管理!$A$2:$A$1001,A191))/AP191)</f>
        <v/>
      </c>
      <c r="AP191" s="23" t="str">
        <f t="shared" si="32"/>
        <v/>
      </c>
      <c r="AQ191" s="24" t="str">
        <f>IF(A191="","",IF(M191&lt;&gt;"",0,IF(OR(H191="",N191=""),"",MAX((E191*H191+SUMIFS(加仓管理!$H$2:$H$1001,加仓管理!$A$2:$A$1001,A191))-MAX(N191,AN191)*AP191,0))))</f>
        <v/>
      </c>
      <c r="AR191" s="24" t="str">
        <f>IF(A191="","",IF(OR(E191="",H191=""),"违规：首次买入价格或股数缺失",IF(COUNTIFS(加仓管理!$A$2:$A$1001,A191,加仓管理!$R$2:$R$1001,"违规*")&gt;0,"违规：请检查加仓管理表",IF(SUM($AQ$2:$AQ$201)&gt;账户数据!$B$7,"预警：超过账户风险上限",IF(COUNTIFS(加仓管理!$A$2:$A$1001,A191,加仓管理!$N$2:$N$1001,"&gt;0",加仓管理!$G$2:$G$1001,"")&gt;0,"提示：存在待执行加仓计划","通过")))))</f>
        <v/>
      </c>
    </row>
    <row r="192" spans="1:44">
      <c r="A192" s="10"/>
      <c r="B192" s="10"/>
      <c r="C192" s="7"/>
      <c r="D192" s="4"/>
      <c r="E192" s="7"/>
      <c r="F192" s="6" t="str">
        <f t="shared" si="22"/>
        <v/>
      </c>
      <c r="G192" s="6" t="str">
        <f>IF(A192="","",IF(H192&lt;&gt;"","已开仓",IF(账户数据!$B$23="已锁仓","禁止开仓：连续亏损达到上限",IF(账户数据!$B$23="解锁信息不完整","禁止开仓：请完整填写解锁信息",IF(OR(F192="",E192="",N192="",E192&lt;=N192,账户数据!$B$7=""),"",IF(OR(AG192="",AH192="",AI192=""),"禁止开仓：交易预期未填写完整",IF(账户数据!$B$9+F192*(E192-N192)&gt;=账户数据!$B$7,"禁止开仓：风险额度不足",IF(AJ192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2" s="10"/>
      <c r="I192" s="21"/>
      <c r="J192" s="7"/>
      <c r="K192" s="3"/>
      <c r="L192" s="6" t="str">
        <f t="shared" si="23"/>
        <v/>
      </c>
      <c r="M192" s="39"/>
      <c r="N192" s="7"/>
      <c r="O192" s="7"/>
      <c r="P192" s="3"/>
      <c r="Q192" s="10"/>
      <c r="R192" s="10"/>
      <c r="S192" s="10"/>
      <c r="T192" s="10"/>
      <c r="U192" s="5" t="str">
        <f t="shared" si="24"/>
        <v/>
      </c>
      <c r="V192" s="5" t="str">
        <f t="shared" si="25"/>
        <v/>
      </c>
      <c r="W192" s="22" t="str">
        <f t="shared" si="26"/>
        <v/>
      </c>
      <c r="X192" s="3" t="str">
        <f t="shared" si="27"/>
        <v/>
      </c>
      <c r="Y192" s="5" t="str">
        <f t="shared" si="28"/>
        <v/>
      </c>
      <c r="Z192" s="5" t="str">
        <f>IF(OR(AE192="",多次统计数据!$B$8=""),"",AE192-多次统计数据!$B$8)</f>
        <v/>
      </c>
      <c r="AA192" s="8" t="str">
        <f t="shared" si="29"/>
        <v/>
      </c>
      <c r="AB192" s="5" t="str">
        <f>IF(OR(A192="",多次统计数据!$B$8="",多次统计数据!$B$6&lt;=0,多次统计数据!$B$6&gt;=1),"",1-POWER(1+多次统计数据!$B$8,-多次统计数据!$B$6/(1-多次统计数据!$B$6)))</f>
        <v/>
      </c>
      <c r="AC192" s="6" t="str">
        <f>IF(OR(AB192="",多次统计数据!$B$9=""),"",IF(多次统计数据!$B$9&lt;AB192,"低于上限","达到或超过上限"))</f>
        <v/>
      </c>
      <c r="AD192" s="10"/>
      <c r="AE192" s="5" t="str">
        <f t="shared" si="30"/>
        <v/>
      </c>
      <c r="AG192" s="10"/>
      <c r="AH192" s="10"/>
      <c r="AI192" s="10"/>
      <c r="AJ192" s="6" t="str">
        <f t="shared" si="31"/>
        <v/>
      </c>
      <c r="AK192" s="23" t="str">
        <f>IF(A192="","",COUNTIFS(加仓管理!$A$2:$A$1001,A192,加仓管理!$G$2:$G$1001,"&gt;0"))</f>
        <v/>
      </c>
      <c r="AL192" s="23" t="str">
        <f>IF(A192="","",SUMIFS(加仓管理!$G$2:$G$1001,加仓管理!$A$2:$A$1001,A192))</f>
        <v/>
      </c>
      <c r="AM192" s="24" t="str">
        <f>IF(AK192=0,"",IFERROR(LOOKUP(2,1/((加仓管理!$A$2:$A$1001=A192)*(加仓管理!$G$2:$G$1001&gt;0)),加仓管理!$D$2:$D$1001),""))</f>
        <v/>
      </c>
      <c r="AN192" s="24" t="str">
        <f>IF(AK192=0,"",IFERROR(LOOKUP(2,1/((加仓管理!$A$2:$A$1001=A192)*(加仓管理!$G$2:$G$1001&gt;0)),加仓管理!$E$2:$E$1001),""))</f>
        <v/>
      </c>
      <c r="AO192" s="24" t="str">
        <f>IF(OR(A192="",H192="",H192&lt;=0),"",(E192*H192+SUMIFS(加仓管理!$H$2:$H$1001,加仓管理!$A$2:$A$1001,A192))/AP192)</f>
        <v/>
      </c>
      <c r="AP192" s="23" t="str">
        <f t="shared" si="32"/>
        <v/>
      </c>
      <c r="AQ192" s="24" t="str">
        <f>IF(A192="","",IF(M192&lt;&gt;"",0,IF(OR(H192="",N192=""),"",MAX((E192*H192+SUMIFS(加仓管理!$H$2:$H$1001,加仓管理!$A$2:$A$1001,A192))-MAX(N192,AN192)*AP192,0))))</f>
        <v/>
      </c>
      <c r="AR192" s="24" t="str">
        <f>IF(A192="","",IF(OR(E192="",H192=""),"违规：首次买入价格或股数缺失",IF(COUNTIFS(加仓管理!$A$2:$A$1001,A192,加仓管理!$R$2:$R$1001,"违规*")&gt;0,"违规：请检查加仓管理表",IF(SUM($AQ$2:$AQ$201)&gt;账户数据!$B$7,"预警：超过账户风险上限",IF(COUNTIFS(加仓管理!$A$2:$A$1001,A192,加仓管理!$N$2:$N$1001,"&gt;0",加仓管理!$G$2:$G$1001,"")&gt;0,"提示：存在待执行加仓计划","通过")))))</f>
        <v/>
      </c>
    </row>
    <row r="193" spans="1:44">
      <c r="A193" s="10"/>
      <c r="B193" s="10"/>
      <c r="C193" s="7"/>
      <c r="D193" s="4"/>
      <c r="E193" s="7"/>
      <c r="F193" s="6" t="str">
        <f t="shared" si="22"/>
        <v/>
      </c>
      <c r="G193" s="6" t="str">
        <f>IF(A193="","",IF(H193&lt;&gt;"","已开仓",IF(账户数据!$B$23="已锁仓","禁止开仓：连续亏损达到上限",IF(账户数据!$B$23="解锁信息不完整","禁止开仓：请完整填写解锁信息",IF(OR(F193="",E193="",N193="",E193&lt;=N193,账户数据!$B$7=""),"",IF(OR(AG193="",AH193="",AI193=""),"禁止开仓：交易预期未填写完整",IF(账户数据!$B$9+F193*(E193-N193)&gt;=账户数据!$B$7,"禁止开仓：风险额度不足",IF(AJ193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3" s="10"/>
      <c r="I193" s="21"/>
      <c r="J193" s="7"/>
      <c r="K193" s="3"/>
      <c r="L193" s="6" t="str">
        <f t="shared" si="23"/>
        <v/>
      </c>
      <c r="M193" s="39"/>
      <c r="N193" s="7"/>
      <c r="O193" s="7"/>
      <c r="P193" s="3"/>
      <c r="Q193" s="10"/>
      <c r="R193" s="10"/>
      <c r="S193" s="10"/>
      <c r="T193" s="10"/>
      <c r="U193" s="5" t="str">
        <f t="shared" si="24"/>
        <v/>
      </c>
      <c r="V193" s="5" t="str">
        <f t="shared" si="25"/>
        <v/>
      </c>
      <c r="W193" s="22" t="str">
        <f t="shared" si="26"/>
        <v/>
      </c>
      <c r="X193" s="3" t="str">
        <f t="shared" si="27"/>
        <v/>
      </c>
      <c r="Y193" s="5" t="str">
        <f t="shared" si="28"/>
        <v/>
      </c>
      <c r="Z193" s="5" t="str">
        <f>IF(OR(AE193="",多次统计数据!$B$8=""),"",AE193-多次统计数据!$B$8)</f>
        <v/>
      </c>
      <c r="AA193" s="8" t="str">
        <f t="shared" si="29"/>
        <v/>
      </c>
      <c r="AB193" s="5" t="str">
        <f>IF(OR(A193="",多次统计数据!$B$8="",多次统计数据!$B$6&lt;=0,多次统计数据!$B$6&gt;=1),"",1-POWER(1+多次统计数据!$B$8,-多次统计数据!$B$6/(1-多次统计数据!$B$6)))</f>
        <v/>
      </c>
      <c r="AC193" s="6" t="str">
        <f>IF(OR(AB193="",多次统计数据!$B$9=""),"",IF(多次统计数据!$B$9&lt;AB193,"低于上限","达到或超过上限"))</f>
        <v/>
      </c>
      <c r="AD193" s="10"/>
      <c r="AE193" s="5" t="str">
        <f t="shared" si="30"/>
        <v/>
      </c>
      <c r="AG193" s="10"/>
      <c r="AH193" s="10"/>
      <c r="AI193" s="10"/>
      <c r="AJ193" s="6" t="str">
        <f t="shared" si="31"/>
        <v/>
      </c>
      <c r="AK193" s="23" t="str">
        <f>IF(A193="","",COUNTIFS(加仓管理!$A$2:$A$1001,A193,加仓管理!$G$2:$G$1001,"&gt;0"))</f>
        <v/>
      </c>
      <c r="AL193" s="23" t="str">
        <f>IF(A193="","",SUMIFS(加仓管理!$G$2:$G$1001,加仓管理!$A$2:$A$1001,A193))</f>
        <v/>
      </c>
      <c r="AM193" s="24" t="str">
        <f>IF(AK193=0,"",IFERROR(LOOKUP(2,1/((加仓管理!$A$2:$A$1001=A193)*(加仓管理!$G$2:$G$1001&gt;0)),加仓管理!$D$2:$D$1001),""))</f>
        <v/>
      </c>
      <c r="AN193" s="24" t="str">
        <f>IF(AK193=0,"",IFERROR(LOOKUP(2,1/((加仓管理!$A$2:$A$1001=A193)*(加仓管理!$G$2:$G$1001&gt;0)),加仓管理!$E$2:$E$1001),""))</f>
        <v/>
      </c>
      <c r="AO193" s="24" t="str">
        <f>IF(OR(A193="",H193="",H193&lt;=0),"",(E193*H193+SUMIFS(加仓管理!$H$2:$H$1001,加仓管理!$A$2:$A$1001,A193))/AP193)</f>
        <v/>
      </c>
      <c r="AP193" s="23" t="str">
        <f t="shared" si="32"/>
        <v/>
      </c>
      <c r="AQ193" s="24" t="str">
        <f>IF(A193="","",IF(M193&lt;&gt;"",0,IF(OR(H193="",N193=""),"",MAX((E193*H193+SUMIFS(加仓管理!$H$2:$H$1001,加仓管理!$A$2:$A$1001,A193))-MAX(N193,AN193)*AP193,0))))</f>
        <v/>
      </c>
      <c r="AR193" s="24" t="str">
        <f>IF(A193="","",IF(OR(E193="",H193=""),"违规：首次买入价格或股数缺失",IF(COUNTIFS(加仓管理!$A$2:$A$1001,A193,加仓管理!$R$2:$R$1001,"违规*")&gt;0,"违规：请检查加仓管理表",IF(SUM($AQ$2:$AQ$201)&gt;账户数据!$B$7,"预警：超过账户风险上限",IF(COUNTIFS(加仓管理!$A$2:$A$1001,A193,加仓管理!$N$2:$N$1001,"&gt;0",加仓管理!$G$2:$G$1001,"")&gt;0,"提示：存在待执行加仓计划","通过")))))</f>
        <v/>
      </c>
    </row>
    <row r="194" spans="1:44">
      <c r="A194" s="10"/>
      <c r="B194" s="10"/>
      <c r="C194" s="7"/>
      <c r="D194" s="4"/>
      <c r="E194" s="7"/>
      <c r="F194" s="6" t="str">
        <f t="shared" ref="F194:F201" si="33">IF(OR(C194="",D194="",E194="",N194="",C194&lt;=0,D194&lt;=0,E194&lt;=N194),"",ROUNDDOWN((C194*D194)/(E194-N194)/100,0)*100)</f>
        <v/>
      </c>
      <c r="G194" s="6" t="str">
        <f>IF(A194="","",IF(H194&lt;&gt;"","已开仓",IF(账户数据!$B$23="已锁仓","禁止开仓：连续亏损达到上限",IF(账户数据!$B$23="解锁信息不完整","禁止开仓：请完整填写解锁信息",IF(OR(F194="",E194="",N194="",E194&lt;=N194,账户数据!$B$7=""),"",IF(OR(AG194="",AH194="",AI194=""),"禁止开仓：交易预期未填写完整",IF(账户数据!$B$9+F194*(E194-N194)&gt;=账户数据!$B$7,"禁止开仓：风险额度不足",IF(AJ194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4" s="10"/>
      <c r="I194" s="21"/>
      <c r="J194" s="7"/>
      <c r="K194" s="3"/>
      <c r="L194" s="6" t="str">
        <f t="shared" ref="L194:L201" si="34">IF(AP194="","",AP194)</f>
        <v/>
      </c>
      <c r="M194" s="39"/>
      <c r="N194" s="7"/>
      <c r="O194" s="7"/>
      <c r="P194" s="3"/>
      <c r="Q194" s="10"/>
      <c r="R194" s="10"/>
      <c r="S194" s="10"/>
      <c r="T194" s="10"/>
      <c r="U194" s="5" t="str">
        <f t="shared" ref="U194:U201" si="35">IF(OR(AO194="",J194="",AO194&lt;=0),"",(J194-AO194)/AO194)</f>
        <v/>
      </c>
      <c r="V194" s="5" t="str">
        <f t="shared" ref="V194:V201" si="36">IF(OR(AO194="",N194="",AO194&lt;=0),"",(AO194-N194)/AO194)</f>
        <v/>
      </c>
      <c r="W194" s="22" t="str">
        <f t="shared" ref="W194:W201" si="37">IF(OR(U194="",V194="",V194&lt;=0),"",U194/V194)</f>
        <v/>
      </c>
      <c r="X194" s="3" t="str">
        <f t="shared" ref="X194:X201" si="38">IF(OR(K194="",L194="",AO194="",AP194=""),"",(K194-AO194)*L194-IF(O194="",0,O194)-IF(P194="",0,P194))</f>
        <v/>
      </c>
      <c r="Y194" s="5" t="str">
        <f t="shared" ref="Y194:Y201" si="39">IF(OR(X194="",AO194="",L194=""),"",IF(AO194*L194+IF(O194="",0,O194)&lt;=0,"",X194/(AO194*L194+IF(O194="",0,O194))))</f>
        <v/>
      </c>
      <c r="Z194" s="5" t="str">
        <f>IF(OR(AE194="",多次统计数据!$B$8=""),"",AE194-多次统计数据!$B$8)</f>
        <v/>
      </c>
      <c r="AA194" s="8" t="str">
        <f t="shared" ref="AA194:AA201" si="40">IF(OR(I194="",M194="",M194&lt;I194),"",M194-I194)</f>
        <v/>
      </c>
      <c r="AB194" s="5" t="str">
        <f>IF(OR(A194="",多次统计数据!$B$8="",多次统计数据!$B$6&lt;=0,多次统计数据!$B$6&gt;=1),"",1-POWER(1+多次统计数据!$B$8,-多次统计数据!$B$6/(1-多次统计数据!$B$6)))</f>
        <v/>
      </c>
      <c r="AC194" s="6" t="str">
        <f>IF(OR(AB194="",多次统计数据!$B$9=""),"",IF(多次统计数据!$B$9&lt;AB194,"低于上限","达到或超过上限"))</f>
        <v/>
      </c>
      <c r="AD194" s="10"/>
      <c r="AE194" s="5" t="str">
        <f t="shared" ref="AE194:AE201" si="41">IF(OR(X194="",C194="",C194&lt;=0),"",X194/C194)</f>
        <v/>
      </c>
      <c r="AG194" s="10"/>
      <c r="AH194" s="10"/>
      <c r="AI194" s="10"/>
      <c r="AJ194" s="6" t="str">
        <f t="shared" ref="AJ194:AJ201" si="42">IF(OR(AG194="",AH194=""),"",IF(OR(AND(AG194="短期博反弹",OR(AH194="1～3个交易日",AH194="4～10个交易日")),AND(AG194="突破冲新高",OR(AH194="4～10个交易日",AH194="11～20个交易日")),AND(AG194="趋势波段",OR(AH194="11～20个交易日",AH194="21～60个交易日",AH194="60个交易日以上"))),"匹配","周期与交易预期不匹配，请重新确认"))</f>
        <v/>
      </c>
      <c r="AK194" s="23" t="str">
        <f>IF(A194="","",COUNTIFS(加仓管理!$A$2:$A$1001,A194,加仓管理!$G$2:$G$1001,"&gt;0"))</f>
        <v/>
      </c>
      <c r="AL194" s="23" t="str">
        <f>IF(A194="","",SUMIFS(加仓管理!$G$2:$G$1001,加仓管理!$A$2:$A$1001,A194))</f>
        <v/>
      </c>
      <c r="AM194" s="24" t="str">
        <f>IF(AK194=0,"",IFERROR(LOOKUP(2,1/((加仓管理!$A$2:$A$1001=A194)*(加仓管理!$G$2:$G$1001&gt;0)),加仓管理!$D$2:$D$1001),""))</f>
        <v/>
      </c>
      <c r="AN194" s="24" t="str">
        <f>IF(AK194=0,"",IFERROR(LOOKUP(2,1/((加仓管理!$A$2:$A$1001=A194)*(加仓管理!$G$2:$G$1001&gt;0)),加仓管理!$E$2:$E$1001),""))</f>
        <v/>
      </c>
      <c r="AO194" s="24" t="str">
        <f>IF(OR(A194="",H194="",H194&lt;=0),"",(E194*H194+SUMIFS(加仓管理!$H$2:$H$1001,加仓管理!$A$2:$A$1001,A194))/AP194)</f>
        <v/>
      </c>
      <c r="AP194" s="23" t="str">
        <f t="shared" ref="AP194:AP201" si="43">IF(OR(A194="",H194="",H194&lt;=0),"",H194+AL194)</f>
        <v/>
      </c>
      <c r="AQ194" s="24" t="str">
        <f>IF(A194="","",IF(M194&lt;&gt;"",0,IF(OR(H194="",N194=""),"",MAX((E194*H194+SUMIFS(加仓管理!$H$2:$H$1001,加仓管理!$A$2:$A$1001,A194))-MAX(N194,AN194)*AP194,0))))</f>
        <v/>
      </c>
      <c r="AR194" s="24" t="str">
        <f>IF(A194="","",IF(OR(E194="",H194=""),"违规：首次买入价格或股数缺失",IF(COUNTIFS(加仓管理!$A$2:$A$1001,A194,加仓管理!$R$2:$R$1001,"违规*")&gt;0,"违规：请检查加仓管理表",IF(SUM($AQ$2:$AQ$201)&gt;账户数据!$B$7,"预警：超过账户风险上限",IF(COUNTIFS(加仓管理!$A$2:$A$1001,A194,加仓管理!$N$2:$N$1001,"&gt;0",加仓管理!$G$2:$G$1001,"")&gt;0,"提示：存在待执行加仓计划","通过")))))</f>
        <v/>
      </c>
    </row>
    <row r="195" spans="1:44">
      <c r="A195" s="10"/>
      <c r="B195" s="10"/>
      <c r="C195" s="7"/>
      <c r="D195" s="4"/>
      <c r="E195" s="7"/>
      <c r="F195" s="6" t="str">
        <f t="shared" si="33"/>
        <v/>
      </c>
      <c r="G195" s="6" t="str">
        <f>IF(A195="","",IF(H195&lt;&gt;"","已开仓",IF(账户数据!$B$23="已锁仓","禁止开仓：连续亏损达到上限",IF(账户数据!$B$23="解锁信息不完整","禁止开仓：请完整填写解锁信息",IF(OR(F195="",E195="",N195="",E195&lt;=N195,账户数据!$B$7=""),"",IF(OR(AG195="",AH195="",AI195=""),"禁止开仓：交易预期未填写完整",IF(账户数据!$B$9+F195*(E195-N195)&gt;=账户数据!$B$7,"禁止开仓：风险额度不足",IF(AJ195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5" s="10"/>
      <c r="I195" s="21"/>
      <c r="J195" s="7"/>
      <c r="K195" s="3"/>
      <c r="L195" s="6" t="str">
        <f t="shared" si="34"/>
        <v/>
      </c>
      <c r="M195" s="39"/>
      <c r="N195" s="7"/>
      <c r="O195" s="7"/>
      <c r="P195" s="3"/>
      <c r="Q195" s="10"/>
      <c r="R195" s="10"/>
      <c r="S195" s="10"/>
      <c r="T195" s="10"/>
      <c r="U195" s="5" t="str">
        <f t="shared" si="35"/>
        <v/>
      </c>
      <c r="V195" s="5" t="str">
        <f t="shared" si="36"/>
        <v/>
      </c>
      <c r="W195" s="22" t="str">
        <f t="shared" si="37"/>
        <v/>
      </c>
      <c r="X195" s="3" t="str">
        <f t="shared" si="38"/>
        <v/>
      </c>
      <c r="Y195" s="5" t="str">
        <f t="shared" si="39"/>
        <v/>
      </c>
      <c r="Z195" s="5" t="str">
        <f>IF(OR(AE195="",多次统计数据!$B$8=""),"",AE195-多次统计数据!$B$8)</f>
        <v/>
      </c>
      <c r="AA195" s="8" t="str">
        <f t="shared" si="40"/>
        <v/>
      </c>
      <c r="AB195" s="5" t="str">
        <f>IF(OR(A195="",多次统计数据!$B$8="",多次统计数据!$B$6&lt;=0,多次统计数据!$B$6&gt;=1),"",1-POWER(1+多次统计数据!$B$8,-多次统计数据!$B$6/(1-多次统计数据!$B$6)))</f>
        <v/>
      </c>
      <c r="AC195" s="6" t="str">
        <f>IF(OR(AB195="",多次统计数据!$B$9=""),"",IF(多次统计数据!$B$9&lt;AB195,"低于上限","达到或超过上限"))</f>
        <v/>
      </c>
      <c r="AD195" s="10"/>
      <c r="AE195" s="5" t="str">
        <f t="shared" si="41"/>
        <v/>
      </c>
      <c r="AG195" s="10"/>
      <c r="AH195" s="10"/>
      <c r="AI195" s="10"/>
      <c r="AJ195" s="6" t="str">
        <f t="shared" si="42"/>
        <v/>
      </c>
      <c r="AK195" s="23" t="str">
        <f>IF(A195="","",COUNTIFS(加仓管理!$A$2:$A$1001,A195,加仓管理!$G$2:$G$1001,"&gt;0"))</f>
        <v/>
      </c>
      <c r="AL195" s="23" t="str">
        <f>IF(A195="","",SUMIFS(加仓管理!$G$2:$G$1001,加仓管理!$A$2:$A$1001,A195))</f>
        <v/>
      </c>
      <c r="AM195" s="24" t="str">
        <f>IF(AK195=0,"",IFERROR(LOOKUP(2,1/((加仓管理!$A$2:$A$1001=A195)*(加仓管理!$G$2:$G$1001&gt;0)),加仓管理!$D$2:$D$1001),""))</f>
        <v/>
      </c>
      <c r="AN195" s="24" t="str">
        <f>IF(AK195=0,"",IFERROR(LOOKUP(2,1/((加仓管理!$A$2:$A$1001=A195)*(加仓管理!$G$2:$G$1001&gt;0)),加仓管理!$E$2:$E$1001),""))</f>
        <v/>
      </c>
      <c r="AO195" s="24" t="str">
        <f>IF(OR(A195="",H195="",H195&lt;=0),"",(E195*H195+SUMIFS(加仓管理!$H$2:$H$1001,加仓管理!$A$2:$A$1001,A195))/AP195)</f>
        <v/>
      </c>
      <c r="AP195" s="23" t="str">
        <f t="shared" si="43"/>
        <v/>
      </c>
      <c r="AQ195" s="24" t="str">
        <f>IF(A195="","",IF(M195&lt;&gt;"",0,IF(OR(H195="",N195=""),"",MAX((E195*H195+SUMIFS(加仓管理!$H$2:$H$1001,加仓管理!$A$2:$A$1001,A195))-MAX(N195,AN195)*AP195,0))))</f>
        <v/>
      </c>
      <c r="AR195" s="24" t="str">
        <f>IF(A195="","",IF(OR(E195="",H195=""),"违规：首次买入价格或股数缺失",IF(COUNTIFS(加仓管理!$A$2:$A$1001,A195,加仓管理!$R$2:$R$1001,"违规*")&gt;0,"违规：请检查加仓管理表",IF(SUM($AQ$2:$AQ$201)&gt;账户数据!$B$7,"预警：超过账户风险上限",IF(COUNTIFS(加仓管理!$A$2:$A$1001,A195,加仓管理!$N$2:$N$1001,"&gt;0",加仓管理!$G$2:$G$1001,"")&gt;0,"提示：存在待执行加仓计划","通过")))))</f>
        <v/>
      </c>
    </row>
    <row r="196" spans="1:44">
      <c r="A196" s="10"/>
      <c r="B196" s="10"/>
      <c r="C196" s="7"/>
      <c r="D196" s="4"/>
      <c r="E196" s="7"/>
      <c r="F196" s="6" t="str">
        <f t="shared" si="33"/>
        <v/>
      </c>
      <c r="G196" s="6" t="str">
        <f>IF(A196="","",IF(H196&lt;&gt;"","已开仓",IF(账户数据!$B$23="已锁仓","禁止开仓：连续亏损达到上限",IF(账户数据!$B$23="解锁信息不完整","禁止开仓：请完整填写解锁信息",IF(OR(F196="",E196="",N196="",E196&lt;=N196,账户数据!$B$7=""),"",IF(OR(AG196="",AH196="",AI196=""),"禁止开仓：交易预期未填写完整",IF(账户数据!$B$9+F196*(E196-N196)&gt;=账户数据!$B$7,"禁止开仓：风险额度不足",IF(AJ196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6" s="10"/>
      <c r="I196" s="21"/>
      <c r="J196" s="7"/>
      <c r="K196" s="3"/>
      <c r="L196" s="6" t="str">
        <f t="shared" si="34"/>
        <v/>
      </c>
      <c r="M196" s="39"/>
      <c r="N196" s="7"/>
      <c r="O196" s="7"/>
      <c r="P196" s="3"/>
      <c r="Q196" s="10"/>
      <c r="R196" s="10"/>
      <c r="S196" s="10"/>
      <c r="T196" s="10"/>
      <c r="U196" s="5" t="str">
        <f t="shared" si="35"/>
        <v/>
      </c>
      <c r="V196" s="5" t="str">
        <f t="shared" si="36"/>
        <v/>
      </c>
      <c r="W196" s="22" t="str">
        <f t="shared" si="37"/>
        <v/>
      </c>
      <c r="X196" s="3" t="str">
        <f t="shared" si="38"/>
        <v/>
      </c>
      <c r="Y196" s="5" t="str">
        <f t="shared" si="39"/>
        <v/>
      </c>
      <c r="Z196" s="5" t="str">
        <f>IF(OR(AE196="",多次统计数据!$B$8=""),"",AE196-多次统计数据!$B$8)</f>
        <v/>
      </c>
      <c r="AA196" s="8" t="str">
        <f t="shared" si="40"/>
        <v/>
      </c>
      <c r="AB196" s="5" t="str">
        <f>IF(OR(A196="",多次统计数据!$B$8="",多次统计数据!$B$6&lt;=0,多次统计数据!$B$6&gt;=1),"",1-POWER(1+多次统计数据!$B$8,-多次统计数据!$B$6/(1-多次统计数据!$B$6)))</f>
        <v/>
      </c>
      <c r="AC196" s="6" t="str">
        <f>IF(OR(AB196="",多次统计数据!$B$9=""),"",IF(多次统计数据!$B$9&lt;AB196,"低于上限","达到或超过上限"))</f>
        <v/>
      </c>
      <c r="AD196" s="10"/>
      <c r="AE196" s="5" t="str">
        <f t="shared" si="41"/>
        <v/>
      </c>
      <c r="AG196" s="10"/>
      <c r="AH196" s="10"/>
      <c r="AI196" s="10"/>
      <c r="AJ196" s="6" t="str">
        <f t="shared" si="42"/>
        <v/>
      </c>
      <c r="AK196" s="23" t="str">
        <f>IF(A196="","",COUNTIFS(加仓管理!$A$2:$A$1001,A196,加仓管理!$G$2:$G$1001,"&gt;0"))</f>
        <v/>
      </c>
      <c r="AL196" s="23" t="str">
        <f>IF(A196="","",SUMIFS(加仓管理!$G$2:$G$1001,加仓管理!$A$2:$A$1001,A196))</f>
        <v/>
      </c>
      <c r="AM196" s="24" t="str">
        <f>IF(AK196=0,"",IFERROR(LOOKUP(2,1/((加仓管理!$A$2:$A$1001=A196)*(加仓管理!$G$2:$G$1001&gt;0)),加仓管理!$D$2:$D$1001),""))</f>
        <v/>
      </c>
      <c r="AN196" s="24" t="str">
        <f>IF(AK196=0,"",IFERROR(LOOKUP(2,1/((加仓管理!$A$2:$A$1001=A196)*(加仓管理!$G$2:$G$1001&gt;0)),加仓管理!$E$2:$E$1001),""))</f>
        <v/>
      </c>
      <c r="AO196" s="24" t="str">
        <f>IF(OR(A196="",H196="",H196&lt;=0),"",(E196*H196+SUMIFS(加仓管理!$H$2:$H$1001,加仓管理!$A$2:$A$1001,A196))/AP196)</f>
        <v/>
      </c>
      <c r="AP196" s="23" t="str">
        <f t="shared" si="43"/>
        <v/>
      </c>
      <c r="AQ196" s="24" t="str">
        <f>IF(A196="","",IF(M196&lt;&gt;"",0,IF(OR(H196="",N196=""),"",MAX((E196*H196+SUMIFS(加仓管理!$H$2:$H$1001,加仓管理!$A$2:$A$1001,A196))-MAX(N196,AN196)*AP196,0))))</f>
        <v/>
      </c>
      <c r="AR196" s="24" t="str">
        <f>IF(A196="","",IF(OR(E196="",H196=""),"违规：首次买入价格或股数缺失",IF(COUNTIFS(加仓管理!$A$2:$A$1001,A196,加仓管理!$R$2:$R$1001,"违规*")&gt;0,"违规：请检查加仓管理表",IF(SUM($AQ$2:$AQ$201)&gt;账户数据!$B$7,"预警：超过账户风险上限",IF(COUNTIFS(加仓管理!$A$2:$A$1001,A196,加仓管理!$N$2:$N$1001,"&gt;0",加仓管理!$G$2:$G$1001,"")&gt;0,"提示：存在待执行加仓计划","通过")))))</f>
        <v/>
      </c>
    </row>
    <row r="197" spans="1:44">
      <c r="A197" s="10"/>
      <c r="B197" s="10"/>
      <c r="C197" s="7"/>
      <c r="D197" s="4"/>
      <c r="E197" s="7"/>
      <c r="F197" s="6" t="str">
        <f t="shared" si="33"/>
        <v/>
      </c>
      <c r="G197" s="6" t="str">
        <f>IF(A197="","",IF(H197&lt;&gt;"","已开仓",IF(账户数据!$B$23="已锁仓","禁止开仓：连续亏损达到上限",IF(账户数据!$B$23="解锁信息不完整","禁止开仓：请完整填写解锁信息",IF(OR(F197="",E197="",N197="",E197&lt;=N197,账户数据!$B$7=""),"",IF(OR(AG197="",AH197="",AI197=""),"禁止开仓：交易预期未填写完整",IF(账户数据!$B$9+F197*(E197-N197)&gt;=账户数据!$B$7,"禁止开仓：风险额度不足",IF(AJ197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7" s="10"/>
      <c r="I197" s="21"/>
      <c r="J197" s="7"/>
      <c r="K197" s="3"/>
      <c r="L197" s="6" t="str">
        <f t="shared" si="34"/>
        <v/>
      </c>
      <c r="M197" s="39"/>
      <c r="N197" s="7"/>
      <c r="O197" s="7"/>
      <c r="P197" s="3"/>
      <c r="Q197" s="10"/>
      <c r="R197" s="10"/>
      <c r="S197" s="10"/>
      <c r="T197" s="10"/>
      <c r="U197" s="5" t="str">
        <f t="shared" si="35"/>
        <v/>
      </c>
      <c r="V197" s="5" t="str">
        <f t="shared" si="36"/>
        <v/>
      </c>
      <c r="W197" s="22" t="str">
        <f t="shared" si="37"/>
        <v/>
      </c>
      <c r="X197" s="3" t="str">
        <f t="shared" si="38"/>
        <v/>
      </c>
      <c r="Y197" s="5" t="str">
        <f t="shared" si="39"/>
        <v/>
      </c>
      <c r="Z197" s="5" t="str">
        <f>IF(OR(AE197="",多次统计数据!$B$8=""),"",AE197-多次统计数据!$B$8)</f>
        <v/>
      </c>
      <c r="AA197" s="8" t="str">
        <f t="shared" si="40"/>
        <v/>
      </c>
      <c r="AB197" s="5" t="str">
        <f>IF(OR(A197="",多次统计数据!$B$8="",多次统计数据!$B$6&lt;=0,多次统计数据!$B$6&gt;=1),"",1-POWER(1+多次统计数据!$B$8,-多次统计数据!$B$6/(1-多次统计数据!$B$6)))</f>
        <v/>
      </c>
      <c r="AC197" s="6" t="str">
        <f>IF(OR(AB197="",多次统计数据!$B$9=""),"",IF(多次统计数据!$B$9&lt;AB197,"低于上限","达到或超过上限"))</f>
        <v/>
      </c>
      <c r="AD197" s="10"/>
      <c r="AE197" s="5" t="str">
        <f t="shared" si="41"/>
        <v/>
      </c>
      <c r="AG197" s="10"/>
      <c r="AH197" s="10"/>
      <c r="AI197" s="10"/>
      <c r="AJ197" s="6" t="str">
        <f t="shared" si="42"/>
        <v/>
      </c>
      <c r="AK197" s="23" t="str">
        <f>IF(A197="","",COUNTIFS(加仓管理!$A$2:$A$1001,A197,加仓管理!$G$2:$G$1001,"&gt;0"))</f>
        <v/>
      </c>
      <c r="AL197" s="23" t="str">
        <f>IF(A197="","",SUMIFS(加仓管理!$G$2:$G$1001,加仓管理!$A$2:$A$1001,A197))</f>
        <v/>
      </c>
      <c r="AM197" s="24" t="str">
        <f>IF(AK197=0,"",IFERROR(LOOKUP(2,1/((加仓管理!$A$2:$A$1001=A197)*(加仓管理!$G$2:$G$1001&gt;0)),加仓管理!$D$2:$D$1001),""))</f>
        <v/>
      </c>
      <c r="AN197" s="24" t="str">
        <f>IF(AK197=0,"",IFERROR(LOOKUP(2,1/((加仓管理!$A$2:$A$1001=A197)*(加仓管理!$G$2:$G$1001&gt;0)),加仓管理!$E$2:$E$1001),""))</f>
        <v/>
      </c>
      <c r="AO197" s="24" t="str">
        <f>IF(OR(A197="",H197="",H197&lt;=0),"",(E197*H197+SUMIFS(加仓管理!$H$2:$H$1001,加仓管理!$A$2:$A$1001,A197))/AP197)</f>
        <v/>
      </c>
      <c r="AP197" s="23" t="str">
        <f t="shared" si="43"/>
        <v/>
      </c>
      <c r="AQ197" s="24" t="str">
        <f>IF(A197="","",IF(M197&lt;&gt;"",0,IF(OR(H197="",N197=""),"",MAX((E197*H197+SUMIFS(加仓管理!$H$2:$H$1001,加仓管理!$A$2:$A$1001,A197))-MAX(N197,AN197)*AP197,0))))</f>
        <v/>
      </c>
      <c r="AR197" s="24" t="str">
        <f>IF(A197="","",IF(OR(E197="",H197=""),"违规：首次买入价格或股数缺失",IF(COUNTIFS(加仓管理!$A$2:$A$1001,A197,加仓管理!$R$2:$R$1001,"违规*")&gt;0,"违规：请检查加仓管理表",IF(SUM($AQ$2:$AQ$201)&gt;账户数据!$B$7,"预警：超过账户风险上限",IF(COUNTIFS(加仓管理!$A$2:$A$1001,A197,加仓管理!$N$2:$N$1001,"&gt;0",加仓管理!$G$2:$G$1001,"")&gt;0,"提示：存在待执行加仓计划","通过")))))</f>
        <v/>
      </c>
    </row>
    <row r="198" spans="1:44">
      <c r="A198" s="10"/>
      <c r="B198" s="10"/>
      <c r="C198" s="7"/>
      <c r="D198" s="4"/>
      <c r="E198" s="7"/>
      <c r="F198" s="6" t="str">
        <f t="shared" si="33"/>
        <v/>
      </c>
      <c r="G198" s="6" t="str">
        <f>IF(A198="","",IF(H198&lt;&gt;"","已开仓",IF(账户数据!$B$23="已锁仓","禁止开仓：连续亏损达到上限",IF(账户数据!$B$23="解锁信息不完整","禁止开仓：请完整填写解锁信息",IF(OR(F198="",E198="",N198="",E198&lt;=N198,账户数据!$B$7=""),"",IF(OR(AG198="",AH198="",AI198=""),"禁止开仓：交易预期未填写完整",IF(账户数据!$B$9+F198*(E198-N198)&gt;=账户数据!$B$7,"禁止开仓：风险额度不足",IF(AJ198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8" s="10"/>
      <c r="I198" s="21"/>
      <c r="J198" s="7"/>
      <c r="K198" s="3"/>
      <c r="L198" s="6" t="str">
        <f t="shared" si="34"/>
        <v/>
      </c>
      <c r="M198" s="39"/>
      <c r="N198" s="7"/>
      <c r="O198" s="7"/>
      <c r="P198" s="3"/>
      <c r="Q198" s="10"/>
      <c r="R198" s="10"/>
      <c r="S198" s="10"/>
      <c r="T198" s="10"/>
      <c r="U198" s="5" t="str">
        <f t="shared" si="35"/>
        <v/>
      </c>
      <c r="V198" s="5" t="str">
        <f t="shared" si="36"/>
        <v/>
      </c>
      <c r="W198" s="22" t="str">
        <f t="shared" si="37"/>
        <v/>
      </c>
      <c r="X198" s="3" t="str">
        <f t="shared" si="38"/>
        <v/>
      </c>
      <c r="Y198" s="5" t="str">
        <f t="shared" si="39"/>
        <v/>
      </c>
      <c r="Z198" s="5" t="str">
        <f>IF(OR(AE198="",多次统计数据!$B$8=""),"",AE198-多次统计数据!$B$8)</f>
        <v/>
      </c>
      <c r="AA198" s="8" t="str">
        <f t="shared" si="40"/>
        <v/>
      </c>
      <c r="AB198" s="5" t="str">
        <f>IF(OR(A198="",多次统计数据!$B$8="",多次统计数据!$B$6&lt;=0,多次统计数据!$B$6&gt;=1),"",1-POWER(1+多次统计数据!$B$8,-多次统计数据!$B$6/(1-多次统计数据!$B$6)))</f>
        <v/>
      </c>
      <c r="AC198" s="6" t="str">
        <f>IF(OR(AB198="",多次统计数据!$B$9=""),"",IF(多次统计数据!$B$9&lt;AB198,"低于上限","达到或超过上限"))</f>
        <v/>
      </c>
      <c r="AD198" s="10"/>
      <c r="AE198" s="5" t="str">
        <f t="shared" si="41"/>
        <v/>
      </c>
      <c r="AG198" s="10"/>
      <c r="AH198" s="10"/>
      <c r="AI198" s="10"/>
      <c r="AJ198" s="6" t="str">
        <f t="shared" si="42"/>
        <v/>
      </c>
      <c r="AK198" s="23" t="str">
        <f>IF(A198="","",COUNTIFS(加仓管理!$A$2:$A$1001,A198,加仓管理!$G$2:$G$1001,"&gt;0"))</f>
        <v/>
      </c>
      <c r="AL198" s="23" t="str">
        <f>IF(A198="","",SUMIFS(加仓管理!$G$2:$G$1001,加仓管理!$A$2:$A$1001,A198))</f>
        <v/>
      </c>
      <c r="AM198" s="24" t="str">
        <f>IF(AK198=0,"",IFERROR(LOOKUP(2,1/((加仓管理!$A$2:$A$1001=A198)*(加仓管理!$G$2:$G$1001&gt;0)),加仓管理!$D$2:$D$1001),""))</f>
        <v/>
      </c>
      <c r="AN198" s="24" t="str">
        <f>IF(AK198=0,"",IFERROR(LOOKUP(2,1/((加仓管理!$A$2:$A$1001=A198)*(加仓管理!$G$2:$G$1001&gt;0)),加仓管理!$E$2:$E$1001),""))</f>
        <v/>
      </c>
      <c r="AO198" s="24" t="str">
        <f>IF(OR(A198="",H198="",H198&lt;=0),"",(E198*H198+SUMIFS(加仓管理!$H$2:$H$1001,加仓管理!$A$2:$A$1001,A198))/AP198)</f>
        <v/>
      </c>
      <c r="AP198" s="23" t="str">
        <f t="shared" si="43"/>
        <v/>
      </c>
      <c r="AQ198" s="24" t="str">
        <f>IF(A198="","",IF(M198&lt;&gt;"",0,IF(OR(H198="",N198=""),"",MAX((E198*H198+SUMIFS(加仓管理!$H$2:$H$1001,加仓管理!$A$2:$A$1001,A198))-MAX(N198,AN198)*AP198,0))))</f>
        <v/>
      </c>
      <c r="AR198" s="24" t="str">
        <f>IF(A198="","",IF(OR(E198="",H198=""),"违规：首次买入价格或股数缺失",IF(COUNTIFS(加仓管理!$A$2:$A$1001,A198,加仓管理!$R$2:$R$1001,"违规*")&gt;0,"违规：请检查加仓管理表",IF(SUM($AQ$2:$AQ$201)&gt;账户数据!$B$7,"预警：超过账户风险上限",IF(COUNTIFS(加仓管理!$A$2:$A$1001,A198,加仓管理!$N$2:$N$1001,"&gt;0",加仓管理!$G$2:$G$1001,"")&gt;0,"提示：存在待执行加仓计划","通过")))))</f>
        <v/>
      </c>
    </row>
    <row r="199" spans="1:44">
      <c r="A199" s="10"/>
      <c r="B199" s="10"/>
      <c r="C199" s="7"/>
      <c r="D199" s="4"/>
      <c r="E199" s="7"/>
      <c r="F199" s="6" t="str">
        <f t="shared" si="33"/>
        <v/>
      </c>
      <c r="G199" s="6" t="str">
        <f>IF(A199="","",IF(H199&lt;&gt;"","已开仓",IF(账户数据!$B$23="已锁仓","禁止开仓：连续亏损达到上限",IF(账户数据!$B$23="解锁信息不完整","禁止开仓：请完整填写解锁信息",IF(OR(F199="",E199="",N199="",E199&lt;=N199,账户数据!$B$7=""),"",IF(OR(AG199="",AH199="",AI199=""),"禁止开仓：交易预期未填写完整",IF(账户数据!$B$9+F199*(E199-N199)&gt;=账户数据!$B$7,"禁止开仓：风险额度不足",IF(AJ199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9" s="10"/>
      <c r="I199" s="21"/>
      <c r="J199" s="7"/>
      <c r="K199" s="3"/>
      <c r="L199" s="6" t="str">
        <f t="shared" si="34"/>
        <v/>
      </c>
      <c r="M199" s="39"/>
      <c r="N199" s="7"/>
      <c r="O199" s="7"/>
      <c r="P199" s="3"/>
      <c r="Q199" s="10"/>
      <c r="R199" s="10"/>
      <c r="S199" s="10"/>
      <c r="T199" s="10"/>
      <c r="U199" s="5" t="str">
        <f t="shared" si="35"/>
        <v/>
      </c>
      <c r="V199" s="5" t="str">
        <f t="shared" si="36"/>
        <v/>
      </c>
      <c r="W199" s="22" t="str">
        <f t="shared" si="37"/>
        <v/>
      </c>
      <c r="X199" s="3" t="str">
        <f t="shared" si="38"/>
        <v/>
      </c>
      <c r="Y199" s="5" t="str">
        <f t="shared" si="39"/>
        <v/>
      </c>
      <c r="Z199" s="5" t="str">
        <f>IF(OR(AE199="",多次统计数据!$B$8=""),"",AE199-多次统计数据!$B$8)</f>
        <v/>
      </c>
      <c r="AA199" s="8" t="str">
        <f t="shared" si="40"/>
        <v/>
      </c>
      <c r="AB199" s="5" t="str">
        <f>IF(OR(A199="",多次统计数据!$B$8="",多次统计数据!$B$6&lt;=0,多次统计数据!$B$6&gt;=1),"",1-POWER(1+多次统计数据!$B$8,-多次统计数据!$B$6/(1-多次统计数据!$B$6)))</f>
        <v/>
      </c>
      <c r="AC199" s="6" t="str">
        <f>IF(OR(AB199="",多次统计数据!$B$9=""),"",IF(多次统计数据!$B$9&lt;AB199,"低于上限","达到或超过上限"))</f>
        <v/>
      </c>
      <c r="AD199" s="10"/>
      <c r="AE199" s="5" t="str">
        <f t="shared" si="41"/>
        <v/>
      </c>
      <c r="AG199" s="10"/>
      <c r="AH199" s="10"/>
      <c r="AI199" s="10"/>
      <c r="AJ199" s="6" t="str">
        <f t="shared" si="42"/>
        <v/>
      </c>
      <c r="AK199" s="23" t="str">
        <f>IF(A199="","",COUNTIFS(加仓管理!$A$2:$A$1001,A199,加仓管理!$G$2:$G$1001,"&gt;0"))</f>
        <v/>
      </c>
      <c r="AL199" s="23" t="str">
        <f>IF(A199="","",SUMIFS(加仓管理!$G$2:$G$1001,加仓管理!$A$2:$A$1001,A199))</f>
        <v/>
      </c>
      <c r="AM199" s="24" t="str">
        <f>IF(AK199=0,"",IFERROR(LOOKUP(2,1/((加仓管理!$A$2:$A$1001=A199)*(加仓管理!$G$2:$G$1001&gt;0)),加仓管理!$D$2:$D$1001),""))</f>
        <v/>
      </c>
      <c r="AN199" s="24" t="str">
        <f>IF(AK199=0,"",IFERROR(LOOKUP(2,1/((加仓管理!$A$2:$A$1001=A199)*(加仓管理!$G$2:$G$1001&gt;0)),加仓管理!$E$2:$E$1001),""))</f>
        <v/>
      </c>
      <c r="AO199" s="24" t="str">
        <f>IF(OR(A199="",H199="",H199&lt;=0),"",(E199*H199+SUMIFS(加仓管理!$H$2:$H$1001,加仓管理!$A$2:$A$1001,A199))/AP199)</f>
        <v/>
      </c>
      <c r="AP199" s="23" t="str">
        <f t="shared" si="43"/>
        <v/>
      </c>
      <c r="AQ199" s="24" t="str">
        <f>IF(A199="","",IF(M199&lt;&gt;"",0,IF(OR(H199="",N199=""),"",MAX((E199*H199+SUMIFS(加仓管理!$H$2:$H$1001,加仓管理!$A$2:$A$1001,A199))-MAX(N199,AN199)*AP199,0))))</f>
        <v/>
      </c>
      <c r="AR199" s="24" t="str">
        <f>IF(A199="","",IF(OR(E199="",H199=""),"违规：首次买入价格或股数缺失",IF(COUNTIFS(加仓管理!$A$2:$A$1001,A199,加仓管理!$R$2:$R$1001,"违规*")&gt;0,"违规：请检查加仓管理表",IF(SUM($AQ$2:$AQ$201)&gt;账户数据!$B$7,"预警：超过账户风险上限",IF(COUNTIFS(加仓管理!$A$2:$A$1001,A199,加仓管理!$N$2:$N$1001,"&gt;0",加仓管理!$G$2:$G$1001,"")&gt;0,"提示：存在待执行加仓计划","通过")))))</f>
        <v/>
      </c>
    </row>
    <row r="200" spans="1:44">
      <c r="A200" s="10"/>
      <c r="B200" s="10"/>
      <c r="C200" s="7"/>
      <c r="D200" s="4"/>
      <c r="E200" s="7"/>
      <c r="F200" s="6" t="str">
        <f t="shared" si="33"/>
        <v/>
      </c>
      <c r="G200" s="6" t="str">
        <f>IF(A200="","",IF(H200&lt;&gt;"","已开仓",IF(账户数据!$B$23="已锁仓","禁止开仓：连续亏损达到上限",IF(账户数据!$B$23="解锁信息不完整","禁止开仓：请完整填写解锁信息",IF(OR(F200="",E200="",N200="",E200&lt;=N200,账户数据!$B$7=""),"",IF(OR(AG200="",AH200="",AI200=""),"禁止开仓：交易预期未填写完整",IF(账户数据!$B$9+F200*(E200-N200)&gt;=账户数据!$B$7,"禁止开仓：风险额度不足",IF(AJ200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00" s="10"/>
      <c r="I200" s="21"/>
      <c r="J200" s="7"/>
      <c r="K200" s="3"/>
      <c r="L200" s="6" t="str">
        <f t="shared" si="34"/>
        <v/>
      </c>
      <c r="M200" s="39"/>
      <c r="N200" s="7"/>
      <c r="O200" s="7"/>
      <c r="P200" s="3"/>
      <c r="Q200" s="10"/>
      <c r="R200" s="10"/>
      <c r="S200" s="10"/>
      <c r="T200" s="10"/>
      <c r="U200" s="5" t="str">
        <f t="shared" si="35"/>
        <v/>
      </c>
      <c r="V200" s="5" t="str">
        <f t="shared" si="36"/>
        <v/>
      </c>
      <c r="W200" s="22" t="str">
        <f t="shared" si="37"/>
        <v/>
      </c>
      <c r="X200" s="3" t="str">
        <f t="shared" si="38"/>
        <v/>
      </c>
      <c r="Y200" s="5" t="str">
        <f t="shared" si="39"/>
        <v/>
      </c>
      <c r="Z200" s="5" t="str">
        <f>IF(OR(AE200="",多次统计数据!$B$8=""),"",AE200-多次统计数据!$B$8)</f>
        <v/>
      </c>
      <c r="AA200" s="8" t="str">
        <f t="shared" si="40"/>
        <v/>
      </c>
      <c r="AB200" s="5" t="str">
        <f>IF(OR(A200="",多次统计数据!$B$8="",多次统计数据!$B$6&lt;=0,多次统计数据!$B$6&gt;=1),"",1-POWER(1+多次统计数据!$B$8,-多次统计数据!$B$6/(1-多次统计数据!$B$6)))</f>
        <v/>
      </c>
      <c r="AC200" s="6" t="str">
        <f>IF(OR(AB200="",多次统计数据!$B$9=""),"",IF(多次统计数据!$B$9&lt;AB200,"低于上限","达到或超过上限"))</f>
        <v/>
      </c>
      <c r="AD200" s="10"/>
      <c r="AE200" s="5" t="str">
        <f t="shared" si="41"/>
        <v/>
      </c>
      <c r="AG200" s="10"/>
      <c r="AH200" s="10"/>
      <c r="AI200" s="10"/>
      <c r="AJ200" s="6" t="str">
        <f t="shared" si="42"/>
        <v/>
      </c>
      <c r="AK200" s="23" t="str">
        <f>IF(A200="","",COUNTIFS(加仓管理!$A$2:$A$1001,A200,加仓管理!$G$2:$G$1001,"&gt;0"))</f>
        <v/>
      </c>
      <c r="AL200" s="23" t="str">
        <f>IF(A200="","",SUMIFS(加仓管理!$G$2:$G$1001,加仓管理!$A$2:$A$1001,A200))</f>
        <v/>
      </c>
      <c r="AM200" s="24" t="str">
        <f>IF(AK200=0,"",IFERROR(LOOKUP(2,1/((加仓管理!$A$2:$A$1001=A200)*(加仓管理!$G$2:$G$1001&gt;0)),加仓管理!$D$2:$D$1001),""))</f>
        <v/>
      </c>
      <c r="AN200" s="24" t="str">
        <f>IF(AK200=0,"",IFERROR(LOOKUP(2,1/((加仓管理!$A$2:$A$1001=A200)*(加仓管理!$G$2:$G$1001&gt;0)),加仓管理!$E$2:$E$1001),""))</f>
        <v/>
      </c>
      <c r="AO200" s="24" t="str">
        <f>IF(OR(A200="",H200="",H200&lt;=0),"",(E200*H200+SUMIFS(加仓管理!$H$2:$H$1001,加仓管理!$A$2:$A$1001,A200))/AP200)</f>
        <v/>
      </c>
      <c r="AP200" s="23" t="str">
        <f t="shared" si="43"/>
        <v/>
      </c>
      <c r="AQ200" s="24" t="str">
        <f>IF(A200="","",IF(M200&lt;&gt;"",0,IF(OR(H200="",N200=""),"",MAX((E200*H200+SUMIFS(加仓管理!$H$2:$H$1001,加仓管理!$A$2:$A$1001,A200))-MAX(N200,AN200)*AP200,0))))</f>
        <v/>
      </c>
      <c r="AR200" s="24" t="str">
        <f>IF(A200="","",IF(OR(E200="",H200=""),"违规：首次买入价格或股数缺失",IF(COUNTIFS(加仓管理!$A$2:$A$1001,A200,加仓管理!$R$2:$R$1001,"违规*")&gt;0,"违规：请检查加仓管理表",IF(SUM($AQ$2:$AQ$201)&gt;账户数据!$B$7,"预警：超过账户风险上限",IF(COUNTIFS(加仓管理!$A$2:$A$1001,A200,加仓管理!$N$2:$N$1001,"&gt;0",加仓管理!$G$2:$G$1001,"")&gt;0,"提示：存在待执行加仓计划","通过")))))</f>
        <v/>
      </c>
    </row>
    <row r="201" spans="1:44">
      <c r="A201" s="10"/>
      <c r="B201" s="10"/>
      <c r="C201" s="7"/>
      <c r="D201" s="4"/>
      <c r="E201" s="7"/>
      <c r="F201" s="6" t="str">
        <f t="shared" si="33"/>
        <v/>
      </c>
      <c r="G201" s="6" t="str">
        <f>IF(A201="","",IF(H201&lt;&gt;"","已开仓",IF(账户数据!$B$23="已锁仓","禁止开仓：连续亏损达到上限",IF(账户数据!$B$23="解锁信息不完整","禁止开仓：请完整填写解锁信息",IF(OR(F201="",E201="",N201="",E201&lt;=N201,账户数据!$B$7=""),"",IF(OR(AG201="",AH201="",AI201=""),"禁止开仓：交易预期未填写完整",IF(账户数据!$B$9+F201*(E201-N201)&gt;=账户数据!$B$7,"禁止开仓：风险额度不足",IF(AJ201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01" s="10"/>
      <c r="I201" s="21"/>
      <c r="J201" s="7"/>
      <c r="K201" s="3"/>
      <c r="L201" s="6" t="str">
        <f t="shared" si="34"/>
        <v/>
      </c>
      <c r="M201" s="39"/>
      <c r="N201" s="7"/>
      <c r="O201" s="7"/>
      <c r="P201" s="3"/>
      <c r="Q201" s="10"/>
      <c r="R201" s="10"/>
      <c r="S201" s="10"/>
      <c r="T201" s="10"/>
      <c r="U201" s="5" t="str">
        <f t="shared" si="35"/>
        <v/>
      </c>
      <c r="V201" s="5" t="str">
        <f t="shared" si="36"/>
        <v/>
      </c>
      <c r="W201" s="22" t="str">
        <f t="shared" si="37"/>
        <v/>
      </c>
      <c r="X201" s="3" t="str">
        <f t="shared" si="38"/>
        <v/>
      </c>
      <c r="Y201" s="5" t="str">
        <f t="shared" si="39"/>
        <v/>
      </c>
      <c r="Z201" s="5" t="str">
        <f>IF(OR(AE201="",多次统计数据!$B$8=""),"",AE201-多次统计数据!$B$8)</f>
        <v/>
      </c>
      <c r="AA201" s="8" t="str">
        <f t="shared" si="40"/>
        <v/>
      </c>
      <c r="AB201" s="5" t="str">
        <f>IF(OR(A201="",多次统计数据!$B$8="",多次统计数据!$B$6&lt;=0,多次统计数据!$B$6&gt;=1),"",1-POWER(1+多次统计数据!$B$8,-多次统计数据!$B$6/(1-多次统计数据!$B$6)))</f>
        <v/>
      </c>
      <c r="AC201" s="6" t="str">
        <f>IF(OR(AB201="",多次统计数据!$B$9=""),"",IF(多次统计数据!$B$9&lt;AB201,"低于上限","达到或超过上限"))</f>
        <v/>
      </c>
      <c r="AD201" s="10"/>
      <c r="AE201" s="5" t="str">
        <f t="shared" si="41"/>
        <v/>
      </c>
      <c r="AG201" s="10"/>
      <c r="AH201" s="10"/>
      <c r="AI201" s="10"/>
      <c r="AJ201" s="6" t="str">
        <f t="shared" si="42"/>
        <v/>
      </c>
      <c r="AK201" s="23" t="str">
        <f>IF(A201="","",COUNTIFS(加仓管理!$A$2:$A$1001,A201,加仓管理!$G$2:$G$1001,"&gt;0"))</f>
        <v/>
      </c>
      <c r="AL201" s="23" t="str">
        <f>IF(A201="","",SUMIFS(加仓管理!$G$2:$G$1001,加仓管理!$A$2:$A$1001,A201))</f>
        <v/>
      </c>
      <c r="AM201" s="24" t="str">
        <f>IF(AK201=0,"",IFERROR(LOOKUP(2,1/((加仓管理!$A$2:$A$1001=A201)*(加仓管理!$G$2:$G$1001&gt;0)),加仓管理!$D$2:$D$1001),""))</f>
        <v/>
      </c>
      <c r="AN201" s="24" t="str">
        <f>IF(AK201=0,"",IFERROR(LOOKUP(2,1/((加仓管理!$A$2:$A$1001=A201)*(加仓管理!$G$2:$G$1001&gt;0)),加仓管理!$E$2:$E$1001),""))</f>
        <v/>
      </c>
      <c r="AO201" s="24" t="str">
        <f>IF(OR(A201="",H201="",H201&lt;=0),"",(E201*H201+SUMIFS(加仓管理!$H$2:$H$1001,加仓管理!$A$2:$A$1001,A201))/AP201)</f>
        <v/>
      </c>
      <c r="AP201" s="23" t="str">
        <f t="shared" si="43"/>
        <v/>
      </c>
      <c r="AQ201" s="24" t="str">
        <f>IF(A201="","",IF(M201&lt;&gt;"",0,IF(OR(H201="",N201=""),"",MAX((E201*H201+SUMIFS(加仓管理!$H$2:$H$1001,加仓管理!$A$2:$A$1001,A201))-MAX(N201,AN201)*AP201,0))))</f>
        <v/>
      </c>
      <c r="AR201" s="24" t="str">
        <f>IF(A201="","",IF(OR(E201="",H201=""),"违规：首次买入价格或股数缺失",IF(COUNTIFS(加仓管理!$A$2:$A$1001,A201,加仓管理!$R$2:$R$1001,"违规*")&gt;0,"违规：请检查加仓管理表",IF(SUM($AQ$2:$AQ$201)&gt;账户数据!$B$7,"预警：超过账户风险上限",IF(COUNTIFS(加仓管理!$A$2:$A$1001,A201,加仓管理!$N$2:$N$1001,"&gt;0",加仓管理!$G$2:$G$1001,"")&gt;0,"提示：存在待执行加仓计划","通过")))))</f>
        <v/>
      </c>
    </row>
  </sheetData>
  <phoneticPr fontId="9" type="noConversion"/>
  <conditionalFormatting sqref="G2:G201">
    <cfRule type="expression" dxfId="25" priority="11">
      <formula>$G2="禁止开仓"</formula>
    </cfRule>
    <cfRule type="expression" dxfId="24" priority="12">
      <formula>$G2="允许开仓"</formula>
    </cfRule>
    <cfRule type="expression" dxfId="23" priority="13">
      <formula>LEFT($G2,4)="禁止开仓"</formula>
    </cfRule>
    <cfRule type="expression" dxfId="22" priority="14">
      <formula>$G2="允许开仓（接近锁仓）"</formula>
    </cfRule>
    <cfRule type="expression" dxfId="21" priority="15">
      <formula>$G2="允许开仓"</formula>
    </cfRule>
  </conditionalFormatting>
  <conditionalFormatting sqref="W2:W201">
    <cfRule type="cellIs" dxfId="20" priority="4" operator="lessThan">
      <formula>2</formula>
    </cfRule>
  </conditionalFormatting>
  <conditionalFormatting sqref="X2:X201">
    <cfRule type="cellIs" dxfId="19" priority="2" operator="greaterThan">
      <formula>0</formula>
    </cfRule>
    <cfRule type="cellIs" dxfId="18" priority="3" operator="lessThan">
      <formula>0</formula>
    </cfRule>
  </conditionalFormatting>
  <conditionalFormatting sqref="Y2:Y201">
    <cfRule type="cellIs" dxfId="17" priority="7" operator="greaterThan">
      <formula>0</formula>
    </cfRule>
    <cfRule type="cellIs" dxfId="16" priority="8" operator="lessThan">
      <formula>0</formula>
    </cfRule>
  </conditionalFormatting>
  <conditionalFormatting sqref="AC2:AC201">
    <cfRule type="expression" dxfId="15" priority="5">
      <formula>$AC2="达到或超过上限"</formula>
    </cfRule>
    <cfRule type="expression" dxfId="14" priority="6">
      <formula>$AC2="低于上限"</formula>
    </cfRule>
  </conditionalFormatting>
  <conditionalFormatting sqref="AE2:AE201">
    <cfRule type="cellIs" dxfId="13" priority="9" operator="greaterThan">
      <formula>0</formula>
    </cfRule>
    <cfRule type="cellIs" dxfId="12" priority="10" operator="lessThan">
      <formula>0</formula>
    </cfRule>
  </conditionalFormatting>
  <conditionalFormatting sqref="AJ2:AJ201">
    <cfRule type="expression" dxfId="11" priority="16">
      <formula>$AJ2="周期与交易预期不匹配，请重新确认"</formula>
    </cfRule>
    <cfRule type="expression" dxfId="10" priority="17">
      <formula>$AJ2="匹配"</formula>
    </cfRule>
  </conditionalFormatting>
  <conditionalFormatting sqref="AR2:AR201">
    <cfRule type="expression" dxfId="9" priority="18">
      <formula>LEFT($AR2,2)="违规"</formula>
    </cfRule>
    <cfRule type="expression" dxfId="8" priority="19">
      <formula>$AR2="通过"</formula>
    </cfRule>
  </conditionalFormatting>
  <dataValidations count="10">
    <dataValidation type="list" showErrorMessage="1" errorTitle="预期持有周期无效" error="请从预设的交易日范围中选择" sqref="AH2:AH201" xr:uid="{00000000-0002-0000-0000-000000000000}">
      <formula1>"1～3个交易日,4～10个交易日,11～20个交易日,21～60个交易日,60个交易日以上"</formula1>
    </dataValidation>
    <dataValidation type="list" showErrorMessage="1" errorTitle="交易预期无效" error="请从短期博反弹、突破冲新高、趋势波段中选择" sqref="AG2:AG201" xr:uid="{00000000-0002-0000-0000-000001000000}">
      <formula1>"短期博反弹,突破冲新高,趋势波段"</formula1>
    </dataValidation>
    <dataValidation type="decimal" operator="greaterThan" sqref="C2:C201 E2:E201 N2:N201 J2:K201" xr:uid="{00000000-0002-0000-0000-000002000000}">
      <formula1>0</formula1>
    </dataValidation>
    <dataValidation type="decimal" sqref="D2:D201" xr:uid="{00000000-0002-0000-0000-000003000000}">
      <formula1>0</formula1>
      <formula2>1</formula2>
    </dataValidation>
    <dataValidation type="custom" showErrorMessage="1" errorTitle="当前禁止开仓、计划不完整或风险超限" error="请完成解锁和交易预期，确保股数为100股整数倍，且单笔及账户风险均未超过上限。" sqref="H2:H201" xr:uid="{00000000-0002-0000-0000-000004000000}">
      <formula1>OR(H2="",AND(_LockStatus&lt;&gt;"已锁仓",_LockStatus&lt;&gt;"解锁信息不完整",AG2&lt;&gt;"",AH2&lt;&gt;"",AI2&lt;&gt;"",ISNUMBER(H2),H2&gt;0,H2=INT(H2),MOD(H2,100)=0,AQ2&lt;=C2*D2,SUM($AQ$2:$AQ$201)&lt;=_AccountRiskLimit))</formula1>
    </dataValidation>
    <dataValidation type="date" sqref="I2:I201" xr:uid="{00000000-0002-0000-0000-000005000000}">
      <formula1>DATE(2000,1,1)</formula1>
      <formula2>DATE(2100,12,31)</formula2>
    </dataValidation>
    <dataValidation type="custom" errorTitle="卖出股数应为最终累计股数" error="卖出股数由系统自动带出，等于最终持仓股数。" sqref="L2:L201" xr:uid="{00000000-0002-0000-0000-000006000000}">
      <formula1>OR(L2="",L2=AP2)</formula1>
    </dataValidation>
    <dataValidation type="custom" sqref="M2:M201" xr:uid="{00000000-0002-0000-0000-000007000000}">
      <formula1>OR(M2="",AND(ISNUMBER(M2),M2&gt;=I2))</formula1>
    </dataValidation>
    <dataValidation type="list" sqref="AD2:AD201" xr:uid="{00000000-0002-0000-0000-000008000000}">
      <formula1>"1-差,2-较差,3-一般,4-良好,5-优秀"</formula1>
    </dataValidation>
    <dataValidation type="decimal" operator="greaterThanOrEqual" sqref="O2:P201" xr:uid="{00000000-0002-0000-0000-000009000000}">
      <formula1>0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R1001"/>
  <sheetViews>
    <sheetView showGridLines="0" workbookViewId="0">
      <pane ySplit="1" topLeftCell="A126" activePane="bottomLeft" state="frozen"/>
      <selection pane="bottomLeft" activeCell="H131" sqref="H131"/>
    </sheetView>
  </sheetViews>
  <sheetFormatPr defaultColWidth="8.625" defaultRowHeight="13.5"/>
  <cols>
    <col min="1" max="1" width="16" customWidth="1"/>
    <col min="2" max="3" width="13" customWidth="1"/>
    <col min="4" max="5" width="12" customWidth="1"/>
    <col min="6" max="6" width="17" customWidth="1"/>
    <col min="7" max="8" width="15" customWidth="1"/>
    <col min="9" max="9" width="16" customWidth="1"/>
    <col min="10" max="10" width="17" customWidth="1"/>
    <col min="11" max="11" width="21" customWidth="1"/>
    <col min="12" max="12" width="15" customWidth="1"/>
    <col min="13" max="13" width="17" customWidth="1"/>
    <col min="14" max="14" width="15" customWidth="1"/>
    <col min="15" max="17" width="17" customWidth="1"/>
    <col min="18" max="18" width="32" customWidth="1"/>
  </cols>
  <sheetData>
    <row r="1" spans="1:18" ht="33.75" customHeight="1">
      <c r="A1" s="11" t="s">
        <v>0</v>
      </c>
      <c r="B1" s="11" t="s">
        <v>56</v>
      </c>
      <c r="C1" s="11" t="s">
        <v>57</v>
      </c>
      <c r="D1" s="11" t="s">
        <v>58</v>
      </c>
      <c r="E1" s="11" t="s">
        <v>59</v>
      </c>
      <c r="F1" s="11" t="s">
        <v>60</v>
      </c>
      <c r="G1" s="11" t="s">
        <v>61</v>
      </c>
      <c r="H1" s="11" t="s">
        <v>62</v>
      </c>
      <c r="I1" s="11" t="s">
        <v>63</v>
      </c>
      <c r="J1" s="11" t="s">
        <v>64</v>
      </c>
      <c r="K1" s="11" t="s">
        <v>65</v>
      </c>
      <c r="L1" s="11" t="s">
        <v>66</v>
      </c>
      <c r="M1" s="11" t="s">
        <v>67</v>
      </c>
      <c r="N1" s="11" t="s">
        <v>68</v>
      </c>
      <c r="O1" s="11" t="s">
        <v>69</v>
      </c>
      <c r="P1" s="11" t="s">
        <v>70</v>
      </c>
      <c r="Q1" s="11" t="s">
        <v>71</v>
      </c>
      <c r="R1" s="11" t="s">
        <v>72</v>
      </c>
    </row>
    <row r="2" spans="1:18" ht="27">
      <c r="A2" s="12">
        <v>1</v>
      </c>
      <c r="B2" s="13">
        <v>1</v>
      </c>
      <c r="C2" s="14">
        <v>44028</v>
      </c>
      <c r="D2" s="15">
        <v>20.7</v>
      </c>
      <c r="E2" s="15">
        <v>19.5</v>
      </c>
      <c r="F2" s="15">
        <v>1</v>
      </c>
      <c r="G2" s="13">
        <v>500</v>
      </c>
      <c r="H2" s="16">
        <f t="shared" ref="H2:H65" si="0">IF(OR(A2="",D2="",G2=""),"",D2*G2)</f>
        <v>10350</v>
      </c>
      <c r="I2" s="17">
        <f>IF(OR(A2="",B2=""),"",IFERROR(LOOKUP(2,1/(单次交易!$A$2:$A$201=A2),单次交易!$H$2:$H$201),0)+SUMIFS($G$2:$G$1001,$A$2:$A$1001,A2,$B$2:$B$1001,"&lt;"&amp;B2))</f>
        <v>1100</v>
      </c>
      <c r="J2" s="16">
        <f>IF(OR(A2="",B2=""),"",IFERROR(LOOKUP(2,1/(单次交易!$A$2:$A$201=A2),单次交易!$E$2:$E$201)*LOOKUP(2,1/(单次交易!$A$2:$A$201=A2),单次交易!$H$2:$H$201),0)+SUMIFS($H$2:$H$1001,$A$2:$A$1001,A2,$B$2:$B$1001,"&lt;"&amp;B2))</f>
        <v>22957</v>
      </c>
      <c r="K2" s="16">
        <f t="shared" ref="K2:K65" si="1">IF(OR(E2="",I2="",J2=""),"",MAX(E2*I2-J2,0))</f>
        <v>0</v>
      </c>
      <c r="L2" s="17">
        <f t="shared" ref="L2:L65" si="2">IF(OR(D2="",E2="",F2="",D2&lt;=E2),"",FLOOR((F2+K2)/(D2-E2),100))</f>
        <v>0</v>
      </c>
      <c r="M2" s="17">
        <f t="shared" ref="M2:M65" si="3">IF(OR(A2="",B2="",L2=""),"",IF(B2=1,L2,IFERROR(SUMIFS($G$2:$G$1001,$A$2:$A$1001,A2,$B$2:$B$1001,B2-1),0)))</f>
        <v>0</v>
      </c>
      <c r="N2" s="17">
        <f t="shared" ref="N2:N65" si="4">IF(OR(L2="",M2=""),"",MIN(L2,M2))</f>
        <v>0</v>
      </c>
      <c r="O2" s="17">
        <f t="shared" ref="O2:O65" si="5">IF(OR(I2="",G2=""),"",I2+G2)</f>
        <v>1600</v>
      </c>
      <c r="P2" s="16">
        <f t="shared" ref="P2:P65" si="6">IF(OR(O2="",O2=0),"",(J2+H2)/O2)</f>
        <v>20.816875</v>
      </c>
      <c r="Q2" s="16">
        <f t="shared" ref="Q2:Q65" si="7">IF(OR(O2="",E2=""),"",MAX(J2+H2-E2*O2,0))</f>
        <v>2107</v>
      </c>
      <c r="R2" s="18" t="str">
        <f t="shared" ref="R2:R65" si="8">IF(A2="","",IF(COUNTIF(_TradeIds,A2)=0,"违规：交易编号不存在",IF(OR(B2="",B2&lt;1,B2&gt;5,B2&lt;&gt;INT(B2)),"违规：加仓序号须为1到5的整数",IF(COUNTIFS($A$2:$A$1001,A2,$B$2:$B$1001,B2)&gt;1,"违规：同一交易的加仓序号重复",IF(OR(D2="",E2="",F2=""),"计划不完整：请填写加仓价、新止损价和风险预算",IF(OR(D2&lt;=0,E2&lt;=0,F2&lt;=0,D2&lt;=E2),"违规：加仓价必须高于新止损价，金额须大于0",IF(AND(B2&gt;1,COUNTIFS($A$2:$A$1001,A2,$B$2:$B$1001,B2-1,$G$2:$G$1001,"&gt;0")=0),"违规：须先完成上一次加仓",IF(AND(B2&gt;1,E2&lt;SUMIFS($E$2:$E$1001,$A$2:$A$1001,A2,$B$2:$B$1001,B2-1)),"违规：新止损价不得低于上一次",IF(AND(B2&gt;1,F2&gt;SUMIFS($F$2:$F$1001,$A$2:$A$1001,A2,$B$2:$B$1001,B2-1)),"违规：风险预算须逐次不增加",IF(OR(_LockStatus="已锁仓",_LockStatus="解锁信息不完整"),"违规：锁仓期间禁止加仓",IF(G2="","计划可执行：建议股数见N列",IF(OR(G2&lt;=0,G2&lt;&gt;INT(G2),MOD(G2,100)&lt;&gt;0),"违规：实际股数须为100股整数倍",IF(G2&gt;N2,"违规：实际股数超过风险或金字塔上限",IF(AND(B2&gt;1,G2&gt;SUMIFS($G$2:$G$1001,$A$2:$A$1001,A2,$B$2:$B$1001,B2-1)),"违规：加仓股数须逐次不增加",IF(Q2&gt;F2,"违规：止损风险超过本次预算","通过")))))))))))))))</f>
        <v>违规：实际股数超过风险或金字塔上限</v>
      </c>
    </row>
    <row r="3" spans="1:18" ht="27">
      <c r="A3" s="12">
        <v>1</v>
      </c>
      <c r="B3" s="13">
        <v>2</v>
      </c>
      <c r="C3" s="14">
        <v>44032</v>
      </c>
      <c r="D3" s="15">
        <v>24</v>
      </c>
      <c r="E3" s="15">
        <v>22</v>
      </c>
      <c r="F3" s="15">
        <v>1</v>
      </c>
      <c r="G3" s="13">
        <v>1000</v>
      </c>
      <c r="H3" s="16">
        <f t="shared" si="0"/>
        <v>24000</v>
      </c>
      <c r="I3" s="17">
        <f>IF(OR(A3="",B3=""),"",IFERROR(LOOKUP(2,1/(单次交易!$A$2:$A$201=A3),单次交易!$H$2:$H$201),0)+SUMIFS($G$2:$G$1001,$A$2:$A$1001,A3,$B$2:$B$1001,"&lt;"&amp;B3))</f>
        <v>1600</v>
      </c>
      <c r="J3" s="16">
        <f>IF(OR(A3="",B3=""),"",IFERROR(LOOKUP(2,1/(单次交易!$A$2:$A$201=A3),单次交易!$E$2:$E$201)*LOOKUP(2,1/(单次交易!$A$2:$A$201=A3),单次交易!$H$2:$H$201),0)+SUMIFS($H$2:$H$1001,$A$2:$A$1001,A3,$B$2:$B$1001,"&lt;"&amp;B3))</f>
        <v>33307</v>
      </c>
      <c r="K3" s="16">
        <f t="shared" si="1"/>
        <v>1893</v>
      </c>
      <c r="L3" s="17">
        <f t="shared" si="2"/>
        <v>900</v>
      </c>
      <c r="M3" s="17">
        <f t="shared" si="3"/>
        <v>500</v>
      </c>
      <c r="N3" s="17">
        <f t="shared" si="4"/>
        <v>500</v>
      </c>
      <c r="O3" s="17">
        <f t="shared" si="5"/>
        <v>2600</v>
      </c>
      <c r="P3" s="16">
        <f t="shared" si="6"/>
        <v>22.041153846153847</v>
      </c>
      <c r="Q3" s="16">
        <f t="shared" si="7"/>
        <v>107</v>
      </c>
      <c r="R3" s="18" t="str">
        <f t="shared" si="8"/>
        <v>违规：实际股数超过风险或金字塔上限</v>
      </c>
    </row>
    <row r="4" spans="1:18" ht="27">
      <c r="A4" s="12">
        <v>2</v>
      </c>
      <c r="B4" s="13">
        <v>1</v>
      </c>
      <c r="C4" s="14">
        <v>44200</v>
      </c>
      <c r="D4" s="15">
        <v>19.05</v>
      </c>
      <c r="E4" s="15">
        <v>18</v>
      </c>
      <c r="F4" s="15">
        <v>1</v>
      </c>
      <c r="G4" s="13">
        <v>1000</v>
      </c>
      <c r="H4" s="16">
        <f t="shared" si="0"/>
        <v>19050</v>
      </c>
      <c r="I4" s="17">
        <f>IF(OR(A4="",B4=""),"",IFERROR(LOOKUP(2,1/(单次交易!$A$2:$A$201=A4),单次交易!$H$2:$H$201),0)+SUMIFS($G$2:$G$1001,$A$2:$A$1001,A4,$B$2:$B$1001,"&lt;"&amp;B4))</f>
        <v>1000</v>
      </c>
      <c r="J4" s="16">
        <f>IF(OR(A4="",B4=""),"",IFERROR(LOOKUP(2,1/(单次交易!$A$2:$A$201=A4),单次交易!$E$2:$E$201)*LOOKUP(2,1/(单次交易!$A$2:$A$201=A4),单次交易!$H$2:$H$201),0)+SUMIFS($H$2:$H$1001,$A$2:$A$1001,A4,$B$2:$B$1001,"&lt;"&amp;B4))</f>
        <v>17880</v>
      </c>
      <c r="K4" s="16">
        <f t="shared" si="1"/>
        <v>120</v>
      </c>
      <c r="L4" s="17">
        <f t="shared" si="2"/>
        <v>100</v>
      </c>
      <c r="M4" s="17">
        <f t="shared" si="3"/>
        <v>100</v>
      </c>
      <c r="N4" s="17">
        <f t="shared" si="4"/>
        <v>100</v>
      </c>
      <c r="O4" s="17">
        <f t="shared" si="5"/>
        <v>2000</v>
      </c>
      <c r="P4" s="16">
        <f t="shared" si="6"/>
        <v>18.465</v>
      </c>
      <c r="Q4" s="16">
        <f t="shared" si="7"/>
        <v>930</v>
      </c>
      <c r="R4" s="18" t="str">
        <f t="shared" si="8"/>
        <v>违规：实际股数超过风险或金字塔上限</v>
      </c>
    </row>
    <row r="5" spans="1:18">
      <c r="A5" s="12">
        <v>2</v>
      </c>
      <c r="B5" s="13">
        <v>2</v>
      </c>
      <c r="C5" s="14">
        <v>44222</v>
      </c>
      <c r="D5" s="15">
        <v>17.21</v>
      </c>
      <c r="E5" s="15">
        <v>16.5</v>
      </c>
      <c r="F5" s="15">
        <v>1</v>
      </c>
      <c r="G5" s="13">
        <v>1000</v>
      </c>
      <c r="H5" s="16">
        <f t="shared" si="0"/>
        <v>17210</v>
      </c>
      <c r="I5" s="17">
        <f>IF(OR(A5="",B5=""),"",IFERROR(LOOKUP(2,1/(单次交易!$A$2:$A$201=A5),单次交易!$H$2:$H$201),0)+SUMIFS($G$2:$G$1001,$A$2:$A$1001,A5,$B$2:$B$1001,"&lt;"&amp;B5))</f>
        <v>2000</v>
      </c>
      <c r="J5" s="16">
        <f>IF(OR(A5="",B5=""),"",IFERROR(LOOKUP(2,1/(单次交易!$A$2:$A$201=A5),单次交易!$E$2:$E$201)*LOOKUP(2,1/(单次交易!$A$2:$A$201=A5),单次交易!$H$2:$H$201),0)+SUMIFS($H$2:$H$1001,$A$2:$A$1001,A5,$B$2:$B$1001,"&lt;"&amp;B5))</f>
        <v>36930</v>
      </c>
      <c r="K5" s="16">
        <f t="shared" si="1"/>
        <v>0</v>
      </c>
      <c r="L5" s="17">
        <f t="shared" si="2"/>
        <v>0</v>
      </c>
      <c r="M5" s="17">
        <f t="shared" si="3"/>
        <v>1000</v>
      </c>
      <c r="N5" s="17">
        <f t="shared" si="4"/>
        <v>0</v>
      </c>
      <c r="O5" s="17">
        <f t="shared" si="5"/>
        <v>3000</v>
      </c>
      <c r="P5" s="16">
        <f t="shared" si="6"/>
        <v>18.046666666666667</v>
      </c>
      <c r="Q5" s="16">
        <f t="shared" si="7"/>
        <v>4640</v>
      </c>
      <c r="R5" s="18" t="str">
        <f t="shared" si="8"/>
        <v>违规：新止损价不得低于上一次</v>
      </c>
    </row>
    <row r="6" spans="1:18">
      <c r="A6" s="12">
        <v>3</v>
      </c>
      <c r="B6" s="13">
        <v>1</v>
      </c>
      <c r="C6" s="14">
        <v>44295</v>
      </c>
      <c r="D6" s="15">
        <v>17.3</v>
      </c>
      <c r="E6" s="15">
        <v>16.5</v>
      </c>
      <c r="F6" s="15">
        <v>1</v>
      </c>
      <c r="G6" s="13">
        <v>1000</v>
      </c>
      <c r="H6" s="16">
        <f t="shared" si="0"/>
        <v>17300</v>
      </c>
      <c r="I6" s="17">
        <f>IF(OR(A6="",B6=""),"",IFERROR(LOOKUP(2,1/(单次交易!$A$2:$A$201=A6),单次交易!$H$2:$H$201),0)+SUMIFS($G$2:$G$1001,$A$2:$A$1001,A6,$B$2:$B$1001,"&lt;"&amp;B6))</f>
        <v>2900</v>
      </c>
      <c r="J6" s="16">
        <f>IF(OR(A6="",B6=""),"",IFERROR(LOOKUP(2,1/(单次交易!$A$2:$A$201=A6),单次交易!$E$2:$E$201)*LOOKUP(2,1/(单次交易!$A$2:$A$201=A6),单次交易!$H$2:$H$201),0)+SUMIFS($H$2:$H$1001,$A$2:$A$1001,A6,$B$2:$B$1001,"&lt;"&amp;B6))</f>
        <v>43848</v>
      </c>
      <c r="K6" s="16">
        <f t="shared" si="1"/>
        <v>4002</v>
      </c>
      <c r="L6" s="17">
        <f t="shared" si="2"/>
        <v>5000</v>
      </c>
      <c r="M6" s="17">
        <f t="shared" si="3"/>
        <v>5000</v>
      </c>
      <c r="N6" s="17">
        <f t="shared" si="4"/>
        <v>5000</v>
      </c>
      <c r="O6" s="17">
        <f t="shared" si="5"/>
        <v>3900</v>
      </c>
      <c r="P6" s="16">
        <f t="shared" si="6"/>
        <v>15.67897435897436</v>
      </c>
      <c r="Q6" s="16">
        <f t="shared" si="7"/>
        <v>0</v>
      </c>
      <c r="R6" s="18" t="str">
        <f t="shared" si="8"/>
        <v>通过</v>
      </c>
    </row>
    <row r="7" spans="1:18">
      <c r="A7" s="12">
        <v>3</v>
      </c>
      <c r="B7" s="13">
        <v>2</v>
      </c>
      <c r="C7" s="14">
        <v>44302</v>
      </c>
      <c r="D7" s="15">
        <v>18.350000000000001</v>
      </c>
      <c r="E7" s="15">
        <v>17</v>
      </c>
      <c r="F7" s="15">
        <v>1</v>
      </c>
      <c r="G7" s="13">
        <v>500</v>
      </c>
      <c r="H7" s="16">
        <f t="shared" si="0"/>
        <v>9175</v>
      </c>
      <c r="I7" s="17">
        <f>IF(OR(A7="",B7=""),"",IFERROR(LOOKUP(2,1/(单次交易!$A$2:$A$201=A7),单次交易!$H$2:$H$201),0)+SUMIFS($G$2:$G$1001,$A$2:$A$1001,A7,$B$2:$B$1001,"&lt;"&amp;B7))</f>
        <v>3900</v>
      </c>
      <c r="J7" s="16">
        <f>IF(OR(A7="",B7=""),"",IFERROR(LOOKUP(2,1/(单次交易!$A$2:$A$201=A7),单次交易!$E$2:$E$201)*LOOKUP(2,1/(单次交易!$A$2:$A$201=A7),单次交易!$H$2:$H$201),0)+SUMIFS($H$2:$H$1001,$A$2:$A$1001,A7,$B$2:$B$1001,"&lt;"&amp;B7))</f>
        <v>61148</v>
      </c>
      <c r="K7" s="16">
        <f t="shared" si="1"/>
        <v>5152</v>
      </c>
      <c r="L7" s="17">
        <f t="shared" si="2"/>
        <v>3800</v>
      </c>
      <c r="M7" s="17">
        <f t="shared" si="3"/>
        <v>1000</v>
      </c>
      <c r="N7" s="17">
        <f t="shared" si="4"/>
        <v>1000</v>
      </c>
      <c r="O7" s="17">
        <f t="shared" si="5"/>
        <v>4400</v>
      </c>
      <c r="P7" s="16">
        <f t="shared" si="6"/>
        <v>15.9825</v>
      </c>
      <c r="Q7" s="16">
        <f t="shared" si="7"/>
        <v>0</v>
      </c>
      <c r="R7" s="18" t="str">
        <f t="shared" si="8"/>
        <v>通过</v>
      </c>
    </row>
    <row r="8" spans="1:18">
      <c r="A8" s="12">
        <v>3</v>
      </c>
      <c r="B8" s="13">
        <v>3</v>
      </c>
      <c r="C8" s="14">
        <v>44316</v>
      </c>
      <c r="D8" s="15">
        <v>15.42</v>
      </c>
      <c r="E8" s="15">
        <v>14.81</v>
      </c>
      <c r="F8" s="15">
        <v>1</v>
      </c>
      <c r="G8" s="13">
        <v>1300</v>
      </c>
      <c r="H8" s="16">
        <f t="shared" si="0"/>
        <v>20046</v>
      </c>
      <c r="I8" s="17">
        <f>IF(OR(A8="",B8=""),"",IFERROR(LOOKUP(2,1/(单次交易!$A$2:$A$201=A8),单次交易!$H$2:$H$201),0)+SUMIFS($G$2:$G$1001,$A$2:$A$1001,A8,$B$2:$B$1001,"&lt;"&amp;B8))</f>
        <v>4400</v>
      </c>
      <c r="J8" s="16">
        <f>IF(OR(A8="",B8=""),"",IFERROR(LOOKUP(2,1/(单次交易!$A$2:$A$201=A8),单次交易!$E$2:$E$201)*LOOKUP(2,1/(单次交易!$A$2:$A$201=A8),单次交易!$H$2:$H$201),0)+SUMIFS($H$2:$H$1001,$A$2:$A$1001,A8,$B$2:$B$1001,"&lt;"&amp;B8))</f>
        <v>70323</v>
      </c>
      <c r="K8" s="16">
        <f t="shared" si="1"/>
        <v>0</v>
      </c>
      <c r="L8" s="17">
        <f t="shared" si="2"/>
        <v>0</v>
      </c>
      <c r="M8" s="17">
        <f t="shared" si="3"/>
        <v>500</v>
      </c>
      <c r="N8" s="17">
        <f t="shared" si="4"/>
        <v>0</v>
      </c>
      <c r="O8" s="17">
        <f t="shared" si="5"/>
        <v>5700</v>
      </c>
      <c r="P8" s="16">
        <f t="shared" si="6"/>
        <v>15.854210526315789</v>
      </c>
      <c r="Q8" s="16">
        <f t="shared" si="7"/>
        <v>5952</v>
      </c>
      <c r="R8" s="18" t="str">
        <f t="shared" si="8"/>
        <v>违规：新止损价不得低于上一次</v>
      </c>
    </row>
    <row r="9" spans="1:18">
      <c r="A9" s="12">
        <v>4</v>
      </c>
      <c r="B9" s="13">
        <v>1</v>
      </c>
      <c r="C9" s="14">
        <v>44440</v>
      </c>
      <c r="D9" s="15">
        <v>17.2</v>
      </c>
      <c r="E9" s="15">
        <v>16.5</v>
      </c>
      <c r="F9" s="15">
        <v>1</v>
      </c>
      <c r="G9" s="13">
        <v>1000</v>
      </c>
      <c r="H9" s="16">
        <f t="shared" si="0"/>
        <v>17200</v>
      </c>
      <c r="I9" s="17">
        <f>IF(OR(A9="",B9=""),"",IFERROR(LOOKUP(2,1/(单次交易!$A$2:$A$201=A9),单次交易!$H$2:$H$201),0)+SUMIFS($G$2:$G$1001,$A$2:$A$1001,A9,$B$2:$B$1001,"&lt;"&amp;B9))</f>
        <v>2500</v>
      </c>
      <c r="J9" s="16">
        <f>IF(OR(A9="",B9=""),"",IFERROR(LOOKUP(2,1/(单次交易!$A$2:$A$201=A9),单次交易!$E$2:$E$201)*LOOKUP(2,1/(单次交易!$A$2:$A$201=A9),单次交易!$H$2:$H$201),0)+SUMIFS($H$2:$H$1001,$A$2:$A$1001,A9,$B$2:$B$1001,"&lt;"&amp;B9))</f>
        <v>39050</v>
      </c>
      <c r="K9" s="16">
        <f t="shared" si="1"/>
        <v>2200</v>
      </c>
      <c r="L9" s="17">
        <f t="shared" si="2"/>
        <v>3100</v>
      </c>
      <c r="M9" s="17">
        <f t="shared" si="3"/>
        <v>3100</v>
      </c>
      <c r="N9" s="17">
        <f t="shared" si="4"/>
        <v>3100</v>
      </c>
      <c r="O9" s="17">
        <f t="shared" si="5"/>
        <v>3500</v>
      </c>
      <c r="P9" s="16">
        <f t="shared" si="6"/>
        <v>16.071428571428573</v>
      </c>
      <c r="Q9" s="16">
        <f t="shared" si="7"/>
        <v>0</v>
      </c>
      <c r="R9" s="18" t="str">
        <f t="shared" si="8"/>
        <v>通过</v>
      </c>
    </row>
    <row r="10" spans="1:18">
      <c r="A10" s="12">
        <v>4</v>
      </c>
      <c r="B10" s="13">
        <v>2</v>
      </c>
      <c r="C10" s="14">
        <v>44449</v>
      </c>
      <c r="D10" s="15">
        <v>16.88</v>
      </c>
      <c r="E10" s="15">
        <v>16</v>
      </c>
      <c r="F10" s="15">
        <v>1</v>
      </c>
      <c r="G10" s="13">
        <v>1000</v>
      </c>
      <c r="H10" s="16">
        <f t="shared" si="0"/>
        <v>16880</v>
      </c>
      <c r="I10" s="17">
        <f>IF(OR(A10="",B10=""),"",IFERROR(LOOKUP(2,1/(单次交易!$A$2:$A$201=A10),单次交易!$H$2:$H$201),0)+SUMIFS($G$2:$G$1001,$A$2:$A$1001,A10,$B$2:$B$1001,"&lt;"&amp;B10))</f>
        <v>3500</v>
      </c>
      <c r="J10" s="16">
        <f>IF(OR(A10="",B10=""),"",IFERROR(LOOKUP(2,1/(单次交易!$A$2:$A$201=A10),单次交易!$E$2:$E$201)*LOOKUP(2,1/(单次交易!$A$2:$A$201=A10),单次交易!$H$2:$H$201),0)+SUMIFS($H$2:$H$1001,$A$2:$A$1001,A10,$B$2:$B$1001,"&lt;"&amp;B10))</f>
        <v>56250</v>
      </c>
      <c r="K10" s="16">
        <f t="shared" si="1"/>
        <v>0</v>
      </c>
      <c r="L10" s="17">
        <f t="shared" si="2"/>
        <v>0</v>
      </c>
      <c r="M10" s="17">
        <f t="shared" si="3"/>
        <v>1000</v>
      </c>
      <c r="N10" s="17">
        <f t="shared" si="4"/>
        <v>0</v>
      </c>
      <c r="O10" s="17">
        <f t="shared" si="5"/>
        <v>4500</v>
      </c>
      <c r="P10" s="16">
        <f t="shared" si="6"/>
        <v>16.251111111111111</v>
      </c>
      <c r="Q10" s="16">
        <f t="shared" si="7"/>
        <v>1130</v>
      </c>
      <c r="R10" s="18" t="str">
        <f t="shared" si="8"/>
        <v>违规：新止损价不得低于上一次</v>
      </c>
    </row>
    <row r="11" spans="1:18" ht="27">
      <c r="A11" s="12">
        <v>4</v>
      </c>
      <c r="B11" s="13">
        <v>3</v>
      </c>
      <c r="C11" s="14">
        <v>44453</v>
      </c>
      <c r="D11" s="15">
        <v>16.079999999999998</v>
      </c>
      <c r="E11" s="15">
        <v>16</v>
      </c>
      <c r="F11" s="15">
        <v>1</v>
      </c>
      <c r="G11" s="13">
        <v>400</v>
      </c>
      <c r="H11" s="16">
        <f t="shared" si="0"/>
        <v>6432</v>
      </c>
      <c r="I11" s="17">
        <f>IF(OR(A11="",B11=""),"",IFERROR(LOOKUP(2,1/(单次交易!$A$2:$A$201=A11),单次交易!$H$2:$H$201),0)+SUMIFS($G$2:$G$1001,$A$2:$A$1001,A11,$B$2:$B$1001,"&lt;"&amp;B11))</f>
        <v>4500</v>
      </c>
      <c r="J11" s="16">
        <f>IF(OR(A11="",B11=""),"",IFERROR(LOOKUP(2,1/(单次交易!$A$2:$A$201=A11),单次交易!$E$2:$E$201)*LOOKUP(2,1/(单次交易!$A$2:$A$201=A11),单次交易!$H$2:$H$201),0)+SUMIFS($H$2:$H$1001,$A$2:$A$1001,A11,$B$2:$B$1001,"&lt;"&amp;B11))</f>
        <v>73130</v>
      </c>
      <c r="K11" s="16">
        <f t="shared" si="1"/>
        <v>0</v>
      </c>
      <c r="L11" s="17">
        <f t="shared" si="2"/>
        <v>0</v>
      </c>
      <c r="M11" s="17">
        <f t="shared" si="3"/>
        <v>1000</v>
      </c>
      <c r="N11" s="17">
        <f t="shared" si="4"/>
        <v>0</v>
      </c>
      <c r="O11" s="17">
        <f t="shared" si="5"/>
        <v>4900</v>
      </c>
      <c r="P11" s="16">
        <f t="shared" si="6"/>
        <v>16.237142857142857</v>
      </c>
      <c r="Q11" s="16">
        <f t="shared" si="7"/>
        <v>1162</v>
      </c>
      <c r="R11" s="18" t="str">
        <f t="shared" si="8"/>
        <v>违规：实际股数超过风险或金字塔上限</v>
      </c>
    </row>
    <row r="12" spans="1:18">
      <c r="A12" s="12">
        <v>5</v>
      </c>
      <c r="B12" s="13">
        <v>1</v>
      </c>
      <c r="C12" s="14">
        <v>44826</v>
      </c>
      <c r="D12" s="15">
        <v>12.39</v>
      </c>
      <c r="E12" s="15">
        <v>11.5</v>
      </c>
      <c r="F12" s="15">
        <v>1</v>
      </c>
      <c r="G12" s="13">
        <v>1000</v>
      </c>
      <c r="H12" s="16">
        <f t="shared" si="0"/>
        <v>12390</v>
      </c>
      <c r="I12" s="17">
        <f>IF(OR(A12="",B12=""),"",IFERROR(LOOKUP(2,1/(单次交易!$A$2:$A$201=A12),单次交易!$H$2:$H$201),0)+SUMIFS($G$2:$G$1001,$A$2:$A$1001,A12,$B$2:$B$1001,"&lt;"&amp;B12))</f>
        <v>1700</v>
      </c>
      <c r="J12" s="16">
        <f>IF(OR(A12="",B12=""),"",IFERROR(LOOKUP(2,1/(单次交易!$A$2:$A$201=A12),单次交易!$E$2:$E$201)*LOOKUP(2,1/(单次交易!$A$2:$A$201=A12),单次交易!$H$2:$H$201),0)+SUMIFS($H$2:$H$1001,$A$2:$A$1001,A12,$B$2:$B$1001,"&lt;"&amp;B12))</f>
        <v>18003</v>
      </c>
      <c r="K12" s="16">
        <f t="shared" si="1"/>
        <v>1547</v>
      </c>
      <c r="L12" s="17">
        <f t="shared" si="2"/>
        <v>1700</v>
      </c>
      <c r="M12" s="17">
        <f t="shared" si="3"/>
        <v>1700</v>
      </c>
      <c r="N12" s="17">
        <f t="shared" si="4"/>
        <v>1700</v>
      </c>
      <c r="O12" s="17">
        <f t="shared" si="5"/>
        <v>2700</v>
      </c>
      <c r="P12" s="16">
        <f t="shared" si="6"/>
        <v>11.256666666666666</v>
      </c>
      <c r="Q12" s="16">
        <f t="shared" si="7"/>
        <v>0</v>
      </c>
      <c r="R12" s="18" t="str">
        <f t="shared" si="8"/>
        <v>通过</v>
      </c>
    </row>
    <row r="13" spans="1:18">
      <c r="A13" s="12">
        <v>5</v>
      </c>
      <c r="B13" s="13">
        <v>2</v>
      </c>
      <c r="C13" s="14">
        <v>44825</v>
      </c>
      <c r="D13" s="15">
        <v>10.66</v>
      </c>
      <c r="E13" s="15">
        <v>10</v>
      </c>
      <c r="F13" s="15">
        <v>1</v>
      </c>
      <c r="G13" s="13">
        <v>2000</v>
      </c>
      <c r="H13" s="16">
        <f t="shared" si="0"/>
        <v>21320</v>
      </c>
      <c r="I13" s="17">
        <f>IF(OR(A13="",B13=""),"",IFERROR(LOOKUP(2,1/(单次交易!$A$2:$A$201=A13),单次交易!$H$2:$H$201),0)+SUMIFS($G$2:$G$1001,$A$2:$A$1001,A13,$B$2:$B$1001,"&lt;"&amp;B13))</f>
        <v>2700</v>
      </c>
      <c r="J13" s="16">
        <f>IF(OR(A13="",B13=""),"",IFERROR(LOOKUP(2,1/(单次交易!$A$2:$A$201=A13),单次交易!$E$2:$E$201)*LOOKUP(2,1/(单次交易!$A$2:$A$201=A13),单次交易!$H$2:$H$201),0)+SUMIFS($H$2:$H$1001,$A$2:$A$1001,A13,$B$2:$B$1001,"&lt;"&amp;B13))</f>
        <v>30393</v>
      </c>
      <c r="K13" s="16">
        <f t="shared" si="1"/>
        <v>0</v>
      </c>
      <c r="L13" s="17">
        <f t="shared" si="2"/>
        <v>0</v>
      </c>
      <c r="M13" s="17">
        <f t="shared" si="3"/>
        <v>1000</v>
      </c>
      <c r="N13" s="17">
        <f t="shared" si="4"/>
        <v>0</v>
      </c>
      <c r="O13" s="17">
        <f t="shared" si="5"/>
        <v>4700</v>
      </c>
      <c r="P13" s="16">
        <f t="shared" si="6"/>
        <v>11.002765957446808</v>
      </c>
      <c r="Q13" s="16">
        <f t="shared" si="7"/>
        <v>4713</v>
      </c>
      <c r="R13" s="18" t="str">
        <f t="shared" si="8"/>
        <v>违规：新止损价不得低于上一次</v>
      </c>
    </row>
    <row r="14" spans="1:18" ht="27">
      <c r="A14" s="12">
        <v>6</v>
      </c>
      <c r="B14" s="13">
        <v>1</v>
      </c>
      <c r="C14" s="14">
        <v>44979</v>
      </c>
      <c r="D14" s="15">
        <v>14.02</v>
      </c>
      <c r="E14" s="15">
        <v>12.5</v>
      </c>
      <c r="F14" s="15">
        <v>1</v>
      </c>
      <c r="G14" s="13">
        <v>1000</v>
      </c>
      <c r="H14" s="16">
        <f t="shared" si="0"/>
        <v>14020</v>
      </c>
      <c r="I14" s="17">
        <f>IF(OR(A14="",B14=""),"",IFERROR(LOOKUP(2,1/(单次交易!$A$2:$A$201=A14),单次交易!$H$2:$H$201),0)+SUMIFS($G$2:$G$1001,$A$2:$A$1001,A14,$B$2:$B$1001,"&lt;"&amp;B14))</f>
        <v>1000</v>
      </c>
      <c r="J14" s="16">
        <f>IF(OR(A14="",B14=""),"",IFERROR(LOOKUP(2,1/(单次交易!$A$2:$A$201=A14),单次交易!$E$2:$E$201)*LOOKUP(2,1/(单次交易!$A$2:$A$201=A14),单次交易!$H$2:$H$201),0)+SUMIFS($H$2:$H$1001,$A$2:$A$1001,A14,$B$2:$B$1001,"&lt;"&amp;B14))</f>
        <v>12500</v>
      </c>
      <c r="K14" s="16">
        <f t="shared" si="1"/>
        <v>0</v>
      </c>
      <c r="L14" s="17">
        <f t="shared" si="2"/>
        <v>0</v>
      </c>
      <c r="M14" s="17">
        <f t="shared" si="3"/>
        <v>0</v>
      </c>
      <c r="N14" s="17">
        <f t="shared" si="4"/>
        <v>0</v>
      </c>
      <c r="O14" s="17">
        <f t="shared" si="5"/>
        <v>2000</v>
      </c>
      <c r="P14" s="16">
        <f t="shared" si="6"/>
        <v>13.26</v>
      </c>
      <c r="Q14" s="16">
        <f t="shared" si="7"/>
        <v>1520</v>
      </c>
      <c r="R14" s="18" t="str">
        <f t="shared" si="8"/>
        <v>违规：实际股数超过风险或金字塔上限</v>
      </c>
    </row>
    <row r="15" spans="1:18" ht="27">
      <c r="A15" s="12">
        <v>6</v>
      </c>
      <c r="B15" s="13">
        <v>2</v>
      </c>
      <c r="C15" s="14">
        <v>44987</v>
      </c>
      <c r="D15" s="15">
        <v>15.71</v>
      </c>
      <c r="E15" s="15">
        <v>14.02</v>
      </c>
      <c r="F15" s="15">
        <v>1</v>
      </c>
      <c r="G15" s="13">
        <v>1000</v>
      </c>
      <c r="H15" s="16">
        <f t="shared" si="0"/>
        <v>15710</v>
      </c>
      <c r="I15" s="17">
        <f>IF(OR(A15="",B15=""),"",IFERROR(LOOKUP(2,1/(单次交易!$A$2:$A$201=A15),单次交易!$H$2:$H$201),0)+SUMIFS($G$2:$G$1001,$A$2:$A$1001,A15,$B$2:$B$1001,"&lt;"&amp;B15))</f>
        <v>2000</v>
      </c>
      <c r="J15" s="16">
        <f>IF(OR(A15="",B15=""),"",IFERROR(LOOKUP(2,1/(单次交易!$A$2:$A$201=A15),单次交易!$E$2:$E$201)*LOOKUP(2,1/(单次交易!$A$2:$A$201=A15),单次交易!$H$2:$H$201),0)+SUMIFS($H$2:$H$1001,$A$2:$A$1001,A15,$B$2:$B$1001,"&lt;"&amp;B15))</f>
        <v>26520</v>
      </c>
      <c r="K15" s="16">
        <f t="shared" si="1"/>
        <v>1520</v>
      </c>
      <c r="L15" s="17">
        <f t="shared" si="2"/>
        <v>800</v>
      </c>
      <c r="M15" s="17">
        <f t="shared" si="3"/>
        <v>1000</v>
      </c>
      <c r="N15" s="17">
        <f t="shared" si="4"/>
        <v>800</v>
      </c>
      <c r="O15" s="17">
        <f t="shared" si="5"/>
        <v>3000</v>
      </c>
      <c r="P15" s="16">
        <f t="shared" si="6"/>
        <v>14.076666666666666</v>
      </c>
      <c r="Q15" s="16">
        <f t="shared" si="7"/>
        <v>170</v>
      </c>
      <c r="R15" s="18" t="str">
        <f t="shared" si="8"/>
        <v>违规：实际股数超过风险或金字塔上限</v>
      </c>
    </row>
    <row r="16" spans="1:18">
      <c r="A16" s="12">
        <v>10</v>
      </c>
      <c r="B16" s="13">
        <v>1</v>
      </c>
      <c r="C16" s="14">
        <v>45503</v>
      </c>
      <c r="D16" s="15">
        <v>16.8</v>
      </c>
      <c r="E16" s="15">
        <v>16</v>
      </c>
      <c r="F16" s="15">
        <v>1</v>
      </c>
      <c r="G16" s="13">
        <v>1000</v>
      </c>
      <c r="H16" s="16">
        <f t="shared" si="0"/>
        <v>16800</v>
      </c>
      <c r="I16" s="17">
        <f>IF(OR(A16="",B16=""),"",IFERROR(LOOKUP(2,1/(单次交易!$A$2:$A$201=A16),单次交易!$H$2:$H$201),0)+SUMIFS($G$2:$G$1001,$A$2:$A$1001,A16,$B$2:$B$1001,"&lt;"&amp;B16))</f>
        <v>1500</v>
      </c>
      <c r="J16" s="16">
        <f>IF(OR(A16="",B16=""),"",IFERROR(LOOKUP(2,1/(单次交易!$A$2:$A$201=A16),单次交易!$E$2:$E$201)*LOOKUP(2,1/(单次交易!$A$2:$A$201=A16),单次交易!$H$2:$H$201),0)+SUMIFS($H$2:$H$1001,$A$2:$A$1001,A16,$B$2:$B$1001,"&lt;"&amp;B16))</f>
        <v>22905</v>
      </c>
      <c r="K16" s="16">
        <f t="shared" si="1"/>
        <v>1095</v>
      </c>
      <c r="L16" s="17">
        <f t="shared" si="2"/>
        <v>1300</v>
      </c>
      <c r="M16" s="17">
        <f t="shared" si="3"/>
        <v>1300</v>
      </c>
      <c r="N16" s="17">
        <f t="shared" si="4"/>
        <v>1300</v>
      </c>
      <c r="O16" s="17">
        <f t="shared" si="5"/>
        <v>2500</v>
      </c>
      <c r="P16" s="16">
        <f t="shared" si="6"/>
        <v>15.882</v>
      </c>
      <c r="Q16" s="16">
        <f t="shared" si="7"/>
        <v>0</v>
      </c>
      <c r="R16" s="18" t="str">
        <f t="shared" si="8"/>
        <v>通过</v>
      </c>
    </row>
    <row r="17" spans="1:18">
      <c r="A17" s="12">
        <v>10</v>
      </c>
      <c r="B17" s="13">
        <v>2</v>
      </c>
      <c r="C17" s="14">
        <v>45506</v>
      </c>
      <c r="D17" s="15">
        <v>17.86</v>
      </c>
      <c r="E17" s="15">
        <v>16.5</v>
      </c>
      <c r="F17" s="15">
        <v>1</v>
      </c>
      <c r="G17" s="13">
        <v>1000</v>
      </c>
      <c r="H17" s="16">
        <f t="shared" si="0"/>
        <v>17860</v>
      </c>
      <c r="I17" s="17">
        <f>IF(OR(A17="",B17=""),"",IFERROR(LOOKUP(2,1/(单次交易!$A$2:$A$201=A17),单次交易!$H$2:$H$201),0)+SUMIFS($G$2:$G$1001,$A$2:$A$1001,A17,$B$2:$B$1001,"&lt;"&amp;B17))</f>
        <v>2500</v>
      </c>
      <c r="J17" s="16">
        <f>IF(OR(A17="",B17=""),"",IFERROR(LOOKUP(2,1/(单次交易!$A$2:$A$201=A17),单次交易!$E$2:$E$201)*LOOKUP(2,1/(单次交易!$A$2:$A$201=A17),单次交易!$H$2:$H$201),0)+SUMIFS($H$2:$H$1001,$A$2:$A$1001,A17,$B$2:$B$1001,"&lt;"&amp;B17))</f>
        <v>39705</v>
      </c>
      <c r="K17" s="16">
        <f t="shared" si="1"/>
        <v>1545</v>
      </c>
      <c r="L17" s="17">
        <f t="shared" si="2"/>
        <v>1100</v>
      </c>
      <c r="M17" s="17">
        <f t="shared" si="3"/>
        <v>1000</v>
      </c>
      <c r="N17" s="17">
        <f t="shared" si="4"/>
        <v>1000</v>
      </c>
      <c r="O17" s="17">
        <f t="shared" si="5"/>
        <v>3500</v>
      </c>
      <c r="P17" s="16">
        <f t="shared" si="6"/>
        <v>16.447142857142858</v>
      </c>
      <c r="Q17" s="16">
        <f t="shared" si="7"/>
        <v>0</v>
      </c>
      <c r="R17" s="18" t="str">
        <f t="shared" si="8"/>
        <v>通过</v>
      </c>
    </row>
    <row r="18" spans="1:18" ht="27">
      <c r="A18" s="12">
        <v>11</v>
      </c>
      <c r="B18" s="13">
        <v>1</v>
      </c>
      <c r="C18" s="14">
        <v>45604</v>
      </c>
      <c r="D18" s="15">
        <v>22.38</v>
      </c>
      <c r="E18" s="15">
        <v>20</v>
      </c>
      <c r="F18" s="15">
        <v>1</v>
      </c>
      <c r="G18" s="13">
        <v>500</v>
      </c>
      <c r="H18" s="16">
        <f t="shared" si="0"/>
        <v>11190</v>
      </c>
      <c r="I18" s="17">
        <f>IF(OR(A18="",B18=""),"",IFERROR(LOOKUP(2,1/(单次交易!$A$2:$A$201=A18),单次交易!$H$2:$H$201),0)+SUMIFS($G$2:$G$1001,$A$2:$A$1001,A18,$B$2:$B$1001,"&lt;"&amp;B18))</f>
        <v>1300</v>
      </c>
      <c r="J18" s="16">
        <f>IF(OR(A18="",B18=""),"",IFERROR(LOOKUP(2,1/(单次交易!$A$2:$A$201=A18),单次交易!$E$2:$E$201)*LOOKUP(2,1/(单次交易!$A$2:$A$201=A18),单次交易!$H$2:$H$201),0)+SUMIFS($H$2:$H$1001,$A$2:$A$1001,A18,$B$2:$B$1001,"&lt;"&amp;B18))</f>
        <v>26442</v>
      </c>
      <c r="K18" s="16">
        <f t="shared" si="1"/>
        <v>0</v>
      </c>
      <c r="L18" s="17">
        <f t="shared" si="2"/>
        <v>0</v>
      </c>
      <c r="M18" s="17">
        <f t="shared" si="3"/>
        <v>0</v>
      </c>
      <c r="N18" s="17">
        <f t="shared" si="4"/>
        <v>0</v>
      </c>
      <c r="O18" s="17">
        <f t="shared" si="5"/>
        <v>1800</v>
      </c>
      <c r="P18" s="16">
        <f t="shared" si="6"/>
        <v>20.906666666666666</v>
      </c>
      <c r="Q18" s="16">
        <f t="shared" si="7"/>
        <v>1632</v>
      </c>
      <c r="R18" s="18" t="str">
        <f t="shared" si="8"/>
        <v>违规：实际股数超过风险或金字塔上限</v>
      </c>
    </row>
    <row r="19" spans="1:18" ht="27">
      <c r="A19" s="12">
        <v>12</v>
      </c>
      <c r="B19" s="13">
        <v>1</v>
      </c>
      <c r="C19" s="14">
        <v>45891</v>
      </c>
      <c r="D19" s="15">
        <v>21.9</v>
      </c>
      <c r="E19" s="15">
        <v>20</v>
      </c>
      <c r="F19" s="15">
        <v>1</v>
      </c>
      <c r="G19" s="13">
        <v>1000</v>
      </c>
      <c r="H19" s="16">
        <f t="shared" si="0"/>
        <v>21900</v>
      </c>
      <c r="I19" s="17">
        <f>IF(OR(A19="",B19=""),"",IFERROR(LOOKUP(2,1/(单次交易!$A$2:$A$201=A19),单次交易!$H$2:$H$201),0)+SUMIFS($G$2:$G$1001,$A$2:$A$1001,A19,$B$2:$B$1001,"&lt;"&amp;B19))</f>
        <v>1400</v>
      </c>
      <c r="J19" s="16">
        <f>IF(OR(A19="",B19=""),"",IFERROR(LOOKUP(2,1/(单次交易!$A$2:$A$201=A19),单次交易!$E$2:$E$201)*LOOKUP(2,1/(单次交易!$A$2:$A$201=A19),单次交易!$H$2:$H$201),0)+SUMIFS($H$2:$H$1001,$A$2:$A$1001,A19,$B$2:$B$1001,"&lt;"&amp;B19))</f>
        <v>28644</v>
      </c>
      <c r="K19" s="16">
        <f t="shared" si="1"/>
        <v>0</v>
      </c>
      <c r="L19" s="17">
        <f t="shared" si="2"/>
        <v>0</v>
      </c>
      <c r="M19" s="17">
        <f t="shared" si="3"/>
        <v>0</v>
      </c>
      <c r="N19" s="17">
        <f t="shared" si="4"/>
        <v>0</v>
      </c>
      <c r="O19" s="17">
        <f t="shared" si="5"/>
        <v>2400</v>
      </c>
      <c r="P19" s="16">
        <f t="shared" si="6"/>
        <v>21.06</v>
      </c>
      <c r="Q19" s="16">
        <f t="shared" si="7"/>
        <v>2544</v>
      </c>
      <c r="R19" s="18" t="str">
        <f t="shared" si="8"/>
        <v>违规：实际股数超过风险或金字塔上限</v>
      </c>
    </row>
    <row r="20" spans="1:18">
      <c r="A20" s="12">
        <v>12</v>
      </c>
      <c r="B20" s="13">
        <v>2</v>
      </c>
      <c r="C20" s="14">
        <v>45898</v>
      </c>
      <c r="D20" s="15">
        <v>25.27</v>
      </c>
      <c r="E20" s="15">
        <v>23</v>
      </c>
      <c r="F20" s="15">
        <v>1</v>
      </c>
      <c r="G20" s="13">
        <v>600</v>
      </c>
      <c r="H20" s="16">
        <f t="shared" si="0"/>
        <v>15162</v>
      </c>
      <c r="I20" s="17">
        <f>IF(OR(A20="",B20=""),"",IFERROR(LOOKUP(2,1/(单次交易!$A$2:$A$201=A20),单次交易!$H$2:$H$201),0)+SUMIFS($G$2:$G$1001,$A$2:$A$1001,A20,$B$2:$B$1001,"&lt;"&amp;B20))</f>
        <v>2400</v>
      </c>
      <c r="J20" s="16">
        <f>IF(OR(A20="",B20=""),"",IFERROR(LOOKUP(2,1/(单次交易!$A$2:$A$201=A20),单次交易!$E$2:$E$201)*LOOKUP(2,1/(单次交易!$A$2:$A$201=A20),单次交易!$H$2:$H$201),0)+SUMIFS($H$2:$H$1001,$A$2:$A$1001,A20,$B$2:$B$1001,"&lt;"&amp;B20))</f>
        <v>50544</v>
      </c>
      <c r="K20" s="16">
        <f t="shared" si="1"/>
        <v>4656</v>
      </c>
      <c r="L20" s="17">
        <f t="shared" si="2"/>
        <v>2000</v>
      </c>
      <c r="M20" s="17">
        <f t="shared" si="3"/>
        <v>1000</v>
      </c>
      <c r="N20" s="17">
        <f t="shared" si="4"/>
        <v>1000</v>
      </c>
      <c r="O20" s="17">
        <f t="shared" si="5"/>
        <v>3000</v>
      </c>
      <c r="P20" s="16">
        <f t="shared" si="6"/>
        <v>21.902000000000001</v>
      </c>
      <c r="Q20" s="16">
        <f t="shared" si="7"/>
        <v>0</v>
      </c>
      <c r="R20" s="18" t="str">
        <f t="shared" si="8"/>
        <v>通过</v>
      </c>
    </row>
    <row r="21" spans="1:18" ht="27">
      <c r="A21" s="12">
        <v>14</v>
      </c>
      <c r="B21" s="13">
        <v>1</v>
      </c>
      <c r="C21" s="14">
        <v>41866</v>
      </c>
      <c r="D21" s="15">
        <v>8.91</v>
      </c>
      <c r="E21" s="15">
        <v>8</v>
      </c>
      <c r="F21" s="15">
        <v>1</v>
      </c>
      <c r="G21" s="13">
        <v>4000</v>
      </c>
      <c r="H21" s="16">
        <f t="shared" si="0"/>
        <v>35640</v>
      </c>
      <c r="I21" s="17">
        <f>IF(OR(A21="",B21=""),"",IFERROR(LOOKUP(2,1/(单次交易!$A$2:$A$201=A21),单次交易!$H$2:$H$201),0)+SUMIFS($G$2:$G$1001,$A$2:$A$1001,A21,$B$2:$B$1001,"&lt;"&amp;B21))</f>
        <v>1800</v>
      </c>
      <c r="J21" s="16">
        <f>IF(OR(A21="",B21=""),"",IFERROR(LOOKUP(2,1/(单次交易!$A$2:$A$201=A21),单次交易!$E$2:$E$201)*LOOKUP(2,1/(单次交易!$A$2:$A$201=A21),单次交易!$H$2:$H$201),0)+SUMIFS($H$2:$H$1001,$A$2:$A$1001,A21,$B$2:$B$1001,"&lt;"&amp;B21))</f>
        <v>14850</v>
      </c>
      <c r="K21" s="16">
        <f t="shared" si="1"/>
        <v>0</v>
      </c>
      <c r="L21" s="17">
        <f t="shared" si="2"/>
        <v>0</v>
      </c>
      <c r="M21" s="17">
        <f t="shared" si="3"/>
        <v>0</v>
      </c>
      <c r="N21" s="17">
        <f t="shared" si="4"/>
        <v>0</v>
      </c>
      <c r="O21" s="17">
        <f t="shared" si="5"/>
        <v>5800</v>
      </c>
      <c r="P21" s="16">
        <f t="shared" si="6"/>
        <v>8.7051724137931039</v>
      </c>
      <c r="Q21" s="16">
        <f t="shared" si="7"/>
        <v>4090</v>
      </c>
      <c r="R21" s="18" t="str">
        <f t="shared" si="8"/>
        <v>违规：实际股数超过风险或金字塔上限</v>
      </c>
    </row>
    <row r="22" spans="1:18">
      <c r="A22" s="12">
        <v>14</v>
      </c>
      <c r="B22" s="13">
        <v>2</v>
      </c>
      <c r="C22" s="14">
        <v>41887</v>
      </c>
      <c r="D22" s="15">
        <v>9.74</v>
      </c>
      <c r="E22" s="15">
        <v>9</v>
      </c>
      <c r="F22" s="15">
        <v>1</v>
      </c>
      <c r="G22" s="13">
        <v>1900</v>
      </c>
      <c r="H22" s="16">
        <f t="shared" si="0"/>
        <v>18506</v>
      </c>
      <c r="I22" s="17">
        <f>IF(OR(A22="",B22=""),"",IFERROR(LOOKUP(2,1/(单次交易!$A$2:$A$201=A22),单次交易!$H$2:$H$201),0)+SUMIFS($G$2:$G$1001,$A$2:$A$1001,A22,$B$2:$B$1001,"&lt;"&amp;B22))</f>
        <v>5800</v>
      </c>
      <c r="J22" s="16">
        <f>IF(OR(A22="",B22=""),"",IFERROR(LOOKUP(2,1/(单次交易!$A$2:$A$201=A22),单次交易!$E$2:$E$201)*LOOKUP(2,1/(单次交易!$A$2:$A$201=A22),单次交易!$H$2:$H$201),0)+SUMIFS($H$2:$H$1001,$A$2:$A$1001,A22,$B$2:$B$1001,"&lt;"&amp;B22))</f>
        <v>50490</v>
      </c>
      <c r="K22" s="16">
        <f t="shared" si="1"/>
        <v>1710</v>
      </c>
      <c r="L22" s="17">
        <f t="shared" si="2"/>
        <v>2300</v>
      </c>
      <c r="M22" s="17">
        <f t="shared" si="3"/>
        <v>4000</v>
      </c>
      <c r="N22" s="17">
        <f t="shared" si="4"/>
        <v>2300</v>
      </c>
      <c r="O22" s="17">
        <f t="shared" si="5"/>
        <v>7700</v>
      </c>
      <c r="P22" s="16">
        <f t="shared" si="6"/>
        <v>8.9605194805194799</v>
      </c>
      <c r="Q22" s="16">
        <f t="shared" si="7"/>
        <v>0</v>
      </c>
      <c r="R22" s="18" t="str">
        <f t="shared" si="8"/>
        <v>通过</v>
      </c>
    </row>
    <row r="23" spans="1:18" ht="27">
      <c r="A23" s="12">
        <v>15</v>
      </c>
      <c r="B23" s="13">
        <v>1</v>
      </c>
      <c r="C23" s="14">
        <v>42026</v>
      </c>
      <c r="D23" s="15">
        <v>11.62</v>
      </c>
      <c r="E23" s="15">
        <v>10.5</v>
      </c>
      <c r="F23" s="15">
        <v>1</v>
      </c>
      <c r="G23" s="13">
        <v>1500</v>
      </c>
      <c r="H23" s="16">
        <f t="shared" si="0"/>
        <v>17430</v>
      </c>
      <c r="I23" s="17">
        <f>IF(OR(A23="",B23=""),"",IFERROR(LOOKUP(2,1/(单次交易!$A$2:$A$201=A23),单次交易!$H$2:$H$201),0)+SUMIFS($G$2:$G$1001,$A$2:$A$1001,A23,$B$2:$B$1001,"&lt;"&amp;B23))</f>
        <v>3800</v>
      </c>
      <c r="J23" s="16">
        <f>IF(OR(A23="",B23=""),"",IFERROR(LOOKUP(2,1/(单次交易!$A$2:$A$201=A23),单次交易!$E$2:$E$201)*LOOKUP(2,1/(单次交易!$A$2:$A$201=A23),单次交易!$H$2:$H$201),0)+SUMIFS($H$2:$H$1001,$A$2:$A$1001,A23,$B$2:$B$1001,"&lt;"&amp;B23))</f>
        <v>39672</v>
      </c>
      <c r="K23" s="16">
        <f t="shared" si="1"/>
        <v>228</v>
      </c>
      <c r="L23" s="17">
        <f t="shared" si="2"/>
        <v>200</v>
      </c>
      <c r="M23" s="17">
        <f t="shared" si="3"/>
        <v>200</v>
      </c>
      <c r="N23" s="17">
        <f t="shared" si="4"/>
        <v>200</v>
      </c>
      <c r="O23" s="17">
        <f t="shared" si="5"/>
        <v>5300</v>
      </c>
      <c r="P23" s="16">
        <f t="shared" si="6"/>
        <v>10.773962264150944</v>
      </c>
      <c r="Q23" s="16">
        <f t="shared" si="7"/>
        <v>1452</v>
      </c>
      <c r="R23" s="18" t="str">
        <f t="shared" si="8"/>
        <v>违规：实际股数超过风险或金字塔上限</v>
      </c>
    </row>
    <row r="24" spans="1:18" ht="27">
      <c r="A24" s="12">
        <v>15</v>
      </c>
      <c r="B24" s="13">
        <v>2</v>
      </c>
      <c r="C24" s="14">
        <v>42034</v>
      </c>
      <c r="D24" s="15">
        <v>11.2</v>
      </c>
      <c r="E24" s="15">
        <v>10.5</v>
      </c>
      <c r="F24" s="15">
        <v>1</v>
      </c>
      <c r="G24" s="13">
        <v>1500</v>
      </c>
      <c r="H24" s="16">
        <f t="shared" si="0"/>
        <v>16800</v>
      </c>
      <c r="I24" s="17">
        <f>IF(OR(A24="",B24=""),"",IFERROR(LOOKUP(2,1/(单次交易!$A$2:$A$201=A24),单次交易!$H$2:$H$201),0)+SUMIFS($G$2:$G$1001,$A$2:$A$1001,A24,$B$2:$B$1001,"&lt;"&amp;B24))</f>
        <v>5300</v>
      </c>
      <c r="J24" s="16">
        <f>IF(OR(A24="",B24=""),"",IFERROR(LOOKUP(2,1/(单次交易!$A$2:$A$201=A24),单次交易!$E$2:$E$201)*LOOKUP(2,1/(单次交易!$A$2:$A$201=A24),单次交易!$H$2:$H$201),0)+SUMIFS($H$2:$H$1001,$A$2:$A$1001,A24,$B$2:$B$1001,"&lt;"&amp;B24))</f>
        <v>57102</v>
      </c>
      <c r="K24" s="16">
        <f t="shared" si="1"/>
        <v>0</v>
      </c>
      <c r="L24" s="17">
        <f t="shared" si="2"/>
        <v>0</v>
      </c>
      <c r="M24" s="17">
        <f t="shared" si="3"/>
        <v>1500</v>
      </c>
      <c r="N24" s="17">
        <f t="shared" si="4"/>
        <v>0</v>
      </c>
      <c r="O24" s="17">
        <f t="shared" si="5"/>
        <v>6800</v>
      </c>
      <c r="P24" s="16">
        <f t="shared" si="6"/>
        <v>10.867941176470588</v>
      </c>
      <c r="Q24" s="16">
        <f t="shared" si="7"/>
        <v>2502</v>
      </c>
      <c r="R24" s="18" t="str">
        <f t="shared" si="8"/>
        <v>违规：实际股数超过风险或金字塔上限</v>
      </c>
    </row>
    <row r="25" spans="1:18">
      <c r="A25" s="12">
        <v>15</v>
      </c>
      <c r="B25" s="13">
        <v>3</v>
      </c>
      <c r="C25" s="14">
        <v>42066</v>
      </c>
      <c r="D25" s="15">
        <v>12.11</v>
      </c>
      <c r="E25" s="15">
        <v>11</v>
      </c>
      <c r="F25" s="15">
        <v>1</v>
      </c>
      <c r="G25" s="13">
        <v>800</v>
      </c>
      <c r="H25" s="16">
        <f t="shared" si="0"/>
        <v>9688</v>
      </c>
      <c r="I25" s="17">
        <f>IF(OR(A25="",B25=""),"",IFERROR(LOOKUP(2,1/(单次交易!$A$2:$A$201=A25),单次交易!$H$2:$H$201),0)+SUMIFS($G$2:$G$1001,$A$2:$A$1001,A25,$B$2:$B$1001,"&lt;"&amp;B25))</f>
        <v>6800</v>
      </c>
      <c r="J25" s="16">
        <f>IF(OR(A25="",B25=""),"",IFERROR(LOOKUP(2,1/(单次交易!$A$2:$A$201=A25),单次交易!$E$2:$E$201)*LOOKUP(2,1/(单次交易!$A$2:$A$201=A25),单次交易!$H$2:$H$201),0)+SUMIFS($H$2:$H$1001,$A$2:$A$1001,A25,$B$2:$B$1001,"&lt;"&amp;B25))</f>
        <v>73902</v>
      </c>
      <c r="K25" s="16">
        <f t="shared" si="1"/>
        <v>898</v>
      </c>
      <c r="L25" s="17">
        <f t="shared" si="2"/>
        <v>800</v>
      </c>
      <c r="M25" s="17">
        <f t="shared" si="3"/>
        <v>1500</v>
      </c>
      <c r="N25" s="17">
        <f t="shared" si="4"/>
        <v>800</v>
      </c>
      <c r="O25" s="17">
        <f t="shared" si="5"/>
        <v>7600</v>
      </c>
      <c r="P25" s="16">
        <f t="shared" si="6"/>
        <v>10.998684210526315</v>
      </c>
      <c r="Q25" s="16">
        <f t="shared" si="7"/>
        <v>0</v>
      </c>
      <c r="R25" s="18" t="str">
        <f t="shared" si="8"/>
        <v>通过</v>
      </c>
    </row>
    <row r="26" spans="1:18" ht="27">
      <c r="A26" s="12">
        <v>16</v>
      </c>
      <c r="B26" s="13">
        <v>1</v>
      </c>
      <c r="C26" s="14">
        <v>42353</v>
      </c>
      <c r="D26" s="15">
        <v>18.239999999999998</v>
      </c>
      <c r="E26" s="15">
        <v>16</v>
      </c>
      <c r="F26" s="15">
        <v>1</v>
      </c>
      <c r="G26" s="13">
        <v>1000</v>
      </c>
      <c r="H26" s="16">
        <f t="shared" si="0"/>
        <v>18240</v>
      </c>
      <c r="I26" s="17">
        <f>IF(OR(A26="",B26=""),"",IFERROR(LOOKUP(2,1/(单次交易!$A$2:$A$201=A26),单次交易!$H$2:$H$201),0)+SUMIFS($G$2:$G$1001,$A$2:$A$1001,A26,$B$2:$B$1001,"&lt;"&amp;B26))</f>
        <v>1100</v>
      </c>
      <c r="J26" s="16">
        <f>IF(OR(A26="",B26=""),"",IFERROR(LOOKUP(2,1/(单次交易!$A$2:$A$201=A26),单次交易!$E$2:$E$201)*LOOKUP(2,1/(单次交易!$A$2:$A$201=A26),单次交易!$H$2:$H$201),0)+SUMIFS($H$2:$H$1001,$A$2:$A$1001,A26,$B$2:$B$1001,"&lt;"&amp;B26))</f>
        <v>17567</v>
      </c>
      <c r="K26" s="16">
        <f t="shared" si="1"/>
        <v>33</v>
      </c>
      <c r="L26" s="17">
        <f t="shared" si="2"/>
        <v>0</v>
      </c>
      <c r="M26" s="17">
        <f t="shared" si="3"/>
        <v>0</v>
      </c>
      <c r="N26" s="17">
        <f t="shared" si="4"/>
        <v>0</v>
      </c>
      <c r="O26" s="17">
        <f t="shared" si="5"/>
        <v>2100</v>
      </c>
      <c r="P26" s="16">
        <f t="shared" si="6"/>
        <v>17.050952380952381</v>
      </c>
      <c r="Q26" s="16">
        <f t="shared" si="7"/>
        <v>2207</v>
      </c>
      <c r="R26" s="18" t="str">
        <f t="shared" si="8"/>
        <v>违规：实际股数超过风险或金字塔上限</v>
      </c>
    </row>
    <row r="27" spans="1:18">
      <c r="A27" s="12">
        <v>16</v>
      </c>
      <c r="B27" s="13">
        <v>2</v>
      </c>
      <c r="C27" s="14">
        <v>42355</v>
      </c>
      <c r="D27" s="15">
        <v>21.15</v>
      </c>
      <c r="E27" s="15">
        <v>20</v>
      </c>
      <c r="F27" s="15">
        <v>1</v>
      </c>
      <c r="G27" s="13">
        <v>1000</v>
      </c>
      <c r="H27" s="16">
        <f t="shared" si="0"/>
        <v>21150</v>
      </c>
      <c r="I27" s="17">
        <f>IF(OR(A27="",B27=""),"",IFERROR(LOOKUP(2,1/(单次交易!$A$2:$A$201=A27),单次交易!$H$2:$H$201),0)+SUMIFS($G$2:$G$1001,$A$2:$A$1001,A27,$B$2:$B$1001,"&lt;"&amp;B27))</f>
        <v>2100</v>
      </c>
      <c r="J27" s="16">
        <f>IF(OR(A27="",B27=""),"",IFERROR(LOOKUP(2,1/(单次交易!$A$2:$A$201=A27),单次交易!$E$2:$E$201)*LOOKUP(2,1/(单次交易!$A$2:$A$201=A27),单次交易!$H$2:$H$201),0)+SUMIFS($H$2:$H$1001,$A$2:$A$1001,A27,$B$2:$B$1001,"&lt;"&amp;B27))</f>
        <v>35807</v>
      </c>
      <c r="K27" s="16">
        <f t="shared" si="1"/>
        <v>6193</v>
      </c>
      <c r="L27" s="17">
        <f t="shared" si="2"/>
        <v>5300</v>
      </c>
      <c r="M27" s="17">
        <f t="shared" si="3"/>
        <v>1000</v>
      </c>
      <c r="N27" s="17">
        <f t="shared" si="4"/>
        <v>1000</v>
      </c>
      <c r="O27" s="17">
        <f t="shared" si="5"/>
        <v>3100</v>
      </c>
      <c r="P27" s="16">
        <f t="shared" si="6"/>
        <v>18.373225806451615</v>
      </c>
      <c r="Q27" s="16">
        <f t="shared" si="7"/>
        <v>0</v>
      </c>
      <c r="R27" s="18" t="str">
        <f t="shared" si="8"/>
        <v>通过</v>
      </c>
    </row>
    <row r="28" spans="1:18" ht="27">
      <c r="A28" s="12">
        <v>17</v>
      </c>
      <c r="B28" s="13">
        <v>1</v>
      </c>
      <c r="C28" s="14">
        <v>42440</v>
      </c>
      <c r="D28" s="15">
        <v>15.86</v>
      </c>
      <c r="E28" s="15">
        <v>15</v>
      </c>
      <c r="F28" s="15">
        <v>1</v>
      </c>
      <c r="G28" s="13">
        <v>1000</v>
      </c>
      <c r="H28" s="16">
        <f t="shared" si="0"/>
        <v>15860</v>
      </c>
      <c r="I28" s="17">
        <f>IF(OR(A28="",B28=""),"",IFERROR(LOOKUP(2,1/(单次交易!$A$2:$A$201=A28),单次交易!$H$2:$H$201),0)+SUMIFS($G$2:$G$1001,$A$2:$A$1001,A28,$B$2:$B$1001,"&lt;"&amp;B28))</f>
        <v>800</v>
      </c>
      <c r="J28" s="16">
        <f>IF(OR(A28="",B28=""),"",IFERROR(LOOKUP(2,1/(单次交易!$A$2:$A$201=A28),单次交易!$E$2:$E$201)*LOOKUP(2,1/(单次交易!$A$2:$A$201=A28),单次交易!$H$2:$H$201),0)+SUMIFS($H$2:$H$1001,$A$2:$A$1001,A28,$B$2:$B$1001,"&lt;"&amp;B28))</f>
        <v>13976</v>
      </c>
      <c r="K28" s="16">
        <f t="shared" si="1"/>
        <v>0</v>
      </c>
      <c r="L28" s="17">
        <f t="shared" si="2"/>
        <v>0</v>
      </c>
      <c r="M28" s="17">
        <f t="shared" si="3"/>
        <v>0</v>
      </c>
      <c r="N28" s="17">
        <f t="shared" si="4"/>
        <v>0</v>
      </c>
      <c r="O28" s="17">
        <f t="shared" si="5"/>
        <v>1800</v>
      </c>
      <c r="P28" s="16">
        <f t="shared" si="6"/>
        <v>16.575555555555557</v>
      </c>
      <c r="Q28" s="16">
        <f t="shared" si="7"/>
        <v>2836</v>
      </c>
      <c r="R28" s="18" t="str">
        <f t="shared" si="8"/>
        <v>违规：实际股数超过风险或金字塔上限</v>
      </c>
    </row>
    <row r="29" spans="1:18" ht="27">
      <c r="A29" s="12">
        <v>17</v>
      </c>
      <c r="B29" s="13">
        <v>2</v>
      </c>
      <c r="C29" s="14">
        <v>42479</v>
      </c>
      <c r="D29" s="15">
        <v>17.7</v>
      </c>
      <c r="E29" s="15">
        <v>16</v>
      </c>
      <c r="F29" s="15">
        <v>1</v>
      </c>
      <c r="G29" s="13">
        <v>2000</v>
      </c>
      <c r="H29" s="16">
        <f t="shared" si="0"/>
        <v>35400</v>
      </c>
      <c r="I29" s="17">
        <f>IF(OR(A29="",B29=""),"",IFERROR(LOOKUP(2,1/(单次交易!$A$2:$A$201=A29),单次交易!$H$2:$H$201),0)+SUMIFS($G$2:$G$1001,$A$2:$A$1001,A29,$B$2:$B$1001,"&lt;"&amp;B29))</f>
        <v>1800</v>
      </c>
      <c r="J29" s="16">
        <f>IF(OR(A29="",B29=""),"",IFERROR(LOOKUP(2,1/(单次交易!$A$2:$A$201=A29),单次交易!$E$2:$E$201)*LOOKUP(2,1/(单次交易!$A$2:$A$201=A29),单次交易!$H$2:$H$201),0)+SUMIFS($H$2:$H$1001,$A$2:$A$1001,A29,$B$2:$B$1001,"&lt;"&amp;B29))</f>
        <v>29836</v>
      </c>
      <c r="K29" s="16">
        <f t="shared" si="1"/>
        <v>0</v>
      </c>
      <c r="L29" s="17">
        <f t="shared" si="2"/>
        <v>0</v>
      </c>
      <c r="M29" s="17">
        <f t="shared" si="3"/>
        <v>1000</v>
      </c>
      <c r="N29" s="17">
        <f t="shared" si="4"/>
        <v>0</v>
      </c>
      <c r="O29" s="17">
        <f t="shared" si="5"/>
        <v>3800</v>
      </c>
      <c r="P29" s="16">
        <f t="shared" si="6"/>
        <v>17.167368421052632</v>
      </c>
      <c r="Q29" s="16">
        <f t="shared" si="7"/>
        <v>4436</v>
      </c>
      <c r="R29" s="18" t="str">
        <f t="shared" si="8"/>
        <v>违规：实际股数超过风险或金字塔上限</v>
      </c>
    </row>
    <row r="30" spans="1:18">
      <c r="A30" s="12">
        <v>17</v>
      </c>
      <c r="B30" s="13">
        <v>3</v>
      </c>
      <c r="C30" s="14">
        <v>42481</v>
      </c>
      <c r="D30" s="15">
        <v>15.73</v>
      </c>
      <c r="E30" s="15">
        <v>15</v>
      </c>
      <c r="F30" s="15">
        <v>1</v>
      </c>
      <c r="G30" s="13">
        <v>3000</v>
      </c>
      <c r="H30" s="16">
        <f t="shared" si="0"/>
        <v>47190</v>
      </c>
      <c r="I30" s="17">
        <f>IF(OR(A30="",B30=""),"",IFERROR(LOOKUP(2,1/(单次交易!$A$2:$A$201=A30),单次交易!$H$2:$H$201),0)+SUMIFS($G$2:$G$1001,$A$2:$A$1001,A30,$B$2:$B$1001,"&lt;"&amp;B30))</f>
        <v>3800</v>
      </c>
      <c r="J30" s="16">
        <f>IF(OR(A30="",B30=""),"",IFERROR(LOOKUP(2,1/(单次交易!$A$2:$A$201=A30),单次交易!$E$2:$E$201)*LOOKUP(2,1/(单次交易!$A$2:$A$201=A30),单次交易!$H$2:$H$201),0)+SUMIFS($H$2:$H$1001,$A$2:$A$1001,A30,$B$2:$B$1001,"&lt;"&amp;B30))</f>
        <v>65236</v>
      </c>
      <c r="K30" s="16">
        <f t="shared" si="1"/>
        <v>0</v>
      </c>
      <c r="L30" s="17">
        <f t="shared" si="2"/>
        <v>0</v>
      </c>
      <c r="M30" s="17">
        <f t="shared" si="3"/>
        <v>2000</v>
      </c>
      <c r="N30" s="17">
        <f t="shared" si="4"/>
        <v>0</v>
      </c>
      <c r="O30" s="17">
        <f t="shared" si="5"/>
        <v>6800</v>
      </c>
      <c r="P30" s="16">
        <f t="shared" si="6"/>
        <v>16.533235294117649</v>
      </c>
      <c r="Q30" s="16">
        <f t="shared" si="7"/>
        <v>10426</v>
      </c>
      <c r="R30" s="18" t="str">
        <f t="shared" si="8"/>
        <v>违规：新止损价不得低于上一次</v>
      </c>
    </row>
    <row r="31" spans="1:18" ht="27">
      <c r="A31" s="12">
        <v>18</v>
      </c>
      <c r="B31" s="13">
        <v>1</v>
      </c>
      <c r="C31" s="14">
        <v>42800</v>
      </c>
      <c r="D31" s="15">
        <v>15.08</v>
      </c>
      <c r="E31" s="15">
        <v>14</v>
      </c>
      <c r="F31" s="15">
        <v>1</v>
      </c>
      <c r="G31" s="13">
        <v>2800</v>
      </c>
      <c r="H31" s="16">
        <f t="shared" si="0"/>
        <v>42224</v>
      </c>
      <c r="I31" s="17">
        <f>IF(OR(A31="",B31=""),"",IFERROR(LOOKUP(2,1/(单次交易!$A$2:$A$201=A31),单次交易!$H$2:$H$201),0)+SUMIFS($G$2:$G$1001,$A$2:$A$1001,A31,$B$2:$B$1001,"&lt;"&amp;B31))</f>
        <v>3000</v>
      </c>
      <c r="J31" s="16">
        <f>IF(OR(A31="",B31=""),"",IFERROR(LOOKUP(2,1/(单次交易!$A$2:$A$201=A31),单次交易!$E$2:$E$201)*LOOKUP(2,1/(单次交易!$A$2:$A$201=A31),单次交易!$H$2:$H$201),0)+SUMIFS($H$2:$H$1001,$A$2:$A$1001,A31,$B$2:$B$1001,"&lt;"&amp;B31))</f>
        <v>43110</v>
      </c>
      <c r="K31" s="16">
        <f t="shared" si="1"/>
        <v>0</v>
      </c>
      <c r="L31" s="17">
        <f t="shared" si="2"/>
        <v>0</v>
      </c>
      <c r="M31" s="17">
        <f t="shared" si="3"/>
        <v>0</v>
      </c>
      <c r="N31" s="17">
        <f t="shared" si="4"/>
        <v>0</v>
      </c>
      <c r="O31" s="17">
        <f t="shared" si="5"/>
        <v>5800</v>
      </c>
      <c r="P31" s="16">
        <f t="shared" si="6"/>
        <v>14.712758620689655</v>
      </c>
      <c r="Q31" s="16">
        <f t="shared" si="7"/>
        <v>4134</v>
      </c>
      <c r="R31" s="18" t="str">
        <f t="shared" si="8"/>
        <v>违规：实际股数超过风险或金字塔上限</v>
      </c>
    </row>
    <row r="32" spans="1:18">
      <c r="A32" s="12">
        <v>20</v>
      </c>
      <c r="B32" s="13">
        <v>1</v>
      </c>
      <c r="C32" s="14">
        <v>42906</v>
      </c>
      <c r="D32" s="15">
        <v>13.53</v>
      </c>
      <c r="E32" s="15">
        <v>13</v>
      </c>
      <c r="F32" s="15">
        <v>1</v>
      </c>
      <c r="G32" s="13">
        <v>800</v>
      </c>
      <c r="H32" s="16">
        <f t="shared" si="0"/>
        <v>10824</v>
      </c>
      <c r="I32" s="17">
        <f>IF(OR(A32="",B32=""),"",IFERROR(LOOKUP(2,1/(单次交易!$A$2:$A$201=A32),单次交易!$H$2:$H$201),0)+SUMIFS($G$2:$G$1001,$A$2:$A$1001,A32,$B$2:$B$1001,"&lt;"&amp;B32))</f>
        <v>5200</v>
      </c>
      <c r="J32" s="16">
        <f>IF(OR(A32="",B32=""),"",IFERROR(LOOKUP(2,1/(单次交易!$A$2:$A$201=A32),单次交易!$E$2:$E$201)*LOOKUP(2,1/(单次交易!$A$2:$A$201=A32),单次交易!$H$2:$H$201),0)+SUMIFS($H$2:$H$1001,$A$2:$A$1001,A32,$B$2:$B$1001,"&lt;"&amp;B32))</f>
        <v>63907.999999999993</v>
      </c>
      <c r="K32" s="16">
        <f t="shared" si="1"/>
        <v>3692.0000000000073</v>
      </c>
      <c r="L32" s="17">
        <f t="shared" si="2"/>
        <v>6900</v>
      </c>
      <c r="M32" s="17">
        <f t="shared" si="3"/>
        <v>6900</v>
      </c>
      <c r="N32" s="17">
        <f t="shared" si="4"/>
        <v>6900</v>
      </c>
      <c r="O32" s="17">
        <f t="shared" si="5"/>
        <v>6000</v>
      </c>
      <c r="P32" s="16">
        <f t="shared" si="6"/>
        <v>12.455333333333334</v>
      </c>
      <c r="Q32" s="16">
        <f t="shared" si="7"/>
        <v>0</v>
      </c>
      <c r="R32" s="18" t="str">
        <f t="shared" si="8"/>
        <v>通过</v>
      </c>
    </row>
    <row r="33" spans="1:18" ht="27">
      <c r="A33" s="12">
        <v>21</v>
      </c>
      <c r="B33" s="13">
        <v>1</v>
      </c>
      <c r="C33" s="14">
        <v>43115</v>
      </c>
      <c r="D33" s="15">
        <v>15.04</v>
      </c>
      <c r="E33" s="15">
        <v>14.5</v>
      </c>
      <c r="F33" s="15">
        <v>1</v>
      </c>
      <c r="G33" s="13">
        <v>2000</v>
      </c>
      <c r="H33" s="16">
        <f t="shared" si="0"/>
        <v>30080</v>
      </c>
      <c r="I33" s="17">
        <f>IF(OR(A33="",B33=""),"",IFERROR(LOOKUP(2,1/(单次交易!$A$2:$A$201=A33),单次交易!$H$2:$H$201),0)+SUMIFS($G$2:$G$1001,$A$2:$A$1001,A33,$B$2:$B$1001,"&lt;"&amp;B33))</f>
        <v>4200</v>
      </c>
      <c r="J33" s="16">
        <f>IF(OR(A33="",B33=""),"",IFERROR(LOOKUP(2,1/(单次交易!$A$2:$A$201=A33),单次交易!$E$2:$E$201)*LOOKUP(2,1/(单次交易!$A$2:$A$201=A33),单次交易!$H$2:$H$201),0)+SUMIFS($H$2:$H$1001,$A$2:$A$1001,A33,$B$2:$B$1001,"&lt;"&amp;B33))</f>
        <v>67074</v>
      </c>
      <c r="K33" s="16">
        <f t="shared" si="1"/>
        <v>0</v>
      </c>
      <c r="L33" s="17">
        <f t="shared" si="2"/>
        <v>0</v>
      </c>
      <c r="M33" s="17">
        <f t="shared" si="3"/>
        <v>0</v>
      </c>
      <c r="N33" s="17">
        <f t="shared" si="4"/>
        <v>0</v>
      </c>
      <c r="O33" s="17">
        <f t="shared" si="5"/>
        <v>6200</v>
      </c>
      <c r="P33" s="16">
        <f t="shared" si="6"/>
        <v>15.67</v>
      </c>
      <c r="Q33" s="16">
        <f t="shared" si="7"/>
        <v>7254</v>
      </c>
      <c r="R33" s="18" t="str">
        <f t="shared" si="8"/>
        <v>违规：实际股数超过风险或金字塔上限</v>
      </c>
    </row>
    <row r="34" spans="1:18" ht="27">
      <c r="A34" s="12">
        <v>23</v>
      </c>
      <c r="B34" s="13">
        <v>1</v>
      </c>
      <c r="C34" s="14">
        <v>43164</v>
      </c>
      <c r="D34" s="15">
        <v>15.18</v>
      </c>
      <c r="E34" s="15">
        <v>14.5</v>
      </c>
      <c r="F34" s="15">
        <v>1</v>
      </c>
      <c r="G34" s="13">
        <v>2500</v>
      </c>
      <c r="H34" s="16">
        <f t="shared" si="0"/>
        <v>37950</v>
      </c>
      <c r="I34" s="17">
        <f>IF(OR(A34="",B34=""),"",IFERROR(LOOKUP(2,1/(单次交易!$A$2:$A$201=A34),单次交易!$H$2:$H$201),0)+SUMIFS($G$2:$G$1001,$A$2:$A$1001,A34,$B$2:$B$1001,"&lt;"&amp;B34))</f>
        <v>3100</v>
      </c>
      <c r="J34" s="16">
        <f>IF(OR(A34="",B34=""),"",IFERROR(LOOKUP(2,1/(单次交易!$A$2:$A$201=A34),单次交易!$E$2:$E$201)*LOOKUP(2,1/(单次交易!$A$2:$A$201=A34),单次交易!$H$2:$H$201),0)+SUMIFS($H$2:$H$1001,$A$2:$A$1001,A34,$B$2:$B$1001,"&lt;"&amp;B34))</f>
        <v>43586</v>
      </c>
      <c r="K34" s="16">
        <f t="shared" si="1"/>
        <v>1364</v>
      </c>
      <c r="L34" s="17">
        <f t="shared" si="2"/>
        <v>2000</v>
      </c>
      <c r="M34" s="17">
        <f t="shared" si="3"/>
        <v>2000</v>
      </c>
      <c r="N34" s="17">
        <f t="shared" si="4"/>
        <v>2000</v>
      </c>
      <c r="O34" s="17">
        <f t="shared" si="5"/>
        <v>5600</v>
      </c>
      <c r="P34" s="16">
        <f t="shared" si="6"/>
        <v>14.56</v>
      </c>
      <c r="Q34" s="16">
        <f t="shared" si="7"/>
        <v>336</v>
      </c>
      <c r="R34" s="18" t="str">
        <f t="shared" si="8"/>
        <v>违规：实际股数超过风险或金字塔上限</v>
      </c>
    </row>
    <row r="35" spans="1:18" ht="27">
      <c r="A35" s="12">
        <v>25</v>
      </c>
      <c r="B35" s="13">
        <v>1</v>
      </c>
      <c r="C35" s="14">
        <v>43356</v>
      </c>
      <c r="D35" s="15">
        <v>14.32</v>
      </c>
      <c r="E35" s="15">
        <v>13.5</v>
      </c>
      <c r="F35" s="15">
        <v>1</v>
      </c>
      <c r="G35" s="13">
        <v>3000</v>
      </c>
      <c r="H35" s="16">
        <f t="shared" si="0"/>
        <v>42960</v>
      </c>
      <c r="I35" s="17">
        <f>IF(OR(A35="",B35=""),"",IFERROR(LOOKUP(2,1/(单次交易!$A$2:$A$201=A35),单次交易!$H$2:$H$201),0)+SUMIFS($G$2:$G$1001,$A$2:$A$1001,A35,$B$2:$B$1001,"&lt;"&amp;B35))</f>
        <v>2700</v>
      </c>
      <c r="J35" s="16">
        <f>IF(OR(A35="",B35=""),"",IFERROR(LOOKUP(2,1/(单次交易!$A$2:$A$201=A35),单次交易!$E$2:$E$201)*LOOKUP(2,1/(单次交易!$A$2:$A$201=A35),单次交易!$H$2:$H$201),0)+SUMIFS($H$2:$H$1001,$A$2:$A$1001,A35,$B$2:$B$1001,"&lt;"&amp;B35))</f>
        <v>34479</v>
      </c>
      <c r="K35" s="16">
        <f t="shared" si="1"/>
        <v>1971</v>
      </c>
      <c r="L35" s="17">
        <f t="shared" si="2"/>
        <v>2400</v>
      </c>
      <c r="M35" s="17">
        <f t="shared" si="3"/>
        <v>2400</v>
      </c>
      <c r="N35" s="17">
        <f t="shared" si="4"/>
        <v>2400</v>
      </c>
      <c r="O35" s="17">
        <f t="shared" si="5"/>
        <v>5700</v>
      </c>
      <c r="P35" s="16">
        <f t="shared" si="6"/>
        <v>13.58578947368421</v>
      </c>
      <c r="Q35" s="16">
        <f t="shared" si="7"/>
        <v>489</v>
      </c>
      <c r="R35" s="18" t="str">
        <f t="shared" si="8"/>
        <v>违规：实际股数超过风险或金字塔上限</v>
      </c>
    </row>
    <row r="36" spans="1:18">
      <c r="A36" s="12">
        <v>28</v>
      </c>
      <c r="B36" s="13">
        <v>1</v>
      </c>
      <c r="C36" s="14">
        <v>43395</v>
      </c>
      <c r="D36" s="15">
        <v>10.91</v>
      </c>
      <c r="E36" s="15">
        <v>10.5</v>
      </c>
      <c r="F36" s="15">
        <v>1</v>
      </c>
      <c r="G36" s="13">
        <v>3000</v>
      </c>
      <c r="H36" s="16">
        <f t="shared" si="0"/>
        <v>32730</v>
      </c>
      <c r="I36" s="17">
        <f>IF(OR(A36="",B36=""),"",IFERROR(LOOKUP(2,1/(单次交易!$A$2:$A$201=A36),单次交易!$H$2:$H$201),0)+SUMIFS($G$2:$G$1001,$A$2:$A$1001,A36,$B$2:$B$1001,"&lt;"&amp;B36))</f>
        <v>3000</v>
      </c>
      <c r="J36" s="16">
        <f>IF(OR(A36="",B36=""),"",IFERROR(LOOKUP(2,1/(单次交易!$A$2:$A$201=A36),单次交易!$E$2:$E$201)*LOOKUP(2,1/(单次交易!$A$2:$A$201=A36),单次交易!$H$2:$H$201),0)+SUMIFS($H$2:$H$1001,$A$2:$A$1001,A36,$B$2:$B$1001,"&lt;"&amp;B36))</f>
        <v>30180</v>
      </c>
      <c r="K36" s="16">
        <f t="shared" si="1"/>
        <v>1320</v>
      </c>
      <c r="L36" s="17">
        <f t="shared" si="2"/>
        <v>3200</v>
      </c>
      <c r="M36" s="17">
        <f t="shared" si="3"/>
        <v>3200</v>
      </c>
      <c r="N36" s="17">
        <f t="shared" si="4"/>
        <v>3200</v>
      </c>
      <c r="O36" s="17">
        <f t="shared" si="5"/>
        <v>6000</v>
      </c>
      <c r="P36" s="16">
        <f t="shared" si="6"/>
        <v>10.484999999999999</v>
      </c>
      <c r="Q36" s="16">
        <f t="shared" si="7"/>
        <v>0</v>
      </c>
      <c r="R36" s="18" t="str">
        <f t="shared" si="8"/>
        <v>通过</v>
      </c>
    </row>
    <row r="37" spans="1:18" ht="27">
      <c r="A37" s="12">
        <v>29</v>
      </c>
      <c r="B37" s="13">
        <v>1</v>
      </c>
      <c r="C37" s="14">
        <v>43418</v>
      </c>
      <c r="D37" s="15">
        <v>11.38</v>
      </c>
      <c r="E37" s="15">
        <v>10.5</v>
      </c>
      <c r="F37" s="15">
        <v>1</v>
      </c>
      <c r="G37" s="13">
        <v>3000</v>
      </c>
      <c r="H37" s="16">
        <f t="shared" si="0"/>
        <v>34140</v>
      </c>
      <c r="I37" s="17">
        <f>IF(OR(A37="",B37=""),"",IFERROR(LOOKUP(2,1/(单次交易!$A$2:$A$201=A37),单次交易!$H$2:$H$201),0)+SUMIFS($G$2:$G$1001,$A$2:$A$1001,A37,$B$2:$B$1001,"&lt;"&amp;B37))</f>
        <v>2600</v>
      </c>
      <c r="J37" s="16">
        <f>IF(OR(A37="",B37=""),"",IFERROR(LOOKUP(2,1/(单次交易!$A$2:$A$201=A37),单次交易!$E$2:$E$201)*LOOKUP(2,1/(单次交易!$A$2:$A$201=A37),单次交易!$H$2:$H$201),0)+SUMIFS($H$2:$H$1001,$A$2:$A$1001,A37,$B$2:$B$1001,"&lt;"&amp;B37))</f>
        <v>27742</v>
      </c>
      <c r="K37" s="16">
        <f t="shared" si="1"/>
        <v>0</v>
      </c>
      <c r="L37" s="17">
        <f t="shared" si="2"/>
        <v>0</v>
      </c>
      <c r="M37" s="17">
        <f t="shared" si="3"/>
        <v>0</v>
      </c>
      <c r="N37" s="17">
        <f t="shared" si="4"/>
        <v>0</v>
      </c>
      <c r="O37" s="17">
        <f t="shared" si="5"/>
        <v>5600</v>
      </c>
      <c r="P37" s="16">
        <f t="shared" si="6"/>
        <v>11.050357142857143</v>
      </c>
      <c r="Q37" s="16">
        <f t="shared" si="7"/>
        <v>3082</v>
      </c>
      <c r="R37" s="18" t="str">
        <f t="shared" si="8"/>
        <v>违规：实际股数超过风险或金字塔上限</v>
      </c>
    </row>
    <row r="38" spans="1:18" ht="27">
      <c r="A38" s="12">
        <v>31</v>
      </c>
      <c r="B38" s="13">
        <v>1</v>
      </c>
      <c r="C38" s="14">
        <v>43692</v>
      </c>
      <c r="D38" s="15">
        <v>15.14</v>
      </c>
      <c r="E38" s="15">
        <v>14</v>
      </c>
      <c r="F38" s="15">
        <v>1</v>
      </c>
      <c r="G38" s="13">
        <v>2000</v>
      </c>
      <c r="H38" s="16">
        <f t="shared" si="0"/>
        <v>30280</v>
      </c>
      <c r="I38" s="17">
        <f>IF(OR(A38="",B38=""),"",IFERROR(LOOKUP(2,1/(单次交易!$A$2:$A$201=A38),单次交易!$H$2:$H$201),0)+SUMIFS($G$2:$G$1001,$A$2:$A$1001,A38,$B$2:$B$1001,"&lt;"&amp;B38))</f>
        <v>3200</v>
      </c>
      <c r="J38" s="16">
        <f>IF(OR(A38="",B38=""),"",IFERROR(LOOKUP(2,1/(单次交易!$A$2:$A$201=A38),单次交易!$E$2:$E$201)*LOOKUP(2,1/(单次交易!$A$2:$A$201=A38),单次交易!$H$2:$H$201),0)+SUMIFS($H$2:$H$1001,$A$2:$A$1001,A38,$B$2:$B$1001,"&lt;"&amp;B38))</f>
        <v>43136</v>
      </c>
      <c r="K38" s="16">
        <f t="shared" si="1"/>
        <v>1664</v>
      </c>
      <c r="L38" s="17">
        <f t="shared" si="2"/>
        <v>1400</v>
      </c>
      <c r="M38" s="17">
        <f t="shared" si="3"/>
        <v>1400</v>
      </c>
      <c r="N38" s="17">
        <f t="shared" si="4"/>
        <v>1400</v>
      </c>
      <c r="O38" s="17">
        <f t="shared" si="5"/>
        <v>5200</v>
      </c>
      <c r="P38" s="16">
        <f t="shared" si="6"/>
        <v>14.118461538461538</v>
      </c>
      <c r="Q38" s="16">
        <f t="shared" si="7"/>
        <v>616</v>
      </c>
      <c r="R38" s="18" t="str">
        <f t="shared" si="8"/>
        <v>违规：实际股数超过风险或金字塔上限</v>
      </c>
    </row>
    <row r="39" spans="1:18" ht="27">
      <c r="A39" s="12">
        <v>33</v>
      </c>
      <c r="B39" s="13">
        <v>1</v>
      </c>
      <c r="C39" s="14">
        <v>43822</v>
      </c>
      <c r="D39" s="15">
        <v>18.809999999999999</v>
      </c>
      <c r="E39" s="15">
        <v>18.5</v>
      </c>
      <c r="F39" s="15">
        <v>1</v>
      </c>
      <c r="G39" s="13">
        <v>1900</v>
      </c>
      <c r="H39" s="16">
        <f t="shared" si="0"/>
        <v>35739</v>
      </c>
      <c r="I39" s="17">
        <f>IF(OR(A39="",B39=""),"",IFERROR(LOOKUP(2,1/(单次交易!$A$2:$A$201=A39),单次交易!$H$2:$H$201),0)+SUMIFS($G$2:$G$1001,$A$2:$A$1001,A39,$B$2:$B$1001,"&lt;"&amp;B39))</f>
        <v>3200</v>
      </c>
      <c r="J39" s="16">
        <f>IF(OR(A39="",B39=""),"",IFERROR(LOOKUP(2,1/(单次交易!$A$2:$A$201=A39),单次交易!$E$2:$E$201)*LOOKUP(2,1/(单次交易!$A$2:$A$201=A39),单次交易!$H$2:$H$201),0)+SUMIFS($H$2:$H$1001,$A$2:$A$1001,A39,$B$2:$B$1001,"&lt;"&amp;B39))</f>
        <v>61088</v>
      </c>
      <c r="K39" s="16">
        <f t="shared" si="1"/>
        <v>0</v>
      </c>
      <c r="L39" s="17">
        <f t="shared" si="2"/>
        <v>0</v>
      </c>
      <c r="M39" s="17">
        <f t="shared" si="3"/>
        <v>0</v>
      </c>
      <c r="N39" s="17">
        <f t="shared" si="4"/>
        <v>0</v>
      </c>
      <c r="O39" s="17">
        <f t="shared" si="5"/>
        <v>5100</v>
      </c>
      <c r="P39" s="16">
        <f t="shared" si="6"/>
        <v>18.985686274509803</v>
      </c>
      <c r="Q39" s="16">
        <f t="shared" si="7"/>
        <v>2477</v>
      </c>
      <c r="R39" s="18" t="str">
        <f t="shared" si="8"/>
        <v>违规：实际股数超过风险或金字塔上限</v>
      </c>
    </row>
    <row r="40" spans="1:18">
      <c r="A40" s="12">
        <v>35</v>
      </c>
      <c r="B40" s="13">
        <v>1</v>
      </c>
      <c r="C40" s="14">
        <v>43958</v>
      </c>
      <c r="D40" s="15">
        <v>21.37</v>
      </c>
      <c r="E40" s="15">
        <v>20</v>
      </c>
      <c r="F40" s="15">
        <v>1</v>
      </c>
      <c r="G40" s="13">
        <v>1000</v>
      </c>
      <c r="H40" s="16">
        <f t="shared" si="0"/>
        <v>21370</v>
      </c>
      <c r="I40" s="17">
        <f>IF(OR(A40="",B40=""),"",IFERROR(LOOKUP(2,1/(单次交易!$A$2:$A$201=A40),单次交易!$H$2:$H$201),0)+SUMIFS($G$2:$G$1001,$A$2:$A$1001,A40,$B$2:$B$1001,"&lt;"&amp;B40))</f>
        <v>1300</v>
      </c>
      <c r="J40" s="16">
        <f>IF(OR(A40="",B40=""),"",IFERROR(LOOKUP(2,1/(单次交易!$A$2:$A$201=A40),单次交易!$E$2:$E$201)*LOOKUP(2,1/(单次交易!$A$2:$A$201=A40),单次交易!$H$2:$H$201),0)+SUMIFS($H$2:$H$1001,$A$2:$A$1001,A40,$B$2:$B$1001,"&lt;"&amp;B40))</f>
        <v>24050</v>
      </c>
      <c r="K40" s="16">
        <f t="shared" si="1"/>
        <v>1950</v>
      </c>
      <c r="L40" s="17">
        <f t="shared" si="2"/>
        <v>1400</v>
      </c>
      <c r="M40" s="17">
        <f t="shared" si="3"/>
        <v>1400</v>
      </c>
      <c r="N40" s="17">
        <f t="shared" si="4"/>
        <v>1400</v>
      </c>
      <c r="O40" s="17">
        <f t="shared" si="5"/>
        <v>2300</v>
      </c>
      <c r="P40" s="16">
        <f t="shared" si="6"/>
        <v>19.747826086956522</v>
      </c>
      <c r="Q40" s="16">
        <f t="shared" si="7"/>
        <v>0</v>
      </c>
      <c r="R40" s="18" t="str">
        <f t="shared" si="8"/>
        <v>通过</v>
      </c>
    </row>
    <row r="41" spans="1:18" ht="27">
      <c r="A41" s="12">
        <v>36</v>
      </c>
      <c r="B41" s="13">
        <v>1</v>
      </c>
      <c r="C41" s="14">
        <v>44000</v>
      </c>
      <c r="D41" s="15">
        <v>22.99</v>
      </c>
      <c r="E41" s="15">
        <v>21.5</v>
      </c>
      <c r="F41" s="15">
        <v>1</v>
      </c>
      <c r="G41" s="13">
        <v>1000</v>
      </c>
      <c r="H41" s="16">
        <f t="shared" si="0"/>
        <v>22990</v>
      </c>
      <c r="I41" s="17">
        <f>IF(OR(A41="",B41=""),"",IFERROR(LOOKUP(2,1/(单次交易!$A$2:$A$201=A41),单次交易!$H$2:$H$201),0)+SUMIFS($G$2:$G$1001,$A$2:$A$1001,A41,$B$2:$B$1001,"&lt;"&amp;B41))</f>
        <v>1900</v>
      </c>
      <c r="J41" s="16">
        <f>IF(OR(A41="",B41=""),"",IFERROR(LOOKUP(2,1/(单次交易!$A$2:$A$201=A41),单次交易!$E$2:$E$201)*LOOKUP(2,1/(单次交易!$A$2:$A$201=A41),单次交易!$H$2:$H$201),0)+SUMIFS($H$2:$H$1001,$A$2:$A$1001,A41,$B$2:$B$1001,"&lt;"&amp;B41))</f>
        <v>39976</v>
      </c>
      <c r="K41" s="16">
        <f t="shared" si="1"/>
        <v>874</v>
      </c>
      <c r="L41" s="17">
        <f t="shared" si="2"/>
        <v>500</v>
      </c>
      <c r="M41" s="17">
        <f t="shared" si="3"/>
        <v>500</v>
      </c>
      <c r="N41" s="17">
        <f t="shared" si="4"/>
        <v>500</v>
      </c>
      <c r="O41" s="17">
        <f t="shared" si="5"/>
        <v>2900</v>
      </c>
      <c r="P41" s="16">
        <f t="shared" si="6"/>
        <v>21.712413793103448</v>
      </c>
      <c r="Q41" s="16">
        <f t="shared" si="7"/>
        <v>616</v>
      </c>
      <c r="R41" s="18" t="str">
        <f t="shared" si="8"/>
        <v>违规：实际股数超过风险或金字塔上限</v>
      </c>
    </row>
    <row r="42" spans="1:18">
      <c r="A42" s="12">
        <v>36</v>
      </c>
      <c r="B42" s="13">
        <v>2</v>
      </c>
      <c r="C42" s="14">
        <v>44020</v>
      </c>
      <c r="D42" s="15">
        <v>25.58</v>
      </c>
      <c r="E42" s="15">
        <v>24</v>
      </c>
      <c r="F42" s="15">
        <v>1</v>
      </c>
      <c r="G42" s="13">
        <v>1000</v>
      </c>
      <c r="H42" s="16">
        <f t="shared" si="0"/>
        <v>25580</v>
      </c>
      <c r="I42" s="17">
        <f>IF(OR(A42="",B42=""),"",IFERROR(LOOKUP(2,1/(单次交易!$A$2:$A$201=A42),单次交易!$H$2:$H$201),0)+SUMIFS($G$2:$G$1001,$A$2:$A$1001,A42,$B$2:$B$1001,"&lt;"&amp;B42))</f>
        <v>2900</v>
      </c>
      <c r="J42" s="16">
        <f>IF(OR(A42="",B42=""),"",IFERROR(LOOKUP(2,1/(单次交易!$A$2:$A$201=A42),单次交易!$E$2:$E$201)*LOOKUP(2,1/(单次交易!$A$2:$A$201=A42),单次交易!$H$2:$H$201),0)+SUMIFS($H$2:$H$1001,$A$2:$A$1001,A42,$B$2:$B$1001,"&lt;"&amp;B42))</f>
        <v>62966</v>
      </c>
      <c r="K42" s="16">
        <f t="shared" si="1"/>
        <v>6634</v>
      </c>
      <c r="L42" s="17">
        <f t="shared" si="2"/>
        <v>4100</v>
      </c>
      <c r="M42" s="17">
        <f t="shared" si="3"/>
        <v>1000</v>
      </c>
      <c r="N42" s="17">
        <f t="shared" si="4"/>
        <v>1000</v>
      </c>
      <c r="O42" s="17">
        <f t="shared" si="5"/>
        <v>3900</v>
      </c>
      <c r="P42" s="16">
        <f t="shared" si="6"/>
        <v>22.704102564102563</v>
      </c>
      <c r="Q42" s="16">
        <f t="shared" si="7"/>
        <v>0</v>
      </c>
      <c r="R42" s="18" t="str">
        <f t="shared" si="8"/>
        <v>通过</v>
      </c>
    </row>
    <row r="43" spans="1:18">
      <c r="A43" s="12">
        <v>36</v>
      </c>
      <c r="B43" s="13">
        <v>3</v>
      </c>
      <c r="C43" s="14">
        <v>44028</v>
      </c>
      <c r="D43" s="15">
        <v>22.05</v>
      </c>
      <c r="E43" s="15">
        <v>22</v>
      </c>
      <c r="F43" s="15">
        <v>1</v>
      </c>
      <c r="G43" s="13">
        <v>500</v>
      </c>
      <c r="H43" s="16">
        <f t="shared" si="0"/>
        <v>11025</v>
      </c>
      <c r="I43" s="17">
        <f>IF(OR(A43="",B43=""),"",IFERROR(LOOKUP(2,1/(单次交易!$A$2:$A$201=A43),单次交易!$H$2:$H$201),0)+SUMIFS($G$2:$G$1001,$A$2:$A$1001,A43,$B$2:$B$1001,"&lt;"&amp;B43))</f>
        <v>3900</v>
      </c>
      <c r="J43" s="16">
        <f>IF(OR(A43="",B43=""),"",IFERROR(LOOKUP(2,1/(单次交易!$A$2:$A$201=A43),单次交易!$E$2:$E$201)*LOOKUP(2,1/(单次交易!$A$2:$A$201=A43),单次交易!$H$2:$H$201),0)+SUMIFS($H$2:$H$1001,$A$2:$A$1001,A43,$B$2:$B$1001,"&lt;"&amp;B43))</f>
        <v>88546</v>
      </c>
      <c r="K43" s="16">
        <f t="shared" si="1"/>
        <v>0</v>
      </c>
      <c r="L43" s="17">
        <f t="shared" si="2"/>
        <v>0</v>
      </c>
      <c r="M43" s="17">
        <f t="shared" si="3"/>
        <v>1000</v>
      </c>
      <c r="N43" s="17">
        <f t="shared" si="4"/>
        <v>0</v>
      </c>
      <c r="O43" s="17">
        <f t="shared" si="5"/>
        <v>4400</v>
      </c>
      <c r="P43" s="16">
        <f t="shared" si="6"/>
        <v>22.629772727272726</v>
      </c>
      <c r="Q43" s="16">
        <f t="shared" si="7"/>
        <v>2771</v>
      </c>
      <c r="R43" s="18" t="str">
        <f t="shared" si="8"/>
        <v>违规：新止损价不得低于上一次</v>
      </c>
    </row>
    <row r="44" spans="1:18">
      <c r="A44" s="12">
        <v>38</v>
      </c>
      <c r="B44" s="13">
        <v>1</v>
      </c>
      <c r="C44" s="14">
        <v>44144</v>
      </c>
      <c r="D44" s="15">
        <v>25</v>
      </c>
      <c r="E44" s="15">
        <v>24</v>
      </c>
      <c r="F44" s="15">
        <v>1</v>
      </c>
      <c r="G44" s="13">
        <v>1000</v>
      </c>
      <c r="H44" s="16">
        <f t="shared" si="0"/>
        <v>25000</v>
      </c>
      <c r="I44" s="17">
        <f>IF(OR(A44="",B44=""),"",IFERROR(LOOKUP(2,1/(单次交易!$A$2:$A$201=A44),单次交易!$H$2:$H$201),0)+SUMIFS($G$2:$G$1001,$A$2:$A$1001,A44,$B$2:$B$1001,"&lt;"&amp;B44))</f>
        <v>2800</v>
      </c>
      <c r="J44" s="16">
        <f>IF(OR(A44="",B44=""),"",IFERROR(LOOKUP(2,1/(单次交易!$A$2:$A$201=A44),单次交易!$E$2:$E$201)*LOOKUP(2,1/(单次交易!$A$2:$A$201=A44),单次交易!$H$2:$H$201),0)+SUMIFS($H$2:$H$1001,$A$2:$A$1001,A44,$B$2:$B$1001,"&lt;"&amp;B44))</f>
        <v>64819.999999999993</v>
      </c>
      <c r="K44" s="16">
        <f t="shared" si="1"/>
        <v>2380.0000000000073</v>
      </c>
      <c r="L44" s="17">
        <f t="shared" si="2"/>
        <v>2300</v>
      </c>
      <c r="M44" s="17">
        <f t="shared" si="3"/>
        <v>2300</v>
      </c>
      <c r="N44" s="17">
        <f t="shared" si="4"/>
        <v>2300</v>
      </c>
      <c r="O44" s="17">
        <f t="shared" si="5"/>
        <v>3800</v>
      </c>
      <c r="P44" s="16">
        <f t="shared" si="6"/>
        <v>23.63684210526316</v>
      </c>
      <c r="Q44" s="16">
        <f t="shared" si="7"/>
        <v>0</v>
      </c>
      <c r="R44" s="18" t="str">
        <f t="shared" si="8"/>
        <v>通过</v>
      </c>
    </row>
    <row r="45" spans="1:18">
      <c r="A45" s="12">
        <v>39</v>
      </c>
      <c r="B45" s="13">
        <v>1</v>
      </c>
      <c r="C45" s="14">
        <v>44369</v>
      </c>
      <c r="D45" s="15">
        <v>23.06</v>
      </c>
      <c r="E45" s="15">
        <v>22</v>
      </c>
      <c r="F45" s="15">
        <v>1</v>
      </c>
      <c r="G45" s="13">
        <v>500</v>
      </c>
      <c r="H45" s="16">
        <f t="shared" si="0"/>
        <v>11530</v>
      </c>
      <c r="I45" s="17">
        <f>IF(OR(A45="",B45=""),"",IFERROR(LOOKUP(2,1/(单次交易!$A$2:$A$201=A45),单次交易!$H$2:$H$201),0)+SUMIFS($G$2:$G$1001,$A$2:$A$1001,A45,$B$2:$B$1001,"&lt;"&amp;B45))</f>
        <v>2100</v>
      </c>
      <c r="J45" s="16">
        <f>IF(OR(A45="",B45=""),"",IFERROR(LOOKUP(2,1/(单次交易!$A$2:$A$201=A45),单次交易!$E$2:$E$201)*LOOKUP(2,1/(单次交易!$A$2:$A$201=A45),单次交易!$H$2:$H$201),0)+SUMIFS($H$2:$H$1001,$A$2:$A$1001,A45,$B$2:$B$1001,"&lt;"&amp;B45))</f>
        <v>43596</v>
      </c>
      <c r="K45" s="16">
        <f t="shared" si="1"/>
        <v>2604</v>
      </c>
      <c r="L45" s="17">
        <f t="shared" si="2"/>
        <v>2400</v>
      </c>
      <c r="M45" s="17">
        <f t="shared" si="3"/>
        <v>2400</v>
      </c>
      <c r="N45" s="17">
        <f t="shared" si="4"/>
        <v>2400</v>
      </c>
      <c r="O45" s="17">
        <f t="shared" si="5"/>
        <v>2600</v>
      </c>
      <c r="P45" s="16">
        <f t="shared" si="6"/>
        <v>21.202307692307691</v>
      </c>
      <c r="Q45" s="16">
        <f t="shared" si="7"/>
        <v>0</v>
      </c>
      <c r="R45" s="18" t="str">
        <f t="shared" si="8"/>
        <v>通过</v>
      </c>
    </row>
    <row r="46" spans="1:18" ht="27">
      <c r="A46" s="12">
        <v>40</v>
      </c>
      <c r="B46" s="13">
        <v>1</v>
      </c>
      <c r="C46" s="14">
        <v>44399</v>
      </c>
      <c r="D46" s="15">
        <v>25.31</v>
      </c>
      <c r="E46" s="15">
        <v>24</v>
      </c>
      <c r="F46" s="15">
        <v>1</v>
      </c>
      <c r="G46" s="13">
        <v>500</v>
      </c>
      <c r="H46" s="16">
        <f t="shared" si="0"/>
        <v>12655</v>
      </c>
      <c r="I46" s="17">
        <f>IF(OR(A46="",B46=""),"",IFERROR(LOOKUP(2,1/(单次交易!$A$2:$A$201=A46),单次交易!$H$2:$H$201),0)+SUMIFS($G$2:$G$1001,$A$2:$A$1001,A46,$B$2:$B$1001,"&lt;"&amp;B46))</f>
        <v>1500</v>
      </c>
      <c r="J46" s="16">
        <f>IF(OR(A46="",B46=""),"",IFERROR(LOOKUP(2,1/(单次交易!$A$2:$A$201=A46),单次交易!$E$2:$E$201)*LOOKUP(2,1/(单次交易!$A$2:$A$201=A46),单次交易!$H$2:$H$201),0)+SUMIFS($H$2:$H$1001,$A$2:$A$1001,A46,$B$2:$B$1001,"&lt;"&amp;B46))</f>
        <v>36060</v>
      </c>
      <c r="K46" s="16">
        <f t="shared" si="1"/>
        <v>0</v>
      </c>
      <c r="L46" s="17">
        <f t="shared" si="2"/>
        <v>0</v>
      </c>
      <c r="M46" s="17">
        <f t="shared" si="3"/>
        <v>0</v>
      </c>
      <c r="N46" s="17">
        <f t="shared" si="4"/>
        <v>0</v>
      </c>
      <c r="O46" s="17">
        <f t="shared" si="5"/>
        <v>2000</v>
      </c>
      <c r="P46" s="16">
        <f t="shared" si="6"/>
        <v>24.357500000000002</v>
      </c>
      <c r="Q46" s="16">
        <f t="shared" si="7"/>
        <v>715</v>
      </c>
      <c r="R46" s="18" t="str">
        <f t="shared" si="8"/>
        <v>违规：实际股数超过风险或金字塔上限</v>
      </c>
    </row>
    <row r="47" spans="1:18">
      <c r="A47" s="12">
        <v>40</v>
      </c>
      <c r="B47" s="13">
        <v>2</v>
      </c>
      <c r="C47" s="14">
        <v>44410</v>
      </c>
      <c r="D47" s="15">
        <v>28.7</v>
      </c>
      <c r="E47" s="15">
        <v>26</v>
      </c>
      <c r="F47" s="15">
        <v>1</v>
      </c>
      <c r="G47" s="13">
        <v>500</v>
      </c>
      <c r="H47" s="16">
        <f t="shared" si="0"/>
        <v>14350</v>
      </c>
      <c r="I47" s="17">
        <f>IF(OR(A47="",B47=""),"",IFERROR(LOOKUP(2,1/(单次交易!$A$2:$A$201=A47),单次交易!$H$2:$H$201),0)+SUMIFS($G$2:$G$1001,$A$2:$A$1001,A47,$B$2:$B$1001,"&lt;"&amp;B47))</f>
        <v>2000</v>
      </c>
      <c r="J47" s="16">
        <f>IF(OR(A47="",B47=""),"",IFERROR(LOOKUP(2,1/(单次交易!$A$2:$A$201=A47),单次交易!$E$2:$E$201)*LOOKUP(2,1/(单次交易!$A$2:$A$201=A47),单次交易!$H$2:$H$201),0)+SUMIFS($H$2:$H$1001,$A$2:$A$1001,A47,$B$2:$B$1001,"&lt;"&amp;B47))</f>
        <v>48715</v>
      </c>
      <c r="K47" s="16">
        <f t="shared" si="1"/>
        <v>3285</v>
      </c>
      <c r="L47" s="17">
        <f t="shared" si="2"/>
        <v>1200</v>
      </c>
      <c r="M47" s="17">
        <f t="shared" si="3"/>
        <v>500</v>
      </c>
      <c r="N47" s="17">
        <f t="shared" si="4"/>
        <v>500</v>
      </c>
      <c r="O47" s="17">
        <f t="shared" si="5"/>
        <v>2500</v>
      </c>
      <c r="P47" s="16">
        <f t="shared" si="6"/>
        <v>25.225999999999999</v>
      </c>
      <c r="Q47" s="16">
        <f t="shared" si="7"/>
        <v>0</v>
      </c>
      <c r="R47" s="18" t="str">
        <f t="shared" si="8"/>
        <v>通过</v>
      </c>
    </row>
    <row r="48" spans="1:18">
      <c r="A48" s="12">
        <v>41</v>
      </c>
      <c r="B48" s="13">
        <v>1</v>
      </c>
      <c r="C48" s="14">
        <v>44512</v>
      </c>
      <c r="D48" s="15">
        <v>31.03</v>
      </c>
      <c r="E48" s="15">
        <v>30</v>
      </c>
      <c r="F48" s="15">
        <v>1</v>
      </c>
      <c r="G48" s="13">
        <v>500</v>
      </c>
      <c r="H48" s="16">
        <f t="shared" si="0"/>
        <v>15515</v>
      </c>
      <c r="I48" s="17">
        <f>IF(OR(A48="",B48=""),"",IFERROR(LOOKUP(2,1/(单次交易!$A$2:$A$201=A48),单次交易!$H$2:$H$201),0)+SUMIFS($G$2:$G$1001,$A$2:$A$1001,A48,$B$2:$B$1001,"&lt;"&amp;B48))</f>
        <v>1300</v>
      </c>
      <c r="J48" s="16">
        <f>IF(OR(A48="",B48=""),"",IFERROR(LOOKUP(2,1/(单次交易!$A$2:$A$201=A48),单次交易!$E$2:$E$201)*LOOKUP(2,1/(单次交易!$A$2:$A$201=A48),单次交易!$H$2:$H$201),0)+SUMIFS($H$2:$H$1001,$A$2:$A$1001,A48,$B$2:$B$1001,"&lt;"&amp;B48))</f>
        <v>36712</v>
      </c>
      <c r="K48" s="16">
        <f t="shared" si="1"/>
        <v>2288</v>
      </c>
      <c r="L48" s="17">
        <f t="shared" si="2"/>
        <v>2200</v>
      </c>
      <c r="M48" s="17">
        <f t="shared" si="3"/>
        <v>2200</v>
      </c>
      <c r="N48" s="17">
        <f t="shared" si="4"/>
        <v>2200</v>
      </c>
      <c r="O48" s="17">
        <f t="shared" si="5"/>
        <v>1800</v>
      </c>
      <c r="P48" s="16">
        <f t="shared" si="6"/>
        <v>29.015000000000001</v>
      </c>
      <c r="Q48" s="16">
        <f t="shared" si="7"/>
        <v>0</v>
      </c>
      <c r="R48" s="18" t="str">
        <f t="shared" si="8"/>
        <v>通过</v>
      </c>
    </row>
    <row r="49" spans="1:18" ht="27">
      <c r="A49" s="12">
        <v>42</v>
      </c>
      <c r="B49" s="13">
        <v>1</v>
      </c>
      <c r="C49" s="14">
        <v>44523</v>
      </c>
      <c r="D49" s="15">
        <v>24.22</v>
      </c>
      <c r="E49" s="15">
        <v>24</v>
      </c>
      <c r="F49" s="15">
        <v>1</v>
      </c>
      <c r="G49" s="13">
        <v>1000</v>
      </c>
      <c r="H49" s="16">
        <f t="shared" si="0"/>
        <v>24220</v>
      </c>
      <c r="I49" s="17">
        <f>IF(OR(A49="",B49=""),"",IFERROR(LOOKUP(2,1/(单次交易!$A$2:$A$201=A49),单次交易!$H$2:$H$201),0)+SUMIFS($G$2:$G$1001,$A$2:$A$1001,A49,$B$2:$B$1001,"&lt;"&amp;B49))</f>
        <v>1600</v>
      </c>
      <c r="J49" s="16">
        <f>IF(OR(A49="",B49=""),"",IFERROR(LOOKUP(2,1/(单次交易!$A$2:$A$201=A49),单次交易!$E$2:$E$201)*LOOKUP(2,1/(单次交易!$A$2:$A$201=A49),单次交易!$H$2:$H$201),0)+SUMIFS($H$2:$H$1001,$A$2:$A$1001,A49,$B$2:$B$1001,"&lt;"&amp;B49))</f>
        <v>41632</v>
      </c>
      <c r="K49" s="16">
        <f t="shared" si="1"/>
        <v>0</v>
      </c>
      <c r="L49" s="17">
        <f t="shared" si="2"/>
        <v>0</v>
      </c>
      <c r="M49" s="17">
        <f t="shared" si="3"/>
        <v>0</v>
      </c>
      <c r="N49" s="17">
        <f t="shared" si="4"/>
        <v>0</v>
      </c>
      <c r="O49" s="17">
        <f t="shared" si="5"/>
        <v>2600</v>
      </c>
      <c r="P49" s="16">
        <f t="shared" si="6"/>
        <v>25.327692307692306</v>
      </c>
      <c r="Q49" s="16">
        <f t="shared" si="7"/>
        <v>3452</v>
      </c>
      <c r="R49" s="18" t="str">
        <f t="shared" si="8"/>
        <v>违规：实际股数超过风险或金字塔上限</v>
      </c>
    </row>
    <row r="50" spans="1:18" ht="27">
      <c r="A50" s="12">
        <v>43</v>
      </c>
      <c r="B50" s="13">
        <v>1</v>
      </c>
      <c r="C50" s="14">
        <v>44645</v>
      </c>
      <c r="D50" s="15">
        <v>20.32</v>
      </c>
      <c r="E50" s="15">
        <v>20</v>
      </c>
      <c r="F50" s="15">
        <v>1</v>
      </c>
      <c r="G50" s="13">
        <v>2300</v>
      </c>
      <c r="H50" s="16">
        <f t="shared" si="0"/>
        <v>46736</v>
      </c>
      <c r="I50" s="17">
        <f>IF(OR(A50="",B50=""),"",IFERROR(LOOKUP(2,1/(单次交易!$A$2:$A$201=A50),单次交易!$H$2:$H$201),0)+SUMIFS($G$2:$G$1001,$A$2:$A$1001,A50,$B$2:$B$1001,"&lt;"&amp;B50))</f>
        <v>1200</v>
      </c>
      <c r="J50" s="16">
        <f>IF(OR(A50="",B50=""),"",IFERROR(LOOKUP(2,1/(单次交易!$A$2:$A$201=A50),单次交易!$E$2:$E$201)*LOOKUP(2,1/(单次交易!$A$2:$A$201=A50),单次交易!$H$2:$H$201),0)+SUMIFS($H$2:$H$1001,$A$2:$A$1001,A50,$B$2:$B$1001,"&lt;"&amp;B50))</f>
        <v>26028</v>
      </c>
      <c r="K50" s="16">
        <f t="shared" si="1"/>
        <v>0</v>
      </c>
      <c r="L50" s="17">
        <f t="shared" si="2"/>
        <v>0</v>
      </c>
      <c r="M50" s="17">
        <f t="shared" si="3"/>
        <v>0</v>
      </c>
      <c r="N50" s="17">
        <f t="shared" si="4"/>
        <v>0</v>
      </c>
      <c r="O50" s="17">
        <f t="shared" si="5"/>
        <v>3500</v>
      </c>
      <c r="P50" s="16">
        <f t="shared" si="6"/>
        <v>20.789714285714286</v>
      </c>
      <c r="Q50" s="16">
        <f t="shared" si="7"/>
        <v>2764</v>
      </c>
      <c r="R50" s="18" t="str">
        <f t="shared" si="8"/>
        <v>违规：实际股数超过风险或金字塔上限</v>
      </c>
    </row>
    <row r="51" spans="1:18" ht="27">
      <c r="A51" s="12">
        <v>45</v>
      </c>
      <c r="B51" s="13">
        <v>1</v>
      </c>
      <c r="C51" s="14">
        <v>44712</v>
      </c>
      <c r="D51" s="15">
        <v>19.670000000000002</v>
      </c>
      <c r="E51" s="15">
        <v>18</v>
      </c>
      <c r="F51" s="15">
        <v>1</v>
      </c>
      <c r="G51" s="13">
        <v>1000</v>
      </c>
      <c r="H51" s="16">
        <f t="shared" si="0"/>
        <v>19670</v>
      </c>
      <c r="I51" s="17">
        <f>IF(OR(A51="",B51=""),"",IFERROR(LOOKUP(2,1/(单次交易!$A$2:$A$201=A51),单次交易!$H$2:$H$201),0)+SUMIFS($G$2:$G$1001,$A$2:$A$1001,A51,$B$2:$B$1001,"&lt;"&amp;B51))</f>
        <v>900</v>
      </c>
      <c r="J51" s="16">
        <f>IF(OR(A51="",B51=""),"",IFERROR(LOOKUP(2,1/(单次交易!$A$2:$A$201=A51),单次交易!$E$2:$E$201)*LOOKUP(2,1/(单次交易!$A$2:$A$201=A51),单次交易!$H$2:$H$201),0)+SUMIFS($H$2:$H$1001,$A$2:$A$1001,A51,$B$2:$B$1001,"&lt;"&amp;B51))</f>
        <v>16299</v>
      </c>
      <c r="K51" s="16">
        <f t="shared" si="1"/>
        <v>0</v>
      </c>
      <c r="L51" s="17">
        <f t="shared" si="2"/>
        <v>0</v>
      </c>
      <c r="M51" s="17">
        <f t="shared" si="3"/>
        <v>0</v>
      </c>
      <c r="N51" s="17">
        <f t="shared" si="4"/>
        <v>0</v>
      </c>
      <c r="O51" s="17">
        <f t="shared" si="5"/>
        <v>1900</v>
      </c>
      <c r="P51" s="16">
        <f t="shared" si="6"/>
        <v>18.931052631578947</v>
      </c>
      <c r="Q51" s="16">
        <f t="shared" si="7"/>
        <v>1769</v>
      </c>
      <c r="R51" s="18" t="str">
        <f t="shared" si="8"/>
        <v>违规：实际股数超过风险或金字塔上限</v>
      </c>
    </row>
    <row r="52" spans="1:18">
      <c r="A52" s="12">
        <v>45</v>
      </c>
      <c r="B52" s="13">
        <v>2</v>
      </c>
      <c r="C52" s="14">
        <v>44726</v>
      </c>
      <c r="D52" s="15">
        <v>20.97</v>
      </c>
      <c r="E52" s="15">
        <v>20</v>
      </c>
      <c r="F52" s="15">
        <v>1</v>
      </c>
      <c r="G52" s="13">
        <v>800</v>
      </c>
      <c r="H52" s="16">
        <f t="shared" si="0"/>
        <v>16776</v>
      </c>
      <c r="I52" s="17">
        <f>IF(OR(A52="",B52=""),"",IFERROR(LOOKUP(2,1/(单次交易!$A$2:$A$201=A52),单次交易!$H$2:$H$201),0)+SUMIFS($G$2:$G$1001,$A$2:$A$1001,A52,$B$2:$B$1001,"&lt;"&amp;B52))</f>
        <v>1900</v>
      </c>
      <c r="J52" s="16">
        <f>IF(OR(A52="",B52=""),"",IFERROR(LOOKUP(2,1/(单次交易!$A$2:$A$201=A52),单次交易!$E$2:$E$201)*LOOKUP(2,1/(单次交易!$A$2:$A$201=A52),单次交易!$H$2:$H$201),0)+SUMIFS($H$2:$H$1001,$A$2:$A$1001,A52,$B$2:$B$1001,"&lt;"&amp;B52))</f>
        <v>35969</v>
      </c>
      <c r="K52" s="16">
        <f t="shared" si="1"/>
        <v>2031</v>
      </c>
      <c r="L52" s="17">
        <f t="shared" si="2"/>
        <v>2000</v>
      </c>
      <c r="M52" s="17">
        <f t="shared" si="3"/>
        <v>1000</v>
      </c>
      <c r="N52" s="17">
        <f t="shared" si="4"/>
        <v>1000</v>
      </c>
      <c r="O52" s="17">
        <f t="shared" si="5"/>
        <v>2700</v>
      </c>
      <c r="P52" s="16">
        <f t="shared" si="6"/>
        <v>19.535185185185185</v>
      </c>
      <c r="Q52" s="16">
        <f t="shared" si="7"/>
        <v>0</v>
      </c>
      <c r="R52" s="18" t="str">
        <f t="shared" si="8"/>
        <v>通过</v>
      </c>
    </row>
    <row r="53" spans="1:18" ht="27">
      <c r="A53" s="12">
        <v>47</v>
      </c>
      <c r="B53" s="13">
        <v>1</v>
      </c>
      <c r="C53" s="14">
        <v>44851</v>
      </c>
      <c r="D53" s="15">
        <v>18.07</v>
      </c>
      <c r="E53" s="15">
        <v>17</v>
      </c>
      <c r="F53" s="15">
        <v>1</v>
      </c>
      <c r="G53" s="13">
        <v>1000</v>
      </c>
      <c r="H53" s="16">
        <f t="shared" si="0"/>
        <v>18070</v>
      </c>
      <c r="I53" s="17">
        <f>IF(OR(A53="",B53=""),"",IFERROR(LOOKUP(2,1/(单次交易!$A$2:$A$201=A53),单次交易!$H$2:$H$201),0)+SUMIFS($G$2:$G$1001,$A$2:$A$1001,A53,$B$2:$B$1001,"&lt;"&amp;B53))</f>
        <v>1200</v>
      </c>
      <c r="J53" s="16">
        <f>IF(OR(A53="",B53=""),"",IFERROR(LOOKUP(2,1/(单次交易!$A$2:$A$201=A53),单次交易!$E$2:$E$201)*LOOKUP(2,1/(单次交易!$A$2:$A$201=A53),单次交易!$H$2:$H$201),0)+SUMIFS($H$2:$H$1001,$A$2:$A$1001,A53,$B$2:$B$1001,"&lt;"&amp;B53))</f>
        <v>20856</v>
      </c>
      <c r="K53" s="16">
        <f t="shared" si="1"/>
        <v>0</v>
      </c>
      <c r="L53" s="17">
        <f t="shared" si="2"/>
        <v>0</v>
      </c>
      <c r="M53" s="17">
        <f t="shared" si="3"/>
        <v>0</v>
      </c>
      <c r="N53" s="17">
        <f t="shared" si="4"/>
        <v>0</v>
      </c>
      <c r="O53" s="17">
        <f t="shared" si="5"/>
        <v>2200</v>
      </c>
      <c r="P53" s="16">
        <f t="shared" si="6"/>
        <v>17.693636363636365</v>
      </c>
      <c r="Q53" s="16">
        <f t="shared" si="7"/>
        <v>1526</v>
      </c>
      <c r="R53" s="18" t="str">
        <f t="shared" si="8"/>
        <v>违规：实际股数超过风险或金字塔上限</v>
      </c>
    </row>
    <row r="54" spans="1:18">
      <c r="A54" s="12">
        <v>47</v>
      </c>
      <c r="B54" s="13">
        <v>2</v>
      </c>
      <c r="C54" s="14">
        <v>44846</v>
      </c>
      <c r="D54" s="15">
        <v>18.98</v>
      </c>
      <c r="E54" s="15">
        <v>18</v>
      </c>
      <c r="F54" s="15">
        <v>1</v>
      </c>
      <c r="G54" s="13">
        <v>500</v>
      </c>
      <c r="H54" s="16">
        <f t="shared" si="0"/>
        <v>9490</v>
      </c>
      <c r="I54" s="17">
        <f>IF(OR(A54="",B54=""),"",IFERROR(LOOKUP(2,1/(单次交易!$A$2:$A$201=A54),单次交易!$H$2:$H$201),0)+SUMIFS($G$2:$G$1001,$A$2:$A$1001,A54,$B$2:$B$1001,"&lt;"&amp;B54))</f>
        <v>2200</v>
      </c>
      <c r="J54" s="16">
        <f>IF(OR(A54="",B54=""),"",IFERROR(LOOKUP(2,1/(单次交易!$A$2:$A$201=A54),单次交易!$E$2:$E$201)*LOOKUP(2,1/(单次交易!$A$2:$A$201=A54),单次交易!$H$2:$H$201),0)+SUMIFS($H$2:$H$1001,$A$2:$A$1001,A54,$B$2:$B$1001,"&lt;"&amp;B54))</f>
        <v>38926</v>
      </c>
      <c r="K54" s="16">
        <f t="shared" si="1"/>
        <v>674</v>
      </c>
      <c r="L54" s="17">
        <f t="shared" si="2"/>
        <v>600</v>
      </c>
      <c r="M54" s="17">
        <f t="shared" si="3"/>
        <v>1000</v>
      </c>
      <c r="N54" s="17">
        <f t="shared" si="4"/>
        <v>600</v>
      </c>
      <c r="O54" s="17">
        <f t="shared" si="5"/>
        <v>2700</v>
      </c>
      <c r="P54" s="16">
        <f t="shared" si="6"/>
        <v>17.931851851851853</v>
      </c>
      <c r="Q54" s="16">
        <f t="shared" si="7"/>
        <v>0</v>
      </c>
      <c r="R54" s="18" t="str">
        <f t="shared" si="8"/>
        <v>违规：同一交易的加仓序号重复</v>
      </c>
    </row>
    <row r="55" spans="1:18">
      <c r="A55" s="12">
        <v>47</v>
      </c>
      <c r="B55" s="13">
        <v>2</v>
      </c>
      <c r="C55" s="14">
        <v>44986</v>
      </c>
      <c r="D55" s="15">
        <v>20.32</v>
      </c>
      <c r="E55" s="15">
        <v>19</v>
      </c>
      <c r="F55" s="15">
        <v>1</v>
      </c>
      <c r="G55" s="13">
        <v>500</v>
      </c>
      <c r="H55" s="16">
        <f t="shared" si="0"/>
        <v>10160</v>
      </c>
      <c r="I55" s="17">
        <f>IF(OR(A55="",B55=""),"",IFERROR(LOOKUP(2,1/(单次交易!$A$2:$A$201=A55),单次交易!$H$2:$H$201),0)+SUMIFS($G$2:$G$1001,$A$2:$A$1001,A55,$B$2:$B$1001,"&lt;"&amp;B55))</f>
        <v>2200</v>
      </c>
      <c r="J55" s="16">
        <f>IF(OR(A55="",B55=""),"",IFERROR(LOOKUP(2,1/(单次交易!$A$2:$A$201=A55),单次交易!$E$2:$E$201)*LOOKUP(2,1/(单次交易!$A$2:$A$201=A55),单次交易!$H$2:$H$201),0)+SUMIFS($H$2:$H$1001,$A$2:$A$1001,A55,$B$2:$B$1001,"&lt;"&amp;B55))</f>
        <v>38926</v>
      </c>
      <c r="K55" s="16">
        <f t="shared" si="1"/>
        <v>2874</v>
      </c>
      <c r="L55" s="17">
        <f t="shared" si="2"/>
        <v>2100</v>
      </c>
      <c r="M55" s="17">
        <f t="shared" si="3"/>
        <v>1000</v>
      </c>
      <c r="N55" s="17">
        <f t="shared" si="4"/>
        <v>1000</v>
      </c>
      <c r="O55" s="17">
        <f t="shared" si="5"/>
        <v>2700</v>
      </c>
      <c r="P55" s="16">
        <f t="shared" si="6"/>
        <v>18.18</v>
      </c>
      <c r="Q55" s="16">
        <f t="shared" si="7"/>
        <v>0</v>
      </c>
      <c r="R55" s="18" t="str">
        <f t="shared" si="8"/>
        <v>违规：同一交易的加仓序号重复</v>
      </c>
    </row>
    <row r="56" spans="1:18" ht="27">
      <c r="A56" s="12">
        <v>48</v>
      </c>
      <c r="B56" s="13">
        <v>1</v>
      </c>
      <c r="C56" s="14">
        <v>45012</v>
      </c>
      <c r="D56" s="15">
        <v>23.58</v>
      </c>
      <c r="E56" s="15">
        <v>22</v>
      </c>
      <c r="F56" s="15">
        <v>1</v>
      </c>
      <c r="G56" s="13">
        <v>500</v>
      </c>
      <c r="H56" s="16">
        <f t="shared" si="0"/>
        <v>11790</v>
      </c>
      <c r="I56" s="17">
        <f>IF(OR(A56="",B56=""),"",IFERROR(LOOKUP(2,1/(单次交易!$A$2:$A$201=A56),单次交易!$H$2:$H$201),0)+SUMIFS($G$2:$G$1001,$A$2:$A$1001,A56,$B$2:$B$1001,"&lt;"&amp;B56))</f>
        <v>1000</v>
      </c>
      <c r="J56" s="16">
        <f>IF(OR(A56="",B56=""),"",IFERROR(LOOKUP(2,1/(单次交易!$A$2:$A$201=A56),单次交易!$E$2:$E$201)*LOOKUP(2,1/(单次交易!$A$2:$A$201=A56),单次交易!$H$2:$H$201),0)+SUMIFS($H$2:$H$1001,$A$2:$A$1001,A56,$B$2:$B$1001,"&lt;"&amp;B56))</f>
        <v>22110</v>
      </c>
      <c r="K56" s="16">
        <f t="shared" si="1"/>
        <v>0</v>
      </c>
      <c r="L56" s="17">
        <f t="shared" si="2"/>
        <v>0</v>
      </c>
      <c r="M56" s="17">
        <f t="shared" si="3"/>
        <v>0</v>
      </c>
      <c r="N56" s="17">
        <f t="shared" si="4"/>
        <v>0</v>
      </c>
      <c r="O56" s="17">
        <f t="shared" si="5"/>
        <v>1500</v>
      </c>
      <c r="P56" s="16">
        <f t="shared" si="6"/>
        <v>22.6</v>
      </c>
      <c r="Q56" s="16">
        <f t="shared" si="7"/>
        <v>900</v>
      </c>
      <c r="R56" s="18" t="str">
        <f t="shared" si="8"/>
        <v>违规：实际股数超过风险或金字塔上限</v>
      </c>
    </row>
    <row r="57" spans="1:18">
      <c r="A57" s="12">
        <v>48</v>
      </c>
      <c r="B57" s="13">
        <v>2</v>
      </c>
      <c r="C57" s="14">
        <v>45016</v>
      </c>
      <c r="D57" s="15">
        <v>24.71</v>
      </c>
      <c r="E57" s="15">
        <v>23.5</v>
      </c>
      <c r="F57" s="15">
        <v>1</v>
      </c>
      <c r="G57" s="13">
        <v>500</v>
      </c>
      <c r="H57" s="16">
        <f t="shared" si="0"/>
        <v>12355</v>
      </c>
      <c r="I57" s="17">
        <f>IF(OR(A57="",B57=""),"",IFERROR(LOOKUP(2,1/(单次交易!$A$2:$A$201=A57),单次交易!$H$2:$H$201),0)+SUMIFS($G$2:$G$1001,$A$2:$A$1001,A57,$B$2:$B$1001,"&lt;"&amp;B57))</f>
        <v>1500</v>
      </c>
      <c r="J57" s="16">
        <f>IF(OR(A57="",B57=""),"",IFERROR(LOOKUP(2,1/(单次交易!$A$2:$A$201=A57),单次交易!$E$2:$E$201)*LOOKUP(2,1/(单次交易!$A$2:$A$201=A57),单次交易!$H$2:$H$201),0)+SUMIFS($H$2:$H$1001,$A$2:$A$1001,A57,$B$2:$B$1001,"&lt;"&amp;B57))</f>
        <v>33900</v>
      </c>
      <c r="K57" s="16">
        <f t="shared" si="1"/>
        <v>1350</v>
      </c>
      <c r="L57" s="17">
        <f t="shared" si="2"/>
        <v>1100</v>
      </c>
      <c r="M57" s="17">
        <f t="shared" si="3"/>
        <v>500</v>
      </c>
      <c r="N57" s="17">
        <f t="shared" si="4"/>
        <v>500</v>
      </c>
      <c r="O57" s="17">
        <f t="shared" si="5"/>
        <v>2000</v>
      </c>
      <c r="P57" s="16">
        <f t="shared" si="6"/>
        <v>23.127500000000001</v>
      </c>
      <c r="Q57" s="16">
        <f t="shared" si="7"/>
        <v>0</v>
      </c>
      <c r="R57" s="18" t="str">
        <f t="shared" si="8"/>
        <v>通过</v>
      </c>
    </row>
    <row r="58" spans="1:18">
      <c r="A58" s="12">
        <v>48</v>
      </c>
      <c r="B58" s="13">
        <v>3</v>
      </c>
      <c r="C58" s="14">
        <v>45019</v>
      </c>
      <c r="D58" s="15">
        <v>27.25</v>
      </c>
      <c r="E58" s="15">
        <v>26</v>
      </c>
      <c r="F58" s="15">
        <v>1</v>
      </c>
      <c r="G58" s="13">
        <v>500</v>
      </c>
      <c r="H58" s="16">
        <f t="shared" si="0"/>
        <v>13625</v>
      </c>
      <c r="I58" s="17">
        <f>IF(OR(A58="",B58=""),"",IFERROR(LOOKUP(2,1/(单次交易!$A$2:$A$201=A58),单次交易!$H$2:$H$201),0)+SUMIFS($G$2:$G$1001,$A$2:$A$1001,A58,$B$2:$B$1001,"&lt;"&amp;B58))</f>
        <v>2000</v>
      </c>
      <c r="J58" s="16">
        <f>IF(OR(A58="",B58=""),"",IFERROR(LOOKUP(2,1/(单次交易!$A$2:$A$201=A58),单次交易!$E$2:$E$201)*LOOKUP(2,1/(单次交易!$A$2:$A$201=A58),单次交易!$H$2:$H$201),0)+SUMIFS($H$2:$H$1001,$A$2:$A$1001,A58,$B$2:$B$1001,"&lt;"&amp;B58))</f>
        <v>46255</v>
      </c>
      <c r="K58" s="16">
        <f t="shared" si="1"/>
        <v>5745</v>
      </c>
      <c r="L58" s="17">
        <f t="shared" si="2"/>
        <v>4500</v>
      </c>
      <c r="M58" s="17">
        <f t="shared" si="3"/>
        <v>500</v>
      </c>
      <c r="N58" s="17">
        <f t="shared" si="4"/>
        <v>500</v>
      </c>
      <c r="O58" s="17">
        <f t="shared" si="5"/>
        <v>2500</v>
      </c>
      <c r="P58" s="16">
        <f t="shared" si="6"/>
        <v>23.952000000000002</v>
      </c>
      <c r="Q58" s="16">
        <f t="shared" si="7"/>
        <v>0</v>
      </c>
      <c r="R58" s="18" t="str">
        <f t="shared" si="8"/>
        <v>通过</v>
      </c>
    </row>
    <row r="59" spans="1:18" ht="27">
      <c r="A59" s="12">
        <v>50</v>
      </c>
      <c r="B59" s="13">
        <v>1</v>
      </c>
      <c r="C59" s="14">
        <v>45086</v>
      </c>
      <c r="D59" s="15">
        <v>35.83</v>
      </c>
      <c r="E59" s="15">
        <v>33</v>
      </c>
      <c r="F59" s="15">
        <v>1</v>
      </c>
      <c r="G59" s="13">
        <v>500</v>
      </c>
      <c r="H59" s="16">
        <f t="shared" si="0"/>
        <v>17915</v>
      </c>
      <c r="I59" s="17">
        <f>IF(OR(A59="",B59=""),"",IFERROR(LOOKUP(2,1/(单次交易!$A$2:$A$201=A59),单次交易!$H$2:$H$201),0)+SUMIFS($G$2:$G$1001,$A$2:$A$1001,A59,$B$2:$B$1001,"&lt;"&amp;B59))</f>
        <v>700</v>
      </c>
      <c r="J59" s="16">
        <f>IF(OR(A59="",B59=""),"",IFERROR(LOOKUP(2,1/(单次交易!$A$2:$A$201=A59),单次交易!$E$2:$E$201)*LOOKUP(2,1/(单次交易!$A$2:$A$201=A59),单次交易!$H$2:$H$201),0)+SUMIFS($H$2:$H$1001,$A$2:$A$1001,A59,$B$2:$B$1001,"&lt;"&amp;B59))</f>
        <v>23142</v>
      </c>
      <c r="K59" s="16">
        <f t="shared" si="1"/>
        <v>0</v>
      </c>
      <c r="L59" s="17">
        <f t="shared" si="2"/>
        <v>0</v>
      </c>
      <c r="M59" s="17">
        <f t="shared" si="3"/>
        <v>0</v>
      </c>
      <c r="N59" s="17">
        <f t="shared" si="4"/>
        <v>0</v>
      </c>
      <c r="O59" s="17">
        <f t="shared" si="5"/>
        <v>1200</v>
      </c>
      <c r="P59" s="16">
        <f t="shared" si="6"/>
        <v>34.214166666666664</v>
      </c>
      <c r="Q59" s="16">
        <f t="shared" si="7"/>
        <v>1457</v>
      </c>
      <c r="R59" s="18" t="str">
        <f t="shared" si="8"/>
        <v>违规：实际股数超过风险或金字塔上限</v>
      </c>
    </row>
    <row r="60" spans="1:18">
      <c r="A60" s="12">
        <v>50</v>
      </c>
      <c r="B60" s="13">
        <v>2</v>
      </c>
      <c r="C60" s="14">
        <v>45093</v>
      </c>
      <c r="D60" s="15">
        <v>40.53</v>
      </c>
      <c r="E60" s="15">
        <v>37</v>
      </c>
      <c r="F60" s="15">
        <v>1</v>
      </c>
      <c r="G60" s="13">
        <v>400</v>
      </c>
      <c r="H60" s="16">
        <f t="shared" si="0"/>
        <v>16212</v>
      </c>
      <c r="I60" s="17">
        <f>IF(OR(A60="",B60=""),"",IFERROR(LOOKUP(2,1/(单次交易!$A$2:$A$201=A60),单次交易!$H$2:$H$201),0)+SUMIFS($G$2:$G$1001,$A$2:$A$1001,A60,$B$2:$B$1001,"&lt;"&amp;B60))</f>
        <v>1200</v>
      </c>
      <c r="J60" s="16">
        <f>IF(OR(A60="",B60=""),"",IFERROR(LOOKUP(2,1/(单次交易!$A$2:$A$201=A60),单次交易!$E$2:$E$201)*LOOKUP(2,1/(单次交易!$A$2:$A$201=A60),单次交易!$H$2:$H$201),0)+SUMIFS($H$2:$H$1001,$A$2:$A$1001,A60,$B$2:$B$1001,"&lt;"&amp;B60))</f>
        <v>41057</v>
      </c>
      <c r="K60" s="16">
        <f t="shared" si="1"/>
        <v>3343</v>
      </c>
      <c r="L60" s="17">
        <f t="shared" si="2"/>
        <v>900</v>
      </c>
      <c r="M60" s="17">
        <f t="shared" si="3"/>
        <v>500</v>
      </c>
      <c r="N60" s="17">
        <f t="shared" si="4"/>
        <v>500</v>
      </c>
      <c r="O60" s="17">
        <f t="shared" si="5"/>
        <v>1600</v>
      </c>
      <c r="P60" s="16">
        <f t="shared" si="6"/>
        <v>35.793125000000003</v>
      </c>
      <c r="Q60" s="16">
        <f t="shared" si="7"/>
        <v>0</v>
      </c>
      <c r="R60" s="18" t="str">
        <f t="shared" si="8"/>
        <v>通过</v>
      </c>
    </row>
    <row r="61" spans="1:18" ht="27">
      <c r="A61" s="12">
        <v>51</v>
      </c>
      <c r="B61" s="13">
        <v>1</v>
      </c>
      <c r="C61" s="14">
        <v>45124</v>
      </c>
      <c r="D61" s="15">
        <v>44.7</v>
      </c>
      <c r="E61" s="15">
        <v>40</v>
      </c>
      <c r="F61" s="15">
        <v>1</v>
      </c>
      <c r="G61" s="13">
        <v>500</v>
      </c>
      <c r="H61" s="16">
        <f t="shared" si="0"/>
        <v>22350</v>
      </c>
      <c r="I61" s="17">
        <f>IF(OR(A61="",B61=""),"",IFERROR(LOOKUP(2,1/(单次交易!$A$2:$A$201=A61),单次交易!$H$2:$H$201),0)+SUMIFS($G$2:$G$1001,$A$2:$A$1001,A61,$B$2:$B$1001,"&lt;"&amp;B61))</f>
        <v>1000</v>
      </c>
      <c r="J61" s="16">
        <f>IF(OR(A61="",B61=""),"",IFERROR(LOOKUP(2,1/(单次交易!$A$2:$A$201=A61),单次交易!$E$2:$E$201)*LOOKUP(2,1/(单次交易!$A$2:$A$201=A61),单次交易!$H$2:$H$201),0)+SUMIFS($H$2:$H$1001,$A$2:$A$1001,A61,$B$2:$B$1001,"&lt;"&amp;B61))</f>
        <v>39500</v>
      </c>
      <c r="K61" s="16">
        <f t="shared" si="1"/>
        <v>500</v>
      </c>
      <c r="L61" s="17">
        <f t="shared" si="2"/>
        <v>100</v>
      </c>
      <c r="M61" s="17">
        <f t="shared" si="3"/>
        <v>100</v>
      </c>
      <c r="N61" s="17">
        <f t="shared" si="4"/>
        <v>100</v>
      </c>
      <c r="O61" s="17">
        <f t="shared" si="5"/>
        <v>1500</v>
      </c>
      <c r="P61" s="16">
        <f t="shared" si="6"/>
        <v>41.233333333333334</v>
      </c>
      <c r="Q61" s="16">
        <f t="shared" si="7"/>
        <v>1850</v>
      </c>
      <c r="R61" s="18" t="str">
        <f t="shared" si="8"/>
        <v>违规：实际股数超过风险或金字塔上限</v>
      </c>
    </row>
    <row r="62" spans="1:18" ht="27">
      <c r="A62" s="12">
        <v>56</v>
      </c>
      <c r="B62" s="13">
        <v>1</v>
      </c>
      <c r="C62" s="14">
        <v>45341</v>
      </c>
      <c r="D62" s="15">
        <v>30</v>
      </c>
      <c r="E62" s="15">
        <v>30</v>
      </c>
      <c r="F62" s="15">
        <v>1</v>
      </c>
      <c r="G62" s="13">
        <v>500</v>
      </c>
      <c r="H62" s="16">
        <f t="shared" si="0"/>
        <v>15000</v>
      </c>
      <c r="I62" s="17">
        <f>IF(OR(A62="",B62=""),"",IFERROR(LOOKUP(2,1/(单次交易!$A$2:$A$201=A62),单次交易!$H$2:$H$201),0)+SUMIFS($G$2:$G$1001,$A$2:$A$1001,A62,$B$2:$B$1001,"&lt;"&amp;B62))</f>
        <v>1900</v>
      </c>
      <c r="J62" s="16">
        <f>IF(OR(A62="",B62=""),"",IFERROR(LOOKUP(2,1/(单次交易!$A$2:$A$201=A62),单次交易!$E$2:$E$201)*LOOKUP(2,1/(单次交易!$A$2:$A$201=A62),单次交易!$H$2:$H$201),0)+SUMIFS($H$2:$H$1001,$A$2:$A$1001,A62,$B$2:$B$1001,"&lt;"&amp;B62))</f>
        <v>48773</v>
      </c>
      <c r="K62" s="16">
        <f t="shared" si="1"/>
        <v>8227</v>
      </c>
      <c r="L62" s="17" t="str">
        <f t="shared" si="2"/>
        <v/>
      </c>
      <c r="M62" s="17" t="str">
        <f t="shared" si="3"/>
        <v/>
      </c>
      <c r="N62" s="17" t="str">
        <f t="shared" si="4"/>
        <v/>
      </c>
      <c r="O62" s="17">
        <f t="shared" si="5"/>
        <v>2400</v>
      </c>
      <c r="P62" s="16">
        <f t="shared" si="6"/>
        <v>26.572083333333332</v>
      </c>
      <c r="Q62" s="16">
        <f t="shared" si="7"/>
        <v>0</v>
      </c>
      <c r="R62" s="18" t="str">
        <f t="shared" si="8"/>
        <v>违规：加仓价必须高于新止损价，金额须大于0</v>
      </c>
    </row>
    <row r="63" spans="1:18" ht="27">
      <c r="A63" s="12">
        <v>60</v>
      </c>
      <c r="B63" s="13">
        <v>1</v>
      </c>
      <c r="C63" s="14">
        <v>45562</v>
      </c>
      <c r="D63" s="15">
        <v>31.61</v>
      </c>
      <c r="E63" s="15">
        <v>28</v>
      </c>
      <c r="F63" s="15">
        <v>1</v>
      </c>
      <c r="G63" s="13">
        <v>500</v>
      </c>
      <c r="H63" s="16">
        <f t="shared" si="0"/>
        <v>15805</v>
      </c>
      <c r="I63" s="17">
        <f>IF(OR(A63="",B63=""),"",IFERROR(LOOKUP(2,1/(单次交易!$A$2:$A$201=A63),单次交易!$H$2:$H$201),0)+SUMIFS($G$2:$G$1001,$A$2:$A$1001,A63,$B$2:$B$1001,"&lt;"&amp;B63))</f>
        <v>700</v>
      </c>
      <c r="J63" s="16">
        <f>IF(OR(A63="",B63=""),"",IFERROR(LOOKUP(2,1/(单次交易!$A$2:$A$201=A63),单次交易!$E$2:$E$201)*LOOKUP(2,1/(单次交易!$A$2:$A$201=A63),单次交易!$H$2:$H$201),0)+SUMIFS($H$2:$H$1001,$A$2:$A$1001,A63,$B$2:$B$1001,"&lt;"&amp;B63))</f>
        <v>20608</v>
      </c>
      <c r="K63" s="16">
        <f t="shared" si="1"/>
        <v>0</v>
      </c>
      <c r="L63" s="17">
        <f t="shared" si="2"/>
        <v>0</v>
      </c>
      <c r="M63" s="17">
        <f t="shared" si="3"/>
        <v>0</v>
      </c>
      <c r="N63" s="17">
        <f t="shared" si="4"/>
        <v>0</v>
      </c>
      <c r="O63" s="17">
        <f t="shared" si="5"/>
        <v>1200</v>
      </c>
      <c r="P63" s="16">
        <f t="shared" si="6"/>
        <v>30.344166666666666</v>
      </c>
      <c r="Q63" s="16">
        <f t="shared" si="7"/>
        <v>2813</v>
      </c>
      <c r="R63" s="18" t="str">
        <f t="shared" si="8"/>
        <v>违规：实际股数超过风险或金字塔上限</v>
      </c>
    </row>
    <row r="64" spans="1:18" ht="27">
      <c r="A64" s="12">
        <v>60</v>
      </c>
      <c r="B64" s="13">
        <v>2</v>
      </c>
      <c r="C64" s="14">
        <v>45565</v>
      </c>
      <c r="D64" s="15">
        <v>34.47</v>
      </c>
      <c r="E64" s="15">
        <v>31</v>
      </c>
      <c r="F64" s="15">
        <v>1</v>
      </c>
      <c r="G64" s="13">
        <v>500</v>
      </c>
      <c r="H64" s="16">
        <f t="shared" si="0"/>
        <v>17235</v>
      </c>
      <c r="I64" s="17">
        <f>IF(OR(A64="",B64=""),"",IFERROR(LOOKUP(2,1/(单次交易!$A$2:$A$201=A64),单次交易!$H$2:$H$201),0)+SUMIFS($G$2:$G$1001,$A$2:$A$1001,A64,$B$2:$B$1001,"&lt;"&amp;B64))</f>
        <v>1200</v>
      </c>
      <c r="J64" s="16">
        <f>IF(OR(A64="",B64=""),"",IFERROR(LOOKUP(2,1/(单次交易!$A$2:$A$201=A64),单次交易!$E$2:$E$201)*LOOKUP(2,1/(单次交易!$A$2:$A$201=A64),单次交易!$H$2:$H$201),0)+SUMIFS($H$2:$H$1001,$A$2:$A$1001,A64,$B$2:$B$1001,"&lt;"&amp;B64))</f>
        <v>36413</v>
      </c>
      <c r="K64" s="16">
        <f t="shared" si="1"/>
        <v>787</v>
      </c>
      <c r="L64" s="17">
        <f t="shared" si="2"/>
        <v>200</v>
      </c>
      <c r="M64" s="17">
        <f t="shared" si="3"/>
        <v>500</v>
      </c>
      <c r="N64" s="17">
        <f t="shared" si="4"/>
        <v>200</v>
      </c>
      <c r="O64" s="17">
        <f t="shared" si="5"/>
        <v>1700</v>
      </c>
      <c r="P64" s="16">
        <f t="shared" si="6"/>
        <v>31.55764705882353</v>
      </c>
      <c r="Q64" s="16">
        <f t="shared" si="7"/>
        <v>948</v>
      </c>
      <c r="R64" s="18" t="str">
        <f t="shared" si="8"/>
        <v>违规：实际股数超过风险或金字塔上限</v>
      </c>
    </row>
    <row r="65" spans="1:18" ht="27">
      <c r="A65" s="12">
        <v>61</v>
      </c>
      <c r="B65" s="13">
        <v>1</v>
      </c>
      <c r="C65" s="14">
        <v>45590</v>
      </c>
      <c r="D65" s="15">
        <v>36.42</v>
      </c>
      <c r="E65" s="15">
        <v>33</v>
      </c>
      <c r="F65" s="15">
        <v>1</v>
      </c>
      <c r="G65" s="13">
        <v>500</v>
      </c>
      <c r="H65" s="16">
        <f t="shared" si="0"/>
        <v>18210</v>
      </c>
      <c r="I65" s="17">
        <f>IF(OR(A65="",B65=""),"",IFERROR(LOOKUP(2,1/(单次交易!$A$2:$A$201=A65),单次交易!$H$2:$H$201),0)+SUMIFS($G$2:$G$1001,$A$2:$A$1001,A65,$B$2:$B$1001,"&lt;"&amp;B65))</f>
        <v>400</v>
      </c>
      <c r="J65" s="16">
        <f>IF(OR(A65="",B65=""),"",IFERROR(LOOKUP(2,1/(单次交易!$A$2:$A$201=A65),单次交易!$E$2:$E$201)*LOOKUP(2,1/(单次交易!$A$2:$A$201=A65),单次交易!$H$2:$H$201),0)+SUMIFS($H$2:$H$1001,$A$2:$A$1001,A65,$B$2:$B$1001,"&lt;"&amp;B65))</f>
        <v>13524</v>
      </c>
      <c r="K65" s="16">
        <f t="shared" si="1"/>
        <v>0</v>
      </c>
      <c r="L65" s="17">
        <f t="shared" si="2"/>
        <v>0</v>
      </c>
      <c r="M65" s="17">
        <f t="shared" si="3"/>
        <v>0</v>
      </c>
      <c r="N65" s="17">
        <f t="shared" si="4"/>
        <v>0</v>
      </c>
      <c r="O65" s="17">
        <f t="shared" si="5"/>
        <v>900</v>
      </c>
      <c r="P65" s="16">
        <f t="shared" si="6"/>
        <v>35.26</v>
      </c>
      <c r="Q65" s="16">
        <f t="shared" si="7"/>
        <v>2034</v>
      </c>
      <c r="R65" s="18" t="str">
        <f t="shared" si="8"/>
        <v>违规：实际股数超过风险或金字塔上限</v>
      </c>
    </row>
    <row r="66" spans="1:18" ht="27">
      <c r="A66" s="12">
        <v>61</v>
      </c>
      <c r="B66" s="13">
        <v>2</v>
      </c>
      <c r="C66" s="14">
        <v>45595</v>
      </c>
      <c r="D66" s="15">
        <v>39.369999999999997</v>
      </c>
      <c r="E66" s="15">
        <v>36</v>
      </c>
      <c r="F66" s="15">
        <v>1</v>
      </c>
      <c r="G66" s="13">
        <v>500</v>
      </c>
      <c r="H66" s="16">
        <f t="shared" ref="H66:H129" si="9">IF(OR(A66="",D66="",G66=""),"",D66*G66)</f>
        <v>19685</v>
      </c>
      <c r="I66" s="17">
        <f>IF(OR(A66="",B66=""),"",IFERROR(LOOKUP(2,1/(单次交易!$A$2:$A$201=A66),单次交易!$H$2:$H$201),0)+SUMIFS($G$2:$G$1001,$A$2:$A$1001,A66,$B$2:$B$1001,"&lt;"&amp;B66))</f>
        <v>900</v>
      </c>
      <c r="J66" s="16">
        <f>IF(OR(A66="",B66=""),"",IFERROR(LOOKUP(2,1/(单次交易!$A$2:$A$201=A66),单次交易!$E$2:$E$201)*LOOKUP(2,1/(单次交易!$A$2:$A$201=A66),单次交易!$H$2:$H$201),0)+SUMIFS($H$2:$H$1001,$A$2:$A$1001,A66,$B$2:$B$1001,"&lt;"&amp;B66))</f>
        <v>31734</v>
      </c>
      <c r="K66" s="16">
        <f t="shared" ref="K66:K129" si="10">IF(OR(E66="",I66="",J66=""),"",MAX(E66*I66-J66,0))</f>
        <v>666</v>
      </c>
      <c r="L66" s="17">
        <f t="shared" ref="L66:L129" si="11">IF(OR(D66="",E66="",F66="",D66&lt;=E66),"",FLOOR((F66+K66)/(D66-E66),100))</f>
        <v>100</v>
      </c>
      <c r="M66" s="17">
        <f t="shared" ref="M66:M129" si="12">IF(OR(A66="",B66="",L66=""),"",IF(B66=1,L66,IFERROR(SUMIFS($G$2:$G$1001,$A$2:$A$1001,A66,$B$2:$B$1001,B66-1),0)))</f>
        <v>500</v>
      </c>
      <c r="N66" s="17">
        <f t="shared" ref="N66:N129" si="13">IF(OR(L66="",M66=""),"",MIN(L66,M66))</f>
        <v>100</v>
      </c>
      <c r="O66" s="17">
        <f t="shared" ref="O66:O129" si="14">IF(OR(I66="",G66=""),"",I66+G66)</f>
        <v>1400</v>
      </c>
      <c r="P66" s="16">
        <f t="shared" ref="P66:P129" si="15">IF(OR(O66="",O66=0),"",(J66+H66)/O66)</f>
        <v>36.72785714285714</v>
      </c>
      <c r="Q66" s="16">
        <f t="shared" ref="Q66:Q129" si="16">IF(OR(O66="",E66=""),"",MAX(J66+H66-E66*O66,0))</f>
        <v>1019</v>
      </c>
      <c r="R66" s="18" t="str">
        <f t="shared" ref="R66:R129" si="17">IF(A66="","",IF(COUNTIF(_TradeIds,A66)=0,"违规：交易编号不存在",IF(OR(B66="",B66&lt;1,B66&gt;5,B66&lt;&gt;INT(B66)),"违规：加仓序号须为1到5的整数",IF(COUNTIFS($A$2:$A$1001,A66,$B$2:$B$1001,B66)&gt;1,"违规：同一交易的加仓序号重复",IF(OR(D66="",E66="",F66=""),"计划不完整：请填写加仓价、新止损价和风险预算",IF(OR(D66&lt;=0,E66&lt;=0,F66&lt;=0,D66&lt;=E66),"违规：加仓价必须高于新止损价，金额须大于0",IF(AND(B66&gt;1,COUNTIFS($A$2:$A$1001,A66,$B$2:$B$1001,B66-1,$G$2:$G$1001,"&gt;0")=0),"违规：须先完成上一次加仓",IF(AND(B66&gt;1,E66&lt;SUMIFS($E$2:$E$1001,$A$2:$A$1001,A66,$B$2:$B$1001,B66-1)),"违规：新止损价不得低于上一次",IF(AND(B66&gt;1,F66&gt;SUMIFS($F$2:$F$1001,$A$2:$A$1001,A66,$B$2:$B$1001,B66-1)),"违规：风险预算须逐次不增加",IF(OR(_LockStatus="已锁仓",_LockStatus="解锁信息不完整"),"违规：锁仓期间禁止加仓",IF(G66="","计划可执行：建议股数见N列",IF(OR(G66&lt;=0,G66&lt;&gt;INT(G66),MOD(G66,100)&lt;&gt;0),"违规：实际股数须为100股整数倍",IF(G66&gt;N66,"违规：实际股数超过风险或金字塔上限",IF(AND(B66&gt;1,G66&gt;SUMIFS($G$2:$G$1001,$A$2:$A$1001,A66,$B$2:$B$1001,B66-1)),"违规：加仓股数须逐次不增加",IF(Q66&gt;F66,"违规：止损风险超过本次预算","通过")))))))))))))))</f>
        <v>违规：实际股数超过风险或金字塔上限</v>
      </c>
    </row>
    <row r="67" spans="1:18">
      <c r="A67" s="12">
        <v>61</v>
      </c>
      <c r="B67" s="13">
        <v>3</v>
      </c>
      <c r="C67" s="14">
        <v>45607</v>
      </c>
      <c r="D67" s="15">
        <v>43.33</v>
      </c>
      <c r="E67" s="15">
        <v>39</v>
      </c>
      <c r="F67" s="15">
        <v>1</v>
      </c>
      <c r="G67" s="13">
        <v>500</v>
      </c>
      <c r="H67" s="16">
        <f t="shared" si="9"/>
        <v>21665</v>
      </c>
      <c r="I67" s="17">
        <f>IF(OR(A67="",B67=""),"",IFERROR(LOOKUP(2,1/(单次交易!$A$2:$A$201=A67),单次交易!$H$2:$H$201),0)+SUMIFS($G$2:$G$1001,$A$2:$A$1001,A67,$B$2:$B$1001,"&lt;"&amp;B67))</f>
        <v>1400</v>
      </c>
      <c r="J67" s="16">
        <f>IF(OR(A67="",B67=""),"",IFERROR(LOOKUP(2,1/(单次交易!$A$2:$A$201=A67),单次交易!$E$2:$E$201)*LOOKUP(2,1/(单次交易!$A$2:$A$201=A67),单次交易!$H$2:$H$201),0)+SUMIFS($H$2:$H$1001,$A$2:$A$1001,A67,$B$2:$B$1001,"&lt;"&amp;B67))</f>
        <v>51419</v>
      </c>
      <c r="K67" s="16">
        <f t="shared" si="10"/>
        <v>3181</v>
      </c>
      <c r="L67" s="17">
        <f t="shared" si="11"/>
        <v>700</v>
      </c>
      <c r="M67" s="17">
        <f t="shared" si="12"/>
        <v>500</v>
      </c>
      <c r="N67" s="17">
        <f t="shared" si="13"/>
        <v>500</v>
      </c>
      <c r="O67" s="17">
        <f t="shared" si="14"/>
        <v>1900</v>
      </c>
      <c r="P67" s="16">
        <f t="shared" si="15"/>
        <v>38.465263157894739</v>
      </c>
      <c r="Q67" s="16">
        <f t="shared" si="16"/>
        <v>0</v>
      </c>
      <c r="R67" s="18" t="str">
        <f t="shared" si="17"/>
        <v>通过</v>
      </c>
    </row>
    <row r="68" spans="1:18" ht="27">
      <c r="A68" s="12">
        <v>62</v>
      </c>
      <c r="B68" s="13">
        <v>1</v>
      </c>
      <c r="C68" s="14">
        <v>45652</v>
      </c>
      <c r="D68" s="15">
        <v>42.7</v>
      </c>
      <c r="E68" s="15">
        <v>40</v>
      </c>
      <c r="F68" s="15">
        <v>1</v>
      </c>
      <c r="G68" s="13">
        <v>700</v>
      </c>
      <c r="H68" s="16">
        <f t="shared" si="9"/>
        <v>29890</v>
      </c>
      <c r="I68" s="17">
        <f>IF(OR(A68="",B68=""),"",IFERROR(LOOKUP(2,1/(单次交易!$A$2:$A$201=A68),单次交易!$H$2:$H$201),0)+SUMIFS($G$2:$G$1001,$A$2:$A$1001,A68,$B$2:$B$1001,"&lt;"&amp;B68))</f>
        <v>700</v>
      </c>
      <c r="J68" s="16">
        <f>IF(OR(A68="",B68=""),"",IFERROR(LOOKUP(2,1/(单次交易!$A$2:$A$201=A68),单次交易!$E$2:$E$201)*LOOKUP(2,1/(单次交易!$A$2:$A$201=A68),单次交易!$H$2:$H$201),0)+SUMIFS($H$2:$H$1001,$A$2:$A$1001,A68,$B$2:$B$1001,"&lt;"&amp;B68))</f>
        <v>28105</v>
      </c>
      <c r="K68" s="16">
        <f t="shared" si="10"/>
        <v>0</v>
      </c>
      <c r="L68" s="17">
        <f t="shared" si="11"/>
        <v>0</v>
      </c>
      <c r="M68" s="17">
        <f t="shared" si="12"/>
        <v>0</v>
      </c>
      <c r="N68" s="17">
        <f t="shared" si="13"/>
        <v>0</v>
      </c>
      <c r="O68" s="17">
        <f t="shared" si="14"/>
        <v>1400</v>
      </c>
      <c r="P68" s="16">
        <f t="shared" si="15"/>
        <v>41.424999999999997</v>
      </c>
      <c r="Q68" s="16">
        <f t="shared" si="16"/>
        <v>1995</v>
      </c>
      <c r="R68" s="18" t="str">
        <f t="shared" si="17"/>
        <v>违规：实际股数超过风险或金字塔上限</v>
      </c>
    </row>
    <row r="69" spans="1:18" ht="27">
      <c r="A69" s="12">
        <v>63</v>
      </c>
      <c r="B69" s="13">
        <v>1</v>
      </c>
      <c r="C69" s="14">
        <v>45693</v>
      </c>
      <c r="D69" s="15">
        <v>37.590000000000003</v>
      </c>
      <c r="E69" s="15">
        <v>35</v>
      </c>
      <c r="F69" s="15">
        <v>1</v>
      </c>
      <c r="G69" s="13">
        <v>500</v>
      </c>
      <c r="H69" s="16">
        <f t="shared" si="9"/>
        <v>18795</v>
      </c>
      <c r="I69" s="17">
        <f>IF(OR(A69="",B69=""),"",IFERROR(LOOKUP(2,1/(单次交易!$A$2:$A$201=A69),单次交易!$H$2:$H$201),0)+SUMIFS($G$2:$G$1001,$A$2:$A$1001,A69,$B$2:$B$1001,"&lt;"&amp;B69))</f>
        <v>600</v>
      </c>
      <c r="J69" s="16">
        <f>IF(OR(A69="",B69=""),"",IFERROR(LOOKUP(2,1/(单次交易!$A$2:$A$201=A69),单次交易!$E$2:$E$201)*LOOKUP(2,1/(单次交易!$A$2:$A$201=A69),单次交易!$H$2:$H$201),0)+SUMIFS($H$2:$H$1001,$A$2:$A$1001,A69,$B$2:$B$1001,"&lt;"&amp;B69))</f>
        <v>23574</v>
      </c>
      <c r="K69" s="16">
        <f t="shared" si="10"/>
        <v>0</v>
      </c>
      <c r="L69" s="17">
        <f t="shared" si="11"/>
        <v>0</v>
      </c>
      <c r="M69" s="17">
        <f t="shared" si="12"/>
        <v>0</v>
      </c>
      <c r="N69" s="17">
        <f t="shared" si="13"/>
        <v>0</v>
      </c>
      <c r="O69" s="17">
        <f t="shared" si="14"/>
        <v>1100</v>
      </c>
      <c r="P69" s="16">
        <f t="shared" si="15"/>
        <v>38.517272727272726</v>
      </c>
      <c r="Q69" s="16">
        <f t="shared" si="16"/>
        <v>3869</v>
      </c>
      <c r="R69" s="18" t="str">
        <f t="shared" si="17"/>
        <v>违规：实际股数超过风险或金字塔上限</v>
      </c>
    </row>
    <row r="70" spans="1:18">
      <c r="A70" s="12">
        <v>63</v>
      </c>
      <c r="B70" s="13">
        <v>2</v>
      </c>
      <c r="C70" s="14">
        <v>45755</v>
      </c>
      <c r="D70" s="15">
        <v>33.380000000000003</v>
      </c>
      <c r="E70" s="15">
        <v>30</v>
      </c>
      <c r="F70" s="15">
        <v>1</v>
      </c>
      <c r="G70" s="13">
        <v>1000</v>
      </c>
      <c r="H70" s="16">
        <f t="shared" si="9"/>
        <v>33380</v>
      </c>
      <c r="I70" s="17">
        <f>IF(OR(A70="",B70=""),"",IFERROR(LOOKUP(2,1/(单次交易!$A$2:$A$201=A70),单次交易!$H$2:$H$201),0)+SUMIFS($G$2:$G$1001,$A$2:$A$1001,A70,$B$2:$B$1001,"&lt;"&amp;B70))</f>
        <v>1100</v>
      </c>
      <c r="J70" s="16">
        <f>IF(OR(A70="",B70=""),"",IFERROR(LOOKUP(2,1/(单次交易!$A$2:$A$201=A70),单次交易!$E$2:$E$201)*LOOKUP(2,1/(单次交易!$A$2:$A$201=A70),单次交易!$H$2:$H$201),0)+SUMIFS($H$2:$H$1001,$A$2:$A$1001,A70,$B$2:$B$1001,"&lt;"&amp;B70))</f>
        <v>42369</v>
      </c>
      <c r="K70" s="16">
        <f t="shared" si="10"/>
        <v>0</v>
      </c>
      <c r="L70" s="17">
        <f t="shared" si="11"/>
        <v>0</v>
      </c>
      <c r="M70" s="17">
        <f t="shared" si="12"/>
        <v>500</v>
      </c>
      <c r="N70" s="17">
        <f t="shared" si="13"/>
        <v>0</v>
      </c>
      <c r="O70" s="17">
        <f t="shared" si="14"/>
        <v>2100</v>
      </c>
      <c r="P70" s="16">
        <f t="shared" si="15"/>
        <v>36.070952380952384</v>
      </c>
      <c r="Q70" s="16">
        <f t="shared" si="16"/>
        <v>12749</v>
      </c>
      <c r="R70" s="18" t="str">
        <f t="shared" si="17"/>
        <v>违规：新止损价不得低于上一次</v>
      </c>
    </row>
    <row r="71" spans="1:18" ht="27">
      <c r="A71" s="12">
        <v>64</v>
      </c>
      <c r="B71" s="13">
        <v>1</v>
      </c>
      <c r="C71" s="14">
        <v>45845</v>
      </c>
      <c r="D71" s="15">
        <v>49.3</v>
      </c>
      <c r="E71" s="15">
        <v>46</v>
      </c>
      <c r="F71" s="15">
        <v>1</v>
      </c>
      <c r="G71" s="13">
        <v>500</v>
      </c>
      <c r="H71" s="16">
        <f t="shared" si="9"/>
        <v>24650</v>
      </c>
      <c r="I71" s="17">
        <f>IF(OR(A71="",B71=""),"",IFERROR(LOOKUP(2,1/(单次交易!$A$2:$A$201=A71),单次交易!$H$2:$H$201),0)+SUMIFS($G$2:$G$1001,$A$2:$A$1001,A71,$B$2:$B$1001,"&lt;"&amp;B71))</f>
        <v>500</v>
      </c>
      <c r="J71" s="16">
        <f>IF(OR(A71="",B71=""),"",IFERROR(LOOKUP(2,1/(单次交易!$A$2:$A$201=A71),单次交易!$E$2:$E$201)*LOOKUP(2,1/(单次交易!$A$2:$A$201=A71),单次交易!$H$2:$H$201),0)+SUMIFS($H$2:$H$1001,$A$2:$A$1001,A71,$B$2:$B$1001,"&lt;"&amp;B71))</f>
        <v>23015</v>
      </c>
      <c r="K71" s="16">
        <f t="shared" si="10"/>
        <v>0</v>
      </c>
      <c r="L71" s="17">
        <f t="shared" si="11"/>
        <v>0</v>
      </c>
      <c r="M71" s="17">
        <f t="shared" si="12"/>
        <v>0</v>
      </c>
      <c r="N71" s="17">
        <f t="shared" si="13"/>
        <v>0</v>
      </c>
      <c r="O71" s="17">
        <f t="shared" si="14"/>
        <v>1000</v>
      </c>
      <c r="P71" s="16">
        <f t="shared" si="15"/>
        <v>47.664999999999999</v>
      </c>
      <c r="Q71" s="16">
        <f t="shared" si="16"/>
        <v>1665</v>
      </c>
      <c r="R71" s="18" t="str">
        <f t="shared" si="17"/>
        <v>违规：实际股数超过风险或金字塔上限</v>
      </c>
    </row>
    <row r="72" spans="1:18">
      <c r="A72" s="12">
        <v>64</v>
      </c>
      <c r="B72" s="13">
        <v>2</v>
      </c>
      <c r="C72" s="14">
        <v>45881</v>
      </c>
      <c r="D72" s="15">
        <v>51.45</v>
      </c>
      <c r="E72" s="15">
        <v>50</v>
      </c>
      <c r="F72" s="15">
        <v>1</v>
      </c>
      <c r="G72" s="13">
        <v>500</v>
      </c>
      <c r="H72" s="16">
        <f t="shared" si="9"/>
        <v>25725</v>
      </c>
      <c r="I72" s="17">
        <f>IF(OR(A72="",B72=""),"",IFERROR(LOOKUP(2,1/(单次交易!$A$2:$A$201=A72),单次交易!$H$2:$H$201),0)+SUMIFS($G$2:$G$1001,$A$2:$A$1001,A72,$B$2:$B$1001,"&lt;"&amp;B72))</f>
        <v>1000</v>
      </c>
      <c r="J72" s="16">
        <f>IF(OR(A72="",B72=""),"",IFERROR(LOOKUP(2,1/(单次交易!$A$2:$A$201=A72),单次交易!$E$2:$E$201)*LOOKUP(2,1/(单次交易!$A$2:$A$201=A72),单次交易!$H$2:$H$201),0)+SUMIFS($H$2:$H$1001,$A$2:$A$1001,A72,$B$2:$B$1001,"&lt;"&amp;B72))</f>
        <v>47665</v>
      </c>
      <c r="K72" s="16">
        <f t="shared" si="10"/>
        <v>2335</v>
      </c>
      <c r="L72" s="17">
        <f t="shared" si="11"/>
        <v>1600</v>
      </c>
      <c r="M72" s="17">
        <f t="shared" si="12"/>
        <v>500</v>
      </c>
      <c r="N72" s="17">
        <f t="shared" si="13"/>
        <v>500</v>
      </c>
      <c r="O72" s="17">
        <f t="shared" si="14"/>
        <v>1500</v>
      </c>
      <c r="P72" s="16">
        <f t="shared" si="15"/>
        <v>48.926666666666669</v>
      </c>
      <c r="Q72" s="16">
        <f t="shared" si="16"/>
        <v>0</v>
      </c>
      <c r="R72" s="18" t="str">
        <f t="shared" si="17"/>
        <v>通过</v>
      </c>
    </row>
    <row r="73" spans="1:18" ht="27">
      <c r="A73" s="12">
        <v>65</v>
      </c>
      <c r="B73" s="13">
        <v>1</v>
      </c>
      <c r="C73" s="14">
        <v>45917</v>
      </c>
      <c r="D73" s="15">
        <v>85.32</v>
      </c>
      <c r="E73" s="15">
        <v>80</v>
      </c>
      <c r="F73" s="15">
        <v>1</v>
      </c>
      <c r="G73" s="13">
        <v>300</v>
      </c>
      <c r="H73" s="16">
        <f t="shared" si="9"/>
        <v>25596</v>
      </c>
      <c r="I73" s="17">
        <f>IF(OR(A73="",B73=""),"",IFERROR(LOOKUP(2,1/(单次交易!$A$2:$A$201=A73),单次交易!$H$2:$H$201),0)+SUMIFS($G$2:$G$1001,$A$2:$A$1001,A73,$B$2:$B$1001,"&lt;"&amp;B73))</f>
        <v>300</v>
      </c>
      <c r="J73" s="16">
        <f>IF(OR(A73="",B73=""),"",IFERROR(LOOKUP(2,1/(单次交易!$A$2:$A$201=A73),单次交易!$E$2:$E$201)*LOOKUP(2,1/(单次交易!$A$2:$A$201=A73),单次交易!$H$2:$H$201),0)+SUMIFS($H$2:$H$1001,$A$2:$A$1001,A73,$B$2:$B$1001,"&lt;"&amp;B73))</f>
        <v>23052</v>
      </c>
      <c r="K73" s="16">
        <f t="shared" si="10"/>
        <v>948</v>
      </c>
      <c r="L73" s="17">
        <f t="shared" si="11"/>
        <v>100</v>
      </c>
      <c r="M73" s="17">
        <f t="shared" si="12"/>
        <v>100</v>
      </c>
      <c r="N73" s="17">
        <f t="shared" si="13"/>
        <v>100</v>
      </c>
      <c r="O73" s="17">
        <f t="shared" si="14"/>
        <v>600</v>
      </c>
      <c r="P73" s="16">
        <f t="shared" si="15"/>
        <v>81.08</v>
      </c>
      <c r="Q73" s="16">
        <f t="shared" si="16"/>
        <v>648</v>
      </c>
      <c r="R73" s="18" t="str">
        <f t="shared" si="17"/>
        <v>违规：实际股数超过风险或金字塔上限</v>
      </c>
    </row>
    <row r="74" spans="1:18">
      <c r="A74" s="12">
        <v>65</v>
      </c>
      <c r="B74" s="13">
        <v>2</v>
      </c>
      <c r="C74" s="14">
        <v>45922</v>
      </c>
      <c r="D74" s="15">
        <v>92.1</v>
      </c>
      <c r="E74" s="15">
        <v>85</v>
      </c>
      <c r="F74" s="15">
        <v>1</v>
      </c>
      <c r="G74" s="13">
        <v>300</v>
      </c>
      <c r="H74" s="16">
        <f t="shared" si="9"/>
        <v>27630</v>
      </c>
      <c r="I74" s="17">
        <f>IF(OR(A74="",B74=""),"",IFERROR(LOOKUP(2,1/(单次交易!$A$2:$A$201=A74),单次交易!$H$2:$H$201),0)+SUMIFS($G$2:$G$1001,$A$2:$A$1001,A74,$B$2:$B$1001,"&lt;"&amp;B74))</f>
        <v>600</v>
      </c>
      <c r="J74" s="16">
        <f>IF(OR(A74="",B74=""),"",IFERROR(LOOKUP(2,1/(单次交易!$A$2:$A$201=A74),单次交易!$E$2:$E$201)*LOOKUP(2,1/(单次交易!$A$2:$A$201=A74),单次交易!$H$2:$H$201),0)+SUMIFS($H$2:$H$1001,$A$2:$A$1001,A74,$B$2:$B$1001,"&lt;"&amp;B74))</f>
        <v>48648</v>
      </c>
      <c r="K74" s="16">
        <f t="shared" si="10"/>
        <v>2352</v>
      </c>
      <c r="L74" s="17">
        <f t="shared" si="11"/>
        <v>300</v>
      </c>
      <c r="M74" s="17">
        <f t="shared" si="12"/>
        <v>300</v>
      </c>
      <c r="N74" s="17">
        <f t="shared" si="13"/>
        <v>300</v>
      </c>
      <c r="O74" s="17">
        <f t="shared" si="14"/>
        <v>900</v>
      </c>
      <c r="P74" s="16">
        <f t="shared" si="15"/>
        <v>84.75333333333333</v>
      </c>
      <c r="Q74" s="16">
        <f t="shared" si="16"/>
        <v>0</v>
      </c>
      <c r="R74" s="18" t="str">
        <f t="shared" si="17"/>
        <v>通过</v>
      </c>
    </row>
    <row r="75" spans="1:18" ht="27">
      <c r="A75" s="12">
        <v>68</v>
      </c>
      <c r="B75" s="13">
        <v>1</v>
      </c>
      <c r="C75" s="14">
        <v>46079</v>
      </c>
      <c r="D75" s="15">
        <v>88.3</v>
      </c>
      <c r="E75" s="15">
        <v>85</v>
      </c>
      <c r="F75" s="15">
        <v>1</v>
      </c>
      <c r="G75" s="13">
        <v>200</v>
      </c>
      <c r="H75" s="16">
        <f t="shared" si="9"/>
        <v>17660</v>
      </c>
      <c r="I75" s="17">
        <f>IF(OR(A75="",B75=""),"",IFERROR(LOOKUP(2,1/(单次交易!$A$2:$A$201=A75),单次交易!$H$2:$H$201),0)+SUMIFS($G$2:$G$1001,$A$2:$A$1001,A75,$B$2:$B$1001,"&lt;"&amp;B75))</f>
        <v>200</v>
      </c>
      <c r="J75" s="16">
        <f>IF(OR(A75="",B75=""),"",IFERROR(LOOKUP(2,1/(单次交易!$A$2:$A$201=A75),单次交易!$E$2:$E$201)*LOOKUP(2,1/(单次交易!$A$2:$A$201=A75),单次交易!$H$2:$H$201),0)+SUMIFS($H$2:$H$1001,$A$2:$A$1001,A75,$B$2:$B$1001,"&lt;"&amp;B75))</f>
        <v>16434</v>
      </c>
      <c r="K75" s="16">
        <f t="shared" si="10"/>
        <v>566</v>
      </c>
      <c r="L75" s="17">
        <f t="shared" si="11"/>
        <v>100</v>
      </c>
      <c r="M75" s="17">
        <f t="shared" si="12"/>
        <v>100</v>
      </c>
      <c r="N75" s="17">
        <f t="shared" si="13"/>
        <v>100</v>
      </c>
      <c r="O75" s="17">
        <f t="shared" si="14"/>
        <v>400</v>
      </c>
      <c r="P75" s="16">
        <f t="shared" si="15"/>
        <v>85.234999999999999</v>
      </c>
      <c r="Q75" s="16">
        <f t="shared" si="16"/>
        <v>94</v>
      </c>
      <c r="R75" s="18" t="str">
        <f t="shared" si="17"/>
        <v>违规：实际股数超过风险或金字塔上限</v>
      </c>
    </row>
    <row r="76" spans="1:18">
      <c r="A76" s="12">
        <v>68</v>
      </c>
      <c r="B76" s="13">
        <v>2</v>
      </c>
      <c r="C76" s="14">
        <v>46083</v>
      </c>
      <c r="D76" s="15">
        <v>94.72</v>
      </c>
      <c r="E76" s="15">
        <v>90</v>
      </c>
      <c r="F76" s="15">
        <v>1</v>
      </c>
      <c r="G76" s="13">
        <v>200</v>
      </c>
      <c r="H76" s="16">
        <f t="shared" si="9"/>
        <v>18944</v>
      </c>
      <c r="I76" s="17">
        <f>IF(OR(A76="",B76=""),"",IFERROR(LOOKUP(2,1/(单次交易!$A$2:$A$201=A76),单次交易!$H$2:$H$201),0)+SUMIFS($G$2:$G$1001,$A$2:$A$1001,A76,$B$2:$B$1001,"&lt;"&amp;B76))</f>
        <v>400</v>
      </c>
      <c r="J76" s="16">
        <f>IF(OR(A76="",B76=""),"",IFERROR(LOOKUP(2,1/(单次交易!$A$2:$A$201=A76),单次交易!$E$2:$E$201)*LOOKUP(2,1/(单次交易!$A$2:$A$201=A76),单次交易!$H$2:$H$201),0)+SUMIFS($H$2:$H$1001,$A$2:$A$1001,A76,$B$2:$B$1001,"&lt;"&amp;B76))</f>
        <v>34094</v>
      </c>
      <c r="K76" s="16">
        <f t="shared" si="10"/>
        <v>1906</v>
      </c>
      <c r="L76" s="17">
        <f t="shared" si="11"/>
        <v>400</v>
      </c>
      <c r="M76" s="17">
        <f t="shared" si="12"/>
        <v>200</v>
      </c>
      <c r="N76" s="17">
        <f t="shared" si="13"/>
        <v>200</v>
      </c>
      <c r="O76" s="17">
        <f t="shared" si="14"/>
        <v>600</v>
      </c>
      <c r="P76" s="16">
        <f t="shared" si="15"/>
        <v>88.396666666666661</v>
      </c>
      <c r="Q76" s="16">
        <f t="shared" si="16"/>
        <v>0</v>
      </c>
      <c r="R76" s="18" t="str">
        <f t="shared" si="17"/>
        <v>通过</v>
      </c>
    </row>
    <row r="77" spans="1:18">
      <c r="A77" s="12">
        <v>68</v>
      </c>
      <c r="B77" s="13">
        <v>3</v>
      </c>
      <c r="C77" s="14">
        <v>46085</v>
      </c>
      <c r="D77" s="15">
        <v>101.3</v>
      </c>
      <c r="E77" s="15">
        <v>95</v>
      </c>
      <c r="F77" s="15">
        <v>1</v>
      </c>
      <c r="G77" s="13">
        <v>200</v>
      </c>
      <c r="H77" s="16">
        <f t="shared" si="9"/>
        <v>20260</v>
      </c>
      <c r="I77" s="17">
        <f>IF(OR(A77="",B77=""),"",IFERROR(LOOKUP(2,1/(单次交易!$A$2:$A$201=A77),单次交易!$H$2:$H$201),0)+SUMIFS($G$2:$G$1001,$A$2:$A$1001,A77,$B$2:$B$1001,"&lt;"&amp;B77))</f>
        <v>600</v>
      </c>
      <c r="J77" s="16">
        <f>IF(OR(A77="",B77=""),"",IFERROR(LOOKUP(2,1/(单次交易!$A$2:$A$201=A77),单次交易!$E$2:$E$201)*LOOKUP(2,1/(单次交易!$A$2:$A$201=A77),单次交易!$H$2:$H$201),0)+SUMIFS($H$2:$H$1001,$A$2:$A$1001,A77,$B$2:$B$1001,"&lt;"&amp;B77))</f>
        <v>53038</v>
      </c>
      <c r="K77" s="16">
        <f t="shared" si="10"/>
        <v>3962</v>
      </c>
      <c r="L77" s="17">
        <f t="shared" si="11"/>
        <v>600</v>
      </c>
      <c r="M77" s="17">
        <f t="shared" si="12"/>
        <v>200</v>
      </c>
      <c r="N77" s="17">
        <f t="shared" si="13"/>
        <v>200</v>
      </c>
      <c r="O77" s="17">
        <f t="shared" si="14"/>
        <v>800</v>
      </c>
      <c r="P77" s="16">
        <f t="shared" si="15"/>
        <v>91.622500000000002</v>
      </c>
      <c r="Q77" s="16">
        <f t="shared" si="16"/>
        <v>0</v>
      </c>
      <c r="R77" s="18" t="str">
        <f t="shared" si="17"/>
        <v>通过</v>
      </c>
    </row>
    <row r="78" spans="1:18">
      <c r="A78" s="12">
        <v>68</v>
      </c>
      <c r="B78" s="13">
        <v>4</v>
      </c>
      <c r="C78" s="14">
        <v>46087</v>
      </c>
      <c r="D78" s="15">
        <v>114.53</v>
      </c>
      <c r="E78" s="15">
        <v>105</v>
      </c>
      <c r="F78" s="15">
        <v>1</v>
      </c>
      <c r="G78" s="13">
        <v>200</v>
      </c>
      <c r="H78" s="16">
        <f t="shared" si="9"/>
        <v>22906</v>
      </c>
      <c r="I78" s="17">
        <f>IF(OR(A78="",B78=""),"",IFERROR(LOOKUP(2,1/(单次交易!$A$2:$A$201=A78),单次交易!$H$2:$H$201),0)+SUMIFS($G$2:$G$1001,$A$2:$A$1001,A78,$B$2:$B$1001,"&lt;"&amp;B78))</f>
        <v>800</v>
      </c>
      <c r="J78" s="16">
        <f>IF(OR(A78="",B78=""),"",IFERROR(LOOKUP(2,1/(单次交易!$A$2:$A$201=A78),单次交易!$E$2:$E$201)*LOOKUP(2,1/(单次交易!$A$2:$A$201=A78),单次交易!$H$2:$H$201),0)+SUMIFS($H$2:$H$1001,$A$2:$A$1001,A78,$B$2:$B$1001,"&lt;"&amp;B78))</f>
        <v>73298</v>
      </c>
      <c r="K78" s="16">
        <f t="shared" si="10"/>
        <v>10702</v>
      </c>
      <c r="L78" s="17">
        <f t="shared" si="11"/>
        <v>1100</v>
      </c>
      <c r="M78" s="17">
        <f t="shared" si="12"/>
        <v>200</v>
      </c>
      <c r="N78" s="17">
        <f t="shared" si="13"/>
        <v>200</v>
      </c>
      <c r="O78" s="17">
        <f t="shared" si="14"/>
        <v>1000</v>
      </c>
      <c r="P78" s="16">
        <f t="shared" si="15"/>
        <v>96.203999999999994</v>
      </c>
      <c r="Q78" s="16">
        <f t="shared" si="16"/>
        <v>0</v>
      </c>
      <c r="R78" s="18" t="str">
        <f t="shared" si="17"/>
        <v>通过</v>
      </c>
    </row>
    <row r="79" spans="1:18" ht="27">
      <c r="A79" s="12">
        <v>70</v>
      </c>
      <c r="B79" s="13">
        <v>1</v>
      </c>
      <c r="C79" s="14">
        <v>46153</v>
      </c>
      <c r="D79" s="15">
        <v>147.31</v>
      </c>
      <c r="E79" s="15">
        <v>135</v>
      </c>
      <c r="F79" s="15">
        <v>1</v>
      </c>
      <c r="G79" s="13">
        <v>100</v>
      </c>
      <c r="H79" s="16">
        <f t="shared" si="9"/>
        <v>14731</v>
      </c>
      <c r="I79" s="17">
        <f>IF(OR(A79="",B79=""),"",IFERROR(LOOKUP(2,1/(单次交易!$A$2:$A$201=A79),单次交易!$H$2:$H$201),0)+SUMIFS($G$2:$G$1001,$A$2:$A$1001,A79,$B$2:$B$1001,"&lt;"&amp;B79))</f>
        <v>200</v>
      </c>
      <c r="J79" s="16">
        <f>IF(OR(A79="",B79=""),"",IFERROR(LOOKUP(2,1/(单次交易!$A$2:$A$201=A79),单次交易!$E$2:$E$201)*LOOKUP(2,1/(单次交易!$A$2:$A$201=A79),单次交易!$H$2:$H$201),0)+SUMIFS($H$2:$H$1001,$A$2:$A$1001,A79,$B$2:$B$1001,"&lt;"&amp;B79))</f>
        <v>26650</v>
      </c>
      <c r="K79" s="16">
        <f t="shared" si="10"/>
        <v>350</v>
      </c>
      <c r="L79" s="17">
        <f t="shared" si="11"/>
        <v>0</v>
      </c>
      <c r="M79" s="17">
        <f t="shared" si="12"/>
        <v>0</v>
      </c>
      <c r="N79" s="17">
        <f t="shared" si="13"/>
        <v>0</v>
      </c>
      <c r="O79" s="17">
        <f t="shared" si="14"/>
        <v>300</v>
      </c>
      <c r="P79" s="16">
        <f t="shared" si="15"/>
        <v>137.93666666666667</v>
      </c>
      <c r="Q79" s="16">
        <f t="shared" si="16"/>
        <v>881</v>
      </c>
      <c r="R79" s="18" t="str">
        <f t="shared" si="17"/>
        <v>违规：实际股数超过风险或金字塔上限</v>
      </c>
    </row>
    <row r="80" spans="1:18" ht="27">
      <c r="A80" s="12">
        <v>71</v>
      </c>
      <c r="B80" s="13">
        <v>1</v>
      </c>
      <c r="C80" s="14">
        <v>46111</v>
      </c>
      <c r="D80" s="15">
        <v>5.14</v>
      </c>
      <c r="E80" s="15">
        <v>4.5</v>
      </c>
      <c r="F80" s="15">
        <v>1</v>
      </c>
      <c r="G80" s="13">
        <v>4000</v>
      </c>
      <c r="H80" s="16">
        <f t="shared" si="9"/>
        <v>20560</v>
      </c>
      <c r="I80" s="17">
        <f>IF(OR(A80="",B80=""),"",IFERROR(LOOKUP(2,1/(单次交易!$A$2:$A$201=A80),单次交易!$H$2:$H$201),0)+SUMIFS($G$2:$G$1001,$A$2:$A$1001,A80,$B$2:$B$1001,"&lt;"&amp;B80))</f>
        <v>4700</v>
      </c>
      <c r="J80" s="16">
        <f>IF(OR(A80="",B80=""),"",IFERROR(LOOKUP(2,1/(单次交易!$A$2:$A$201=A80),单次交易!$E$2:$E$201)*LOOKUP(2,1/(单次交易!$A$2:$A$201=A80),单次交易!$H$2:$H$201),0)+SUMIFS($H$2:$H$1001,$A$2:$A$1001,A80,$B$2:$B$1001,"&lt;"&amp;B80))</f>
        <v>21479</v>
      </c>
      <c r="K80" s="16">
        <f t="shared" si="10"/>
        <v>0</v>
      </c>
      <c r="L80" s="17">
        <f t="shared" si="11"/>
        <v>0</v>
      </c>
      <c r="M80" s="17">
        <f t="shared" si="12"/>
        <v>0</v>
      </c>
      <c r="N80" s="17">
        <f t="shared" si="13"/>
        <v>0</v>
      </c>
      <c r="O80" s="17">
        <f t="shared" si="14"/>
        <v>8700</v>
      </c>
      <c r="P80" s="16">
        <f t="shared" si="15"/>
        <v>4.8320689655172417</v>
      </c>
      <c r="Q80" s="16">
        <f t="shared" si="16"/>
        <v>2889</v>
      </c>
      <c r="R80" s="18" t="str">
        <f t="shared" si="17"/>
        <v>违规：实际股数超过风险或金字塔上限</v>
      </c>
    </row>
    <row r="81" spans="1:18">
      <c r="A81" s="12">
        <v>71</v>
      </c>
      <c r="B81" s="13">
        <v>2</v>
      </c>
      <c r="C81" s="14">
        <v>42466</v>
      </c>
      <c r="D81" s="15">
        <v>5.64</v>
      </c>
      <c r="E81" s="15">
        <v>5.2</v>
      </c>
      <c r="F81" s="15">
        <v>1</v>
      </c>
      <c r="G81" s="13">
        <v>4000</v>
      </c>
      <c r="H81" s="16">
        <f t="shared" si="9"/>
        <v>22560</v>
      </c>
      <c r="I81" s="17">
        <f>IF(OR(A81="",B81=""),"",IFERROR(LOOKUP(2,1/(单次交易!$A$2:$A$201=A81),单次交易!$H$2:$H$201),0)+SUMIFS($G$2:$G$1001,$A$2:$A$1001,A81,$B$2:$B$1001,"&lt;"&amp;B81))</f>
        <v>8700</v>
      </c>
      <c r="J81" s="16">
        <f>IF(OR(A81="",B81=""),"",IFERROR(LOOKUP(2,1/(单次交易!$A$2:$A$201=A81),单次交易!$E$2:$E$201)*LOOKUP(2,1/(单次交易!$A$2:$A$201=A81),单次交易!$H$2:$H$201),0)+SUMIFS($H$2:$H$1001,$A$2:$A$1001,A81,$B$2:$B$1001,"&lt;"&amp;B81))</f>
        <v>42039</v>
      </c>
      <c r="K81" s="16">
        <f t="shared" si="10"/>
        <v>3201</v>
      </c>
      <c r="L81" s="17">
        <f t="shared" si="11"/>
        <v>7200</v>
      </c>
      <c r="M81" s="17">
        <f t="shared" si="12"/>
        <v>4000</v>
      </c>
      <c r="N81" s="17">
        <f t="shared" si="13"/>
        <v>4000</v>
      </c>
      <c r="O81" s="17">
        <f t="shared" si="14"/>
        <v>12700</v>
      </c>
      <c r="P81" s="16">
        <f t="shared" si="15"/>
        <v>5.0865354330708659</v>
      </c>
      <c r="Q81" s="16">
        <f t="shared" si="16"/>
        <v>0</v>
      </c>
      <c r="R81" s="18" t="str">
        <f t="shared" si="17"/>
        <v>通过</v>
      </c>
    </row>
    <row r="82" spans="1:18">
      <c r="A82" s="12">
        <v>71</v>
      </c>
      <c r="B82" s="13">
        <v>3</v>
      </c>
      <c r="C82" s="14">
        <v>42493</v>
      </c>
      <c r="D82" s="15">
        <v>5.82</v>
      </c>
      <c r="E82" s="15">
        <v>5.5</v>
      </c>
      <c r="F82" s="15">
        <v>1</v>
      </c>
      <c r="G82" s="13">
        <v>4000</v>
      </c>
      <c r="H82" s="16">
        <f t="shared" si="9"/>
        <v>23280</v>
      </c>
      <c r="I82" s="17">
        <f>IF(OR(A82="",B82=""),"",IFERROR(LOOKUP(2,1/(单次交易!$A$2:$A$201=A82),单次交易!$H$2:$H$201),0)+SUMIFS($G$2:$G$1001,$A$2:$A$1001,A82,$B$2:$B$1001,"&lt;"&amp;B82))</f>
        <v>12700</v>
      </c>
      <c r="J82" s="16">
        <f>IF(OR(A82="",B82=""),"",IFERROR(LOOKUP(2,1/(单次交易!$A$2:$A$201=A82),单次交易!$E$2:$E$201)*LOOKUP(2,1/(单次交易!$A$2:$A$201=A82),单次交易!$H$2:$H$201),0)+SUMIFS($H$2:$H$1001,$A$2:$A$1001,A82,$B$2:$B$1001,"&lt;"&amp;B82))</f>
        <v>64599</v>
      </c>
      <c r="K82" s="16">
        <f t="shared" si="10"/>
        <v>5251</v>
      </c>
      <c r="L82" s="17">
        <f t="shared" si="11"/>
        <v>16400</v>
      </c>
      <c r="M82" s="17">
        <f t="shared" si="12"/>
        <v>4000</v>
      </c>
      <c r="N82" s="17">
        <f t="shared" si="13"/>
        <v>4000</v>
      </c>
      <c r="O82" s="17">
        <f t="shared" si="14"/>
        <v>16700</v>
      </c>
      <c r="P82" s="16">
        <f t="shared" si="15"/>
        <v>5.2622155688622758</v>
      </c>
      <c r="Q82" s="16">
        <f t="shared" si="16"/>
        <v>0</v>
      </c>
      <c r="R82" s="18" t="str">
        <f t="shared" si="17"/>
        <v>通过</v>
      </c>
    </row>
    <row r="83" spans="1:18" ht="27">
      <c r="A83" s="12">
        <v>73</v>
      </c>
      <c r="B83" s="13">
        <v>1</v>
      </c>
      <c r="C83" s="14">
        <v>42751</v>
      </c>
      <c r="D83" s="15">
        <v>5.29</v>
      </c>
      <c r="E83" s="15">
        <v>5</v>
      </c>
      <c r="F83" s="15">
        <v>1</v>
      </c>
      <c r="G83" s="13">
        <v>6000</v>
      </c>
      <c r="H83" s="16">
        <f t="shared" si="9"/>
        <v>31740</v>
      </c>
      <c r="I83" s="17">
        <f>IF(OR(A83="",B83=""),"",IFERROR(LOOKUP(2,1/(单次交易!$A$2:$A$201=A83),单次交易!$H$2:$H$201),0)+SUMIFS($G$2:$G$1001,$A$2:$A$1001,A83,$B$2:$B$1001,"&lt;"&amp;B83))</f>
        <v>6400</v>
      </c>
      <c r="J83" s="16">
        <f>IF(OR(A83="",B83=""),"",IFERROR(LOOKUP(2,1/(单次交易!$A$2:$A$201=A83),单次交易!$E$2:$E$201)*LOOKUP(2,1/(单次交易!$A$2:$A$201=A83),单次交易!$H$2:$H$201),0)+SUMIFS($H$2:$H$1001,$A$2:$A$1001,A83,$B$2:$B$1001,"&lt;"&amp;B83))</f>
        <v>35584</v>
      </c>
      <c r="K83" s="16">
        <f t="shared" si="10"/>
        <v>0</v>
      </c>
      <c r="L83" s="17">
        <f t="shared" si="11"/>
        <v>0</v>
      </c>
      <c r="M83" s="17">
        <f t="shared" si="12"/>
        <v>0</v>
      </c>
      <c r="N83" s="17">
        <f t="shared" si="13"/>
        <v>0</v>
      </c>
      <c r="O83" s="17">
        <f t="shared" si="14"/>
        <v>12400</v>
      </c>
      <c r="P83" s="16">
        <f t="shared" si="15"/>
        <v>5.4293548387096777</v>
      </c>
      <c r="Q83" s="16">
        <f t="shared" si="16"/>
        <v>5324</v>
      </c>
      <c r="R83" s="18" t="str">
        <f t="shared" si="17"/>
        <v>违规：实际股数超过风险或金字塔上限</v>
      </c>
    </row>
    <row r="84" spans="1:18" ht="27">
      <c r="A84" s="12">
        <v>73</v>
      </c>
      <c r="B84" s="13">
        <v>2</v>
      </c>
      <c r="C84" s="14">
        <v>42794</v>
      </c>
      <c r="D84" s="15">
        <v>6.17</v>
      </c>
      <c r="E84" s="15">
        <v>5.3</v>
      </c>
      <c r="F84" s="15">
        <v>1</v>
      </c>
      <c r="G84" s="13">
        <v>6000</v>
      </c>
      <c r="H84" s="16">
        <f t="shared" si="9"/>
        <v>37020</v>
      </c>
      <c r="I84" s="17">
        <f>IF(OR(A84="",B84=""),"",IFERROR(LOOKUP(2,1/(单次交易!$A$2:$A$201=A84),单次交易!$H$2:$H$201),0)+SUMIFS($G$2:$G$1001,$A$2:$A$1001,A84,$B$2:$B$1001,"&lt;"&amp;B84))</f>
        <v>12400</v>
      </c>
      <c r="J84" s="16">
        <f>IF(OR(A84="",B84=""),"",IFERROR(LOOKUP(2,1/(单次交易!$A$2:$A$201=A84),单次交易!$E$2:$E$201)*LOOKUP(2,1/(单次交易!$A$2:$A$201=A84),单次交易!$H$2:$H$201),0)+SUMIFS($H$2:$H$1001,$A$2:$A$1001,A84,$B$2:$B$1001,"&lt;"&amp;B84))</f>
        <v>67324</v>
      </c>
      <c r="K84" s="16">
        <f t="shared" si="10"/>
        <v>0</v>
      </c>
      <c r="L84" s="17">
        <f t="shared" si="11"/>
        <v>0</v>
      </c>
      <c r="M84" s="17">
        <f t="shared" si="12"/>
        <v>6000</v>
      </c>
      <c r="N84" s="17">
        <f t="shared" si="13"/>
        <v>0</v>
      </c>
      <c r="O84" s="17">
        <f t="shared" si="14"/>
        <v>18400</v>
      </c>
      <c r="P84" s="16">
        <f t="shared" si="15"/>
        <v>5.6708695652173917</v>
      </c>
      <c r="Q84" s="16">
        <f t="shared" si="16"/>
        <v>6824</v>
      </c>
      <c r="R84" s="18" t="str">
        <f t="shared" si="17"/>
        <v>违规：实际股数超过风险或金字塔上限</v>
      </c>
    </row>
    <row r="85" spans="1:18">
      <c r="A85" s="12">
        <v>73</v>
      </c>
      <c r="B85" s="13">
        <v>3</v>
      </c>
      <c r="C85" s="14">
        <v>42797</v>
      </c>
      <c r="D85" s="15">
        <v>7.17</v>
      </c>
      <c r="E85" s="15">
        <v>6</v>
      </c>
      <c r="F85" s="15">
        <v>1</v>
      </c>
      <c r="G85" s="13">
        <v>3000</v>
      </c>
      <c r="H85" s="16">
        <f t="shared" si="9"/>
        <v>21510</v>
      </c>
      <c r="I85" s="17">
        <f>IF(OR(A85="",B85=""),"",IFERROR(LOOKUP(2,1/(单次交易!$A$2:$A$201=A85),单次交易!$H$2:$H$201),0)+SUMIFS($G$2:$G$1001,$A$2:$A$1001,A85,$B$2:$B$1001,"&lt;"&amp;B85))</f>
        <v>18400</v>
      </c>
      <c r="J85" s="16">
        <f>IF(OR(A85="",B85=""),"",IFERROR(LOOKUP(2,1/(单次交易!$A$2:$A$201=A85),单次交易!$E$2:$E$201)*LOOKUP(2,1/(单次交易!$A$2:$A$201=A85),单次交易!$H$2:$H$201),0)+SUMIFS($H$2:$H$1001,$A$2:$A$1001,A85,$B$2:$B$1001,"&lt;"&amp;B85))</f>
        <v>104344</v>
      </c>
      <c r="K85" s="16">
        <f t="shared" si="10"/>
        <v>6056</v>
      </c>
      <c r="L85" s="17">
        <f t="shared" si="11"/>
        <v>5100</v>
      </c>
      <c r="M85" s="17">
        <f t="shared" si="12"/>
        <v>6000</v>
      </c>
      <c r="N85" s="17">
        <f t="shared" si="13"/>
        <v>5100</v>
      </c>
      <c r="O85" s="17">
        <f t="shared" si="14"/>
        <v>21400</v>
      </c>
      <c r="P85" s="16">
        <f t="shared" si="15"/>
        <v>5.8810280373831771</v>
      </c>
      <c r="Q85" s="16">
        <f t="shared" si="16"/>
        <v>0</v>
      </c>
      <c r="R85" s="18" t="str">
        <f t="shared" si="17"/>
        <v>通过</v>
      </c>
    </row>
    <row r="86" spans="1:18">
      <c r="A86" s="12">
        <v>73</v>
      </c>
      <c r="B86" s="13">
        <v>4</v>
      </c>
      <c r="C86" s="14">
        <v>42831</v>
      </c>
      <c r="D86" s="15">
        <v>8.08</v>
      </c>
      <c r="E86" s="15">
        <v>7</v>
      </c>
      <c r="F86" s="15">
        <v>1</v>
      </c>
      <c r="G86" s="13">
        <v>3000</v>
      </c>
      <c r="H86" s="16">
        <f t="shared" si="9"/>
        <v>24240</v>
      </c>
      <c r="I86" s="17">
        <f>IF(OR(A86="",B86=""),"",IFERROR(LOOKUP(2,1/(单次交易!$A$2:$A$201=A86),单次交易!$H$2:$H$201),0)+SUMIFS($G$2:$G$1001,$A$2:$A$1001,A86,$B$2:$B$1001,"&lt;"&amp;B86))</f>
        <v>21400</v>
      </c>
      <c r="J86" s="16">
        <f>IF(OR(A86="",B86=""),"",IFERROR(LOOKUP(2,1/(单次交易!$A$2:$A$201=A86),单次交易!$E$2:$E$201)*LOOKUP(2,1/(单次交易!$A$2:$A$201=A86),单次交易!$H$2:$H$201),0)+SUMIFS($H$2:$H$1001,$A$2:$A$1001,A86,$B$2:$B$1001,"&lt;"&amp;B86))</f>
        <v>125854</v>
      </c>
      <c r="K86" s="16">
        <f t="shared" si="10"/>
        <v>23946</v>
      </c>
      <c r="L86" s="17">
        <f t="shared" si="11"/>
        <v>22100</v>
      </c>
      <c r="M86" s="17">
        <f t="shared" si="12"/>
        <v>3000</v>
      </c>
      <c r="N86" s="17">
        <f t="shared" si="13"/>
        <v>3000</v>
      </c>
      <c r="O86" s="17">
        <f t="shared" si="14"/>
        <v>24400</v>
      </c>
      <c r="P86" s="16">
        <f t="shared" si="15"/>
        <v>6.1513934426229504</v>
      </c>
      <c r="Q86" s="16">
        <f t="shared" si="16"/>
        <v>0</v>
      </c>
      <c r="R86" s="18" t="str">
        <f t="shared" si="17"/>
        <v>通过</v>
      </c>
    </row>
    <row r="87" spans="1:18" ht="27">
      <c r="A87" s="12">
        <v>75</v>
      </c>
      <c r="B87" s="13">
        <v>1</v>
      </c>
      <c r="C87" s="14">
        <v>42916</v>
      </c>
      <c r="D87" s="15">
        <v>7.35</v>
      </c>
      <c r="E87" s="15">
        <v>6.5</v>
      </c>
      <c r="F87" s="15">
        <v>1</v>
      </c>
      <c r="G87" s="13">
        <v>5000</v>
      </c>
      <c r="H87" s="16">
        <f t="shared" si="9"/>
        <v>36750</v>
      </c>
      <c r="I87" s="17">
        <f>IF(OR(A87="",B87=""),"",IFERROR(LOOKUP(2,1/(单次交易!$A$2:$A$201=A87),单次交易!$H$2:$H$201),0)+SUMIFS($G$2:$G$1001,$A$2:$A$1001,A87,$B$2:$B$1001,"&lt;"&amp;B87))</f>
        <v>6900</v>
      </c>
      <c r="J87" s="16">
        <f>IF(OR(A87="",B87=""),"",IFERROR(LOOKUP(2,1/(单次交易!$A$2:$A$201=A87),单次交易!$E$2:$E$201)*LOOKUP(2,1/(单次交易!$A$2:$A$201=A87),单次交易!$H$2:$H$201),0)+SUMIFS($H$2:$H$1001,$A$2:$A$1001,A87,$B$2:$B$1001,"&lt;"&amp;B87))</f>
        <v>45195</v>
      </c>
      <c r="K87" s="16">
        <f t="shared" si="10"/>
        <v>0</v>
      </c>
      <c r="L87" s="17">
        <f t="shared" si="11"/>
        <v>0</v>
      </c>
      <c r="M87" s="17">
        <f t="shared" si="12"/>
        <v>0</v>
      </c>
      <c r="N87" s="17">
        <f t="shared" si="13"/>
        <v>0</v>
      </c>
      <c r="O87" s="17">
        <f t="shared" si="14"/>
        <v>11900</v>
      </c>
      <c r="P87" s="16">
        <f t="shared" si="15"/>
        <v>6.886134453781513</v>
      </c>
      <c r="Q87" s="16">
        <f t="shared" si="16"/>
        <v>4595</v>
      </c>
      <c r="R87" s="18" t="str">
        <f t="shared" si="17"/>
        <v>违规：实际股数超过风险或金字塔上限</v>
      </c>
    </row>
    <row r="88" spans="1:18" ht="27">
      <c r="A88" s="12">
        <v>75</v>
      </c>
      <c r="B88" s="13">
        <v>2</v>
      </c>
      <c r="C88" s="14">
        <v>42920</v>
      </c>
      <c r="D88" s="15">
        <v>8.23</v>
      </c>
      <c r="E88" s="15">
        <v>7</v>
      </c>
      <c r="F88" s="15">
        <v>1</v>
      </c>
      <c r="G88" s="13">
        <v>3000</v>
      </c>
      <c r="H88" s="16">
        <f t="shared" si="9"/>
        <v>24690</v>
      </c>
      <c r="I88" s="17">
        <f>IF(OR(A88="",B88=""),"",IFERROR(LOOKUP(2,1/(单次交易!$A$2:$A$201=A88),单次交易!$H$2:$H$201),0)+SUMIFS($G$2:$G$1001,$A$2:$A$1001,A88,$B$2:$B$1001,"&lt;"&amp;B88))</f>
        <v>11900</v>
      </c>
      <c r="J88" s="16">
        <f>IF(OR(A88="",B88=""),"",IFERROR(LOOKUP(2,1/(单次交易!$A$2:$A$201=A88),单次交易!$E$2:$E$201)*LOOKUP(2,1/(单次交易!$A$2:$A$201=A88),单次交易!$H$2:$H$201),0)+SUMIFS($H$2:$H$1001,$A$2:$A$1001,A88,$B$2:$B$1001,"&lt;"&amp;B88))</f>
        <v>81945</v>
      </c>
      <c r="K88" s="16">
        <f t="shared" si="10"/>
        <v>1355</v>
      </c>
      <c r="L88" s="17">
        <f t="shared" si="11"/>
        <v>1100</v>
      </c>
      <c r="M88" s="17">
        <f t="shared" si="12"/>
        <v>5000</v>
      </c>
      <c r="N88" s="17">
        <f t="shared" si="13"/>
        <v>1100</v>
      </c>
      <c r="O88" s="17">
        <f t="shared" si="14"/>
        <v>14900</v>
      </c>
      <c r="P88" s="16">
        <f t="shared" si="15"/>
        <v>7.1567114093959727</v>
      </c>
      <c r="Q88" s="16">
        <f t="shared" si="16"/>
        <v>2335</v>
      </c>
      <c r="R88" s="18" t="str">
        <f t="shared" si="17"/>
        <v>违规：实际股数超过风险或金字塔上限</v>
      </c>
    </row>
    <row r="89" spans="1:18">
      <c r="A89" s="12">
        <v>75</v>
      </c>
      <c r="B89" s="13">
        <v>3</v>
      </c>
      <c r="C89" s="14">
        <v>42922</v>
      </c>
      <c r="D89" s="15">
        <v>9.25</v>
      </c>
      <c r="E89" s="15">
        <v>8</v>
      </c>
      <c r="F89" s="15">
        <v>1</v>
      </c>
      <c r="G89" s="13">
        <v>3000</v>
      </c>
      <c r="H89" s="16">
        <f t="shared" si="9"/>
        <v>27750</v>
      </c>
      <c r="I89" s="17">
        <f>IF(OR(A89="",B89=""),"",IFERROR(LOOKUP(2,1/(单次交易!$A$2:$A$201=A89),单次交易!$H$2:$H$201),0)+SUMIFS($G$2:$G$1001,$A$2:$A$1001,A89,$B$2:$B$1001,"&lt;"&amp;B89))</f>
        <v>14900</v>
      </c>
      <c r="J89" s="16">
        <f>IF(OR(A89="",B89=""),"",IFERROR(LOOKUP(2,1/(单次交易!$A$2:$A$201=A89),单次交易!$E$2:$E$201)*LOOKUP(2,1/(单次交易!$A$2:$A$201=A89),单次交易!$H$2:$H$201),0)+SUMIFS($H$2:$H$1001,$A$2:$A$1001,A89,$B$2:$B$1001,"&lt;"&amp;B89))</f>
        <v>106635</v>
      </c>
      <c r="K89" s="16">
        <f t="shared" si="10"/>
        <v>12565</v>
      </c>
      <c r="L89" s="17">
        <f t="shared" si="11"/>
        <v>10000</v>
      </c>
      <c r="M89" s="17">
        <f t="shared" si="12"/>
        <v>3000</v>
      </c>
      <c r="N89" s="17">
        <f t="shared" si="13"/>
        <v>3000</v>
      </c>
      <c r="O89" s="17">
        <f t="shared" si="14"/>
        <v>17900</v>
      </c>
      <c r="P89" s="16">
        <f t="shared" si="15"/>
        <v>7.5075418994413408</v>
      </c>
      <c r="Q89" s="16">
        <f t="shared" si="16"/>
        <v>0</v>
      </c>
      <c r="R89" s="18" t="str">
        <f t="shared" si="17"/>
        <v>通过</v>
      </c>
    </row>
    <row r="90" spans="1:18" ht="27">
      <c r="A90" s="12">
        <v>76</v>
      </c>
      <c r="B90" s="13">
        <v>1</v>
      </c>
      <c r="C90" s="14">
        <v>42933</v>
      </c>
      <c r="D90" s="15">
        <v>8.5399999999999991</v>
      </c>
      <c r="E90" s="15">
        <v>8</v>
      </c>
      <c r="F90" s="15">
        <v>1</v>
      </c>
      <c r="G90" s="13">
        <v>3000</v>
      </c>
      <c r="H90" s="16">
        <f t="shared" si="9"/>
        <v>25620</v>
      </c>
      <c r="I90" s="17">
        <f>IF(OR(A90="",B90=""),"",IFERROR(LOOKUP(2,1/(单次交易!$A$2:$A$201=A90),单次交易!$H$2:$H$201),0)+SUMIFS($G$2:$G$1001,$A$2:$A$1001,A90,$B$2:$B$1001,"&lt;"&amp;B90))</f>
        <v>5700</v>
      </c>
      <c r="J90" s="16">
        <f>IF(OR(A90="",B90=""),"",IFERROR(LOOKUP(2,1/(单次交易!$A$2:$A$201=A90),单次交易!$E$2:$E$201)*LOOKUP(2,1/(单次交易!$A$2:$A$201=A90),单次交易!$H$2:$H$201),0)+SUMIFS($H$2:$H$1001,$A$2:$A$1001,A90,$B$2:$B$1001,"&lt;"&amp;B90))</f>
        <v>50102.999999999993</v>
      </c>
      <c r="K90" s="16">
        <f t="shared" si="10"/>
        <v>0</v>
      </c>
      <c r="L90" s="17">
        <f t="shared" si="11"/>
        <v>0</v>
      </c>
      <c r="M90" s="17">
        <f t="shared" si="12"/>
        <v>0</v>
      </c>
      <c r="N90" s="17">
        <f t="shared" si="13"/>
        <v>0</v>
      </c>
      <c r="O90" s="17">
        <f t="shared" si="14"/>
        <v>8700</v>
      </c>
      <c r="P90" s="16">
        <f t="shared" si="15"/>
        <v>8.7037931034482767</v>
      </c>
      <c r="Q90" s="16">
        <f t="shared" si="16"/>
        <v>6123</v>
      </c>
      <c r="R90" s="18" t="str">
        <f t="shared" si="17"/>
        <v>违规：实际股数超过风险或金字塔上限</v>
      </c>
    </row>
    <row r="91" spans="1:18" ht="27">
      <c r="A91" s="12">
        <v>76</v>
      </c>
      <c r="B91" s="13">
        <v>2</v>
      </c>
      <c r="C91" s="14">
        <v>42948</v>
      </c>
      <c r="D91" s="15">
        <v>10.75</v>
      </c>
      <c r="E91" s="15">
        <v>9.5</v>
      </c>
      <c r="F91" s="15">
        <v>1</v>
      </c>
      <c r="G91" s="13">
        <v>5000</v>
      </c>
      <c r="H91" s="16">
        <f t="shared" si="9"/>
        <v>53750</v>
      </c>
      <c r="I91" s="17">
        <f>IF(OR(A91="",B91=""),"",IFERROR(LOOKUP(2,1/(单次交易!$A$2:$A$201=A91),单次交易!$H$2:$H$201),0)+SUMIFS($G$2:$G$1001,$A$2:$A$1001,A91,$B$2:$B$1001,"&lt;"&amp;B91))</f>
        <v>8700</v>
      </c>
      <c r="J91" s="16">
        <f>IF(OR(A91="",B91=""),"",IFERROR(LOOKUP(2,1/(单次交易!$A$2:$A$201=A91),单次交易!$E$2:$E$201)*LOOKUP(2,1/(单次交易!$A$2:$A$201=A91),单次交易!$H$2:$H$201),0)+SUMIFS($H$2:$H$1001,$A$2:$A$1001,A91,$B$2:$B$1001,"&lt;"&amp;B91))</f>
        <v>75723</v>
      </c>
      <c r="K91" s="16">
        <f t="shared" si="10"/>
        <v>6927</v>
      </c>
      <c r="L91" s="17">
        <f t="shared" si="11"/>
        <v>5500</v>
      </c>
      <c r="M91" s="17">
        <f t="shared" si="12"/>
        <v>3000</v>
      </c>
      <c r="N91" s="17">
        <f t="shared" si="13"/>
        <v>3000</v>
      </c>
      <c r="O91" s="17">
        <f t="shared" si="14"/>
        <v>13700</v>
      </c>
      <c r="P91" s="16">
        <f t="shared" si="15"/>
        <v>9.4505839416058386</v>
      </c>
      <c r="Q91" s="16">
        <f t="shared" si="16"/>
        <v>0</v>
      </c>
      <c r="R91" s="18" t="str">
        <f t="shared" si="17"/>
        <v>违规：实际股数超过风险或金字塔上限</v>
      </c>
    </row>
    <row r="92" spans="1:18" ht="27">
      <c r="A92" s="12">
        <v>78</v>
      </c>
      <c r="B92" s="13">
        <v>1</v>
      </c>
      <c r="C92" s="14">
        <v>42985</v>
      </c>
      <c r="D92" s="15">
        <v>11.49</v>
      </c>
      <c r="E92" s="15">
        <v>10</v>
      </c>
      <c r="F92" s="15">
        <v>1</v>
      </c>
      <c r="G92" s="13">
        <v>3000</v>
      </c>
      <c r="H92" s="16">
        <f t="shared" si="9"/>
        <v>34470</v>
      </c>
      <c r="I92" s="17">
        <f>IF(OR(A92="",B92=""),"",IFERROR(LOOKUP(2,1/(单次交易!$A$2:$A$201=A92),单次交易!$H$2:$H$201),0)+SUMIFS($G$2:$G$1001,$A$2:$A$1001,A92,$B$2:$B$1001,"&lt;"&amp;B92))</f>
        <v>11200</v>
      </c>
      <c r="J92" s="16">
        <f>IF(OR(A92="",B92=""),"",IFERROR(LOOKUP(2,1/(单次交易!$A$2:$A$201=A92),单次交易!$E$2:$E$201)*LOOKUP(2,1/(单次交易!$A$2:$A$201=A92),单次交易!$H$2:$H$201),0)+SUMIFS($H$2:$H$1001,$A$2:$A$1001,A92,$B$2:$B$1001,"&lt;"&amp;B92))</f>
        <v>116480</v>
      </c>
      <c r="K92" s="16">
        <f t="shared" si="10"/>
        <v>0</v>
      </c>
      <c r="L92" s="17">
        <f t="shared" si="11"/>
        <v>0</v>
      </c>
      <c r="M92" s="17">
        <f t="shared" si="12"/>
        <v>0</v>
      </c>
      <c r="N92" s="17">
        <f t="shared" si="13"/>
        <v>0</v>
      </c>
      <c r="O92" s="17">
        <f t="shared" si="14"/>
        <v>14200</v>
      </c>
      <c r="P92" s="16">
        <f t="shared" si="15"/>
        <v>10.630281690140846</v>
      </c>
      <c r="Q92" s="16">
        <f t="shared" si="16"/>
        <v>8950</v>
      </c>
      <c r="R92" s="18" t="str">
        <f t="shared" si="17"/>
        <v>违规：实际股数超过风险或金字塔上限</v>
      </c>
    </row>
    <row r="93" spans="1:18" ht="27">
      <c r="A93" s="12">
        <v>81</v>
      </c>
      <c r="B93" s="13">
        <v>1</v>
      </c>
      <c r="C93" s="14">
        <v>43082</v>
      </c>
      <c r="D93" s="15">
        <v>7.18</v>
      </c>
      <c r="E93" s="15">
        <v>7</v>
      </c>
      <c r="F93" s="15">
        <v>1</v>
      </c>
      <c r="G93" s="13">
        <v>5000</v>
      </c>
      <c r="H93" s="16">
        <f t="shared" si="9"/>
        <v>35900</v>
      </c>
      <c r="I93" s="17">
        <f>IF(OR(A93="",B93=""),"",IFERROR(LOOKUP(2,1/(单次交易!$A$2:$A$201=A93),单次交易!$H$2:$H$201),0)+SUMIFS($G$2:$G$1001,$A$2:$A$1001,A93,$B$2:$B$1001,"&lt;"&amp;B93))</f>
        <v>5100</v>
      </c>
      <c r="J93" s="16">
        <f>IF(OR(A93="",B93=""),"",IFERROR(LOOKUP(2,1/(单次交易!$A$2:$A$201=A93),单次交易!$E$2:$E$201)*LOOKUP(2,1/(单次交易!$A$2:$A$201=A93),单次交易!$H$2:$H$201),0)+SUMIFS($H$2:$H$1001,$A$2:$A$1001,A93,$B$2:$B$1001,"&lt;"&amp;B93))</f>
        <v>40290</v>
      </c>
      <c r="K93" s="16">
        <f t="shared" si="10"/>
        <v>0</v>
      </c>
      <c r="L93" s="17">
        <f t="shared" si="11"/>
        <v>0</v>
      </c>
      <c r="M93" s="17">
        <f t="shared" si="12"/>
        <v>0</v>
      </c>
      <c r="N93" s="17">
        <f t="shared" si="13"/>
        <v>0</v>
      </c>
      <c r="O93" s="17">
        <f t="shared" si="14"/>
        <v>10100</v>
      </c>
      <c r="P93" s="16">
        <f t="shared" si="15"/>
        <v>7.5435643564356436</v>
      </c>
      <c r="Q93" s="16">
        <f t="shared" si="16"/>
        <v>5490</v>
      </c>
      <c r="R93" s="18" t="str">
        <f t="shared" si="17"/>
        <v>违规：实际股数超过风险或金字塔上限</v>
      </c>
    </row>
    <row r="94" spans="1:18">
      <c r="A94" s="12">
        <v>83</v>
      </c>
      <c r="B94" s="13">
        <v>1</v>
      </c>
      <c r="C94" s="14">
        <v>43154</v>
      </c>
      <c r="D94" s="15">
        <v>7.18</v>
      </c>
      <c r="E94" s="15">
        <v>7</v>
      </c>
      <c r="F94" s="15">
        <v>5000</v>
      </c>
      <c r="G94" s="13">
        <v>5000</v>
      </c>
      <c r="H94" s="16">
        <f t="shared" si="9"/>
        <v>35900</v>
      </c>
      <c r="I94" s="17">
        <f>IF(OR(A94="",B94=""),"",IFERROR(LOOKUP(2,1/(单次交易!$A$2:$A$201=A94),单次交易!$H$2:$H$201),0)+SUMIFS($G$2:$G$1001,$A$2:$A$1001,A94,$B$2:$B$1001,"&lt;"&amp;B94))</f>
        <v>18600</v>
      </c>
      <c r="J94" s="16">
        <f>IF(OR(A94="",B94=""),"",IFERROR(LOOKUP(2,1/(单次交易!$A$2:$A$201=A94),单次交易!$E$2:$E$201)*LOOKUP(2,1/(单次交易!$A$2:$A$201=A94),单次交易!$H$2:$H$201),0)+SUMIFS($H$2:$H$1001,$A$2:$A$1001,A94,$B$2:$B$1001,"&lt;"&amp;B94))</f>
        <v>106578.00000000001</v>
      </c>
      <c r="K94" s="16">
        <f t="shared" si="10"/>
        <v>23621.999999999985</v>
      </c>
      <c r="L94" s="17">
        <f t="shared" si="11"/>
        <v>159000</v>
      </c>
      <c r="M94" s="17">
        <f t="shared" si="12"/>
        <v>159000</v>
      </c>
      <c r="N94" s="17">
        <f t="shared" si="13"/>
        <v>159000</v>
      </c>
      <c r="O94" s="17">
        <f t="shared" si="14"/>
        <v>23600</v>
      </c>
      <c r="P94" s="16">
        <f t="shared" si="15"/>
        <v>6.0372033898305082</v>
      </c>
      <c r="Q94" s="16">
        <f t="shared" si="16"/>
        <v>0</v>
      </c>
      <c r="R94" s="18" t="str">
        <f t="shared" si="17"/>
        <v>通过</v>
      </c>
    </row>
    <row r="95" spans="1:18">
      <c r="A95" s="12">
        <v>84</v>
      </c>
      <c r="B95" s="13">
        <v>1</v>
      </c>
      <c r="C95" s="14">
        <v>43186</v>
      </c>
      <c r="D95" s="15">
        <v>7.04</v>
      </c>
      <c r="E95" s="15">
        <v>6.5</v>
      </c>
      <c r="F95" s="15">
        <v>1</v>
      </c>
      <c r="G95" s="13">
        <v>8000</v>
      </c>
      <c r="H95" s="16">
        <f t="shared" si="9"/>
        <v>56320</v>
      </c>
      <c r="I95" s="17">
        <f>IF(OR(A95="",B95=""),"",IFERROR(LOOKUP(2,1/(单次交易!$A$2:$A$201=A95),单次交易!$H$2:$H$201),0)+SUMIFS($G$2:$G$1001,$A$2:$A$1001,A95,$B$2:$B$1001,"&lt;"&amp;B95))</f>
        <v>18900</v>
      </c>
      <c r="J95" s="16">
        <f>IF(OR(A95="",B95=""),"",IFERROR(LOOKUP(2,1/(单次交易!$A$2:$A$201=A95),单次交易!$E$2:$E$201)*LOOKUP(2,1/(单次交易!$A$2:$A$201=A95),单次交易!$H$2:$H$201),0)+SUMIFS($H$2:$H$1001,$A$2:$A$1001,A95,$B$2:$B$1001,"&lt;"&amp;B95))</f>
        <v>118502.99999999999</v>
      </c>
      <c r="K95" s="16">
        <f t="shared" si="10"/>
        <v>4347.0000000000146</v>
      </c>
      <c r="L95" s="17">
        <f t="shared" si="11"/>
        <v>8000</v>
      </c>
      <c r="M95" s="17">
        <f t="shared" si="12"/>
        <v>8000</v>
      </c>
      <c r="N95" s="17">
        <f t="shared" si="13"/>
        <v>8000</v>
      </c>
      <c r="O95" s="17">
        <f t="shared" si="14"/>
        <v>26900</v>
      </c>
      <c r="P95" s="16">
        <f t="shared" si="15"/>
        <v>6.4989962825278811</v>
      </c>
      <c r="Q95" s="16">
        <f t="shared" si="16"/>
        <v>0</v>
      </c>
      <c r="R95" s="18" t="str">
        <f t="shared" si="17"/>
        <v>通过</v>
      </c>
    </row>
    <row r="96" spans="1:18" ht="27">
      <c r="A96" s="12">
        <v>85</v>
      </c>
      <c r="B96" s="13">
        <v>1</v>
      </c>
      <c r="C96" s="14">
        <v>43223</v>
      </c>
      <c r="D96" s="15">
        <v>6.59</v>
      </c>
      <c r="E96" s="15">
        <v>6</v>
      </c>
      <c r="F96" s="15">
        <v>1</v>
      </c>
      <c r="G96" s="13">
        <v>10000</v>
      </c>
      <c r="H96" s="16">
        <f t="shared" si="9"/>
        <v>65900</v>
      </c>
      <c r="I96" s="17">
        <f>IF(OR(A96="",B96=""),"",IFERROR(LOOKUP(2,1/(单次交易!$A$2:$A$201=A96),单次交易!$H$2:$H$201),0)+SUMIFS($G$2:$G$1001,$A$2:$A$1001,A96,$B$2:$B$1001,"&lt;"&amp;B96))</f>
        <v>11000</v>
      </c>
      <c r="J96" s="16">
        <f>IF(OR(A96="",B96=""),"",IFERROR(LOOKUP(2,1/(单次交易!$A$2:$A$201=A96),单次交易!$E$2:$E$201)*LOOKUP(2,1/(单次交易!$A$2:$A$201=A96),单次交易!$H$2:$H$201),0)+SUMIFS($H$2:$H$1001,$A$2:$A$1001,A96,$B$2:$B$1001,"&lt;"&amp;B96))</f>
        <v>71280</v>
      </c>
      <c r="K96" s="16">
        <f t="shared" si="10"/>
        <v>0</v>
      </c>
      <c r="L96" s="17">
        <f t="shared" si="11"/>
        <v>0</v>
      </c>
      <c r="M96" s="17">
        <f t="shared" si="12"/>
        <v>0</v>
      </c>
      <c r="N96" s="17">
        <f t="shared" si="13"/>
        <v>0</v>
      </c>
      <c r="O96" s="17">
        <f t="shared" si="14"/>
        <v>21000</v>
      </c>
      <c r="P96" s="16">
        <f t="shared" si="15"/>
        <v>6.5323809523809526</v>
      </c>
      <c r="Q96" s="16">
        <f t="shared" si="16"/>
        <v>11180</v>
      </c>
      <c r="R96" s="18" t="str">
        <f t="shared" si="17"/>
        <v>违规：实际股数超过风险或金字塔上限</v>
      </c>
    </row>
    <row r="97" spans="1:18">
      <c r="A97" s="12">
        <v>85</v>
      </c>
      <c r="B97" s="13">
        <v>2</v>
      </c>
      <c r="C97" s="14">
        <v>43230</v>
      </c>
      <c r="D97" s="15">
        <v>7.67</v>
      </c>
      <c r="E97" s="15">
        <v>7</v>
      </c>
      <c r="F97" s="15">
        <v>1</v>
      </c>
      <c r="G97" s="13">
        <v>5000</v>
      </c>
      <c r="H97" s="16">
        <f t="shared" si="9"/>
        <v>38350</v>
      </c>
      <c r="I97" s="17">
        <f>IF(OR(A97="",B97=""),"",IFERROR(LOOKUP(2,1/(单次交易!$A$2:$A$201=A97),单次交易!$H$2:$H$201),0)+SUMIFS($G$2:$G$1001,$A$2:$A$1001,A97,$B$2:$B$1001,"&lt;"&amp;B97))</f>
        <v>21000</v>
      </c>
      <c r="J97" s="16">
        <f>IF(OR(A97="",B97=""),"",IFERROR(LOOKUP(2,1/(单次交易!$A$2:$A$201=A97),单次交易!$E$2:$E$201)*LOOKUP(2,1/(单次交易!$A$2:$A$201=A97),单次交易!$H$2:$H$201),0)+SUMIFS($H$2:$H$1001,$A$2:$A$1001,A97,$B$2:$B$1001,"&lt;"&amp;B97))</f>
        <v>137180</v>
      </c>
      <c r="K97" s="16">
        <f t="shared" si="10"/>
        <v>9820</v>
      </c>
      <c r="L97" s="17">
        <f t="shared" si="11"/>
        <v>14600</v>
      </c>
      <c r="M97" s="17">
        <f t="shared" si="12"/>
        <v>10000</v>
      </c>
      <c r="N97" s="17">
        <f t="shared" si="13"/>
        <v>10000</v>
      </c>
      <c r="O97" s="17">
        <f t="shared" si="14"/>
        <v>26000</v>
      </c>
      <c r="P97" s="16">
        <f t="shared" si="15"/>
        <v>6.7511538461538461</v>
      </c>
      <c r="Q97" s="16">
        <f t="shared" si="16"/>
        <v>0</v>
      </c>
      <c r="R97" s="18" t="str">
        <f t="shared" si="17"/>
        <v>通过</v>
      </c>
    </row>
    <row r="98" spans="1:18" ht="27">
      <c r="A98" s="12">
        <v>86</v>
      </c>
      <c r="B98" s="13">
        <v>1</v>
      </c>
      <c r="C98" s="14">
        <v>43256</v>
      </c>
      <c r="D98" s="15">
        <v>7.12</v>
      </c>
      <c r="E98" s="15">
        <v>6.5</v>
      </c>
      <c r="F98" s="15">
        <v>1</v>
      </c>
      <c r="G98" s="13">
        <v>5000</v>
      </c>
      <c r="H98" s="16">
        <f t="shared" si="9"/>
        <v>35600</v>
      </c>
      <c r="I98" s="17">
        <f>IF(OR(A98="",B98=""),"",IFERROR(LOOKUP(2,1/(单次交易!$A$2:$A$201=A98),单次交易!$H$2:$H$201),0)+SUMIFS($G$2:$G$1001,$A$2:$A$1001,A98,$B$2:$B$1001,"&lt;"&amp;B98))</f>
        <v>10000</v>
      </c>
      <c r="J98" s="16">
        <f>IF(OR(A98="",B98=""),"",IFERROR(LOOKUP(2,1/(单次交易!$A$2:$A$201=A98),单次交易!$E$2:$E$201)*LOOKUP(2,1/(单次交易!$A$2:$A$201=A98),单次交易!$H$2:$H$201),0)+SUMIFS($H$2:$H$1001,$A$2:$A$1001,A98,$B$2:$B$1001,"&lt;"&amp;B98))</f>
        <v>70400</v>
      </c>
      <c r="K98" s="16">
        <f t="shared" si="10"/>
        <v>0</v>
      </c>
      <c r="L98" s="17">
        <f t="shared" si="11"/>
        <v>0</v>
      </c>
      <c r="M98" s="17">
        <f t="shared" si="12"/>
        <v>0</v>
      </c>
      <c r="N98" s="17">
        <f t="shared" si="13"/>
        <v>0</v>
      </c>
      <c r="O98" s="17">
        <f t="shared" si="14"/>
        <v>15000</v>
      </c>
      <c r="P98" s="16">
        <f t="shared" si="15"/>
        <v>7.0666666666666664</v>
      </c>
      <c r="Q98" s="16">
        <f t="shared" si="16"/>
        <v>8500</v>
      </c>
      <c r="R98" s="18" t="str">
        <f t="shared" si="17"/>
        <v>违规：实际股数超过风险或金字塔上限</v>
      </c>
    </row>
    <row r="99" spans="1:18" ht="27">
      <c r="A99" s="12">
        <v>86</v>
      </c>
      <c r="B99" s="13">
        <v>2</v>
      </c>
      <c r="C99" s="14">
        <v>43265</v>
      </c>
      <c r="D99" s="15">
        <v>7.39</v>
      </c>
      <c r="E99" s="15">
        <v>7</v>
      </c>
      <c r="F99" s="15">
        <v>1</v>
      </c>
      <c r="G99" s="13">
        <v>10000</v>
      </c>
      <c r="H99" s="16">
        <f t="shared" si="9"/>
        <v>73900</v>
      </c>
      <c r="I99" s="17">
        <f>IF(OR(A99="",B99=""),"",IFERROR(LOOKUP(2,1/(单次交易!$A$2:$A$201=A99),单次交易!$H$2:$H$201),0)+SUMIFS($G$2:$G$1001,$A$2:$A$1001,A99,$B$2:$B$1001,"&lt;"&amp;B99))</f>
        <v>15000</v>
      </c>
      <c r="J99" s="16">
        <f>IF(OR(A99="",B99=""),"",IFERROR(LOOKUP(2,1/(单次交易!$A$2:$A$201=A99),单次交易!$E$2:$E$201)*LOOKUP(2,1/(单次交易!$A$2:$A$201=A99),单次交易!$H$2:$H$201),0)+SUMIFS($H$2:$H$1001,$A$2:$A$1001,A99,$B$2:$B$1001,"&lt;"&amp;B99))</f>
        <v>106000</v>
      </c>
      <c r="K99" s="16">
        <f t="shared" si="10"/>
        <v>0</v>
      </c>
      <c r="L99" s="17">
        <f t="shared" si="11"/>
        <v>0</v>
      </c>
      <c r="M99" s="17">
        <f t="shared" si="12"/>
        <v>5000</v>
      </c>
      <c r="N99" s="17">
        <f t="shared" si="13"/>
        <v>0</v>
      </c>
      <c r="O99" s="17">
        <f t="shared" si="14"/>
        <v>25000</v>
      </c>
      <c r="P99" s="16">
        <f t="shared" si="15"/>
        <v>7.1959999999999997</v>
      </c>
      <c r="Q99" s="16">
        <f t="shared" si="16"/>
        <v>4900</v>
      </c>
      <c r="R99" s="18" t="str">
        <f t="shared" si="17"/>
        <v>违规：实际股数超过风险或金字塔上限</v>
      </c>
    </row>
    <row r="100" spans="1:18">
      <c r="A100" s="12">
        <v>86</v>
      </c>
      <c r="B100" s="13">
        <v>3</v>
      </c>
      <c r="C100" s="14">
        <v>43270</v>
      </c>
      <c r="D100" s="15">
        <v>6.56</v>
      </c>
      <c r="E100" s="15">
        <v>6</v>
      </c>
      <c r="F100" s="15">
        <v>1</v>
      </c>
      <c r="G100" s="13">
        <v>14500</v>
      </c>
      <c r="H100" s="16">
        <f t="shared" si="9"/>
        <v>95120</v>
      </c>
      <c r="I100" s="17">
        <f>IF(OR(A100="",B100=""),"",IFERROR(LOOKUP(2,1/(单次交易!$A$2:$A$201=A100),单次交易!$H$2:$H$201),0)+SUMIFS($G$2:$G$1001,$A$2:$A$1001,A100,$B$2:$B$1001,"&lt;"&amp;B100))</f>
        <v>25000</v>
      </c>
      <c r="J100" s="16">
        <f>IF(OR(A100="",B100=""),"",IFERROR(LOOKUP(2,1/(单次交易!$A$2:$A$201=A100),单次交易!$E$2:$E$201)*LOOKUP(2,1/(单次交易!$A$2:$A$201=A100),单次交易!$H$2:$H$201),0)+SUMIFS($H$2:$H$1001,$A$2:$A$1001,A100,$B$2:$B$1001,"&lt;"&amp;B100))</f>
        <v>179900</v>
      </c>
      <c r="K100" s="16">
        <f t="shared" si="10"/>
        <v>0</v>
      </c>
      <c r="L100" s="17">
        <f t="shared" si="11"/>
        <v>0</v>
      </c>
      <c r="M100" s="17">
        <f t="shared" si="12"/>
        <v>10000</v>
      </c>
      <c r="N100" s="17">
        <f t="shared" si="13"/>
        <v>0</v>
      </c>
      <c r="O100" s="17">
        <f t="shared" si="14"/>
        <v>39500</v>
      </c>
      <c r="P100" s="16">
        <f t="shared" si="15"/>
        <v>6.9625316455696202</v>
      </c>
      <c r="Q100" s="16">
        <f t="shared" si="16"/>
        <v>38020</v>
      </c>
      <c r="R100" s="18" t="str">
        <f t="shared" si="17"/>
        <v>违规：新止损价不得低于上一次</v>
      </c>
    </row>
    <row r="101" spans="1:18" ht="27">
      <c r="A101" s="12">
        <v>87</v>
      </c>
      <c r="B101" s="13">
        <v>1</v>
      </c>
      <c r="C101" s="14">
        <v>43342</v>
      </c>
      <c r="D101" s="15">
        <v>4.9800000000000004</v>
      </c>
      <c r="E101" s="15">
        <v>4.5</v>
      </c>
      <c r="F101" s="15">
        <v>1</v>
      </c>
      <c r="G101" s="13">
        <v>10000</v>
      </c>
      <c r="H101" s="16">
        <f t="shared" si="9"/>
        <v>49800</v>
      </c>
      <c r="I101" s="17">
        <f>IF(OR(A101="",B101=""),"",IFERROR(LOOKUP(2,1/(单次交易!$A$2:$A$201=A101),单次交易!$H$2:$H$201),0)+SUMIFS($G$2:$G$1001,$A$2:$A$1001,A101,$B$2:$B$1001,"&lt;"&amp;B101))</f>
        <v>7900</v>
      </c>
      <c r="J101" s="16">
        <f>IF(OR(A101="",B101=""),"",IFERROR(LOOKUP(2,1/(单次交易!$A$2:$A$201=A101),单次交易!$E$2:$E$201)*LOOKUP(2,1/(单次交易!$A$2:$A$201=A101),单次交易!$H$2:$H$201),0)+SUMIFS($H$2:$H$1001,$A$2:$A$1001,A101,$B$2:$B$1001,"&lt;"&amp;B101))</f>
        <v>40053</v>
      </c>
      <c r="K101" s="16">
        <f t="shared" si="10"/>
        <v>0</v>
      </c>
      <c r="L101" s="17">
        <f t="shared" si="11"/>
        <v>0</v>
      </c>
      <c r="M101" s="17">
        <f t="shared" si="12"/>
        <v>0</v>
      </c>
      <c r="N101" s="17">
        <f t="shared" si="13"/>
        <v>0</v>
      </c>
      <c r="O101" s="17">
        <f t="shared" si="14"/>
        <v>17900</v>
      </c>
      <c r="P101" s="16">
        <f t="shared" si="15"/>
        <v>5.0197206703910613</v>
      </c>
      <c r="Q101" s="16">
        <f t="shared" si="16"/>
        <v>9303</v>
      </c>
      <c r="R101" s="18" t="str">
        <f t="shared" si="17"/>
        <v>违规：实际股数超过风险或金字塔上限</v>
      </c>
    </row>
    <row r="102" spans="1:18">
      <c r="A102" s="12">
        <v>87</v>
      </c>
      <c r="B102" s="13">
        <v>2</v>
      </c>
      <c r="C102" s="14">
        <v>43353</v>
      </c>
      <c r="D102" s="15">
        <v>4.28</v>
      </c>
      <c r="E102" s="15">
        <v>4</v>
      </c>
      <c r="F102" s="15">
        <v>1</v>
      </c>
      <c r="G102" s="13">
        <v>20000</v>
      </c>
      <c r="H102" s="16">
        <f t="shared" si="9"/>
        <v>85600</v>
      </c>
      <c r="I102" s="17">
        <f>IF(OR(A102="",B102=""),"",IFERROR(LOOKUP(2,1/(单次交易!$A$2:$A$201=A102),单次交易!$H$2:$H$201),0)+SUMIFS($G$2:$G$1001,$A$2:$A$1001,A102,$B$2:$B$1001,"&lt;"&amp;B102))</f>
        <v>17900</v>
      </c>
      <c r="J102" s="16">
        <f>IF(OR(A102="",B102=""),"",IFERROR(LOOKUP(2,1/(单次交易!$A$2:$A$201=A102),单次交易!$E$2:$E$201)*LOOKUP(2,1/(单次交易!$A$2:$A$201=A102),单次交易!$H$2:$H$201),0)+SUMIFS($H$2:$H$1001,$A$2:$A$1001,A102,$B$2:$B$1001,"&lt;"&amp;B102))</f>
        <v>89853</v>
      </c>
      <c r="K102" s="16">
        <f t="shared" si="10"/>
        <v>0</v>
      </c>
      <c r="L102" s="17">
        <f t="shared" si="11"/>
        <v>0</v>
      </c>
      <c r="M102" s="17">
        <f t="shared" si="12"/>
        <v>10000</v>
      </c>
      <c r="N102" s="17">
        <f t="shared" si="13"/>
        <v>0</v>
      </c>
      <c r="O102" s="17">
        <f t="shared" si="14"/>
        <v>37900</v>
      </c>
      <c r="P102" s="16">
        <f t="shared" si="15"/>
        <v>4.629366754617414</v>
      </c>
      <c r="Q102" s="16">
        <f t="shared" si="16"/>
        <v>23853</v>
      </c>
      <c r="R102" s="18" t="str">
        <f t="shared" si="17"/>
        <v>违规：新止损价不得低于上一次</v>
      </c>
    </row>
    <row r="103" spans="1:18" ht="27">
      <c r="A103" s="12">
        <v>87</v>
      </c>
      <c r="B103" s="13">
        <v>3</v>
      </c>
      <c r="C103" s="14">
        <v>43355</v>
      </c>
      <c r="D103" s="15">
        <v>5.0599999999999996</v>
      </c>
      <c r="E103" s="15">
        <v>4.5</v>
      </c>
      <c r="F103" s="15">
        <v>1</v>
      </c>
      <c r="G103" s="13">
        <v>9000</v>
      </c>
      <c r="H103" s="16">
        <f t="shared" si="9"/>
        <v>45540</v>
      </c>
      <c r="I103" s="17">
        <f>IF(OR(A103="",B103=""),"",IFERROR(LOOKUP(2,1/(单次交易!$A$2:$A$201=A103),单次交易!$H$2:$H$201),0)+SUMIFS($G$2:$G$1001,$A$2:$A$1001,A103,$B$2:$B$1001,"&lt;"&amp;B103))</f>
        <v>37900</v>
      </c>
      <c r="J103" s="16">
        <f>IF(OR(A103="",B103=""),"",IFERROR(LOOKUP(2,1/(单次交易!$A$2:$A$201=A103),单次交易!$E$2:$E$201)*LOOKUP(2,1/(单次交易!$A$2:$A$201=A103),单次交易!$H$2:$H$201),0)+SUMIFS($H$2:$H$1001,$A$2:$A$1001,A103,$B$2:$B$1001,"&lt;"&amp;B103))</f>
        <v>175453</v>
      </c>
      <c r="K103" s="16">
        <f t="shared" si="10"/>
        <v>0</v>
      </c>
      <c r="L103" s="17">
        <f t="shared" si="11"/>
        <v>0</v>
      </c>
      <c r="M103" s="17">
        <f t="shared" si="12"/>
        <v>20000</v>
      </c>
      <c r="N103" s="17">
        <f t="shared" si="13"/>
        <v>0</v>
      </c>
      <c r="O103" s="17">
        <f t="shared" si="14"/>
        <v>46900</v>
      </c>
      <c r="P103" s="16">
        <f t="shared" si="15"/>
        <v>4.7120042643923243</v>
      </c>
      <c r="Q103" s="16">
        <f t="shared" si="16"/>
        <v>9943</v>
      </c>
      <c r="R103" s="18" t="str">
        <f t="shared" si="17"/>
        <v>违规：实际股数超过风险或金字塔上限</v>
      </c>
    </row>
    <row r="104" spans="1:18" ht="27">
      <c r="A104" s="12">
        <v>88</v>
      </c>
      <c r="B104" s="13">
        <v>1</v>
      </c>
      <c r="C104" s="14">
        <v>43453</v>
      </c>
      <c r="D104" s="15">
        <v>6.03</v>
      </c>
      <c r="E104" s="15">
        <v>5.5</v>
      </c>
      <c r="F104" s="15">
        <v>1</v>
      </c>
      <c r="G104" s="13">
        <v>10000</v>
      </c>
      <c r="H104" s="16">
        <f t="shared" si="9"/>
        <v>60300</v>
      </c>
      <c r="I104" s="17">
        <f>IF(OR(A104="",B104=""),"",IFERROR(LOOKUP(2,1/(单次交易!$A$2:$A$201=A104),单次交易!$H$2:$H$201),0)+SUMIFS($G$2:$G$1001,$A$2:$A$1001,A104,$B$2:$B$1001,"&lt;"&amp;B104))</f>
        <v>20500</v>
      </c>
      <c r="J104" s="16">
        <f>IF(OR(A104="",B104=""),"",IFERROR(LOOKUP(2,1/(单次交易!$A$2:$A$201=A104),单次交易!$E$2:$E$201)*LOOKUP(2,1/(单次交易!$A$2:$A$201=A104),单次交易!$H$2:$H$201),0)+SUMIFS($H$2:$H$1001,$A$2:$A$1001,A104,$B$2:$B$1001,"&lt;"&amp;B104))</f>
        <v>135095</v>
      </c>
      <c r="K104" s="16">
        <f t="shared" si="10"/>
        <v>0</v>
      </c>
      <c r="L104" s="17">
        <f t="shared" si="11"/>
        <v>0</v>
      </c>
      <c r="M104" s="17">
        <f t="shared" si="12"/>
        <v>0</v>
      </c>
      <c r="N104" s="17">
        <f t="shared" si="13"/>
        <v>0</v>
      </c>
      <c r="O104" s="17">
        <f t="shared" si="14"/>
        <v>30500</v>
      </c>
      <c r="P104" s="16">
        <f t="shared" si="15"/>
        <v>6.4063934426229512</v>
      </c>
      <c r="Q104" s="16">
        <f t="shared" si="16"/>
        <v>27645</v>
      </c>
      <c r="R104" s="18" t="str">
        <f t="shared" si="17"/>
        <v>违规：实际股数超过风险或金字塔上限</v>
      </c>
    </row>
    <row r="105" spans="1:18" ht="27">
      <c r="A105" s="12">
        <v>88</v>
      </c>
      <c r="B105" s="13">
        <v>2</v>
      </c>
      <c r="C105" s="14">
        <v>43460</v>
      </c>
      <c r="D105" s="15">
        <v>5.79</v>
      </c>
      <c r="E105" s="15">
        <v>5.5</v>
      </c>
      <c r="F105" s="15">
        <v>1</v>
      </c>
      <c r="G105" s="13">
        <v>10000</v>
      </c>
      <c r="H105" s="16">
        <f t="shared" si="9"/>
        <v>57900</v>
      </c>
      <c r="I105" s="17">
        <f>IF(OR(A105="",B105=""),"",IFERROR(LOOKUP(2,1/(单次交易!$A$2:$A$201=A105),单次交易!$H$2:$H$201),0)+SUMIFS($G$2:$G$1001,$A$2:$A$1001,A105,$B$2:$B$1001,"&lt;"&amp;B105))</f>
        <v>30500</v>
      </c>
      <c r="J105" s="16">
        <f>IF(OR(A105="",B105=""),"",IFERROR(LOOKUP(2,1/(单次交易!$A$2:$A$201=A105),单次交易!$E$2:$E$201)*LOOKUP(2,1/(单次交易!$A$2:$A$201=A105),单次交易!$H$2:$H$201),0)+SUMIFS($H$2:$H$1001,$A$2:$A$1001,A105,$B$2:$B$1001,"&lt;"&amp;B105))</f>
        <v>195395</v>
      </c>
      <c r="K105" s="16">
        <f t="shared" si="10"/>
        <v>0</v>
      </c>
      <c r="L105" s="17">
        <f t="shared" si="11"/>
        <v>0</v>
      </c>
      <c r="M105" s="17">
        <f t="shared" si="12"/>
        <v>10000</v>
      </c>
      <c r="N105" s="17">
        <f t="shared" si="13"/>
        <v>0</v>
      </c>
      <c r="O105" s="17">
        <f t="shared" si="14"/>
        <v>40500</v>
      </c>
      <c r="P105" s="16">
        <f t="shared" si="15"/>
        <v>6.2541975308641975</v>
      </c>
      <c r="Q105" s="16">
        <f t="shared" si="16"/>
        <v>30545</v>
      </c>
      <c r="R105" s="18" t="str">
        <f t="shared" si="17"/>
        <v>违规：实际股数超过风险或金字塔上限</v>
      </c>
    </row>
    <row r="106" spans="1:18" ht="27">
      <c r="A106" s="12">
        <v>88</v>
      </c>
      <c r="B106" s="13">
        <v>3</v>
      </c>
      <c r="C106" s="14">
        <v>43474</v>
      </c>
      <c r="D106" s="15">
        <v>6.55</v>
      </c>
      <c r="E106" s="15">
        <v>6</v>
      </c>
      <c r="F106" s="15">
        <v>1</v>
      </c>
      <c r="G106" s="13">
        <v>6000</v>
      </c>
      <c r="H106" s="16">
        <f t="shared" si="9"/>
        <v>39300</v>
      </c>
      <c r="I106" s="17">
        <f>IF(OR(A106="",B106=""),"",IFERROR(LOOKUP(2,1/(单次交易!$A$2:$A$201=A106),单次交易!$H$2:$H$201),0)+SUMIFS($G$2:$G$1001,$A$2:$A$1001,A106,$B$2:$B$1001,"&lt;"&amp;B106))</f>
        <v>40500</v>
      </c>
      <c r="J106" s="16">
        <f>IF(OR(A106="",B106=""),"",IFERROR(LOOKUP(2,1/(单次交易!$A$2:$A$201=A106),单次交易!$E$2:$E$201)*LOOKUP(2,1/(单次交易!$A$2:$A$201=A106),单次交易!$H$2:$H$201),0)+SUMIFS($H$2:$H$1001,$A$2:$A$1001,A106,$B$2:$B$1001,"&lt;"&amp;B106))</f>
        <v>253295</v>
      </c>
      <c r="K106" s="16">
        <f t="shared" si="10"/>
        <v>0</v>
      </c>
      <c r="L106" s="17">
        <f t="shared" si="11"/>
        <v>0</v>
      </c>
      <c r="M106" s="17">
        <f t="shared" si="12"/>
        <v>10000</v>
      </c>
      <c r="N106" s="17">
        <f t="shared" si="13"/>
        <v>0</v>
      </c>
      <c r="O106" s="17">
        <f t="shared" si="14"/>
        <v>46500</v>
      </c>
      <c r="P106" s="16">
        <f t="shared" si="15"/>
        <v>6.2923655913978491</v>
      </c>
      <c r="Q106" s="16">
        <f t="shared" si="16"/>
        <v>13595</v>
      </c>
      <c r="R106" s="18" t="str">
        <f t="shared" si="17"/>
        <v>违规：实际股数超过风险或金字塔上限</v>
      </c>
    </row>
    <row r="107" spans="1:18" ht="27">
      <c r="A107" s="12">
        <v>92</v>
      </c>
      <c r="B107" s="13">
        <v>1</v>
      </c>
      <c r="C107" s="14">
        <v>43643</v>
      </c>
      <c r="D107" s="15">
        <v>13.88</v>
      </c>
      <c r="E107" s="15">
        <v>12</v>
      </c>
      <c r="F107" s="15">
        <v>1</v>
      </c>
      <c r="G107" s="13">
        <v>10000</v>
      </c>
      <c r="H107" s="16">
        <f t="shared" si="9"/>
        <v>138800</v>
      </c>
      <c r="I107" s="17">
        <f>IF(OR(A107="",B107=""),"",IFERROR(LOOKUP(2,1/(单次交易!$A$2:$A$201=A107),单次交易!$H$2:$H$201),0)+SUMIFS($G$2:$G$1001,$A$2:$A$1001,A107,$B$2:$B$1001,"&lt;"&amp;B107))</f>
        <v>6700</v>
      </c>
      <c r="J107" s="16">
        <f>IF(OR(A107="",B107=""),"",IFERROR(LOOKUP(2,1/(单次交易!$A$2:$A$201=A107),单次交易!$E$2:$E$201)*LOOKUP(2,1/(单次交易!$A$2:$A$201=A107),单次交易!$H$2:$H$201),0)+SUMIFS($H$2:$H$1001,$A$2:$A$1001,A107,$B$2:$B$1001,"&lt;"&amp;B107))</f>
        <v>88708</v>
      </c>
      <c r="K107" s="16">
        <f t="shared" si="10"/>
        <v>0</v>
      </c>
      <c r="L107" s="17">
        <f t="shared" si="11"/>
        <v>0</v>
      </c>
      <c r="M107" s="17">
        <f t="shared" si="12"/>
        <v>0</v>
      </c>
      <c r="N107" s="17">
        <f t="shared" si="13"/>
        <v>0</v>
      </c>
      <c r="O107" s="17">
        <f t="shared" si="14"/>
        <v>16700</v>
      </c>
      <c r="P107" s="16">
        <f t="shared" si="15"/>
        <v>13.623233532934131</v>
      </c>
      <c r="Q107" s="16">
        <f t="shared" si="16"/>
        <v>27108</v>
      </c>
      <c r="R107" s="18" t="str">
        <f t="shared" si="17"/>
        <v>违规：实际股数超过风险或金字塔上限</v>
      </c>
    </row>
    <row r="108" spans="1:18">
      <c r="A108" s="12">
        <v>92</v>
      </c>
      <c r="B108" s="13">
        <v>2</v>
      </c>
      <c r="C108" s="14">
        <v>43657</v>
      </c>
      <c r="D108" s="15">
        <v>14.14</v>
      </c>
      <c r="E108" s="15">
        <v>14</v>
      </c>
      <c r="F108" s="15">
        <v>1</v>
      </c>
      <c r="G108" s="13">
        <v>5000</v>
      </c>
      <c r="H108" s="16">
        <f t="shared" si="9"/>
        <v>70700</v>
      </c>
      <c r="I108" s="17">
        <f>IF(OR(A108="",B108=""),"",IFERROR(LOOKUP(2,1/(单次交易!$A$2:$A$201=A108),单次交易!$H$2:$H$201),0)+SUMIFS($G$2:$G$1001,$A$2:$A$1001,A108,$B$2:$B$1001,"&lt;"&amp;B108))</f>
        <v>16700</v>
      </c>
      <c r="J108" s="16">
        <f>IF(OR(A108="",B108=""),"",IFERROR(LOOKUP(2,1/(单次交易!$A$2:$A$201=A108),单次交易!$E$2:$E$201)*LOOKUP(2,1/(单次交易!$A$2:$A$201=A108),单次交易!$H$2:$H$201),0)+SUMIFS($H$2:$H$1001,$A$2:$A$1001,A108,$B$2:$B$1001,"&lt;"&amp;B108))</f>
        <v>227508</v>
      </c>
      <c r="K108" s="16">
        <f t="shared" si="10"/>
        <v>6292</v>
      </c>
      <c r="L108" s="17">
        <f t="shared" si="11"/>
        <v>44900</v>
      </c>
      <c r="M108" s="17">
        <f t="shared" si="12"/>
        <v>10000</v>
      </c>
      <c r="N108" s="17">
        <f t="shared" si="13"/>
        <v>10000</v>
      </c>
      <c r="O108" s="17">
        <f t="shared" si="14"/>
        <v>21700</v>
      </c>
      <c r="P108" s="16">
        <f t="shared" si="15"/>
        <v>13.742304147465438</v>
      </c>
      <c r="Q108" s="16">
        <f t="shared" si="16"/>
        <v>0</v>
      </c>
      <c r="R108" s="18" t="str">
        <f t="shared" si="17"/>
        <v>通过</v>
      </c>
    </row>
    <row r="109" spans="1:18" ht="27">
      <c r="A109" s="12">
        <v>94</v>
      </c>
      <c r="B109" s="13">
        <v>1</v>
      </c>
      <c r="C109" s="14">
        <v>43700</v>
      </c>
      <c r="D109" s="15">
        <v>16.27</v>
      </c>
      <c r="E109" s="15">
        <v>15</v>
      </c>
      <c r="F109" s="15">
        <v>1</v>
      </c>
      <c r="G109" s="13">
        <v>5500</v>
      </c>
      <c r="H109" s="16">
        <f t="shared" si="9"/>
        <v>89485</v>
      </c>
      <c r="I109" s="17">
        <f>IF(OR(A109="",B109=""),"",IFERROR(LOOKUP(2,1/(单次交易!$A$2:$A$201=A109),单次交易!$H$2:$H$201),0)+SUMIFS($G$2:$G$1001,$A$2:$A$1001,A109,$B$2:$B$1001,"&lt;"&amp;B109))</f>
        <v>19600</v>
      </c>
      <c r="J109" s="16">
        <f>IF(OR(A109="",B109=""),"",IFERROR(LOOKUP(2,1/(单次交易!$A$2:$A$201=A109),单次交易!$E$2:$E$201)*LOOKUP(2,1/(单次交易!$A$2:$A$201=A109),单次交易!$H$2:$H$201),0)+SUMIFS($H$2:$H$1001,$A$2:$A$1001,A109,$B$2:$B$1001,"&lt;"&amp;B109))</f>
        <v>307916</v>
      </c>
      <c r="K109" s="16">
        <f t="shared" si="10"/>
        <v>0</v>
      </c>
      <c r="L109" s="17">
        <f t="shared" si="11"/>
        <v>0</v>
      </c>
      <c r="M109" s="17">
        <f t="shared" si="12"/>
        <v>0</v>
      </c>
      <c r="N109" s="17">
        <f t="shared" si="13"/>
        <v>0</v>
      </c>
      <c r="O109" s="17">
        <f t="shared" si="14"/>
        <v>25100</v>
      </c>
      <c r="P109" s="16">
        <f t="shared" si="15"/>
        <v>15.832709163346614</v>
      </c>
      <c r="Q109" s="16">
        <f t="shared" si="16"/>
        <v>20901</v>
      </c>
      <c r="R109" s="18" t="str">
        <f t="shared" si="17"/>
        <v>违规：实际股数超过风险或金字塔上限</v>
      </c>
    </row>
    <row r="110" spans="1:18" ht="27">
      <c r="A110" s="12">
        <v>95</v>
      </c>
      <c r="B110" s="13">
        <v>1</v>
      </c>
      <c r="C110" s="14">
        <v>43728</v>
      </c>
      <c r="D110" s="15">
        <v>16.21</v>
      </c>
      <c r="E110" s="15">
        <v>15</v>
      </c>
      <c r="F110" s="15">
        <v>1</v>
      </c>
      <c r="G110" s="13">
        <v>5000</v>
      </c>
      <c r="H110" s="16">
        <f t="shared" si="9"/>
        <v>81050</v>
      </c>
      <c r="I110" s="17">
        <f>IF(OR(A110="",B110=""),"",IFERROR(LOOKUP(2,1/(单次交易!$A$2:$A$201=A110),单次交易!$H$2:$H$201),0)+SUMIFS($G$2:$G$1001,$A$2:$A$1001,A110,$B$2:$B$1001,"&lt;"&amp;B110))</f>
        <v>9800</v>
      </c>
      <c r="J110" s="16">
        <f>IF(OR(A110="",B110=""),"",IFERROR(LOOKUP(2,1/(单次交易!$A$2:$A$201=A110),单次交易!$E$2:$E$201)*LOOKUP(2,1/(单次交易!$A$2:$A$201=A110),单次交易!$H$2:$H$201),0)+SUMIFS($H$2:$H$1001,$A$2:$A$1001,A110,$B$2:$B$1001,"&lt;"&amp;B110))</f>
        <v>166110</v>
      </c>
      <c r="K110" s="16">
        <f t="shared" si="10"/>
        <v>0</v>
      </c>
      <c r="L110" s="17">
        <f t="shared" si="11"/>
        <v>0</v>
      </c>
      <c r="M110" s="17">
        <f t="shared" si="12"/>
        <v>0</v>
      </c>
      <c r="N110" s="17">
        <f t="shared" si="13"/>
        <v>0</v>
      </c>
      <c r="O110" s="17">
        <f t="shared" si="14"/>
        <v>14800</v>
      </c>
      <c r="P110" s="16">
        <f t="shared" si="15"/>
        <v>16.7</v>
      </c>
      <c r="Q110" s="16">
        <f t="shared" si="16"/>
        <v>25160</v>
      </c>
      <c r="R110" s="18" t="str">
        <f t="shared" si="17"/>
        <v>违规：实际股数超过风险或金字塔上限</v>
      </c>
    </row>
    <row r="111" spans="1:18">
      <c r="A111" s="12">
        <v>95</v>
      </c>
      <c r="B111" s="13">
        <v>2</v>
      </c>
      <c r="C111" s="14">
        <v>43731</v>
      </c>
      <c r="D111" s="15">
        <v>14.38</v>
      </c>
      <c r="E111" s="15">
        <v>14</v>
      </c>
      <c r="F111" s="15">
        <v>1</v>
      </c>
      <c r="G111" s="13">
        <v>10000</v>
      </c>
      <c r="H111" s="16">
        <f t="shared" si="9"/>
        <v>143800</v>
      </c>
      <c r="I111" s="17">
        <f>IF(OR(A111="",B111=""),"",IFERROR(LOOKUP(2,1/(单次交易!$A$2:$A$201=A111),单次交易!$H$2:$H$201),0)+SUMIFS($G$2:$G$1001,$A$2:$A$1001,A111,$B$2:$B$1001,"&lt;"&amp;B111))</f>
        <v>14800</v>
      </c>
      <c r="J111" s="16">
        <f>IF(OR(A111="",B111=""),"",IFERROR(LOOKUP(2,1/(单次交易!$A$2:$A$201=A111),单次交易!$E$2:$E$201)*LOOKUP(2,1/(单次交易!$A$2:$A$201=A111),单次交易!$H$2:$H$201),0)+SUMIFS($H$2:$H$1001,$A$2:$A$1001,A111,$B$2:$B$1001,"&lt;"&amp;B111))</f>
        <v>247160</v>
      </c>
      <c r="K111" s="16">
        <f t="shared" si="10"/>
        <v>0</v>
      </c>
      <c r="L111" s="17">
        <f t="shared" si="11"/>
        <v>0</v>
      </c>
      <c r="M111" s="17">
        <f t="shared" si="12"/>
        <v>5000</v>
      </c>
      <c r="N111" s="17">
        <f t="shared" si="13"/>
        <v>0</v>
      </c>
      <c r="O111" s="17">
        <f t="shared" si="14"/>
        <v>24800</v>
      </c>
      <c r="P111" s="16">
        <f t="shared" si="15"/>
        <v>15.764516129032257</v>
      </c>
      <c r="Q111" s="16">
        <f t="shared" si="16"/>
        <v>43760</v>
      </c>
      <c r="R111" s="18" t="str">
        <f t="shared" si="17"/>
        <v>违规：新止损价不得低于上一次</v>
      </c>
    </row>
    <row r="112" spans="1:18">
      <c r="A112" s="12">
        <v>96</v>
      </c>
      <c r="B112" s="13">
        <v>1</v>
      </c>
      <c r="C112" s="14">
        <v>43774</v>
      </c>
      <c r="D112" s="15">
        <v>19.100000000000001</v>
      </c>
      <c r="E112" s="15">
        <v>18</v>
      </c>
      <c r="F112" s="15">
        <v>1</v>
      </c>
      <c r="G112" s="13">
        <v>5000</v>
      </c>
      <c r="H112" s="16">
        <f t="shared" si="9"/>
        <v>95500</v>
      </c>
      <c r="I112" s="17">
        <f>IF(OR(A112="",B112=""),"",IFERROR(LOOKUP(2,1/(单次交易!$A$2:$A$201=A112),单次交易!$H$2:$H$201),0)+SUMIFS($G$2:$G$1001,$A$2:$A$1001,A112,$B$2:$B$1001,"&lt;"&amp;B112))</f>
        <v>8100</v>
      </c>
      <c r="J112" s="16">
        <f>IF(OR(A112="",B112=""),"",IFERROR(LOOKUP(2,1/(单次交易!$A$2:$A$201=A112),单次交易!$E$2:$E$201)*LOOKUP(2,1/(单次交易!$A$2:$A$201=A112),单次交易!$H$2:$H$201),0)+SUMIFS($H$2:$H$1001,$A$2:$A$1001,A112,$B$2:$B$1001,"&lt;"&amp;B112))</f>
        <v>139077</v>
      </c>
      <c r="K112" s="16">
        <f t="shared" si="10"/>
        <v>6723</v>
      </c>
      <c r="L112" s="17">
        <f t="shared" si="11"/>
        <v>6100</v>
      </c>
      <c r="M112" s="17">
        <f t="shared" si="12"/>
        <v>6100</v>
      </c>
      <c r="N112" s="17">
        <f t="shared" si="13"/>
        <v>6100</v>
      </c>
      <c r="O112" s="17">
        <f t="shared" si="14"/>
        <v>13100</v>
      </c>
      <c r="P112" s="16">
        <f t="shared" si="15"/>
        <v>17.906641221374045</v>
      </c>
      <c r="Q112" s="16">
        <f t="shared" si="16"/>
        <v>0</v>
      </c>
      <c r="R112" s="18" t="str">
        <f t="shared" si="17"/>
        <v>通过</v>
      </c>
    </row>
    <row r="113" spans="1:18" ht="27">
      <c r="A113" s="12">
        <v>97</v>
      </c>
      <c r="B113" s="13">
        <v>1</v>
      </c>
      <c r="C113" s="14">
        <v>43795</v>
      </c>
      <c r="D113" s="15">
        <v>21.6</v>
      </c>
      <c r="E113" s="15">
        <v>20</v>
      </c>
      <c r="F113" s="15">
        <v>1</v>
      </c>
      <c r="G113" s="13">
        <v>5000</v>
      </c>
      <c r="H113" s="16">
        <f t="shared" si="9"/>
        <v>108000</v>
      </c>
      <c r="I113" s="17">
        <f>IF(OR(A113="",B113=""),"",IFERROR(LOOKUP(2,1/(单次交易!$A$2:$A$201=A113),单次交易!$H$2:$H$201),0)+SUMIFS($G$2:$G$1001,$A$2:$A$1001,A113,$B$2:$B$1001,"&lt;"&amp;B113))</f>
        <v>18200</v>
      </c>
      <c r="J113" s="16">
        <f>IF(OR(A113="",B113=""),"",IFERROR(LOOKUP(2,1/(单次交易!$A$2:$A$201=A113),单次交易!$E$2:$E$201)*LOOKUP(2,1/(单次交易!$A$2:$A$201=A113),单次交易!$H$2:$H$201),0)+SUMIFS($H$2:$H$1001,$A$2:$A$1001,A113,$B$2:$B$1001,"&lt;"&amp;B113))</f>
        <v>364364</v>
      </c>
      <c r="K113" s="16">
        <f t="shared" si="10"/>
        <v>0</v>
      </c>
      <c r="L113" s="17">
        <f t="shared" si="11"/>
        <v>0</v>
      </c>
      <c r="M113" s="17">
        <f t="shared" si="12"/>
        <v>0</v>
      </c>
      <c r="N113" s="17">
        <f t="shared" si="13"/>
        <v>0</v>
      </c>
      <c r="O113" s="17">
        <f t="shared" si="14"/>
        <v>23200</v>
      </c>
      <c r="P113" s="16">
        <f t="shared" si="15"/>
        <v>20.360517241379309</v>
      </c>
      <c r="Q113" s="16">
        <f t="shared" si="16"/>
        <v>8364</v>
      </c>
      <c r="R113" s="18" t="str">
        <f t="shared" si="17"/>
        <v>违规：实际股数超过风险或金字塔上限</v>
      </c>
    </row>
    <row r="114" spans="1:18">
      <c r="A114" s="12">
        <v>98</v>
      </c>
      <c r="B114" s="13">
        <v>1</v>
      </c>
      <c r="C114" s="14">
        <v>43852</v>
      </c>
      <c r="D114" s="15">
        <v>30.84</v>
      </c>
      <c r="E114" s="15">
        <v>30</v>
      </c>
      <c r="F114" s="15">
        <v>1</v>
      </c>
      <c r="G114" s="13">
        <v>4000</v>
      </c>
      <c r="H114" s="16">
        <f t="shared" si="9"/>
        <v>123360</v>
      </c>
      <c r="I114" s="17">
        <f>IF(OR(A114="",B114=""),"",IFERROR(LOOKUP(2,1/(单次交易!$A$2:$A$201=A114),单次交易!$H$2:$H$201),0)+SUMIFS($G$2:$G$1001,$A$2:$A$1001,A114,$B$2:$B$1001,"&lt;"&amp;B114))</f>
        <v>16500</v>
      </c>
      <c r="J114" s="16">
        <f>IF(OR(A114="",B114=""),"",IFERROR(LOOKUP(2,1/(单次交易!$A$2:$A$201=A114),单次交易!$E$2:$E$201)*LOOKUP(2,1/(单次交易!$A$2:$A$201=A114),单次交易!$H$2:$H$201),0)+SUMIFS($H$2:$H$1001,$A$2:$A$1001,A114,$B$2:$B$1001,"&lt;"&amp;B114))</f>
        <v>440715</v>
      </c>
      <c r="K114" s="16">
        <f t="shared" si="10"/>
        <v>54285</v>
      </c>
      <c r="L114" s="17">
        <f t="shared" si="11"/>
        <v>64600</v>
      </c>
      <c r="M114" s="17">
        <f t="shared" si="12"/>
        <v>64600</v>
      </c>
      <c r="N114" s="17">
        <f t="shared" si="13"/>
        <v>64600</v>
      </c>
      <c r="O114" s="17">
        <f t="shared" si="14"/>
        <v>20500</v>
      </c>
      <c r="P114" s="16">
        <f t="shared" si="15"/>
        <v>27.515853658536585</v>
      </c>
      <c r="Q114" s="16">
        <f t="shared" si="16"/>
        <v>0</v>
      </c>
      <c r="R114" s="18" t="str">
        <f t="shared" si="17"/>
        <v>通过</v>
      </c>
    </row>
    <row r="115" spans="1:18" ht="27">
      <c r="A115" s="12">
        <v>99</v>
      </c>
      <c r="B115" s="13">
        <v>1</v>
      </c>
      <c r="C115" s="14">
        <v>43873</v>
      </c>
      <c r="D115" s="15">
        <v>34.6</v>
      </c>
      <c r="E115" s="15">
        <v>32</v>
      </c>
      <c r="F115" s="15">
        <v>1</v>
      </c>
      <c r="G115" s="13">
        <v>5000</v>
      </c>
      <c r="H115" s="16">
        <f t="shared" si="9"/>
        <v>173000</v>
      </c>
      <c r="I115" s="17">
        <f>IF(OR(A115="",B115=""),"",IFERROR(LOOKUP(2,1/(单次交易!$A$2:$A$201=A115),单次交易!$H$2:$H$201),0)+SUMIFS($G$2:$G$1001,$A$2:$A$1001,A115,$B$2:$B$1001,"&lt;"&amp;B115))</f>
        <v>4500</v>
      </c>
      <c r="J115" s="16">
        <f>IF(OR(A115="",B115=""),"",IFERROR(LOOKUP(2,1/(单次交易!$A$2:$A$201=A115),单次交易!$E$2:$E$201)*LOOKUP(2,1/(单次交易!$A$2:$A$201=A115),单次交易!$H$2:$H$201),0)+SUMIFS($H$2:$H$1001,$A$2:$A$1001,A115,$B$2:$B$1001,"&lt;"&amp;B115))</f>
        <v>147330</v>
      </c>
      <c r="K115" s="16">
        <f t="shared" si="10"/>
        <v>0</v>
      </c>
      <c r="L115" s="17">
        <f t="shared" si="11"/>
        <v>0</v>
      </c>
      <c r="M115" s="17">
        <f t="shared" si="12"/>
        <v>0</v>
      </c>
      <c r="N115" s="17">
        <f t="shared" si="13"/>
        <v>0</v>
      </c>
      <c r="O115" s="17">
        <f t="shared" si="14"/>
        <v>9500</v>
      </c>
      <c r="P115" s="16">
        <f t="shared" si="15"/>
        <v>33.718947368421055</v>
      </c>
      <c r="Q115" s="16">
        <f t="shared" si="16"/>
        <v>16330</v>
      </c>
      <c r="R115" s="18" t="str">
        <f t="shared" si="17"/>
        <v>违规：实际股数超过风险或金字塔上限</v>
      </c>
    </row>
    <row r="116" spans="1:18">
      <c r="A116" s="12">
        <v>99</v>
      </c>
      <c r="B116" s="13">
        <v>2</v>
      </c>
      <c r="C116" s="14">
        <v>43878</v>
      </c>
      <c r="D116" s="15">
        <v>38.380000000000003</v>
      </c>
      <c r="E116" s="15">
        <v>36</v>
      </c>
      <c r="F116" s="15">
        <v>1</v>
      </c>
      <c r="G116" s="13">
        <v>3000</v>
      </c>
      <c r="H116" s="16">
        <f t="shared" si="9"/>
        <v>115140</v>
      </c>
      <c r="I116" s="17">
        <f>IF(OR(A116="",B116=""),"",IFERROR(LOOKUP(2,1/(单次交易!$A$2:$A$201=A116),单次交易!$H$2:$H$201),0)+SUMIFS($G$2:$G$1001,$A$2:$A$1001,A116,$B$2:$B$1001,"&lt;"&amp;B116))</f>
        <v>9500</v>
      </c>
      <c r="J116" s="16">
        <f>IF(OR(A116="",B116=""),"",IFERROR(LOOKUP(2,1/(单次交易!$A$2:$A$201=A116),单次交易!$E$2:$E$201)*LOOKUP(2,1/(单次交易!$A$2:$A$201=A116),单次交易!$H$2:$H$201),0)+SUMIFS($H$2:$H$1001,$A$2:$A$1001,A116,$B$2:$B$1001,"&lt;"&amp;B116))</f>
        <v>320330</v>
      </c>
      <c r="K116" s="16">
        <f t="shared" si="10"/>
        <v>21670</v>
      </c>
      <c r="L116" s="17">
        <f t="shared" si="11"/>
        <v>9100</v>
      </c>
      <c r="M116" s="17">
        <f t="shared" si="12"/>
        <v>5000</v>
      </c>
      <c r="N116" s="17">
        <f t="shared" si="13"/>
        <v>5000</v>
      </c>
      <c r="O116" s="17">
        <f t="shared" si="14"/>
        <v>12500</v>
      </c>
      <c r="P116" s="16">
        <f t="shared" si="15"/>
        <v>34.837600000000002</v>
      </c>
      <c r="Q116" s="16">
        <f t="shared" si="16"/>
        <v>0</v>
      </c>
      <c r="R116" s="18" t="str">
        <f t="shared" si="17"/>
        <v>通过</v>
      </c>
    </row>
    <row r="117" spans="1:18">
      <c r="A117" s="12">
        <v>100</v>
      </c>
      <c r="B117" s="13">
        <v>1</v>
      </c>
      <c r="C117" s="14">
        <v>43928</v>
      </c>
      <c r="D117" s="15">
        <v>31.14</v>
      </c>
      <c r="E117" s="15">
        <v>30</v>
      </c>
      <c r="F117" s="15">
        <v>1</v>
      </c>
      <c r="G117" s="13">
        <v>3000</v>
      </c>
      <c r="H117" s="16">
        <f t="shared" si="9"/>
        <v>93420</v>
      </c>
      <c r="I117" s="17">
        <f>IF(OR(A117="",B117=""),"",IFERROR(LOOKUP(2,1/(单次交易!$A$2:$A$201=A117),单次交易!$H$2:$H$201),0)+SUMIFS($G$2:$G$1001,$A$2:$A$1001,A117,$B$2:$B$1001,"&lt;"&amp;B117))</f>
        <v>3800</v>
      </c>
      <c r="J117" s="16">
        <f>IF(OR(A117="",B117=""),"",IFERROR(LOOKUP(2,1/(单次交易!$A$2:$A$201=A117),单次交易!$E$2:$E$201)*LOOKUP(2,1/(单次交易!$A$2:$A$201=A117),单次交易!$H$2:$H$201),0)+SUMIFS($H$2:$H$1001,$A$2:$A$1001,A117,$B$2:$B$1001,"&lt;"&amp;B117))</f>
        <v>103892</v>
      </c>
      <c r="K117" s="16">
        <f t="shared" si="10"/>
        <v>10108</v>
      </c>
      <c r="L117" s="17">
        <f t="shared" si="11"/>
        <v>8800</v>
      </c>
      <c r="M117" s="17">
        <f t="shared" si="12"/>
        <v>8800</v>
      </c>
      <c r="N117" s="17">
        <f t="shared" si="13"/>
        <v>8800</v>
      </c>
      <c r="O117" s="17">
        <f t="shared" si="14"/>
        <v>6800</v>
      </c>
      <c r="P117" s="16">
        <f t="shared" si="15"/>
        <v>29.016470588235293</v>
      </c>
      <c r="Q117" s="16">
        <f t="shared" si="16"/>
        <v>0</v>
      </c>
      <c r="R117" s="18" t="str">
        <f t="shared" si="17"/>
        <v>通过</v>
      </c>
    </row>
    <row r="118" spans="1:18" ht="27">
      <c r="A118" s="12">
        <v>101</v>
      </c>
      <c r="B118" s="13">
        <v>1</v>
      </c>
      <c r="C118" s="14">
        <v>43957</v>
      </c>
      <c r="D118" s="15">
        <v>34.479999999999997</v>
      </c>
      <c r="E118" s="15">
        <v>31</v>
      </c>
      <c r="F118" s="15">
        <v>1</v>
      </c>
      <c r="G118" s="13">
        <v>5000</v>
      </c>
      <c r="H118" s="16">
        <f t="shared" si="9"/>
        <v>172400</v>
      </c>
      <c r="I118" s="17">
        <f>IF(OR(A118="",B118=""),"",IFERROR(LOOKUP(2,1/(单次交易!$A$2:$A$201=A118),单次交易!$H$2:$H$201),0)+SUMIFS($G$2:$G$1001,$A$2:$A$1001,A118,$B$2:$B$1001,"&lt;"&amp;B118))</f>
        <v>4300</v>
      </c>
      <c r="J118" s="16">
        <f>IF(OR(A118="",B118=""),"",IFERROR(LOOKUP(2,1/(单次交易!$A$2:$A$201=A118),单次交易!$E$2:$E$201)*LOOKUP(2,1/(单次交易!$A$2:$A$201=A118),单次交易!$H$2:$H$201),0)+SUMIFS($H$2:$H$1001,$A$2:$A$1001,A118,$B$2:$B$1001,"&lt;"&amp;B118))</f>
        <v>135192</v>
      </c>
      <c r="K118" s="16">
        <f t="shared" si="10"/>
        <v>0</v>
      </c>
      <c r="L118" s="17">
        <f t="shared" si="11"/>
        <v>0</v>
      </c>
      <c r="M118" s="17">
        <f t="shared" si="12"/>
        <v>0</v>
      </c>
      <c r="N118" s="17">
        <f t="shared" si="13"/>
        <v>0</v>
      </c>
      <c r="O118" s="17">
        <f t="shared" si="14"/>
        <v>9300</v>
      </c>
      <c r="P118" s="16">
        <f t="shared" si="15"/>
        <v>33.074408602150541</v>
      </c>
      <c r="Q118" s="16">
        <f t="shared" si="16"/>
        <v>19292</v>
      </c>
      <c r="R118" s="18" t="str">
        <f t="shared" si="17"/>
        <v>违规：实际股数超过风险或金字塔上限</v>
      </c>
    </row>
    <row r="119" spans="1:18">
      <c r="A119" s="12">
        <v>101</v>
      </c>
      <c r="B119" s="13">
        <v>2</v>
      </c>
      <c r="C119" s="14">
        <v>43969</v>
      </c>
      <c r="D119" s="15">
        <v>30.4</v>
      </c>
      <c r="E119" s="15">
        <v>30</v>
      </c>
      <c r="F119" s="15">
        <v>1</v>
      </c>
      <c r="G119" s="13">
        <v>5000</v>
      </c>
      <c r="H119" s="16">
        <f t="shared" si="9"/>
        <v>152000</v>
      </c>
      <c r="I119" s="17">
        <f>IF(OR(A119="",B119=""),"",IFERROR(LOOKUP(2,1/(单次交易!$A$2:$A$201=A119),单次交易!$H$2:$H$201),0)+SUMIFS($G$2:$G$1001,$A$2:$A$1001,A119,$B$2:$B$1001,"&lt;"&amp;B119))</f>
        <v>9300</v>
      </c>
      <c r="J119" s="16">
        <f>IF(OR(A119="",B119=""),"",IFERROR(LOOKUP(2,1/(单次交易!$A$2:$A$201=A119),单次交易!$E$2:$E$201)*LOOKUP(2,1/(单次交易!$A$2:$A$201=A119),单次交易!$H$2:$H$201),0)+SUMIFS($H$2:$H$1001,$A$2:$A$1001,A119,$B$2:$B$1001,"&lt;"&amp;B119))</f>
        <v>307592</v>
      </c>
      <c r="K119" s="16">
        <f t="shared" si="10"/>
        <v>0</v>
      </c>
      <c r="L119" s="17">
        <f t="shared" si="11"/>
        <v>0</v>
      </c>
      <c r="M119" s="17">
        <f t="shared" si="12"/>
        <v>5000</v>
      </c>
      <c r="N119" s="17">
        <f t="shared" si="13"/>
        <v>0</v>
      </c>
      <c r="O119" s="17">
        <f t="shared" si="14"/>
        <v>14300</v>
      </c>
      <c r="P119" s="16">
        <f t="shared" si="15"/>
        <v>32.139300699300698</v>
      </c>
      <c r="Q119" s="16">
        <f t="shared" si="16"/>
        <v>30592</v>
      </c>
      <c r="R119" s="18" t="str">
        <f t="shared" si="17"/>
        <v>违规：新止损价不得低于上一次</v>
      </c>
    </row>
    <row r="120" spans="1:18" ht="27">
      <c r="A120" s="12">
        <v>101</v>
      </c>
      <c r="B120" s="13">
        <v>3</v>
      </c>
      <c r="C120" s="14">
        <v>43979</v>
      </c>
      <c r="D120" s="15">
        <v>31.45</v>
      </c>
      <c r="E120" s="15">
        <v>30</v>
      </c>
      <c r="F120" s="15">
        <v>1</v>
      </c>
      <c r="G120" s="13">
        <v>2000</v>
      </c>
      <c r="H120" s="16">
        <f t="shared" si="9"/>
        <v>62900</v>
      </c>
      <c r="I120" s="17">
        <f>IF(OR(A120="",B120=""),"",IFERROR(LOOKUP(2,1/(单次交易!$A$2:$A$201=A120),单次交易!$H$2:$H$201),0)+SUMIFS($G$2:$G$1001,$A$2:$A$1001,A120,$B$2:$B$1001,"&lt;"&amp;B120))</f>
        <v>14300</v>
      </c>
      <c r="J120" s="16">
        <f>IF(OR(A120="",B120=""),"",IFERROR(LOOKUP(2,1/(单次交易!$A$2:$A$201=A120),单次交易!$E$2:$E$201)*LOOKUP(2,1/(单次交易!$A$2:$A$201=A120),单次交易!$H$2:$H$201),0)+SUMIFS($H$2:$H$1001,$A$2:$A$1001,A120,$B$2:$B$1001,"&lt;"&amp;B120))</f>
        <v>459592</v>
      </c>
      <c r="K120" s="16">
        <f t="shared" si="10"/>
        <v>0</v>
      </c>
      <c r="L120" s="17">
        <f t="shared" si="11"/>
        <v>0</v>
      </c>
      <c r="M120" s="17">
        <f t="shared" si="12"/>
        <v>5000</v>
      </c>
      <c r="N120" s="17">
        <f t="shared" si="13"/>
        <v>0</v>
      </c>
      <c r="O120" s="17">
        <f t="shared" si="14"/>
        <v>16300</v>
      </c>
      <c r="P120" s="16">
        <f t="shared" si="15"/>
        <v>32.054723926380369</v>
      </c>
      <c r="Q120" s="16">
        <f t="shared" si="16"/>
        <v>33492</v>
      </c>
      <c r="R120" s="18" t="str">
        <f t="shared" si="17"/>
        <v>违规：实际股数超过风险或金字塔上限</v>
      </c>
    </row>
    <row r="121" spans="1:18" ht="27">
      <c r="A121" s="12">
        <v>101</v>
      </c>
      <c r="B121" s="13">
        <v>4</v>
      </c>
      <c r="C121" s="14">
        <v>43986</v>
      </c>
      <c r="D121" s="15">
        <v>35.619999999999997</v>
      </c>
      <c r="E121" s="15">
        <v>33</v>
      </c>
      <c r="F121" s="15">
        <v>1</v>
      </c>
      <c r="G121" s="13">
        <v>3000</v>
      </c>
      <c r="H121" s="16">
        <f t="shared" si="9"/>
        <v>106860</v>
      </c>
      <c r="I121" s="17">
        <f>IF(OR(A121="",B121=""),"",IFERROR(LOOKUP(2,1/(单次交易!$A$2:$A$201=A121),单次交易!$H$2:$H$201),0)+SUMIFS($G$2:$G$1001,$A$2:$A$1001,A121,$B$2:$B$1001,"&lt;"&amp;B121))</f>
        <v>16300</v>
      </c>
      <c r="J121" s="16">
        <f>IF(OR(A121="",B121=""),"",IFERROR(LOOKUP(2,1/(单次交易!$A$2:$A$201=A121),单次交易!$E$2:$E$201)*LOOKUP(2,1/(单次交易!$A$2:$A$201=A121),单次交易!$H$2:$H$201),0)+SUMIFS($H$2:$H$1001,$A$2:$A$1001,A121,$B$2:$B$1001,"&lt;"&amp;B121))</f>
        <v>522492</v>
      </c>
      <c r="K121" s="16">
        <f t="shared" si="10"/>
        <v>15408</v>
      </c>
      <c r="L121" s="17">
        <f t="shared" si="11"/>
        <v>5800</v>
      </c>
      <c r="M121" s="17">
        <f t="shared" si="12"/>
        <v>2000</v>
      </c>
      <c r="N121" s="17">
        <f t="shared" si="13"/>
        <v>2000</v>
      </c>
      <c r="O121" s="17">
        <f t="shared" si="14"/>
        <v>19300</v>
      </c>
      <c r="P121" s="16">
        <f t="shared" si="15"/>
        <v>32.608911917098446</v>
      </c>
      <c r="Q121" s="16">
        <f t="shared" si="16"/>
        <v>0</v>
      </c>
      <c r="R121" s="18" t="str">
        <f t="shared" si="17"/>
        <v>违规：实际股数超过风险或金字塔上限</v>
      </c>
    </row>
    <row r="122" spans="1:18" ht="27">
      <c r="A122" s="12">
        <v>105</v>
      </c>
      <c r="B122" s="13">
        <v>1</v>
      </c>
      <c r="C122" s="14">
        <v>44148</v>
      </c>
      <c r="D122" s="15">
        <v>65.349999999999994</v>
      </c>
      <c r="E122" s="15">
        <v>60</v>
      </c>
      <c r="F122" s="15">
        <v>1</v>
      </c>
      <c r="G122" s="13">
        <v>2000</v>
      </c>
      <c r="H122" s="16">
        <f t="shared" si="9"/>
        <v>130700</v>
      </c>
      <c r="I122" s="17">
        <f>IF(OR(A122="",B122=""),"",IFERROR(LOOKUP(2,1/(单次交易!$A$2:$A$201=A122),单次交易!$H$2:$H$201),0)+SUMIFS($G$2:$G$1001,$A$2:$A$1001,A122,$B$2:$B$1001,"&lt;"&amp;B122))</f>
        <v>6600</v>
      </c>
      <c r="J122" s="16">
        <f>IF(OR(A122="",B122=""),"",IFERROR(LOOKUP(2,1/(单次交易!$A$2:$A$201=A122),单次交易!$E$2:$E$201)*LOOKUP(2,1/(单次交易!$A$2:$A$201=A122),单次交易!$H$2:$H$201),0)+SUMIFS($H$2:$H$1001,$A$2:$A$1001,A122,$B$2:$B$1001,"&lt;"&amp;B122))</f>
        <v>391578</v>
      </c>
      <c r="K122" s="16">
        <f t="shared" si="10"/>
        <v>4422</v>
      </c>
      <c r="L122" s="17">
        <f t="shared" si="11"/>
        <v>800</v>
      </c>
      <c r="M122" s="17">
        <f t="shared" si="12"/>
        <v>800</v>
      </c>
      <c r="N122" s="17">
        <f t="shared" si="13"/>
        <v>800</v>
      </c>
      <c r="O122" s="17">
        <f t="shared" si="14"/>
        <v>8600</v>
      </c>
      <c r="P122" s="16">
        <f t="shared" si="15"/>
        <v>60.73</v>
      </c>
      <c r="Q122" s="16">
        <f t="shared" si="16"/>
        <v>6278</v>
      </c>
      <c r="R122" s="18" t="str">
        <f t="shared" si="17"/>
        <v>违规：实际股数超过风险或金字塔上限</v>
      </c>
    </row>
    <row r="123" spans="1:18">
      <c r="A123" s="12">
        <v>110</v>
      </c>
      <c r="B123" s="13">
        <v>1</v>
      </c>
      <c r="C123" s="14">
        <v>44341</v>
      </c>
      <c r="D123" s="15">
        <v>105.26</v>
      </c>
      <c r="E123" s="15">
        <v>100</v>
      </c>
      <c r="F123" s="15">
        <v>1</v>
      </c>
      <c r="G123" s="13">
        <v>1000</v>
      </c>
      <c r="H123" s="16">
        <f t="shared" si="9"/>
        <v>105260</v>
      </c>
      <c r="I123" s="17">
        <f>IF(OR(A123="",B123=""),"",IFERROR(LOOKUP(2,1/(单次交易!$A$2:$A$201=A123),单次交易!$H$2:$H$201),0)+SUMIFS($G$2:$G$1001,$A$2:$A$1001,A123,$B$2:$B$1001,"&lt;"&amp;B123))</f>
        <v>4700</v>
      </c>
      <c r="J123" s="16">
        <f>IF(OR(A123="",B123=""),"",IFERROR(LOOKUP(2,1/(单次交易!$A$2:$A$201=A123),单次交易!$E$2:$E$201)*LOOKUP(2,1/(单次交易!$A$2:$A$201=A123),单次交易!$H$2:$H$201),0)+SUMIFS($H$2:$H$1001,$A$2:$A$1001,A123,$B$2:$B$1001,"&lt;"&amp;B123))</f>
        <v>444291</v>
      </c>
      <c r="K123" s="16">
        <f t="shared" si="10"/>
        <v>25709</v>
      </c>
      <c r="L123" s="17">
        <f t="shared" si="11"/>
        <v>4800</v>
      </c>
      <c r="M123" s="17">
        <f t="shared" si="12"/>
        <v>4800</v>
      </c>
      <c r="N123" s="17">
        <f t="shared" si="13"/>
        <v>4800</v>
      </c>
      <c r="O123" s="17">
        <f t="shared" si="14"/>
        <v>5700</v>
      </c>
      <c r="P123" s="16">
        <f t="shared" si="15"/>
        <v>96.412456140350884</v>
      </c>
      <c r="Q123" s="16">
        <f t="shared" si="16"/>
        <v>0</v>
      </c>
      <c r="R123" s="18" t="str">
        <f t="shared" si="17"/>
        <v>通过</v>
      </c>
    </row>
    <row r="124" spans="1:18">
      <c r="A124" s="12">
        <v>112</v>
      </c>
      <c r="B124" s="13">
        <v>1</v>
      </c>
      <c r="C124" s="14">
        <v>44389</v>
      </c>
      <c r="D124" s="15">
        <v>126.96</v>
      </c>
      <c r="E124" s="15">
        <v>120</v>
      </c>
      <c r="F124" s="15">
        <v>1</v>
      </c>
      <c r="G124" s="13">
        <v>1000</v>
      </c>
      <c r="H124" s="16">
        <f t="shared" si="9"/>
        <v>126960</v>
      </c>
      <c r="I124" s="17">
        <f>IF(OR(A124="",B124=""),"",IFERROR(LOOKUP(2,1/(单次交易!$A$2:$A$201=A124),单次交易!$H$2:$H$201),0)+SUMIFS($G$2:$G$1001,$A$2:$A$1001,A124,$B$2:$B$1001,"&lt;"&amp;B124))</f>
        <v>2600</v>
      </c>
      <c r="J124" s="16">
        <f>IF(OR(A124="",B124=""),"",IFERROR(LOOKUP(2,1/(单次交易!$A$2:$A$201=A124),单次交易!$E$2:$E$201)*LOOKUP(2,1/(单次交易!$A$2:$A$201=A124),单次交易!$H$2:$H$201),0)+SUMIFS($H$2:$H$1001,$A$2:$A$1001,A124,$B$2:$B$1001,"&lt;"&amp;B124))</f>
        <v>293878</v>
      </c>
      <c r="K124" s="16">
        <f t="shared" si="10"/>
        <v>18122</v>
      </c>
      <c r="L124" s="17">
        <f t="shared" si="11"/>
        <v>2600</v>
      </c>
      <c r="M124" s="17">
        <f t="shared" si="12"/>
        <v>2600</v>
      </c>
      <c r="N124" s="17">
        <f t="shared" si="13"/>
        <v>2600</v>
      </c>
      <c r="O124" s="17">
        <f t="shared" si="14"/>
        <v>3600</v>
      </c>
      <c r="P124" s="16">
        <f t="shared" si="15"/>
        <v>116.89944444444444</v>
      </c>
      <c r="Q124" s="16">
        <f t="shared" si="16"/>
        <v>0</v>
      </c>
      <c r="R124" s="18" t="str">
        <f t="shared" si="17"/>
        <v>通过</v>
      </c>
    </row>
    <row r="125" spans="1:18">
      <c r="A125" s="12">
        <v>114</v>
      </c>
      <c r="B125" s="13">
        <v>1</v>
      </c>
      <c r="C125" s="14">
        <v>44524</v>
      </c>
      <c r="D125" s="15">
        <v>140.52000000000001</v>
      </c>
      <c r="E125" s="15">
        <v>140</v>
      </c>
      <c r="F125" s="15">
        <v>1</v>
      </c>
      <c r="G125" s="13">
        <v>1000</v>
      </c>
      <c r="H125" s="16">
        <f t="shared" si="9"/>
        <v>140520</v>
      </c>
      <c r="I125" s="17">
        <f>IF(OR(A125="",B125=""),"",IFERROR(LOOKUP(2,1/(单次交易!$A$2:$A$201=A125),单次交易!$H$2:$H$201),0)+SUMIFS($G$2:$G$1001,$A$2:$A$1001,A125,$B$2:$B$1001,"&lt;"&amp;B125))</f>
        <v>1400</v>
      </c>
      <c r="J125" s="16">
        <f>IF(OR(A125="",B125=""),"",IFERROR(LOOKUP(2,1/(单次交易!$A$2:$A$201=A125),单次交易!$E$2:$E$201)*LOOKUP(2,1/(单次交易!$A$2:$A$201=A125),单次交易!$H$2:$H$201),0)+SUMIFS($H$2:$H$1001,$A$2:$A$1001,A125,$B$2:$B$1001,"&lt;"&amp;B125))</f>
        <v>185626</v>
      </c>
      <c r="K125" s="16">
        <f t="shared" si="10"/>
        <v>10374</v>
      </c>
      <c r="L125" s="17">
        <f t="shared" si="11"/>
        <v>19900</v>
      </c>
      <c r="M125" s="17">
        <f t="shared" si="12"/>
        <v>19900</v>
      </c>
      <c r="N125" s="17">
        <f t="shared" si="13"/>
        <v>19900</v>
      </c>
      <c r="O125" s="17">
        <f t="shared" si="14"/>
        <v>2400</v>
      </c>
      <c r="P125" s="16">
        <f t="shared" si="15"/>
        <v>135.89416666666668</v>
      </c>
      <c r="Q125" s="16">
        <f t="shared" si="16"/>
        <v>0</v>
      </c>
      <c r="R125" s="18" t="str">
        <f t="shared" si="17"/>
        <v>通过</v>
      </c>
    </row>
    <row r="126" spans="1:18">
      <c r="A126" s="12">
        <v>114</v>
      </c>
      <c r="B126" s="13">
        <v>2</v>
      </c>
      <c r="C126" s="14">
        <v>44526</v>
      </c>
      <c r="D126" s="15">
        <v>146.72</v>
      </c>
      <c r="E126" s="15">
        <v>140</v>
      </c>
      <c r="F126" s="15">
        <v>1</v>
      </c>
      <c r="G126" s="13">
        <v>1000</v>
      </c>
      <c r="H126" s="16">
        <f t="shared" si="9"/>
        <v>146720</v>
      </c>
      <c r="I126" s="17">
        <f>IF(OR(A126="",B126=""),"",IFERROR(LOOKUP(2,1/(单次交易!$A$2:$A$201=A126),单次交易!$H$2:$H$201),0)+SUMIFS($G$2:$G$1001,$A$2:$A$1001,A126,$B$2:$B$1001,"&lt;"&amp;B126))</f>
        <v>2400</v>
      </c>
      <c r="J126" s="16">
        <f>IF(OR(A126="",B126=""),"",IFERROR(LOOKUP(2,1/(单次交易!$A$2:$A$201=A126),单次交易!$E$2:$E$201)*LOOKUP(2,1/(单次交易!$A$2:$A$201=A126),单次交易!$H$2:$H$201),0)+SUMIFS($H$2:$H$1001,$A$2:$A$1001,A126,$B$2:$B$1001,"&lt;"&amp;B126))</f>
        <v>326146</v>
      </c>
      <c r="K126" s="16">
        <f t="shared" si="10"/>
        <v>9854</v>
      </c>
      <c r="L126" s="17">
        <f t="shared" si="11"/>
        <v>1400</v>
      </c>
      <c r="M126" s="17">
        <f t="shared" si="12"/>
        <v>1000</v>
      </c>
      <c r="N126" s="17">
        <f t="shared" si="13"/>
        <v>1000</v>
      </c>
      <c r="O126" s="17">
        <f t="shared" si="14"/>
        <v>3400</v>
      </c>
      <c r="P126" s="16">
        <f t="shared" si="15"/>
        <v>139.07823529411766</v>
      </c>
      <c r="Q126" s="16">
        <f t="shared" si="16"/>
        <v>0</v>
      </c>
      <c r="R126" s="18" t="str">
        <f t="shared" si="17"/>
        <v>通过</v>
      </c>
    </row>
    <row r="127" spans="1:18" ht="27">
      <c r="A127" s="12">
        <v>115</v>
      </c>
      <c r="B127" s="13">
        <v>1</v>
      </c>
      <c r="C127" s="14">
        <v>44575</v>
      </c>
      <c r="D127" s="15">
        <v>110.17</v>
      </c>
      <c r="E127" s="15">
        <v>100</v>
      </c>
      <c r="F127" s="15">
        <v>1</v>
      </c>
      <c r="G127" s="13">
        <v>1000</v>
      </c>
      <c r="H127" s="16">
        <f t="shared" si="9"/>
        <v>110170</v>
      </c>
      <c r="I127" s="17">
        <f>IF(OR(A127="",B127=""),"",IFERROR(LOOKUP(2,1/(单次交易!$A$2:$A$201=A127),单次交易!$H$2:$H$201),0)+SUMIFS($G$2:$G$1001,$A$2:$A$1001,A127,$B$2:$B$1001,"&lt;"&amp;B127))</f>
        <v>2500</v>
      </c>
      <c r="J127" s="16">
        <f>IF(OR(A127="",B127=""),"",IFERROR(LOOKUP(2,1/(单次交易!$A$2:$A$201=A127),单次交易!$E$2:$E$201)*LOOKUP(2,1/(单次交易!$A$2:$A$201=A127),单次交易!$H$2:$H$201),0)+SUMIFS($H$2:$H$1001,$A$2:$A$1001,A127,$B$2:$B$1001,"&lt;"&amp;B127))</f>
        <v>263675</v>
      </c>
      <c r="K127" s="16">
        <f t="shared" si="10"/>
        <v>0</v>
      </c>
      <c r="L127" s="17">
        <f t="shared" si="11"/>
        <v>0</v>
      </c>
      <c r="M127" s="17">
        <f t="shared" si="12"/>
        <v>0</v>
      </c>
      <c r="N127" s="17">
        <f t="shared" si="13"/>
        <v>0</v>
      </c>
      <c r="O127" s="17">
        <f t="shared" si="14"/>
        <v>3500</v>
      </c>
      <c r="P127" s="16">
        <f t="shared" si="15"/>
        <v>106.81285714285714</v>
      </c>
      <c r="Q127" s="16">
        <f t="shared" si="16"/>
        <v>23845</v>
      </c>
      <c r="R127" s="18" t="str">
        <f t="shared" si="17"/>
        <v>违规：实际股数超过风险或金字塔上限</v>
      </c>
    </row>
    <row r="128" spans="1:18">
      <c r="A128" s="12">
        <v>120</v>
      </c>
      <c r="B128" s="13">
        <v>1</v>
      </c>
      <c r="C128" s="14">
        <v>44679</v>
      </c>
      <c r="D128" s="15">
        <v>60.82</v>
      </c>
      <c r="E128" s="15">
        <v>55</v>
      </c>
      <c r="F128" s="15">
        <v>1</v>
      </c>
      <c r="G128" s="13">
        <v>1000</v>
      </c>
      <c r="H128" s="16">
        <f t="shared" si="9"/>
        <v>60820</v>
      </c>
      <c r="I128" s="17">
        <f>IF(OR(A128="",B128=""),"",IFERROR(LOOKUP(2,1/(单次交易!$A$2:$A$201=A128),单次交易!$H$2:$H$201),0)+SUMIFS($G$2:$G$1001,$A$2:$A$1001,A128,$B$2:$B$1001,"&lt;"&amp;B128))</f>
        <v>10000</v>
      </c>
      <c r="J128" s="16">
        <f>IF(OR(A128="",B128=""),"",IFERROR(LOOKUP(2,1/(单次交易!$A$2:$A$201=A128),单次交易!$E$2:$E$201)*LOOKUP(2,1/(单次交易!$A$2:$A$201=A128),单次交易!$H$2:$H$201),0)+SUMIFS($H$2:$H$1001,$A$2:$A$1001,A128,$B$2:$B$1001,"&lt;"&amp;B128))</f>
        <v>520000</v>
      </c>
      <c r="K128" s="16">
        <f t="shared" si="10"/>
        <v>30000</v>
      </c>
      <c r="L128" s="17">
        <f t="shared" si="11"/>
        <v>5100</v>
      </c>
      <c r="M128" s="17">
        <f t="shared" si="12"/>
        <v>5100</v>
      </c>
      <c r="N128" s="17">
        <f t="shared" si="13"/>
        <v>5100</v>
      </c>
      <c r="O128" s="17">
        <f t="shared" si="14"/>
        <v>11000</v>
      </c>
      <c r="P128" s="16">
        <f t="shared" si="15"/>
        <v>52.801818181818184</v>
      </c>
      <c r="Q128" s="16">
        <f t="shared" si="16"/>
        <v>0</v>
      </c>
      <c r="R128" s="18" t="str">
        <f t="shared" si="17"/>
        <v>通过</v>
      </c>
    </row>
    <row r="129" spans="1:18">
      <c r="A129" s="12">
        <v>120</v>
      </c>
      <c r="B129" s="13">
        <v>2</v>
      </c>
      <c r="C129" s="14">
        <v>44680</v>
      </c>
      <c r="D129" s="15">
        <v>63.84</v>
      </c>
      <c r="E129" s="15">
        <v>60</v>
      </c>
      <c r="F129" s="15">
        <v>1</v>
      </c>
      <c r="G129" s="13">
        <v>1000</v>
      </c>
      <c r="H129" s="16">
        <f t="shared" si="9"/>
        <v>63840</v>
      </c>
      <c r="I129" s="17">
        <f>IF(OR(A129="",B129=""),"",IFERROR(LOOKUP(2,1/(单次交易!$A$2:$A$201=A129),单次交易!$H$2:$H$201),0)+SUMIFS($G$2:$G$1001,$A$2:$A$1001,A129,$B$2:$B$1001,"&lt;"&amp;B129))</f>
        <v>11000</v>
      </c>
      <c r="J129" s="16">
        <f>IF(OR(A129="",B129=""),"",IFERROR(LOOKUP(2,1/(单次交易!$A$2:$A$201=A129),单次交易!$E$2:$E$201)*LOOKUP(2,1/(单次交易!$A$2:$A$201=A129),单次交易!$H$2:$H$201),0)+SUMIFS($H$2:$H$1001,$A$2:$A$1001,A129,$B$2:$B$1001,"&lt;"&amp;B129))</f>
        <v>580820</v>
      </c>
      <c r="K129" s="16">
        <f t="shared" si="10"/>
        <v>79180</v>
      </c>
      <c r="L129" s="17">
        <f t="shared" si="11"/>
        <v>20600</v>
      </c>
      <c r="M129" s="17">
        <f t="shared" si="12"/>
        <v>1000</v>
      </c>
      <c r="N129" s="17">
        <f t="shared" si="13"/>
        <v>1000</v>
      </c>
      <c r="O129" s="17">
        <f t="shared" si="14"/>
        <v>12000</v>
      </c>
      <c r="P129" s="16">
        <f t="shared" si="15"/>
        <v>53.721666666666664</v>
      </c>
      <c r="Q129" s="16">
        <f t="shared" si="16"/>
        <v>0</v>
      </c>
      <c r="R129" s="18" t="str">
        <f t="shared" si="17"/>
        <v>通过</v>
      </c>
    </row>
    <row r="130" spans="1:18">
      <c r="A130" s="12">
        <v>124</v>
      </c>
      <c r="B130" s="13">
        <v>1</v>
      </c>
      <c r="C130" s="14">
        <v>44869</v>
      </c>
      <c r="D130" s="15">
        <v>93.59</v>
      </c>
      <c r="E130" s="15">
        <v>90</v>
      </c>
      <c r="F130" s="15">
        <v>1</v>
      </c>
      <c r="G130" s="13">
        <v>1000</v>
      </c>
      <c r="H130" s="16">
        <f t="shared" ref="H130:H193" si="18">IF(OR(A130="",D130="",G130=""),"",D130*G130)</f>
        <v>93590</v>
      </c>
      <c r="I130" s="17">
        <f>IF(OR(A130="",B130=""),"",IFERROR(LOOKUP(2,1/(单次交易!$A$2:$A$201=A130),单次交易!$H$2:$H$201),0)+SUMIFS($G$2:$G$1001,$A$2:$A$1001,A130,$B$2:$B$1001,"&lt;"&amp;B130))</f>
        <v>1900</v>
      </c>
      <c r="J130" s="16">
        <f>IF(OR(A130="",B130=""),"",IFERROR(LOOKUP(2,1/(单次交易!$A$2:$A$201=A130),单次交易!$E$2:$E$201)*LOOKUP(2,1/(单次交易!$A$2:$A$201=A130),单次交易!$H$2:$H$201),0)+SUMIFS($H$2:$H$1001,$A$2:$A$1001,A130,$B$2:$B$1001,"&lt;"&amp;B130))</f>
        <v>166117</v>
      </c>
      <c r="K130" s="16">
        <f t="shared" ref="K130:K193" si="19">IF(OR(E130="",I130="",J130=""),"",MAX(E130*I130-J130,0))</f>
        <v>4883</v>
      </c>
      <c r="L130" s="17">
        <f t="shared" ref="L130:L193" si="20">IF(OR(D130="",E130="",F130="",D130&lt;=E130),"",FLOOR((F130+K130)/(D130-E130),100))</f>
        <v>1300</v>
      </c>
      <c r="M130" s="17">
        <f t="shared" ref="M130:M193" si="21">IF(OR(A130="",B130="",L130=""),"",IF(B130=1,L130,IFERROR(SUMIFS($G$2:$G$1001,$A$2:$A$1001,A130,$B$2:$B$1001,B130-1),0)))</f>
        <v>1300</v>
      </c>
      <c r="N130" s="17">
        <f t="shared" ref="N130:N193" si="22">IF(OR(L130="",M130=""),"",MIN(L130,M130))</f>
        <v>1300</v>
      </c>
      <c r="O130" s="17">
        <f t="shared" ref="O130:O193" si="23">IF(OR(I130="",G130=""),"",I130+G130)</f>
        <v>2900</v>
      </c>
      <c r="P130" s="16">
        <f t="shared" ref="P130:P193" si="24">IF(OR(O130="",O130=0),"",(J130+H130)/O130)</f>
        <v>89.554137931034489</v>
      </c>
      <c r="Q130" s="16">
        <f t="shared" ref="Q130:Q193" si="25">IF(OR(O130="",E130=""),"",MAX(J130+H130-E130*O130,0))</f>
        <v>0</v>
      </c>
      <c r="R130" s="18" t="str">
        <f t="shared" ref="R130:R193" si="26">IF(A130="","",IF(COUNTIF(_TradeIds,A130)=0,"违规：交易编号不存在",IF(OR(B130="",B130&lt;1,B130&gt;5,B130&lt;&gt;INT(B130)),"违规：加仓序号须为1到5的整数",IF(COUNTIFS($A$2:$A$1001,A130,$B$2:$B$1001,B130)&gt;1,"违规：同一交易的加仓序号重复",IF(OR(D130="",E130="",F130=""),"计划不完整：请填写加仓价、新止损价和风险预算",IF(OR(D130&lt;=0,E130&lt;=0,F130&lt;=0,D130&lt;=E130),"违规：加仓价必须高于新止损价，金额须大于0",IF(AND(B130&gt;1,COUNTIFS($A$2:$A$1001,A130,$B$2:$B$1001,B130-1,$G$2:$G$1001,"&gt;0")=0),"违规：须先完成上一次加仓",IF(AND(B130&gt;1,E130&lt;SUMIFS($E$2:$E$1001,$A$2:$A$1001,A130,$B$2:$B$1001,B130-1)),"违规：新止损价不得低于上一次",IF(AND(B130&gt;1,F130&gt;SUMIFS($F$2:$F$1001,$A$2:$A$1001,A130,$B$2:$B$1001,B130-1)),"违规：风险预算须逐次不增加",IF(OR(_LockStatus="已锁仓",_LockStatus="解锁信息不完整"),"违规：锁仓期间禁止加仓",IF(G130="","计划可执行：建议股数见N列",IF(OR(G130&lt;=0,G130&lt;&gt;INT(G130),MOD(G130,100)&lt;&gt;0),"违规：实际股数须为100股整数倍",IF(G130&gt;N130,"违规：实际股数超过风险或金字塔上限",IF(AND(B130&gt;1,G130&gt;SUMIFS($G$2:$G$1001,$A$2:$A$1001,A130,$B$2:$B$1001,B130-1)),"违规：加仓股数须逐次不增加",IF(Q130&gt;F130,"违规：止损风险超过本次预算","通过")))))))))))))))</f>
        <v>通过</v>
      </c>
    </row>
    <row r="131" spans="1:18" ht="27">
      <c r="A131" s="12">
        <v>131</v>
      </c>
      <c r="B131" s="13">
        <v>1</v>
      </c>
      <c r="C131" s="14">
        <v>45447</v>
      </c>
      <c r="D131" s="15">
        <v>42.5</v>
      </c>
      <c r="E131" s="15">
        <v>40</v>
      </c>
      <c r="F131" s="15">
        <v>1</v>
      </c>
      <c r="G131" s="13">
        <v>3000</v>
      </c>
      <c r="H131" s="16">
        <f t="shared" si="18"/>
        <v>127500</v>
      </c>
      <c r="I131" s="17">
        <f>IF(OR(A131="",B131=""),"",IFERROR(LOOKUP(2,1/(单次交易!$A$2:$A$201=A131),单次交易!$H$2:$H$201),0)+SUMIFS($G$2:$G$1001,$A$2:$A$1001,A131,$B$2:$B$1001,"&lt;"&amp;B131))</f>
        <v>5400</v>
      </c>
      <c r="J131" s="16">
        <f>IF(OR(A131="",B131=""),"",IFERROR(LOOKUP(2,1/(单次交易!$A$2:$A$201=A131),单次交易!$E$2:$E$201)*LOOKUP(2,1/(单次交易!$A$2:$A$201=A131),单次交易!$H$2:$H$201),0)+SUMIFS($H$2:$H$1001,$A$2:$A$1001,A131,$B$2:$B$1001,"&lt;"&amp;B131))</f>
        <v>213678</v>
      </c>
      <c r="K131" s="16">
        <f t="shared" si="19"/>
        <v>2322</v>
      </c>
      <c r="L131" s="17">
        <f t="shared" si="20"/>
        <v>900</v>
      </c>
      <c r="M131" s="17">
        <f t="shared" si="21"/>
        <v>900</v>
      </c>
      <c r="N131" s="17">
        <f t="shared" si="22"/>
        <v>900</v>
      </c>
      <c r="O131" s="17">
        <f t="shared" si="23"/>
        <v>8400</v>
      </c>
      <c r="P131" s="16">
        <f t="shared" si="24"/>
        <v>40.616428571428571</v>
      </c>
      <c r="Q131" s="16">
        <f t="shared" si="25"/>
        <v>5178</v>
      </c>
      <c r="R131" s="18" t="str">
        <f t="shared" si="26"/>
        <v>违规：实际股数超过风险或金字塔上限</v>
      </c>
    </row>
    <row r="132" spans="1:18">
      <c r="A132" s="12"/>
      <c r="B132" s="13"/>
      <c r="C132" s="14"/>
      <c r="D132" s="15"/>
      <c r="E132" s="15"/>
      <c r="F132" s="15"/>
      <c r="G132" s="13"/>
      <c r="H132" s="16" t="str">
        <f t="shared" si="18"/>
        <v/>
      </c>
      <c r="I132" s="17" t="str">
        <f>IF(OR(A132="",B132=""),"",IFERROR(LOOKUP(2,1/(单次交易!$A$2:$A$201=A132),单次交易!$H$2:$H$201),0)+SUMIFS($G$2:$G$1001,$A$2:$A$1001,A132,$B$2:$B$1001,"&lt;"&amp;B132))</f>
        <v/>
      </c>
      <c r="J132" s="16" t="str">
        <f>IF(OR(A132="",B132=""),"",IFERROR(LOOKUP(2,1/(单次交易!$A$2:$A$201=A132),单次交易!$E$2:$E$201)*LOOKUP(2,1/(单次交易!$A$2:$A$201=A132),单次交易!$H$2:$H$201),0)+SUMIFS($H$2:$H$1001,$A$2:$A$1001,A132,$B$2:$B$1001,"&lt;"&amp;B132))</f>
        <v/>
      </c>
      <c r="K132" s="16" t="str">
        <f t="shared" si="19"/>
        <v/>
      </c>
      <c r="L132" s="17" t="str">
        <f t="shared" si="20"/>
        <v/>
      </c>
      <c r="M132" s="17" t="str">
        <f t="shared" si="21"/>
        <v/>
      </c>
      <c r="N132" s="17" t="str">
        <f t="shared" si="22"/>
        <v/>
      </c>
      <c r="O132" s="17" t="str">
        <f t="shared" si="23"/>
        <v/>
      </c>
      <c r="P132" s="16" t="str">
        <f t="shared" si="24"/>
        <v/>
      </c>
      <c r="Q132" s="16" t="str">
        <f t="shared" si="25"/>
        <v/>
      </c>
      <c r="R132" s="18" t="str">
        <f t="shared" si="26"/>
        <v/>
      </c>
    </row>
    <row r="133" spans="1:18">
      <c r="A133" s="12"/>
      <c r="B133" s="13"/>
      <c r="C133" s="14"/>
      <c r="D133" s="15"/>
      <c r="E133" s="15"/>
      <c r="F133" s="15"/>
      <c r="G133" s="13"/>
      <c r="H133" s="16" t="str">
        <f t="shared" si="18"/>
        <v/>
      </c>
      <c r="I133" s="17" t="str">
        <f>IF(OR(A133="",B133=""),"",IFERROR(LOOKUP(2,1/(单次交易!$A$2:$A$201=A133),单次交易!$H$2:$H$201),0)+SUMIFS($G$2:$G$1001,$A$2:$A$1001,A133,$B$2:$B$1001,"&lt;"&amp;B133))</f>
        <v/>
      </c>
      <c r="J133" s="16" t="str">
        <f>IF(OR(A133="",B133=""),"",IFERROR(LOOKUP(2,1/(单次交易!$A$2:$A$201=A133),单次交易!$E$2:$E$201)*LOOKUP(2,1/(单次交易!$A$2:$A$201=A133),单次交易!$H$2:$H$201),0)+SUMIFS($H$2:$H$1001,$A$2:$A$1001,A133,$B$2:$B$1001,"&lt;"&amp;B133))</f>
        <v/>
      </c>
      <c r="K133" s="16" t="str">
        <f t="shared" si="19"/>
        <v/>
      </c>
      <c r="L133" s="17" t="str">
        <f t="shared" si="20"/>
        <v/>
      </c>
      <c r="M133" s="17" t="str">
        <f t="shared" si="21"/>
        <v/>
      </c>
      <c r="N133" s="17" t="str">
        <f t="shared" si="22"/>
        <v/>
      </c>
      <c r="O133" s="17" t="str">
        <f t="shared" si="23"/>
        <v/>
      </c>
      <c r="P133" s="16" t="str">
        <f t="shared" si="24"/>
        <v/>
      </c>
      <c r="Q133" s="16" t="str">
        <f t="shared" si="25"/>
        <v/>
      </c>
      <c r="R133" s="18" t="str">
        <f t="shared" si="26"/>
        <v/>
      </c>
    </row>
    <row r="134" spans="1:18">
      <c r="A134" s="12"/>
      <c r="B134" s="13"/>
      <c r="C134" s="14"/>
      <c r="D134" s="15"/>
      <c r="E134" s="15"/>
      <c r="F134" s="15"/>
      <c r="G134" s="13"/>
      <c r="H134" s="16" t="str">
        <f t="shared" si="18"/>
        <v/>
      </c>
      <c r="I134" s="17" t="str">
        <f>IF(OR(A134="",B134=""),"",IFERROR(LOOKUP(2,1/(单次交易!$A$2:$A$201=A134),单次交易!$H$2:$H$201),0)+SUMIFS($G$2:$G$1001,$A$2:$A$1001,A134,$B$2:$B$1001,"&lt;"&amp;B134))</f>
        <v/>
      </c>
      <c r="J134" s="16" t="str">
        <f>IF(OR(A134="",B134=""),"",IFERROR(LOOKUP(2,1/(单次交易!$A$2:$A$201=A134),单次交易!$E$2:$E$201)*LOOKUP(2,1/(单次交易!$A$2:$A$201=A134),单次交易!$H$2:$H$201),0)+SUMIFS($H$2:$H$1001,$A$2:$A$1001,A134,$B$2:$B$1001,"&lt;"&amp;B134))</f>
        <v/>
      </c>
      <c r="K134" s="16" t="str">
        <f t="shared" si="19"/>
        <v/>
      </c>
      <c r="L134" s="17" t="str">
        <f t="shared" si="20"/>
        <v/>
      </c>
      <c r="M134" s="17" t="str">
        <f t="shared" si="21"/>
        <v/>
      </c>
      <c r="N134" s="17" t="str">
        <f t="shared" si="22"/>
        <v/>
      </c>
      <c r="O134" s="17" t="str">
        <f t="shared" si="23"/>
        <v/>
      </c>
      <c r="P134" s="16" t="str">
        <f t="shared" si="24"/>
        <v/>
      </c>
      <c r="Q134" s="16" t="str">
        <f t="shared" si="25"/>
        <v/>
      </c>
      <c r="R134" s="18" t="str">
        <f t="shared" si="26"/>
        <v/>
      </c>
    </row>
    <row r="135" spans="1:18">
      <c r="A135" s="12"/>
      <c r="B135" s="13"/>
      <c r="C135" s="14"/>
      <c r="D135" s="15"/>
      <c r="E135" s="15"/>
      <c r="F135" s="15"/>
      <c r="G135" s="13"/>
      <c r="H135" s="16" t="str">
        <f t="shared" si="18"/>
        <v/>
      </c>
      <c r="I135" s="17" t="str">
        <f>IF(OR(A135="",B135=""),"",IFERROR(LOOKUP(2,1/(单次交易!$A$2:$A$201=A135),单次交易!$H$2:$H$201),0)+SUMIFS($G$2:$G$1001,$A$2:$A$1001,A135,$B$2:$B$1001,"&lt;"&amp;B135))</f>
        <v/>
      </c>
      <c r="J135" s="16" t="str">
        <f>IF(OR(A135="",B135=""),"",IFERROR(LOOKUP(2,1/(单次交易!$A$2:$A$201=A135),单次交易!$E$2:$E$201)*LOOKUP(2,1/(单次交易!$A$2:$A$201=A135),单次交易!$H$2:$H$201),0)+SUMIFS($H$2:$H$1001,$A$2:$A$1001,A135,$B$2:$B$1001,"&lt;"&amp;B135))</f>
        <v/>
      </c>
      <c r="K135" s="16" t="str">
        <f t="shared" si="19"/>
        <v/>
      </c>
      <c r="L135" s="17" t="str">
        <f t="shared" si="20"/>
        <v/>
      </c>
      <c r="M135" s="17" t="str">
        <f t="shared" si="21"/>
        <v/>
      </c>
      <c r="N135" s="17" t="str">
        <f t="shared" si="22"/>
        <v/>
      </c>
      <c r="O135" s="17" t="str">
        <f t="shared" si="23"/>
        <v/>
      </c>
      <c r="P135" s="16" t="str">
        <f t="shared" si="24"/>
        <v/>
      </c>
      <c r="Q135" s="16" t="str">
        <f t="shared" si="25"/>
        <v/>
      </c>
      <c r="R135" s="18" t="str">
        <f t="shared" si="26"/>
        <v/>
      </c>
    </row>
    <row r="136" spans="1:18">
      <c r="A136" s="12"/>
      <c r="B136" s="13"/>
      <c r="C136" s="14"/>
      <c r="D136" s="15"/>
      <c r="E136" s="15"/>
      <c r="F136" s="15"/>
      <c r="G136" s="13"/>
      <c r="H136" s="16" t="str">
        <f t="shared" si="18"/>
        <v/>
      </c>
      <c r="I136" s="17" t="str">
        <f>IF(OR(A136="",B136=""),"",IFERROR(LOOKUP(2,1/(单次交易!$A$2:$A$201=A136),单次交易!$H$2:$H$201),0)+SUMIFS($G$2:$G$1001,$A$2:$A$1001,A136,$B$2:$B$1001,"&lt;"&amp;B136))</f>
        <v/>
      </c>
      <c r="J136" s="16" t="str">
        <f>IF(OR(A136="",B136=""),"",IFERROR(LOOKUP(2,1/(单次交易!$A$2:$A$201=A136),单次交易!$E$2:$E$201)*LOOKUP(2,1/(单次交易!$A$2:$A$201=A136),单次交易!$H$2:$H$201),0)+SUMIFS($H$2:$H$1001,$A$2:$A$1001,A136,$B$2:$B$1001,"&lt;"&amp;B136))</f>
        <v/>
      </c>
      <c r="K136" s="16" t="str">
        <f t="shared" si="19"/>
        <v/>
      </c>
      <c r="L136" s="17" t="str">
        <f t="shared" si="20"/>
        <v/>
      </c>
      <c r="M136" s="17" t="str">
        <f t="shared" si="21"/>
        <v/>
      </c>
      <c r="N136" s="17" t="str">
        <f t="shared" si="22"/>
        <v/>
      </c>
      <c r="O136" s="17" t="str">
        <f t="shared" si="23"/>
        <v/>
      </c>
      <c r="P136" s="16" t="str">
        <f t="shared" si="24"/>
        <v/>
      </c>
      <c r="Q136" s="16" t="str">
        <f t="shared" si="25"/>
        <v/>
      </c>
      <c r="R136" s="18" t="str">
        <f t="shared" si="26"/>
        <v/>
      </c>
    </row>
    <row r="137" spans="1:18">
      <c r="A137" s="12"/>
      <c r="B137" s="13"/>
      <c r="C137" s="14"/>
      <c r="D137" s="15"/>
      <c r="E137" s="15"/>
      <c r="F137" s="15"/>
      <c r="G137" s="13"/>
      <c r="H137" s="16" t="str">
        <f t="shared" si="18"/>
        <v/>
      </c>
      <c r="I137" s="17" t="str">
        <f>IF(OR(A137="",B137=""),"",IFERROR(LOOKUP(2,1/(单次交易!$A$2:$A$201=A137),单次交易!$H$2:$H$201),0)+SUMIFS($G$2:$G$1001,$A$2:$A$1001,A137,$B$2:$B$1001,"&lt;"&amp;B137))</f>
        <v/>
      </c>
      <c r="J137" s="16" t="str">
        <f>IF(OR(A137="",B137=""),"",IFERROR(LOOKUP(2,1/(单次交易!$A$2:$A$201=A137),单次交易!$E$2:$E$201)*LOOKUP(2,1/(单次交易!$A$2:$A$201=A137),单次交易!$H$2:$H$201),0)+SUMIFS($H$2:$H$1001,$A$2:$A$1001,A137,$B$2:$B$1001,"&lt;"&amp;B137))</f>
        <v/>
      </c>
      <c r="K137" s="16" t="str">
        <f t="shared" si="19"/>
        <v/>
      </c>
      <c r="L137" s="17" t="str">
        <f t="shared" si="20"/>
        <v/>
      </c>
      <c r="M137" s="17" t="str">
        <f t="shared" si="21"/>
        <v/>
      </c>
      <c r="N137" s="17" t="str">
        <f t="shared" si="22"/>
        <v/>
      </c>
      <c r="O137" s="17" t="str">
        <f t="shared" si="23"/>
        <v/>
      </c>
      <c r="P137" s="16" t="str">
        <f t="shared" si="24"/>
        <v/>
      </c>
      <c r="Q137" s="16" t="str">
        <f t="shared" si="25"/>
        <v/>
      </c>
      <c r="R137" s="18" t="str">
        <f t="shared" si="26"/>
        <v/>
      </c>
    </row>
    <row r="138" spans="1:18">
      <c r="A138" s="12"/>
      <c r="B138" s="13"/>
      <c r="C138" s="14"/>
      <c r="D138" s="15"/>
      <c r="E138" s="15"/>
      <c r="F138" s="15"/>
      <c r="G138" s="13"/>
      <c r="H138" s="16" t="str">
        <f t="shared" si="18"/>
        <v/>
      </c>
      <c r="I138" s="17" t="str">
        <f>IF(OR(A138="",B138=""),"",IFERROR(LOOKUP(2,1/(单次交易!$A$2:$A$201=A138),单次交易!$H$2:$H$201),0)+SUMIFS($G$2:$G$1001,$A$2:$A$1001,A138,$B$2:$B$1001,"&lt;"&amp;B138))</f>
        <v/>
      </c>
      <c r="J138" s="16" t="str">
        <f>IF(OR(A138="",B138=""),"",IFERROR(LOOKUP(2,1/(单次交易!$A$2:$A$201=A138),单次交易!$E$2:$E$201)*LOOKUP(2,1/(单次交易!$A$2:$A$201=A138),单次交易!$H$2:$H$201),0)+SUMIFS($H$2:$H$1001,$A$2:$A$1001,A138,$B$2:$B$1001,"&lt;"&amp;B138))</f>
        <v/>
      </c>
      <c r="K138" s="16" t="str">
        <f t="shared" si="19"/>
        <v/>
      </c>
      <c r="L138" s="17" t="str">
        <f t="shared" si="20"/>
        <v/>
      </c>
      <c r="M138" s="17" t="str">
        <f t="shared" si="21"/>
        <v/>
      </c>
      <c r="N138" s="17" t="str">
        <f t="shared" si="22"/>
        <v/>
      </c>
      <c r="O138" s="17" t="str">
        <f t="shared" si="23"/>
        <v/>
      </c>
      <c r="P138" s="16" t="str">
        <f t="shared" si="24"/>
        <v/>
      </c>
      <c r="Q138" s="16" t="str">
        <f t="shared" si="25"/>
        <v/>
      </c>
      <c r="R138" s="18" t="str">
        <f t="shared" si="26"/>
        <v/>
      </c>
    </row>
    <row r="139" spans="1:18">
      <c r="A139" s="12"/>
      <c r="B139" s="13"/>
      <c r="C139" s="14"/>
      <c r="D139" s="15"/>
      <c r="E139" s="15"/>
      <c r="F139" s="15"/>
      <c r="G139" s="13"/>
      <c r="H139" s="16" t="str">
        <f t="shared" si="18"/>
        <v/>
      </c>
      <c r="I139" s="17" t="str">
        <f>IF(OR(A139="",B139=""),"",IFERROR(LOOKUP(2,1/(单次交易!$A$2:$A$201=A139),单次交易!$H$2:$H$201),0)+SUMIFS($G$2:$G$1001,$A$2:$A$1001,A139,$B$2:$B$1001,"&lt;"&amp;B139))</f>
        <v/>
      </c>
      <c r="J139" s="16" t="str">
        <f>IF(OR(A139="",B139=""),"",IFERROR(LOOKUP(2,1/(单次交易!$A$2:$A$201=A139),单次交易!$E$2:$E$201)*LOOKUP(2,1/(单次交易!$A$2:$A$201=A139),单次交易!$H$2:$H$201),0)+SUMIFS($H$2:$H$1001,$A$2:$A$1001,A139,$B$2:$B$1001,"&lt;"&amp;B139))</f>
        <v/>
      </c>
      <c r="K139" s="16" t="str">
        <f t="shared" si="19"/>
        <v/>
      </c>
      <c r="L139" s="17" t="str">
        <f t="shared" si="20"/>
        <v/>
      </c>
      <c r="M139" s="17" t="str">
        <f t="shared" si="21"/>
        <v/>
      </c>
      <c r="N139" s="17" t="str">
        <f t="shared" si="22"/>
        <v/>
      </c>
      <c r="O139" s="17" t="str">
        <f t="shared" si="23"/>
        <v/>
      </c>
      <c r="P139" s="16" t="str">
        <f t="shared" si="24"/>
        <v/>
      </c>
      <c r="Q139" s="16" t="str">
        <f t="shared" si="25"/>
        <v/>
      </c>
      <c r="R139" s="18" t="str">
        <f t="shared" si="26"/>
        <v/>
      </c>
    </row>
    <row r="140" spans="1:18">
      <c r="A140" s="12"/>
      <c r="B140" s="13"/>
      <c r="C140" s="14"/>
      <c r="D140" s="15"/>
      <c r="E140" s="15"/>
      <c r="F140" s="15"/>
      <c r="G140" s="13"/>
      <c r="H140" s="16" t="str">
        <f t="shared" si="18"/>
        <v/>
      </c>
      <c r="I140" s="17" t="str">
        <f>IF(OR(A140="",B140=""),"",IFERROR(LOOKUP(2,1/(单次交易!$A$2:$A$201=A140),单次交易!$H$2:$H$201),0)+SUMIFS($G$2:$G$1001,$A$2:$A$1001,A140,$B$2:$B$1001,"&lt;"&amp;B140))</f>
        <v/>
      </c>
      <c r="J140" s="16" t="str">
        <f>IF(OR(A140="",B140=""),"",IFERROR(LOOKUP(2,1/(单次交易!$A$2:$A$201=A140),单次交易!$E$2:$E$201)*LOOKUP(2,1/(单次交易!$A$2:$A$201=A140),单次交易!$H$2:$H$201),0)+SUMIFS($H$2:$H$1001,$A$2:$A$1001,A140,$B$2:$B$1001,"&lt;"&amp;B140))</f>
        <v/>
      </c>
      <c r="K140" s="16" t="str">
        <f t="shared" si="19"/>
        <v/>
      </c>
      <c r="L140" s="17" t="str">
        <f t="shared" si="20"/>
        <v/>
      </c>
      <c r="M140" s="17" t="str">
        <f t="shared" si="21"/>
        <v/>
      </c>
      <c r="N140" s="17" t="str">
        <f t="shared" si="22"/>
        <v/>
      </c>
      <c r="O140" s="17" t="str">
        <f t="shared" si="23"/>
        <v/>
      </c>
      <c r="P140" s="16" t="str">
        <f t="shared" si="24"/>
        <v/>
      </c>
      <c r="Q140" s="16" t="str">
        <f t="shared" si="25"/>
        <v/>
      </c>
      <c r="R140" s="18" t="str">
        <f t="shared" si="26"/>
        <v/>
      </c>
    </row>
    <row r="141" spans="1:18">
      <c r="A141" s="12"/>
      <c r="B141" s="13"/>
      <c r="C141" s="14"/>
      <c r="D141" s="15"/>
      <c r="E141" s="15"/>
      <c r="F141" s="15"/>
      <c r="G141" s="13"/>
      <c r="H141" s="16" t="str">
        <f t="shared" si="18"/>
        <v/>
      </c>
      <c r="I141" s="17" t="str">
        <f>IF(OR(A141="",B141=""),"",IFERROR(LOOKUP(2,1/(单次交易!$A$2:$A$201=A141),单次交易!$H$2:$H$201),0)+SUMIFS($G$2:$G$1001,$A$2:$A$1001,A141,$B$2:$B$1001,"&lt;"&amp;B141))</f>
        <v/>
      </c>
      <c r="J141" s="16" t="str">
        <f>IF(OR(A141="",B141=""),"",IFERROR(LOOKUP(2,1/(单次交易!$A$2:$A$201=A141),单次交易!$E$2:$E$201)*LOOKUP(2,1/(单次交易!$A$2:$A$201=A141),单次交易!$H$2:$H$201),0)+SUMIFS($H$2:$H$1001,$A$2:$A$1001,A141,$B$2:$B$1001,"&lt;"&amp;B141))</f>
        <v/>
      </c>
      <c r="K141" s="16" t="str">
        <f t="shared" si="19"/>
        <v/>
      </c>
      <c r="L141" s="17" t="str">
        <f t="shared" si="20"/>
        <v/>
      </c>
      <c r="M141" s="17" t="str">
        <f t="shared" si="21"/>
        <v/>
      </c>
      <c r="N141" s="17" t="str">
        <f t="shared" si="22"/>
        <v/>
      </c>
      <c r="O141" s="17" t="str">
        <f t="shared" si="23"/>
        <v/>
      </c>
      <c r="P141" s="16" t="str">
        <f t="shared" si="24"/>
        <v/>
      </c>
      <c r="Q141" s="16" t="str">
        <f t="shared" si="25"/>
        <v/>
      </c>
      <c r="R141" s="18" t="str">
        <f t="shared" si="26"/>
        <v/>
      </c>
    </row>
    <row r="142" spans="1:18">
      <c r="A142" s="12"/>
      <c r="B142" s="13"/>
      <c r="C142" s="14"/>
      <c r="D142" s="15"/>
      <c r="E142" s="15"/>
      <c r="F142" s="15"/>
      <c r="G142" s="13"/>
      <c r="H142" s="16" t="str">
        <f t="shared" si="18"/>
        <v/>
      </c>
      <c r="I142" s="17" t="str">
        <f>IF(OR(A142="",B142=""),"",IFERROR(LOOKUP(2,1/(单次交易!$A$2:$A$201=A142),单次交易!$H$2:$H$201),0)+SUMIFS($G$2:$G$1001,$A$2:$A$1001,A142,$B$2:$B$1001,"&lt;"&amp;B142))</f>
        <v/>
      </c>
      <c r="J142" s="16" t="str">
        <f>IF(OR(A142="",B142=""),"",IFERROR(LOOKUP(2,1/(单次交易!$A$2:$A$201=A142),单次交易!$E$2:$E$201)*LOOKUP(2,1/(单次交易!$A$2:$A$201=A142),单次交易!$H$2:$H$201),0)+SUMIFS($H$2:$H$1001,$A$2:$A$1001,A142,$B$2:$B$1001,"&lt;"&amp;B142))</f>
        <v/>
      </c>
      <c r="K142" s="16" t="str">
        <f t="shared" si="19"/>
        <v/>
      </c>
      <c r="L142" s="17" t="str">
        <f t="shared" si="20"/>
        <v/>
      </c>
      <c r="M142" s="17" t="str">
        <f t="shared" si="21"/>
        <v/>
      </c>
      <c r="N142" s="17" t="str">
        <f t="shared" si="22"/>
        <v/>
      </c>
      <c r="O142" s="17" t="str">
        <f t="shared" si="23"/>
        <v/>
      </c>
      <c r="P142" s="16" t="str">
        <f t="shared" si="24"/>
        <v/>
      </c>
      <c r="Q142" s="16" t="str">
        <f t="shared" si="25"/>
        <v/>
      </c>
      <c r="R142" s="18" t="str">
        <f t="shared" si="26"/>
        <v/>
      </c>
    </row>
    <row r="143" spans="1:18">
      <c r="A143" s="12"/>
      <c r="B143" s="13"/>
      <c r="C143" s="14"/>
      <c r="D143" s="15"/>
      <c r="E143" s="15"/>
      <c r="F143" s="15"/>
      <c r="G143" s="13"/>
      <c r="H143" s="16" t="str">
        <f t="shared" si="18"/>
        <v/>
      </c>
      <c r="I143" s="17" t="str">
        <f>IF(OR(A143="",B143=""),"",IFERROR(LOOKUP(2,1/(单次交易!$A$2:$A$201=A143),单次交易!$H$2:$H$201),0)+SUMIFS($G$2:$G$1001,$A$2:$A$1001,A143,$B$2:$B$1001,"&lt;"&amp;B143))</f>
        <v/>
      </c>
      <c r="J143" s="16" t="str">
        <f>IF(OR(A143="",B143=""),"",IFERROR(LOOKUP(2,1/(单次交易!$A$2:$A$201=A143),单次交易!$E$2:$E$201)*LOOKUP(2,1/(单次交易!$A$2:$A$201=A143),单次交易!$H$2:$H$201),0)+SUMIFS($H$2:$H$1001,$A$2:$A$1001,A143,$B$2:$B$1001,"&lt;"&amp;B143))</f>
        <v/>
      </c>
      <c r="K143" s="16" t="str">
        <f t="shared" si="19"/>
        <v/>
      </c>
      <c r="L143" s="17" t="str">
        <f t="shared" si="20"/>
        <v/>
      </c>
      <c r="M143" s="17" t="str">
        <f t="shared" si="21"/>
        <v/>
      </c>
      <c r="N143" s="17" t="str">
        <f t="shared" si="22"/>
        <v/>
      </c>
      <c r="O143" s="17" t="str">
        <f t="shared" si="23"/>
        <v/>
      </c>
      <c r="P143" s="16" t="str">
        <f t="shared" si="24"/>
        <v/>
      </c>
      <c r="Q143" s="16" t="str">
        <f t="shared" si="25"/>
        <v/>
      </c>
      <c r="R143" s="18" t="str">
        <f t="shared" si="26"/>
        <v/>
      </c>
    </row>
    <row r="144" spans="1:18">
      <c r="A144" s="12"/>
      <c r="B144" s="13"/>
      <c r="C144" s="14"/>
      <c r="D144" s="15"/>
      <c r="E144" s="15"/>
      <c r="F144" s="15"/>
      <c r="G144" s="13"/>
      <c r="H144" s="16" t="str">
        <f t="shared" si="18"/>
        <v/>
      </c>
      <c r="I144" s="17" t="str">
        <f>IF(OR(A144="",B144=""),"",IFERROR(LOOKUP(2,1/(单次交易!$A$2:$A$201=A144),单次交易!$H$2:$H$201),0)+SUMIFS($G$2:$G$1001,$A$2:$A$1001,A144,$B$2:$B$1001,"&lt;"&amp;B144))</f>
        <v/>
      </c>
      <c r="J144" s="16" t="str">
        <f>IF(OR(A144="",B144=""),"",IFERROR(LOOKUP(2,1/(单次交易!$A$2:$A$201=A144),单次交易!$E$2:$E$201)*LOOKUP(2,1/(单次交易!$A$2:$A$201=A144),单次交易!$H$2:$H$201),0)+SUMIFS($H$2:$H$1001,$A$2:$A$1001,A144,$B$2:$B$1001,"&lt;"&amp;B144))</f>
        <v/>
      </c>
      <c r="K144" s="16" t="str">
        <f t="shared" si="19"/>
        <v/>
      </c>
      <c r="L144" s="17" t="str">
        <f t="shared" si="20"/>
        <v/>
      </c>
      <c r="M144" s="17" t="str">
        <f t="shared" si="21"/>
        <v/>
      </c>
      <c r="N144" s="17" t="str">
        <f t="shared" si="22"/>
        <v/>
      </c>
      <c r="O144" s="17" t="str">
        <f t="shared" si="23"/>
        <v/>
      </c>
      <c r="P144" s="16" t="str">
        <f t="shared" si="24"/>
        <v/>
      </c>
      <c r="Q144" s="16" t="str">
        <f t="shared" si="25"/>
        <v/>
      </c>
      <c r="R144" s="18" t="str">
        <f t="shared" si="26"/>
        <v/>
      </c>
    </row>
    <row r="145" spans="1:18">
      <c r="A145" s="12"/>
      <c r="B145" s="13"/>
      <c r="C145" s="14"/>
      <c r="D145" s="15"/>
      <c r="E145" s="15"/>
      <c r="F145" s="15"/>
      <c r="G145" s="13"/>
      <c r="H145" s="16" t="str">
        <f t="shared" si="18"/>
        <v/>
      </c>
      <c r="I145" s="17" t="str">
        <f>IF(OR(A145="",B145=""),"",IFERROR(LOOKUP(2,1/(单次交易!$A$2:$A$201=A145),单次交易!$H$2:$H$201),0)+SUMIFS($G$2:$G$1001,$A$2:$A$1001,A145,$B$2:$B$1001,"&lt;"&amp;B145))</f>
        <v/>
      </c>
      <c r="J145" s="16" t="str">
        <f>IF(OR(A145="",B145=""),"",IFERROR(LOOKUP(2,1/(单次交易!$A$2:$A$201=A145),单次交易!$E$2:$E$201)*LOOKUP(2,1/(单次交易!$A$2:$A$201=A145),单次交易!$H$2:$H$201),0)+SUMIFS($H$2:$H$1001,$A$2:$A$1001,A145,$B$2:$B$1001,"&lt;"&amp;B145))</f>
        <v/>
      </c>
      <c r="K145" s="16" t="str">
        <f t="shared" si="19"/>
        <v/>
      </c>
      <c r="L145" s="17" t="str">
        <f t="shared" si="20"/>
        <v/>
      </c>
      <c r="M145" s="17" t="str">
        <f t="shared" si="21"/>
        <v/>
      </c>
      <c r="N145" s="17" t="str">
        <f t="shared" si="22"/>
        <v/>
      </c>
      <c r="O145" s="17" t="str">
        <f t="shared" si="23"/>
        <v/>
      </c>
      <c r="P145" s="16" t="str">
        <f t="shared" si="24"/>
        <v/>
      </c>
      <c r="Q145" s="16" t="str">
        <f t="shared" si="25"/>
        <v/>
      </c>
      <c r="R145" s="18" t="str">
        <f t="shared" si="26"/>
        <v/>
      </c>
    </row>
    <row r="146" spans="1:18">
      <c r="A146" s="12"/>
      <c r="B146" s="13"/>
      <c r="C146" s="14"/>
      <c r="D146" s="15"/>
      <c r="E146" s="15"/>
      <c r="F146" s="15"/>
      <c r="G146" s="13"/>
      <c r="H146" s="16" t="str">
        <f t="shared" si="18"/>
        <v/>
      </c>
      <c r="I146" s="17" t="str">
        <f>IF(OR(A146="",B146=""),"",IFERROR(LOOKUP(2,1/(单次交易!$A$2:$A$201=A146),单次交易!$H$2:$H$201),0)+SUMIFS($G$2:$G$1001,$A$2:$A$1001,A146,$B$2:$B$1001,"&lt;"&amp;B146))</f>
        <v/>
      </c>
      <c r="J146" s="16" t="str">
        <f>IF(OR(A146="",B146=""),"",IFERROR(LOOKUP(2,1/(单次交易!$A$2:$A$201=A146),单次交易!$E$2:$E$201)*LOOKUP(2,1/(单次交易!$A$2:$A$201=A146),单次交易!$H$2:$H$201),0)+SUMIFS($H$2:$H$1001,$A$2:$A$1001,A146,$B$2:$B$1001,"&lt;"&amp;B146))</f>
        <v/>
      </c>
      <c r="K146" s="16" t="str">
        <f t="shared" si="19"/>
        <v/>
      </c>
      <c r="L146" s="17" t="str">
        <f t="shared" si="20"/>
        <v/>
      </c>
      <c r="M146" s="17" t="str">
        <f t="shared" si="21"/>
        <v/>
      </c>
      <c r="N146" s="17" t="str">
        <f t="shared" si="22"/>
        <v/>
      </c>
      <c r="O146" s="17" t="str">
        <f t="shared" si="23"/>
        <v/>
      </c>
      <c r="P146" s="16" t="str">
        <f t="shared" si="24"/>
        <v/>
      </c>
      <c r="Q146" s="16" t="str">
        <f t="shared" si="25"/>
        <v/>
      </c>
      <c r="R146" s="18" t="str">
        <f t="shared" si="26"/>
        <v/>
      </c>
    </row>
    <row r="147" spans="1:18">
      <c r="A147" s="12"/>
      <c r="B147" s="13"/>
      <c r="C147" s="14"/>
      <c r="D147" s="15"/>
      <c r="E147" s="15"/>
      <c r="F147" s="15"/>
      <c r="G147" s="13"/>
      <c r="H147" s="16" t="str">
        <f t="shared" si="18"/>
        <v/>
      </c>
      <c r="I147" s="17" t="str">
        <f>IF(OR(A147="",B147=""),"",IFERROR(LOOKUP(2,1/(单次交易!$A$2:$A$201=A147),单次交易!$H$2:$H$201),0)+SUMIFS($G$2:$G$1001,$A$2:$A$1001,A147,$B$2:$B$1001,"&lt;"&amp;B147))</f>
        <v/>
      </c>
      <c r="J147" s="16" t="str">
        <f>IF(OR(A147="",B147=""),"",IFERROR(LOOKUP(2,1/(单次交易!$A$2:$A$201=A147),单次交易!$E$2:$E$201)*LOOKUP(2,1/(单次交易!$A$2:$A$201=A147),单次交易!$H$2:$H$201),0)+SUMIFS($H$2:$H$1001,$A$2:$A$1001,A147,$B$2:$B$1001,"&lt;"&amp;B147))</f>
        <v/>
      </c>
      <c r="K147" s="16" t="str">
        <f t="shared" si="19"/>
        <v/>
      </c>
      <c r="L147" s="17" t="str">
        <f t="shared" si="20"/>
        <v/>
      </c>
      <c r="M147" s="17" t="str">
        <f t="shared" si="21"/>
        <v/>
      </c>
      <c r="N147" s="17" t="str">
        <f t="shared" si="22"/>
        <v/>
      </c>
      <c r="O147" s="17" t="str">
        <f t="shared" si="23"/>
        <v/>
      </c>
      <c r="P147" s="16" t="str">
        <f t="shared" si="24"/>
        <v/>
      </c>
      <c r="Q147" s="16" t="str">
        <f t="shared" si="25"/>
        <v/>
      </c>
      <c r="R147" s="18" t="str">
        <f t="shared" si="26"/>
        <v/>
      </c>
    </row>
    <row r="148" spans="1:18">
      <c r="A148" s="12"/>
      <c r="B148" s="13"/>
      <c r="C148" s="14"/>
      <c r="D148" s="15"/>
      <c r="E148" s="15"/>
      <c r="F148" s="15"/>
      <c r="G148" s="13"/>
      <c r="H148" s="16" t="str">
        <f t="shared" si="18"/>
        <v/>
      </c>
      <c r="I148" s="17" t="str">
        <f>IF(OR(A148="",B148=""),"",IFERROR(LOOKUP(2,1/(单次交易!$A$2:$A$201=A148),单次交易!$H$2:$H$201),0)+SUMIFS($G$2:$G$1001,$A$2:$A$1001,A148,$B$2:$B$1001,"&lt;"&amp;B148))</f>
        <v/>
      </c>
      <c r="J148" s="16" t="str">
        <f>IF(OR(A148="",B148=""),"",IFERROR(LOOKUP(2,1/(单次交易!$A$2:$A$201=A148),单次交易!$E$2:$E$201)*LOOKUP(2,1/(单次交易!$A$2:$A$201=A148),单次交易!$H$2:$H$201),0)+SUMIFS($H$2:$H$1001,$A$2:$A$1001,A148,$B$2:$B$1001,"&lt;"&amp;B148))</f>
        <v/>
      </c>
      <c r="K148" s="16" t="str">
        <f t="shared" si="19"/>
        <v/>
      </c>
      <c r="L148" s="17" t="str">
        <f t="shared" si="20"/>
        <v/>
      </c>
      <c r="M148" s="17" t="str">
        <f t="shared" si="21"/>
        <v/>
      </c>
      <c r="N148" s="17" t="str">
        <f t="shared" si="22"/>
        <v/>
      </c>
      <c r="O148" s="17" t="str">
        <f t="shared" si="23"/>
        <v/>
      </c>
      <c r="P148" s="16" t="str">
        <f t="shared" si="24"/>
        <v/>
      </c>
      <c r="Q148" s="16" t="str">
        <f t="shared" si="25"/>
        <v/>
      </c>
      <c r="R148" s="18" t="str">
        <f t="shared" si="26"/>
        <v/>
      </c>
    </row>
    <row r="149" spans="1:18">
      <c r="A149" s="12"/>
      <c r="B149" s="13"/>
      <c r="C149" s="14"/>
      <c r="D149" s="15"/>
      <c r="E149" s="15"/>
      <c r="F149" s="15"/>
      <c r="G149" s="13"/>
      <c r="H149" s="16" t="str">
        <f t="shared" si="18"/>
        <v/>
      </c>
      <c r="I149" s="17" t="str">
        <f>IF(OR(A149="",B149=""),"",IFERROR(LOOKUP(2,1/(单次交易!$A$2:$A$201=A149),单次交易!$H$2:$H$201),0)+SUMIFS($G$2:$G$1001,$A$2:$A$1001,A149,$B$2:$B$1001,"&lt;"&amp;B149))</f>
        <v/>
      </c>
      <c r="J149" s="16" t="str">
        <f>IF(OR(A149="",B149=""),"",IFERROR(LOOKUP(2,1/(单次交易!$A$2:$A$201=A149),单次交易!$E$2:$E$201)*LOOKUP(2,1/(单次交易!$A$2:$A$201=A149),单次交易!$H$2:$H$201),0)+SUMIFS($H$2:$H$1001,$A$2:$A$1001,A149,$B$2:$B$1001,"&lt;"&amp;B149))</f>
        <v/>
      </c>
      <c r="K149" s="16" t="str">
        <f t="shared" si="19"/>
        <v/>
      </c>
      <c r="L149" s="17" t="str">
        <f t="shared" si="20"/>
        <v/>
      </c>
      <c r="M149" s="17" t="str">
        <f t="shared" si="21"/>
        <v/>
      </c>
      <c r="N149" s="17" t="str">
        <f t="shared" si="22"/>
        <v/>
      </c>
      <c r="O149" s="17" t="str">
        <f t="shared" si="23"/>
        <v/>
      </c>
      <c r="P149" s="16" t="str">
        <f t="shared" si="24"/>
        <v/>
      </c>
      <c r="Q149" s="16" t="str">
        <f t="shared" si="25"/>
        <v/>
      </c>
      <c r="R149" s="18" t="str">
        <f t="shared" si="26"/>
        <v/>
      </c>
    </row>
    <row r="150" spans="1:18">
      <c r="A150" s="12"/>
      <c r="B150" s="13"/>
      <c r="C150" s="14"/>
      <c r="D150" s="15"/>
      <c r="E150" s="15"/>
      <c r="F150" s="15"/>
      <c r="G150" s="13"/>
      <c r="H150" s="16" t="str">
        <f t="shared" si="18"/>
        <v/>
      </c>
      <c r="I150" s="17" t="str">
        <f>IF(OR(A150="",B150=""),"",IFERROR(LOOKUP(2,1/(单次交易!$A$2:$A$201=A150),单次交易!$H$2:$H$201),0)+SUMIFS($G$2:$G$1001,$A$2:$A$1001,A150,$B$2:$B$1001,"&lt;"&amp;B150))</f>
        <v/>
      </c>
      <c r="J150" s="16" t="str">
        <f>IF(OR(A150="",B150=""),"",IFERROR(LOOKUP(2,1/(单次交易!$A$2:$A$201=A150),单次交易!$E$2:$E$201)*LOOKUP(2,1/(单次交易!$A$2:$A$201=A150),单次交易!$H$2:$H$201),0)+SUMIFS($H$2:$H$1001,$A$2:$A$1001,A150,$B$2:$B$1001,"&lt;"&amp;B150))</f>
        <v/>
      </c>
      <c r="K150" s="16" t="str">
        <f t="shared" si="19"/>
        <v/>
      </c>
      <c r="L150" s="17" t="str">
        <f t="shared" si="20"/>
        <v/>
      </c>
      <c r="M150" s="17" t="str">
        <f t="shared" si="21"/>
        <v/>
      </c>
      <c r="N150" s="17" t="str">
        <f t="shared" si="22"/>
        <v/>
      </c>
      <c r="O150" s="17" t="str">
        <f t="shared" si="23"/>
        <v/>
      </c>
      <c r="P150" s="16" t="str">
        <f t="shared" si="24"/>
        <v/>
      </c>
      <c r="Q150" s="16" t="str">
        <f t="shared" si="25"/>
        <v/>
      </c>
      <c r="R150" s="18" t="str">
        <f t="shared" si="26"/>
        <v/>
      </c>
    </row>
    <row r="151" spans="1:18">
      <c r="A151" s="12"/>
      <c r="B151" s="13"/>
      <c r="C151" s="14"/>
      <c r="D151" s="15"/>
      <c r="E151" s="15"/>
      <c r="F151" s="15"/>
      <c r="G151" s="13"/>
      <c r="H151" s="16" t="str">
        <f t="shared" si="18"/>
        <v/>
      </c>
      <c r="I151" s="17" t="str">
        <f>IF(OR(A151="",B151=""),"",IFERROR(LOOKUP(2,1/(单次交易!$A$2:$A$201=A151),单次交易!$H$2:$H$201),0)+SUMIFS($G$2:$G$1001,$A$2:$A$1001,A151,$B$2:$B$1001,"&lt;"&amp;B151))</f>
        <v/>
      </c>
      <c r="J151" s="16" t="str">
        <f>IF(OR(A151="",B151=""),"",IFERROR(LOOKUP(2,1/(单次交易!$A$2:$A$201=A151),单次交易!$E$2:$E$201)*LOOKUP(2,1/(单次交易!$A$2:$A$201=A151),单次交易!$H$2:$H$201),0)+SUMIFS($H$2:$H$1001,$A$2:$A$1001,A151,$B$2:$B$1001,"&lt;"&amp;B151))</f>
        <v/>
      </c>
      <c r="K151" s="16" t="str">
        <f t="shared" si="19"/>
        <v/>
      </c>
      <c r="L151" s="17" t="str">
        <f t="shared" si="20"/>
        <v/>
      </c>
      <c r="M151" s="17" t="str">
        <f t="shared" si="21"/>
        <v/>
      </c>
      <c r="N151" s="17" t="str">
        <f t="shared" si="22"/>
        <v/>
      </c>
      <c r="O151" s="17" t="str">
        <f t="shared" si="23"/>
        <v/>
      </c>
      <c r="P151" s="16" t="str">
        <f t="shared" si="24"/>
        <v/>
      </c>
      <c r="Q151" s="16" t="str">
        <f t="shared" si="25"/>
        <v/>
      </c>
      <c r="R151" s="18" t="str">
        <f t="shared" si="26"/>
        <v/>
      </c>
    </row>
    <row r="152" spans="1:18">
      <c r="A152" s="12"/>
      <c r="B152" s="13"/>
      <c r="C152" s="14"/>
      <c r="D152" s="15"/>
      <c r="E152" s="15"/>
      <c r="F152" s="15"/>
      <c r="G152" s="13"/>
      <c r="H152" s="16" t="str">
        <f t="shared" si="18"/>
        <v/>
      </c>
      <c r="I152" s="17" t="str">
        <f>IF(OR(A152="",B152=""),"",IFERROR(LOOKUP(2,1/(单次交易!$A$2:$A$201=A152),单次交易!$H$2:$H$201),0)+SUMIFS($G$2:$G$1001,$A$2:$A$1001,A152,$B$2:$B$1001,"&lt;"&amp;B152))</f>
        <v/>
      </c>
      <c r="J152" s="16" t="str">
        <f>IF(OR(A152="",B152=""),"",IFERROR(LOOKUP(2,1/(单次交易!$A$2:$A$201=A152),单次交易!$E$2:$E$201)*LOOKUP(2,1/(单次交易!$A$2:$A$201=A152),单次交易!$H$2:$H$201),0)+SUMIFS($H$2:$H$1001,$A$2:$A$1001,A152,$B$2:$B$1001,"&lt;"&amp;B152))</f>
        <v/>
      </c>
      <c r="K152" s="16" t="str">
        <f t="shared" si="19"/>
        <v/>
      </c>
      <c r="L152" s="17" t="str">
        <f t="shared" si="20"/>
        <v/>
      </c>
      <c r="M152" s="17" t="str">
        <f t="shared" si="21"/>
        <v/>
      </c>
      <c r="N152" s="17" t="str">
        <f t="shared" si="22"/>
        <v/>
      </c>
      <c r="O152" s="17" t="str">
        <f t="shared" si="23"/>
        <v/>
      </c>
      <c r="P152" s="16" t="str">
        <f t="shared" si="24"/>
        <v/>
      </c>
      <c r="Q152" s="16" t="str">
        <f t="shared" si="25"/>
        <v/>
      </c>
      <c r="R152" s="18" t="str">
        <f t="shared" si="26"/>
        <v/>
      </c>
    </row>
    <row r="153" spans="1:18">
      <c r="A153" s="12"/>
      <c r="B153" s="13"/>
      <c r="C153" s="14"/>
      <c r="D153" s="15"/>
      <c r="E153" s="15"/>
      <c r="F153" s="15"/>
      <c r="G153" s="13"/>
      <c r="H153" s="16" t="str">
        <f t="shared" si="18"/>
        <v/>
      </c>
      <c r="I153" s="17" t="str">
        <f>IF(OR(A153="",B153=""),"",IFERROR(LOOKUP(2,1/(单次交易!$A$2:$A$201=A153),单次交易!$H$2:$H$201),0)+SUMIFS($G$2:$G$1001,$A$2:$A$1001,A153,$B$2:$B$1001,"&lt;"&amp;B153))</f>
        <v/>
      </c>
      <c r="J153" s="16" t="str">
        <f>IF(OR(A153="",B153=""),"",IFERROR(LOOKUP(2,1/(单次交易!$A$2:$A$201=A153),单次交易!$E$2:$E$201)*LOOKUP(2,1/(单次交易!$A$2:$A$201=A153),单次交易!$H$2:$H$201),0)+SUMIFS($H$2:$H$1001,$A$2:$A$1001,A153,$B$2:$B$1001,"&lt;"&amp;B153))</f>
        <v/>
      </c>
      <c r="K153" s="16" t="str">
        <f t="shared" si="19"/>
        <v/>
      </c>
      <c r="L153" s="17" t="str">
        <f t="shared" si="20"/>
        <v/>
      </c>
      <c r="M153" s="17" t="str">
        <f t="shared" si="21"/>
        <v/>
      </c>
      <c r="N153" s="17" t="str">
        <f t="shared" si="22"/>
        <v/>
      </c>
      <c r="O153" s="17" t="str">
        <f t="shared" si="23"/>
        <v/>
      </c>
      <c r="P153" s="16" t="str">
        <f t="shared" si="24"/>
        <v/>
      </c>
      <c r="Q153" s="16" t="str">
        <f t="shared" si="25"/>
        <v/>
      </c>
      <c r="R153" s="18" t="str">
        <f t="shared" si="26"/>
        <v/>
      </c>
    </row>
    <row r="154" spans="1:18">
      <c r="A154" s="12"/>
      <c r="B154" s="13"/>
      <c r="C154" s="14"/>
      <c r="D154" s="15"/>
      <c r="E154" s="15"/>
      <c r="F154" s="15"/>
      <c r="G154" s="13"/>
      <c r="H154" s="16" t="str">
        <f t="shared" si="18"/>
        <v/>
      </c>
      <c r="I154" s="17" t="str">
        <f>IF(OR(A154="",B154=""),"",IFERROR(LOOKUP(2,1/(单次交易!$A$2:$A$201=A154),单次交易!$H$2:$H$201),0)+SUMIFS($G$2:$G$1001,$A$2:$A$1001,A154,$B$2:$B$1001,"&lt;"&amp;B154))</f>
        <v/>
      </c>
      <c r="J154" s="16" t="str">
        <f>IF(OR(A154="",B154=""),"",IFERROR(LOOKUP(2,1/(单次交易!$A$2:$A$201=A154),单次交易!$E$2:$E$201)*LOOKUP(2,1/(单次交易!$A$2:$A$201=A154),单次交易!$H$2:$H$201),0)+SUMIFS($H$2:$H$1001,$A$2:$A$1001,A154,$B$2:$B$1001,"&lt;"&amp;B154))</f>
        <v/>
      </c>
      <c r="K154" s="16" t="str">
        <f t="shared" si="19"/>
        <v/>
      </c>
      <c r="L154" s="17" t="str">
        <f t="shared" si="20"/>
        <v/>
      </c>
      <c r="M154" s="17" t="str">
        <f t="shared" si="21"/>
        <v/>
      </c>
      <c r="N154" s="17" t="str">
        <f t="shared" si="22"/>
        <v/>
      </c>
      <c r="O154" s="17" t="str">
        <f t="shared" si="23"/>
        <v/>
      </c>
      <c r="P154" s="16" t="str">
        <f t="shared" si="24"/>
        <v/>
      </c>
      <c r="Q154" s="16" t="str">
        <f t="shared" si="25"/>
        <v/>
      </c>
      <c r="R154" s="18" t="str">
        <f t="shared" si="26"/>
        <v/>
      </c>
    </row>
    <row r="155" spans="1:18">
      <c r="A155" s="12"/>
      <c r="B155" s="13"/>
      <c r="C155" s="14"/>
      <c r="D155" s="15"/>
      <c r="E155" s="15"/>
      <c r="F155" s="15"/>
      <c r="G155" s="13"/>
      <c r="H155" s="16" t="str">
        <f t="shared" si="18"/>
        <v/>
      </c>
      <c r="I155" s="17" t="str">
        <f>IF(OR(A155="",B155=""),"",IFERROR(LOOKUP(2,1/(单次交易!$A$2:$A$201=A155),单次交易!$H$2:$H$201),0)+SUMIFS($G$2:$G$1001,$A$2:$A$1001,A155,$B$2:$B$1001,"&lt;"&amp;B155))</f>
        <v/>
      </c>
      <c r="J155" s="16" t="str">
        <f>IF(OR(A155="",B155=""),"",IFERROR(LOOKUP(2,1/(单次交易!$A$2:$A$201=A155),单次交易!$E$2:$E$201)*LOOKUP(2,1/(单次交易!$A$2:$A$201=A155),单次交易!$H$2:$H$201),0)+SUMIFS($H$2:$H$1001,$A$2:$A$1001,A155,$B$2:$B$1001,"&lt;"&amp;B155))</f>
        <v/>
      </c>
      <c r="K155" s="16" t="str">
        <f t="shared" si="19"/>
        <v/>
      </c>
      <c r="L155" s="17" t="str">
        <f t="shared" si="20"/>
        <v/>
      </c>
      <c r="M155" s="17" t="str">
        <f t="shared" si="21"/>
        <v/>
      </c>
      <c r="N155" s="17" t="str">
        <f t="shared" si="22"/>
        <v/>
      </c>
      <c r="O155" s="17" t="str">
        <f t="shared" si="23"/>
        <v/>
      </c>
      <c r="P155" s="16" t="str">
        <f t="shared" si="24"/>
        <v/>
      </c>
      <c r="Q155" s="16" t="str">
        <f t="shared" si="25"/>
        <v/>
      </c>
      <c r="R155" s="18" t="str">
        <f t="shared" si="26"/>
        <v/>
      </c>
    </row>
    <row r="156" spans="1:18">
      <c r="A156" s="12"/>
      <c r="B156" s="13"/>
      <c r="C156" s="14"/>
      <c r="D156" s="15"/>
      <c r="E156" s="15"/>
      <c r="F156" s="15"/>
      <c r="G156" s="13"/>
      <c r="H156" s="16" t="str">
        <f t="shared" si="18"/>
        <v/>
      </c>
      <c r="I156" s="17" t="str">
        <f>IF(OR(A156="",B156=""),"",IFERROR(LOOKUP(2,1/(单次交易!$A$2:$A$201=A156),单次交易!$H$2:$H$201),0)+SUMIFS($G$2:$G$1001,$A$2:$A$1001,A156,$B$2:$B$1001,"&lt;"&amp;B156))</f>
        <v/>
      </c>
      <c r="J156" s="16" t="str">
        <f>IF(OR(A156="",B156=""),"",IFERROR(LOOKUP(2,1/(单次交易!$A$2:$A$201=A156),单次交易!$E$2:$E$201)*LOOKUP(2,1/(单次交易!$A$2:$A$201=A156),单次交易!$H$2:$H$201),0)+SUMIFS($H$2:$H$1001,$A$2:$A$1001,A156,$B$2:$B$1001,"&lt;"&amp;B156))</f>
        <v/>
      </c>
      <c r="K156" s="16" t="str">
        <f t="shared" si="19"/>
        <v/>
      </c>
      <c r="L156" s="17" t="str">
        <f t="shared" si="20"/>
        <v/>
      </c>
      <c r="M156" s="17" t="str">
        <f t="shared" si="21"/>
        <v/>
      </c>
      <c r="N156" s="17" t="str">
        <f t="shared" si="22"/>
        <v/>
      </c>
      <c r="O156" s="17" t="str">
        <f t="shared" si="23"/>
        <v/>
      </c>
      <c r="P156" s="16" t="str">
        <f t="shared" si="24"/>
        <v/>
      </c>
      <c r="Q156" s="16" t="str">
        <f t="shared" si="25"/>
        <v/>
      </c>
      <c r="R156" s="18" t="str">
        <f t="shared" si="26"/>
        <v/>
      </c>
    </row>
    <row r="157" spans="1:18">
      <c r="A157" s="12"/>
      <c r="B157" s="13"/>
      <c r="C157" s="14"/>
      <c r="D157" s="15"/>
      <c r="E157" s="15"/>
      <c r="F157" s="15"/>
      <c r="G157" s="13"/>
      <c r="H157" s="16" t="str">
        <f t="shared" si="18"/>
        <v/>
      </c>
      <c r="I157" s="17" t="str">
        <f>IF(OR(A157="",B157=""),"",IFERROR(LOOKUP(2,1/(单次交易!$A$2:$A$201=A157),单次交易!$H$2:$H$201),0)+SUMIFS($G$2:$G$1001,$A$2:$A$1001,A157,$B$2:$B$1001,"&lt;"&amp;B157))</f>
        <v/>
      </c>
      <c r="J157" s="16" t="str">
        <f>IF(OR(A157="",B157=""),"",IFERROR(LOOKUP(2,1/(单次交易!$A$2:$A$201=A157),单次交易!$E$2:$E$201)*LOOKUP(2,1/(单次交易!$A$2:$A$201=A157),单次交易!$H$2:$H$201),0)+SUMIFS($H$2:$H$1001,$A$2:$A$1001,A157,$B$2:$B$1001,"&lt;"&amp;B157))</f>
        <v/>
      </c>
      <c r="K157" s="16" t="str">
        <f t="shared" si="19"/>
        <v/>
      </c>
      <c r="L157" s="17" t="str">
        <f t="shared" si="20"/>
        <v/>
      </c>
      <c r="M157" s="17" t="str">
        <f t="shared" si="21"/>
        <v/>
      </c>
      <c r="N157" s="17" t="str">
        <f t="shared" si="22"/>
        <v/>
      </c>
      <c r="O157" s="17" t="str">
        <f t="shared" si="23"/>
        <v/>
      </c>
      <c r="P157" s="16" t="str">
        <f t="shared" si="24"/>
        <v/>
      </c>
      <c r="Q157" s="16" t="str">
        <f t="shared" si="25"/>
        <v/>
      </c>
      <c r="R157" s="18" t="str">
        <f t="shared" si="26"/>
        <v/>
      </c>
    </row>
    <row r="158" spans="1:18">
      <c r="A158" s="12"/>
      <c r="B158" s="13"/>
      <c r="C158" s="14"/>
      <c r="D158" s="15"/>
      <c r="E158" s="15"/>
      <c r="F158" s="15"/>
      <c r="G158" s="13"/>
      <c r="H158" s="16" t="str">
        <f t="shared" si="18"/>
        <v/>
      </c>
      <c r="I158" s="17" t="str">
        <f>IF(OR(A158="",B158=""),"",IFERROR(LOOKUP(2,1/(单次交易!$A$2:$A$201=A158),单次交易!$H$2:$H$201),0)+SUMIFS($G$2:$G$1001,$A$2:$A$1001,A158,$B$2:$B$1001,"&lt;"&amp;B158))</f>
        <v/>
      </c>
      <c r="J158" s="16" t="str">
        <f>IF(OR(A158="",B158=""),"",IFERROR(LOOKUP(2,1/(单次交易!$A$2:$A$201=A158),单次交易!$E$2:$E$201)*LOOKUP(2,1/(单次交易!$A$2:$A$201=A158),单次交易!$H$2:$H$201),0)+SUMIFS($H$2:$H$1001,$A$2:$A$1001,A158,$B$2:$B$1001,"&lt;"&amp;B158))</f>
        <v/>
      </c>
      <c r="K158" s="16" t="str">
        <f t="shared" si="19"/>
        <v/>
      </c>
      <c r="L158" s="17" t="str">
        <f t="shared" si="20"/>
        <v/>
      </c>
      <c r="M158" s="17" t="str">
        <f t="shared" si="21"/>
        <v/>
      </c>
      <c r="N158" s="17" t="str">
        <f t="shared" si="22"/>
        <v/>
      </c>
      <c r="O158" s="17" t="str">
        <f t="shared" si="23"/>
        <v/>
      </c>
      <c r="P158" s="16" t="str">
        <f t="shared" si="24"/>
        <v/>
      </c>
      <c r="Q158" s="16" t="str">
        <f t="shared" si="25"/>
        <v/>
      </c>
      <c r="R158" s="18" t="str">
        <f t="shared" si="26"/>
        <v/>
      </c>
    </row>
    <row r="159" spans="1:18">
      <c r="A159" s="12"/>
      <c r="B159" s="13"/>
      <c r="C159" s="14"/>
      <c r="D159" s="15"/>
      <c r="E159" s="15"/>
      <c r="F159" s="15"/>
      <c r="G159" s="13"/>
      <c r="H159" s="16" t="str">
        <f t="shared" si="18"/>
        <v/>
      </c>
      <c r="I159" s="17" t="str">
        <f>IF(OR(A159="",B159=""),"",IFERROR(LOOKUP(2,1/(单次交易!$A$2:$A$201=A159),单次交易!$H$2:$H$201),0)+SUMIFS($G$2:$G$1001,$A$2:$A$1001,A159,$B$2:$B$1001,"&lt;"&amp;B159))</f>
        <v/>
      </c>
      <c r="J159" s="16" t="str">
        <f>IF(OR(A159="",B159=""),"",IFERROR(LOOKUP(2,1/(单次交易!$A$2:$A$201=A159),单次交易!$E$2:$E$201)*LOOKUP(2,1/(单次交易!$A$2:$A$201=A159),单次交易!$H$2:$H$201),0)+SUMIFS($H$2:$H$1001,$A$2:$A$1001,A159,$B$2:$B$1001,"&lt;"&amp;B159))</f>
        <v/>
      </c>
      <c r="K159" s="16" t="str">
        <f t="shared" si="19"/>
        <v/>
      </c>
      <c r="L159" s="17" t="str">
        <f t="shared" si="20"/>
        <v/>
      </c>
      <c r="M159" s="17" t="str">
        <f t="shared" si="21"/>
        <v/>
      </c>
      <c r="N159" s="17" t="str">
        <f t="shared" si="22"/>
        <v/>
      </c>
      <c r="O159" s="17" t="str">
        <f t="shared" si="23"/>
        <v/>
      </c>
      <c r="P159" s="16" t="str">
        <f t="shared" si="24"/>
        <v/>
      </c>
      <c r="Q159" s="16" t="str">
        <f t="shared" si="25"/>
        <v/>
      </c>
      <c r="R159" s="18" t="str">
        <f t="shared" si="26"/>
        <v/>
      </c>
    </row>
    <row r="160" spans="1:18">
      <c r="A160" s="12"/>
      <c r="B160" s="13"/>
      <c r="C160" s="14"/>
      <c r="D160" s="15"/>
      <c r="E160" s="15"/>
      <c r="F160" s="15"/>
      <c r="G160" s="13"/>
      <c r="H160" s="16" t="str">
        <f t="shared" si="18"/>
        <v/>
      </c>
      <c r="I160" s="17" t="str">
        <f>IF(OR(A160="",B160=""),"",IFERROR(LOOKUP(2,1/(单次交易!$A$2:$A$201=A160),单次交易!$H$2:$H$201),0)+SUMIFS($G$2:$G$1001,$A$2:$A$1001,A160,$B$2:$B$1001,"&lt;"&amp;B160))</f>
        <v/>
      </c>
      <c r="J160" s="16" t="str">
        <f>IF(OR(A160="",B160=""),"",IFERROR(LOOKUP(2,1/(单次交易!$A$2:$A$201=A160),单次交易!$E$2:$E$201)*LOOKUP(2,1/(单次交易!$A$2:$A$201=A160),单次交易!$H$2:$H$201),0)+SUMIFS($H$2:$H$1001,$A$2:$A$1001,A160,$B$2:$B$1001,"&lt;"&amp;B160))</f>
        <v/>
      </c>
      <c r="K160" s="16" t="str">
        <f t="shared" si="19"/>
        <v/>
      </c>
      <c r="L160" s="17" t="str">
        <f t="shared" si="20"/>
        <v/>
      </c>
      <c r="M160" s="17" t="str">
        <f t="shared" si="21"/>
        <v/>
      </c>
      <c r="N160" s="17" t="str">
        <f t="shared" si="22"/>
        <v/>
      </c>
      <c r="O160" s="17" t="str">
        <f t="shared" si="23"/>
        <v/>
      </c>
      <c r="P160" s="16" t="str">
        <f t="shared" si="24"/>
        <v/>
      </c>
      <c r="Q160" s="16" t="str">
        <f t="shared" si="25"/>
        <v/>
      </c>
      <c r="R160" s="18" t="str">
        <f t="shared" si="26"/>
        <v/>
      </c>
    </row>
    <row r="161" spans="1:18">
      <c r="A161" s="12"/>
      <c r="B161" s="13"/>
      <c r="C161" s="14"/>
      <c r="D161" s="15"/>
      <c r="E161" s="15"/>
      <c r="F161" s="15"/>
      <c r="G161" s="13"/>
      <c r="H161" s="16" t="str">
        <f t="shared" si="18"/>
        <v/>
      </c>
      <c r="I161" s="17" t="str">
        <f>IF(OR(A161="",B161=""),"",IFERROR(LOOKUP(2,1/(单次交易!$A$2:$A$201=A161),单次交易!$H$2:$H$201),0)+SUMIFS($G$2:$G$1001,$A$2:$A$1001,A161,$B$2:$B$1001,"&lt;"&amp;B161))</f>
        <v/>
      </c>
      <c r="J161" s="16" t="str">
        <f>IF(OR(A161="",B161=""),"",IFERROR(LOOKUP(2,1/(单次交易!$A$2:$A$201=A161),单次交易!$E$2:$E$201)*LOOKUP(2,1/(单次交易!$A$2:$A$201=A161),单次交易!$H$2:$H$201),0)+SUMIFS($H$2:$H$1001,$A$2:$A$1001,A161,$B$2:$B$1001,"&lt;"&amp;B161))</f>
        <v/>
      </c>
      <c r="K161" s="16" t="str">
        <f t="shared" si="19"/>
        <v/>
      </c>
      <c r="L161" s="17" t="str">
        <f t="shared" si="20"/>
        <v/>
      </c>
      <c r="M161" s="17" t="str">
        <f t="shared" si="21"/>
        <v/>
      </c>
      <c r="N161" s="17" t="str">
        <f t="shared" si="22"/>
        <v/>
      </c>
      <c r="O161" s="17" t="str">
        <f t="shared" si="23"/>
        <v/>
      </c>
      <c r="P161" s="16" t="str">
        <f t="shared" si="24"/>
        <v/>
      </c>
      <c r="Q161" s="16" t="str">
        <f t="shared" si="25"/>
        <v/>
      </c>
      <c r="R161" s="18" t="str">
        <f t="shared" si="26"/>
        <v/>
      </c>
    </row>
    <row r="162" spans="1:18">
      <c r="A162" s="12"/>
      <c r="B162" s="13"/>
      <c r="C162" s="14"/>
      <c r="D162" s="15"/>
      <c r="E162" s="15"/>
      <c r="F162" s="15"/>
      <c r="G162" s="13"/>
      <c r="H162" s="16" t="str">
        <f t="shared" si="18"/>
        <v/>
      </c>
      <c r="I162" s="17" t="str">
        <f>IF(OR(A162="",B162=""),"",IFERROR(LOOKUP(2,1/(单次交易!$A$2:$A$201=A162),单次交易!$H$2:$H$201),0)+SUMIFS($G$2:$G$1001,$A$2:$A$1001,A162,$B$2:$B$1001,"&lt;"&amp;B162))</f>
        <v/>
      </c>
      <c r="J162" s="16" t="str">
        <f>IF(OR(A162="",B162=""),"",IFERROR(LOOKUP(2,1/(单次交易!$A$2:$A$201=A162),单次交易!$E$2:$E$201)*LOOKUP(2,1/(单次交易!$A$2:$A$201=A162),单次交易!$H$2:$H$201),0)+SUMIFS($H$2:$H$1001,$A$2:$A$1001,A162,$B$2:$B$1001,"&lt;"&amp;B162))</f>
        <v/>
      </c>
      <c r="K162" s="16" t="str">
        <f t="shared" si="19"/>
        <v/>
      </c>
      <c r="L162" s="17" t="str">
        <f t="shared" si="20"/>
        <v/>
      </c>
      <c r="M162" s="17" t="str">
        <f t="shared" si="21"/>
        <v/>
      </c>
      <c r="N162" s="17" t="str">
        <f t="shared" si="22"/>
        <v/>
      </c>
      <c r="O162" s="17" t="str">
        <f t="shared" si="23"/>
        <v/>
      </c>
      <c r="P162" s="16" t="str">
        <f t="shared" si="24"/>
        <v/>
      </c>
      <c r="Q162" s="16" t="str">
        <f t="shared" si="25"/>
        <v/>
      </c>
      <c r="R162" s="18" t="str">
        <f t="shared" si="26"/>
        <v/>
      </c>
    </row>
    <row r="163" spans="1:18">
      <c r="A163" s="12"/>
      <c r="B163" s="13"/>
      <c r="C163" s="14"/>
      <c r="D163" s="15"/>
      <c r="E163" s="15"/>
      <c r="F163" s="15"/>
      <c r="G163" s="13"/>
      <c r="H163" s="16" t="str">
        <f t="shared" si="18"/>
        <v/>
      </c>
      <c r="I163" s="17" t="str">
        <f>IF(OR(A163="",B163=""),"",IFERROR(LOOKUP(2,1/(单次交易!$A$2:$A$201=A163),单次交易!$H$2:$H$201),0)+SUMIFS($G$2:$G$1001,$A$2:$A$1001,A163,$B$2:$B$1001,"&lt;"&amp;B163))</f>
        <v/>
      </c>
      <c r="J163" s="16" t="str">
        <f>IF(OR(A163="",B163=""),"",IFERROR(LOOKUP(2,1/(单次交易!$A$2:$A$201=A163),单次交易!$E$2:$E$201)*LOOKUP(2,1/(单次交易!$A$2:$A$201=A163),单次交易!$H$2:$H$201),0)+SUMIFS($H$2:$H$1001,$A$2:$A$1001,A163,$B$2:$B$1001,"&lt;"&amp;B163))</f>
        <v/>
      </c>
      <c r="K163" s="16" t="str">
        <f t="shared" si="19"/>
        <v/>
      </c>
      <c r="L163" s="17" t="str">
        <f t="shared" si="20"/>
        <v/>
      </c>
      <c r="M163" s="17" t="str">
        <f t="shared" si="21"/>
        <v/>
      </c>
      <c r="N163" s="17" t="str">
        <f t="shared" si="22"/>
        <v/>
      </c>
      <c r="O163" s="17" t="str">
        <f t="shared" si="23"/>
        <v/>
      </c>
      <c r="P163" s="16" t="str">
        <f t="shared" si="24"/>
        <v/>
      </c>
      <c r="Q163" s="16" t="str">
        <f t="shared" si="25"/>
        <v/>
      </c>
      <c r="R163" s="18" t="str">
        <f t="shared" si="26"/>
        <v/>
      </c>
    </row>
    <row r="164" spans="1:18">
      <c r="A164" s="12"/>
      <c r="B164" s="13"/>
      <c r="C164" s="14"/>
      <c r="D164" s="15"/>
      <c r="E164" s="15"/>
      <c r="F164" s="15"/>
      <c r="G164" s="13"/>
      <c r="H164" s="16" t="str">
        <f t="shared" si="18"/>
        <v/>
      </c>
      <c r="I164" s="17" t="str">
        <f>IF(OR(A164="",B164=""),"",IFERROR(LOOKUP(2,1/(单次交易!$A$2:$A$201=A164),单次交易!$H$2:$H$201),0)+SUMIFS($G$2:$G$1001,$A$2:$A$1001,A164,$B$2:$B$1001,"&lt;"&amp;B164))</f>
        <v/>
      </c>
      <c r="J164" s="16" t="str">
        <f>IF(OR(A164="",B164=""),"",IFERROR(LOOKUP(2,1/(单次交易!$A$2:$A$201=A164),单次交易!$E$2:$E$201)*LOOKUP(2,1/(单次交易!$A$2:$A$201=A164),单次交易!$H$2:$H$201),0)+SUMIFS($H$2:$H$1001,$A$2:$A$1001,A164,$B$2:$B$1001,"&lt;"&amp;B164))</f>
        <v/>
      </c>
      <c r="K164" s="16" t="str">
        <f t="shared" si="19"/>
        <v/>
      </c>
      <c r="L164" s="17" t="str">
        <f t="shared" si="20"/>
        <v/>
      </c>
      <c r="M164" s="17" t="str">
        <f t="shared" si="21"/>
        <v/>
      </c>
      <c r="N164" s="17" t="str">
        <f t="shared" si="22"/>
        <v/>
      </c>
      <c r="O164" s="17" t="str">
        <f t="shared" si="23"/>
        <v/>
      </c>
      <c r="P164" s="16" t="str">
        <f t="shared" si="24"/>
        <v/>
      </c>
      <c r="Q164" s="16" t="str">
        <f t="shared" si="25"/>
        <v/>
      </c>
      <c r="R164" s="18" t="str">
        <f t="shared" si="26"/>
        <v/>
      </c>
    </row>
    <row r="165" spans="1:18">
      <c r="A165" s="12"/>
      <c r="B165" s="13"/>
      <c r="C165" s="14"/>
      <c r="D165" s="15"/>
      <c r="E165" s="15"/>
      <c r="F165" s="15"/>
      <c r="G165" s="13"/>
      <c r="H165" s="16" t="str">
        <f t="shared" si="18"/>
        <v/>
      </c>
      <c r="I165" s="17" t="str">
        <f>IF(OR(A165="",B165=""),"",IFERROR(LOOKUP(2,1/(单次交易!$A$2:$A$201=A165),单次交易!$H$2:$H$201),0)+SUMIFS($G$2:$G$1001,$A$2:$A$1001,A165,$B$2:$B$1001,"&lt;"&amp;B165))</f>
        <v/>
      </c>
      <c r="J165" s="16" t="str">
        <f>IF(OR(A165="",B165=""),"",IFERROR(LOOKUP(2,1/(单次交易!$A$2:$A$201=A165),单次交易!$E$2:$E$201)*LOOKUP(2,1/(单次交易!$A$2:$A$201=A165),单次交易!$H$2:$H$201),0)+SUMIFS($H$2:$H$1001,$A$2:$A$1001,A165,$B$2:$B$1001,"&lt;"&amp;B165))</f>
        <v/>
      </c>
      <c r="K165" s="16" t="str">
        <f t="shared" si="19"/>
        <v/>
      </c>
      <c r="L165" s="17" t="str">
        <f t="shared" si="20"/>
        <v/>
      </c>
      <c r="M165" s="17" t="str">
        <f t="shared" si="21"/>
        <v/>
      </c>
      <c r="N165" s="17" t="str">
        <f t="shared" si="22"/>
        <v/>
      </c>
      <c r="O165" s="17" t="str">
        <f t="shared" si="23"/>
        <v/>
      </c>
      <c r="P165" s="16" t="str">
        <f t="shared" si="24"/>
        <v/>
      </c>
      <c r="Q165" s="16" t="str">
        <f t="shared" si="25"/>
        <v/>
      </c>
      <c r="R165" s="18" t="str">
        <f t="shared" si="26"/>
        <v/>
      </c>
    </row>
    <row r="166" spans="1:18">
      <c r="A166" s="12"/>
      <c r="B166" s="13"/>
      <c r="C166" s="14"/>
      <c r="D166" s="15"/>
      <c r="E166" s="15"/>
      <c r="F166" s="15"/>
      <c r="G166" s="13"/>
      <c r="H166" s="16" t="str">
        <f t="shared" si="18"/>
        <v/>
      </c>
      <c r="I166" s="17" t="str">
        <f>IF(OR(A166="",B166=""),"",IFERROR(LOOKUP(2,1/(单次交易!$A$2:$A$201=A166),单次交易!$H$2:$H$201),0)+SUMIFS($G$2:$G$1001,$A$2:$A$1001,A166,$B$2:$B$1001,"&lt;"&amp;B166))</f>
        <v/>
      </c>
      <c r="J166" s="16" t="str">
        <f>IF(OR(A166="",B166=""),"",IFERROR(LOOKUP(2,1/(单次交易!$A$2:$A$201=A166),单次交易!$E$2:$E$201)*LOOKUP(2,1/(单次交易!$A$2:$A$201=A166),单次交易!$H$2:$H$201),0)+SUMIFS($H$2:$H$1001,$A$2:$A$1001,A166,$B$2:$B$1001,"&lt;"&amp;B166))</f>
        <v/>
      </c>
      <c r="K166" s="16" t="str">
        <f t="shared" si="19"/>
        <v/>
      </c>
      <c r="L166" s="17" t="str">
        <f t="shared" si="20"/>
        <v/>
      </c>
      <c r="M166" s="17" t="str">
        <f t="shared" si="21"/>
        <v/>
      </c>
      <c r="N166" s="17" t="str">
        <f t="shared" si="22"/>
        <v/>
      </c>
      <c r="O166" s="17" t="str">
        <f t="shared" si="23"/>
        <v/>
      </c>
      <c r="P166" s="16" t="str">
        <f t="shared" si="24"/>
        <v/>
      </c>
      <c r="Q166" s="16" t="str">
        <f t="shared" si="25"/>
        <v/>
      </c>
      <c r="R166" s="18" t="str">
        <f t="shared" si="26"/>
        <v/>
      </c>
    </row>
    <row r="167" spans="1:18">
      <c r="A167" s="12"/>
      <c r="B167" s="13"/>
      <c r="C167" s="14"/>
      <c r="D167" s="15"/>
      <c r="E167" s="15"/>
      <c r="F167" s="15"/>
      <c r="G167" s="13"/>
      <c r="H167" s="16" t="str">
        <f t="shared" si="18"/>
        <v/>
      </c>
      <c r="I167" s="17" t="str">
        <f>IF(OR(A167="",B167=""),"",IFERROR(LOOKUP(2,1/(单次交易!$A$2:$A$201=A167),单次交易!$H$2:$H$201),0)+SUMIFS($G$2:$G$1001,$A$2:$A$1001,A167,$B$2:$B$1001,"&lt;"&amp;B167))</f>
        <v/>
      </c>
      <c r="J167" s="16" t="str">
        <f>IF(OR(A167="",B167=""),"",IFERROR(LOOKUP(2,1/(单次交易!$A$2:$A$201=A167),单次交易!$E$2:$E$201)*LOOKUP(2,1/(单次交易!$A$2:$A$201=A167),单次交易!$H$2:$H$201),0)+SUMIFS($H$2:$H$1001,$A$2:$A$1001,A167,$B$2:$B$1001,"&lt;"&amp;B167))</f>
        <v/>
      </c>
      <c r="K167" s="16" t="str">
        <f t="shared" si="19"/>
        <v/>
      </c>
      <c r="L167" s="17" t="str">
        <f t="shared" si="20"/>
        <v/>
      </c>
      <c r="M167" s="17" t="str">
        <f t="shared" si="21"/>
        <v/>
      </c>
      <c r="N167" s="17" t="str">
        <f t="shared" si="22"/>
        <v/>
      </c>
      <c r="O167" s="17" t="str">
        <f t="shared" si="23"/>
        <v/>
      </c>
      <c r="P167" s="16" t="str">
        <f t="shared" si="24"/>
        <v/>
      </c>
      <c r="Q167" s="16" t="str">
        <f t="shared" si="25"/>
        <v/>
      </c>
      <c r="R167" s="18" t="str">
        <f t="shared" si="26"/>
        <v/>
      </c>
    </row>
    <row r="168" spans="1:18">
      <c r="A168" s="12"/>
      <c r="B168" s="13"/>
      <c r="C168" s="14"/>
      <c r="D168" s="15"/>
      <c r="E168" s="15"/>
      <c r="F168" s="15"/>
      <c r="G168" s="13"/>
      <c r="H168" s="16" t="str">
        <f t="shared" si="18"/>
        <v/>
      </c>
      <c r="I168" s="17" t="str">
        <f>IF(OR(A168="",B168=""),"",IFERROR(LOOKUP(2,1/(单次交易!$A$2:$A$201=A168),单次交易!$H$2:$H$201),0)+SUMIFS($G$2:$G$1001,$A$2:$A$1001,A168,$B$2:$B$1001,"&lt;"&amp;B168))</f>
        <v/>
      </c>
      <c r="J168" s="16" t="str">
        <f>IF(OR(A168="",B168=""),"",IFERROR(LOOKUP(2,1/(单次交易!$A$2:$A$201=A168),单次交易!$E$2:$E$201)*LOOKUP(2,1/(单次交易!$A$2:$A$201=A168),单次交易!$H$2:$H$201),0)+SUMIFS($H$2:$H$1001,$A$2:$A$1001,A168,$B$2:$B$1001,"&lt;"&amp;B168))</f>
        <v/>
      </c>
      <c r="K168" s="16" t="str">
        <f t="shared" si="19"/>
        <v/>
      </c>
      <c r="L168" s="17" t="str">
        <f t="shared" si="20"/>
        <v/>
      </c>
      <c r="M168" s="17" t="str">
        <f t="shared" si="21"/>
        <v/>
      </c>
      <c r="N168" s="17" t="str">
        <f t="shared" si="22"/>
        <v/>
      </c>
      <c r="O168" s="17" t="str">
        <f t="shared" si="23"/>
        <v/>
      </c>
      <c r="P168" s="16" t="str">
        <f t="shared" si="24"/>
        <v/>
      </c>
      <c r="Q168" s="16" t="str">
        <f t="shared" si="25"/>
        <v/>
      </c>
      <c r="R168" s="18" t="str">
        <f t="shared" si="26"/>
        <v/>
      </c>
    </row>
    <row r="169" spans="1:18">
      <c r="A169" s="12"/>
      <c r="B169" s="13"/>
      <c r="C169" s="14"/>
      <c r="D169" s="15"/>
      <c r="E169" s="15"/>
      <c r="F169" s="15"/>
      <c r="G169" s="13"/>
      <c r="H169" s="16" t="str">
        <f t="shared" si="18"/>
        <v/>
      </c>
      <c r="I169" s="17" t="str">
        <f>IF(OR(A169="",B169=""),"",IFERROR(LOOKUP(2,1/(单次交易!$A$2:$A$201=A169),单次交易!$H$2:$H$201),0)+SUMIFS($G$2:$G$1001,$A$2:$A$1001,A169,$B$2:$B$1001,"&lt;"&amp;B169))</f>
        <v/>
      </c>
      <c r="J169" s="16" t="str">
        <f>IF(OR(A169="",B169=""),"",IFERROR(LOOKUP(2,1/(单次交易!$A$2:$A$201=A169),单次交易!$E$2:$E$201)*LOOKUP(2,1/(单次交易!$A$2:$A$201=A169),单次交易!$H$2:$H$201),0)+SUMIFS($H$2:$H$1001,$A$2:$A$1001,A169,$B$2:$B$1001,"&lt;"&amp;B169))</f>
        <v/>
      </c>
      <c r="K169" s="16" t="str">
        <f t="shared" si="19"/>
        <v/>
      </c>
      <c r="L169" s="17" t="str">
        <f t="shared" si="20"/>
        <v/>
      </c>
      <c r="M169" s="17" t="str">
        <f t="shared" si="21"/>
        <v/>
      </c>
      <c r="N169" s="17" t="str">
        <f t="shared" si="22"/>
        <v/>
      </c>
      <c r="O169" s="17" t="str">
        <f t="shared" si="23"/>
        <v/>
      </c>
      <c r="P169" s="16" t="str">
        <f t="shared" si="24"/>
        <v/>
      </c>
      <c r="Q169" s="16" t="str">
        <f t="shared" si="25"/>
        <v/>
      </c>
      <c r="R169" s="18" t="str">
        <f t="shared" si="26"/>
        <v/>
      </c>
    </row>
    <row r="170" spans="1:18">
      <c r="A170" s="12"/>
      <c r="B170" s="13"/>
      <c r="C170" s="14"/>
      <c r="D170" s="15"/>
      <c r="E170" s="15"/>
      <c r="F170" s="15"/>
      <c r="G170" s="13"/>
      <c r="H170" s="16" t="str">
        <f t="shared" si="18"/>
        <v/>
      </c>
      <c r="I170" s="17" t="str">
        <f>IF(OR(A170="",B170=""),"",IFERROR(LOOKUP(2,1/(单次交易!$A$2:$A$201=A170),单次交易!$H$2:$H$201),0)+SUMIFS($G$2:$G$1001,$A$2:$A$1001,A170,$B$2:$B$1001,"&lt;"&amp;B170))</f>
        <v/>
      </c>
      <c r="J170" s="16" t="str">
        <f>IF(OR(A170="",B170=""),"",IFERROR(LOOKUP(2,1/(单次交易!$A$2:$A$201=A170),单次交易!$E$2:$E$201)*LOOKUP(2,1/(单次交易!$A$2:$A$201=A170),单次交易!$H$2:$H$201),0)+SUMIFS($H$2:$H$1001,$A$2:$A$1001,A170,$B$2:$B$1001,"&lt;"&amp;B170))</f>
        <v/>
      </c>
      <c r="K170" s="16" t="str">
        <f t="shared" si="19"/>
        <v/>
      </c>
      <c r="L170" s="17" t="str">
        <f t="shared" si="20"/>
        <v/>
      </c>
      <c r="M170" s="17" t="str">
        <f t="shared" si="21"/>
        <v/>
      </c>
      <c r="N170" s="17" t="str">
        <f t="shared" si="22"/>
        <v/>
      </c>
      <c r="O170" s="17" t="str">
        <f t="shared" si="23"/>
        <v/>
      </c>
      <c r="P170" s="16" t="str">
        <f t="shared" si="24"/>
        <v/>
      </c>
      <c r="Q170" s="16" t="str">
        <f t="shared" si="25"/>
        <v/>
      </c>
      <c r="R170" s="18" t="str">
        <f t="shared" si="26"/>
        <v/>
      </c>
    </row>
    <row r="171" spans="1:18">
      <c r="A171" s="12"/>
      <c r="B171" s="13"/>
      <c r="C171" s="14"/>
      <c r="D171" s="15"/>
      <c r="E171" s="15"/>
      <c r="F171" s="15"/>
      <c r="G171" s="13"/>
      <c r="H171" s="16" t="str">
        <f t="shared" si="18"/>
        <v/>
      </c>
      <c r="I171" s="17" t="str">
        <f>IF(OR(A171="",B171=""),"",IFERROR(LOOKUP(2,1/(单次交易!$A$2:$A$201=A171),单次交易!$H$2:$H$201),0)+SUMIFS($G$2:$G$1001,$A$2:$A$1001,A171,$B$2:$B$1001,"&lt;"&amp;B171))</f>
        <v/>
      </c>
      <c r="J171" s="16" t="str">
        <f>IF(OR(A171="",B171=""),"",IFERROR(LOOKUP(2,1/(单次交易!$A$2:$A$201=A171),单次交易!$E$2:$E$201)*LOOKUP(2,1/(单次交易!$A$2:$A$201=A171),单次交易!$H$2:$H$201),0)+SUMIFS($H$2:$H$1001,$A$2:$A$1001,A171,$B$2:$B$1001,"&lt;"&amp;B171))</f>
        <v/>
      </c>
      <c r="K171" s="16" t="str">
        <f t="shared" si="19"/>
        <v/>
      </c>
      <c r="L171" s="17" t="str">
        <f t="shared" si="20"/>
        <v/>
      </c>
      <c r="M171" s="17" t="str">
        <f t="shared" si="21"/>
        <v/>
      </c>
      <c r="N171" s="17" t="str">
        <f t="shared" si="22"/>
        <v/>
      </c>
      <c r="O171" s="17" t="str">
        <f t="shared" si="23"/>
        <v/>
      </c>
      <c r="P171" s="16" t="str">
        <f t="shared" si="24"/>
        <v/>
      </c>
      <c r="Q171" s="16" t="str">
        <f t="shared" si="25"/>
        <v/>
      </c>
      <c r="R171" s="18" t="str">
        <f t="shared" si="26"/>
        <v/>
      </c>
    </row>
    <row r="172" spans="1:18">
      <c r="A172" s="12"/>
      <c r="B172" s="13"/>
      <c r="C172" s="14"/>
      <c r="D172" s="15"/>
      <c r="E172" s="15"/>
      <c r="F172" s="15"/>
      <c r="G172" s="13"/>
      <c r="H172" s="16" t="str">
        <f t="shared" si="18"/>
        <v/>
      </c>
      <c r="I172" s="17" t="str">
        <f>IF(OR(A172="",B172=""),"",IFERROR(LOOKUP(2,1/(单次交易!$A$2:$A$201=A172),单次交易!$H$2:$H$201),0)+SUMIFS($G$2:$G$1001,$A$2:$A$1001,A172,$B$2:$B$1001,"&lt;"&amp;B172))</f>
        <v/>
      </c>
      <c r="J172" s="16" t="str">
        <f>IF(OR(A172="",B172=""),"",IFERROR(LOOKUP(2,1/(单次交易!$A$2:$A$201=A172),单次交易!$E$2:$E$201)*LOOKUP(2,1/(单次交易!$A$2:$A$201=A172),单次交易!$H$2:$H$201),0)+SUMIFS($H$2:$H$1001,$A$2:$A$1001,A172,$B$2:$B$1001,"&lt;"&amp;B172))</f>
        <v/>
      </c>
      <c r="K172" s="16" t="str">
        <f t="shared" si="19"/>
        <v/>
      </c>
      <c r="L172" s="17" t="str">
        <f t="shared" si="20"/>
        <v/>
      </c>
      <c r="M172" s="17" t="str">
        <f t="shared" si="21"/>
        <v/>
      </c>
      <c r="N172" s="17" t="str">
        <f t="shared" si="22"/>
        <v/>
      </c>
      <c r="O172" s="17" t="str">
        <f t="shared" si="23"/>
        <v/>
      </c>
      <c r="P172" s="16" t="str">
        <f t="shared" si="24"/>
        <v/>
      </c>
      <c r="Q172" s="16" t="str">
        <f t="shared" si="25"/>
        <v/>
      </c>
      <c r="R172" s="18" t="str">
        <f t="shared" si="26"/>
        <v/>
      </c>
    </row>
    <row r="173" spans="1:18">
      <c r="A173" s="12"/>
      <c r="B173" s="13"/>
      <c r="C173" s="14"/>
      <c r="D173" s="15"/>
      <c r="E173" s="15"/>
      <c r="F173" s="15"/>
      <c r="G173" s="13"/>
      <c r="H173" s="16" t="str">
        <f t="shared" si="18"/>
        <v/>
      </c>
      <c r="I173" s="17" t="str">
        <f>IF(OR(A173="",B173=""),"",IFERROR(LOOKUP(2,1/(单次交易!$A$2:$A$201=A173),单次交易!$H$2:$H$201),0)+SUMIFS($G$2:$G$1001,$A$2:$A$1001,A173,$B$2:$B$1001,"&lt;"&amp;B173))</f>
        <v/>
      </c>
      <c r="J173" s="16" t="str">
        <f>IF(OR(A173="",B173=""),"",IFERROR(LOOKUP(2,1/(单次交易!$A$2:$A$201=A173),单次交易!$E$2:$E$201)*LOOKUP(2,1/(单次交易!$A$2:$A$201=A173),单次交易!$H$2:$H$201),0)+SUMIFS($H$2:$H$1001,$A$2:$A$1001,A173,$B$2:$B$1001,"&lt;"&amp;B173))</f>
        <v/>
      </c>
      <c r="K173" s="16" t="str">
        <f t="shared" si="19"/>
        <v/>
      </c>
      <c r="L173" s="17" t="str">
        <f t="shared" si="20"/>
        <v/>
      </c>
      <c r="M173" s="17" t="str">
        <f t="shared" si="21"/>
        <v/>
      </c>
      <c r="N173" s="17" t="str">
        <f t="shared" si="22"/>
        <v/>
      </c>
      <c r="O173" s="17" t="str">
        <f t="shared" si="23"/>
        <v/>
      </c>
      <c r="P173" s="16" t="str">
        <f t="shared" si="24"/>
        <v/>
      </c>
      <c r="Q173" s="16" t="str">
        <f t="shared" si="25"/>
        <v/>
      </c>
      <c r="R173" s="18" t="str">
        <f t="shared" si="26"/>
        <v/>
      </c>
    </row>
    <row r="174" spans="1:18">
      <c r="A174" s="12"/>
      <c r="B174" s="13"/>
      <c r="C174" s="14"/>
      <c r="D174" s="15"/>
      <c r="E174" s="15"/>
      <c r="F174" s="15"/>
      <c r="G174" s="13"/>
      <c r="H174" s="16" t="str">
        <f t="shared" si="18"/>
        <v/>
      </c>
      <c r="I174" s="17" t="str">
        <f>IF(OR(A174="",B174=""),"",IFERROR(LOOKUP(2,1/(单次交易!$A$2:$A$201=A174),单次交易!$H$2:$H$201),0)+SUMIFS($G$2:$G$1001,$A$2:$A$1001,A174,$B$2:$B$1001,"&lt;"&amp;B174))</f>
        <v/>
      </c>
      <c r="J174" s="16" t="str">
        <f>IF(OR(A174="",B174=""),"",IFERROR(LOOKUP(2,1/(单次交易!$A$2:$A$201=A174),单次交易!$E$2:$E$201)*LOOKUP(2,1/(单次交易!$A$2:$A$201=A174),单次交易!$H$2:$H$201),0)+SUMIFS($H$2:$H$1001,$A$2:$A$1001,A174,$B$2:$B$1001,"&lt;"&amp;B174))</f>
        <v/>
      </c>
      <c r="K174" s="16" t="str">
        <f t="shared" si="19"/>
        <v/>
      </c>
      <c r="L174" s="17" t="str">
        <f t="shared" si="20"/>
        <v/>
      </c>
      <c r="M174" s="17" t="str">
        <f t="shared" si="21"/>
        <v/>
      </c>
      <c r="N174" s="17" t="str">
        <f t="shared" si="22"/>
        <v/>
      </c>
      <c r="O174" s="17" t="str">
        <f t="shared" si="23"/>
        <v/>
      </c>
      <c r="P174" s="16" t="str">
        <f t="shared" si="24"/>
        <v/>
      </c>
      <c r="Q174" s="16" t="str">
        <f t="shared" si="25"/>
        <v/>
      </c>
      <c r="R174" s="18" t="str">
        <f t="shared" si="26"/>
        <v/>
      </c>
    </row>
    <row r="175" spans="1:18">
      <c r="A175" s="12"/>
      <c r="B175" s="13"/>
      <c r="C175" s="14"/>
      <c r="D175" s="15"/>
      <c r="E175" s="15"/>
      <c r="F175" s="15"/>
      <c r="G175" s="13"/>
      <c r="H175" s="16" t="str">
        <f t="shared" si="18"/>
        <v/>
      </c>
      <c r="I175" s="17" t="str">
        <f>IF(OR(A175="",B175=""),"",IFERROR(LOOKUP(2,1/(单次交易!$A$2:$A$201=A175),单次交易!$H$2:$H$201),0)+SUMIFS($G$2:$G$1001,$A$2:$A$1001,A175,$B$2:$B$1001,"&lt;"&amp;B175))</f>
        <v/>
      </c>
      <c r="J175" s="16" t="str">
        <f>IF(OR(A175="",B175=""),"",IFERROR(LOOKUP(2,1/(单次交易!$A$2:$A$201=A175),单次交易!$E$2:$E$201)*LOOKUP(2,1/(单次交易!$A$2:$A$201=A175),单次交易!$H$2:$H$201),0)+SUMIFS($H$2:$H$1001,$A$2:$A$1001,A175,$B$2:$B$1001,"&lt;"&amp;B175))</f>
        <v/>
      </c>
      <c r="K175" s="16" t="str">
        <f t="shared" si="19"/>
        <v/>
      </c>
      <c r="L175" s="17" t="str">
        <f t="shared" si="20"/>
        <v/>
      </c>
      <c r="M175" s="17" t="str">
        <f t="shared" si="21"/>
        <v/>
      </c>
      <c r="N175" s="17" t="str">
        <f t="shared" si="22"/>
        <v/>
      </c>
      <c r="O175" s="17" t="str">
        <f t="shared" si="23"/>
        <v/>
      </c>
      <c r="P175" s="16" t="str">
        <f t="shared" si="24"/>
        <v/>
      </c>
      <c r="Q175" s="16" t="str">
        <f t="shared" si="25"/>
        <v/>
      </c>
      <c r="R175" s="18" t="str">
        <f t="shared" si="26"/>
        <v/>
      </c>
    </row>
    <row r="176" spans="1:18">
      <c r="A176" s="12"/>
      <c r="B176" s="13"/>
      <c r="C176" s="14"/>
      <c r="D176" s="15"/>
      <c r="E176" s="15"/>
      <c r="F176" s="15"/>
      <c r="G176" s="13"/>
      <c r="H176" s="16" t="str">
        <f t="shared" si="18"/>
        <v/>
      </c>
      <c r="I176" s="17" t="str">
        <f>IF(OR(A176="",B176=""),"",IFERROR(LOOKUP(2,1/(单次交易!$A$2:$A$201=A176),单次交易!$H$2:$H$201),0)+SUMIFS($G$2:$G$1001,$A$2:$A$1001,A176,$B$2:$B$1001,"&lt;"&amp;B176))</f>
        <v/>
      </c>
      <c r="J176" s="16" t="str">
        <f>IF(OR(A176="",B176=""),"",IFERROR(LOOKUP(2,1/(单次交易!$A$2:$A$201=A176),单次交易!$E$2:$E$201)*LOOKUP(2,1/(单次交易!$A$2:$A$201=A176),单次交易!$H$2:$H$201),0)+SUMIFS($H$2:$H$1001,$A$2:$A$1001,A176,$B$2:$B$1001,"&lt;"&amp;B176))</f>
        <v/>
      </c>
      <c r="K176" s="16" t="str">
        <f t="shared" si="19"/>
        <v/>
      </c>
      <c r="L176" s="17" t="str">
        <f t="shared" si="20"/>
        <v/>
      </c>
      <c r="M176" s="17" t="str">
        <f t="shared" si="21"/>
        <v/>
      </c>
      <c r="N176" s="17" t="str">
        <f t="shared" si="22"/>
        <v/>
      </c>
      <c r="O176" s="17" t="str">
        <f t="shared" si="23"/>
        <v/>
      </c>
      <c r="P176" s="16" t="str">
        <f t="shared" si="24"/>
        <v/>
      </c>
      <c r="Q176" s="16" t="str">
        <f t="shared" si="25"/>
        <v/>
      </c>
      <c r="R176" s="18" t="str">
        <f t="shared" si="26"/>
        <v/>
      </c>
    </row>
    <row r="177" spans="1:18">
      <c r="A177" s="12"/>
      <c r="B177" s="13"/>
      <c r="C177" s="14"/>
      <c r="D177" s="15"/>
      <c r="E177" s="15"/>
      <c r="F177" s="15"/>
      <c r="G177" s="13"/>
      <c r="H177" s="16" t="str">
        <f t="shared" si="18"/>
        <v/>
      </c>
      <c r="I177" s="17" t="str">
        <f>IF(OR(A177="",B177=""),"",IFERROR(LOOKUP(2,1/(单次交易!$A$2:$A$201=A177),单次交易!$H$2:$H$201),0)+SUMIFS($G$2:$G$1001,$A$2:$A$1001,A177,$B$2:$B$1001,"&lt;"&amp;B177))</f>
        <v/>
      </c>
      <c r="J177" s="16" t="str">
        <f>IF(OR(A177="",B177=""),"",IFERROR(LOOKUP(2,1/(单次交易!$A$2:$A$201=A177),单次交易!$E$2:$E$201)*LOOKUP(2,1/(单次交易!$A$2:$A$201=A177),单次交易!$H$2:$H$201),0)+SUMIFS($H$2:$H$1001,$A$2:$A$1001,A177,$B$2:$B$1001,"&lt;"&amp;B177))</f>
        <v/>
      </c>
      <c r="K177" s="16" t="str">
        <f t="shared" si="19"/>
        <v/>
      </c>
      <c r="L177" s="17" t="str">
        <f t="shared" si="20"/>
        <v/>
      </c>
      <c r="M177" s="17" t="str">
        <f t="shared" si="21"/>
        <v/>
      </c>
      <c r="N177" s="17" t="str">
        <f t="shared" si="22"/>
        <v/>
      </c>
      <c r="O177" s="17" t="str">
        <f t="shared" si="23"/>
        <v/>
      </c>
      <c r="P177" s="16" t="str">
        <f t="shared" si="24"/>
        <v/>
      </c>
      <c r="Q177" s="16" t="str">
        <f t="shared" si="25"/>
        <v/>
      </c>
      <c r="R177" s="18" t="str">
        <f t="shared" si="26"/>
        <v/>
      </c>
    </row>
    <row r="178" spans="1:18">
      <c r="A178" s="12"/>
      <c r="B178" s="13"/>
      <c r="C178" s="14"/>
      <c r="D178" s="15"/>
      <c r="E178" s="15"/>
      <c r="F178" s="15"/>
      <c r="G178" s="13"/>
      <c r="H178" s="16" t="str">
        <f t="shared" si="18"/>
        <v/>
      </c>
      <c r="I178" s="17" t="str">
        <f>IF(OR(A178="",B178=""),"",IFERROR(LOOKUP(2,1/(单次交易!$A$2:$A$201=A178),单次交易!$H$2:$H$201),0)+SUMIFS($G$2:$G$1001,$A$2:$A$1001,A178,$B$2:$B$1001,"&lt;"&amp;B178))</f>
        <v/>
      </c>
      <c r="J178" s="16" t="str">
        <f>IF(OR(A178="",B178=""),"",IFERROR(LOOKUP(2,1/(单次交易!$A$2:$A$201=A178),单次交易!$E$2:$E$201)*LOOKUP(2,1/(单次交易!$A$2:$A$201=A178),单次交易!$H$2:$H$201),0)+SUMIFS($H$2:$H$1001,$A$2:$A$1001,A178,$B$2:$B$1001,"&lt;"&amp;B178))</f>
        <v/>
      </c>
      <c r="K178" s="16" t="str">
        <f t="shared" si="19"/>
        <v/>
      </c>
      <c r="L178" s="17" t="str">
        <f t="shared" si="20"/>
        <v/>
      </c>
      <c r="M178" s="17" t="str">
        <f t="shared" si="21"/>
        <v/>
      </c>
      <c r="N178" s="17" t="str">
        <f t="shared" si="22"/>
        <v/>
      </c>
      <c r="O178" s="17" t="str">
        <f t="shared" si="23"/>
        <v/>
      </c>
      <c r="P178" s="16" t="str">
        <f t="shared" si="24"/>
        <v/>
      </c>
      <c r="Q178" s="16" t="str">
        <f t="shared" si="25"/>
        <v/>
      </c>
      <c r="R178" s="18" t="str">
        <f t="shared" si="26"/>
        <v/>
      </c>
    </row>
    <row r="179" spans="1:18">
      <c r="A179" s="12"/>
      <c r="B179" s="13"/>
      <c r="C179" s="14"/>
      <c r="D179" s="15"/>
      <c r="E179" s="15"/>
      <c r="F179" s="15"/>
      <c r="G179" s="13"/>
      <c r="H179" s="16" t="str">
        <f t="shared" si="18"/>
        <v/>
      </c>
      <c r="I179" s="17" t="str">
        <f>IF(OR(A179="",B179=""),"",IFERROR(LOOKUP(2,1/(单次交易!$A$2:$A$201=A179),单次交易!$H$2:$H$201),0)+SUMIFS($G$2:$G$1001,$A$2:$A$1001,A179,$B$2:$B$1001,"&lt;"&amp;B179))</f>
        <v/>
      </c>
      <c r="J179" s="16" t="str">
        <f>IF(OR(A179="",B179=""),"",IFERROR(LOOKUP(2,1/(单次交易!$A$2:$A$201=A179),单次交易!$E$2:$E$201)*LOOKUP(2,1/(单次交易!$A$2:$A$201=A179),单次交易!$H$2:$H$201),0)+SUMIFS($H$2:$H$1001,$A$2:$A$1001,A179,$B$2:$B$1001,"&lt;"&amp;B179))</f>
        <v/>
      </c>
      <c r="K179" s="16" t="str">
        <f t="shared" si="19"/>
        <v/>
      </c>
      <c r="L179" s="17" t="str">
        <f t="shared" si="20"/>
        <v/>
      </c>
      <c r="M179" s="17" t="str">
        <f t="shared" si="21"/>
        <v/>
      </c>
      <c r="N179" s="17" t="str">
        <f t="shared" si="22"/>
        <v/>
      </c>
      <c r="O179" s="17" t="str">
        <f t="shared" si="23"/>
        <v/>
      </c>
      <c r="P179" s="16" t="str">
        <f t="shared" si="24"/>
        <v/>
      </c>
      <c r="Q179" s="16" t="str">
        <f t="shared" si="25"/>
        <v/>
      </c>
      <c r="R179" s="18" t="str">
        <f t="shared" si="26"/>
        <v/>
      </c>
    </row>
    <row r="180" spans="1:18">
      <c r="A180" s="12"/>
      <c r="B180" s="13"/>
      <c r="C180" s="14"/>
      <c r="D180" s="15"/>
      <c r="E180" s="15"/>
      <c r="F180" s="15"/>
      <c r="G180" s="13"/>
      <c r="H180" s="16" t="str">
        <f t="shared" si="18"/>
        <v/>
      </c>
      <c r="I180" s="17" t="str">
        <f>IF(OR(A180="",B180=""),"",IFERROR(LOOKUP(2,1/(单次交易!$A$2:$A$201=A180),单次交易!$H$2:$H$201),0)+SUMIFS($G$2:$G$1001,$A$2:$A$1001,A180,$B$2:$B$1001,"&lt;"&amp;B180))</f>
        <v/>
      </c>
      <c r="J180" s="16" t="str">
        <f>IF(OR(A180="",B180=""),"",IFERROR(LOOKUP(2,1/(单次交易!$A$2:$A$201=A180),单次交易!$E$2:$E$201)*LOOKUP(2,1/(单次交易!$A$2:$A$201=A180),单次交易!$H$2:$H$201),0)+SUMIFS($H$2:$H$1001,$A$2:$A$1001,A180,$B$2:$B$1001,"&lt;"&amp;B180))</f>
        <v/>
      </c>
      <c r="K180" s="16" t="str">
        <f t="shared" si="19"/>
        <v/>
      </c>
      <c r="L180" s="17" t="str">
        <f t="shared" si="20"/>
        <v/>
      </c>
      <c r="M180" s="17" t="str">
        <f t="shared" si="21"/>
        <v/>
      </c>
      <c r="N180" s="17" t="str">
        <f t="shared" si="22"/>
        <v/>
      </c>
      <c r="O180" s="17" t="str">
        <f t="shared" si="23"/>
        <v/>
      </c>
      <c r="P180" s="16" t="str">
        <f t="shared" si="24"/>
        <v/>
      </c>
      <c r="Q180" s="16" t="str">
        <f t="shared" si="25"/>
        <v/>
      </c>
      <c r="R180" s="18" t="str">
        <f t="shared" si="26"/>
        <v/>
      </c>
    </row>
    <row r="181" spans="1:18">
      <c r="A181" s="12"/>
      <c r="B181" s="13"/>
      <c r="C181" s="14"/>
      <c r="D181" s="15"/>
      <c r="E181" s="15"/>
      <c r="F181" s="15"/>
      <c r="G181" s="13"/>
      <c r="H181" s="16" t="str">
        <f t="shared" si="18"/>
        <v/>
      </c>
      <c r="I181" s="17" t="str">
        <f>IF(OR(A181="",B181=""),"",IFERROR(LOOKUP(2,1/(单次交易!$A$2:$A$201=A181),单次交易!$H$2:$H$201),0)+SUMIFS($G$2:$G$1001,$A$2:$A$1001,A181,$B$2:$B$1001,"&lt;"&amp;B181))</f>
        <v/>
      </c>
      <c r="J181" s="16" t="str">
        <f>IF(OR(A181="",B181=""),"",IFERROR(LOOKUP(2,1/(单次交易!$A$2:$A$201=A181),单次交易!$E$2:$E$201)*LOOKUP(2,1/(单次交易!$A$2:$A$201=A181),单次交易!$H$2:$H$201),0)+SUMIFS($H$2:$H$1001,$A$2:$A$1001,A181,$B$2:$B$1001,"&lt;"&amp;B181))</f>
        <v/>
      </c>
      <c r="K181" s="16" t="str">
        <f t="shared" si="19"/>
        <v/>
      </c>
      <c r="L181" s="17" t="str">
        <f t="shared" si="20"/>
        <v/>
      </c>
      <c r="M181" s="17" t="str">
        <f t="shared" si="21"/>
        <v/>
      </c>
      <c r="N181" s="17" t="str">
        <f t="shared" si="22"/>
        <v/>
      </c>
      <c r="O181" s="17" t="str">
        <f t="shared" si="23"/>
        <v/>
      </c>
      <c r="P181" s="16" t="str">
        <f t="shared" si="24"/>
        <v/>
      </c>
      <c r="Q181" s="16" t="str">
        <f t="shared" si="25"/>
        <v/>
      </c>
      <c r="R181" s="18" t="str">
        <f t="shared" si="26"/>
        <v/>
      </c>
    </row>
    <row r="182" spans="1:18">
      <c r="A182" s="12"/>
      <c r="B182" s="13"/>
      <c r="C182" s="14"/>
      <c r="D182" s="15"/>
      <c r="E182" s="15"/>
      <c r="F182" s="15"/>
      <c r="G182" s="13"/>
      <c r="H182" s="16" t="str">
        <f t="shared" si="18"/>
        <v/>
      </c>
      <c r="I182" s="17" t="str">
        <f>IF(OR(A182="",B182=""),"",IFERROR(LOOKUP(2,1/(单次交易!$A$2:$A$201=A182),单次交易!$H$2:$H$201),0)+SUMIFS($G$2:$G$1001,$A$2:$A$1001,A182,$B$2:$B$1001,"&lt;"&amp;B182))</f>
        <v/>
      </c>
      <c r="J182" s="16" t="str">
        <f>IF(OR(A182="",B182=""),"",IFERROR(LOOKUP(2,1/(单次交易!$A$2:$A$201=A182),单次交易!$E$2:$E$201)*LOOKUP(2,1/(单次交易!$A$2:$A$201=A182),单次交易!$H$2:$H$201),0)+SUMIFS($H$2:$H$1001,$A$2:$A$1001,A182,$B$2:$B$1001,"&lt;"&amp;B182))</f>
        <v/>
      </c>
      <c r="K182" s="16" t="str">
        <f t="shared" si="19"/>
        <v/>
      </c>
      <c r="L182" s="17" t="str">
        <f t="shared" si="20"/>
        <v/>
      </c>
      <c r="M182" s="17" t="str">
        <f t="shared" si="21"/>
        <v/>
      </c>
      <c r="N182" s="17" t="str">
        <f t="shared" si="22"/>
        <v/>
      </c>
      <c r="O182" s="17" t="str">
        <f t="shared" si="23"/>
        <v/>
      </c>
      <c r="P182" s="16" t="str">
        <f t="shared" si="24"/>
        <v/>
      </c>
      <c r="Q182" s="16" t="str">
        <f t="shared" si="25"/>
        <v/>
      </c>
      <c r="R182" s="18" t="str">
        <f t="shared" si="26"/>
        <v/>
      </c>
    </row>
    <row r="183" spans="1:18">
      <c r="A183" s="12"/>
      <c r="B183" s="13"/>
      <c r="C183" s="14"/>
      <c r="D183" s="15"/>
      <c r="E183" s="15"/>
      <c r="F183" s="15"/>
      <c r="G183" s="13"/>
      <c r="H183" s="16" t="str">
        <f t="shared" si="18"/>
        <v/>
      </c>
      <c r="I183" s="17" t="str">
        <f>IF(OR(A183="",B183=""),"",IFERROR(LOOKUP(2,1/(单次交易!$A$2:$A$201=A183),单次交易!$H$2:$H$201),0)+SUMIFS($G$2:$G$1001,$A$2:$A$1001,A183,$B$2:$B$1001,"&lt;"&amp;B183))</f>
        <v/>
      </c>
      <c r="J183" s="16" t="str">
        <f>IF(OR(A183="",B183=""),"",IFERROR(LOOKUP(2,1/(单次交易!$A$2:$A$201=A183),单次交易!$E$2:$E$201)*LOOKUP(2,1/(单次交易!$A$2:$A$201=A183),单次交易!$H$2:$H$201),0)+SUMIFS($H$2:$H$1001,$A$2:$A$1001,A183,$B$2:$B$1001,"&lt;"&amp;B183))</f>
        <v/>
      </c>
      <c r="K183" s="16" t="str">
        <f t="shared" si="19"/>
        <v/>
      </c>
      <c r="L183" s="17" t="str">
        <f t="shared" si="20"/>
        <v/>
      </c>
      <c r="M183" s="17" t="str">
        <f t="shared" si="21"/>
        <v/>
      </c>
      <c r="N183" s="17" t="str">
        <f t="shared" si="22"/>
        <v/>
      </c>
      <c r="O183" s="17" t="str">
        <f t="shared" si="23"/>
        <v/>
      </c>
      <c r="P183" s="16" t="str">
        <f t="shared" si="24"/>
        <v/>
      </c>
      <c r="Q183" s="16" t="str">
        <f t="shared" si="25"/>
        <v/>
      </c>
      <c r="R183" s="18" t="str">
        <f t="shared" si="26"/>
        <v/>
      </c>
    </row>
    <row r="184" spans="1:18">
      <c r="A184" s="12"/>
      <c r="B184" s="13"/>
      <c r="C184" s="14"/>
      <c r="D184" s="15"/>
      <c r="E184" s="15"/>
      <c r="F184" s="15"/>
      <c r="G184" s="13"/>
      <c r="H184" s="16" t="str">
        <f t="shared" si="18"/>
        <v/>
      </c>
      <c r="I184" s="17" t="str">
        <f>IF(OR(A184="",B184=""),"",IFERROR(LOOKUP(2,1/(单次交易!$A$2:$A$201=A184),单次交易!$H$2:$H$201),0)+SUMIFS($G$2:$G$1001,$A$2:$A$1001,A184,$B$2:$B$1001,"&lt;"&amp;B184))</f>
        <v/>
      </c>
      <c r="J184" s="16" t="str">
        <f>IF(OR(A184="",B184=""),"",IFERROR(LOOKUP(2,1/(单次交易!$A$2:$A$201=A184),单次交易!$E$2:$E$201)*LOOKUP(2,1/(单次交易!$A$2:$A$201=A184),单次交易!$H$2:$H$201),0)+SUMIFS($H$2:$H$1001,$A$2:$A$1001,A184,$B$2:$B$1001,"&lt;"&amp;B184))</f>
        <v/>
      </c>
      <c r="K184" s="16" t="str">
        <f t="shared" si="19"/>
        <v/>
      </c>
      <c r="L184" s="17" t="str">
        <f t="shared" si="20"/>
        <v/>
      </c>
      <c r="M184" s="17" t="str">
        <f t="shared" si="21"/>
        <v/>
      </c>
      <c r="N184" s="17" t="str">
        <f t="shared" si="22"/>
        <v/>
      </c>
      <c r="O184" s="17" t="str">
        <f t="shared" si="23"/>
        <v/>
      </c>
      <c r="P184" s="16" t="str">
        <f t="shared" si="24"/>
        <v/>
      </c>
      <c r="Q184" s="16" t="str">
        <f t="shared" si="25"/>
        <v/>
      </c>
      <c r="R184" s="18" t="str">
        <f t="shared" si="26"/>
        <v/>
      </c>
    </row>
    <row r="185" spans="1:18">
      <c r="A185" s="12"/>
      <c r="B185" s="13"/>
      <c r="C185" s="14"/>
      <c r="D185" s="15"/>
      <c r="E185" s="15"/>
      <c r="F185" s="15"/>
      <c r="G185" s="13"/>
      <c r="H185" s="16" t="str">
        <f t="shared" si="18"/>
        <v/>
      </c>
      <c r="I185" s="17" t="str">
        <f>IF(OR(A185="",B185=""),"",IFERROR(LOOKUP(2,1/(单次交易!$A$2:$A$201=A185),单次交易!$H$2:$H$201),0)+SUMIFS($G$2:$G$1001,$A$2:$A$1001,A185,$B$2:$B$1001,"&lt;"&amp;B185))</f>
        <v/>
      </c>
      <c r="J185" s="16" t="str">
        <f>IF(OR(A185="",B185=""),"",IFERROR(LOOKUP(2,1/(单次交易!$A$2:$A$201=A185),单次交易!$E$2:$E$201)*LOOKUP(2,1/(单次交易!$A$2:$A$201=A185),单次交易!$H$2:$H$201),0)+SUMIFS($H$2:$H$1001,$A$2:$A$1001,A185,$B$2:$B$1001,"&lt;"&amp;B185))</f>
        <v/>
      </c>
      <c r="K185" s="16" t="str">
        <f t="shared" si="19"/>
        <v/>
      </c>
      <c r="L185" s="17" t="str">
        <f t="shared" si="20"/>
        <v/>
      </c>
      <c r="M185" s="17" t="str">
        <f t="shared" si="21"/>
        <v/>
      </c>
      <c r="N185" s="17" t="str">
        <f t="shared" si="22"/>
        <v/>
      </c>
      <c r="O185" s="17" t="str">
        <f t="shared" si="23"/>
        <v/>
      </c>
      <c r="P185" s="16" t="str">
        <f t="shared" si="24"/>
        <v/>
      </c>
      <c r="Q185" s="16" t="str">
        <f t="shared" si="25"/>
        <v/>
      </c>
      <c r="R185" s="18" t="str">
        <f t="shared" si="26"/>
        <v/>
      </c>
    </row>
    <row r="186" spans="1:18">
      <c r="A186" s="12"/>
      <c r="B186" s="13"/>
      <c r="C186" s="14"/>
      <c r="D186" s="15"/>
      <c r="E186" s="15"/>
      <c r="F186" s="15"/>
      <c r="G186" s="13"/>
      <c r="H186" s="16" t="str">
        <f t="shared" si="18"/>
        <v/>
      </c>
      <c r="I186" s="17" t="str">
        <f>IF(OR(A186="",B186=""),"",IFERROR(LOOKUP(2,1/(单次交易!$A$2:$A$201=A186),单次交易!$H$2:$H$201),0)+SUMIFS($G$2:$G$1001,$A$2:$A$1001,A186,$B$2:$B$1001,"&lt;"&amp;B186))</f>
        <v/>
      </c>
      <c r="J186" s="16" t="str">
        <f>IF(OR(A186="",B186=""),"",IFERROR(LOOKUP(2,1/(单次交易!$A$2:$A$201=A186),单次交易!$E$2:$E$201)*LOOKUP(2,1/(单次交易!$A$2:$A$201=A186),单次交易!$H$2:$H$201),0)+SUMIFS($H$2:$H$1001,$A$2:$A$1001,A186,$B$2:$B$1001,"&lt;"&amp;B186))</f>
        <v/>
      </c>
      <c r="K186" s="16" t="str">
        <f t="shared" si="19"/>
        <v/>
      </c>
      <c r="L186" s="17" t="str">
        <f t="shared" si="20"/>
        <v/>
      </c>
      <c r="M186" s="17" t="str">
        <f t="shared" si="21"/>
        <v/>
      </c>
      <c r="N186" s="17" t="str">
        <f t="shared" si="22"/>
        <v/>
      </c>
      <c r="O186" s="17" t="str">
        <f t="shared" si="23"/>
        <v/>
      </c>
      <c r="P186" s="16" t="str">
        <f t="shared" si="24"/>
        <v/>
      </c>
      <c r="Q186" s="16" t="str">
        <f t="shared" si="25"/>
        <v/>
      </c>
      <c r="R186" s="18" t="str">
        <f t="shared" si="26"/>
        <v/>
      </c>
    </row>
    <row r="187" spans="1:18">
      <c r="A187" s="12"/>
      <c r="B187" s="13"/>
      <c r="C187" s="14"/>
      <c r="D187" s="15"/>
      <c r="E187" s="15"/>
      <c r="F187" s="15"/>
      <c r="G187" s="13"/>
      <c r="H187" s="16" t="str">
        <f t="shared" si="18"/>
        <v/>
      </c>
      <c r="I187" s="17" t="str">
        <f>IF(OR(A187="",B187=""),"",IFERROR(LOOKUP(2,1/(单次交易!$A$2:$A$201=A187),单次交易!$H$2:$H$201),0)+SUMIFS($G$2:$G$1001,$A$2:$A$1001,A187,$B$2:$B$1001,"&lt;"&amp;B187))</f>
        <v/>
      </c>
      <c r="J187" s="16" t="str">
        <f>IF(OR(A187="",B187=""),"",IFERROR(LOOKUP(2,1/(单次交易!$A$2:$A$201=A187),单次交易!$E$2:$E$201)*LOOKUP(2,1/(单次交易!$A$2:$A$201=A187),单次交易!$H$2:$H$201),0)+SUMIFS($H$2:$H$1001,$A$2:$A$1001,A187,$B$2:$B$1001,"&lt;"&amp;B187))</f>
        <v/>
      </c>
      <c r="K187" s="16" t="str">
        <f t="shared" si="19"/>
        <v/>
      </c>
      <c r="L187" s="17" t="str">
        <f t="shared" si="20"/>
        <v/>
      </c>
      <c r="M187" s="17" t="str">
        <f t="shared" si="21"/>
        <v/>
      </c>
      <c r="N187" s="17" t="str">
        <f t="shared" si="22"/>
        <v/>
      </c>
      <c r="O187" s="17" t="str">
        <f t="shared" si="23"/>
        <v/>
      </c>
      <c r="P187" s="16" t="str">
        <f t="shared" si="24"/>
        <v/>
      </c>
      <c r="Q187" s="16" t="str">
        <f t="shared" si="25"/>
        <v/>
      </c>
      <c r="R187" s="18" t="str">
        <f t="shared" si="26"/>
        <v/>
      </c>
    </row>
    <row r="188" spans="1:18">
      <c r="A188" s="12"/>
      <c r="B188" s="13"/>
      <c r="C188" s="14"/>
      <c r="D188" s="15"/>
      <c r="E188" s="15"/>
      <c r="F188" s="15"/>
      <c r="G188" s="13"/>
      <c r="H188" s="16" t="str">
        <f t="shared" si="18"/>
        <v/>
      </c>
      <c r="I188" s="17" t="str">
        <f>IF(OR(A188="",B188=""),"",IFERROR(LOOKUP(2,1/(单次交易!$A$2:$A$201=A188),单次交易!$H$2:$H$201),0)+SUMIFS($G$2:$G$1001,$A$2:$A$1001,A188,$B$2:$B$1001,"&lt;"&amp;B188))</f>
        <v/>
      </c>
      <c r="J188" s="16" t="str">
        <f>IF(OR(A188="",B188=""),"",IFERROR(LOOKUP(2,1/(单次交易!$A$2:$A$201=A188),单次交易!$E$2:$E$201)*LOOKUP(2,1/(单次交易!$A$2:$A$201=A188),单次交易!$H$2:$H$201),0)+SUMIFS($H$2:$H$1001,$A$2:$A$1001,A188,$B$2:$B$1001,"&lt;"&amp;B188))</f>
        <v/>
      </c>
      <c r="K188" s="16" t="str">
        <f t="shared" si="19"/>
        <v/>
      </c>
      <c r="L188" s="17" t="str">
        <f t="shared" si="20"/>
        <v/>
      </c>
      <c r="M188" s="17" t="str">
        <f t="shared" si="21"/>
        <v/>
      </c>
      <c r="N188" s="17" t="str">
        <f t="shared" si="22"/>
        <v/>
      </c>
      <c r="O188" s="17" t="str">
        <f t="shared" si="23"/>
        <v/>
      </c>
      <c r="P188" s="16" t="str">
        <f t="shared" si="24"/>
        <v/>
      </c>
      <c r="Q188" s="16" t="str">
        <f t="shared" si="25"/>
        <v/>
      </c>
      <c r="R188" s="18" t="str">
        <f t="shared" si="26"/>
        <v/>
      </c>
    </row>
    <row r="189" spans="1:18">
      <c r="A189" s="12"/>
      <c r="B189" s="13"/>
      <c r="C189" s="14"/>
      <c r="D189" s="15"/>
      <c r="E189" s="15"/>
      <c r="F189" s="15"/>
      <c r="G189" s="13"/>
      <c r="H189" s="16" t="str">
        <f t="shared" si="18"/>
        <v/>
      </c>
      <c r="I189" s="17" t="str">
        <f>IF(OR(A189="",B189=""),"",IFERROR(LOOKUP(2,1/(单次交易!$A$2:$A$201=A189),单次交易!$H$2:$H$201),0)+SUMIFS($G$2:$G$1001,$A$2:$A$1001,A189,$B$2:$B$1001,"&lt;"&amp;B189))</f>
        <v/>
      </c>
      <c r="J189" s="16" t="str">
        <f>IF(OR(A189="",B189=""),"",IFERROR(LOOKUP(2,1/(单次交易!$A$2:$A$201=A189),单次交易!$E$2:$E$201)*LOOKUP(2,1/(单次交易!$A$2:$A$201=A189),单次交易!$H$2:$H$201),0)+SUMIFS($H$2:$H$1001,$A$2:$A$1001,A189,$B$2:$B$1001,"&lt;"&amp;B189))</f>
        <v/>
      </c>
      <c r="K189" s="16" t="str">
        <f t="shared" si="19"/>
        <v/>
      </c>
      <c r="L189" s="17" t="str">
        <f t="shared" si="20"/>
        <v/>
      </c>
      <c r="M189" s="17" t="str">
        <f t="shared" si="21"/>
        <v/>
      </c>
      <c r="N189" s="17" t="str">
        <f t="shared" si="22"/>
        <v/>
      </c>
      <c r="O189" s="17" t="str">
        <f t="shared" si="23"/>
        <v/>
      </c>
      <c r="P189" s="16" t="str">
        <f t="shared" si="24"/>
        <v/>
      </c>
      <c r="Q189" s="16" t="str">
        <f t="shared" si="25"/>
        <v/>
      </c>
      <c r="R189" s="18" t="str">
        <f t="shared" si="26"/>
        <v/>
      </c>
    </row>
    <row r="190" spans="1:18">
      <c r="A190" s="12"/>
      <c r="B190" s="13"/>
      <c r="C190" s="14"/>
      <c r="D190" s="15"/>
      <c r="E190" s="15"/>
      <c r="F190" s="15"/>
      <c r="G190" s="13"/>
      <c r="H190" s="16" t="str">
        <f t="shared" si="18"/>
        <v/>
      </c>
      <c r="I190" s="17" t="str">
        <f>IF(OR(A190="",B190=""),"",IFERROR(LOOKUP(2,1/(单次交易!$A$2:$A$201=A190),单次交易!$H$2:$H$201),0)+SUMIFS($G$2:$G$1001,$A$2:$A$1001,A190,$B$2:$B$1001,"&lt;"&amp;B190))</f>
        <v/>
      </c>
      <c r="J190" s="16" t="str">
        <f>IF(OR(A190="",B190=""),"",IFERROR(LOOKUP(2,1/(单次交易!$A$2:$A$201=A190),单次交易!$E$2:$E$201)*LOOKUP(2,1/(单次交易!$A$2:$A$201=A190),单次交易!$H$2:$H$201),0)+SUMIFS($H$2:$H$1001,$A$2:$A$1001,A190,$B$2:$B$1001,"&lt;"&amp;B190))</f>
        <v/>
      </c>
      <c r="K190" s="16" t="str">
        <f t="shared" si="19"/>
        <v/>
      </c>
      <c r="L190" s="17" t="str">
        <f t="shared" si="20"/>
        <v/>
      </c>
      <c r="M190" s="17" t="str">
        <f t="shared" si="21"/>
        <v/>
      </c>
      <c r="N190" s="17" t="str">
        <f t="shared" si="22"/>
        <v/>
      </c>
      <c r="O190" s="17" t="str">
        <f t="shared" si="23"/>
        <v/>
      </c>
      <c r="P190" s="16" t="str">
        <f t="shared" si="24"/>
        <v/>
      </c>
      <c r="Q190" s="16" t="str">
        <f t="shared" si="25"/>
        <v/>
      </c>
      <c r="R190" s="18" t="str">
        <f t="shared" si="26"/>
        <v/>
      </c>
    </row>
    <row r="191" spans="1:18">
      <c r="A191" s="12"/>
      <c r="B191" s="13"/>
      <c r="C191" s="14"/>
      <c r="D191" s="15"/>
      <c r="E191" s="15"/>
      <c r="F191" s="15"/>
      <c r="G191" s="13"/>
      <c r="H191" s="16" t="str">
        <f t="shared" si="18"/>
        <v/>
      </c>
      <c r="I191" s="17" t="str">
        <f>IF(OR(A191="",B191=""),"",IFERROR(LOOKUP(2,1/(单次交易!$A$2:$A$201=A191),单次交易!$H$2:$H$201),0)+SUMIFS($G$2:$G$1001,$A$2:$A$1001,A191,$B$2:$B$1001,"&lt;"&amp;B191))</f>
        <v/>
      </c>
      <c r="J191" s="16" t="str">
        <f>IF(OR(A191="",B191=""),"",IFERROR(LOOKUP(2,1/(单次交易!$A$2:$A$201=A191),单次交易!$E$2:$E$201)*LOOKUP(2,1/(单次交易!$A$2:$A$201=A191),单次交易!$H$2:$H$201),0)+SUMIFS($H$2:$H$1001,$A$2:$A$1001,A191,$B$2:$B$1001,"&lt;"&amp;B191))</f>
        <v/>
      </c>
      <c r="K191" s="16" t="str">
        <f t="shared" si="19"/>
        <v/>
      </c>
      <c r="L191" s="17" t="str">
        <f t="shared" si="20"/>
        <v/>
      </c>
      <c r="M191" s="17" t="str">
        <f t="shared" si="21"/>
        <v/>
      </c>
      <c r="N191" s="17" t="str">
        <f t="shared" si="22"/>
        <v/>
      </c>
      <c r="O191" s="17" t="str">
        <f t="shared" si="23"/>
        <v/>
      </c>
      <c r="P191" s="16" t="str">
        <f t="shared" si="24"/>
        <v/>
      </c>
      <c r="Q191" s="16" t="str">
        <f t="shared" si="25"/>
        <v/>
      </c>
      <c r="R191" s="18" t="str">
        <f t="shared" si="26"/>
        <v/>
      </c>
    </row>
    <row r="192" spans="1:18">
      <c r="A192" s="12"/>
      <c r="B192" s="13"/>
      <c r="C192" s="14"/>
      <c r="D192" s="15"/>
      <c r="E192" s="15"/>
      <c r="F192" s="15"/>
      <c r="G192" s="13"/>
      <c r="H192" s="16" t="str">
        <f t="shared" si="18"/>
        <v/>
      </c>
      <c r="I192" s="17" t="str">
        <f>IF(OR(A192="",B192=""),"",IFERROR(LOOKUP(2,1/(单次交易!$A$2:$A$201=A192),单次交易!$H$2:$H$201),0)+SUMIFS($G$2:$G$1001,$A$2:$A$1001,A192,$B$2:$B$1001,"&lt;"&amp;B192))</f>
        <v/>
      </c>
      <c r="J192" s="16" t="str">
        <f>IF(OR(A192="",B192=""),"",IFERROR(LOOKUP(2,1/(单次交易!$A$2:$A$201=A192),单次交易!$E$2:$E$201)*LOOKUP(2,1/(单次交易!$A$2:$A$201=A192),单次交易!$H$2:$H$201),0)+SUMIFS($H$2:$H$1001,$A$2:$A$1001,A192,$B$2:$B$1001,"&lt;"&amp;B192))</f>
        <v/>
      </c>
      <c r="K192" s="16" t="str">
        <f t="shared" si="19"/>
        <v/>
      </c>
      <c r="L192" s="17" t="str">
        <f t="shared" si="20"/>
        <v/>
      </c>
      <c r="M192" s="17" t="str">
        <f t="shared" si="21"/>
        <v/>
      </c>
      <c r="N192" s="17" t="str">
        <f t="shared" si="22"/>
        <v/>
      </c>
      <c r="O192" s="17" t="str">
        <f t="shared" si="23"/>
        <v/>
      </c>
      <c r="P192" s="16" t="str">
        <f t="shared" si="24"/>
        <v/>
      </c>
      <c r="Q192" s="16" t="str">
        <f t="shared" si="25"/>
        <v/>
      </c>
      <c r="R192" s="18" t="str">
        <f t="shared" si="26"/>
        <v/>
      </c>
    </row>
    <row r="193" spans="1:18">
      <c r="A193" s="12"/>
      <c r="B193" s="13"/>
      <c r="C193" s="14"/>
      <c r="D193" s="15"/>
      <c r="E193" s="15"/>
      <c r="F193" s="15"/>
      <c r="G193" s="13"/>
      <c r="H193" s="16" t="str">
        <f t="shared" si="18"/>
        <v/>
      </c>
      <c r="I193" s="17" t="str">
        <f>IF(OR(A193="",B193=""),"",IFERROR(LOOKUP(2,1/(单次交易!$A$2:$A$201=A193),单次交易!$H$2:$H$201),0)+SUMIFS($G$2:$G$1001,$A$2:$A$1001,A193,$B$2:$B$1001,"&lt;"&amp;B193))</f>
        <v/>
      </c>
      <c r="J193" s="16" t="str">
        <f>IF(OR(A193="",B193=""),"",IFERROR(LOOKUP(2,1/(单次交易!$A$2:$A$201=A193),单次交易!$E$2:$E$201)*LOOKUP(2,1/(单次交易!$A$2:$A$201=A193),单次交易!$H$2:$H$201),0)+SUMIFS($H$2:$H$1001,$A$2:$A$1001,A193,$B$2:$B$1001,"&lt;"&amp;B193))</f>
        <v/>
      </c>
      <c r="K193" s="16" t="str">
        <f t="shared" si="19"/>
        <v/>
      </c>
      <c r="L193" s="17" t="str">
        <f t="shared" si="20"/>
        <v/>
      </c>
      <c r="M193" s="17" t="str">
        <f t="shared" si="21"/>
        <v/>
      </c>
      <c r="N193" s="17" t="str">
        <f t="shared" si="22"/>
        <v/>
      </c>
      <c r="O193" s="17" t="str">
        <f t="shared" si="23"/>
        <v/>
      </c>
      <c r="P193" s="16" t="str">
        <f t="shared" si="24"/>
        <v/>
      </c>
      <c r="Q193" s="16" t="str">
        <f t="shared" si="25"/>
        <v/>
      </c>
      <c r="R193" s="18" t="str">
        <f t="shared" si="26"/>
        <v/>
      </c>
    </row>
    <row r="194" spans="1:18">
      <c r="A194" s="12"/>
      <c r="B194" s="13"/>
      <c r="C194" s="14"/>
      <c r="D194" s="15"/>
      <c r="E194" s="15"/>
      <c r="F194" s="15"/>
      <c r="G194" s="13"/>
      <c r="H194" s="16" t="str">
        <f t="shared" ref="H194:H257" si="27">IF(OR(A194="",D194="",G194=""),"",D194*G194)</f>
        <v/>
      </c>
      <c r="I194" s="17" t="str">
        <f>IF(OR(A194="",B194=""),"",IFERROR(LOOKUP(2,1/(单次交易!$A$2:$A$201=A194),单次交易!$H$2:$H$201),0)+SUMIFS($G$2:$G$1001,$A$2:$A$1001,A194,$B$2:$B$1001,"&lt;"&amp;B194))</f>
        <v/>
      </c>
      <c r="J194" s="16" t="str">
        <f>IF(OR(A194="",B194=""),"",IFERROR(LOOKUP(2,1/(单次交易!$A$2:$A$201=A194),单次交易!$E$2:$E$201)*LOOKUP(2,1/(单次交易!$A$2:$A$201=A194),单次交易!$H$2:$H$201),0)+SUMIFS($H$2:$H$1001,$A$2:$A$1001,A194,$B$2:$B$1001,"&lt;"&amp;B194))</f>
        <v/>
      </c>
      <c r="K194" s="16" t="str">
        <f t="shared" ref="K194:K257" si="28">IF(OR(E194="",I194="",J194=""),"",MAX(E194*I194-J194,0))</f>
        <v/>
      </c>
      <c r="L194" s="17" t="str">
        <f t="shared" ref="L194:L257" si="29">IF(OR(D194="",E194="",F194="",D194&lt;=E194),"",FLOOR((F194+K194)/(D194-E194),100))</f>
        <v/>
      </c>
      <c r="M194" s="17" t="str">
        <f t="shared" ref="M194:M257" si="30">IF(OR(A194="",B194="",L194=""),"",IF(B194=1,L194,IFERROR(SUMIFS($G$2:$G$1001,$A$2:$A$1001,A194,$B$2:$B$1001,B194-1),0)))</f>
        <v/>
      </c>
      <c r="N194" s="17" t="str">
        <f t="shared" ref="N194:N257" si="31">IF(OR(L194="",M194=""),"",MIN(L194,M194))</f>
        <v/>
      </c>
      <c r="O194" s="17" t="str">
        <f t="shared" ref="O194:O257" si="32">IF(OR(I194="",G194=""),"",I194+G194)</f>
        <v/>
      </c>
      <c r="P194" s="16" t="str">
        <f t="shared" ref="P194:P257" si="33">IF(OR(O194="",O194=0),"",(J194+H194)/O194)</f>
        <v/>
      </c>
      <c r="Q194" s="16" t="str">
        <f t="shared" ref="Q194:Q257" si="34">IF(OR(O194="",E194=""),"",MAX(J194+H194-E194*O194,0))</f>
        <v/>
      </c>
      <c r="R194" s="18" t="str">
        <f t="shared" ref="R194:R257" si="35">IF(A194="","",IF(COUNTIF(_TradeIds,A194)=0,"违规：交易编号不存在",IF(OR(B194="",B194&lt;1,B194&gt;5,B194&lt;&gt;INT(B194)),"违规：加仓序号须为1到5的整数",IF(COUNTIFS($A$2:$A$1001,A194,$B$2:$B$1001,B194)&gt;1,"违规：同一交易的加仓序号重复",IF(OR(D194="",E194="",F194=""),"计划不完整：请填写加仓价、新止损价和风险预算",IF(OR(D194&lt;=0,E194&lt;=0,F194&lt;=0,D194&lt;=E194),"违规：加仓价必须高于新止损价，金额须大于0",IF(AND(B194&gt;1,COUNTIFS($A$2:$A$1001,A194,$B$2:$B$1001,B194-1,$G$2:$G$1001,"&gt;0")=0),"违规：须先完成上一次加仓",IF(AND(B194&gt;1,E194&lt;SUMIFS($E$2:$E$1001,$A$2:$A$1001,A194,$B$2:$B$1001,B194-1)),"违规：新止损价不得低于上一次",IF(AND(B194&gt;1,F194&gt;SUMIFS($F$2:$F$1001,$A$2:$A$1001,A194,$B$2:$B$1001,B194-1)),"违规：风险预算须逐次不增加",IF(OR(_LockStatus="已锁仓",_LockStatus="解锁信息不完整"),"违规：锁仓期间禁止加仓",IF(G194="","计划可执行：建议股数见N列",IF(OR(G194&lt;=0,G194&lt;&gt;INT(G194),MOD(G194,100)&lt;&gt;0),"违规：实际股数须为100股整数倍",IF(G194&gt;N194,"违规：实际股数超过风险或金字塔上限",IF(AND(B194&gt;1,G194&gt;SUMIFS($G$2:$G$1001,$A$2:$A$1001,A194,$B$2:$B$1001,B194-1)),"违规：加仓股数须逐次不增加",IF(Q194&gt;F194,"违规：止损风险超过本次预算","通过")))))))))))))))</f>
        <v/>
      </c>
    </row>
    <row r="195" spans="1:18">
      <c r="A195" s="12"/>
      <c r="B195" s="13"/>
      <c r="C195" s="14"/>
      <c r="D195" s="15"/>
      <c r="E195" s="15"/>
      <c r="F195" s="15"/>
      <c r="G195" s="13"/>
      <c r="H195" s="16" t="str">
        <f t="shared" si="27"/>
        <v/>
      </c>
      <c r="I195" s="17" t="str">
        <f>IF(OR(A195="",B195=""),"",IFERROR(LOOKUP(2,1/(单次交易!$A$2:$A$201=A195),单次交易!$H$2:$H$201),0)+SUMIFS($G$2:$G$1001,$A$2:$A$1001,A195,$B$2:$B$1001,"&lt;"&amp;B195))</f>
        <v/>
      </c>
      <c r="J195" s="16" t="str">
        <f>IF(OR(A195="",B195=""),"",IFERROR(LOOKUP(2,1/(单次交易!$A$2:$A$201=A195),单次交易!$E$2:$E$201)*LOOKUP(2,1/(单次交易!$A$2:$A$201=A195),单次交易!$H$2:$H$201),0)+SUMIFS($H$2:$H$1001,$A$2:$A$1001,A195,$B$2:$B$1001,"&lt;"&amp;B195))</f>
        <v/>
      </c>
      <c r="K195" s="16" t="str">
        <f t="shared" si="28"/>
        <v/>
      </c>
      <c r="L195" s="17" t="str">
        <f t="shared" si="29"/>
        <v/>
      </c>
      <c r="M195" s="17" t="str">
        <f t="shared" si="30"/>
        <v/>
      </c>
      <c r="N195" s="17" t="str">
        <f t="shared" si="31"/>
        <v/>
      </c>
      <c r="O195" s="17" t="str">
        <f t="shared" si="32"/>
        <v/>
      </c>
      <c r="P195" s="16" t="str">
        <f t="shared" si="33"/>
        <v/>
      </c>
      <c r="Q195" s="16" t="str">
        <f t="shared" si="34"/>
        <v/>
      </c>
      <c r="R195" s="18" t="str">
        <f t="shared" si="35"/>
        <v/>
      </c>
    </row>
    <row r="196" spans="1:18">
      <c r="A196" s="12"/>
      <c r="B196" s="13"/>
      <c r="C196" s="14"/>
      <c r="D196" s="15"/>
      <c r="E196" s="15"/>
      <c r="F196" s="15"/>
      <c r="G196" s="13"/>
      <c r="H196" s="16" t="str">
        <f t="shared" si="27"/>
        <v/>
      </c>
      <c r="I196" s="17" t="str">
        <f>IF(OR(A196="",B196=""),"",IFERROR(LOOKUP(2,1/(单次交易!$A$2:$A$201=A196),单次交易!$H$2:$H$201),0)+SUMIFS($G$2:$G$1001,$A$2:$A$1001,A196,$B$2:$B$1001,"&lt;"&amp;B196))</f>
        <v/>
      </c>
      <c r="J196" s="16" t="str">
        <f>IF(OR(A196="",B196=""),"",IFERROR(LOOKUP(2,1/(单次交易!$A$2:$A$201=A196),单次交易!$E$2:$E$201)*LOOKUP(2,1/(单次交易!$A$2:$A$201=A196),单次交易!$H$2:$H$201),0)+SUMIFS($H$2:$H$1001,$A$2:$A$1001,A196,$B$2:$B$1001,"&lt;"&amp;B196))</f>
        <v/>
      </c>
      <c r="K196" s="16" t="str">
        <f t="shared" si="28"/>
        <v/>
      </c>
      <c r="L196" s="17" t="str">
        <f t="shared" si="29"/>
        <v/>
      </c>
      <c r="M196" s="17" t="str">
        <f t="shared" si="30"/>
        <v/>
      </c>
      <c r="N196" s="17" t="str">
        <f t="shared" si="31"/>
        <v/>
      </c>
      <c r="O196" s="17" t="str">
        <f t="shared" si="32"/>
        <v/>
      </c>
      <c r="P196" s="16" t="str">
        <f t="shared" si="33"/>
        <v/>
      </c>
      <c r="Q196" s="16" t="str">
        <f t="shared" si="34"/>
        <v/>
      </c>
      <c r="R196" s="18" t="str">
        <f t="shared" si="35"/>
        <v/>
      </c>
    </row>
    <row r="197" spans="1:18">
      <c r="A197" s="12"/>
      <c r="B197" s="13"/>
      <c r="C197" s="14"/>
      <c r="D197" s="15"/>
      <c r="E197" s="15"/>
      <c r="F197" s="15"/>
      <c r="G197" s="13"/>
      <c r="H197" s="16" t="str">
        <f t="shared" si="27"/>
        <v/>
      </c>
      <c r="I197" s="17" t="str">
        <f>IF(OR(A197="",B197=""),"",IFERROR(LOOKUP(2,1/(单次交易!$A$2:$A$201=A197),单次交易!$H$2:$H$201),0)+SUMIFS($G$2:$G$1001,$A$2:$A$1001,A197,$B$2:$B$1001,"&lt;"&amp;B197))</f>
        <v/>
      </c>
      <c r="J197" s="16" t="str">
        <f>IF(OR(A197="",B197=""),"",IFERROR(LOOKUP(2,1/(单次交易!$A$2:$A$201=A197),单次交易!$E$2:$E$201)*LOOKUP(2,1/(单次交易!$A$2:$A$201=A197),单次交易!$H$2:$H$201),0)+SUMIFS($H$2:$H$1001,$A$2:$A$1001,A197,$B$2:$B$1001,"&lt;"&amp;B197))</f>
        <v/>
      </c>
      <c r="K197" s="16" t="str">
        <f t="shared" si="28"/>
        <v/>
      </c>
      <c r="L197" s="17" t="str">
        <f t="shared" si="29"/>
        <v/>
      </c>
      <c r="M197" s="17" t="str">
        <f t="shared" si="30"/>
        <v/>
      </c>
      <c r="N197" s="17" t="str">
        <f t="shared" si="31"/>
        <v/>
      </c>
      <c r="O197" s="17" t="str">
        <f t="shared" si="32"/>
        <v/>
      </c>
      <c r="P197" s="16" t="str">
        <f t="shared" si="33"/>
        <v/>
      </c>
      <c r="Q197" s="16" t="str">
        <f t="shared" si="34"/>
        <v/>
      </c>
      <c r="R197" s="18" t="str">
        <f t="shared" si="35"/>
        <v/>
      </c>
    </row>
    <row r="198" spans="1:18">
      <c r="A198" s="12"/>
      <c r="B198" s="13"/>
      <c r="C198" s="14"/>
      <c r="D198" s="15"/>
      <c r="E198" s="15"/>
      <c r="F198" s="15"/>
      <c r="G198" s="13"/>
      <c r="H198" s="16" t="str">
        <f t="shared" si="27"/>
        <v/>
      </c>
      <c r="I198" s="17" t="str">
        <f>IF(OR(A198="",B198=""),"",IFERROR(LOOKUP(2,1/(单次交易!$A$2:$A$201=A198),单次交易!$H$2:$H$201),0)+SUMIFS($G$2:$G$1001,$A$2:$A$1001,A198,$B$2:$B$1001,"&lt;"&amp;B198))</f>
        <v/>
      </c>
      <c r="J198" s="16" t="str">
        <f>IF(OR(A198="",B198=""),"",IFERROR(LOOKUP(2,1/(单次交易!$A$2:$A$201=A198),单次交易!$E$2:$E$201)*LOOKUP(2,1/(单次交易!$A$2:$A$201=A198),单次交易!$H$2:$H$201),0)+SUMIFS($H$2:$H$1001,$A$2:$A$1001,A198,$B$2:$B$1001,"&lt;"&amp;B198))</f>
        <v/>
      </c>
      <c r="K198" s="16" t="str">
        <f t="shared" si="28"/>
        <v/>
      </c>
      <c r="L198" s="17" t="str">
        <f t="shared" si="29"/>
        <v/>
      </c>
      <c r="M198" s="17" t="str">
        <f t="shared" si="30"/>
        <v/>
      </c>
      <c r="N198" s="17" t="str">
        <f t="shared" si="31"/>
        <v/>
      </c>
      <c r="O198" s="17" t="str">
        <f t="shared" si="32"/>
        <v/>
      </c>
      <c r="P198" s="16" t="str">
        <f t="shared" si="33"/>
        <v/>
      </c>
      <c r="Q198" s="16" t="str">
        <f t="shared" si="34"/>
        <v/>
      </c>
      <c r="R198" s="18" t="str">
        <f t="shared" si="35"/>
        <v/>
      </c>
    </row>
    <row r="199" spans="1:18">
      <c r="A199" s="12"/>
      <c r="B199" s="13"/>
      <c r="C199" s="14"/>
      <c r="D199" s="15"/>
      <c r="E199" s="15"/>
      <c r="F199" s="15"/>
      <c r="G199" s="13"/>
      <c r="H199" s="16" t="str">
        <f t="shared" si="27"/>
        <v/>
      </c>
      <c r="I199" s="17" t="str">
        <f>IF(OR(A199="",B199=""),"",IFERROR(LOOKUP(2,1/(单次交易!$A$2:$A$201=A199),单次交易!$H$2:$H$201),0)+SUMIFS($G$2:$G$1001,$A$2:$A$1001,A199,$B$2:$B$1001,"&lt;"&amp;B199))</f>
        <v/>
      </c>
      <c r="J199" s="16" t="str">
        <f>IF(OR(A199="",B199=""),"",IFERROR(LOOKUP(2,1/(单次交易!$A$2:$A$201=A199),单次交易!$E$2:$E$201)*LOOKUP(2,1/(单次交易!$A$2:$A$201=A199),单次交易!$H$2:$H$201),0)+SUMIFS($H$2:$H$1001,$A$2:$A$1001,A199,$B$2:$B$1001,"&lt;"&amp;B199))</f>
        <v/>
      </c>
      <c r="K199" s="16" t="str">
        <f t="shared" si="28"/>
        <v/>
      </c>
      <c r="L199" s="17" t="str">
        <f t="shared" si="29"/>
        <v/>
      </c>
      <c r="M199" s="17" t="str">
        <f t="shared" si="30"/>
        <v/>
      </c>
      <c r="N199" s="17" t="str">
        <f t="shared" si="31"/>
        <v/>
      </c>
      <c r="O199" s="17" t="str">
        <f t="shared" si="32"/>
        <v/>
      </c>
      <c r="P199" s="16" t="str">
        <f t="shared" si="33"/>
        <v/>
      </c>
      <c r="Q199" s="16" t="str">
        <f t="shared" si="34"/>
        <v/>
      </c>
      <c r="R199" s="18" t="str">
        <f t="shared" si="35"/>
        <v/>
      </c>
    </row>
    <row r="200" spans="1:18">
      <c r="A200" s="12"/>
      <c r="B200" s="13"/>
      <c r="C200" s="14"/>
      <c r="D200" s="15"/>
      <c r="E200" s="15"/>
      <c r="F200" s="15"/>
      <c r="G200" s="13"/>
      <c r="H200" s="16" t="str">
        <f t="shared" si="27"/>
        <v/>
      </c>
      <c r="I200" s="17" t="str">
        <f>IF(OR(A200="",B200=""),"",IFERROR(LOOKUP(2,1/(单次交易!$A$2:$A$201=A200),单次交易!$H$2:$H$201),0)+SUMIFS($G$2:$G$1001,$A$2:$A$1001,A200,$B$2:$B$1001,"&lt;"&amp;B200))</f>
        <v/>
      </c>
      <c r="J200" s="16" t="str">
        <f>IF(OR(A200="",B200=""),"",IFERROR(LOOKUP(2,1/(单次交易!$A$2:$A$201=A200),单次交易!$E$2:$E$201)*LOOKUP(2,1/(单次交易!$A$2:$A$201=A200),单次交易!$H$2:$H$201),0)+SUMIFS($H$2:$H$1001,$A$2:$A$1001,A200,$B$2:$B$1001,"&lt;"&amp;B200))</f>
        <v/>
      </c>
      <c r="K200" s="16" t="str">
        <f t="shared" si="28"/>
        <v/>
      </c>
      <c r="L200" s="17" t="str">
        <f t="shared" si="29"/>
        <v/>
      </c>
      <c r="M200" s="17" t="str">
        <f t="shared" si="30"/>
        <v/>
      </c>
      <c r="N200" s="17" t="str">
        <f t="shared" si="31"/>
        <v/>
      </c>
      <c r="O200" s="17" t="str">
        <f t="shared" si="32"/>
        <v/>
      </c>
      <c r="P200" s="16" t="str">
        <f t="shared" si="33"/>
        <v/>
      </c>
      <c r="Q200" s="16" t="str">
        <f t="shared" si="34"/>
        <v/>
      </c>
      <c r="R200" s="18" t="str">
        <f t="shared" si="35"/>
        <v/>
      </c>
    </row>
    <row r="201" spans="1:18">
      <c r="A201" s="12"/>
      <c r="B201" s="13"/>
      <c r="C201" s="14"/>
      <c r="D201" s="15"/>
      <c r="E201" s="15"/>
      <c r="F201" s="15"/>
      <c r="G201" s="13"/>
      <c r="H201" s="16" t="str">
        <f t="shared" si="27"/>
        <v/>
      </c>
      <c r="I201" s="17" t="str">
        <f>IF(OR(A201="",B201=""),"",IFERROR(LOOKUP(2,1/(单次交易!$A$2:$A$201=A201),单次交易!$H$2:$H$201),0)+SUMIFS($G$2:$G$1001,$A$2:$A$1001,A201,$B$2:$B$1001,"&lt;"&amp;B201))</f>
        <v/>
      </c>
      <c r="J201" s="16" t="str">
        <f>IF(OR(A201="",B201=""),"",IFERROR(LOOKUP(2,1/(单次交易!$A$2:$A$201=A201),单次交易!$E$2:$E$201)*LOOKUP(2,1/(单次交易!$A$2:$A$201=A201),单次交易!$H$2:$H$201),0)+SUMIFS($H$2:$H$1001,$A$2:$A$1001,A201,$B$2:$B$1001,"&lt;"&amp;B201))</f>
        <v/>
      </c>
      <c r="K201" s="16" t="str">
        <f t="shared" si="28"/>
        <v/>
      </c>
      <c r="L201" s="17" t="str">
        <f t="shared" si="29"/>
        <v/>
      </c>
      <c r="M201" s="17" t="str">
        <f t="shared" si="30"/>
        <v/>
      </c>
      <c r="N201" s="17" t="str">
        <f t="shared" si="31"/>
        <v/>
      </c>
      <c r="O201" s="17" t="str">
        <f t="shared" si="32"/>
        <v/>
      </c>
      <c r="P201" s="16" t="str">
        <f t="shared" si="33"/>
        <v/>
      </c>
      <c r="Q201" s="16" t="str">
        <f t="shared" si="34"/>
        <v/>
      </c>
      <c r="R201" s="18" t="str">
        <f t="shared" si="35"/>
        <v/>
      </c>
    </row>
    <row r="202" spans="1:18">
      <c r="A202" s="12"/>
      <c r="B202" s="13"/>
      <c r="C202" s="14"/>
      <c r="D202" s="15"/>
      <c r="E202" s="15"/>
      <c r="F202" s="15"/>
      <c r="G202" s="13"/>
      <c r="H202" s="16" t="str">
        <f t="shared" si="27"/>
        <v/>
      </c>
      <c r="I202" s="17" t="str">
        <f>IF(OR(A202="",B202=""),"",IFERROR(LOOKUP(2,1/(单次交易!$A$2:$A$201=A202),单次交易!$H$2:$H$201),0)+SUMIFS($G$2:$G$1001,$A$2:$A$1001,A202,$B$2:$B$1001,"&lt;"&amp;B202))</f>
        <v/>
      </c>
      <c r="J202" s="16" t="str">
        <f>IF(OR(A202="",B202=""),"",IFERROR(LOOKUP(2,1/(单次交易!$A$2:$A$201=A202),单次交易!$E$2:$E$201)*LOOKUP(2,1/(单次交易!$A$2:$A$201=A202),单次交易!$H$2:$H$201),0)+SUMIFS($H$2:$H$1001,$A$2:$A$1001,A202,$B$2:$B$1001,"&lt;"&amp;B202))</f>
        <v/>
      </c>
      <c r="K202" s="16" t="str">
        <f t="shared" si="28"/>
        <v/>
      </c>
      <c r="L202" s="17" t="str">
        <f t="shared" si="29"/>
        <v/>
      </c>
      <c r="M202" s="17" t="str">
        <f t="shared" si="30"/>
        <v/>
      </c>
      <c r="N202" s="17" t="str">
        <f t="shared" si="31"/>
        <v/>
      </c>
      <c r="O202" s="17" t="str">
        <f t="shared" si="32"/>
        <v/>
      </c>
      <c r="P202" s="16" t="str">
        <f t="shared" si="33"/>
        <v/>
      </c>
      <c r="Q202" s="16" t="str">
        <f t="shared" si="34"/>
        <v/>
      </c>
      <c r="R202" s="18" t="str">
        <f t="shared" si="35"/>
        <v/>
      </c>
    </row>
    <row r="203" spans="1:18">
      <c r="A203" s="12"/>
      <c r="B203" s="13"/>
      <c r="C203" s="14"/>
      <c r="D203" s="15"/>
      <c r="E203" s="15"/>
      <c r="F203" s="15"/>
      <c r="G203" s="13"/>
      <c r="H203" s="16" t="str">
        <f t="shared" si="27"/>
        <v/>
      </c>
      <c r="I203" s="17" t="str">
        <f>IF(OR(A203="",B203=""),"",IFERROR(LOOKUP(2,1/(单次交易!$A$2:$A$201=A203),单次交易!$H$2:$H$201),0)+SUMIFS($G$2:$G$1001,$A$2:$A$1001,A203,$B$2:$B$1001,"&lt;"&amp;B203))</f>
        <v/>
      </c>
      <c r="J203" s="16" t="str">
        <f>IF(OR(A203="",B203=""),"",IFERROR(LOOKUP(2,1/(单次交易!$A$2:$A$201=A203),单次交易!$E$2:$E$201)*LOOKUP(2,1/(单次交易!$A$2:$A$201=A203),单次交易!$H$2:$H$201),0)+SUMIFS($H$2:$H$1001,$A$2:$A$1001,A203,$B$2:$B$1001,"&lt;"&amp;B203))</f>
        <v/>
      </c>
      <c r="K203" s="16" t="str">
        <f t="shared" si="28"/>
        <v/>
      </c>
      <c r="L203" s="17" t="str">
        <f t="shared" si="29"/>
        <v/>
      </c>
      <c r="M203" s="17" t="str">
        <f t="shared" si="30"/>
        <v/>
      </c>
      <c r="N203" s="17" t="str">
        <f t="shared" si="31"/>
        <v/>
      </c>
      <c r="O203" s="17" t="str">
        <f t="shared" si="32"/>
        <v/>
      </c>
      <c r="P203" s="16" t="str">
        <f t="shared" si="33"/>
        <v/>
      </c>
      <c r="Q203" s="16" t="str">
        <f t="shared" si="34"/>
        <v/>
      </c>
      <c r="R203" s="18" t="str">
        <f t="shared" si="35"/>
        <v/>
      </c>
    </row>
    <row r="204" spans="1:18">
      <c r="A204" s="12"/>
      <c r="B204" s="13"/>
      <c r="C204" s="14"/>
      <c r="D204" s="15"/>
      <c r="E204" s="15"/>
      <c r="F204" s="15"/>
      <c r="G204" s="13"/>
      <c r="H204" s="16" t="str">
        <f t="shared" si="27"/>
        <v/>
      </c>
      <c r="I204" s="17" t="str">
        <f>IF(OR(A204="",B204=""),"",IFERROR(LOOKUP(2,1/(单次交易!$A$2:$A$201=A204),单次交易!$H$2:$H$201),0)+SUMIFS($G$2:$G$1001,$A$2:$A$1001,A204,$B$2:$B$1001,"&lt;"&amp;B204))</f>
        <v/>
      </c>
      <c r="J204" s="16" t="str">
        <f>IF(OR(A204="",B204=""),"",IFERROR(LOOKUP(2,1/(单次交易!$A$2:$A$201=A204),单次交易!$E$2:$E$201)*LOOKUP(2,1/(单次交易!$A$2:$A$201=A204),单次交易!$H$2:$H$201),0)+SUMIFS($H$2:$H$1001,$A$2:$A$1001,A204,$B$2:$B$1001,"&lt;"&amp;B204))</f>
        <v/>
      </c>
      <c r="K204" s="16" t="str">
        <f t="shared" si="28"/>
        <v/>
      </c>
      <c r="L204" s="17" t="str">
        <f t="shared" si="29"/>
        <v/>
      </c>
      <c r="M204" s="17" t="str">
        <f t="shared" si="30"/>
        <v/>
      </c>
      <c r="N204" s="17" t="str">
        <f t="shared" si="31"/>
        <v/>
      </c>
      <c r="O204" s="17" t="str">
        <f t="shared" si="32"/>
        <v/>
      </c>
      <c r="P204" s="16" t="str">
        <f t="shared" si="33"/>
        <v/>
      </c>
      <c r="Q204" s="16" t="str">
        <f t="shared" si="34"/>
        <v/>
      </c>
      <c r="R204" s="18" t="str">
        <f t="shared" si="35"/>
        <v/>
      </c>
    </row>
    <row r="205" spans="1:18">
      <c r="A205" s="12"/>
      <c r="B205" s="13"/>
      <c r="C205" s="14"/>
      <c r="D205" s="15"/>
      <c r="E205" s="15"/>
      <c r="F205" s="15"/>
      <c r="G205" s="13"/>
      <c r="H205" s="16" t="str">
        <f t="shared" si="27"/>
        <v/>
      </c>
      <c r="I205" s="17" t="str">
        <f>IF(OR(A205="",B205=""),"",IFERROR(LOOKUP(2,1/(单次交易!$A$2:$A$201=A205),单次交易!$H$2:$H$201),0)+SUMIFS($G$2:$G$1001,$A$2:$A$1001,A205,$B$2:$B$1001,"&lt;"&amp;B205))</f>
        <v/>
      </c>
      <c r="J205" s="16" t="str">
        <f>IF(OR(A205="",B205=""),"",IFERROR(LOOKUP(2,1/(单次交易!$A$2:$A$201=A205),单次交易!$E$2:$E$201)*LOOKUP(2,1/(单次交易!$A$2:$A$201=A205),单次交易!$H$2:$H$201),0)+SUMIFS($H$2:$H$1001,$A$2:$A$1001,A205,$B$2:$B$1001,"&lt;"&amp;B205))</f>
        <v/>
      </c>
      <c r="K205" s="16" t="str">
        <f t="shared" si="28"/>
        <v/>
      </c>
      <c r="L205" s="17" t="str">
        <f t="shared" si="29"/>
        <v/>
      </c>
      <c r="M205" s="17" t="str">
        <f t="shared" si="30"/>
        <v/>
      </c>
      <c r="N205" s="17" t="str">
        <f t="shared" si="31"/>
        <v/>
      </c>
      <c r="O205" s="17" t="str">
        <f t="shared" si="32"/>
        <v/>
      </c>
      <c r="P205" s="16" t="str">
        <f t="shared" si="33"/>
        <v/>
      </c>
      <c r="Q205" s="16" t="str">
        <f t="shared" si="34"/>
        <v/>
      </c>
      <c r="R205" s="18" t="str">
        <f t="shared" si="35"/>
        <v/>
      </c>
    </row>
    <row r="206" spans="1:18">
      <c r="A206" s="12"/>
      <c r="B206" s="13"/>
      <c r="C206" s="14"/>
      <c r="D206" s="15"/>
      <c r="E206" s="15"/>
      <c r="F206" s="15"/>
      <c r="G206" s="13"/>
      <c r="H206" s="16" t="str">
        <f t="shared" si="27"/>
        <v/>
      </c>
      <c r="I206" s="17" t="str">
        <f>IF(OR(A206="",B206=""),"",IFERROR(LOOKUP(2,1/(单次交易!$A$2:$A$201=A206),单次交易!$H$2:$H$201),0)+SUMIFS($G$2:$G$1001,$A$2:$A$1001,A206,$B$2:$B$1001,"&lt;"&amp;B206))</f>
        <v/>
      </c>
      <c r="J206" s="16" t="str">
        <f>IF(OR(A206="",B206=""),"",IFERROR(LOOKUP(2,1/(单次交易!$A$2:$A$201=A206),单次交易!$E$2:$E$201)*LOOKUP(2,1/(单次交易!$A$2:$A$201=A206),单次交易!$H$2:$H$201),0)+SUMIFS($H$2:$H$1001,$A$2:$A$1001,A206,$B$2:$B$1001,"&lt;"&amp;B206))</f>
        <v/>
      </c>
      <c r="K206" s="16" t="str">
        <f t="shared" si="28"/>
        <v/>
      </c>
      <c r="L206" s="17" t="str">
        <f t="shared" si="29"/>
        <v/>
      </c>
      <c r="M206" s="17" t="str">
        <f t="shared" si="30"/>
        <v/>
      </c>
      <c r="N206" s="17" t="str">
        <f t="shared" si="31"/>
        <v/>
      </c>
      <c r="O206" s="17" t="str">
        <f t="shared" si="32"/>
        <v/>
      </c>
      <c r="P206" s="16" t="str">
        <f t="shared" si="33"/>
        <v/>
      </c>
      <c r="Q206" s="16" t="str">
        <f t="shared" si="34"/>
        <v/>
      </c>
      <c r="R206" s="18" t="str">
        <f t="shared" si="35"/>
        <v/>
      </c>
    </row>
    <row r="207" spans="1:18">
      <c r="A207" s="12"/>
      <c r="B207" s="13"/>
      <c r="C207" s="14"/>
      <c r="D207" s="15"/>
      <c r="E207" s="15"/>
      <c r="F207" s="15"/>
      <c r="G207" s="13"/>
      <c r="H207" s="16" t="str">
        <f t="shared" si="27"/>
        <v/>
      </c>
      <c r="I207" s="17" t="str">
        <f>IF(OR(A207="",B207=""),"",IFERROR(LOOKUP(2,1/(单次交易!$A$2:$A$201=A207),单次交易!$H$2:$H$201),0)+SUMIFS($G$2:$G$1001,$A$2:$A$1001,A207,$B$2:$B$1001,"&lt;"&amp;B207))</f>
        <v/>
      </c>
      <c r="J207" s="16" t="str">
        <f>IF(OR(A207="",B207=""),"",IFERROR(LOOKUP(2,1/(单次交易!$A$2:$A$201=A207),单次交易!$E$2:$E$201)*LOOKUP(2,1/(单次交易!$A$2:$A$201=A207),单次交易!$H$2:$H$201),0)+SUMIFS($H$2:$H$1001,$A$2:$A$1001,A207,$B$2:$B$1001,"&lt;"&amp;B207))</f>
        <v/>
      </c>
      <c r="K207" s="16" t="str">
        <f t="shared" si="28"/>
        <v/>
      </c>
      <c r="L207" s="17" t="str">
        <f t="shared" si="29"/>
        <v/>
      </c>
      <c r="M207" s="17" t="str">
        <f t="shared" si="30"/>
        <v/>
      </c>
      <c r="N207" s="17" t="str">
        <f t="shared" si="31"/>
        <v/>
      </c>
      <c r="O207" s="17" t="str">
        <f t="shared" si="32"/>
        <v/>
      </c>
      <c r="P207" s="16" t="str">
        <f t="shared" si="33"/>
        <v/>
      </c>
      <c r="Q207" s="16" t="str">
        <f t="shared" si="34"/>
        <v/>
      </c>
      <c r="R207" s="18" t="str">
        <f t="shared" si="35"/>
        <v/>
      </c>
    </row>
    <row r="208" spans="1:18">
      <c r="A208" s="12"/>
      <c r="B208" s="13"/>
      <c r="C208" s="14"/>
      <c r="D208" s="15"/>
      <c r="E208" s="15"/>
      <c r="F208" s="15"/>
      <c r="G208" s="13"/>
      <c r="H208" s="16" t="str">
        <f t="shared" si="27"/>
        <v/>
      </c>
      <c r="I208" s="17" t="str">
        <f>IF(OR(A208="",B208=""),"",IFERROR(LOOKUP(2,1/(单次交易!$A$2:$A$201=A208),单次交易!$H$2:$H$201),0)+SUMIFS($G$2:$G$1001,$A$2:$A$1001,A208,$B$2:$B$1001,"&lt;"&amp;B208))</f>
        <v/>
      </c>
      <c r="J208" s="16" t="str">
        <f>IF(OR(A208="",B208=""),"",IFERROR(LOOKUP(2,1/(单次交易!$A$2:$A$201=A208),单次交易!$E$2:$E$201)*LOOKUP(2,1/(单次交易!$A$2:$A$201=A208),单次交易!$H$2:$H$201),0)+SUMIFS($H$2:$H$1001,$A$2:$A$1001,A208,$B$2:$B$1001,"&lt;"&amp;B208))</f>
        <v/>
      </c>
      <c r="K208" s="16" t="str">
        <f t="shared" si="28"/>
        <v/>
      </c>
      <c r="L208" s="17" t="str">
        <f t="shared" si="29"/>
        <v/>
      </c>
      <c r="M208" s="17" t="str">
        <f t="shared" si="30"/>
        <v/>
      </c>
      <c r="N208" s="17" t="str">
        <f t="shared" si="31"/>
        <v/>
      </c>
      <c r="O208" s="17" t="str">
        <f t="shared" si="32"/>
        <v/>
      </c>
      <c r="P208" s="16" t="str">
        <f t="shared" si="33"/>
        <v/>
      </c>
      <c r="Q208" s="16" t="str">
        <f t="shared" si="34"/>
        <v/>
      </c>
      <c r="R208" s="18" t="str">
        <f t="shared" si="35"/>
        <v/>
      </c>
    </row>
    <row r="209" spans="1:18">
      <c r="A209" s="12"/>
      <c r="B209" s="13"/>
      <c r="C209" s="14"/>
      <c r="D209" s="15"/>
      <c r="E209" s="15"/>
      <c r="F209" s="15"/>
      <c r="G209" s="13"/>
      <c r="H209" s="16" t="str">
        <f t="shared" si="27"/>
        <v/>
      </c>
      <c r="I209" s="17" t="str">
        <f>IF(OR(A209="",B209=""),"",IFERROR(LOOKUP(2,1/(单次交易!$A$2:$A$201=A209),单次交易!$H$2:$H$201),0)+SUMIFS($G$2:$G$1001,$A$2:$A$1001,A209,$B$2:$B$1001,"&lt;"&amp;B209))</f>
        <v/>
      </c>
      <c r="J209" s="16" t="str">
        <f>IF(OR(A209="",B209=""),"",IFERROR(LOOKUP(2,1/(单次交易!$A$2:$A$201=A209),单次交易!$E$2:$E$201)*LOOKUP(2,1/(单次交易!$A$2:$A$201=A209),单次交易!$H$2:$H$201),0)+SUMIFS($H$2:$H$1001,$A$2:$A$1001,A209,$B$2:$B$1001,"&lt;"&amp;B209))</f>
        <v/>
      </c>
      <c r="K209" s="16" t="str">
        <f t="shared" si="28"/>
        <v/>
      </c>
      <c r="L209" s="17" t="str">
        <f t="shared" si="29"/>
        <v/>
      </c>
      <c r="M209" s="17" t="str">
        <f t="shared" si="30"/>
        <v/>
      </c>
      <c r="N209" s="17" t="str">
        <f t="shared" si="31"/>
        <v/>
      </c>
      <c r="O209" s="17" t="str">
        <f t="shared" si="32"/>
        <v/>
      </c>
      <c r="P209" s="16" t="str">
        <f t="shared" si="33"/>
        <v/>
      </c>
      <c r="Q209" s="16" t="str">
        <f t="shared" si="34"/>
        <v/>
      </c>
      <c r="R209" s="18" t="str">
        <f t="shared" si="35"/>
        <v/>
      </c>
    </row>
    <row r="210" spans="1:18">
      <c r="A210" s="12"/>
      <c r="B210" s="13"/>
      <c r="C210" s="14"/>
      <c r="D210" s="15"/>
      <c r="E210" s="15"/>
      <c r="F210" s="15"/>
      <c r="G210" s="13"/>
      <c r="H210" s="16" t="str">
        <f t="shared" si="27"/>
        <v/>
      </c>
      <c r="I210" s="17" t="str">
        <f>IF(OR(A210="",B210=""),"",IFERROR(LOOKUP(2,1/(单次交易!$A$2:$A$201=A210),单次交易!$H$2:$H$201),0)+SUMIFS($G$2:$G$1001,$A$2:$A$1001,A210,$B$2:$B$1001,"&lt;"&amp;B210))</f>
        <v/>
      </c>
      <c r="J210" s="16" t="str">
        <f>IF(OR(A210="",B210=""),"",IFERROR(LOOKUP(2,1/(单次交易!$A$2:$A$201=A210),单次交易!$E$2:$E$201)*LOOKUP(2,1/(单次交易!$A$2:$A$201=A210),单次交易!$H$2:$H$201),0)+SUMIFS($H$2:$H$1001,$A$2:$A$1001,A210,$B$2:$B$1001,"&lt;"&amp;B210))</f>
        <v/>
      </c>
      <c r="K210" s="16" t="str">
        <f t="shared" si="28"/>
        <v/>
      </c>
      <c r="L210" s="17" t="str">
        <f t="shared" si="29"/>
        <v/>
      </c>
      <c r="M210" s="17" t="str">
        <f t="shared" si="30"/>
        <v/>
      </c>
      <c r="N210" s="17" t="str">
        <f t="shared" si="31"/>
        <v/>
      </c>
      <c r="O210" s="17" t="str">
        <f t="shared" si="32"/>
        <v/>
      </c>
      <c r="P210" s="16" t="str">
        <f t="shared" si="33"/>
        <v/>
      </c>
      <c r="Q210" s="16" t="str">
        <f t="shared" si="34"/>
        <v/>
      </c>
      <c r="R210" s="18" t="str">
        <f t="shared" si="35"/>
        <v/>
      </c>
    </row>
    <row r="211" spans="1:18">
      <c r="A211" s="12"/>
      <c r="B211" s="13"/>
      <c r="C211" s="14"/>
      <c r="D211" s="15"/>
      <c r="E211" s="15"/>
      <c r="F211" s="15"/>
      <c r="G211" s="13"/>
      <c r="H211" s="16" t="str">
        <f t="shared" si="27"/>
        <v/>
      </c>
      <c r="I211" s="17" t="str">
        <f>IF(OR(A211="",B211=""),"",IFERROR(LOOKUP(2,1/(单次交易!$A$2:$A$201=A211),单次交易!$H$2:$H$201),0)+SUMIFS($G$2:$G$1001,$A$2:$A$1001,A211,$B$2:$B$1001,"&lt;"&amp;B211))</f>
        <v/>
      </c>
      <c r="J211" s="16" t="str">
        <f>IF(OR(A211="",B211=""),"",IFERROR(LOOKUP(2,1/(单次交易!$A$2:$A$201=A211),单次交易!$E$2:$E$201)*LOOKUP(2,1/(单次交易!$A$2:$A$201=A211),单次交易!$H$2:$H$201),0)+SUMIFS($H$2:$H$1001,$A$2:$A$1001,A211,$B$2:$B$1001,"&lt;"&amp;B211))</f>
        <v/>
      </c>
      <c r="K211" s="16" t="str">
        <f t="shared" si="28"/>
        <v/>
      </c>
      <c r="L211" s="17" t="str">
        <f t="shared" si="29"/>
        <v/>
      </c>
      <c r="M211" s="17" t="str">
        <f t="shared" si="30"/>
        <v/>
      </c>
      <c r="N211" s="17" t="str">
        <f t="shared" si="31"/>
        <v/>
      </c>
      <c r="O211" s="17" t="str">
        <f t="shared" si="32"/>
        <v/>
      </c>
      <c r="P211" s="16" t="str">
        <f t="shared" si="33"/>
        <v/>
      </c>
      <c r="Q211" s="16" t="str">
        <f t="shared" si="34"/>
        <v/>
      </c>
      <c r="R211" s="18" t="str">
        <f t="shared" si="35"/>
        <v/>
      </c>
    </row>
    <row r="212" spans="1:18">
      <c r="A212" s="12"/>
      <c r="B212" s="13"/>
      <c r="C212" s="14"/>
      <c r="D212" s="15"/>
      <c r="E212" s="15"/>
      <c r="F212" s="15"/>
      <c r="G212" s="13"/>
      <c r="H212" s="16" t="str">
        <f t="shared" si="27"/>
        <v/>
      </c>
      <c r="I212" s="17" t="str">
        <f>IF(OR(A212="",B212=""),"",IFERROR(LOOKUP(2,1/(单次交易!$A$2:$A$201=A212),单次交易!$H$2:$H$201),0)+SUMIFS($G$2:$G$1001,$A$2:$A$1001,A212,$B$2:$B$1001,"&lt;"&amp;B212))</f>
        <v/>
      </c>
      <c r="J212" s="16" t="str">
        <f>IF(OR(A212="",B212=""),"",IFERROR(LOOKUP(2,1/(单次交易!$A$2:$A$201=A212),单次交易!$E$2:$E$201)*LOOKUP(2,1/(单次交易!$A$2:$A$201=A212),单次交易!$H$2:$H$201),0)+SUMIFS($H$2:$H$1001,$A$2:$A$1001,A212,$B$2:$B$1001,"&lt;"&amp;B212))</f>
        <v/>
      </c>
      <c r="K212" s="16" t="str">
        <f t="shared" si="28"/>
        <v/>
      </c>
      <c r="L212" s="17" t="str">
        <f t="shared" si="29"/>
        <v/>
      </c>
      <c r="M212" s="17" t="str">
        <f t="shared" si="30"/>
        <v/>
      </c>
      <c r="N212" s="17" t="str">
        <f t="shared" si="31"/>
        <v/>
      </c>
      <c r="O212" s="17" t="str">
        <f t="shared" si="32"/>
        <v/>
      </c>
      <c r="P212" s="16" t="str">
        <f t="shared" si="33"/>
        <v/>
      </c>
      <c r="Q212" s="16" t="str">
        <f t="shared" si="34"/>
        <v/>
      </c>
      <c r="R212" s="18" t="str">
        <f t="shared" si="35"/>
        <v/>
      </c>
    </row>
    <row r="213" spans="1:18">
      <c r="A213" s="12"/>
      <c r="B213" s="13"/>
      <c r="C213" s="14"/>
      <c r="D213" s="15"/>
      <c r="E213" s="15"/>
      <c r="F213" s="15"/>
      <c r="G213" s="13"/>
      <c r="H213" s="16" t="str">
        <f t="shared" si="27"/>
        <v/>
      </c>
      <c r="I213" s="17" t="str">
        <f>IF(OR(A213="",B213=""),"",IFERROR(LOOKUP(2,1/(单次交易!$A$2:$A$201=A213),单次交易!$H$2:$H$201),0)+SUMIFS($G$2:$G$1001,$A$2:$A$1001,A213,$B$2:$B$1001,"&lt;"&amp;B213))</f>
        <v/>
      </c>
      <c r="J213" s="16" t="str">
        <f>IF(OR(A213="",B213=""),"",IFERROR(LOOKUP(2,1/(单次交易!$A$2:$A$201=A213),单次交易!$E$2:$E$201)*LOOKUP(2,1/(单次交易!$A$2:$A$201=A213),单次交易!$H$2:$H$201),0)+SUMIFS($H$2:$H$1001,$A$2:$A$1001,A213,$B$2:$B$1001,"&lt;"&amp;B213))</f>
        <v/>
      </c>
      <c r="K213" s="16" t="str">
        <f t="shared" si="28"/>
        <v/>
      </c>
      <c r="L213" s="17" t="str">
        <f t="shared" si="29"/>
        <v/>
      </c>
      <c r="M213" s="17" t="str">
        <f t="shared" si="30"/>
        <v/>
      </c>
      <c r="N213" s="17" t="str">
        <f t="shared" si="31"/>
        <v/>
      </c>
      <c r="O213" s="17" t="str">
        <f t="shared" si="32"/>
        <v/>
      </c>
      <c r="P213" s="16" t="str">
        <f t="shared" si="33"/>
        <v/>
      </c>
      <c r="Q213" s="16" t="str">
        <f t="shared" si="34"/>
        <v/>
      </c>
      <c r="R213" s="18" t="str">
        <f t="shared" si="35"/>
        <v/>
      </c>
    </row>
    <row r="214" spans="1:18">
      <c r="A214" s="12"/>
      <c r="B214" s="13"/>
      <c r="C214" s="14"/>
      <c r="D214" s="15"/>
      <c r="E214" s="15"/>
      <c r="F214" s="15"/>
      <c r="G214" s="13"/>
      <c r="H214" s="16" t="str">
        <f t="shared" si="27"/>
        <v/>
      </c>
      <c r="I214" s="17" t="str">
        <f>IF(OR(A214="",B214=""),"",IFERROR(LOOKUP(2,1/(单次交易!$A$2:$A$201=A214),单次交易!$H$2:$H$201),0)+SUMIFS($G$2:$G$1001,$A$2:$A$1001,A214,$B$2:$B$1001,"&lt;"&amp;B214))</f>
        <v/>
      </c>
      <c r="J214" s="16" t="str">
        <f>IF(OR(A214="",B214=""),"",IFERROR(LOOKUP(2,1/(单次交易!$A$2:$A$201=A214),单次交易!$E$2:$E$201)*LOOKUP(2,1/(单次交易!$A$2:$A$201=A214),单次交易!$H$2:$H$201),0)+SUMIFS($H$2:$H$1001,$A$2:$A$1001,A214,$B$2:$B$1001,"&lt;"&amp;B214))</f>
        <v/>
      </c>
      <c r="K214" s="16" t="str">
        <f t="shared" si="28"/>
        <v/>
      </c>
      <c r="L214" s="17" t="str">
        <f t="shared" si="29"/>
        <v/>
      </c>
      <c r="M214" s="17" t="str">
        <f t="shared" si="30"/>
        <v/>
      </c>
      <c r="N214" s="17" t="str">
        <f t="shared" si="31"/>
        <v/>
      </c>
      <c r="O214" s="17" t="str">
        <f t="shared" si="32"/>
        <v/>
      </c>
      <c r="P214" s="16" t="str">
        <f t="shared" si="33"/>
        <v/>
      </c>
      <c r="Q214" s="16" t="str">
        <f t="shared" si="34"/>
        <v/>
      </c>
      <c r="R214" s="18" t="str">
        <f t="shared" si="35"/>
        <v/>
      </c>
    </row>
    <row r="215" spans="1:18">
      <c r="A215" s="12"/>
      <c r="B215" s="13"/>
      <c r="C215" s="14"/>
      <c r="D215" s="15"/>
      <c r="E215" s="15"/>
      <c r="F215" s="15"/>
      <c r="G215" s="13"/>
      <c r="H215" s="16" t="str">
        <f t="shared" si="27"/>
        <v/>
      </c>
      <c r="I215" s="17" t="str">
        <f>IF(OR(A215="",B215=""),"",IFERROR(LOOKUP(2,1/(单次交易!$A$2:$A$201=A215),单次交易!$H$2:$H$201),0)+SUMIFS($G$2:$G$1001,$A$2:$A$1001,A215,$B$2:$B$1001,"&lt;"&amp;B215))</f>
        <v/>
      </c>
      <c r="J215" s="16" t="str">
        <f>IF(OR(A215="",B215=""),"",IFERROR(LOOKUP(2,1/(单次交易!$A$2:$A$201=A215),单次交易!$E$2:$E$201)*LOOKUP(2,1/(单次交易!$A$2:$A$201=A215),单次交易!$H$2:$H$201),0)+SUMIFS($H$2:$H$1001,$A$2:$A$1001,A215,$B$2:$B$1001,"&lt;"&amp;B215))</f>
        <v/>
      </c>
      <c r="K215" s="16" t="str">
        <f t="shared" si="28"/>
        <v/>
      </c>
      <c r="L215" s="17" t="str">
        <f t="shared" si="29"/>
        <v/>
      </c>
      <c r="M215" s="17" t="str">
        <f t="shared" si="30"/>
        <v/>
      </c>
      <c r="N215" s="17" t="str">
        <f t="shared" si="31"/>
        <v/>
      </c>
      <c r="O215" s="17" t="str">
        <f t="shared" si="32"/>
        <v/>
      </c>
      <c r="P215" s="16" t="str">
        <f t="shared" si="33"/>
        <v/>
      </c>
      <c r="Q215" s="16" t="str">
        <f t="shared" si="34"/>
        <v/>
      </c>
      <c r="R215" s="18" t="str">
        <f t="shared" si="35"/>
        <v/>
      </c>
    </row>
    <row r="216" spans="1:18">
      <c r="A216" s="12"/>
      <c r="B216" s="13"/>
      <c r="C216" s="14"/>
      <c r="D216" s="15"/>
      <c r="E216" s="15"/>
      <c r="F216" s="15"/>
      <c r="G216" s="13"/>
      <c r="H216" s="16" t="str">
        <f t="shared" si="27"/>
        <v/>
      </c>
      <c r="I216" s="17" t="str">
        <f>IF(OR(A216="",B216=""),"",IFERROR(LOOKUP(2,1/(单次交易!$A$2:$A$201=A216),单次交易!$H$2:$H$201),0)+SUMIFS($G$2:$G$1001,$A$2:$A$1001,A216,$B$2:$B$1001,"&lt;"&amp;B216))</f>
        <v/>
      </c>
      <c r="J216" s="16" t="str">
        <f>IF(OR(A216="",B216=""),"",IFERROR(LOOKUP(2,1/(单次交易!$A$2:$A$201=A216),单次交易!$E$2:$E$201)*LOOKUP(2,1/(单次交易!$A$2:$A$201=A216),单次交易!$H$2:$H$201),0)+SUMIFS($H$2:$H$1001,$A$2:$A$1001,A216,$B$2:$B$1001,"&lt;"&amp;B216))</f>
        <v/>
      </c>
      <c r="K216" s="16" t="str">
        <f t="shared" si="28"/>
        <v/>
      </c>
      <c r="L216" s="17" t="str">
        <f t="shared" si="29"/>
        <v/>
      </c>
      <c r="M216" s="17" t="str">
        <f t="shared" si="30"/>
        <v/>
      </c>
      <c r="N216" s="17" t="str">
        <f t="shared" si="31"/>
        <v/>
      </c>
      <c r="O216" s="17" t="str">
        <f t="shared" si="32"/>
        <v/>
      </c>
      <c r="P216" s="16" t="str">
        <f t="shared" si="33"/>
        <v/>
      </c>
      <c r="Q216" s="16" t="str">
        <f t="shared" si="34"/>
        <v/>
      </c>
      <c r="R216" s="18" t="str">
        <f t="shared" si="35"/>
        <v/>
      </c>
    </row>
    <row r="217" spans="1:18">
      <c r="A217" s="12"/>
      <c r="B217" s="13"/>
      <c r="C217" s="14"/>
      <c r="D217" s="15"/>
      <c r="E217" s="15"/>
      <c r="F217" s="15"/>
      <c r="G217" s="13"/>
      <c r="H217" s="16" t="str">
        <f t="shared" si="27"/>
        <v/>
      </c>
      <c r="I217" s="17" t="str">
        <f>IF(OR(A217="",B217=""),"",IFERROR(LOOKUP(2,1/(单次交易!$A$2:$A$201=A217),单次交易!$H$2:$H$201),0)+SUMIFS($G$2:$G$1001,$A$2:$A$1001,A217,$B$2:$B$1001,"&lt;"&amp;B217))</f>
        <v/>
      </c>
      <c r="J217" s="16" t="str">
        <f>IF(OR(A217="",B217=""),"",IFERROR(LOOKUP(2,1/(单次交易!$A$2:$A$201=A217),单次交易!$E$2:$E$201)*LOOKUP(2,1/(单次交易!$A$2:$A$201=A217),单次交易!$H$2:$H$201),0)+SUMIFS($H$2:$H$1001,$A$2:$A$1001,A217,$B$2:$B$1001,"&lt;"&amp;B217))</f>
        <v/>
      </c>
      <c r="K217" s="16" t="str">
        <f t="shared" si="28"/>
        <v/>
      </c>
      <c r="L217" s="17" t="str">
        <f t="shared" si="29"/>
        <v/>
      </c>
      <c r="M217" s="17" t="str">
        <f t="shared" si="30"/>
        <v/>
      </c>
      <c r="N217" s="17" t="str">
        <f t="shared" si="31"/>
        <v/>
      </c>
      <c r="O217" s="17" t="str">
        <f t="shared" si="32"/>
        <v/>
      </c>
      <c r="P217" s="16" t="str">
        <f t="shared" si="33"/>
        <v/>
      </c>
      <c r="Q217" s="16" t="str">
        <f t="shared" si="34"/>
        <v/>
      </c>
      <c r="R217" s="18" t="str">
        <f t="shared" si="35"/>
        <v/>
      </c>
    </row>
    <row r="218" spans="1:18">
      <c r="A218" s="12"/>
      <c r="B218" s="13"/>
      <c r="C218" s="14"/>
      <c r="D218" s="15"/>
      <c r="E218" s="15"/>
      <c r="F218" s="15"/>
      <c r="G218" s="13"/>
      <c r="H218" s="16" t="str">
        <f t="shared" si="27"/>
        <v/>
      </c>
      <c r="I218" s="17" t="str">
        <f>IF(OR(A218="",B218=""),"",IFERROR(LOOKUP(2,1/(单次交易!$A$2:$A$201=A218),单次交易!$H$2:$H$201),0)+SUMIFS($G$2:$G$1001,$A$2:$A$1001,A218,$B$2:$B$1001,"&lt;"&amp;B218))</f>
        <v/>
      </c>
      <c r="J218" s="16" t="str">
        <f>IF(OR(A218="",B218=""),"",IFERROR(LOOKUP(2,1/(单次交易!$A$2:$A$201=A218),单次交易!$E$2:$E$201)*LOOKUP(2,1/(单次交易!$A$2:$A$201=A218),单次交易!$H$2:$H$201),0)+SUMIFS($H$2:$H$1001,$A$2:$A$1001,A218,$B$2:$B$1001,"&lt;"&amp;B218))</f>
        <v/>
      </c>
      <c r="K218" s="16" t="str">
        <f t="shared" si="28"/>
        <v/>
      </c>
      <c r="L218" s="17" t="str">
        <f t="shared" si="29"/>
        <v/>
      </c>
      <c r="M218" s="17" t="str">
        <f t="shared" si="30"/>
        <v/>
      </c>
      <c r="N218" s="17" t="str">
        <f t="shared" si="31"/>
        <v/>
      </c>
      <c r="O218" s="17" t="str">
        <f t="shared" si="32"/>
        <v/>
      </c>
      <c r="P218" s="16" t="str">
        <f t="shared" si="33"/>
        <v/>
      </c>
      <c r="Q218" s="16" t="str">
        <f t="shared" si="34"/>
        <v/>
      </c>
      <c r="R218" s="18" t="str">
        <f t="shared" si="35"/>
        <v/>
      </c>
    </row>
    <row r="219" spans="1:18">
      <c r="A219" s="12"/>
      <c r="B219" s="13"/>
      <c r="C219" s="14"/>
      <c r="D219" s="15"/>
      <c r="E219" s="15"/>
      <c r="F219" s="15"/>
      <c r="G219" s="13"/>
      <c r="H219" s="16" t="str">
        <f t="shared" si="27"/>
        <v/>
      </c>
      <c r="I219" s="17" t="str">
        <f>IF(OR(A219="",B219=""),"",IFERROR(LOOKUP(2,1/(单次交易!$A$2:$A$201=A219),单次交易!$H$2:$H$201),0)+SUMIFS($G$2:$G$1001,$A$2:$A$1001,A219,$B$2:$B$1001,"&lt;"&amp;B219))</f>
        <v/>
      </c>
      <c r="J219" s="16" t="str">
        <f>IF(OR(A219="",B219=""),"",IFERROR(LOOKUP(2,1/(单次交易!$A$2:$A$201=A219),单次交易!$E$2:$E$201)*LOOKUP(2,1/(单次交易!$A$2:$A$201=A219),单次交易!$H$2:$H$201),0)+SUMIFS($H$2:$H$1001,$A$2:$A$1001,A219,$B$2:$B$1001,"&lt;"&amp;B219))</f>
        <v/>
      </c>
      <c r="K219" s="16" t="str">
        <f t="shared" si="28"/>
        <v/>
      </c>
      <c r="L219" s="17" t="str">
        <f t="shared" si="29"/>
        <v/>
      </c>
      <c r="M219" s="17" t="str">
        <f t="shared" si="30"/>
        <v/>
      </c>
      <c r="N219" s="17" t="str">
        <f t="shared" si="31"/>
        <v/>
      </c>
      <c r="O219" s="17" t="str">
        <f t="shared" si="32"/>
        <v/>
      </c>
      <c r="P219" s="16" t="str">
        <f t="shared" si="33"/>
        <v/>
      </c>
      <c r="Q219" s="16" t="str">
        <f t="shared" si="34"/>
        <v/>
      </c>
      <c r="R219" s="18" t="str">
        <f t="shared" si="35"/>
        <v/>
      </c>
    </row>
    <row r="220" spans="1:18">
      <c r="A220" s="12"/>
      <c r="B220" s="13"/>
      <c r="C220" s="14"/>
      <c r="D220" s="15"/>
      <c r="E220" s="15"/>
      <c r="F220" s="15"/>
      <c r="G220" s="13"/>
      <c r="H220" s="16" t="str">
        <f t="shared" si="27"/>
        <v/>
      </c>
      <c r="I220" s="17" t="str">
        <f>IF(OR(A220="",B220=""),"",IFERROR(LOOKUP(2,1/(单次交易!$A$2:$A$201=A220),单次交易!$H$2:$H$201),0)+SUMIFS($G$2:$G$1001,$A$2:$A$1001,A220,$B$2:$B$1001,"&lt;"&amp;B220))</f>
        <v/>
      </c>
      <c r="J220" s="16" t="str">
        <f>IF(OR(A220="",B220=""),"",IFERROR(LOOKUP(2,1/(单次交易!$A$2:$A$201=A220),单次交易!$E$2:$E$201)*LOOKUP(2,1/(单次交易!$A$2:$A$201=A220),单次交易!$H$2:$H$201),0)+SUMIFS($H$2:$H$1001,$A$2:$A$1001,A220,$B$2:$B$1001,"&lt;"&amp;B220))</f>
        <v/>
      </c>
      <c r="K220" s="16" t="str">
        <f t="shared" si="28"/>
        <v/>
      </c>
      <c r="L220" s="17" t="str">
        <f t="shared" si="29"/>
        <v/>
      </c>
      <c r="M220" s="17" t="str">
        <f t="shared" si="30"/>
        <v/>
      </c>
      <c r="N220" s="17" t="str">
        <f t="shared" si="31"/>
        <v/>
      </c>
      <c r="O220" s="17" t="str">
        <f t="shared" si="32"/>
        <v/>
      </c>
      <c r="P220" s="16" t="str">
        <f t="shared" si="33"/>
        <v/>
      </c>
      <c r="Q220" s="16" t="str">
        <f t="shared" si="34"/>
        <v/>
      </c>
      <c r="R220" s="18" t="str">
        <f t="shared" si="35"/>
        <v/>
      </c>
    </row>
    <row r="221" spans="1:18">
      <c r="A221" s="12"/>
      <c r="B221" s="13"/>
      <c r="C221" s="14"/>
      <c r="D221" s="15"/>
      <c r="E221" s="15"/>
      <c r="F221" s="15"/>
      <c r="G221" s="13"/>
      <c r="H221" s="16" t="str">
        <f t="shared" si="27"/>
        <v/>
      </c>
      <c r="I221" s="17" t="str">
        <f>IF(OR(A221="",B221=""),"",IFERROR(LOOKUP(2,1/(单次交易!$A$2:$A$201=A221),单次交易!$H$2:$H$201),0)+SUMIFS($G$2:$G$1001,$A$2:$A$1001,A221,$B$2:$B$1001,"&lt;"&amp;B221))</f>
        <v/>
      </c>
      <c r="J221" s="16" t="str">
        <f>IF(OR(A221="",B221=""),"",IFERROR(LOOKUP(2,1/(单次交易!$A$2:$A$201=A221),单次交易!$E$2:$E$201)*LOOKUP(2,1/(单次交易!$A$2:$A$201=A221),单次交易!$H$2:$H$201),0)+SUMIFS($H$2:$H$1001,$A$2:$A$1001,A221,$B$2:$B$1001,"&lt;"&amp;B221))</f>
        <v/>
      </c>
      <c r="K221" s="16" t="str">
        <f t="shared" si="28"/>
        <v/>
      </c>
      <c r="L221" s="17" t="str">
        <f t="shared" si="29"/>
        <v/>
      </c>
      <c r="M221" s="17" t="str">
        <f t="shared" si="30"/>
        <v/>
      </c>
      <c r="N221" s="17" t="str">
        <f t="shared" si="31"/>
        <v/>
      </c>
      <c r="O221" s="17" t="str">
        <f t="shared" si="32"/>
        <v/>
      </c>
      <c r="P221" s="16" t="str">
        <f t="shared" si="33"/>
        <v/>
      </c>
      <c r="Q221" s="16" t="str">
        <f t="shared" si="34"/>
        <v/>
      </c>
      <c r="R221" s="18" t="str">
        <f t="shared" si="35"/>
        <v/>
      </c>
    </row>
    <row r="222" spans="1:18">
      <c r="A222" s="12"/>
      <c r="B222" s="13"/>
      <c r="C222" s="14"/>
      <c r="D222" s="15"/>
      <c r="E222" s="15"/>
      <c r="F222" s="15"/>
      <c r="G222" s="13"/>
      <c r="H222" s="16" t="str">
        <f t="shared" si="27"/>
        <v/>
      </c>
      <c r="I222" s="17" t="str">
        <f>IF(OR(A222="",B222=""),"",IFERROR(LOOKUP(2,1/(单次交易!$A$2:$A$201=A222),单次交易!$H$2:$H$201),0)+SUMIFS($G$2:$G$1001,$A$2:$A$1001,A222,$B$2:$B$1001,"&lt;"&amp;B222))</f>
        <v/>
      </c>
      <c r="J222" s="16" t="str">
        <f>IF(OR(A222="",B222=""),"",IFERROR(LOOKUP(2,1/(单次交易!$A$2:$A$201=A222),单次交易!$E$2:$E$201)*LOOKUP(2,1/(单次交易!$A$2:$A$201=A222),单次交易!$H$2:$H$201),0)+SUMIFS($H$2:$H$1001,$A$2:$A$1001,A222,$B$2:$B$1001,"&lt;"&amp;B222))</f>
        <v/>
      </c>
      <c r="K222" s="16" t="str">
        <f t="shared" si="28"/>
        <v/>
      </c>
      <c r="L222" s="17" t="str">
        <f t="shared" si="29"/>
        <v/>
      </c>
      <c r="M222" s="17" t="str">
        <f t="shared" si="30"/>
        <v/>
      </c>
      <c r="N222" s="17" t="str">
        <f t="shared" si="31"/>
        <v/>
      </c>
      <c r="O222" s="17" t="str">
        <f t="shared" si="32"/>
        <v/>
      </c>
      <c r="P222" s="16" t="str">
        <f t="shared" si="33"/>
        <v/>
      </c>
      <c r="Q222" s="16" t="str">
        <f t="shared" si="34"/>
        <v/>
      </c>
      <c r="R222" s="18" t="str">
        <f t="shared" si="35"/>
        <v/>
      </c>
    </row>
    <row r="223" spans="1:18">
      <c r="A223" s="12"/>
      <c r="B223" s="13"/>
      <c r="C223" s="14"/>
      <c r="D223" s="15"/>
      <c r="E223" s="15"/>
      <c r="F223" s="15"/>
      <c r="G223" s="13"/>
      <c r="H223" s="16" t="str">
        <f t="shared" si="27"/>
        <v/>
      </c>
      <c r="I223" s="17" t="str">
        <f>IF(OR(A223="",B223=""),"",IFERROR(LOOKUP(2,1/(单次交易!$A$2:$A$201=A223),单次交易!$H$2:$H$201),0)+SUMIFS($G$2:$G$1001,$A$2:$A$1001,A223,$B$2:$B$1001,"&lt;"&amp;B223))</f>
        <v/>
      </c>
      <c r="J223" s="16" t="str">
        <f>IF(OR(A223="",B223=""),"",IFERROR(LOOKUP(2,1/(单次交易!$A$2:$A$201=A223),单次交易!$E$2:$E$201)*LOOKUP(2,1/(单次交易!$A$2:$A$201=A223),单次交易!$H$2:$H$201),0)+SUMIFS($H$2:$H$1001,$A$2:$A$1001,A223,$B$2:$B$1001,"&lt;"&amp;B223))</f>
        <v/>
      </c>
      <c r="K223" s="16" t="str">
        <f t="shared" si="28"/>
        <v/>
      </c>
      <c r="L223" s="17" t="str">
        <f t="shared" si="29"/>
        <v/>
      </c>
      <c r="M223" s="17" t="str">
        <f t="shared" si="30"/>
        <v/>
      </c>
      <c r="N223" s="17" t="str">
        <f t="shared" si="31"/>
        <v/>
      </c>
      <c r="O223" s="17" t="str">
        <f t="shared" si="32"/>
        <v/>
      </c>
      <c r="P223" s="16" t="str">
        <f t="shared" si="33"/>
        <v/>
      </c>
      <c r="Q223" s="16" t="str">
        <f t="shared" si="34"/>
        <v/>
      </c>
      <c r="R223" s="18" t="str">
        <f t="shared" si="35"/>
        <v/>
      </c>
    </row>
    <row r="224" spans="1:18">
      <c r="A224" s="12"/>
      <c r="B224" s="13"/>
      <c r="C224" s="14"/>
      <c r="D224" s="15"/>
      <c r="E224" s="15"/>
      <c r="F224" s="15"/>
      <c r="G224" s="13"/>
      <c r="H224" s="16" t="str">
        <f t="shared" si="27"/>
        <v/>
      </c>
      <c r="I224" s="17" t="str">
        <f>IF(OR(A224="",B224=""),"",IFERROR(LOOKUP(2,1/(单次交易!$A$2:$A$201=A224),单次交易!$H$2:$H$201),0)+SUMIFS($G$2:$G$1001,$A$2:$A$1001,A224,$B$2:$B$1001,"&lt;"&amp;B224))</f>
        <v/>
      </c>
      <c r="J224" s="16" t="str">
        <f>IF(OR(A224="",B224=""),"",IFERROR(LOOKUP(2,1/(单次交易!$A$2:$A$201=A224),单次交易!$E$2:$E$201)*LOOKUP(2,1/(单次交易!$A$2:$A$201=A224),单次交易!$H$2:$H$201),0)+SUMIFS($H$2:$H$1001,$A$2:$A$1001,A224,$B$2:$B$1001,"&lt;"&amp;B224))</f>
        <v/>
      </c>
      <c r="K224" s="16" t="str">
        <f t="shared" si="28"/>
        <v/>
      </c>
      <c r="L224" s="17" t="str">
        <f t="shared" si="29"/>
        <v/>
      </c>
      <c r="M224" s="17" t="str">
        <f t="shared" si="30"/>
        <v/>
      </c>
      <c r="N224" s="17" t="str">
        <f t="shared" si="31"/>
        <v/>
      </c>
      <c r="O224" s="17" t="str">
        <f t="shared" si="32"/>
        <v/>
      </c>
      <c r="P224" s="16" t="str">
        <f t="shared" si="33"/>
        <v/>
      </c>
      <c r="Q224" s="16" t="str">
        <f t="shared" si="34"/>
        <v/>
      </c>
      <c r="R224" s="18" t="str">
        <f t="shared" si="35"/>
        <v/>
      </c>
    </row>
    <row r="225" spans="1:18">
      <c r="A225" s="12"/>
      <c r="B225" s="13"/>
      <c r="C225" s="14"/>
      <c r="D225" s="15"/>
      <c r="E225" s="15"/>
      <c r="F225" s="15"/>
      <c r="G225" s="13"/>
      <c r="H225" s="16" t="str">
        <f t="shared" si="27"/>
        <v/>
      </c>
      <c r="I225" s="17" t="str">
        <f>IF(OR(A225="",B225=""),"",IFERROR(LOOKUP(2,1/(单次交易!$A$2:$A$201=A225),单次交易!$H$2:$H$201),0)+SUMIFS($G$2:$G$1001,$A$2:$A$1001,A225,$B$2:$B$1001,"&lt;"&amp;B225))</f>
        <v/>
      </c>
      <c r="J225" s="16" t="str">
        <f>IF(OR(A225="",B225=""),"",IFERROR(LOOKUP(2,1/(单次交易!$A$2:$A$201=A225),单次交易!$E$2:$E$201)*LOOKUP(2,1/(单次交易!$A$2:$A$201=A225),单次交易!$H$2:$H$201),0)+SUMIFS($H$2:$H$1001,$A$2:$A$1001,A225,$B$2:$B$1001,"&lt;"&amp;B225))</f>
        <v/>
      </c>
      <c r="K225" s="16" t="str">
        <f t="shared" si="28"/>
        <v/>
      </c>
      <c r="L225" s="17" t="str">
        <f t="shared" si="29"/>
        <v/>
      </c>
      <c r="M225" s="17" t="str">
        <f t="shared" si="30"/>
        <v/>
      </c>
      <c r="N225" s="17" t="str">
        <f t="shared" si="31"/>
        <v/>
      </c>
      <c r="O225" s="17" t="str">
        <f t="shared" si="32"/>
        <v/>
      </c>
      <c r="P225" s="16" t="str">
        <f t="shared" si="33"/>
        <v/>
      </c>
      <c r="Q225" s="16" t="str">
        <f t="shared" si="34"/>
        <v/>
      </c>
      <c r="R225" s="18" t="str">
        <f t="shared" si="35"/>
        <v/>
      </c>
    </row>
    <row r="226" spans="1:18">
      <c r="A226" s="12"/>
      <c r="B226" s="13"/>
      <c r="C226" s="14"/>
      <c r="D226" s="15"/>
      <c r="E226" s="15"/>
      <c r="F226" s="15"/>
      <c r="G226" s="13"/>
      <c r="H226" s="16" t="str">
        <f t="shared" si="27"/>
        <v/>
      </c>
      <c r="I226" s="17" t="str">
        <f>IF(OR(A226="",B226=""),"",IFERROR(LOOKUP(2,1/(单次交易!$A$2:$A$201=A226),单次交易!$H$2:$H$201),0)+SUMIFS($G$2:$G$1001,$A$2:$A$1001,A226,$B$2:$B$1001,"&lt;"&amp;B226))</f>
        <v/>
      </c>
      <c r="J226" s="16" t="str">
        <f>IF(OR(A226="",B226=""),"",IFERROR(LOOKUP(2,1/(单次交易!$A$2:$A$201=A226),单次交易!$E$2:$E$201)*LOOKUP(2,1/(单次交易!$A$2:$A$201=A226),单次交易!$H$2:$H$201),0)+SUMIFS($H$2:$H$1001,$A$2:$A$1001,A226,$B$2:$B$1001,"&lt;"&amp;B226))</f>
        <v/>
      </c>
      <c r="K226" s="16" t="str">
        <f t="shared" si="28"/>
        <v/>
      </c>
      <c r="L226" s="17" t="str">
        <f t="shared" si="29"/>
        <v/>
      </c>
      <c r="M226" s="17" t="str">
        <f t="shared" si="30"/>
        <v/>
      </c>
      <c r="N226" s="17" t="str">
        <f t="shared" si="31"/>
        <v/>
      </c>
      <c r="O226" s="17" t="str">
        <f t="shared" si="32"/>
        <v/>
      </c>
      <c r="P226" s="16" t="str">
        <f t="shared" si="33"/>
        <v/>
      </c>
      <c r="Q226" s="16" t="str">
        <f t="shared" si="34"/>
        <v/>
      </c>
      <c r="R226" s="18" t="str">
        <f t="shared" si="35"/>
        <v/>
      </c>
    </row>
    <row r="227" spans="1:18">
      <c r="A227" s="12"/>
      <c r="B227" s="13"/>
      <c r="C227" s="14"/>
      <c r="D227" s="15"/>
      <c r="E227" s="15"/>
      <c r="F227" s="15"/>
      <c r="G227" s="13"/>
      <c r="H227" s="16" t="str">
        <f t="shared" si="27"/>
        <v/>
      </c>
      <c r="I227" s="17" t="str">
        <f>IF(OR(A227="",B227=""),"",IFERROR(LOOKUP(2,1/(单次交易!$A$2:$A$201=A227),单次交易!$H$2:$H$201),0)+SUMIFS($G$2:$G$1001,$A$2:$A$1001,A227,$B$2:$B$1001,"&lt;"&amp;B227))</f>
        <v/>
      </c>
      <c r="J227" s="16" t="str">
        <f>IF(OR(A227="",B227=""),"",IFERROR(LOOKUP(2,1/(单次交易!$A$2:$A$201=A227),单次交易!$E$2:$E$201)*LOOKUP(2,1/(单次交易!$A$2:$A$201=A227),单次交易!$H$2:$H$201),0)+SUMIFS($H$2:$H$1001,$A$2:$A$1001,A227,$B$2:$B$1001,"&lt;"&amp;B227))</f>
        <v/>
      </c>
      <c r="K227" s="16" t="str">
        <f t="shared" si="28"/>
        <v/>
      </c>
      <c r="L227" s="17" t="str">
        <f t="shared" si="29"/>
        <v/>
      </c>
      <c r="M227" s="17" t="str">
        <f t="shared" si="30"/>
        <v/>
      </c>
      <c r="N227" s="17" t="str">
        <f t="shared" si="31"/>
        <v/>
      </c>
      <c r="O227" s="17" t="str">
        <f t="shared" si="32"/>
        <v/>
      </c>
      <c r="P227" s="16" t="str">
        <f t="shared" si="33"/>
        <v/>
      </c>
      <c r="Q227" s="16" t="str">
        <f t="shared" si="34"/>
        <v/>
      </c>
      <c r="R227" s="18" t="str">
        <f t="shared" si="35"/>
        <v/>
      </c>
    </row>
    <row r="228" spans="1:18">
      <c r="A228" s="12"/>
      <c r="B228" s="13"/>
      <c r="C228" s="14"/>
      <c r="D228" s="15"/>
      <c r="E228" s="15"/>
      <c r="F228" s="15"/>
      <c r="G228" s="13"/>
      <c r="H228" s="16" t="str">
        <f t="shared" si="27"/>
        <v/>
      </c>
      <c r="I228" s="17" t="str">
        <f>IF(OR(A228="",B228=""),"",IFERROR(LOOKUP(2,1/(单次交易!$A$2:$A$201=A228),单次交易!$H$2:$H$201),0)+SUMIFS($G$2:$G$1001,$A$2:$A$1001,A228,$B$2:$B$1001,"&lt;"&amp;B228))</f>
        <v/>
      </c>
      <c r="J228" s="16" t="str">
        <f>IF(OR(A228="",B228=""),"",IFERROR(LOOKUP(2,1/(单次交易!$A$2:$A$201=A228),单次交易!$E$2:$E$201)*LOOKUP(2,1/(单次交易!$A$2:$A$201=A228),单次交易!$H$2:$H$201),0)+SUMIFS($H$2:$H$1001,$A$2:$A$1001,A228,$B$2:$B$1001,"&lt;"&amp;B228))</f>
        <v/>
      </c>
      <c r="K228" s="16" t="str">
        <f t="shared" si="28"/>
        <v/>
      </c>
      <c r="L228" s="17" t="str">
        <f t="shared" si="29"/>
        <v/>
      </c>
      <c r="M228" s="17" t="str">
        <f t="shared" si="30"/>
        <v/>
      </c>
      <c r="N228" s="17" t="str">
        <f t="shared" si="31"/>
        <v/>
      </c>
      <c r="O228" s="17" t="str">
        <f t="shared" si="32"/>
        <v/>
      </c>
      <c r="P228" s="16" t="str">
        <f t="shared" si="33"/>
        <v/>
      </c>
      <c r="Q228" s="16" t="str">
        <f t="shared" si="34"/>
        <v/>
      </c>
      <c r="R228" s="18" t="str">
        <f t="shared" si="35"/>
        <v/>
      </c>
    </row>
    <row r="229" spans="1:18">
      <c r="A229" s="12"/>
      <c r="B229" s="13"/>
      <c r="C229" s="14"/>
      <c r="D229" s="15"/>
      <c r="E229" s="15"/>
      <c r="F229" s="15"/>
      <c r="G229" s="13"/>
      <c r="H229" s="16" t="str">
        <f t="shared" si="27"/>
        <v/>
      </c>
      <c r="I229" s="17" t="str">
        <f>IF(OR(A229="",B229=""),"",IFERROR(LOOKUP(2,1/(单次交易!$A$2:$A$201=A229),单次交易!$H$2:$H$201),0)+SUMIFS($G$2:$G$1001,$A$2:$A$1001,A229,$B$2:$B$1001,"&lt;"&amp;B229))</f>
        <v/>
      </c>
      <c r="J229" s="16" t="str">
        <f>IF(OR(A229="",B229=""),"",IFERROR(LOOKUP(2,1/(单次交易!$A$2:$A$201=A229),单次交易!$E$2:$E$201)*LOOKUP(2,1/(单次交易!$A$2:$A$201=A229),单次交易!$H$2:$H$201),0)+SUMIFS($H$2:$H$1001,$A$2:$A$1001,A229,$B$2:$B$1001,"&lt;"&amp;B229))</f>
        <v/>
      </c>
      <c r="K229" s="16" t="str">
        <f t="shared" si="28"/>
        <v/>
      </c>
      <c r="L229" s="17" t="str">
        <f t="shared" si="29"/>
        <v/>
      </c>
      <c r="M229" s="17" t="str">
        <f t="shared" si="30"/>
        <v/>
      </c>
      <c r="N229" s="17" t="str">
        <f t="shared" si="31"/>
        <v/>
      </c>
      <c r="O229" s="17" t="str">
        <f t="shared" si="32"/>
        <v/>
      </c>
      <c r="P229" s="16" t="str">
        <f t="shared" si="33"/>
        <v/>
      </c>
      <c r="Q229" s="16" t="str">
        <f t="shared" si="34"/>
        <v/>
      </c>
      <c r="R229" s="18" t="str">
        <f t="shared" si="35"/>
        <v/>
      </c>
    </row>
    <row r="230" spans="1:18">
      <c r="A230" s="12"/>
      <c r="B230" s="13"/>
      <c r="C230" s="14"/>
      <c r="D230" s="15"/>
      <c r="E230" s="15"/>
      <c r="F230" s="15"/>
      <c r="G230" s="13"/>
      <c r="H230" s="16" t="str">
        <f t="shared" si="27"/>
        <v/>
      </c>
      <c r="I230" s="17" t="str">
        <f>IF(OR(A230="",B230=""),"",IFERROR(LOOKUP(2,1/(单次交易!$A$2:$A$201=A230),单次交易!$H$2:$H$201),0)+SUMIFS($G$2:$G$1001,$A$2:$A$1001,A230,$B$2:$B$1001,"&lt;"&amp;B230))</f>
        <v/>
      </c>
      <c r="J230" s="16" t="str">
        <f>IF(OR(A230="",B230=""),"",IFERROR(LOOKUP(2,1/(单次交易!$A$2:$A$201=A230),单次交易!$E$2:$E$201)*LOOKUP(2,1/(单次交易!$A$2:$A$201=A230),单次交易!$H$2:$H$201),0)+SUMIFS($H$2:$H$1001,$A$2:$A$1001,A230,$B$2:$B$1001,"&lt;"&amp;B230))</f>
        <v/>
      </c>
      <c r="K230" s="16" t="str">
        <f t="shared" si="28"/>
        <v/>
      </c>
      <c r="L230" s="17" t="str">
        <f t="shared" si="29"/>
        <v/>
      </c>
      <c r="M230" s="17" t="str">
        <f t="shared" si="30"/>
        <v/>
      </c>
      <c r="N230" s="17" t="str">
        <f t="shared" si="31"/>
        <v/>
      </c>
      <c r="O230" s="17" t="str">
        <f t="shared" si="32"/>
        <v/>
      </c>
      <c r="P230" s="16" t="str">
        <f t="shared" si="33"/>
        <v/>
      </c>
      <c r="Q230" s="16" t="str">
        <f t="shared" si="34"/>
        <v/>
      </c>
      <c r="R230" s="18" t="str">
        <f t="shared" si="35"/>
        <v/>
      </c>
    </row>
    <row r="231" spans="1:18">
      <c r="A231" s="12"/>
      <c r="B231" s="13"/>
      <c r="C231" s="14"/>
      <c r="D231" s="15"/>
      <c r="E231" s="15"/>
      <c r="F231" s="15"/>
      <c r="G231" s="13"/>
      <c r="H231" s="16" t="str">
        <f t="shared" si="27"/>
        <v/>
      </c>
      <c r="I231" s="17" t="str">
        <f>IF(OR(A231="",B231=""),"",IFERROR(LOOKUP(2,1/(单次交易!$A$2:$A$201=A231),单次交易!$H$2:$H$201),0)+SUMIFS($G$2:$G$1001,$A$2:$A$1001,A231,$B$2:$B$1001,"&lt;"&amp;B231))</f>
        <v/>
      </c>
      <c r="J231" s="16" t="str">
        <f>IF(OR(A231="",B231=""),"",IFERROR(LOOKUP(2,1/(单次交易!$A$2:$A$201=A231),单次交易!$E$2:$E$201)*LOOKUP(2,1/(单次交易!$A$2:$A$201=A231),单次交易!$H$2:$H$201),0)+SUMIFS($H$2:$H$1001,$A$2:$A$1001,A231,$B$2:$B$1001,"&lt;"&amp;B231))</f>
        <v/>
      </c>
      <c r="K231" s="16" t="str">
        <f t="shared" si="28"/>
        <v/>
      </c>
      <c r="L231" s="17" t="str">
        <f t="shared" si="29"/>
        <v/>
      </c>
      <c r="M231" s="17" t="str">
        <f t="shared" si="30"/>
        <v/>
      </c>
      <c r="N231" s="17" t="str">
        <f t="shared" si="31"/>
        <v/>
      </c>
      <c r="O231" s="17" t="str">
        <f t="shared" si="32"/>
        <v/>
      </c>
      <c r="P231" s="16" t="str">
        <f t="shared" si="33"/>
        <v/>
      </c>
      <c r="Q231" s="16" t="str">
        <f t="shared" si="34"/>
        <v/>
      </c>
      <c r="R231" s="18" t="str">
        <f t="shared" si="35"/>
        <v/>
      </c>
    </row>
    <row r="232" spans="1:18">
      <c r="A232" s="12"/>
      <c r="B232" s="13"/>
      <c r="C232" s="14"/>
      <c r="D232" s="15"/>
      <c r="E232" s="15"/>
      <c r="F232" s="15"/>
      <c r="G232" s="13"/>
      <c r="H232" s="16" t="str">
        <f t="shared" si="27"/>
        <v/>
      </c>
      <c r="I232" s="17" t="str">
        <f>IF(OR(A232="",B232=""),"",IFERROR(LOOKUP(2,1/(单次交易!$A$2:$A$201=A232),单次交易!$H$2:$H$201),0)+SUMIFS($G$2:$G$1001,$A$2:$A$1001,A232,$B$2:$B$1001,"&lt;"&amp;B232))</f>
        <v/>
      </c>
      <c r="J232" s="16" t="str">
        <f>IF(OR(A232="",B232=""),"",IFERROR(LOOKUP(2,1/(单次交易!$A$2:$A$201=A232),单次交易!$E$2:$E$201)*LOOKUP(2,1/(单次交易!$A$2:$A$201=A232),单次交易!$H$2:$H$201),0)+SUMIFS($H$2:$H$1001,$A$2:$A$1001,A232,$B$2:$B$1001,"&lt;"&amp;B232))</f>
        <v/>
      </c>
      <c r="K232" s="16" t="str">
        <f t="shared" si="28"/>
        <v/>
      </c>
      <c r="L232" s="17" t="str">
        <f t="shared" si="29"/>
        <v/>
      </c>
      <c r="M232" s="17" t="str">
        <f t="shared" si="30"/>
        <v/>
      </c>
      <c r="N232" s="17" t="str">
        <f t="shared" si="31"/>
        <v/>
      </c>
      <c r="O232" s="17" t="str">
        <f t="shared" si="32"/>
        <v/>
      </c>
      <c r="P232" s="16" t="str">
        <f t="shared" si="33"/>
        <v/>
      </c>
      <c r="Q232" s="16" t="str">
        <f t="shared" si="34"/>
        <v/>
      </c>
      <c r="R232" s="18" t="str">
        <f t="shared" si="35"/>
        <v/>
      </c>
    </row>
    <row r="233" spans="1:18">
      <c r="A233" s="12"/>
      <c r="B233" s="13"/>
      <c r="C233" s="14"/>
      <c r="D233" s="15"/>
      <c r="E233" s="15"/>
      <c r="F233" s="15"/>
      <c r="G233" s="13"/>
      <c r="H233" s="16" t="str">
        <f t="shared" si="27"/>
        <v/>
      </c>
      <c r="I233" s="17" t="str">
        <f>IF(OR(A233="",B233=""),"",IFERROR(LOOKUP(2,1/(单次交易!$A$2:$A$201=A233),单次交易!$H$2:$H$201),0)+SUMIFS($G$2:$G$1001,$A$2:$A$1001,A233,$B$2:$B$1001,"&lt;"&amp;B233))</f>
        <v/>
      </c>
      <c r="J233" s="16" t="str">
        <f>IF(OR(A233="",B233=""),"",IFERROR(LOOKUP(2,1/(单次交易!$A$2:$A$201=A233),单次交易!$E$2:$E$201)*LOOKUP(2,1/(单次交易!$A$2:$A$201=A233),单次交易!$H$2:$H$201),0)+SUMIFS($H$2:$H$1001,$A$2:$A$1001,A233,$B$2:$B$1001,"&lt;"&amp;B233))</f>
        <v/>
      </c>
      <c r="K233" s="16" t="str">
        <f t="shared" si="28"/>
        <v/>
      </c>
      <c r="L233" s="17" t="str">
        <f t="shared" si="29"/>
        <v/>
      </c>
      <c r="M233" s="17" t="str">
        <f t="shared" si="30"/>
        <v/>
      </c>
      <c r="N233" s="17" t="str">
        <f t="shared" si="31"/>
        <v/>
      </c>
      <c r="O233" s="17" t="str">
        <f t="shared" si="32"/>
        <v/>
      </c>
      <c r="P233" s="16" t="str">
        <f t="shared" si="33"/>
        <v/>
      </c>
      <c r="Q233" s="16" t="str">
        <f t="shared" si="34"/>
        <v/>
      </c>
      <c r="R233" s="18" t="str">
        <f t="shared" si="35"/>
        <v/>
      </c>
    </row>
    <row r="234" spans="1:18">
      <c r="A234" s="12"/>
      <c r="B234" s="13"/>
      <c r="C234" s="14"/>
      <c r="D234" s="15"/>
      <c r="E234" s="15"/>
      <c r="F234" s="15"/>
      <c r="G234" s="13"/>
      <c r="H234" s="16" t="str">
        <f t="shared" si="27"/>
        <v/>
      </c>
      <c r="I234" s="17" t="str">
        <f>IF(OR(A234="",B234=""),"",IFERROR(LOOKUP(2,1/(单次交易!$A$2:$A$201=A234),单次交易!$H$2:$H$201),0)+SUMIFS($G$2:$G$1001,$A$2:$A$1001,A234,$B$2:$B$1001,"&lt;"&amp;B234))</f>
        <v/>
      </c>
      <c r="J234" s="16" t="str">
        <f>IF(OR(A234="",B234=""),"",IFERROR(LOOKUP(2,1/(单次交易!$A$2:$A$201=A234),单次交易!$E$2:$E$201)*LOOKUP(2,1/(单次交易!$A$2:$A$201=A234),单次交易!$H$2:$H$201),0)+SUMIFS($H$2:$H$1001,$A$2:$A$1001,A234,$B$2:$B$1001,"&lt;"&amp;B234))</f>
        <v/>
      </c>
      <c r="K234" s="16" t="str">
        <f t="shared" si="28"/>
        <v/>
      </c>
      <c r="L234" s="17" t="str">
        <f t="shared" si="29"/>
        <v/>
      </c>
      <c r="M234" s="17" t="str">
        <f t="shared" si="30"/>
        <v/>
      </c>
      <c r="N234" s="17" t="str">
        <f t="shared" si="31"/>
        <v/>
      </c>
      <c r="O234" s="17" t="str">
        <f t="shared" si="32"/>
        <v/>
      </c>
      <c r="P234" s="16" t="str">
        <f t="shared" si="33"/>
        <v/>
      </c>
      <c r="Q234" s="16" t="str">
        <f t="shared" si="34"/>
        <v/>
      </c>
      <c r="R234" s="18" t="str">
        <f t="shared" si="35"/>
        <v/>
      </c>
    </row>
    <row r="235" spans="1:18">
      <c r="A235" s="12"/>
      <c r="B235" s="13"/>
      <c r="C235" s="14"/>
      <c r="D235" s="15"/>
      <c r="E235" s="15"/>
      <c r="F235" s="15"/>
      <c r="G235" s="13"/>
      <c r="H235" s="16" t="str">
        <f t="shared" si="27"/>
        <v/>
      </c>
      <c r="I235" s="17" t="str">
        <f>IF(OR(A235="",B235=""),"",IFERROR(LOOKUP(2,1/(单次交易!$A$2:$A$201=A235),单次交易!$H$2:$H$201),0)+SUMIFS($G$2:$G$1001,$A$2:$A$1001,A235,$B$2:$B$1001,"&lt;"&amp;B235))</f>
        <v/>
      </c>
      <c r="J235" s="16" t="str">
        <f>IF(OR(A235="",B235=""),"",IFERROR(LOOKUP(2,1/(单次交易!$A$2:$A$201=A235),单次交易!$E$2:$E$201)*LOOKUP(2,1/(单次交易!$A$2:$A$201=A235),单次交易!$H$2:$H$201),0)+SUMIFS($H$2:$H$1001,$A$2:$A$1001,A235,$B$2:$B$1001,"&lt;"&amp;B235))</f>
        <v/>
      </c>
      <c r="K235" s="16" t="str">
        <f t="shared" si="28"/>
        <v/>
      </c>
      <c r="L235" s="17" t="str">
        <f t="shared" si="29"/>
        <v/>
      </c>
      <c r="M235" s="17" t="str">
        <f t="shared" si="30"/>
        <v/>
      </c>
      <c r="N235" s="17" t="str">
        <f t="shared" si="31"/>
        <v/>
      </c>
      <c r="O235" s="17" t="str">
        <f t="shared" si="32"/>
        <v/>
      </c>
      <c r="P235" s="16" t="str">
        <f t="shared" si="33"/>
        <v/>
      </c>
      <c r="Q235" s="16" t="str">
        <f t="shared" si="34"/>
        <v/>
      </c>
      <c r="R235" s="18" t="str">
        <f t="shared" si="35"/>
        <v/>
      </c>
    </row>
    <row r="236" spans="1:18">
      <c r="A236" s="12"/>
      <c r="B236" s="13"/>
      <c r="C236" s="14"/>
      <c r="D236" s="15"/>
      <c r="E236" s="15"/>
      <c r="F236" s="15"/>
      <c r="G236" s="13"/>
      <c r="H236" s="16" t="str">
        <f t="shared" si="27"/>
        <v/>
      </c>
      <c r="I236" s="17" t="str">
        <f>IF(OR(A236="",B236=""),"",IFERROR(LOOKUP(2,1/(单次交易!$A$2:$A$201=A236),单次交易!$H$2:$H$201),0)+SUMIFS($G$2:$G$1001,$A$2:$A$1001,A236,$B$2:$B$1001,"&lt;"&amp;B236))</f>
        <v/>
      </c>
      <c r="J236" s="16" t="str">
        <f>IF(OR(A236="",B236=""),"",IFERROR(LOOKUP(2,1/(单次交易!$A$2:$A$201=A236),单次交易!$E$2:$E$201)*LOOKUP(2,1/(单次交易!$A$2:$A$201=A236),单次交易!$H$2:$H$201),0)+SUMIFS($H$2:$H$1001,$A$2:$A$1001,A236,$B$2:$B$1001,"&lt;"&amp;B236))</f>
        <v/>
      </c>
      <c r="K236" s="16" t="str">
        <f t="shared" si="28"/>
        <v/>
      </c>
      <c r="L236" s="17" t="str">
        <f t="shared" si="29"/>
        <v/>
      </c>
      <c r="M236" s="17" t="str">
        <f t="shared" si="30"/>
        <v/>
      </c>
      <c r="N236" s="17" t="str">
        <f t="shared" si="31"/>
        <v/>
      </c>
      <c r="O236" s="17" t="str">
        <f t="shared" si="32"/>
        <v/>
      </c>
      <c r="P236" s="16" t="str">
        <f t="shared" si="33"/>
        <v/>
      </c>
      <c r="Q236" s="16" t="str">
        <f t="shared" si="34"/>
        <v/>
      </c>
      <c r="R236" s="18" t="str">
        <f t="shared" si="35"/>
        <v/>
      </c>
    </row>
    <row r="237" spans="1:18">
      <c r="A237" s="12"/>
      <c r="B237" s="13"/>
      <c r="C237" s="14"/>
      <c r="D237" s="15"/>
      <c r="E237" s="15"/>
      <c r="F237" s="15"/>
      <c r="G237" s="13"/>
      <c r="H237" s="16" t="str">
        <f t="shared" si="27"/>
        <v/>
      </c>
      <c r="I237" s="17" t="str">
        <f>IF(OR(A237="",B237=""),"",IFERROR(LOOKUP(2,1/(单次交易!$A$2:$A$201=A237),单次交易!$H$2:$H$201),0)+SUMIFS($G$2:$G$1001,$A$2:$A$1001,A237,$B$2:$B$1001,"&lt;"&amp;B237))</f>
        <v/>
      </c>
      <c r="J237" s="16" t="str">
        <f>IF(OR(A237="",B237=""),"",IFERROR(LOOKUP(2,1/(单次交易!$A$2:$A$201=A237),单次交易!$E$2:$E$201)*LOOKUP(2,1/(单次交易!$A$2:$A$201=A237),单次交易!$H$2:$H$201),0)+SUMIFS($H$2:$H$1001,$A$2:$A$1001,A237,$B$2:$B$1001,"&lt;"&amp;B237))</f>
        <v/>
      </c>
      <c r="K237" s="16" t="str">
        <f t="shared" si="28"/>
        <v/>
      </c>
      <c r="L237" s="17" t="str">
        <f t="shared" si="29"/>
        <v/>
      </c>
      <c r="M237" s="17" t="str">
        <f t="shared" si="30"/>
        <v/>
      </c>
      <c r="N237" s="17" t="str">
        <f t="shared" si="31"/>
        <v/>
      </c>
      <c r="O237" s="17" t="str">
        <f t="shared" si="32"/>
        <v/>
      </c>
      <c r="P237" s="16" t="str">
        <f t="shared" si="33"/>
        <v/>
      </c>
      <c r="Q237" s="16" t="str">
        <f t="shared" si="34"/>
        <v/>
      </c>
      <c r="R237" s="18" t="str">
        <f t="shared" si="35"/>
        <v/>
      </c>
    </row>
    <row r="238" spans="1:18">
      <c r="A238" s="12"/>
      <c r="B238" s="13"/>
      <c r="C238" s="14"/>
      <c r="D238" s="15"/>
      <c r="E238" s="15"/>
      <c r="F238" s="15"/>
      <c r="G238" s="13"/>
      <c r="H238" s="16" t="str">
        <f t="shared" si="27"/>
        <v/>
      </c>
      <c r="I238" s="17" t="str">
        <f>IF(OR(A238="",B238=""),"",IFERROR(LOOKUP(2,1/(单次交易!$A$2:$A$201=A238),单次交易!$H$2:$H$201),0)+SUMIFS($G$2:$G$1001,$A$2:$A$1001,A238,$B$2:$B$1001,"&lt;"&amp;B238))</f>
        <v/>
      </c>
      <c r="J238" s="16" t="str">
        <f>IF(OR(A238="",B238=""),"",IFERROR(LOOKUP(2,1/(单次交易!$A$2:$A$201=A238),单次交易!$E$2:$E$201)*LOOKUP(2,1/(单次交易!$A$2:$A$201=A238),单次交易!$H$2:$H$201),0)+SUMIFS($H$2:$H$1001,$A$2:$A$1001,A238,$B$2:$B$1001,"&lt;"&amp;B238))</f>
        <v/>
      </c>
      <c r="K238" s="16" t="str">
        <f t="shared" si="28"/>
        <v/>
      </c>
      <c r="L238" s="17" t="str">
        <f t="shared" si="29"/>
        <v/>
      </c>
      <c r="M238" s="17" t="str">
        <f t="shared" si="30"/>
        <v/>
      </c>
      <c r="N238" s="17" t="str">
        <f t="shared" si="31"/>
        <v/>
      </c>
      <c r="O238" s="17" t="str">
        <f t="shared" si="32"/>
        <v/>
      </c>
      <c r="P238" s="16" t="str">
        <f t="shared" si="33"/>
        <v/>
      </c>
      <c r="Q238" s="16" t="str">
        <f t="shared" si="34"/>
        <v/>
      </c>
      <c r="R238" s="18" t="str">
        <f t="shared" si="35"/>
        <v/>
      </c>
    </row>
    <row r="239" spans="1:18">
      <c r="A239" s="12"/>
      <c r="B239" s="13"/>
      <c r="C239" s="14"/>
      <c r="D239" s="15"/>
      <c r="E239" s="15"/>
      <c r="F239" s="15"/>
      <c r="G239" s="13"/>
      <c r="H239" s="16" t="str">
        <f t="shared" si="27"/>
        <v/>
      </c>
      <c r="I239" s="17" t="str">
        <f>IF(OR(A239="",B239=""),"",IFERROR(LOOKUP(2,1/(单次交易!$A$2:$A$201=A239),单次交易!$H$2:$H$201),0)+SUMIFS($G$2:$G$1001,$A$2:$A$1001,A239,$B$2:$B$1001,"&lt;"&amp;B239))</f>
        <v/>
      </c>
      <c r="J239" s="16" t="str">
        <f>IF(OR(A239="",B239=""),"",IFERROR(LOOKUP(2,1/(单次交易!$A$2:$A$201=A239),单次交易!$E$2:$E$201)*LOOKUP(2,1/(单次交易!$A$2:$A$201=A239),单次交易!$H$2:$H$201),0)+SUMIFS($H$2:$H$1001,$A$2:$A$1001,A239,$B$2:$B$1001,"&lt;"&amp;B239))</f>
        <v/>
      </c>
      <c r="K239" s="16" t="str">
        <f t="shared" si="28"/>
        <v/>
      </c>
      <c r="L239" s="17" t="str">
        <f t="shared" si="29"/>
        <v/>
      </c>
      <c r="M239" s="17" t="str">
        <f t="shared" si="30"/>
        <v/>
      </c>
      <c r="N239" s="17" t="str">
        <f t="shared" si="31"/>
        <v/>
      </c>
      <c r="O239" s="17" t="str">
        <f t="shared" si="32"/>
        <v/>
      </c>
      <c r="P239" s="16" t="str">
        <f t="shared" si="33"/>
        <v/>
      </c>
      <c r="Q239" s="16" t="str">
        <f t="shared" si="34"/>
        <v/>
      </c>
      <c r="R239" s="18" t="str">
        <f t="shared" si="35"/>
        <v/>
      </c>
    </row>
    <row r="240" spans="1:18">
      <c r="A240" s="12"/>
      <c r="B240" s="13"/>
      <c r="C240" s="14"/>
      <c r="D240" s="15"/>
      <c r="E240" s="15"/>
      <c r="F240" s="15"/>
      <c r="G240" s="13"/>
      <c r="H240" s="16" t="str">
        <f t="shared" si="27"/>
        <v/>
      </c>
      <c r="I240" s="17" t="str">
        <f>IF(OR(A240="",B240=""),"",IFERROR(LOOKUP(2,1/(单次交易!$A$2:$A$201=A240),单次交易!$H$2:$H$201),0)+SUMIFS($G$2:$G$1001,$A$2:$A$1001,A240,$B$2:$B$1001,"&lt;"&amp;B240))</f>
        <v/>
      </c>
      <c r="J240" s="16" t="str">
        <f>IF(OR(A240="",B240=""),"",IFERROR(LOOKUP(2,1/(单次交易!$A$2:$A$201=A240),单次交易!$E$2:$E$201)*LOOKUP(2,1/(单次交易!$A$2:$A$201=A240),单次交易!$H$2:$H$201),0)+SUMIFS($H$2:$H$1001,$A$2:$A$1001,A240,$B$2:$B$1001,"&lt;"&amp;B240))</f>
        <v/>
      </c>
      <c r="K240" s="16" t="str">
        <f t="shared" si="28"/>
        <v/>
      </c>
      <c r="L240" s="17" t="str">
        <f t="shared" si="29"/>
        <v/>
      </c>
      <c r="M240" s="17" t="str">
        <f t="shared" si="30"/>
        <v/>
      </c>
      <c r="N240" s="17" t="str">
        <f t="shared" si="31"/>
        <v/>
      </c>
      <c r="O240" s="17" t="str">
        <f t="shared" si="32"/>
        <v/>
      </c>
      <c r="P240" s="16" t="str">
        <f t="shared" si="33"/>
        <v/>
      </c>
      <c r="Q240" s="16" t="str">
        <f t="shared" si="34"/>
        <v/>
      </c>
      <c r="R240" s="18" t="str">
        <f t="shared" si="35"/>
        <v/>
      </c>
    </row>
    <row r="241" spans="1:18">
      <c r="A241" s="12"/>
      <c r="B241" s="13"/>
      <c r="C241" s="14"/>
      <c r="D241" s="15"/>
      <c r="E241" s="15"/>
      <c r="F241" s="15"/>
      <c r="G241" s="13"/>
      <c r="H241" s="16" t="str">
        <f t="shared" si="27"/>
        <v/>
      </c>
      <c r="I241" s="17" t="str">
        <f>IF(OR(A241="",B241=""),"",IFERROR(LOOKUP(2,1/(单次交易!$A$2:$A$201=A241),单次交易!$H$2:$H$201),0)+SUMIFS($G$2:$G$1001,$A$2:$A$1001,A241,$B$2:$B$1001,"&lt;"&amp;B241))</f>
        <v/>
      </c>
      <c r="J241" s="16" t="str">
        <f>IF(OR(A241="",B241=""),"",IFERROR(LOOKUP(2,1/(单次交易!$A$2:$A$201=A241),单次交易!$E$2:$E$201)*LOOKUP(2,1/(单次交易!$A$2:$A$201=A241),单次交易!$H$2:$H$201),0)+SUMIFS($H$2:$H$1001,$A$2:$A$1001,A241,$B$2:$B$1001,"&lt;"&amp;B241))</f>
        <v/>
      </c>
      <c r="K241" s="16" t="str">
        <f t="shared" si="28"/>
        <v/>
      </c>
      <c r="L241" s="17" t="str">
        <f t="shared" si="29"/>
        <v/>
      </c>
      <c r="M241" s="17" t="str">
        <f t="shared" si="30"/>
        <v/>
      </c>
      <c r="N241" s="17" t="str">
        <f t="shared" si="31"/>
        <v/>
      </c>
      <c r="O241" s="17" t="str">
        <f t="shared" si="32"/>
        <v/>
      </c>
      <c r="P241" s="16" t="str">
        <f t="shared" si="33"/>
        <v/>
      </c>
      <c r="Q241" s="16" t="str">
        <f t="shared" si="34"/>
        <v/>
      </c>
      <c r="R241" s="18" t="str">
        <f t="shared" si="35"/>
        <v/>
      </c>
    </row>
    <row r="242" spans="1:18">
      <c r="A242" s="12"/>
      <c r="B242" s="13"/>
      <c r="C242" s="14"/>
      <c r="D242" s="15"/>
      <c r="E242" s="15"/>
      <c r="F242" s="15"/>
      <c r="G242" s="13"/>
      <c r="H242" s="16" t="str">
        <f t="shared" si="27"/>
        <v/>
      </c>
      <c r="I242" s="17" t="str">
        <f>IF(OR(A242="",B242=""),"",IFERROR(LOOKUP(2,1/(单次交易!$A$2:$A$201=A242),单次交易!$H$2:$H$201),0)+SUMIFS($G$2:$G$1001,$A$2:$A$1001,A242,$B$2:$B$1001,"&lt;"&amp;B242))</f>
        <v/>
      </c>
      <c r="J242" s="16" t="str">
        <f>IF(OR(A242="",B242=""),"",IFERROR(LOOKUP(2,1/(单次交易!$A$2:$A$201=A242),单次交易!$E$2:$E$201)*LOOKUP(2,1/(单次交易!$A$2:$A$201=A242),单次交易!$H$2:$H$201),0)+SUMIFS($H$2:$H$1001,$A$2:$A$1001,A242,$B$2:$B$1001,"&lt;"&amp;B242))</f>
        <v/>
      </c>
      <c r="K242" s="16" t="str">
        <f t="shared" si="28"/>
        <v/>
      </c>
      <c r="L242" s="17" t="str">
        <f t="shared" si="29"/>
        <v/>
      </c>
      <c r="M242" s="17" t="str">
        <f t="shared" si="30"/>
        <v/>
      </c>
      <c r="N242" s="17" t="str">
        <f t="shared" si="31"/>
        <v/>
      </c>
      <c r="O242" s="17" t="str">
        <f t="shared" si="32"/>
        <v/>
      </c>
      <c r="P242" s="16" t="str">
        <f t="shared" si="33"/>
        <v/>
      </c>
      <c r="Q242" s="16" t="str">
        <f t="shared" si="34"/>
        <v/>
      </c>
      <c r="R242" s="18" t="str">
        <f t="shared" si="35"/>
        <v/>
      </c>
    </row>
    <row r="243" spans="1:18">
      <c r="A243" s="12"/>
      <c r="B243" s="13"/>
      <c r="C243" s="14"/>
      <c r="D243" s="15"/>
      <c r="E243" s="15"/>
      <c r="F243" s="15"/>
      <c r="G243" s="13"/>
      <c r="H243" s="16" t="str">
        <f t="shared" si="27"/>
        <v/>
      </c>
      <c r="I243" s="17" t="str">
        <f>IF(OR(A243="",B243=""),"",IFERROR(LOOKUP(2,1/(单次交易!$A$2:$A$201=A243),单次交易!$H$2:$H$201),0)+SUMIFS($G$2:$G$1001,$A$2:$A$1001,A243,$B$2:$B$1001,"&lt;"&amp;B243))</f>
        <v/>
      </c>
      <c r="J243" s="16" t="str">
        <f>IF(OR(A243="",B243=""),"",IFERROR(LOOKUP(2,1/(单次交易!$A$2:$A$201=A243),单次交易!$E$2:$E$201)*LOOKUP(2,1/(单次交易!$A$2:$A$201=A243),单次交易!$H$2:$H$201),0)+SUMIFS($H$2:$H$1001,$A$2:$A$1001,A243,$B$2:$B$1001,"&lt;"&amp;B243))</f>
        <v/>
      </c>
      <c r="K243" s="16" t="str">
        <f t="shared" si="28"/>
        <v/>
      </c>
      <c r="L243" s="17" t="str">
        <f t="shared" si="29"/>
        <v/>
      </c>
      <c r="M243" s="17" t="str">
        <f t="shared" si="30"/>
        <v/>
      </c>
      <c r="N243" s="17" t="str">
        <f t="shared" si="31"/>
        <v/>
      </c>
      <c r="O243" s="17" t="str">
        <f t="shared" si="32"/>
        <v/>
      </c>
      <c r="P243" s="16" t="str">
        <f t="shared" si="33"/>
        <v/>
      </c>
      <c r="Q243" s="16" t="str">
        <f t="shared" si="34"/>
        <v/>
      </c>
      <c r="R243" s="18" t="str">
        <f t="shared" si="35"/>
        <v/>
      </c>
    </row>
    <row r="244" spans="1:18">
      <c r="A244" s="12"/>
      <c r="B244" s="13"/>
      <c r="C244" s="14"/>
      <c r="D244" s="15"/>
      <c r="E244" s="15"/>
      <c r="F244" s="15"/>
      <c r="G244" s="13"/>
      <c r="H244" s="16" t="str">
        <f t="shared" si="27"/>
        <v/>
      </c>
      <c r="I244" s="17" t="str">
        <f>IF(OR(A244="",B244=""),"",IFERROR(LOOKUP(2,1/(单次交易!$A$2:$A$201=A244),单次交易!$H$2:$H$201),0)+SUMIFS($G$2:$G$1001,$A$2:$A$1001,A244,$B$2:$B$1001,"&lt;"&amp;B244))</f>
        <v/>
      </c>
      <c r="J244" s="16" t="str">
        <f>IF(OR(A244="",B244=""),"",IFERROR(LOOKUP(2,1/(单次交易!$A$2:$A$201=A244),单次交易!$E$2:$E$201)*LOOKUP(2,1/(单次交易!$A$2:$A$201=A244),单次交易!$H$2:$H$201),0)+SUMIFS($H$2:$H$1001,$A$2:$A$1001,A244,$B$2:$B$1001,"&lt;"&amp;B244))</f>
        <v/>
      </c>
      <c r="K244" s="16" t="str">
        <f t="shared" si="28"/>
        <v/>
      </c>
      <c r="L244" s="17" t="str">
        <f t="shared" si="29"/>
        <v/>
      </c>
      <c r="M244" s="17" t="str">
        <f t="shared" si="30"/>
        <v/>
      </c>
      <c r="N244" s="17" t="str">
        <f t="shared" si="31"/>
        <v/>
      </c>
      <c r="O244" s="17" t="str">
        <f t="shared" si="32"/>
        <v/>
      </c>
      <c r="P244" s="16" t="str">
        <f t="shared" si="33"/>
        <v/>
      </c>
      <c r="Q244" s="16" t="str">
        <f t="shared" si="34"/>
        <v/>
      </c>
      <c r="R244" s="18" t="str">
        <f t="shared" si="35"/>
        <v/>
      </c>
    </row>
    <row r="245" spans="1:18">
      <c r="A245" s="12"/>
      <c r="B245" s="13"/>
      <c r="C245" s="14"/>
      <c r="D245" s="15"/>
      <c r="E245" s="15"/>
      <c r="F245" s="15"/>
      <c r="G245" s="13"/>
      <c r="H245" s="16" t="str">
        <f t="shared" si="27"/>
        <v/>
      </c>
      <c r="I245" s="17" t="str">
        <f>IF(OR(A245="",B245=""),"",IFERROR(LOOKUP(2,1/(单次交易!$A$2:$A$201=A245),单次交易!$H$2:$H$201),0)+SUMIFS($G$2:$G$1001,$A$2:$A$1001,A245,$B$2:$B$1001,"&lt;"&amp;B245))</f>
        <v/>
      </c>
      <c r="J245" s="16" t="str">
        <f>IF(OR(A245="",B245=""),"",IFERROR(LOOKUP(2,1/(单次交易!$A$2:$A$201=A245),单次交易!$E$2:$E$201)*LOOKUP(2,1/(单次交易!$A$2:$A$201=A245),单次交易!$H$2:$H$201),0)+SUMIFS($H$2:$H$1001,$A$2:$A$1001,A245,$B$2:$B$1001,"&lt;"&amp;B245))</f>
        <v/>
      </c>
      <c r="K245" s="16" t="str">
        <f t="shared" si="28"/>
        <v/>
      </c>
      <c r="L245" s="17" t="str">
        <f t="shared" si="29"/>
        <v/>
      </c>
      <c r="M245" s="17" t="str">
        <f t="shared" si="30"/>
        <v/>
      </c>
      <c r="N245" s="17" t="str">
        <f t="shared" si="31"/>
        <v/>
      </c>
      <c r="O245" s="17" t="str">
        <f t="shared" si="32"/>
        <v/>
      </c>
      <c r="P245" s="16" t="str">
        <f t="shared" si="33"/>
        <v/>
      </c>
      <c r="Q245" s="16" t="str">
        <f t="shared" si="34"/>
        <v/>
      </c>
      <c r="R245" s="18" t="str">
        <f t="shared" si="35"/>
        <v/>
      </c>
    </row>
    <row r="246" spans="1:18">
      <c r="A246" s="12"/>
      <c r="B246" s="13"/>
      <c r="C246" s="14"/>
      <c r="D246" s="15"/>
      <c r="E246" s="15"/>
      <c r="F246" s="15"/>
      <c r="G246" s="13"/>
      <c r="H246" s="16" t="str">
        <f t="shared" si="27"/>
        <v/>
      </c>
      <c r="I246" s="17" t="str">
        <f>IF(OR(A246="",B246=""),"",IFERROR(LOOKUP(2,1/(单次交易!$A$2:$A$201=A246),单次交易!$H$2:$H$201),0)+SUMIFS($G$2:$G$1001,$A$2:$A$1001,A246,$B$2:$B$1001,"&lt;"&amp;B246))</f>
        <v/>
      </c>
      <c r="J246" s="16" t="str">
        <f>IF(OR(A246="",B246=""),"",IFERROR(LOOKUP(2,1/(单次交易!$A$2:$A$201=A246),单次交易!$E$2:$E$201)*LOOKUP(2,1/(单次交易!$A$2:$A$201=A246),单次交易!$H$2:$H$201),0)+SUMIFS($H$2:$H$1001,$A$2:$A$1001,A246,$B$2:$B$1001,"&lt;"&amp;B246))</f>
        <v/>
      </c>
      <c r="K246" s="16" t="str">
        <f t="shared" si="28"/>
        <v/>
      </c>
      <c r="L246" s="17" t="str">
        <f t="shared" si="29"/>
        <v/>
      </c>
      <c r="M246" s="17" t="str">
        <f t="shared" si="30"/>
        <v/>
      </c>
      <c r="N246" s="17" t="str">
        <f t="shared" si="31"/>
        <v/>
      </c>
      <c r="O246" s="17" t="str">
        <f t="shared" si="32"/>
        <v/>
      </c>
      <c r="P246" s="16" t="str">
        <f t="shared" si="33"/>
        <v/>
      </c>
      <c r="Q246" s="16" t="str">
        <f t="shared" si="34"/>
        <v/>
      </c>
      <c r="R246" s="18" t="str">
        <f t="shared" si="35"/>
        <v/>
      </c>
    </row>
    <row r="247" spans="1:18">
      <c r="A247" s="12"/>
      <c r="B247" s="13"/>
      <c r="C247" s="14"/>
      <c r="D247" s="15"/>
      <c r="E247" s="15"/>
      <c r="F247" s="15"/>
      <c r="G247" s="13"/>
      <c r="H247" s="16" t="str">
        <f t="shared" si="27"/>
        <v/>
      </c>
      <c r="I247" s="17" t="str">
        <f>IF(OR(A247="",B247=""),"",IFERROR(LOOKUP(2,1/(单次交易!$A$2:$A$201=A247),单次交易!$H$2:$H$201),0)+SUMIFS($G$2:$G$1001,$A$2:$A$1001,A247,$B$2:$B$1001,"&lt;"&amp;B247))</f>
        <v/>
      </c>
      <c r="J247" s="16" t="str">
        <f>IF(OR(A247="",B247=""),"",IFERROR(LOOKUP(2,1/(单次交易!$A$2:$A$201=A247),单次交易!$E$2:$E$201)*LOOKUP(2,1/(单次交易!$A$2:$A$201=A247),单次交易!$H$2:$H$201),0)+SUMIFS($H$2:$H$1001,$A$2:$A$1001,A247,$B$2:$B$1001,"&lt;"&amp;B247))</f>
        <v/>
      </c>
      <c r="K247" s="16" t="str">
        <f t="shared" si="28"/>
        <v/>
      </c>
      <c r="L247" s="17" t="str">
        <f t="shared" si="29"/>
        <v/>
      </c>
      <c r="M247" s="17" t="str">
        <f t="shared" si="30"/>
        <v/>
      </c>
      <c r="N247" s="17" t="str">
        <f t="shared" si="31"/>
        <v/>
      </c>
      <c r="O247" s="17" t="str">
        <f t="shared" si="32"/>
        <v/>
      </c>
      <c r="P247" s="16" t="str">
        <f t="shared" si="33"/>
        <v/>
      </c>
      <c r="Q247" s="16" t="str">
        <f t="shared" si="34"/>
        <v/>
      </c>
      <c r="R247" s="18" t="str">
        <f t="shared" si="35"/>
        <v/>
      </c>
    </row>
    <row r="248" spans="1:18">
      <c r="A248" s="12"/>
      <c r="B248" s="13"/>
      <c r="C248" s="14"/>
      <c r="D248" s="15"/>
      <c r="E248" s="15"/>
      <c r="F248" s="15"/>
      <c r="G248" s="13"/>
      <c r="H248" s="16" t="str">
        <f t="shared" si="27"/>
        <v/>
      </c>
      <c r="I248" s="17" t="str">
        <f>IF(OR(A248="",B248=""),"",IFERROR(LOOKUP(2,1/(单次交易!$A$2:$A$201=A248),单次交易!$H$2:$H$201),0)+SUMIFS($G$2:$G$1001,$A$2:$A$1001,A248,$B$2:$B$1001,"&lt;"&amp;B248))</f>
        <v/>
      </c>
      <c r="J248" s="16" t="str">
        <f>IF(OR(A248="",B248=""),"",IFERROR(LOOKUP(2,1/(单次交易!$A$2:$A$201=A248),单次交易!$E$2:$E$201)*LOOKUP(2,1/(单次交易!$A$2:$A$201=A248),单次交易!$H$2:$H$201),0)+SUMIFS($H$2:$H$1001,$A$2:$A$1001,A248,$B$2:$B$1001,"&lt;"&amp;B248))</f>
        <v/>
      </c>
      <c r="K248" s="16" t="str">
        <f t="shared" si="28"/>
        <v/>
      </c>
      <c r="L248" s="17" t="str">
        <f t="shared" si="29"/>
        <v/>
      </c>
      <c r="M248" s="17" t="str">
        <f t="shared" si="30"/>
        <v/>
      </c>
      <c r="N248" s="17" t="str">
        <f t="shared" si="31"/>
        <v/>
      </c>
      <c r="O248" s="17" t="str">
        <f t="shared" si="32"/>
        <v/>
      </c>
      <c r="P248" s="16" t="str">
        <f t="shared" si="33"/>
        <v/>
      </c>
      <c r="Q248" s="16" t="str">
        <f t="shared" si="34"/>
        <v/>
      </c>
      <c r="R248" s="18" t="str">
        <f t="shared" si="35"/>
        <v/>
      </c>
    </row>
    <row r="249" spans="1:18">
      <c r="A249" s="12"/>
      <c r="B249" s="13"/>
      <c r="C249" s="14"/>
      <c r="D249" s="15"/>
      <c r="E249" s="15"/>
      <c r="F249" s="15"/>
      <c r="G249" s="13"/>
      <c r="H249" s="16" t="str">
        <f t="shared" si="27"/>
        <v/>
      </c>
      <c r="I249" s="17" t="str">
        <f>IF(OR(A249="",B249=""),"",IFERROR(LOOKUP(2,1/(单次交易!$A$2:$A$201=A249),单次交易!$H$2:$H$201),0)+SUMIFS($G$2:$G$1001,$A$2:$A$1001,A249,$B$2:$B$1001,"&lt;"&amp;B249))</f>
        <v/>
      </c>
      <c r="J249" s="16" t="str">
        <f>IF(OR(A249="",B249=""),"",IFERROR(LOOKUP(2,1/(单次交易!$A$2:$A$201=A249),单次交易!$E$2:$E$201)*LOOKUP(2,1/(单次交易!$A$2:$A$201=A249),单次交易!$H$2:$H$201),0)+SUMIFS($H$2:$H$1001,$A$2:$A$1001,A249,$B$2:$B$1001,"&lt;"&amp;B249))</f>
        <v/>
      </c>
      <c r="K249" s="16" t="str">
        <f t="shared" si="28"/>
        <v/>
      </c>
      <c r="L249" s="17" t="str">
        <f t="shared" si="29"/>
        <v/>
      </c>
      <c r="M249" s="17" t="str">
        <f t="shared" si="30"/>
        <v/>
      </c>
      <c r="N249" s="17" t="str">
        <f t="shared" si="31"/>
        <v/>
      </c>
      <c r="O249" s="17" t="str">
        <f t="shared" si="32"/>
        <v/>
      </c>
      <c r="P249" s="16" t="str">
        <f t="shared" si="33"/>
        <v/>
      </c>
      <c r="Q249" s="16" t="str">
        <f t="shared" si="34"/>
        <v/>
      </c>
      <c r="R249" s="18" t="str">
        <f t="shared" si="35"/>
        <v/>
      </c>
    </row>
    <row r="250" spans="1:18">
      <c r="A250" s="12"/>
      <c r="B250" s="13"/>
      <c r="C250" s="14"/>
      <c r="D250" s="15"/>
      <c r="E250" s="15"/>
      <c r="F250" s="15"/>
      <c r="G250" s="13"/>
      <c r="H250" s="16" t="str">
        <f t="shared" si="27"/>
        <v/>
      </c>
      <c r="I250" s="17" t="str">
        <f>IF(OR(A250="",B250=""),"",IFERROR(LOOKUP(2,1/(单次交易!$A$2:$A$201=A250),单次交易!$H$2:$H$201),0)+SUMIFS($G$2:$G$1001,$A$2:$A$1001,A250,$B$2:$B$1001,"&lt;"&amp;B250))</f>
        <v/>
      </c>
      <c r="J250" s="16" t="str">
        <f>IF(OR(A250="",B250=""),"",IFERROR(LOOKUP(2,1/(单次交易!$A$2:$A$201=A250),单次交易!$E$2:$E$201)*LOOKUP(2,1/(单次交易!$A$2:$A$201=A250),单次交易!$H$2:$H$201),0)+SUMIFS($H$2:$H$1001,$A$2:$A$1001,A250,$B$2:$B$1001,"&lt;"&amp;B250))</f>
        <v/>
      </c>
      <c r="K250" s="16" t="str">
        <f t="shared" si="28"/>
        <v/>
      </c>
      <c r="L250" s="17" t="str">
        <f t="shared" si="29"/>
        <v/>
      </c>
      <c r="M250" s="17" t="str">
        <f t="shared" si="30"/>
        <v/>
      </c>
      <c r="N250" s="17" t="str">
        <f t="shared" si="31"/>
        <v/>
      </c>
      <c r="O250" s="17" t="str">
        <f t="shared" si="32"/>
        <v/>
      </c>
      <c r="P250" s="16" t="str">
        <f t="shared" si="33"/>
        <v/>
      </c>
      <c r="Q250" s="16" t="str">
        <f t="shared" si="34"/>
        <v/>
      </c>
      <c r="R250" s="18" t="str">
        <f t="shared" si="35"/>
        <v/>
      </c>
    </row>
    <row r="251" spans="1:18">
      <c r="A251" s="12"/>
      <c r="B251" s="13"/>
      <c r="C251" s="14"/>
      <c r="D251" s="15"/>
      <c r="E251" s="15"/>
      <c r="F251" s="15"/>
      <c r="G251" s="13"/>
      <c r="H251" s="16" t="str">
        <f t="shared" si="27"/>
        <v/>
      </c>
      <c r="I251" s="17" t="str">
        <f>IF(OR(A251="",B251=""),"",IFERROR(LOOKUP(2,1/(单次交易!$A$2:$A$201=A251),单次交易!$H$2:$H$201),0)+SUMIFS($G$2:$G$1001,$A$2:$A$1001,A251,$B$2:$B$1001,"&lt;"&amp;B251))</f>
        <v/>
      </c>
      <c r="J251" s="16" t="str">
        <f>IF(OR(A251="",B251=""),"",IFERROR(LOOKUP(2,1/(单次交易!$A$2:$A$201=A251),单次交易!$E$2:$E$201)*LOOKUP(2,1/(单次交易!$A$2:$A$201=A251),单次交易!$H$2:$H$201),0)+SUMIFS($H$2:$H$1001,$A$2:$A$1001,A251,$B$2:$B$1001,"&lt;"&amp;B251))</f>
        <v/>
      </c>
      <c r="K251" s="16" t="str">
        <f t="shared" si="28"/>
        <v/>
      </c>
      <c r="L251" s="17" t="str">
        <f t="shared" si="29"/>
        <v/>
      </c>
      <c r="M251" s="17" t="str">
        <f t="shared" si="30"/>
        <v/>
      </c>
      <c r="N251" s="17" t="str">
        <f t="shared" si="31"/>
        <v/>
      </c>
      <c r="O251" s="17" t="str">
        <f t="shared" si="32"/>
        <v/>
      </c>
      <c r="P251" s="16" t="str">
        <f t="shared" si="33"/>
        <v/>
      </c>
      <c r="Q251" s="16" t="str">
        <f t="shared" si="34"/>
        <v/>
      </c>
      <c r="R251" s="18" t="str">
        <f t="shared" si="35"/>
        <v/>
      </c>
    </row>
    <row r="252" spans="1:18">
      <c r="A252" s="12"/>
      <c r="B252" s="13"/>
      <c r="C252" s="14"/>
      <c r="D252" s="15"/>
      <c r="E252" s="15"/>
      <c r="F252" s="15"/>
      <c r="G252" s="13"/>
      <c r="H252" s="16" t="str">
        <f t="shared" si="27"/>
        <v/>
      </c>
      <c r="I252" s="17" t="str">
        <f>IF(OR(A252="",B252=""),"",IFERROR(LOOKUP(2,1/(单次交易!$A$2:$A$201=A252),单次交易!$H$2:$H$201),0)+SUMIFS($G$2:$G$1001,$A$2:$A$1001,A252,$B$2:$B$1001,"&lt;"&amp;B252))</f>
        <v/>
      </c>
      <c r="J252" s="16" t="str">
        <f>IF(OR(A252="",B252=""),"",IFERROR(LOOKUP(2,1/(单次交易!$A$2:$A$201=A252),单次交易!$E$2:$E$201)*LOOKUP(2,1/(单次交易!$A$2:$A$201=A252),单次交易!$H$2:$H$201),0)+SUMIFS($H$2:$H$1001,$A$2:$A$1001,A252,$B$2:$B$1001,"&lt;"&amp;B252))</f>
        <v/>
      </c>
      <c r="K252" s="16" t="str">
        <f t="shared" si="28"/>
        <v/>
      </c>
      <c r="L252" s="17" t="str">
        <f t="shared" si="29"/>
        <v/>
      </c>
      <c r="M252" s="17" t="str">
        <f t="shared" si="30"/>
        <v/>
      </c>
      <c r="N252" s="17" t="str">
        <f t="shared" si="31"/>
        <v/>
      </c>
      <c r="O252" s="17" t="str">
        <f t="shared" si="32"/>
        <v/>
      </c>
      <c r="P252" s="16" t="str">
        <f t="shared" si="33"/>
        <v/>
      </c>
      <c r="Q252" s="16" t="str">
        <f t="shared" si="34"/>
        <v/>
      </c>
      <c r="R252" s="18" t="str">
        <f t="shared" si="35"/>
        <v/>
      </c>
    </row>
    <row r="253" spans="1:18">
      <c r="A253" s="12"/>
      <c r="B253" s="13"/>
      <c r="C253" s="14"/>
      <c r="D253" s="15"/>
      <c r="E253" s="15"/>
      <c r="F253" s="15"/>
      <c r="G253" s="13"/>
      <c r="H253" s="16" t="str">
        <f t="shared" si="27"/>
        <v/>
      </c>
      <c r="I253" s="17" t="str">
        <f>IF(OR(A253="",B253=""),"",IFERROR(LOOKUP(2,1/(单次交易!$A$2:$A$201=A253),单次交易!$H$2:$H$201),0)+SUMIFS($G$2:$G$1001,$A$2:$A$1001,A253,$B$2:$B$1001,"&lt;"&amp;B253))</f>
        <v/>
      </c>
      <c r="J253" s="16" t="str">
        <f>IF(OR(A253="",B253=""),"",IFERROR(LOOKUP(2,1/(单次交易!$A$2:$A$201=A253),单次交易!$E$2:$E$201)*LOOKUP(2,1/(单次交易!$A$2:$A$201=A253),单次交易!$H$2:$H$201),0)+SUMIFS($H$2:$H$1001,$A$2:$A$1001,A253,$B$2:$B$1001,"&lt;"&amp;B253))</f>
        <v/>
      </c>
      <c r="K253" s="16" t="str">
        <f t="shared" si="28"/>
        <v/>
      </c>
      <c r="L253" s="17" t="str">
        <f t="shared" si="29"/>
        <v/>
      </c>
      <c r="M253" s="17" t="str">
        <f t="shared" si="30"/>
        <v/>
      </c>
      <c r="N253" s="17" t="str">
        <f t="shared" si="31"/>
        <v/>
      </c>
      <c r="O253" s="17" t="str">
        <f t="shared" si="32"/>
        <v/>
      </c>
      <c r="P253" s="16" t="str">
        <f t="shared" si="33"/>
        <v/>
      </c>
      <c r="Q253" s="16" t="str">
        <f t="shared" si="34"/>
        <v/>
      </c>
      <c r="R253" s="18" t="str">
        <f t="shared" si="35"/>
        <v/>
      </c>
    </row>
    <row r="254" spans="1:18">
      <c r="A254" s="12"/>
      <c r="B254" s="13"/>
      <c r="C254" s="14"/>
      <c r="D254" s="15"/>
      <c r="E254" s="15"/>
      <c r="F254" s="15"/>
      <c r="G254" s="13"/>
      <c r="H254" s="16" t="str">
        <f t="shared" si="27"/>
        <v/>
      </c>
      <c r="I254" s="17" t="str">
        <f>IF(OR(A254="",B254=""),"",IFERROR(LOOKUP(2,1/(单次交易!$A$2:$A$201=A254),单次交易!$H$2:$H$201),0)+SUMIFS($G$2:$G$1001,$A$2:$A$1001,A254,$B$2:$B$1001,"&lt;"&amp;B254))</f>
        <v/>
      </c>
      <c r="J254" s="16" t="str">
        <f>IF(OR(A254="",B254=""),"",IFERROR(LOOKUP(2,1/(单次交易!$A$2:$A$201=A254),单次交易!$E$2:$E$201)*LOOKUP(2,1/(单次交易!$A$2:$A$201=A254),单次交易!$H$2:$H$201),0)+SUMIFS($H$2:$H$1001,$A$2:$A$1001,A254,$B$2:$B$1001,"&lt;"&amp;B254))</f>
        <v/>
      </c>
      <c r="K254" s="16" t="str">
        <f t="shared" si="28"/>
        <v/>
      </c>
      <c r="L254" s="17" t="str">
        <f t="shared" si="29"/>
        <v/>
      </c>
      <c r="M254" s="17" t="str">
        <f t="shared" si="30"/>
        <v/>
      </c>
      <c r="N254" s="17" t="str">
        <f t="shared" si="31"/>
        <v/>
      </c>
      <c r="O254" s="17" t="str">
        <f t="shared" si="32"/>
        <v/>
      </c>
      <c r="P254" s="16" t="str">
        <f t="shared" si="33"/>
        <v/>
      </c>
      <c r="Q254" s="16" t="str">
        <f t="shared" si="34"/>
        <v/>
      </c>
      <c r="R254" s="18" t="str">
        <f t="shared" si="35"/>
        <v/>
      </c>
    </row>
    <row r="255" spans="1:18">
      <c r="A255" s="12"/>
      <c r="B255" s="13"/>
      <c r="C255" s="14"/>
      <c r="D255" s="15"/>
      <c r="E255" s="15"/>
      <c r="F255" s="15"/>
      <c r="G255" s="13"/>
      <c r="H255" s="16" t="str">
        <f t="shared" si="27"/>
        <v/>
      </c>
      <c r="I255" s="17" t="str">
        <f>IF(OR(A255="",B255=""),"",IFERROR(LOOKUP(2,1/(单次交易!$A$2:$A$201=A255),单次交易!$H$2:$H$201),0)+SUMIFS($G$2:$G$1001,$A$2:$A$1001,A255,$B$2:$B$1001,"&lt;"&amp;B255))</f>
        <v/>
      </c>
      <c r="J255" s="16" t="str">
        <f>IF(OR(A255="",B255=""),"",IFERROR(LOOKUP(2,1/(单次交易!$A$2:$A$201=A255),单次交易!$E$2:$E$201)*LOOKUP(2,1/(单次交易!$A$2:$A$201=A255),单次交易!$H$2:$H$201),0)+SUMIFS($H$2:$H$1001,$A$2:$A$1001,A255,$B$2:$B$1001,"&lt;"&amp;B255))</f>
        <v/>
      </c>
      <c r="K255" s="16" t="str">
        <f t="shared" si="28"/>
        <v/>
      </c>
      <c r="L255" s="17" t="str">
        <f t="shared" si="29"/>
        <v/>
      </c>
      <c r="M255" s="17" t="str">
        <f t="shared" si="30"/>
        <v/>
      </c>
      <c r="N255" s="17" t="str">
        <f t="shared" si="31"/>
        <v/>
      </c>
      <c r="O255" s="17" t="str">
        <f t="shared" si="32"/>
        <v/>
      </c>
      <c r="P255" s="16" t="str">
        <f t="shared" si="33"/>
        <v/>
      </c>
      <c r="Q255" s="16" t="str">
        <f t="shared" si="34"/>
        <v/>
      </c>
      <c r="R255" s="18" t="str">
        <f t="shared" si="35"/>
        <v/>
      </c>
    </row>
    <row r="256" spans="1:18">
      <c r="A256" s="12"/>
      <c r="B256" s="13"/>
      <c r="C256" s="14"/>
      <c r="D256" s="15"/>
      <c r="E256" s="15"/>
      <c r="F256" s="15"/>
      <c r="G256" s="13"/>
      <c r="H256" s="16" t="str">
        <f t="shared" si="27"/>
        <v/>
      </c>
      <c r="I256" s="17" t="str">
        <f>IF(OR(A256="",B256=""),"",IFERROR(LOOKUP(2,1/(单次交易!$A$2:$A$201=A256),单次交易!$H$2:$H$201),0)+SUMIFS($G$2:$G$1001,$A$2:$A$1001,A256,$B$2:$B$1001,"&lt;"&amp;B256))</f>
        <v/>
      </c>
      <c r="J256" s="16" t="str">
        <f>IF(OR(A256="",B256=""),"",IFERROR(LOOKUP(2,1/(单次交易!$A$2:$A$201=A256),单次交易!$E$2:$E$201)*LOOKUP(2,1/(单次交易!$A$2:$A$201=A256),单次交易!$H$2:$H$201),0)+SUMIFS($H$2:$H$1001,$A$2:$A$1001,A256,$B$2:$B$1001,"&lt;"&amp;B256))</f>
        <v/>
      </c>
      <c r="K256" s="16" t="str">
        <f t="shared" si="28"/>
        <v/>
      </c>
      <c r="L256" s="17" t="str">
        <f t="shared" si="29"/>
        <v/>
      </c>
      <c r="M256" s="17" t="str">
        <f t="shared" si="30"/>
        <v/>
      </c>
      <c r="N256" s="17" t="str">
        <f t="shared" si="31"/>
        <v/>
      </c>
      <c r="O256" s="17" t="str">
        <f t="shared" si="32"/>
        <v/>
      </c>
      <c r="P256" s="16" t="str">
        <f t="shared" si="33"/>
        <v/>
      </c>
      <c r="Q256" s="16" t="str">
        <f t="shared" si="34"/>
        <v/>
      </c>
      <c r="R256" s="18" t="str">
        <f t="shared" si="35"/>
        <v/>
      </c>
    </row>
    <row r="257" spans="1:18">
      <c r="A257" s="12"/>
      <c r="B257" s="13"/>
      <c r="C257" s="14"/>
      <c r="D257" s="15"/>
      <c r="E257" s="15"/>
      <c r="F257" s="15"/>
      <c r="G257" s="13"/>
      <c r="H257" s="16" t="str">
        <f t="shared" si="27"/>
        <v/>
      </c>
      <c r="I257" s="17" t="str">
        <f>IF(OR(A257="",B257=""),"",IFERROR(LOOKUP(2,1/(单次交易!$A$2:$A$201=A257),单次交易!$H$2:$H$201),0)+SUMIFS($G$2:$G$1001,$A$2:$A$1001,A257,$B$2:$B$1001,"&lt;"&amp;B257))</f>
        <v/>
      </c>
      <c r="J257" s="16" t="str">
        <f>IF(OR(A257="",B257=""),"",IFERROR(LOOKUP(2,1/(单次交易!$A$2:$A$201=A257),单次交易!$E$2:$E$201)*LOOKUP(2,1/(单次交易!$A$2:$A$201=A257),单次交易!$H$2:$H$201),0)+SUMIFS($H$2:$H$1001,$A$2:$A$1001,A257,$B$2:$B$1001,"&lt;"&amp;B257))</f>
        <v/>
      </c>
      <c r="K257" s="16" t="str">
        <f t="shared" si="28"/>
        <v/>
      </c>
      <c r="L257" s="17" t="str">
        <f t="shared" si="29"/>
        <v/>
      </c>
      <c r="M257" s="17" t="str">
        <f t="shared" si="30"/>
        <v/>
      </c>
      <c r="N257" s="17" t="str">
        <f t="shared" si="31"/>
        <v/>
      </c>
      <c r="O257" s="17" t="str">
        <f t="shared" si="32"/>
        <v/>
      </c>
      <c r="P257" s="16" t="str">
        <f t="shared" si="33"/>
        <v/>
      </c>
      <c r="Q257" s="16" t="str">
        <f t="shared" si="34"/>
        <v/>
      </c>
      <c r="R257" s="18" t="str">
        <f t="shared" si="35"/>
        <v/>
      </c>
    </row>
    <row r="258" spans="1:18">
      <c r="A258" s="12"/>
      <c r="B258" s="13"/>
      <c r="C258" s="14"/>
      <c r="D258" s="15"/>
      <c r="E258" s="15"/>
      <c r="F258" s="15"/>
      <c r="G258" s="13"/>
      <c r="H258" s="16" t="str">
        <f t="shared" ref="H258:H321" si="36">IF(OR(A258="",D258="",G258=""),"",D258*G258)</f>
        <v/>
      </c>
      <c r="I258" s="17" t="str">
        <f>IF(OR(A258="",B258=""),"",IFERROR(LOOKUP(2,1/(单次交易!$A$2:$A$201=A258),单次交易!$H$2:$H$201),0)+SUMIFS($G$2:$G$1001,$A$2:$A$1001,A258,$B$2:$B$1001,"&lt;"&amp;B258))</f>
        <v/>
      </c>
      <c r="J258" s="16" t="str">
        <f>IF(OR(A258="",B258=""),"",IFERROR(LOOKUP(2,1/(单次交易!$A$2:$A$201=A258),单次交易!$E$2:$E$201)*LOOKUP(2,1/(单次交易!$A$2:$A$201=A258),单次交易!$H$2:$H$201),0)+SUMIFS($H$2:$H$1001,$A$2:$A$1001,A258,$B$2:$B$1001,"&lt;"&amp;B258))</f>
        <v/>
      </c>
      <c r="K258" s="16" t="str">
        <f t="shared" ref="K258:K321" si="37">IF(OR(E258="",I258="",J258=""),"",MAX(E258*I258-J258,0))</f>
        <v/>
      </c>
      <c r="L258" s="17" t="str">
        <f t="shared" ref="L258:L321" si="38">IF(OR(D258="",E258="",F258="",D258&lt;=E258),"",FLOOR((F258+K258)/(D258-E258),100))</f>
        <v/>
      </c>
      <c r="M258" s="17" t="str">
        <f t="shared" ref="M258:M321" si="39">IF(OR(A258="",B258="",L258=""),"",IF(B258=1,L258,IFERROR(SUMIFS($G$2:$G$1001,$A$2:$A$1001,A258,$B$2:$B$1001,B258-1),0)))</f>
        <v/>
      </c>
      <c r="N258" s="17" t="str">
        <f t="shared" ref="N258:N321" si="40">IF(OR(L258="",M258=""),"",MIN(L258,M258))</f>
        <v/>
      </c>
      <c r="O258" s="17" t="str">
        <f t="shared" ref="O258:O321" si="41">IF(OR(I258="",G258=""),"",I258+G258)</f>
        <v/>
      </c>
      <c r="P258" s="16" t="str">
        <f t="shared" ref="P258:P321" si="42">IF(OR(O258="",O258=0),"",(J258+H258)/O258)</f>
        <v/>
      </c>
      <c r="Q258" s="16" t="str">
        <f t="shared" ref="Q258:Q321" si="43">IF(OR(O258="",E258=""),"",MAX(J258+H258-E258*O258,0))</f>
        <v/>
      </c>
      <c r="R258" s="18" t="str">
        <f t="shared" ref="R258:R321" si="44">IF(A258="","",IF(COUNTIF(_TradeIds,A258)=0,"违规：交易编号不存在",IF(OR(B258="",B258&lt;1,B258&gt;5,B258&lt;&gt;INT(B258)),"违规：加仓序号须为1到5的整数",IF(COUNTIFS($A$2:$A$1001,A258,$B$2:$B$1001,B258)&gt;1,"违规：同一交易的加仓序号重复",IF(OR(D258="",E258="",F258=""),"计划不完整：请填写加仓价、新止损价和风险预算",IF(OR(D258&lt;=0,E258&lt;=0,F258&lt;=0,D258&lt;=E258),"违规：加仓价必须高于新止损价，金额须大于0",IF(AND(B258&gt;1,COUNTIFS($A$2:$A$1001,A258,$B$2:$B$1001,B258-1,$G$2:$G$1001,"&gt;0")=0),"违规：须先完成上一次加仓",IF(AND(B258&gt;1,E258&lt;SUMIFS($E$2:$E$1001,$A$2:$A$1001,A258,$B$2:$B$1001,B258-1)),"违规：新止损价不得低于上一次",IF(AND(B258&gt;1,F258&gt;SUMIFS($F$2:$F$1001,$A$2:$A$1001,A258,$B$2:$B$1001,B258-1)),"违规：风险预算须逐次不增加",IF(OR(_LockStatus="已锁仓",_LockStatus="解锁信息不完整"),"违规：锁仓期间禁止加仓",IF(G258="","计划可执行：建议股数见N列",IF(OR(G258&lt;=0,G258&lt;&gt;INT(G258),MOD(G258,100)&lt;&gt;0),"违规：实际股数须为100股整数倍",IF(G258&gt;N258,"违规：实际股数超过风险或金字塔上限",IF(AND(B258&gt;1,G258&gt;SUMIFS($G$2:$G$1001,$A$2:$A$1001,A258,$B$2:$B$1001,B258-1)),"违规：加仓股数须逐次不增加",IF(Q258&gt;F258,"违规：止损风险超过本次预算","通过")))))))))))))))</f>
        <v/>
      </c>
    </row>
    <row r="259" spans="1:18">
      <c r="A259" s="12"/>
      <c r="B259" s="13"/>
      <c r="C259" s="14"/>
      <c r="D259" s="15"/>
      <c r="E259" s="15"/>
      <c r="F259" s="15"/>
      <c r="G259" s="13"/>
      <c r="H259" s="16" t="str">
        <f t="shared" si="36"/>
        <v/>
      </c>
      <c r="I259" s="17" t="str">
        <f>IF(OR(A259="",B259=""),"",IFERROR(LOOKUP(2,1/(单次交易!$A$2:$A$201=A259),单次交易!$H$2:$H$201),0)+SUMIFS($G$2:$G$1001,$A$2:$A$1001,A259,$B$2:$B$1001,"&lt;"&amp;B259))</f>
        <v/>
      </c>
      <c r="J259" s="16" t="str">
        <f>IF(OR(A259="",B259=""),"",IFERROR(LOOKUP(2,1/(单次交易!$A$2:$A$201=A259),单次交易!$E$2:$E$201)*LOOKUP(2,1/(单次交易!$A$2:$A$201=A259),单次交易!$H$2:$H$201),0)+SUMIFS($H$2:$H$1001,$A$2:$A$1001,A259,$B$2:$B$1001,"&lt;"&amp;B259))</f>
        <v/>
      </c>
      <c r="K259" s="16" t="str">
        <f t="shared" si="37"/>
        <v/>
      </c>
      <c r="L259" s="17" t="str">
        <f t="shared" si="38"/>
        <v/>
      </c>
      <c r="M259" s="17" t="str">
        <f t="shared" si="39"/>
        <v/>
      </c>
      <c r="N259" s="17" t="str">
        <f t="shared" si="40"/>
        <v/>
      </c>
      <c r="O259" s="17" t="str">
        <f t="shared" si="41"/>
        <v/>
      </c>
      <c r="P259" s="16" t="str">
        <f t="shared" si="42"/>
        <v/>
      </c>
      <c r="Q259" s="16" t="str">
        <f t="shared" si="43"/>
        <v/>
      </c>
      <c r="R259" s="18" t="str">
        <f t="shared" si="44"/>
        <v/>
      </c>
    </row>
    <row r="260" spans="1:18">
      <c r="A260" s="12"/>
      <c r="B260" s="13"/>
      <c r="C260" s="14"/>
      <c r="D260" s="15"/>
      <c r="E260" s="15"/>
      <c r="F260" s="15"/>
      <c r="G260" s="13"/>
      <c r="H260" s="16" t="str">
        <f t="shared" si="36"/>
        <v/>
      </c>
      <c r="I260" s="17" t="str">
        <f>IF(OR(A260="",B260=""),"",IFERROR(LOOKUP(2,1/(单次交易!$A$2:$A$201=A260),单次交易!$H$2:$H$201),0)+SUMIFS($G$2:$G$1001,$A$2:$A$1001,A260,$B$2:$B$1001,"&lt;"&amp;B260))</f>
        <v/>
      </c>
      <c r="J260" s="16" t="str">
        <f>IF(OR(A260="",B260=""),"",IFERROR(LOOKUP(2,1/(单次交易!$A$2:$A$201=A260),单次交易!$E$2:$E$201)*LOOKUP(2,1/(单次交易!$A$2:$A$201=A260),单次交易!$H$2:$H$201),0)+SUMIFS($H$2:$H$1001,$A$2:$A$1001,A260,$B$2:$B$1001,"&lt;"&amp;B260))</f>
        <v/>
      </c>
      <c r="K260" s="16" t="str">
        <f t="shared" si="37"/>
        <v/>
      </c>
      <c r="L260" s="17" t="str">
        <f t="shared" si="38"/>
        <v/>
      </c>
      <c r="M260" s="17" t="str">
        <f t="shared" si="39"/>
        <v/>
      </c>
      <c r="N260" s="17" t="str">
        <f t="shared" si="40"/>
        <v/>
      </c>
      <c r="O260" s="17" t="str">
        <f t="shared" si="41"/>
        <v/>
      </c>
      <c r="P260" s="16" t="str">
        <f t="shared" si="42"/>
        <v/>
      </c>
      <c r="Q260" s="16" t="str">
        <f t="shared" si="43"/>
        <v/>
      </c>
      <c r="R260" s="18" t="str">
        <f t="shared" si="44"/>
        <v/>
      </c>
    </row>
    <row r="261" spans="1:18">
      <c r="A261" s="12"/>
      <c r="B261" s="13"/>
      <c r="C261" s="14"/>
      <c r="D261" s="15"/>
      <c r="E261" s="15"/>
      <c r="F261" s="15"/>
      <c r="G261" s="13"/>
      <c r="H261" s="16" t="str">
        <f t="shared" si="36"/>
        <v/>
      </c>
      <c r="I261" s="17" t="str">
        <f>IF(OR(A261="",B261=""),"",IFERROR(LOOKUP(2,1/(单次交易!$A$2:$A$201=A261),单次交易!$H$2:$H$201),0)+SUMIFS($G$2:$G$1001,$A$2:$A$1001,A261,$B$2:$B$1001,"&lt;"&amp;B261))</f>
        <v/>
      </c>
      <c r="J261" s="16" t="str">
        <f>IF(OR(A261="",B261=""),"",IFERROR(LOOKUP(2,1/(单次交易!$A$2:$A$201=A261),单次交易!$E$2:$E$201)*LOOKUP(2,1/(单次交易!$A$2:$A$201=A261),单次交易!$H$2:$H$201),0)+SUMIFS($H$2:$H$1001,$A$2:$A$1001,A261,$B$2:$B$1001,"&lt;"&amp;B261))</f>
        <v/>
      </c>
      <c r="K261" s="16" t="str">
        <f t="shared" si="37"/>
        <v/>
      </c>
      <c r="L261" s="17" t="str">
        <f t="shared" si="38"/>
        <v/>
      </c>
      <c r="M261" s="17" t="str">
        <f t="shared" si="39"/>
        <v/>
      </c>
      <c r="N261" s="17" t="str">
        <f t="shared" si="40"/>
        <v/>
      </c>
      <c r="O261" s="17" t="str">
        <f t="shared" si="41"/>
        <v/>
      </c>
      <c r="P261" s="16" t="str">
        <f t="shared" si="42"/>
        <v/>
      </c>
      <c r="Q261" s="16" t="str">
        <f t="shared" si="43"/>
        <v/>
      </c>
      <c r="R261" s="18" t="str">
        <f t="shared" si="44"/>
        <v/>
      </c>
    </row>
    <row r="262" spans="1:18">
      <c r="A262" s="12"/>
      <c r="B262" s="13"/>
      <c r="C262" s="14"/>
      <c r="D262" s="15"/>
      <c r="E262" s="15"/>
      <c r="F262" s="15"/>
      <c r="G262" s="13"/>
      <c r="H262" s="16" t="str">
        <f t="shared" si="36"/>
        <v/>
      </c>
      <c r="I262" s="17" t="str">
        <f>IF(OR(A262="",B262=""),"",IFERROR(LOOKUP(2,1/(单次交易!$A$2:$A$201=A262),单次交易!$H$2:$H$201),0)+SUMIFS($G$2:$G$1001,$A$2:$A$1001,A262,$B$2:$B$1001,"&lt;"&amp;B262))</f>
        <v/>
      </c>
      <c r="J262" s="16" t="str">
        <f>IF(OR(A262="",B262=""),"",IFERROR(LOOKUP(2,1/(单次交易!$A$2:$A$201=A262),单次交易!$E$2:$E$201)*LOOKUP(2,1/(单次交易!$A$2:$A$201=A262),单次交易!$H$2:$H$201),0)+SUMIFS($H$2:$H$1001,$A$2:$A$1001,A262,$B$2:$B$1001,"&lt;"&amp;B262))</f>
        <v/>
      </c>
      <c r="K262" s="16" t="str">
        <f t="shared" si="37"/>
        <v/>
      </c>
      <c r="L262" s="17" t="str">
        <f t="shared" si="38"/>
        <v/>
      </c>
      <c r="M262" s="17" t="str">
        <f t="shared" si="39"/>
        <v/>
      </c>
      <c r="N262" s="17" t="str">
        <f t="shared" si="40"/>
        <v/>
      </c>
      <c r="O262" s="17" t="str">
        <f t="shared" si="41"/>
        <v/>
      </c>
      <c r="P262" s="16" t="str">
        <f t="shared" si="42"/>
        <v/>
      </c>
      <c r="Q262" s="16" t="str">
        <f t="shared" si="43"/>
        <v/>
      </c>
      <c r="R262" s="18" t="str">
        <f t="shared" si="44"/>
        <v/>
      </c>
    </row>
    <row r="263" spans="1:18">
      <c r="A263" s="12"/>
      <c r="B263" s="13"/>
      <c r="C263" s="14"/>
      <c r="D263" s="15"/>
      <c r="E263" s="15"/>
      <c r="F263" s="15"/>
      <c r="G263" s="13"/>
      <c r="H263" s="16" t="str">
        <f t="shared" si="36"/>
        <v/>
      </c>
      <c r="I263" s="17" t="str">
        <f>IF(OR(A263="",B263=""),"",IFERROR(LOOKUP(2,1/(单次交易!$A$2:$A$201=A263),单次交易!$H$2:$H$201),0)+SUMIFS($G$2:$G$1001,$A$2:$A$1001,A263,$B$2:$B$1001,"&lt;"&amp;B263))</f>
        <v/>
      </c>
      <c r="J263" s="16" t="str">
        <f>IF(OR(A263="",B263=""),"",IFERROR(LOOKUP(2,1/(单次交易!$A$2:$A$201=A263),单次交易!$E$2:$E$201)*LOOKUP(2,1/(单次交易!$A$2:$A$201=A263),单次交易!$H$2:$H$201),0)+SUMIFS($H$2:$H$1001,$A$2:$A$1001,A263,$B$2:$B$1001,"&lt;"&amp;B263))</f>
        <v/>
      </c>
      <c r="K263" s="16" t="str">
        <f t="shared" si="37"/>
        <v/>
      </c>
      <c r="L263" s="17" t="str">
        <f t="shared" si="38"/>
        <v/>
      </c>
      <c r="M263" s="17" t="str">
        <f t="shared" si="39"/>
        <v/>
      </c>
      <c r="N263" s="17" t="str">
        <f t="shared" si="40"/>
        <v/>
      </c>
      <c r="O263" s="17" t="str">
        <f t="shared" si="41"/>
        <v/>
      </c>
      <c r="P263" s="16" t="str">
        <f t="shared" si="42"/>
        <v/>
      </c>
      <c r="Q263" s="16" t="str">
        <f t="shared" si="43"/>
        <v/>
      </c>
      <c r="R263" s="18" t="str">
        <f t="shared" si="44"/>
        <v/>
      </c>
    </row>
    <row r="264" spans="1:18">
      <c r="A264" s="12"/>
      <c r="B264" s="13"/>
      <c r="C264" s="14"/>
      <c r="D264" s="15"/>
      <c r="E264" s="15"/>
      <c r="F264" s="15"/>
      <c r="G264" s="13"/>
      <c r="H264" s="16" t="str">
        <f t="shared" si="36"/>
        <v/>
      </c>
      <c r="I264" s="17" t="str">
        <f>IF(OR(A264="",B264=""),"",IFERROR(LOOKUP(2,1/(单次交易!$A$2:$A$201=A264),单次交易!$H$2:$H$201),0)+SUMIFS($G$2:$G$1001,$A$2:$A$1001,A264,$B$2:$B$1001,"&lt;"&amp;B264))</f>
        <v/>
      </c>
      <c r="J264" s="16" t="str">
        <f>IF(OR(A264="",B264=""),"",IFERROR(LOOKUP(2,1/(单次交易!$A$2:$A$201=A264),单次交易!$E$2:$E$201)*LOOKUP(2,1/(单次交易!$A$2:$A$201=A264),单次交易!$H$2:$H$201),0)+SUMIFS($H$2:$H$1001,$A$2:$A$1001,A264,$B$2:$B$1001,"&lt;"&amp;B264))</f>
        <v/>
      </c>
      <c r="K264" s="16" t="str">
        <f t="shared" si="37"/>
        <v/>
      </c>
      <c r="L264" s="17" t="str">
        <f t="shared" si="38"/>
        <v/>
      </c>
      <c r="M264" s="17" t="str">
        <f t="shared" si="39"/>
        <v/>
      </c>
      <c r="N264" s="17" t="str">
        <f t="shared" si="40"/>
        <v/>
      </c>
      <c r="O264" s="17" t="str">
        <f t="shared" si="41"/>
        <v/>
      </c>
      <c r="P264" s="16" t="str">
        <f t="shared" si="42"/>
        <v/>
      </c>
      <c r="Q264" s="16" t="str">
        <f t="shared" si="43"/>
        <v/>
      </c>
      <c r="R264" s="18" t="str">
        <f t="shared" si="44"/>
        <v/>
      </c>
    </row>
    <row r="265" spans="1:18">
      <c r="A265" s="12"/>
      <c r="B265" s="13"/>
      <c r="C265" s="14"/>
      <c r="D265" s="15"/>
      <c r="E265" s="15"/>
      <c r="F265" s="15"/>
      <c r="G265" s="13"/>
      <c r="H265" s="16" t="str">
        <f t="shared" si="36"/>
        <v/>
      </c>
      <c r="I265" s="17" t="str">
        <f>IF(OR(A265="",B265=""),"",IFERROR(LOOKUP(2,1/(单次交易!$A$2:$A$201=A265),单次交易!$H$2:$H$201),0)+SUMIFS($G$2:$G$1001,$A$2:$A$1001,A265,$B$2:$B$1001,"&lt;"&amp;B265))</f>
        <v/>
      </c>
      <c r="J265" s="16" t="str">
        <f>IF(OR(A265="",B265=""),"",IFERROR(LOOKUP(2,1/(单次交易!$A$2:$A$201=A265),单次交易!$E$2:$E$201)*LOOKUP(2,1/(单次交易!$A$2:$A$201=A265),单次交易!$H$2:$H$201),0)+SUMIFS($H$2:$H$1001,$A$2:$A$1001,A265,$B$2:$B$1001,"&lt;"&amp;B265))</f>
        <v/>
      </c>
      <c r="K265" s="16" t="str">
        <f t="shared" si="37"/>
        <v/>
      </c>
      <c r="L265" s="17" t="str">
        <f t="shared" si="38"/>
        <v/>
      </c>
      <c r="M265" s="17" t="str">
        <f t="shared" si="39"/>
        <v/>
      </c>
      <c r="N265" s="17" t="str">
        <f t="shared" si="40"/>
        <v/>
      </c>
      <c r="O265" s="17" t="str">
        <f t="shared" si="41"/>
        <v/>
      </c>
      <c r="P265" s="16" t="str">
        <f t="shared" si="42"/>
        <v/>
      </c>
      <c r="Q265" s="16" t="str">
        <f t="shared" si="43"/>
        <v/>
      </c>
      <c r="R265" s="18" t="str">
        <f t="shared" si="44"/>
        <v/>
      </c>
    </row>
    <row r="266" spans="1:18">
      <c r="A266" s="12"/>
      <c r="B266" s="13"/>
      <c r="C266" s="14"/>
      <c r="D266" s="15"/>
      <c r="E266" s="15"/>
      <c r="F266" s="15"/>
      <c r="G266" s="13"/>
      <c r="H266" s="16" t="str">
        <f t="shared" si="36"/>
        <v/>
      </c>
      <c r="I266" s="17" t="str">
        <f>IF(OR(A266="",B266=""),"",IFERROR(LOOKUP(2,1/(单次交易!$A$2:$A$201=A266),单次交易!$H$2:$H$201),0)+SUMIFS($G$2:$G$1001,$A$2:$A$1001,A266,$B$2:$B$1001,"&lt;"&amp;B266))</f>
        <v/>
      </c>
      <c r="J266" s="16" t="str">
        <f>IF(OR(A266="",B266=""),"",IFERROR(LOOKUP(2,1/(单次交易!$A$2:$A$201=A266),单次交易!$E$2:$E$201)*LOOKUP(2,1/(单次交易!$A$2:$A$201=A266),单次交易!$H$2:$H$201),0)+SUMIFS($H$2:$H$1001,$A$2:$A$1001,A266,$B$2:$B$1001,"&lt;"&amp;B266))</f>
        <v/>
      </c>
      <c r="K266" s="16" t="str">
        <f t="shared" si="37"/>
        <v/>
      </c>
      <c r="L266" s="17" t="str">
        <f t="shared" si="38"/>
        <v/>
      </c>
      <c r="M266" s="17" t="str">
        <f t="shared" si="39"/>
        <v/>
      </c>
      <c r="N266" s="17" t="str">
        <f t="shared" si="40"/>
        <v/>
      </c>
      <c r="O266" s="17" t="str">
        <f t="shared" si="41"/>
        <v/>
      </c>
      <c r="P266" s="16" t="str">
        <f t="shared" si="42"/>
        <v/>
      </c>
      <c r="Q266" s="16" t="str">
        <f t="shared" si="43"/>
        <v/>
      </c>
      <c r="R266" s="18" t="str">
        <f t="shared" si="44"/>
        <v/>
      </c>
    </row>
    <row r="267" spans="1:18">
      <c r="A267" s="12"/>
      <c r="B267" s="13"/>
      <c r="C267" s="14"/>
      <c r="D267" s="15"/>
      <c r="E267" s="15"/>
      <c r="F267" s="15"/>
      <c r="G267" s="13"/>
      <c r="H267" s="16" t="str">
        <f t="shared" si="36"/>
        <v/>
      </c>
      <c r="I267" s="17" t="str">
        <f>IF(OR(A267="",B267=""),"",IFERROR(LOOKUP(2,1/(单次交易!$A$2:$A$201=A267),单次交易!$H$2:$H$201),0)+SUMIFS($G$2:$G$1001,$A$2:$A$1001,A267,$B$2:$B$1001,"&lt;"&amp;B267))</f>
        <v/>
      </c>
      <c r="J267" s="16" t="str">
        <f>IF(OR(A267="",B267=""),"",IFERROR(LOOKUP(2,1/(单次交易!$A$2:$A$201=A267),单次交易!$E$2:$E$201)*LOOKUP(2,1/(单次交易!$A$2:$A$201=A267),单次交易!$H$2:$H$201),0)+SUMIFS($H$2:$H$1001,$A$2:$A$1001,A267,$B$2:$B$1001,"&lt;"&amp;B267))</f>
        <v/>
      </c>
      <c r="K267" s="16" t="str">
        <f t="shared" si="37"/>
        <v/>
      </c>
      <c r="L267" s="17" t="str">
        <f t="shared" si="38"/>
        <v/>
      </c>
      <c r="M267" s="17" t="str">
        <f t="shared" si="39"/>
        <v/>
      </c>
      <c r="N267" s="17" t="str">
        <f t="shared" si="40"/>
        <v/>
      </c>
      <c r="O267" s="17" t="str">
        <f t="shared" si="41"/>
        <v/>
      </c>
      <c r="P267" s="16" t="str">
        <f t="shared" si="42"/>
        <v/>
      </c>
      <c r="Q267" s="16" t="str">
        <f t="shared" si="43"/>
        <v/>
      </c>
      <c r="R267" s="18" t="str">
        <f t="shared" si="44"/>
        <v/>
      </c>
    </row>
    <row r="268" spans="1:18">
      <c r="A268" s="12"/>
      <c r="B268" s="13"/>
      <c r="C268" s="14"/>
      <c r="D268" s="15"/>
      <c r="E268" s="15"/>
      <c r="F268" s="15"/>
      <c r="G268" s="13"/>
      <c r="H268" s="16" t="str">
        <f t="shared" si="36"/>
        <v/>
      </c>
      <c r="I268" s="17" t="str">
        <f>IF(OR(A268="",B268=""),"",IFERROR(LOOKUP(2,1/(单次交易!$A$2:$A$201=A268),单次交易!$H$2:$H$201),0)+SUMIFS($G$2:$G$1001,$A$2:$A$1001,A268,$B$2:$B$1001,"&lt;"&amp;B268))</f>
        <v/>
      </c>
      <c r="J268" s="16" t="str">
        <f>IF(OR(A268="",B268=""),"",IFERROR(LOOKUP(2,1/(单次交易!$A$2:$A$201=A268),单次交易!$E$2:$E$201)*LOOKUP(2,1/(单次交易!$A$2:$A$201=A268),单次交易!$H$2:$H$201),0)+SUMIFS($H$2:$H$1001,$A$2:$A$1001,A268,$B$2:$B$1001,"&lt;"&amp;B268))</f>
        <v/>
      </c>
      <c r="K268" s="16" t="str">
        <f t="shared" si="37"/>
        <v/>
      </c>
      <c r="L268" s="17" t="str">
        <f t="shared" si="38"/>
        <v/>
      </c>
      <c r="M268" s="17" t="str">
        <f t="shared" si="39"/>
        <v/>
      </c>
      <c r="N268" s="17" t="str">
        <f t="shared" si="40"/>
        <v/>
      </c>
      <c r="O268" s="17" t="str">
        <f t="shared" si="41"/>
        <v/>
      </c>
      <c r="P268" s="16" t="str">
        <f t="shared" si="42"/>
        <v/>
      </c>
      <c r="Q268" s="16" t="str">
        <f t="shared" si="43"/>
        <v/>
      </c>
      <c r="R268" s="18" t="str">
        <f t="shared" si="44"/>
        <v/>
      </c>
    </row>
    <row r="269" spans="1:18">
      <c r="A269" s="12"/>
      <c r="B269" s="13"/>
      <c r="C269" s="14"/>
      <c r="D269" s="15"/>
      <c r="E269" s="15"/>
      <c r="F269" s="15"/>
      <c r="G269" s="13"/>
      <c r="H269" s="16" t="str">
        <f t="shared" si="36"/>
        <v/>
      </c>
      <c r="I269" s="17" t="str">
        <f>IF(OR(A269="",B269=""),"",IFERROR(LOOKUP(2,1/(单次交易!$A$2:$A$201=A269),单次交易!$H$2:$H$201),0)+SUMIFS($G$2:$G$1001,$A$2:$A$1001,A269,$B$2:$B$1001,"&lt;"&amp;B269))</f>
        <v/>
      </c>
      <c r="J269" s="16" t="str">
        <f>IF(OR(A269="",B269=""),"",IFERROR(LOOKUP(2,1/(单次交易!$A$2:$A$201=A269),单次交易!$E$2:$E$201)*LOOKUP(2,1/(单次交易!$A$2:$A$201=A269),单次交易!$H$2:$H$201),0)+SUMIFS($H$2:$H$1001,$A$2:$A$1001,A269,$B$2:$B$1001,"&lt;"&amp;B269))</f>
        <v/>
      </c>
      <c r="K269" s="16" t="str">
        <f t="shared" si="37"/>
        <v/>
      </c>
      <c r="L269" s="17" t="str">
        <f t="shared" si="38"/>
        <v/>
      </c>
      <c r="M269" s="17" t="str">
        <f t="shared" si="39"/>
        <v/>
      </c>
      <c r="N269" s="17" t="str">
        <f t="shared" si="40"/>
        <v/>
      </c>
      <c r="O269" s="17" t="str">
        <f t="shared" si="41"/>
        <v/>
      </c>
      <c r="P269" s="16" t="str">
        <f t="shared" si="42"/>
        <v/>
      </c>
      <c r="Q269" s="16" t="str">
        <f t="shared" si="43"/>
        <v/>
      </c>
      <c r="R269" s="18" t="str">
        <f t="shared" si="44"/>
        <v/>
      </c>
    </row>
    <row r="270" spans="1:18">
      <c r="A270" s="12"/>
      <c r="B270" s="13"/>
      <c r="C270" s="14"/>
      <c r="D270" s="15"/>
      <c r="E270" s="15"/>
      <c r="F270" s="15"/>
      <c r="G270" s="13"/>
      <c r="H270" s="16" t="str">
        <f t="shared" si="36"/>
        <v/>
      </c>
      <c r="I270" s="17" t="str">
        <f>IF(OR(A270="",B270=""),"",IFERROR(LOOKUP(2,1/(单次交易!$A$2:$A$201=A270),单次交易!$H$2:$H$201),0)+SUMIFS($G$2:$G$1001,$A$2:$A$1001,A270,$B$2:$B$1001,"&lt;"&amp;B270))</f>
        <v/>
      </c>
      <c r="J270" s="16" t="str">
        <f>IF(OR(A270="",B270=""),"",IFERROR(LOOKUP(2,1/(单次交易!$A$2:$A$201=A270),单次交易!$E$2:$E$201)*LOOKUP(2,1/(单次交易!$A$2:$A$201=A270),单次交易!$H$2:$H$201),0)+SUMIFS($H$2:$H$1001,$A$2:$A$1001,A270,$B$2:$B$1001,"&lt;"&amp;B270))</f>
        <v/>
      </c>
      <c r="K270" s="16" t="str">
        <f t="shared" si="37"/>
        <v/>
      </c>
      <c r="L270" s="17" t="str">
        <f t="shared" si="38"/>
        <v/>
      </c>
      <c r="M270" s="17" t="str">
        <f t="shared" si="39"/>
        <v/>
      </c>
      <c r="N270" s="17" t="str">
        <f t="shared" si="40"/>
        <v/>
      </c>
      <c r="O270" s="17" t="str">
        <f t="shared" si="41"/>
        <v/>
      </c>
      <c r="P270" s="16" t="str">
        <f t="shared" si="42"/>
        <v/>
      </c>
      <c r="Q270" s="16" t="str">
        <f t="shared" si="43"/>
        <v/>
      </c>
      <c r="R270" s="18" t="str">
        <f t="shared" si="44"/>
        <v/>
      </c>
    </row>
    <row r="271" spans="1:18">
      <c r="A271" s="12"/>
      <c r="B271" s="13"/>
      <c r="C271" s="14"/>
      <c r="D271" s="15"/>
      <c r="E271" s="15"/>
      <c r="F271" s="15"/>
      <c r="G271" s="13"/>
      <c r="H271" s="16" t="str">
        <f t="shared" si="36"/>
        <v/>
      </c>
      <c r="I271" s="17" t="str">
        <f>IF(OR(A271="",B271=""),"",IFERROR(LOOKUP(2,1/(单次交易!$A$2:$A$201=A271),单次交易!$H$2:$H$201),0)+SUMIFS($G$2:$G$1001,$A$2:$A$1001,A271,$B$2:$B$1001,"&lt;"&amp;B271))</f>
        <v/>
      </c>
      <c r="J271" s="16" t="str">
        <f>IF(OR(A271="",B271=""),"",IFERROR(LOOKUP(2,1/(单次交易!$A$2:$A$201=A271),单次交易!$E$2:$E$201)*LOOKUP(2,1/(单次交易!$A$2:$A$201=A271),单次交易!$H$2:$H$201),0)+SUMIFS($H$2:$H$1001,$A$2:$A$1001,A271,$B$2:$B$1001,"&lt;"&amp;B271))</f>
        <v/>
      </c>
      <c r="K271" s="16" t="str">
        <f t="shared" si="37"/>
        <v/>
      </c>
      <c r="L271" s="17" t="str">
        <f t="shared" si="38"/>
        <v/>
      </c>
      <c r="M271" s="17" t="str">
        <f t="shared" si="39"/>
        <v/>
      </c>
      <c r="N271" s="17" t="str">
        <f t="shared" si="40"/>
        <v/>
      </c>
      <c r="O271" s="17" t="str">
        <f t="shared" si="41"/>
        <v/>
      </c>
      <c r="P271" s="16" t="str">
        <f t="shared" si="42"/>
        <v/>
      </c>
      <c r="Q271" s="16" t="str">
        <f t="shared" si="43"/>
        <v/>
      </c>
      <c r="R271" s="18" t="str">
        <f t="shared" si="44"/>
        <v/>
      </c>
    </row>
    <row r="272" spans="1:18">
      <c r="A272" s="12"/>
      <c r="B272" s="13"/>
      <c r="C272" s="14"/>
      <c r="D272" s="15"/>
      <c r="E272" s="15"/>
      <c r="F272" s="15"/>
      <c r="G272" s="13"/>
      <c r="H272" s="16" t="str">
        <f t="shared" si="36"/>
        <v/>
      </c>
      <c r="I272" s="17" t="str">
        <f>IF(OR(A272="",B272=""),"",IFERROR(LOOKUP(2,1/(单次交易!$A$2:$A$201=A272),单次交易!$H$2:$H$201),0)+SUMIFS($G$2:$G$1001,$A$2:$A$1001,A272,$B$2:$B$1001,"&lt;"&amp;B272))</f>
        <v/>
      </c>
      <c r="J272" s="16" t="str">
        <f>IF(OR(A272="",B272=""),"",IFERROR(LOOKUP(2,1/(单次交易!$A$2:$A$201=A272),单次交易!$E$2:$E$201)*LOOKUP(2,1/(单次交易!$A$2:$A$201=A272),单次交易!$H$2:$H$201),0)+SUMIFS($H$2:$H$1001,$A$2:$A$1001,A272,$B$2:$B$1001,"&lt;"&amp;B272))</f>
        <v/>
      </c>
      <c r="K272" s="16" t="str">
        <f t="shared" si="37"/>
        <v/>
      </c>
      <c r="L272" s="17" t="str">
        <f t="shared" si="38"/>
        <v/>
      </c>
      <c r="M272" s="17" t="str">
        <f t="shared" si="39"/>
        <v/>
      </c>
      <c r="N272" s="17" t="str">
        <f t="shared" si="40"/>
        <v/>
      </c>
      <c r="O272" s="17" t="str">
        <f t="shared" si="41"/>
        <v/>
      </c>
      <c r="P272" s="16" t="str">
        <f t="shared" si="42"/>
        <v/>
      </c>
      <c r="Q272" s="16" t="str">
        <f t="shared" si="43"/>
        <v/>
      </c>
      <c r="R272" s="18" t="str">
        <f t="shared" si="44"/>
        <v/>
      </c>
    </row>
    <row r="273" spans="1:18">
      <c r="A273" s="12"/>
      <c r="B273" s="13"/>
      <c r="C273" s="14"/>
      <c r="D273" s="15"/>
      <c r="E273" s="15"/>
      <c r="F273" s="15"/>
      <c r="G273" s="13"/>
      <c r="H273" s="16" t="str">
        <f t="shared" si="36"/>
        <v/>
      </c>
      <c r="I273" s="17" t="str">
        <f>IF(OR(A273="",B273=""),"",IFERROR(LOOKUP(2,1/(单次交易!$A$2:$A$201=A273),单次交易!$H$2:$H$201),0)+SUMIFS($G$2:$G$1001,$A$2:$A$1001,A273,$B$2:$B$1001,"&lt;"&amp;B273))</f>
        <v/>
      </c>
      <c r="J273" s="16" t="str">
        <f>IF(OR(A273="",B273=""),"",IFERROR(LOOKUP(2,1/(单次交易!$A$2:$A$201=A273),单次交易!$E$2:$E$201)*LOOKUP(2,1/(单次交易!$A$2:$A$201=A273),单次交易!$H$2:$H$201),0)+SUMIFS($H$2:$H$1001,$A$2:$A$1001,A273,$B$2:$B$1001,"&lt;"&amp;B273))</f>
        <v/>
      </c>
      <c r="K273" s="16" t="str">
        <f t="shared" si="37"/>
        <v/>
      </c>
      <c r="L273" s="17" t="str">
        <f t="shared" si="38"/>
        <v/>
      </c>
      <c r="M273" s="17" t="str">
        <f t="shared" si="39"/>
        <v/>
      </c>
      <c r="N273" s="17" t="str">
        <f t="shared" si="40"/>
        <v/>
      </c>
      <c r="O273" s="17" t="str">
        <f t="shared" si="41"/>
        <v/>
      </c>
      <c r="P273" s="16" t="str">
        <f t="shared" si="42"/>
        <v/>
      </c>
      <c r="Q273" s="16" t="str">
        <f t="shared" si="43"/>
        <v/>
      </c>
      <c r="R273" s="18" t="str">
        <f t="shared" si="44"/>
        <v/>
      </c>
    </row>
    <row r="274" spans="1:18">
      <c r="A274" s="12"/>
      <c r="B274" s="13"/>
      <c r="C274" s="14"/>
      <c r="D274" s="15"/>
      <c r="E274" s="15"/>
      <c r="F274" s="15"/>
      <c r="G274" s="13"/>
      <c r="H274" s="16" t="str">
        <f t="shared" si="36"/>
        <v/>
      </c>
      <c r="I274" s="17" t="str">
        <f>IF(OR(A274="",B274=""),"",IFERROR(LOOKUP(2,1/(单次交易!$A$2:$A$201=A274),单次交易!$H$2:$H$201),0)+SUMIFS($G$2:$G$1001,$A$2:$A$1001,A274,$B$2:$B$1001,"&lt;"&amp;B274))</f>
        <v/>
      </c>
      <c r="J274" s="16" t="str">
        <f>IF(OR(A274="",B274=""),"",IFERROR(LOOKUP(2,1/(单次交易!$A$2:$A$201=A274),单次交易!$E$2:$E$201)*LOOKUP(2,1/(单次交易!$A$2:$A$201=A274),单次交易!$H$2:$H$201),0)+SUMIFS($H$2:$H$1001,$A$2:$A$1001,A274,$B$2:$B$1001,"&lt;"&amp;B274))</f>
        <v/>
      </c>
      <c r="K274" s="16" t="str">
        <f t="shared" si="37"/>
        <v/>
      </c>
      <c r="L274" s="17" t="str">
        <f t="shared" si="38"/>
        <v/>
      </c>
      <c r="M274" s="17" t="str">
        <f t="shared" si="39"/>
        <v/>
      </c>
      <c r="N274" s="17" t="str">
        <f t="shared" si="40"/>
        <v/>
      </c>
      <c r="O274" s="17" t="str">
        <f t="shared" si="41"/>
        <v/>
      </c>
      <c r="P274" s="16" t="str">
        <f t="shared" si="42"/>
        <v/>
      </c>
      <c r="Q274" s="16" t="str">
        <f t="shared" si="43"/>
        <v/>
      </c>
      <c r="R274" s="18" t="str">
        <f t="shared" si="44"/>
        <v/>
      </c>
    </row>
    <row r="275" spans="1:18">
      <c r="A275" s="12"/>
      <c r="B275" s="13"/>
      <c r="C275" s="14"/>
      <c r="D275" s="15"/>
      <c r="E275" s="15"/>
      <c r="F275" s="15"/>
      <c r="G275" s="13"/>
      <c r="H275" s="16" t="str">
        <f t="shared" si="36"/>
        <v/>
      </c>
      <c r="I275" s="17" t="str">
        <f>IF(OR(A275="",B275=""),"",IFERROR(LOOKUP(2,1/(单次交易!$A$2:$A$201=A275),单次交易!$H$2:$H$201),0)+SUMIFS($G$2:$G$1001,$A$2:$A$1001,A275,$B$2:$B$1001,"&lt;"&amp;B275))</f>
        <v/>
      </c>
      <c r="J275" s="16" t="str">
        <f>IF(OR(A275="",B275=""),"",IFERROR(LOOKUP(2,1/(单次交易!$A$2:$A$201=A275),单次交易!$E$2:$E$201)*LOOKUP(2,1/(单次交易!$A$2:$A$201=A275),单次交易!$H$2:$H$201),0)+SUMIFS($H$2:$H$1001,$A$2:$A$1001,A275,$B$2:$B$1001,"&lt;"&amp;B275))</f>
        <v/>
      </c>
      <c r="K275" s="16" t="str">
        <f t="shared" si="37"/>
        <v/>
      </c>
      <c r="L275" s="17" t="str">
        <f t="shared" si="38"/>
        <v/>
      </c>
      <c r="M275" s="17" t="str">
        <f t="shared" si="39"/>
        <v/>
      </c>
      <c r="N275" s="17" t="str">
        <f t="shared" si="40"/>
        <v/>
      </c>
      <c r="O275" s="17" t="str">
        <f t="shared" si="41"/>
        <v/>
      </c>
      <c r="P275" s="16" t="str">
        <f t="shared" si="42"/>
        <v/>
      </c>
      <c r="Q275" s="16" t="str">
        <f t="shared" si="43"/>
        <v/>
      </c>
      <c r="R275" s="18" t="str">
        <f t="shared" si="44"/>
        <v/>
      </c>
    </row>
    <row r="276" spans="1:18">
      <c r="A276" s="12"/>
      <c r="B276" s="13"/>
      <c r="C276" s="14"/>
      <c r="D276" s="15"/>
      <c r="E276" s="15"/>
      <c r="F276" s="15"/>
      <c r="G276" s="13"/>
      <c r="H276" s="16" t="str">
        <f t="shared" si="36"/>
        <v/>
      </c>
      <c r="I276" s="17" t="str">
        <f>IF(OR(A276="",B276=""),"",IFERROR(LOOKUP(2,1/(单次交易!$A$2:$A$201=A276),单次交易!$H$2:$H$201),0)+SUMIFS($G$2:$G$1001,$A$2:$A$1001,A276,$B$2:$B$1001,"&lt;"&amp;B276))</f>
        <v/>
      </c>
      <c r="J276" s="16" t="str">
        <f>IF(OR(A276="",B276=""),"",IFERROR(LOOKUP(2,1/(单次交易!$A$2:$A$201=A276),单次交易!$E$2:$E$201)*LOOKUP(2,1/(单次交易!$A$2:$A$201=A276),单次交易!$H$2:$H$201),0)+SUMIFS($H$2:$H$1001,$A$2:$A$1001,A276,$B$2:$B$1001,"&lt;"&amp;B276))</f>
        <v/>
      </c>
      <c r="K276" s="16" t="str">
        <f t="shared" si="37"/>
        <v/>
      </c>
      <c r="L276" s="17" t="str">
        <f t="shared" si="38"/>
        <v/>
      </c>
      <c r="M276" s="17" t="str">
        <f t="shared" si="39"/>
        <v/>
      </c>
      <c r="N276" s="17" t="str">
        <f t="shared" si="40"/>
        <v/>
      </c>
      <c r="O276" s="17" t="str">
        <f t="shared" si="41"/>
        <v/>
      </c>
      <c r="P276" s="16" t="str">
        <f t="shared" si="42"/>
        <v/>
      </c>
      <c r="Q276" s="16" t="str">
        <f t="shared" si="43"/>
        <v/>
      </c>
      <c r="R276" s="18" t="str">
        <f t="shared" si="44"/>
        <v/>
      </c>
    </row>
    <row r="277" spans="1:18">
      <c r="A277" s="12"/>
      <c r="B277" s="13"/>
      <c r="C277" s="14"/>
      <c r="D277" s="15"/>
      <c r="E277" s="15"/>
      <c r="F277" s="15"/>
      <c r="G277" s="13"/>
      <c r="H277" s="16" t="str">
        <f t="shared" si="36"/>
        <v/>
      </c>
      <c r="I277" s="17" t="str">
        <f>IF(OR(A277="",B277=""),"",IFERROR(LOOKUP(2,1/(单次交易!$A$2:$A$201=A277),单次交易!$H$2:$H$201),0)+SUMIFS($G$2:$G$1001,$A$2:$A$1001,A277,$B$2:$B$1001,"&lt;"&amp;B277))</f>
        <v/>
      </c>
      <c r="J277" s="16" t="str">
        <f>IF(OR(A277="",B277=""),"",IFERROR(LOOKUP(2,1/(单次交易!$A$2:$A$201=A277),单次交易!$E$2:$E$201)*LOOKUP(2,1/(单次交易!$A$2:$A$201=A277),单次交易!$H$2:$H$201),0)+SUMIFS($H$2:$H$1001,$A$2:$A$1001,A277,$B$2:$B$1001,"&lt;"&amp;B277))</f>
        <v/>
      </c>
      <c r="K277" s="16" t="str">
        <f t="shared" si="37"/>
        <v/>
      </c>
      <c r="L277" s="17" t="str">
        <f t="shared" si="38"/>
        <v/>
      </c>
      <c r="M277" s="17" t="str">
        <f t="shared" si="39"/>
        <v/>
      </c>
      <c r="N277" s="17" t="str">
        <f t="shared" si="40"/>
        <v/>
      </c>
      <c r="O277" s="17" t="str">
        <f t="shared" si="41"/>
        <v/>
      </c>
      <c r="P277" s="16" t="str">
        <f t="shared" si="42"/>
        <v/>
      </c>
      <c r="Q277" s="16" t="str">
        <f t="shared" si="43"/>
        <v/>
      </c>
      <c r="R277" s="18" t="str">
        <f t="shared" si="44"/>
        <v/>
      </c>
    </row>
    <row r="278" spans="1:18">
      <c r="A278" s="12"/>
      <c r="B278" s="13"/>
      <c r="C278" s="14"/>
      <c r="D278" s="15"/>
      <c r="E278" s="15"/>
      <c r="F278" s="15"/>
      <c r="G278" s="13"/>
      <c r="H278" s="16" t="str">
        <f t="shared" si="36"/>
        <v/>
      </c>
      <c r="I278" s="17" t="str">
        <f>IF(OR(A278="",B278=""),"",IFERROR(LOOKUP(2,1/(单次交易!$A$2:$A$201=A278),单次交易!$H$2:$H$201),0)+SUMIFS($G$2:$G$1001,$A$2:$A$1001,A278,$B$2:$B$1001,"&lt;"&amp;B278))</f>
        <v/>
      </c>
      <c r="J278" s="16" t="str">
        <f>IF(OR(A278="",B278=""),"",IFERROR(LOOKUP(2,1/(单次交易!$A$2:$A$201=A278),单次交易!$E$2:$E$201)*LOOKUP(2,1/(单次交易!$A$2:$A$201=A278),单次交易!$H$2:$H$201),0)+SUMIFS($H$2:$H$1001,$A$2:$A$1001,A278,$B$2:$B$1001,"&lt;"&amp;B278))</f>
        <v/>
      </c>
      <c r="K278" s="16" t="str">
        <f t="shared" si="37"/>
        <v/>
      </c>
      <c r="L278" s="17" t="str">
        <f t="shared" si="38"/>
        <v/>
      </c>
      <c r="M278" s="17" t="str">
        <f t="shared" si="39"/>
        <v/>
      </c>
      <c r="N278" s="17" t="str">
        <f t="shared" si="40"/>
        <v/>
      </c>
      <c r="O278" s="17" t="str">
        <f t="shared" si="41"/>
        <v/>
      </c>
      <c r="P278" s="16" t="str">
        <f t="shared" si="42"/>
        <v/>
      </c>
      <c r="Q278" s="16" t="str">
        <f t="shared" si="43"/>
        <v/>
      </c>
      <c r="R278" s="18" t="str">
        <f t="shared" si="44"/>
        <v/>
      </c>
    </row>
    <row r="279" spans="1:18">
      <c r="A279" s="12"/>
      <c r="B279" s="13"/>
      <c r="C279" s="14"/>
      <c r="D279" s="15"/>
      <c r="E279" s="15"/>
      <c r="F279" s="15"/>
      <c r="G279" s="13"/>
      <c r="H279" s="16" t="str">
        <f t="shared" si="36"/>
        <v/>
      </c>
      <c r="I279" s="17" t="str">
        <f>IF(OR(A279="",B279=""),"",IFERROR(LOOKUP(2,1/(单次交易!$A$2:$A$201=A279),单次交易!$H$2:$H$201),0)+SUMIFS($G$2:$G$1001,$A$2:$A$1001,A279,$B$2:$B$1001,"&lt;"&amp;B279))</f>
        <v/>
      </c>
      <c r="J279" s="16" t="str">
        <f>IF(OR(A279="",B279=""),"",IFERROR(LOOKUP(2,1/(单次交易!$A$2:$A$201=A279),单次交易!$E$2:$E$201)*LOOKUP(2,1/(单次交易!$A$2:$A$201=A279),单次交易!$H$2:$H$201),0)+SUMIFS($H$2:$H$1001,$A$2:$A$1001,A279,$B$2:$B$1001,"&lt;"&amp;B279))</f>
        <v/>
      </c>
      <c r="K279" s="16" t="str">
        <f t="shared" si="37"/>
        <v/>
      </c>
      <c r="L279" s="17" t="str">
        <f t="shared" si="38"/>
        <v/>
      </c>
      <c r="M279" s="17" t="str">
        <f t="shared" si="39"/>
        <v/>
      </c>
      <c r="N279" s="17" t="str">
        <f t="shared" si="40"/>
        <v/>
      </c>
      <c r="O279" s="17" t="str">
        <f t="shared" si="41"/>
        <v/>
      </c>
      <c r="P279" s="16" t="str">
        <f t="shared" si="42"/>
        <v/>
      </c>
      <c r="Q279" s="16" t="str">
        <f t="shared" si="43"/>
        <v/>
      </c>
      <c r="R279" s="18" t="str">
        <f t="shared" si="44"/>
        <v/>
      </c>
    </row>
    <row r="280" spans="1:18">
      <c r="A280" s="12"/>
      <c r="B280" s="13"/>
      <c r="C280" s="14"/>
      <c r="D280" s="15"/>
      <c r="E280" s="15"/>
      <c r="F280" s="15"/>
      <c r="G280" s="13"/>
      <c r="H280" s="16" t="str">
        <f t="shared" si="36"/>
        <v/>
      </c>
      <c r="I280" s="17" t="str">
        <f>IF(OR(A280="",B280=""),"",IFERROR(LOOKUP(2,1/(单次交易!$A$2:$A$201=A280),单次交易!$H$2:$H$201),0)+SUMIFS($G$2:$G$1001,$A$2:$A$1001,A280,$B$2:$B$1001,"&lt;"&amp;B280))</f>
        <v/>
      </c>
      <c r="J280" s="16" t="str">
        <f>IF(OR(A280="",B280=""),"",IFERROR(LOOKUP(2,1/(单次交易!$A$2:$A$201=A280),单次交易!$E$2:$E$201)*LOOKUP(2,1/(单次交易!$A$2:$A$201=A280),单次交易!$H$2:$H$201),0)+SUMIFS($H$2:$H$1001,$A$2:$A$1001,A280,$B$2:$B$1001,"&lt;"&amp;B280))</f>
        <v/>
      </c>
      <c r="K280" s="16" t="str">
        <f t="shared" si="37"/>
        <v/>
      </c>
      <c r="L280" s="17" t="str">
        <f t="shared" si="38"/>
        <v/>
      </c>
      <c r="M280" s="17" t="str">
        <f t="shared" si="39"/>
        <v/>
      </c>
      <c r="N280" s="17" t="str">
        <f t="shared" si="40"/>
        <v/>
      </c>
      <c r="O280" s="17" t="str">
        <f t="shared" si="41"/>
        <v/>
      </c>
      <c r="P280" s="16" t="str">
        <f t="shared" si="42"/>
        <v/>
      </c>
      <c r="Q280" s="16" t="str">
        <f t="shared" si="43"/>
        <v/>
      </c>
      <c r="R280" s="18" t="str">
        <f t="shared" si="44"/>
        <v/>
      </c>
    </row>
    <row r="281" spans="1:18">
      <c r="A281" s="12"/>
      <c r="B281" s="13"/>
      <c r="C281" s="14"/>
      <c r="D281" s="15"/>
      <c r="E281" s="15"/>
      <c r="F281" s="15"/>
      <c r="G281" s="13"/>
      <c r="H281" s="16" t="str">
        <f t="shared" si="36"/>
        <v/>
      </c>
      <c r="I281" s="17" t="str">
        <f>IF(OR(A281="",B281=""),"",IFERROR(LOOKUP(2,1/(单次交易!$A$2:$A$201=A281),单次交易!$H$2:$H$201),0)+SUMIFS($G$2:$G$1001,$A$2:$A$1001,A281,$B$2:$B$1001,"&lt;"&amp;B281))</f>
        <v/>
      </c>
      <c r="J281" s="16" t="str">
        <f>IF(OR(A281="",B281=""),"",IFERROR(LOOKUP(2,1/(单次交易!$A$2:$A$201=A281),单次交易!$E$2:$E$201)*LOOKUP(2,1/(单次交易!$A$2:$A$201=A281),单次交易!$H$2:$H$201),0)+SUMIFS($H$2:$H$1001,$A$2:$A$1001,A281,$B$2:$B$1001,"&lt;"&amp;B281))</f>
        <v/>
      </c>
      <c r="K281" s="16" t="str">
        <f t="shared" si="37"/>
        <v/>
      </c>
      <c r="L281" s="17" t="str">
        <f t="shared" si="38"/>
        <v/>
      </c>
      <c r="M281" s="17" t="str">
        <f t="shared" si="39"/>
        <v/>
      </c>
      <c r="N281" s="17" t="str">
        <f t="shared" si="40"/>
        <v/>
      </c>
      <c r="O281" s="17" t="str">
        <f t="shared" si="41"/>
        <v/>
      </c>
      <c r="P281" s="16" t="str">
        <f t="shared" si="42"/>
        <v/>
      </c>
      <c r="Q281" s="16" t="str">
        <f t="shared" si="43"/>
        <v/>
      </c>
      <c r="R281" s="18" t="str">
        <f t="shared" si="44"/>
        <v/>
      </c>
    </row>
    <row r="282" spans="1:18">
      <c r="A282" s="12"/>
      <c r="B282" s="13"/>
      <c r="C282" s="14"/>
      <c r="D282" s="15"/>
      <c r="E282" s="15"/>
      <c r="F282" s="15"/>
      <c r="G282" s="13"/>
      <c r="H282" s="16" t="str">
        <f t="shared" si="36"/>
        <v/>
      </c>
      <c r="I282" s="17" t="str">
        <f>IF(OR(A282="",B282=""),"",IFERROR(LOOKUP(2,1/(单次交易!$A$2:$A$201=A282),单次交易!$H$2:$H$201),0)+SUMIFS($G$2:$G$1001,$A$2:$A$1001,A282,$B$2:$B$1001,"&lt;"&amp;B282))</f>
        <v/>
      </c>
      <c r="J282" s="16" t="str">
        <f>IF(OR(A282="",B282=""),"",IFERROR(LOOKUP(2,1/(单次交易!$A$2:$A$201=A282),单次交易!$E$2:$E$201)*LOOKUP(2,1/(单次交易!$A$2:$A$201=A282),单次交易!$H$2:$H$201),0)+SUMIFS($H$2:$H$1001,$A$2:$A$1001,A282,$B$2:$B$1001,"&lt;"&amp;B282))</f>
        <v/>
      </c>
      <c r="K282" s="16" t="str">
        <f t="shared" si="37"/>
        <v/>
      </c>
      <c r="L282" s="17" t="str">
        <f t="shared" si="38"/>
        <v/>
      </c>
      <c r="M282" s="17" t="str">
        <f t="shared" si="39"/>
        <v/>
      </c>
      <c r="N282" s="17" t="str">
        <f t="shared" si="40"/>
        <v/>
      </c>
      <c r="O282" s="17" t="str">
        <f t="shared" si="41"/>
        <v/>
      </c>
      <c r="P282" s="16" t="str">
        <f t="shared" si="42"/>
        <v/>
      </c>
      <c r="Q282" s="16" t="str">
        <f t="shared" si="43"/>
        <v/>
      </c>
      <c r="R282" s="18" t="str">
        <f t="shared" si="44"/>
        <v/>
      </c>
    </row>
    <row r="283" spans="1:18">
      <c r="A283" s="12"/>
      <c r="B283" s="13"/>
      <c r="C283" s="14"/>
      <c r="D283" s="15"/>
      <c r="E283" s="15"/>
      <c r="F283" s="15"/>
      <c r="G283" s="13"/>
      <c r="H283" s="16" t="str">
        <f t="shared" si="36"/>
        <v/>
      </c>
      <c r="I283" s="17" t="str">
        <f>IF(OR(A283="",B283=""),"",IFERROR(LOOKUP(2,1/(单次交易!$A$2:$A$201=A283),单次交易!$H$2:$H$201),0)+SUMIFS($G$2:$G$1001,$A$2:$A$1001,A283,$B$2:$B$1001,"&lt;"&amp;B283))</f>
        <v/>
      </c>
      <c r="J283" s="16" t="str">
        <f>IF(OR(A283="",B283=""),"",IFERROR(LOOKUP(2,1/(单次交易!$A$2:$A$201=A283),单次交易!$E$2:$E$201)*LOOKUP(2,1/(单次交易!$A$2:$A$201=A283),单次交易!$H$2:$H$201),0)+SUMIFS($H$2:$H$1001,$A$2:$A$1001,A283,$B$2:$B$1001,"&lt;"&amp;B283))</f>
        <v/>
      </c>
      <c r="K283" s="16" t="str">
        <f t="shared" si="37"/>
        <v/>
      </c>
      <c r="L283" s="17" t="str">
        <f t="shared" si="38"/>
        <v/>
      </c>
      <c r="M283" s="17" t="str">
        <f t="shared" si="39"/>
        <v/>
      </c>
      <c r="N283" s="17" t="str">
        <f t="shared" si="40"/>
        <v/>
      </c>
      <c r="O283" s="17" t="str">
        <f t="shared" si="41"/>
        <v/>
      </c>
      <c r="P283" s="16" t="str">
        <f t="shared" si="42"/>
        <v/>
      </c>
      <c r="Q283" s="16" t="str">
        <f t="shared" si="43"/>
        <v/>
      </c>
      <c r="R283" s="18" t="str">
        <f t="shared" si="44"/>
        <v/>
      </c>
    </row>
    <row r="284" spans="1:18">
      <c r="A284" s="12"/>
      <c r="B284" s="13"/>
      <c r="C284" s="14"/>
      <c r="D284" s="15"/>
      <c r="E284" s="15"/>
      <c r="F284" s="15"/>
      <c r="G284" s="13"/>
      <c r="H284" s="16" t="str">
        <f t="shared" si="36"/>
        <v/>
      </c>
      <c r="I284" s="17" t="str">
        <f>IF(OR(A284="",B284=""),"",IFERROR(LOOKUP(2,1/(单次交易!$A$2:$A$201=A284),单次交易!$H$2:$H$201),0)+SUMIFS($G$2:$G$1001,$A$2:$A$1001,A284,$B$2:$B$1001,"&lt;"&amp;B284))</f>
        <v/>
      </c>
      <c r="J284" s="16" t="str">
        <f>IF(OR(A284="",B284=""),"",IFERROR(LOOKUP(2,1/(单次交易!$A$2:$A$201=A284),单次交易!$E$2:$E$201)*LOOKUP(2,1/(单次交易!$A$2:$A$201=A284),单次交易!$H$2:$H$201),0)+SUMIFS($H$2:$H$1001,$A$2:$A$1001,A284,$B$2:$B$1001,"&lt;"&amp;B284))</f>
        <v/>
      </c>
      <c r="K284" s="16" t="str">
        <f t="shared" si="37"/>
        <v/>
      </c>
      <c r="L284" s="17" t="str">
        <f t="shared" si="38"/>
        <v/>
      </c>
      <c r="M284" s="17" t="str">
        <f t="shared" si="39"/>
        <v/>
      </c>
      <c r="N284" s="17" t="str">
        <f t="shared" si="40"/>
        <v/>
      </c>
      <c r="O284" s="17" t="str">
        <f t="shared" si="41"/>
        <v/>
      </c>
      <c r="P284" s="16" t="str">
        <f t="shared" si="42"/>
        <v/>
      </c>
      <c r="Q284" s="16" t="str">
        <f t="shared" si="43"/>
        <v/>
      </c>
      <c r="R284" s="18" t="str">
        <f t="shared" si="44"/>
        <v/>
      </c>
    </row>
    <row r="285" spans="1:18">
      <c r="A285" s="12"/>
      <c r="B285" s="13"/>
      <c r="C285" s="14"/>
      <c r="D285" s="15"/>
      <c r="E285" s="15"/>
      <c r="F285" s="15"/>
      <c r="G285" s="13"/>
      <c r="H285" s="16" t="str">
        <f t="shared" si="36"/>
        <v/>
      </c>
      <c r="I285" s="17" t="str">
        <f>IF(OR(A285="",B285=""),"",IFERROR(LOOKUP(2,1/(单次交易!$A$2:$A$201=A285),单次交易!$H$2:$H$201),0)+SUMIFS($G$2:$G$1001,$A$2:$A$1001,A285,$B$2:$B$1001,"&lt;"&amp;B285))</f>
        <v/>
      </c>
      <c r="J285" s="16" t="str">
        <f>IF(OR(A285="",B285=""),"",IFERROR(LOOKUP(2,1/(单次交易!$A$2:$A$201=A285),单次交易!$E$2:$E$201)*LOOKUP(2,1/(单次交易!$A$2:$A$201=A285),单次交易!$H$2:$H$201),0)+SUMIFS($H$2:$H$1001,$A$2:$A$1001,A285,$B$2:$B$1001,"&lt;"&amp;B285))</f>
        <v/>
      </c>
      <c r="K285" s="16" t="str">
        <f t="shared" si="37"/>
        <v/>
      </c>
      <c r="L285" s="17" t="str">
        <f t="shared" si="38"/>
        <v/>
      </c>
      <c r="M285" s="17" t="str">
        <f t="shared" si="39"/>
        <v/>
      </c>
      <c r="N285" s="17" t="str">
        <f t="shared" si="40"/>
        <v/>
      </c>
      <c r="O285" s="17" t="str">
        <f t="shared" si="41"/>
        <v/>
      </c>
      <c r="P285" s="16" t="str">
        <f t="shared" si="42"/>
        <v/>
      </c>
      <c r="Q285" s="16" t="str">
        <f t="shared" si="43"/>
        <v/>
      </c>
      <c r="R285" s="18" t="str">
        <f t="shared" si="44"/>
        <v/>
      </c>
    </row>
    <row r="286" spans="1:18">
      <c r="A286" s="12"/>
      <c r="B286" s="13"/>
      <c r="C286" s="14"/>
      <c r="D286" s="15"/>
      <c r="E286" s="15"/>
      <c r="F286" s="15"/>
      <c r="G286" s="13"/>
      <c r="H286" s="16" t="str">
        <f t="shared" si="36"/>
        <v/>
      </c>
      <c r="I286" s="17" t="str">
        <f>IF(OR(A286="",B286=""),"",IFERROR(LOOKUP(2,1/(单次交易!$A$2:$A$201=A286),单次交易!$H$2:$H$201),0)+SUMIFS($G$2:$G$1001,$A$2:$A$1001,A286,$B$2:$B$1001,"&lt;"&amp;B286))</f>
        <v/>
      </c>
      <c r="J286" s="16" t="str">
        <f>IF(OR(A286="",B286=""),"",IFERROR(LOOKUP(2,1/(单次交易!$A$2:$A$201=A286),单次交易!$E$2:$E$201)*LOOKUP(2,1/(单次交易!$A$2:$A$201=A286),单次交易!$H$2:$H$201),0)+SUMIFS($H$2:$H$1001,$A$2:$A$1001,A286,$B$2:$B$1001,"&lt;"&amp;B286))</f>
        <v/>
      </c>
      <c r="K286" s="16" t="str">
        <f t="shared" si="37"/>
        <v/>
      </c>
      <c r="L286" s="17" t="str">
        <f t="shared" si="38"/>
        <v/>
      </c>
      <c r="M286" s="17" t="str">
        <f t="shared" si="39"/>
        <v/>
      </c>
      <c r="N286" s="17" t="str">
        <f t="shared" si="40"/>
        <v/>
      </c>
      <c r="O286" s="17" t="str">
        <f t="shared" si="41"/>
        <v/>
      </c>
      <c r="P286" s="16" t="str">
        <f t="shared" si="42"/>
        <v/>
      </c>
      <c r="Q286" s="16" t="str">
        <f t="shared" si="43"/>
        <v/>
      </c>
      <c r="R286" s="18" t="str">
        <f t="shared" si="44"/>
        <v/>
      </c>
    </row>
    <row r="287" spans="1:18">
      <c r="A287" s="12"/>
      <c r="B287" s="13"/>
      <c r="C287" s="14"/>
      <c r="D287" s="15"/>
      <c r="E287" s="15"/>
      <c r="F287" s="15"/>
      <c r="G287" s="13"/>
      <c r="H287" s="16" t="str">
        <f t="shared" si="36"/>
        <v/>
      </c>
      <c r="I287" s="17" t="str">
        <f>IF(OR(A287="",B287=""),"",IFERROR(LOOKUP(2,1/(单次交易!$A$2:$A$201=A287),单次交易!$H$2:$H$201),0)+SUMIFS($G$2:$G$1001,$A$2:$A$1001,A287,$B$2:$B$1001,"&lt;"&amp;B287))</f>
        <v/>
      </c>
      <c r="J287" s="16" t="str">
        <f>IF(OR(A287="",B287=""),"",IFERROR(LOOKUP(2,1/(单次交易!$A$2:$A$201=A287),单次交易!$E$2:$E$201)*LOOKUP(2,1/(单次交易!$A$2:$A$201=A287),单次交易!$H$2:$H$201),0)+SUMIFS($H$2:$H$1001,$A$2:$A$1001,A287,$B$2:$B$1001,"&lt;"&amp;B287))</f>
        <v/>
      </c>
      <c r="K287" s="16" t="str">
        <f t="shared" si="37"/>
        <v/>
      </c>
      <c r="L287" s="17" t="str">
        <f t="shared" si="38"/>
        <v/>
      </c>
      <c r="M287" s="17" t="str">
        <f t="shared" si="39"/>
        <v/>
      </c>
      <c r="N287" s="17" t="str">
        <f t="shared" si="40"/>
        <v/>
      </c>
      <c r="O287" s="17" t="str">
        <f t="shared" si="41"/>
        <v/>
      </c>
      <c r="P287" s="16" t="str">
        <f t="shared" si="42"/>
        <v/>
      </c>
      <c r="Q287" s="16" t="str">
        <f t="shared" si="43"/>
        <v/>
      </c>
      <c r="R287" s="18" t="str">
        <f t="shared" si="44"/>
        <v/>
      </c>
    </row>
    <row r="288" spans="1:18">
      <c r="A288" s="12"/>
      <c r="B288" s="13"/>
      <c r="C288" s="14"/>
      <c r="D288" s="15"/>
      <c r="E288" s="15"/>
      <c r="F288" s="15"/>
      <c r="G288" s="13"/>
      <c r="H288" s="16" t="str">
        <f t="shared" si="36"/>
        <v/>
      </c>
      <c r="I288" s="17" t="str">
        <f>IF(OR(A288="",B288=""),"",IFERROR(LOOKUP(2,1/(单次交易!$A$2:$A$201=A288),单次交易!$H$2:$H$201),0)+SUMIFS($G$2:$G$1001,$A$2:$A$1001,A288,$B$2:$B$1001,"&lt;"&amp;B288))</f>
        <v/>
      </c>
      <c r="J288" s="16" t="str">
        <f>IF(OR(A288="",B288=""),"",IFERROR(LOOKUP(2,1/(单次交易!$A$2:$A$201=A288),单次交易!$E$2:$E$201)*LOOKUP(2,1/(单次交易!$A$2:$A$201=A288),单次交易!$H$2:$H$201),0)+SUMIFS($H$2:$H$1001,$A$2:$A$1001,A288,$B$2:$B$1001,"&lt;"&amp;B288))</f>
        <v/>
      </c>
      <c r="K288" s="16" t="str">
        <f t="shared" si="37"/>
        <v/>
      </c>
      <c r="L288" s="17" t="str">
        <f t="shared" si="38"/>
        <v/>
      </c>
      <c r="M288" s="17" t="str">
        <f t="shared" si="39"/>
        <v/>
      </c>
      <c r="N288" s="17" t="str">
        <f t="shared" si="40"/>
        <v/>
      </c>
      <c r="O288" s="17" t="str">
        <f t="shared" si="41"/>
        <v/>
      </c>
      <c r="P288" s="16" t="str">
        <f t="shared" si="42"/>
        <v/>
      </c>
      <c r="Q288" s="16" t="str">
        <f t="shared" si="43"/>
        <v/>
      </c>
      <c r="R288" s="18" t="str">
        <f t="shared" si="44"/>
        <v/>
      </c>
    </row>
    <row r="289" spans="1:18">
      <c r="A289" s="12"/>
      <c r="B289" s="13"/>
      <c r="C289" s="14"/>
      <c r="D289" s="15"/>
      <c r="E289" s="15"/>
      <c r="F289" s="15"/>
      <c r="G289" s="13"/>
      <c r="H289" s="16" t="str">
        <f t="shared" si="36"/>
        <v/>
      </c>
      <c r="I289" s="17" t="str">
        <f>IF(OR(A289="",B289=""),"",IFERROR(LOOKUP(2,1/(单次交易!$A$2:$A$201=A289),单次交易!$H$2:$H$201),0)+SUMIFS($G$2:$G$1001,$A$2:$A$1001,A289,$B$2:$B$1001,"&lt;"&amp;B289))</f>
        <v/>
      </c>
      <c r="J289" s="16" t="str">
        <f>IF(OR(A289="",B289=""),"",IFERROR(LOOKUP(2,1/(单次交易!$A$2:$A$201=A289),单次交易!$E$2:$E$201)*LOOKUP(2,1/(单次交易!$A$2:$A$201=A289),单次交易!$H$2:$H$201),0)+SUMIFS($H$2:$H$1001,$A$2:$A$1001,A289,$B$2:$B$1001,"&lt;"&amp;B289))</f>
        <v/>
      </c>
      <c r="K289" s="16" t="str">
        <f t="shared" si="37"/>
        <v/>
      </c>
      <c r="L289" s="17" t="str">
        <f t="shared" si="38"/>
        <v/>
      </c>
      <c r="M289" s="17" t="str">
        <f t="shared" si="39"/>
        <v/>
      </c>
      <c r="N289" s="17" t="str">
        <f t="shared" si="40"/>
        <v/>
      </c>
      <c r="O289" s="17" t="str">
        <f t="shared" si="41"/>
        <v/>
      </c>
      <c r="P289" s="16" t="str">
        <f t="shared" si="42"/>
        <v/>
      </c>
      <c r="Q289" s="16" t="str">
        <f t="shared" si="43"/>
        <v/>
      </c>
      <c r="R289" s="18" t="str">
        <f t="shared" si="44"/>
        <v/>
      </c>
    </row>
    <row r="290" spans="1:18">
      <c r="A290" s="12"/>
      <c r="B290" s="13"/>
      <c r="C290" s="14"/>
      <c r="D290" s="15"/>
      <c r="E290" s="15"/>
      <c r="F290" s="15"/>
      <c r="G290" s="13"/>
      <c r="H290" s="16" t="str">
        <f t="shared" si="36"/>
        <v/>
      </c>
      <c r="I290" s="17" t="str">
        <f>IF(OR(A290="",B290=""),"",IFERROR(LOOKUP(2,1/(单次交易!$A$2:$A$201=A290),单次交易!$H$2:$H$201),0)+SUMIFS($G$2:$G$1001,$A$2:$A$1001,A290,$B$2:$B$1001,"&lt;"&amp;B290))</f>
        <v/>
      </c>
      <c r="J290" s="16" t="str">
        <f>IF(OR(A290="",B290=""),"",IFERROR(LOOKUP(2,1/(单次交易!$A$2:$A$201=A290),单次交易!$E$2:$E$201)*LOOKUP(2,1/(单次交易!$A$2:$A$201=A290),单次交易!$H$2:$H$201),0)+SUMIFS($H$2:$H$1001,$A$2:$A$1001,A290,$B$2:$B$1001,"&lt;"&amp;B290))</f>
        <v/>
      </c>
      <c r="K290" s="16" t="str">
        <f t="shared" si="37"/>
        <v/>
      </c>
      <c r="L290" s="17" t="str">
        <f t="shared" si="38"/>
        <v/>
      </c>
      <c r="M290" s="17" t="str">
        <f t="shared" si="39"/>
        <v/>
      </c>
      <c r="N290" s="17" t="str">
        <f t="shared" si="40"/>
        <v/>
      </c>
      <c r="O290" s="17" t="str">
        <f t="shared" si="41"/>
        <v/>
      </c>
      <c r="P290" s="16" t="str">
        <f t="shared" si="42"/>
        <v/>
      </c>
      <c r="Q290" s="16" t="str">
        <f t="shared" si="43"/>
        <v/>
      </c>
      <c r="R290" s="18" t="str">
        <f t="shared" si="44"/>
        <v/>
      </c>
    </row>
    <row r="291" spans="1:18">
      <c r="A291" s="12"/>
      <c r="B291" s="13"/>
      <c r="C291" s="14"/>
      <c r="D291" s="15"/>
      <c r="E291" s="15"/>
      <c r="F291" s="15"/>
      <c r="G291" s="13"/>
      <c r="H291" s="16" t="str">
        <f t="shared" si="36"/>
        <v/>
      </c>
      <c r="I291" s="17" t="str">
        <f>IF(OR(A291="",B291=""),"",IFERROR(LOOKUP(2,1/(单次交易!$A$2:$A$201=A291),单次交易!$H$2:$H$201),0)+SUMIFS($G$2:$G$1001,$A$2:$A$1001,A291,$B$2:$B$1001,"&lt;"&amp;B291))</f>
        <v/>
      </c>
      <c r="J291" s="16" t="str">
        <f>IF(OR(A291="",B291=""),"",IFERROR(LOOKUP(2,1/(单次交易!$A$2:$A$201=A291),单次交易!$E$2:$E$201)*LOOKUP(2,1/(单次交易!$A$2:$A$201=A291),单次交易!$H$2:$H$201),0)+SUMIFS($H$2:$H$1001,$A$2:$A$1001,A291,$B$2:$B$1001,"&lt;"&amp;B291))</f>
        <v/>
      </c>
      <c r="K291" s="16" t="str">
        <f t="shared" si="37"/>
        <v/>
      </c>
      <c r="L291" s="17" t="str">
        <f t="shared" si="38"/>
        <v/>
      </c>
      <c r="M291" s="17" t="str">
        <f t="shared" si="39"/>
        <v/>
      </c>
      <c r="N291" s="17" t="str">
        <f t="shared" si="40"/>
        <v/>
      </c>
      <c r="O291" s="17" t="str">
        <f t="shared" si="41"/>
        <v/>
      </c>
      <c r="P291" s="16" t="str">
        <f t="shared" si="42"/>
        <v/>
      </c>
      <c r="Q291" s="16" t="str">
        <f t="shared" si="43"/>
        <v/>
      </c>
      <c r="R291" s="18" t="str">
        <f t="shared" si="44"/>
        <v/>
      </c>
    </row>
    <row r="292" spans="1:18">
      <c r="A292" s="12"/>
      <c r="B292" s="13"/>
      <c r="C292" s="14"/>
      <c r="D292" s="15"/>
      <c r="E292" s="15"/>
      <c r="F292" s="15"/>
      <c r="G292" s="13"/>
      <c r="H292" s="16" t="str">
        <f t="shared" si="36"/>
        <v/>
      </c>
      <c r="I292" s="17" t="str">
        <f>IF(OR(A292="",B292=""),"",IFERROR(LOOKUP(2,1/(单次交易!$A$2:$A$201=A292),单次交易!$H$2:$H$201),0)+SUMIFS($G$2:$G$1001,$A$2:$A$1001,A292,$B$2:$B$1001,"&lt;"&amp;B292))</f>
        <v/>
      </c>
      <c r="J292" s="16" t="str">
        <f>IF(OR(A292="",B292=""),"",IFERROR(LOOKUP(2,1/(单次交易!$A$2:$A$201=A292),单次交易!$E$2:$E$201)*LOOKUP(2,1/(单次交易!$A$2:$A$201=A292),单次交易!$H$2:$H$201),0)+SUMIFS($H$2:$H$1001,$A$2:$A$1001,A292,$B$2:$B$1001,"&lt;"&amp;B292))</f>
        <v/>
      </c>
      <c r="K292" s="16" t="str">
        <f t="shared" si="37"/>
        <v/>
      </c>
      <c r="L292" s="17" t="str">
        <f t="shared" si="38"/>
        <v/>
      </c>
      <c r="M292" s="17" t="str">
        <f t="shared" si="39"/>
        <v/>
      </c>
      <c r="N292" s="17" t="str">
        <f t="shared" si="40"/>
        <v/>
      </c>
      <c r="O292" s="17" t="str">
        <f t="shared" si="41"/>
        <v/>
      </c>
      <c r="P292" s="16" t="str">
        <f t="shared" si="42"/>
        <v/>
      </c>
      <c r="Q292" s="16" t="str">
        <f t="shared" si="43"/>
        <v/>
      </c>
      <c r="R292" s="18" t="str">
        <f t="shared" si="44"/>
        <v/>
      </c>
    </row>
    <row r="293" spans="1:18">
      <c r="A293" s="12"/>
      <c r="B293" s="13"/>
      <c r="C293" s="14"/>
      <c r="D293" s="15"/>
      <c r="E293" s="15"/>
      <c r="F293" s="15"/>
      <c r="G293" s="13"/>
      <c r="H293" s="16" t="str">
        <f t="shared" si="36"/>
        <v/>
      </c>
      <c r="I293" s="17" t="str">
        <f>IF(OR(A293="",B293=""),"",IFERROR(LOOKUP(2,1/(单次交易!$A$2:$A$201=A293),单次交易!$H$2:$H$201),0)+SUMIFS($G$2:$G$1001,$A$2:$A$1001,A293,$B$2:$B$1001,"&lt;"&amp;B293))</f>
        <v/>
      </c>
      <c r="J293" s="16" t="str">
        <f>IF(OR(A293="",B293=""),"",IFERROR(LOOKUP(2,1/(单次交易!$A$2:$A$201=A293),单次交易!$E$2:$E$201)*LOOKUP(2,1/(单次交易!$A$2:$A$201=A293),单次交易!$H$2:$H$201),0)+SUMIFS($H$2:$H$1001,$A$2:$A$1001,A293,$B$2:$B$1001,"&lt;"&amp;B293))</f>
        <v/>
      </c>
      <c r="K293" s="16" t="str">
        <f t="shared" si="37"/>
        <v/>
      </c>
      <c r="L293" s="17" t="str">
        <f t="shared" si="38"/>
        <v/>
      </c>
      <c r="M293" s="17" t="str">
        <f t="shared" si="39"/>
        <v/>
      </c>
      <c r="N293" s="17" t="str">
        <f t="shared" si="40"/>
        <v/>
      </c>
      <c r="O293" s="17" t="str">
        <f t="shared" si="41"/>
        <v/>
      </c>
      <c r="P293" s="16" t="str">
        <f t="shared" si="42"/>
        <v/>
      </c>
      <c r="Q293" s="16" t="str">
        <f t="shared" si="43"/>
        <v/>
      </c>
      <c r="R293" s="18" t="str">
        <f t="shared" si="44"/>
        <v/>
      </c>
    </row>
    <row r="294" spans="1:18">
      <c r="A294" s="12"/>
      <c r="B294" s="13"/>
      <c r="C294" s="14"/>
      <c r="D294" s="15"/>
      <c r="E294" s="15"/>
      <c r="F294" s="15"/>
      <c r="G294" s="13"/>
      <c r="H294" s="16" t="str">
        <f t="shared" si="36"/>
        <v/>
      </c>
      <c r="I294" s="17" t="str">
        <f>IF(OR(A294="",B294=""),"",IFERROR(LOOKUP(2,1/(单次交易!$A$2:$A$201=A294),单次交易!$H$2:$H$201),0)+SUMIFS($G$2:$G$1001,$A$2:$A$1001,A294,$B$2:$B$1001,"&lt;"&amp;B294))</f>
        <v/>
      </c>
      <c r="J294" s="16" t="str">
        <f>IF(OR(A294="",B294=""),"",IFERROR(LOOKUP(2,1/(单次交易!$A$2:$A$201=A294),单次交易!$E$2:$E$201)*LOOKUP(2,1/(单次交易!$A$2:$A$201=A294),单次交易!$H$2:$H$201),0)+SUMIFS($H$2:$H$1001,$A$2:$A$1001,A294,$B$2:$B$1001,"&lt;"&amp;B294))</f>
        <v/>
      </c>
      <c r="K294" s="16" t="str">
        <f t="shared" si="37"/>
        <v/>
      </c>
      <c r="L294" s="17" t="str">
        <f t="shared" si="38"/>
        <v/>
      </c>
      <c r="M294" s="17" t="str">
        <f t="shared" si="39"/>
        <v/>
      </c>
      <c r="N294" s="17" t="str">
        <f t="shared" si="40"/>
        <v/>
      </c>
      <c r="O294" s="17" t="str">
        <f t="shared" si="41"/>
        <v/>
      </c>
      <c r="P294" s="16" t="str">
        <f t="shared" si="42"/>
        <v/>
      </c>
      <c r="Q294" s="16" t="str">
        <f t="shared" si="43"/>
        <v/>
      </c>
      <c r="R294" s="18" t="str">
        <f t="shared" si="44"/>
        <v/>
      </c>
    </row>
    <row r="295" spans="1:18">
      <c r="A295" s="12"/>
      <c r="B295" s="13"/>
      <c r="C295" s="14"/>
      <c r="D295" s="15"/>
      <c r="E295" s="15"/>
      <c r="F295" s="15"/>
      <c r="G295" s="13"/>
      <c r="H295" s="16" t="str">
        <f t="shared" si="36"/>
        <v/>
      </c>
      <c r="I295" s="17" t="str">
        <f>IF(OR(A295="",B295=""),"",IFERROR(LOOKUP(2,1/(单次交易!$A$2:$A$201=A295),单次交易!$H$2:$H$201),0)+SUMIFS($G$2:$G$1001,$A$2:$A$1001,A295,$B$2:$B$1001,"&lt;"&amp;B295))</f>
        <v/>
      </c>
      <c r="J295" s="16" t="str">
        <f>IF(OR(A295="",B295=""),"",IFERROR(LOOKUP(2,1/(单次交易!$A$2:$A$201=A295),单次交易!$E$2:$E$201)*LOOKUP(2,1/(单次交易!$A$2:$A$201=A295),单次交易!$H$2:$H$201),0)+SUMIFS($H$2:$H$1001,$A$2:$A$1001,A295,$B$2:$B$1001,"&lt;"&amp;B295))</f>
        <v/>
      </c>
      <c r="K295" s="16" t="str">
        <f t="shared" si="37"/>
        <v/>
      </c>
      <c r="L295" s="17" t="str">
        <f t="shared" si="38"/>
        <v/>
      </c>
      <c r="M295" s="17" t="str">
        <f t="shared" si="39"/>
        <v/>
      </c>
      <c r="N295" s="17" t="str">
        <f t="shared" si="40"/>
        <v/>
      </c>
      <c r="O295" s="17" t="str">
        <f t="shared" si="41"/>
        <v/>
      </c>
      <c r="P295" s="16" t="str">
        <f t="shared" si="42"/>
        <v/>
      </c>
      <c r="Q295" s="16" t="str">
        <f t="shared" si="43"/>
        <v/>
      </c>
      <c r="R295" s="18" t="str">
        <f t="shared" si="44"/>
        <v/>
      </c>
    </row>
    <row r="296" spans="1:18">
      <c r="A296" s="12"/>
      <c r="B296" s="13"/>
      <c r="C296" s="14"/>
      <c r="D296" s="15"/>
      <c r="E296" s="15"/>
      <c r="F296" s="15"/>
      <c r="G296" s="13"/>
      <c r="H296" s="16" t="str">
        <f t="shared" si="36"/>
        <v/>
      </c>
      <c r="I296" s="17" t="str">
        <f>IF(OR(A296="",B296=""),"",IFERROR(LOOKUP(2,1/(单次交易!$A$2:$A$201=A296),单次交易!$H$2:$H$201),0)+SUMIFS($G$2:$G$1001,$A$2:$A$1001,A296,$B$2:$B$1001,"&lt;"&amp;B296))</f>
        <v/>
      </c>
      <c r="J296" s="16" t="str">
        <f>IF(OR(A296="",B296=""),"",IFERROR(LOOKUP(2,1/(单次交易!$A$2:$A$201=A296),单次交易!$E$2:$E$201)*LOOKUP(2,1/(单次交易!$A$2:$A$201=A296),单次交易!$H$2:$H$201),0)+SUMIFS($H$2:$H$1001,$A$2:$A$1001,A296,$B$2:$B$1001,"&lt;"&amp;B296))</f>
        <v/>
      </c>
      <c r="K296" s="16" t="str">
        <f t="shared" si="37"/>
        <v/>
      </c>
      <c r="L296" s="17" t="str">
        <f t="shared" si="38"/>
        <v/>
      </c>
      <c r="M296" s="17" t="str">
        <f t="shared" si="39"/>
        <v/>
      </c>
      <c r="N296" s="17" t="str">
        <f t="shared" si="40"/>
        <v/>
      </c>
      <c r="O296" s="17" t="str">
        <f t="shared" si="41"/>
        <v/>
      </c>
      <c r="P296" s="16" t="str">
        <f t="shared" si="42"/>
        <v/>
      </c>
      <c r="Q296" s="16" t="str">
        <f t="shared" si="43"/>
        <v/>
      </c>
      <c r="R296" s="18" t="str">
        <f t="shared" si="44"/>
        <v/>
      </c>
    </row>
    <row r="297" spans="1:18">
      <c r="A297" s="12"/>
      <c r="B297" s="13"/>
      <c r="C297" s="14"/>
      <c r="D297" s="15"/>
      <c r="E297" s="15"/>
      <c r="F297" s="15"/>
      <c r="G297" s="13"/>
      <c r="H297" s="16" t="str">
        <f t="shared" si="36"/>
        <v/>
      </c>
      <c r="I297" s="17" t="str">
        <f>IF(OR(A297="",B297=""),"",IFERROR(LOOKUP(2,1/(单次交易!$A$2:$A$201=A297),单次交易!$H$2:$H$201),0)+SUMIFS($G$2:$G$1001,$A$2:$A$1001,A297,$B$2:$B$1001,"&lt;"&amp;B297))</f>
        <v/>
      </c>
      <c r="J297" s="16" t="str">
        <f>IF(OR(A297="",B297=""),"",IFERROR(LOOKUP(2,1/(单次交易!$A$2:$A$201=A297),单次交易!$E$2:$E$201)*LOOKUP(2,1/(单次交易!$A$2:$A$201=A297),单次交易!$H$2:$H$201),0)+SUMIFS($H$2:$H$1001,$A$2:$A$1001,A297,$B$2:$B$1001,"&lt;"&amp;B297))</f>
        <v/>
      </c>
      <c r="K297" s="16" t="str">
        <f t="shared" si="37"/>
        <v/>
      </c>
      <c r="L297" s="17" t="str">
        <f t="shared" si="38"/>
        <v/>
      </c>
      <c r="M297" s="17" t="str">
        <f t="shared" si="39"/>
        <v/>
      </c>
      <c r="N297" s="17" t="str">
        <f t="shared" si="40"/>
        <v/>
      </c>
      <c r="O297" s="17" t="str">
        <f t="shared" si="41"/>
        <v/>
      </c>
      <c r="P297" s="16" t="str">
        <f t="shared" si="42"/>
        <v/>
      </c>
      <c r="Q297" s="16" t="str">
        <f t="shared" si="43"/>
        <v/>
      </c>
      <c r="R297" s="18" t="str">
        <f t="shared" si="44"/>
        <v/>
      </c>
    </row>
    <row r="298" spans="1:18">
      <c r="A298" s="12"/>
      <c r="B298" s="13"/>
      <c r="C298" s="14"/>
      <c r="D298" s="15"/>
      <c r="E298" s="15"/>
      <c r="F298" s="15"/>
      <c r="G298" s="13"/>
      <c r="H298" s="16" t="str">
        <f t="shared" si="36"/>
        <v/>
      </c>
      <c r="I298" s="17" t="str">
        <f>IF(OR(A298="",B298=""),"",IFERROR(LOOKUP(2,1/(单次交易!$A$2:$A$201=A298),单次交易!$H$2:$H$201),0)+SUMIFS($G$2:$G$1001,$A$2:$A$1001,A298,$B$2:$B$1001,"&lt;"&amp;B298))</f>
        <v/>
      </c>
      <c r="J298" s="16" t="str">
        <f>IF(OR(A298="",B298=""),"",IFERROR(LOOKUP(2,1/(单次交易!$A$2:$A$201=A298),单次交易!$E$2:$E$201)*LOOKUP(2,1/(单次交易!$A$2:$A$201=A298),单次交易!$H$2:$H$201),0)+SUMIFS($H$2:$H$1001,$A$2:$A$1001,A298,$B$2:$B$1001,"&lt;"&amp;B298))</f>
        <v/>
      </c>
      <c r="K298" s="16" t="str">
        <f t="shared" si="37"/>
        <v/>
      </c>
      <c r="L298" s="17" t="str">
        <f t="shared" si="38"/>
        <v/>
      </c>
      <c r="M298" s="17" t="str">
        <f t="shared" si="39"/>
        <v/>
      </c>
      <c r="N298" s="17" t="str">
        <f t="shared" si="40"/>
        <v/>
      </c>
      <c r="O298" s="17" t="str">
        <f t="shared" si="41"/>
        <v/>
      </c>
      <c r="P298" s="16" t="str">
        <f t="shared" si="42"/>
        <v/>
      </c>
      <c r="Q298" s="16" t="str">
        <f t="shared" si="43"/>
        <v/>
      </c>
      <c r="R298" s="18" t="str">
        <f t="shared" si="44"/>
        <v/>
      </c>
    </row>
    <row r="299" spans="1:18">
      <c r="A299" s="12"/>
      <c r="B299" s="13"/>
      <c r="C299" s="14"/>
      <c r="D299" s="15"/>
      <c r="E299" s="15"/>
      <c r="F299" s="15"/>
      <c r="G299" s="13"/>
      <c r="H299" s="16" t="str">
        <f t="shared" si="36"/>
        <v/>
      </c>
      <c r="I299" s="17" t="str">
        <f>IF(OR(A299="",B299=""),"",IFERROR(LOOKUP(2,1/(单次交易!$A$2:$A$201=A299),单次交易!$H$2:$H$201),0)+SUMIFS($G$2:$G$1001,$A$2:$A$1001,A299,$B$2:$B$1001,"&lt;"&amp;B299))</f>
        <v/>
      </c>
      <c r="J299" s="16" t="str">
        <f>IF(OR(A299="",B299=""),"",IFERROR(LOOKUP(2,1/(单次交易!$A$2:$A$201=A299),单次交易!$E$2:$E$201)*LOOKUP(2,1/(单次交易!$A$2:$A$201=A299),单次交易!$H$2:$H$201),0)+SUMIFS($H$2:$H$1001,$A$2:$A$1001,A299,$B$2:$B$1001,"&lt;"&amp;B299))</f>
        <v/>
      </c>
      <c r="K299" s="16" t="str">
        <f t="shared" si="37"/>
        <v/>
      </c>
      <c r="L299" s="17" t="str">
        <f t="shared" si="38"/>
        <v/>
      </c>
      <c r="M299" s="17" t="str">
        <f t="shared" si="39"/>
        <v/>
      </c>
      <c r="N299" s="17" t="str">
        <f t="shared" si="40"/>
        <v/>
      </c>
      <c r="O299" s="17" t="str">
        <f t="shared" si="41"/>
        <v/>
      </c>
      <c r="P299" s="16" t="str">
        <f t="shared" si="42"/>
        <v/>
      </c>
      <c r="Q299" s="16" t="str">
        <f t="shared" si="43"/>
        <v/>
      </c>
      <c r="R299" s="18" t="str">
        <f t="shared" si="44"/>
        <v/>
      </c>
    </row>
    <row r="300" spans="1:18">
      <c r="A300" s="12"/>
      <c r="B300" s="13"/>
      <c r="C300" s="14"/>
      <c r="D300" s="15"/>
      <c r="E300" s="15"/>
      <c r="F300" s="15"/>
      <c r="G300" s="13"/>
      <c r="H300" s="16" t="str">
        <f t="shared" si="36"/>
        <v/>
      </c>
      <c r="I300" s="17" t="str">
        <f>IF(OR(A300="",B300=""),"",IFERROR(LOOKUP(2,1/(单次交易!$A$2:$A$201=A300),单次交易!$H$2:$H$201),0)+SUMIFS($G$2:$G$1001,$A$2:$A$1001,A300,$B$2:$B$1001,"&lt;"&amp;B300))</f>
        <v/>
      </c>
      <c r="J300" s="16" t="str">
        <f>IF(OR(A300="",B300=""),"",IFERROR(LOOKUP(2,1/(单次交易!$A$2:$A$201=A300),单次交易!$E$2:$E$201)*LOOKUP(2,1/(单次交易!$A$2:$A$201=A300),单次交易!$H$2:$H$201),0)+SUMIFS($H$2:$H$1001,$A$2:$A$1001,A300,$B$2:$B$1001,"&lt;"&amp;B300))</f>
        <v/>
      </c>
      <c r="K300" s="16" t="str">
        <f t="shared" si="37"/>
        <v/>
      </c>
      <c r="L300" s="17" t="str">
        <f t="shared" si="38"/>
        <v/>
      </c>
      <c r="M300" s="17" t="str">
        <f t="shared" si="39"/>
        <v/>
      </c>
      <c r="N300" s="17" t="str">
        <f t="shared" si="40"/>
        <v/>
      </c>
      <c r="O300" s="17" t="str">
        <f t="shared" si="41"/>
        <v/>
      </c>
      <c r="P300" s="16" t="str">
        <f t="shared" si="42"/>
        <v/>
      </c>
      <c r="Q300" s="16" t="str">
        <f t="shared" si="43"/>
        <v/>
      </c>
      <c r="R300" s="18" t="str">
        <f t="shared" si="44"/>
        <v/>
      </c>
    </row>
    <row r="301" spans="1:18">
      <c r="A301" s="12"/>
      <c r="B301" s="13"/>
      <c r="C301" s="14"/>
      <c r="D301" s="15"/>
      <c r="E301" s="15"/>
      <c r="F301" s="15"/>
      <c r="G301" s="13"/>
      <c r="H301" s="16" t="str">
        <f t="shared" si="36"/>
        <v/>
      </c>
      <c r="I301" s="17" t="str">
        <f>IF(OR(A301="",B301=""),"",IFERROR(LOOKUP(2,1/(单次交易!$A$2:$A$201=A301),单次交易!$H$2:$H$201),0)+SUMIFS($G$2:$G$1001,$A$2:$A$1001,A301,$B$2:$B$1001,"&lt;"&amp;B301))</f>
        <v/>
      </c>
      <c r="J301" s="16" t="str">
        <f>IF(OR(A301="",B301=""),"",IFERROR(LOOKUP(2,1/(单次交易!$A$2:$A$201=A301),单次交易!$E$2:$E$201)*LOOKUP(2,1/(单次交易!$A$2:$A$201=A301),单次交易!$H$2:$H$201),0)+SUMIFS($H$2:$H$1001,$A$2:$A$1001,A301,$B$2:$B$1001,"&lt;"&amp;B301))</f>
        <v/>
      </c>
      <c r="K301" s="16" t="str">
        <f t="shared" si="37"/>
        <v/>
      </c>
      <c r="L301" s="17" t="str">
        <f t="shared" si="38"/>
        <v/>
      </c>
      <c r="M301" s="17" t="str">
        <f t="shared" si="39"/>
        <v/>
      </c>
      <c r="N301" s="17" t="str">
        <f t="shared" si="40"/>
        <v/>
      </c>
      <c r="O301" s="17" t="str">
        <f t="shared" si="41"/>
        <v/>
      </c>
      <c r="P301" s="16" t="str">
        <f t="shared" si="42"/>
        <v/>
      </c>
      <c r="Q301" s="16" t="str">
        <f t="shared" si="43"/>
        <v/>
      </c>
      <c r="R301" s="18" t="str">
        <f t="shared" si="44"/>
        <v/>
      </c>
    </row>
    <row r="302" spans="1:18">
      <c r="A302" s="12"/>
      <c r="B302" s="13"/>
      <c r="C302" s="14"/>
      <c r="D302" s="15"/>
      <c r="E302" s="15"/>
      <c r="F302" s="15"/>
      <c r="G302" s="13"/>
      <c r="H302" s="16" t="str">
        <f t="shared" si="36"/>
        <v/>
      </c>
      <c r="I302" s="17" t="str">
        <f>IF(OR(A302="",B302=""),"",IFERROR(LOOKUP(2,1/(单次交易!$A$2:$A$201=A302),单次交易!$H$2:$H$201),0)+SUMIFS($G$2:$G$1001,$A$2:$A$1001,A302,$B$2:$B$1001,"&lt;"&amp;B302))</f>
        <v/>
      </c>
      <c r="J302" s="16" t="str">
        <f>IF(OR(A302="",B302=""),"",IFERROR(LOOKUP(2,1/(单次交易!$A$2:$A$201=A302),单次交易!$E$2:$E$201)*LOOKUP(2,1/(单次交易!$A$2:$A$201=A302),单次交易!$H$2:$H$201),0)+SUMIFS($H$2:$H$1001,$A$2:$A$1001,A302,$B$2:$B$1001,"&lt;"&amp;B302))</f>
        <v/>
      </c>
      <c r="K302" s="16" t="str">
        <f t="shared" si="37"/>
        <v/>
      </c>
      <c r="L302" s="17" t="str">
        <f t="shared" si="38"/>
        <v/>
      </c>
      <c r="M302" s="17" t="str">
        <f t="shared" si="39"/>
        <v/>
      </c>
      <c r="N302" s="17" t="str">
        <f t="shared" si="40"/>
        <v/>
      </c>
      <c r="O302" s="17" t="str">
        <f t="shared" si="41"/>
        <v/>
      </c>
      <c r="P302" s="16" t="str">
        <f t="shared" si="42"/>
        <v/>
      </c>
      <c r="Q302" s="16" t="str">
        <f t="shared" si="43"/>
        <v/>
      </c>
      <c r="R302" s="18" t="str">
        <f t="shared" si="44"/>
        <v/>
      </c>
    </row>
    <row r="303" spans="1:18">
      <c r="A303" s="12"/>
      <c r="B303" s="13"/>
      <c r="C303" s="14"/>
      <c r="D303" s="15"/>
      <c r="E303" s="15"/>
      <c r="F303" s="15"/>
      <c r="G303" s="13"/>
      <c r="H303" s="16" t="str">
        <f t="shared" si="36"/>
        <v/>
      </c>
      <c r="I303" s="17" t="str">
        <f>IF(OR(A303="",B303=""),"",IFERROR(LOOKUP(2,1/(单次交易!$A$2:$A$201=A303),单次交易!$H$2:$H$201),0)+SUMIFS($G$2:$G$1001,$A$2:$A$1001,A303,$B$2:$B$1001,"&lt;"&amp;B303))</f>
        <v/>
      </c>
      <c r="J303" s="16" t="str">
        <f>IF(OR(A303="",B303=""),"",IFERROR(LOOKUP(2,1/(单次交易!$A$2:$A$201=A303),单次交易!$E$2:$E$201)*LOOKUP(2,1/(单次交易!$A$2:$A$201=A303),单次交易!$H$2:$H$201),0)+SUMIFS($H$2:$H$1001,$A$2:$A$1001,A303,$B$2:$B$1001,"&lt;"&amp;B303))</f>
        <v/>
      </c>
      <c r="K303" s="16" t="str">
        <f t="shared" si="37"/>
        <v/>
      </c>
      <c r="L303" s="17" t="str">
        <f t="shared" si="38"/>
        <v/>
      </c>
      <c r="M303" s="17" t="str">
        <f t="shared" si="39"/>
        <v/>
      </c>
      <c r="N303" s="17" t="str">
        <f t="shared" si="40"/>
        <v/>
      </c>
      <c r="O303" s="17" t="str">
        <f t="shared" si="41"/>
        <v/>
      </c>
      <c r="P303" s="16" t="str">
        <f t="shared" si="42"/>
        <v/>
      </c>
      <c r="Q303" s="16" t="str">
        <f t="shared" si="43"/>
        <v/>
      </c>
      <c r="R303" s="18" t="str">
        <f t="shared" si="44"/>
        <v/>
      </c>
    </row>
    <row r="304" spans="1:18">
      <c r="A304" s="12"/>
      <c r="B304" s="13"/>
      <c r="C304" s="14"/>
      <c r="D304" s="15"/>
      <c r="E304" s="15"/>
      <c r="F304" s="15"/>
      <c r="G304" s="13"/>
      <c r="H304" s="16" t="str">
        <f t="shared" si="36"/>
        <v/>
      </c>
      <c r="I304" s="17" t="str">
        <f>IF(OR(A304="",B304=""),"",IFERROR(LOOKUP(2,1/(单次交易!$A$2:$A$201=A304),单次交易!$H$2:$H$201),0)+SUMIFS($G$2:$G$1001,$A$2:$A$1001,A304,$B$2:$B$1001,"&lt;"&amp;B304))</f>
        <v/>
      </c>
      <c r="J304" s="16" t="str">
        <f>IF(OR(A304="",B304=""),"",IFERROR(LOOKUP(2,1/(单次交易!$A$2:$A$201=A304),单次交易!$E$2:$E$201)*LOOKUP(2,1/(单次交易!$A$2:$A$201=A304),单次交易!$H$2:$H$201),0)+SUMIFS($H$2:$H$1001,$A$2:$A$1001,A304,$B$2:$B$1001,"&lt;"&amp;B304))</f>
        <v/>
      </c>
      <c r="K304" s="16" t="str">
        <f t="shared" si="37"/>
        <v/>
      </c>
      <c r="L304" s="17" t="str">
        <f t="shared" si="38"/>
        <v/>
      </c>
      <c r="M304" s="17" t="str">
        <f t="shared" si="39"/>
        <v/>
      </c>
      <c r="N304" s="17" t="str">
        <f t="shared" si="40"/>
        <v/>
      </c>
      <c r="O304" s="17" t="str">
        <f t="shared" si="41"/>
        <v/>
      </c>
      <c r="P304" s="16" t="str">
        <f t="shared" si="42"/>
        <v/>
      </c>
      <c r="Q304" s="16" t="str">
        <f t="shared" si="43"/>
        <v/>
      </c>
      <c r="R304" s="18" t="str">
        <f t="shared" si="44"/>
        <v/>
      </c>
    </row>
    <row r="305" spans="1:18">
      <c r="A305" s="12"/>
      <c r="B305" s="13"/>
      <c r="C305" s="14"/>
      <c r="D305" s="15"/>
      <c r="E305" s="15"/>
      <c r="F305" s="15"/>
      <c r="G305" s="13"/>
      <c r="H305" s="16" t="str">
        <f t="shared" si="36"/>
        <v/>
      </c>
      <c r="I305" s="17" t="str">
        <f>IF(OR(A305="",B305=""),"",IFERROR(LOOKUP(2,1/(单次交易!$A$2:$A$201=A305),单次交易!$H$2:$H$201),0)+SUMIFS($G$2:$G$1001,$A$2:$A$1001,A305,$B$2:$B$1001,"&lt;"&amp;B305))</f>
        <v/>
      </c>
      <c r="J305" s="16" t="str">
        <f>IF(OR(A305="",B305=""),"",IFERROR(LOOKUP(2,1/(单次交易!$A$2:$A$201=A305),单次交易!$E$2:$E$201)*LOOKUP(2,1/(单次交易!$A$2:$A$201=A305),单次交易!$H$2:$H$201),0)+SUMIFS($H$2:$H$1001,$A$2:$A$1001,A305,$B$2:$B$1001,"&lt;"&amp;B305))</f>
        <v/>
      </c>
      <c r="K305" s="16" t="str">
        <f t="shared" si="37"/>
        <v/>
      </c>
      <c r="L305" s="17" t="str">
        <f t="shared" si="38"/>
        <v/>
      </c>
      <c r="M305" s="17" t="str">
        <f t="shared" si="39"/>
        <v/>
      </c>
      <c r="N305" s="17" t="str">
        <f t="shared" si="40"/>
        <v/>
      </c>
      <c r="O305" s="17" t="str">
        <f t="shared" si="41"/>
        <v/>
      </c>
      <c r="P305" s="16" t="str">
        <f t="shared" si="42"/>
        <v/>
      </c>
      <c r="Q305" s="16" t="str">
        <f t="shared" si="43"/>
        <v/>
      </c>
      <c r="R305" s="18" t="str">
        <f t="shared" si="44"/>
        <v/>
      </c>
    </row>
    <row r="306" spans="1:18">
      <c r="A306" s="12"/>
      <c r="B306" s="13"/>
      <c r="C306" s="14"/>
      <c r="D306" s="15"/>
      <c r="E306" s="15"/>
      <c r="F306" s="15"/>
      <c r="G306" s="13"/>
      <c r="H306" s="16" t="str">
        <f t="shared" si="36"/>
        <v/>
      </c>
      <c r="I306" s="17" t="str">
        <f>IF(OR(A306="",B306=""),"",IFERROR(LOOKUP(2,1/(单次交易!$A$2:$A$201=A306),单次交易!$H$2:$H$201),0)+SUMIFS($G$2:$G$1001,$A$2:$A$1001,A306,$B$2:$B$1001,"&lt;"&amp;B306))</f>
        <v/>
      </c>
      <c r="J306" s="16" t="str">
        <f>IF(OR(A306="",B306=""),"",IFERROR(LOOKUP(2,1/(单次交易!$A$2:$A$201=A306),单次交易!$E$2:$E$201)*LOOKUP(2,1/(单次交易!$A$2:$A$201=A306),单次交易!$H$2:$H$201),0)+SUMIFS($H$2:$H$1001,$A$2:$A$1001,A306,$B$2:$B$1001,"&lt;"&amp;B306))</f>
        <v/>
      </c>
      <c r="K306" s="16" t="str">
        <f t="shared" si="37"/>
        <v/>
      </c>
      <c r="L306" s="17" t="str">
        <f t="shared" si="38"/>
        <v/>
      </c>
      <c r="M306" s="17" t="str">
        <f t="shared" si="39"/>
        <v/>
      </c>
      <c r="N306" s="17" t="str">
        <f t="shared" si="40"/>
        <v/>
      </c>
      <c r="O306" s="17" t="str">
        <f t="shared" si="41"/>
        <v/>
      </c>
      <c r="P306" s="16" t="str">
        <f t="shared" si="42"/>
        <v/>
      </c>
      <c r="Q306" s="16" t="str">
        <f t="shared" si="43"/>
        <v/>
      </c>
      <c r="R306" s="18" t="str">
        <f t="shared" si="44"/>
        <v/>
      </c>
    </row>
    <row r="307" spans="1:18">
      <c r="A307" s="12"/>
      <c r="B307" s="13"/>
      <c r="C307" s="14"/>
      <c r="D307" s="15"/>
      <c r="E307" s="15"/>
      <c r="F307" s="15"/>
      <c r="G307" s="13"/>
      <c r="H307" s="16" t="str">
        <f t="shared" si="36"/>
        <v/>
      </c>
      <c r="I307" s="17" t="str">
        <f>IF(OR(A307="",B307=""),"",IFERROR(LOOKUP(2,1/(单次交易!$A$2:$A$201=A307),单次交易!$H$2:$H$201),0)+SUMIFS($G$2:$G$1001,$A$2:$A$1001,A307,$B$2:$B$1001,"&lt;"&amp;B307))</f>
        <v/>
      </c>
      <c r="J307" s="16" t="str">
        <f>IF(OR(A307="",B307=""),"",IFERROR(LOOKUP(2,1/(单次交易!$A$2:$A$201=A307),单次交易!$E$2:$E$201)*LOOKUP(2,1/(单次交易!$A$2:$A$201=A307),单次交易!$H$2:$H$201),0)+SUMIFS($H$2:$H$1001,$A$2:$A$1001,A307,$B$2:$B$1001,"&lt;"&amp;B307))</f>
        <v/>
      </c>
      <c r="K307" s="16" t="str">
        <f t="shared" si="37"/>
        <v/>
      </c>
      <c r="L307" s="17" t="str">
        <f t="shared" si="38"/>
        <v/>
      </c>
      <c r="M307" s="17" t="str">
        <f t="shared" si="39"/>
        <v/>
      </c>
      <c r="N307" s="17" t="str">
        <f t="shared" si="40"/>
        <v/>
      </c>
      <c r="O307" s="17" t="str">
        <f t="shared" si="41"/>
        <v/>
      </c>
      <c r="P307" s="16" t="str">
        <f t="shared" si="42"/>
        <v/>
      </c>
      <c r="Q307" s="16" t="str">
        <f t="shared" si="43"/>
        <v/>
      </c>
      <c r="R307" s="18" t="str">
        <f t="shared" si="44"/>
        <v/>
      </c>
    </row>
    <row r="308" spans="1:18">
      <c r="A308" s="12"/>
      <c r="B308" s="13"/>
      <c r="C308" s="14"/>
      <c r="D308" s="15"/>
      <c r="E308" s="15"/>
      <c r="F308" s="15"/>
      <c r="G308" s="13"/>
      <c r="H308" s="16" t="str">
        <f t="shared" si="36"/>
        <v/>
      </c>
      <c r="I308" s="17" t="str">
        <f>IF(OR(A308="",B308=""),"",IFERROR(LOOKUP(2,1/(单次交易!$A$2:$A$201=A308),单次交易!$H$2:$H$201),0)+SUMIFS($G$2:$G$1001,$A$2:$A$1001,A308,$B$2:$B$1001,"&lt;"&amp;B308))</f>
        <v/>
      </c>
      <c r="J308" s="16" t="str">
        <f>IF(OR(A308="",B308=""),"",IFERROR(LOOKUP(2,1/(单次交易!$A$2:$A$201=A308),单次交易!$E$2:$E$201)*LOOKUP(2,1/(单次交易!$A$2:$A$201=A308),单次交易!$H$2:$H$201),0)+SUMIFS($H$2:$H$1001,$A$2:$A$1001,A308,$B$2:$B$1001,"&lt;"&amp;B308))</f>
        <v/>
      </c>
      <c r="K308" s="16" t="str">
        <f t="shared" si="37"/>
        <v/>
      </c>
      <c r="L308" s="17" t="str">
        <f t="shared" si="38"/>
        <v/>
      </c>
      <c r="M308" s="17" t="str">
        <f t="shared" si="39"/>
        <v/>
      </c>
      <c r="N308" s="17" t="str">
        <f t="shared" si="40"/>
        <v/>
      </c>
      <c r="O308" s="17" t="str">
        <f t="shared" si="41"/>
        <v/>
      </c>
      <c r="P308" s="16" t="str">
        <f t="shared" si="42"/>
        <v/>
      </c>
      <c r="Q308" s="16" t="str">
        <f t="shared" si="43"/>
        <v/>
      </c>
      <c r="R308" s="18" t="str">
        <f t="shared" si="44"/>
        <v/>
      </c>
    </row>
    <row r="309" spans="1:18">
      <c r="A309" s="12"/>
      <c r="B309" s="13"/>
      <c r="C309" s="14"/>
      <c r="D309" s="15"/>
      <c r="E309" s="15"/>
      <c r="F309" s="15"/>
      <c r="G309" s="13"/>
      <c r="H309" s="16" t="str">
        <f t="shared" si="36"/>
        <v/>
      </c>
      <c r="I309" s="17" t="str">
        <f>IF(OR(A309="",B309=""),"",IFERROR(LOOKUP(2,1/(单次交易!$A$2:$A$201=A309),单次交易!$H$2:$H$201),0)+SUMIFS($G$2:$G$1001,$A$2:$A$1001,A309,$B$2:$B$1001,"&lt;"&amp;B309))</f>
        <v/>
      </c>
      <c r="J309" s="16" t="str">
        <f>IF(OR(A309="",B309=""),"",IFERROR(LOOKUP(2,1/(单次交易!$A$2:$A$201=A309),单次交易!$E$2:$E$201)*LOOKUP(2,1/(单次交易!$A$2:$A$201=A309),单次交易!$H$2:$H$201),0)+SUMIFS($H$2:$H$1001,$A$2:$A$1001,A309,$B$2:$B$1001,"&lt;"&amp;B309))</f>
        <v/>
      </c>
      <c r="K309" s="16" t="str">
        <f t="shared" si="37"/>
        <v/>
      </c>
      <c r="L309" s="17" t="str">
        <f t="shared" si="38"/>
        <v/>
      </c>
      <c r="M309" s="17" t="str">
        <f t="shared" si="39"/>
        <v/>
      </c>
      <c r="N309" s="17" t="str">
        <f t="shared" si="40"/>
        <v/>
      </c>
      <c r="O309" s="17" t="str">
        <f t="shared" si="41"/>
        <v/>
      </c>
      <c r="P309" s="16" t="str">
        <f t="shared" si="42"/>
        <v/>
      </c>
      <c r="Q309" s="16" t="str">
        <f t="shared" si="43"/>
        <v/>
      </c>
      <c r="R309" s="18" t="str">
        <f t="shared" si="44"/>
        <v/>
      </c>
    </row>
    <row r="310" spans="1:18">
      <c r="A310" s="12"/>
      <c r="B310" s="13"/>
      <c r="C310" s="14"/>
      <c r="D310" s="15"/>
      <c r="E310" s="15"/>
      <c r="F310" s="15"/>
      <c r="G310" s="13"/>
      <c r="H310" s="16" t="str">
        <f t="shared" si="36"/>
        <v/>
      </c>
      <c r="I310" s="17" t="str">
        <f>IF(OR(A310="",B310=""),"",IFERROR(LOOKUP(2,1/(单次交易!$A$2:$A$201=A310),单次交易!$H$2:$H$201),0)+SUMIFS($G$2:$G$1001,$A$2:$A$1001,A310,$B$2:$B$1001,"&lt;"&amp;B310))</f>
        <v/>
      </c>
      <c r="J310" s="16" t="str">
        <f>IF(OR(A310="",B310=""),"",IFERROR(LOOKUP(2,1/(单次交易!$A$2:$A$201=A310),单次交易!$E$2:$E$201)*LOOKUP(2,1/(单次交易!$A$2:$A$201=A310),单次交易!$H$2:$H$201),0)+SUMIFS($H$2:$H$1001,$A$2:$A$1001,A310,$B$2:$B$1001,"&lt;"&amp;B310))</f>
        <v/>
      </c>
      <c r="K310" s="16" t="str">
        <f t="shared" si="37"/>
        <v/>
      </c>
      <c r="L310" s="17" t="str">
        <f t="shared" si="38"/>
        <v/>
      </c>
      <c r="M310" s="17" t="str">
        <f t="shared" si="39"/>
        <v/>
      </c>
      <c r="N310" s="17" t="str">
        <f t="shared" si="40"/>
        <v/>
      </c>
      <c r="O310" s="17" t="str">
        <f t="shared" si="41"/>
        <v/>
      </c>
      <c r="P310" s="16" t="str">
        <f t="shared" si="42"/>
        <v/>
      </c>
      <c r="Q310" s="16" t="str">
        <f t="shared" si="43"/>
        <v/>
      </c>
      <c r="R310" s="18" t="str">
        <f t="shared" si="44"/>
        <v/>
      </c>
    </row>
    <row r="311" spans="1:18">
      <c r="A311" s="12"/>
      <c r="B311" s="13"/>
      <c r="C311" s="14"/>
      <c r="D311" s="15"/>
      <c r="E311" s="15"/>
      <c r="F311" s="15"/>
      <c r="G311" s="13"/>
      <c r="H311" s="16" t="str">
        <f t="shared" si="36"/>
        <v/>
      </c>
      <c r="I311" s="17" t="str">
        <f>IF(OR(A311="",B311=""),"",IFERROR(LOOKUP(2,1/(单次交易!$A$2:$A$201=A311),单次交易!$H$2:$H$201),0)+SUMIFS($G$2:$G$1001,$A$2:$A$1001,A311,$B$2:$B$1001,"&lt;"&amp;B311))</f>
        <v/>
      </c>
      <c r="J311" s="16" t="str">
        <f>IF(OR(A311="",B311=""),"",IFERROR(LOOKUP(2,1/(单次交易!$A$2:$A$201=A311),单次交易!$E$2:$E$201)*LOOKUP(2,1/(单次交易!$A$2:$A$201=A311),单次交易!$H$2:$H$201),0)+SUMIFS($H$2:$H$1001,$A$2:$A$1001,A311,$B$2:$B$1001,"&lt;"&amp;B311))</f>
        <v/>
      </c>
      <c r="K311" s="16" t="str">
        <f t="shared" si="37"/>
        <v/>
      </c>
      <c r="L311" s="17" t="str">
        <f t="shared" si="38"/>
        <v/>
      </c>
      <c r="M311" s="17" t="str">
        <f t="shared" si="39"/>
        <v/>
      </c>
      <c r="N311" s="17" t="str">
        <f t="shared" si="40"/>
        <v/>
      </c>
      <c r="O311" s="17" t="str">
        <f t="shared" si="41"/>
        <v/>
      </c>
      <c r="P311" s="16" t="str">
        <f t="shared" si="42"/>
        <v/>
      </c>
      <c r="Q311" s="16" t="str">
        <f t="shared" si="43"/>
        <v/>
      </c>
      <c r="R311" s="18" t="str">
        <f t="shared" si="44"/>
        <v/>
      </c>
    </row>
    <row r="312" spans="1:18">
      <c r="A312" s="12"/>
      <c r="B312" s="13"/>
      <c r="C312" s="14"/>
      <c r="D312" s="15"/>
      <c r="E312" s="15"/>
      <c r="F312" s="15"/>
      <c r="G312" s="13"/>
      <c r="H312" s="16" t="str">
        <f t="shared" si="36"/>
        <v/>
      </c>
      <c r="I312" s="17" t="str">
        <f>IF(OR(A312="",B312=""),"",IFERROR(LOOKUP(2,1/(单次交易!$A$2:$A$201=A312),单次交易!$H$2:$H$201),0)+SUMIFS($G$2:$G$1001,$A$2:$A$1001,A312,$B$2:$B$1001,"&lt;"&amp;B312))</f>
        <v/>
      </c>
      <c r="J312" s="16" t="str">
        <f>IF(OR(A312="",B312=""),"",IFERROR(LOOKUP(2,1/(单次交易!$A$2:$A$201=A312),单次交易!$E$2:$E$201)*LOOKUP(2,1/(单次交易!$A$2:$A$201=A312),单次交易!$H$2:$H$201),0)+SUMIFS($H$2:$H$1001,$A$2:$A$1001,A312,$B$2:$B$1001,"&lt;"&amp;B312))</f>
        <v/>
      </c>
      <c r="K312" s="16" t="str">
        <f t="shared" si="37"/>
        <v/>
      </c>
      <c r="L312" s="17" t="str">
        <f t="shared" si="38"/>
        <v/>
      </c>
      <c r="M312" s="17" t="str">
        <f t="shared" si="39"/>
        <v/>
      </c>
      <c r="N312" s="17" t="str">
        <f t="shared" si="40"/>
        <v/>
      </c>
      <c r="O312" s="17" t="str">
        <f t="shared" si="41"/>
        <v/>
      </c>
      <c r="P312" s="16" t="str">
        <f t="shared" si="42"/>
        <v/>
      </c>
      <c r="Q312" s="16" t="str">
        <f t="shared" si="43"/>
        <v/>
      </c>
      <c r="R312" s="18" t="str">
        <f t="shared" si="44"/>
        <v/>
      </c>
    </row>
    <row r="313" spans="1:18">
      <c r="A313" s="12"/>
      <c r="B313" s="13"/>
      <c r="C313" s="14"/>
      <c r="D313" s="15"/>
      <c r="E313" s="15"/>
      <c r="F313" s="15"/>
      <c r="G313" s="13"/>
      <c r="H313" s="16" t="str">
        <f t="shared" si="36"/>
        <v/>
      </c>
      <c r="I313" s="17" t="str">
        <f>IF(OR(A313="",B313=""),"",IFERROR(LOOKUP(2,1/(单次交易!$A$2:$A$201=A313),单次交易!$H$2:$H$201),0)+SUMIFS($G$2:$G$1001,$A$2:$A$1001,A313,$B$2:$B$1001,"&lt;"&amp;B313))</f>
        <v/>
      </c>
      <c r="J313" s="16" t="str">
        <f>IF(OR(A313="",B313=""),"",IFERROR(LOOKUP(2,1/(单次交易!$A$2:$A$201=A313),单次交易!$E$2:$E$201)*LOOKUP(2,1/(单次交易!$A$2:$A$201=A313),单次交易!$H$2:$H$201),0)+SUMIFS($H$2:$H$1001,$A$2:$A$1001,A313,$B$2:$B$1001,"&lt;"&amp;B313))</f>
        <v/>
      </c>
      <c r="K313" s="16" t="str">
        <f t="shared" si="37"/>
        <v/>
      </c>
      <c r="L313" s="17" t="str">
        <f t="shared" si="38"/>
        <v/>
      </c>
      <c r="M313" s="17" t="str">
        <f t="shared" si="39"/>
        <v/>
      </c>
      <c r="N313" s="17" t="str">
        <f t="shared" si="40"/>
        <v/>
      </c>
      <c r="O313" s="17" t="str">
        <f t="shared" si="41"/>
        <v/>
      </c>
      <c r="P313" s="16" t="str">
        <f t="shared" si="42"/>
        <v/>
      </c>
      <c r="Q313" s="16" t="str">
        <f t="shared" si="43"/>
        <v/>
      </c>
      <c r="R313" s="18" t="str">
        <f t="shared" si="44"/>
        <v/>
      </c>
    </row>
    <row r="314" spans="1:18">
      <c r="A314" s="12"/>
      <c r="B314" s="13"/>
      <c r="C314" s="14"/>
      <c r="D314" s="15"/>
      <c r="E314" s="15"/>
      <c r="F314" s="15"/>
      <c r="G314" s="13"/>
      <c r="H314" s="16" t="str">
        <f t="shared" si="36"/>
        <v/>
      </c>
      <c r="I314" s="17" t="str">
        <f>IF(OR(A314="",B314=""),"",IFERROR(LOOKUP(2,1/(单次交易!$A$2:$A$201=A314),单次交易!$H$2:$H$201),0)+SUMIFS($G$2:$G$1001,$A$2:$A$1001,A314,$B$2:$B$1001,"&lt;"&amp;B314))</f>
        <v/>
      </c>
      <c r="J314" s="16" t="str">
        <f>IF(OR(A314="",B314=""),"",IFERROR(LOOKUP(2,1/(单次交易!$A$2:$A$201=A314),单次交易!$E$2:$E$201)*LOOKUP(2,1/(单次交易!$A$2:$A$201=A314),单次交易!$H$2:$H$201),0)+SUMIFS($H$2:$H$1001,$A$2:$A$1001,A314,$B$2:$B$1001,"&lt;"&amp;B314))</f>
        <v/>
      </c>
      <c r="K314" s="16" t="str">
        <f t="shared" si="37"/>
        <v/>
      </c>
      <c r="L314" s="17" t="str">
        <f t="shared" si="38"/>
        <v/>
      </c>
      <c r="M314" s="17" t="str">
        <f t="shared" si="39"/>
        <v/>
      </c>
      <c r="N314" s="17" t="str">
        <f t="shared" si="40"/>
        <v/>
      </c>
      <c r="O314" s="17" t="str">
        <f t="shared" si="41"/>
        <v/>
      </c>
      <c r="P314" s="16" t="str">
        <f t="shared" si="42"/>
        <v/>
      </c>
      <c r="Q314" s="16" t="str">
        <f t="shared" si="43"/>
        <v/>
      </c>
      <c r="R314" s="18" t="str">
        <f t="shared" si="44"/>
        <v/>
      </c>
    </row>
    <row r="315" spans="1:18">
      <c r="A315" s="12"/>
      <c r="B315" s="13"/>
      <c r="C315" s="14"/>
      <c r="D315" s="15"/>
      <c r="E315" s="15"/>
      <c r="F315" s="15"/>
      <c r="G315" s="13"/>
      <c r="H315" s="16" t="str">
        <f t="shared" si="36"/>
        <v/>
      </c>
      <c r="I315" s="17" t="str">
        <f>IF(OR(A315="",B315=""),"",IFERROR(LOOKUP(2,1/(单次交易!$A$2:$A$201=A315),单次交易!$H$2:$H$201),0)+SUMIFS($G$2:$G$1001,$A$2:$A$1001,A315,$B$2:$B$1001,"&lt;"&amp;B315))</f>
        <v/>
      </c>
      <c r="J315" s="16" t="str">
        <f>IF(OR(A315="",B315=""),"",IFERROR(LOOKUP(2,1/(单次交易!$A$2:$A$201=A315),单次交易!$E$2:$E$201)*LOOKUP(2,1/(单次交易!$A$2:$A$201=A315),单次交易!$H$2:$H$201),0)+SUMIFS($H$2:$H$1001,$A$2:$A$1001,A315,$B$2:$B$1001,"&lt;"&amp;B315))</f>
        <v/>
      </c>
      <c r="K315" s="16" t="str">
        <f t="shared" si="37"/>
        <v/>
      </c>
      <c r="L315" s="17" t="str">
        <f t="shared" si="38"/>
        <v/>
      </c>
      <c r="M315" s="17" t="str">
        <f t="shared" si="39"/>
        <v/>
      </c>
      <c r="N315" s="17" t="str">
        <f t="shared" si="40"/>
        <v/>
      </c>
      <c r="O315" s="17" t="str">
        <f t="shared" si="41"/>
        <v/>
      </c>
      <c r="P315" s="16" t="str">
        <f t="shared" si="42"/>
        <v/>
      </c>
      <c r="Q315" s="16" t="str">
        <f t="shared" si="43"/>
        <v/>
      </c>
      <c r="R315" s="18" t="str">
        <f t="shared" si="44"/>
        <v/>
      </c>
    </row>
    <row r="316" spans="1:18">
      <c r="A316" s="12"/>
      <c r="B316" s="13"/>
      <c r="C316" s="14"/>
      <c r="D316" s="15"/>
      <c r="E316" s="15"/>
      <c r="F316" s="15"/>
      <c r="G316" s="13"/>
      <c r="H316" s="16" t="str">
        <f t="shared" si="36"/>
        <v/>
      </c>
      <c r="I316" s="17" t="str">
        <f>IF(OR(A316="",B316=""),"",IFERROR(LOOKUP(2,1/(单次交易!$A$2:$A$201=A316),单次交易!$H$2:$H$201),0)+SUMIFS($G$2:$G$1001,$A$2:$A$1001,A316,$B$2:$B$1001,"&lt;"&amp;B316))</f>
        <v/>
      </c>
      <c r="J316" s="16" t="str">
        <f>IF(OR(A316="",B316=""),"",IFERROR(LOOKUP(2,1/(单次交易!$A$2:$A$201=A316),单次交易!$E$2:$E$201)*LOOKUP(2,1/(单次交易!$A$2:$A$201=A316),单次交易!$H$2:$H$201),0)+SUMIFS($H$2:$H$1001,$A$2:$A$1001,A316,$B$2:$B$1001,"&lt;"&amp;B316))</f>
        <v/>
      </c>
      <c r="K316" s="16" t="str">
        <f t="shared" si="37"/>
        <v/>
      </c>
      <c r="L316" s="17" t="str">
        <f t="shared" si="38"/>
        <v/>
      </c>
      <c r="M316" s="17" t="str">
        <f t="shared" si="39"/>
        <v/>
      </c>
      <c r="N316" s="17" t="str">
        <f t="shared" si="40"/>
        <v/>
      </c>
      <c r="O316" s="17" t="str">
        <f t="shared" si="41"/>
        <v/>
      </c>
      <c r="P316" s="16" t="str">
        <f t="shared" si="42"/>
        <v/>
      </c>
      <c r="Q316" s="16" t="str">
        <f t="shared" si="43"/>
        <v/>
      </c>
      <c r="R316" s="18" t="str">
        <f t="shared" si="44"/>
        <v/>
      </c>
    </row>
    <row r="317" spans="1:18">
      <c r="A317" s="12"/>
      <c r="B317" s="13"/>
      <c r="C317" s="14"/>
      <c r="D317" s="15"/>
      <c r="E317" s="15"/>
      <c r="F317" s="15"/>
      <c r="G317" s="13"/>
      <c r="H317" s="16" t="str">
        <f t="shared" si="36"/>
        <v/>
      </c>
      <c r="I317" s="17" t="str">
        <f>IF(OR(A317="",B317=""),"",IFERROR(LOOKUP(2,1/(单次交易!$A$2:$A$201=A317),单次交易!$H$2:$H$201),0)+SUMIFS($G$2:$G$1001,$A$2:$A$1001,A317,$B$2:$B$1001,"&lt;"&amp;B317))</f>
        <v/>
      </c>
      <c r="J317" s="16" t="str">
        <f>IF(OR(A317="",B317=""),"",IFERROR(LOOKUP(2,1/(单次交易!$A$2:$A$201=A317),单次交易!$E$2:$E$201)*LOOKUP(2,1/(单次交易!$A$2:$A$201=A317),单次交易!$H$2:$H$201),0)+SUMIFS($H$2:$H$1001,$A$2:$A$1001,A317,$B$2:$B$1001,"&lt;"&amp;B317))</f>
        <v/>
      </c>
      <c r="K317" s="16" t="str">
        <f t="shared" si="37"/>
        <v/>
      </c>
      <c r="L317" s="17" t="str">
        <f t="shared" si="38"/>
        <v/>
      </c>
      <c r="M317" s="17" t="str">
        <f t="shared" si="39"/>
        <v/>
      </c>
      <c r="N317" s="17" t="str">
        <f t="shared" si="40"/>
        <v/>
      </c>
      <c r="O317" s="17" t="str">
        <f t="shared" si="41"/>
        <v/>
      </c>
      <c r="P317" s="16" t="str">
        <f t="shared" si="42"/>
        <v/>
      </c>
      <c r="Q317" s="16" t="str">
        <f t="shared" si="43"/>
        <v/>
      </c>
      <c r="R317" s="18" t="str">
        <f t="shared" si="44"/>
        <v/>
      </c>
    </row>
    <row r="318" spans="1:18">
      <c r="A318" s="12"/>
      <c r="B318" s="13"/>
      <c r="C318" s="14"/>
      <c r="D318" s="15"/>
      <c r="E318" s="15"/>
      <c r="F318" s="15"/>
      <c r="G318" s="13"/>
      <c r="H318" s="16" t="str">
        <f t="shared" si="36"/>
        <v/>
      </c>
      <c r="I318" s="17" t="str">
        <f>IF(OR(A318="",B318=""),"",IFERROR(LOOKUP(2,1/(单次交易!$A$2:$A$201=A318),单次交易!$H$2:$H$201),0)+SUMIFS($G$2:$G$1001,$A$2:$A$1001,A318,$B$2:$B$1001,"&lt;"&amp;B318))</f>
        <v/>
      </c>
      <c r="J318" s="16" t="str">
        <f>IF(OR(A318="",B318=""),"",IFERROR(LOOKUP(2,1/(单次交易!$A$2:$A$201=A318),单次交易!$E$2:$E$201)*LOOKUP(2,1/(单次交易!$A$2:$A$201=A318),单次交易!$H$2:$H$201),0)+SUMIFS($H$2:$H$1001,$A$2:$A$1001,A318,$B$2:$B$1001,"&lt;"&amp;B318))</f>
        <v/>
      </c>
      <c r="K318" s="16" t="str">
        <f t="shared" si="37"/>
        <v/>
      </c>
      <c r="L318" s="17" t="str">
        <f t="shared" si="38"/>
        <v/>
      </c>
      <c r="M318" s="17" t="str">
        <f t="shared" si="39"/>
        <v/>
      </c>
      <c r="N318" s="17" t="str">
        <f t="shared" si="40"/>
        <v/>
      </c>
      <c r="O318" s="17" t="str">
        <f t="shared" si="41"/>
        <v/>
      </c>
      <c r="P318" s="16" t="str">
        <f t="shared" si="42"/>
        <v/>
      </c>
      <c r="Q318" s="16" t="str">
        <f t="shared" si="43"/>
        <v/>
      </c>
      <c r="R318" s="18" t="str">
        <f t="shared" si="44"/>
        <v/>
      </c>
    </row>
    <row r="319" spans="1:18">
      <c r="A319" s="12"/>
      <c r="B319" s="13"/>
      <c r="C319" s="14"/>
      <c r="D319" s="15"/>
      <c r="E319" s="15"/>
      <c r="F319" s="15"/>
      <c r="G319" s="13"/>
      <c r="H319" s="16" t="str">
        <f t="shared" si="36"/>
        <v/>
      </c>
      <c r="I319" s="17" t="str">
        <f>IF(OR(A319="",B319=""),"",IFERROR(LOOKUP(2,1/(单次交易!$A$2:$A$201=A319),单次交易!$H$2:$H$201),0)+SUMIFS($G$2:$G$1001,$A$2:$A$1001,A319,$B$2:$B$1001,"&lt;"&amp;B319))</f>
        <v/>
      </c>
      <c r="J319" s="16" t="str">
        <f>IF(OR(A319="",B319=""),"",IFERROR(LOOKUP(2,1/(单次交易!$A$2:$A$201=A319),单次交易!$E$2:$E$201)*LOOKUP(2,1/(单次交易!$A$2:$A$201=A319),单次交易!$H$2:$H$201),0)+SUMIFS($H$2:$H$1001,$A$2:$A$1001,A319,$B$2:$B$1001,"&lt;"&amp;B319))</f>
        <v/>
      </c>
      <c r="K319" s="16" t="str">
        <f t="shared" si="37"/>
        <v/>
      </c>
      <c r="L319" s="17" t="str">
        <f t="shared" si="38"/>
        <v/>
      </c>
      <c r="M319" s="17" t="str">
        <f t="shared" si="39"/>
        <v/>
      </c>
      <c r="N319" s="17" t="str">
        <f t="shared" si="40"/>
        <v/>
      </c>
      <c r="O319" s="17" t="str">
        <f t="shared" si="41"/>
        <v/>
      </c>
      <c r="P319" s="16" t="str">
        <f t="shared" si="42"/>
        <v/>
      </c>
      <c r="Q319" s="16" t="str">
        <f t="shared" si="43"/>
        <v/>
      </c>
      <c r="R319" s="18" t="str">
        <f t="shared" si="44"/>
        <v/>
      </c>
    </row>
    <row r="320" spans="1:18">
      <c r="A320" s="12"/>
      <c r="B320" s="13"/>
      <c r="C320" s="14"/>
      <c r="D320" s="15"/>
      <c r="E320" s="15"/>
      <c r="F320" s="15"/>
      <c r="G320" s="13"/>
      <c r="H320" s="16" t="str">
        <f t="shared" si="36"/>
        <v/>
      </c>
      <c r="I320" s="17" t="str">
        <f>IF(OR(A320="",B320=""),"",IFERROR(LOOKUP(2,1/(单次交易!$A$2:$A$201=A320),单次交易!$H$2:$H$201),0)+SUMIFS($G$2:$G$1001,$A$2:$A$1001,A320,$B$2:$B$1001,"&lt;"&amp;B320))</f>
        <v/>
      </c>
      <c r="J320" s="16" t="str">
        <f>IF(OR(A320="",B320=""),"",IFERROR(LOOKUP(2,1/(单次交易!$A$2:$A$201=A320),单次交易!$E$2:$E$201)*LOOKUP(2,1/(单次交易!$A$2:$A$201=A320),单次交易!$H$2:$H$201),0)+SUMIFS($H$2:$H$1001,$A$2:$A$1001,A320,$B$2:$B$1001,"&lt;"&amp;B320))</f>
        <v/>
      </c>
      <c r="K320" s="16" t="str">
        <f t="shared" si="37"/>
        <v/>
      </c>
      <c r="L320" s="17" t="str">
        <f t="shared" si="38"/>
        <v/>
      </c>
      <c r="M320" s="17" t="str">
        <f t="shared" si="39"/>
        <v/>
      </c>
      <c r="N320" s="17" t="str">
        <f t="shared" si="40"/>
        <v/>
      </c>
      <c r="O320" s="17" t="str">
        <f t="shared" si="41"/>
        <v/>
      </c>
      <c r="P320" s="16" t="str">
        <f t="shared" si="42"/>
        <v/>
      </c>
      <c r="Q320" s="16" t="str">
        <f t="shared" si="43"/>
        <v/>
      </c>
      <c r="R320" s="18" t="str">
        <f t="shared" si="44"/>
        <v/>
      </c>
    </row>
    <row r="321" spans="1:18">
      <c r="A321" s="12"/>
      <c r="B321" s="13"/>
      <c r="C321" s="14"/>
      <c r="D321" s="15"/>
      <c r="E321" s="15"/>
      <c r="F321" s="15"/>
      <c r="G321" s="13"/>
      <c r="H321" s="16" t="str">
        <f t="shared" si="36"/>
        <v/>
      </c>
      <c r="I321" s="17" t="str">
        <f>IF(OR(A321="",B321=""),"",IFERROR(LOOKUP(2,1/(单次交易!$A$2:$A$201=A321),单次交易!$H$2:$H$201),0)+SUMIFS($G$2:$G$1001,$A$2:$A$1001,A321,$B$2:$B$1001,"&lt;"&amp;B321))</f>
        <v/>
      </c>
      <c r="J321" s="16" t="str">
        <f>IF(OR(A321="",B321=""),"",IFERROR(LOOKUP(2,1/(单次交易!$A$2:$A$201=A321),单次交易!$E$2:$E$201)*LOOKUP(2,1/(单次交易!$A$2:$A$201=A321),单次交易!$H$2:$H$201),0)+SUMIFS($H$2:$H$1001,$A$2:$A$1001,A321,$B$2:$B$1001,"&lt;"&amp;B321))</f>
        <v/>
      </c>
      <c r="K321" s="16" t="str">
        <f t="shared" si="37"/>
        <v/>
      </c>
      <c r="L321" s="17" t="str">
        <f t="shared" si="38"/>
        <v/>
      </c>
      <c r="M321" s="17" t="str">
        <f t="shared" si="39"/>
        <v/>
      </c>
      <c r="N321" s="17" t="str">
        <f t="shared" si="40"/>
        <v/>
      </c>
      <c r="O321" s="17" t="str">
        <f t="shared" si="41"/>
        <v/>
      </c>
      <c r="P321" s="16" t="str">
        <f t="shared" si="42"/>
        <v/>
      </c>
      <c r="Q321" s="16" t="str">
        <f t="shared" si="43"/>
        <v/>
      </c>
      <c r="R321" s="18" t="str">
        <f t="shared" si="44"/>
        <v/>
      </c>
    </row>
    <row r="322" spans="1:18">
      <c r="A322" s="12"/>
      <c r="B322" s="13"/>
      <c r="C322" s="14"/>
      <c r="D322" s="15"/>
      <c r="E322" s="15"/>
      <c r="F322" s="15"/>
      <c r="G322" s="13"/>
      <c r="H322" s="16" t="str">
        <f t="shared" ref="H322:H385" si="45">IF(OR(A322="",D322="",G322=""),"",D322*G322)</f>
        <v/>
      </c>
      <c r="I322" s="17" t="str">
        <f>IF(OR(A322="",B322=""),"",IFERROR(LOOKUP(2,1/(单次交易!$A$2:$A$201=A322),单次交易!$H$2:$H$201),0)+SUMIFS($G$2:$G$1001,$A$2:$A$1001,A322,$B$2:$B$1001,"&lt;"&amp;B322))</f>
        <v/>
      </c>
      <c r="J322" s="16" t="str">
        <f>IF(OR(A322="",B322=""),"",IFERROR(LOOKUP(2,1/(单次交易!$A$2:$A$201=A322),单次交易!$E$2:$E$201)*LOOKUP(2,1/(单次交易!$A$2:$A$201=A322),单次交易!$H$2:$H$201),0)+SUMIFS($H$2:$H$1001,$A$2:$A$1001,A322,$B$2:$B$1001,"&lt;"&amp;B322))</f>
        <v/>
      </c>
      <c r="K322" s="16" t="str">
        <f t="shared" ref="K322:K385" si="46">IF(OR(E322="",I322="",J322=""),"",MAX(E322*I322-J322,0))</f>
        <v/>
      </c>
      <c r="L322" s="17" t="str">
        <f t="shared" ref="L322:L385" si="47">IF(OR(D322="",E322="",F322="",D322&lt;=E322),"",FLOOR((F322+K322)/(D322-E322),100))</f>
        <v/>
      </c>
      <c r="M322" s="17" t="str">
        <f t="shared" ref="M322:M385" si="48">IF(OR(A322="",B322="",L322=""),"",IF(B322=1,L322,IFERROR(SUMIFS($G$2:$G$1001,$A$2:$A$1001,A322,$B$2:$B$1001,B322-1),0)))</f>
        <v/>
      </c>
      <c r="N322" s="17" t="str">
        <f t="shared" ref="N322:N385" si="49">IF(OR(L322="",M322=""),"",MIN(L322,M322))</f>
        <v/>
      </c>
      <c r="O322" s="17" t="str">
        <f t="shared" ref="O322:O385" si="50">IF(OR(I322="",G322=""),"",I322+G322)</f>
        <v/>
      </c>
      <c r="P322" s="16" t="str">
        <f t="shared" ref="P322:P385" si="51">IF(OR(O322="",O322=0),"",(J322+H322)/O322)</f>
        <v/>
      </c>
      <c r="Q322" s="16" t="str">
        <f t="shared" ref="Q322:Q385" si="52">IF(OR(O322="",E322=""),"",MAX(J322+H322-E322*O322,0))</f>
        <v/>
      </c>
      <c r="R322" s="18" t="str">
        <f t="shared" ref="R322:R385" si="53">IF(A322="","",IF(COUNTIF(_TradeIds,A322)=0,"违规：交易编号不存在",IF(OR(B322="",B322&lt;1,B322&gt;5,B322&lt;&gt;INT(B322)),"违规：加仓序号须为1到5的整数",IF(COUNTIFS($A$2:$A$1001,A322,$B$2:$B$1001,B322)&gt;1,"违规：同一交易的加仓序号重复",IF(OR(D322="",E322="",F322=""),"计划不完整：请填写加仓价、新止损价和风险预算",IF(OR(D322&lt;=0,E322&lt;=0,F322&lt;=0,D322&lt;=E322),"违规：加仓价必须高于新止损价，金额须大于0",IF(AND(B322&gt;1,COUNTIFS($A$2:$A$1001,A322,$B$2:$B$1001,B322-1,$G$2:$G$1001,"&gt;0")=0),"违规：须先完成上一次加仓",IF(AND(B322&gt;1,E322&lt;SUMIFS($E$2:$E$1001,$A$2:$A$1001,A322,$B$2:$B$1001,B322-1)),"违规：新止损价不得低于上一次",IF(AND(B322&gt;1,F322&gt;SUMIFS($F$2:$F$1001,$A$2:$A$1001,A322,$B$2:$B$1001,B322-1)),"违规：风险预算须逐次不增加",IF(OR(_LockStatus="已锁仓",_LockStatus="解锁信息不完整"),"违规：锁仓期间禁止加仓",IF(G322="","计划可执行：建议股数见N列",IF(OR(G322&lt;=0,G322&lt;&gt;INT(G322),MOD(G322,100)&lt;&gt;0),"违规：实际股数须为100股整数倍",IF(G322&gt;N322,"违规：实际股数超过风险或金字塔上限",IF(AND(B322&gt;1,G322&gt;SUMIFS($G$2:$G$1001,$A$2:$A$1001,A322,$B$2:$B$1001,B322-1)),"违规：加仓股数须逐次不增加",IF(Q322&gt;F322,"违规：止损风险超过本次预算","通过")))))))))))))))</f>
        <v/>
      </c>
    </row>
    <row r="323" spans="1:18">
      <c r="A323" s="12"/>
      <c r="B323" s="13"/>
      <c r="C323" s="14"/>
      <c r="D323" s="15"/>
      <c r="E323" s="15"/>
      <c r="F323" s="15"/>
      <c r="G323" s="13"/>
      <c r="H323" s="16" t="str">
        <f t="shared" si="45"/>
        <v/>
      </c>
      <c r="I323" s="17" t="str">
        <f>IF(OR(A323="",B323=""),"",IFERROR(LOOKUP(2,1/(单次交易!$A$2:$A$201=A323),单次交易!$H$2:$H$201),0)+SUMIFS($G$2:$G$1001,$A$2:$A$1001,A323,$B$2:$B$1001,"&lt;"&amp;B323))</f>
        <v/>
      </c>
      <c r="J323" s="16" t="str">
        <f>IF(OR(A323="",B323=""),"",IFERROR(LOOKUP(2,1/(单次交易!$A$2:$A$201=A323),单次交易!$E$2:$E$201)*LOOKUP(2,1/(单次交易!$A$2:$A$201=A323),单次交易!$H$2:$H$201),0)+SUMIFS($H$2:$H$1001,$A$2:$A$1001,A323,$B$2:$B$1001,"&lt;"&amp;B323))</f>
        <v/>
      </c>
      <c r="K323" s="16" t="str">
        <f t="shared" si="46"/>
        <v/>
      </c>
      <c r="L323" s="17" t="str">
        <f t="shared" si="47"/>
        <v/>
      </c>
      <c r="M323" s="17" t="str">
        <f t="shared" si="48"/>
        <v/>
      </c>
      <c r="N323" s="17" t="str">
        <f t="shared" si="49"/>
        <v/>
      </c>
      <c r="O323" s="17" t="str">
        <f t="shared" si="50"/>
        <v/>
      </c>
      <c r="P323" s="16" t="str">
        <f t="shared" si="51"/>
        <v/>
      </c>
      <c r="Q323" s="16" t="str">
        <f t="shared" si="52"/>
        <v/>
      </c>
      <c r="R323" s="18" t="str">
        <f t="shared" si="53"/>
        <v/>
      </c>
    </row>
    <row r="324" spans="1:18">
      <c r="A324" s="12"/>
      <c r="B324" s="13"/>
      <c r="C324" s="14"/>
      <c r="D324" s="15"/>
      <c r="E324" s="15"/>
      <c r="F324" s="15"/>
      <c r="G324" s="13"/>
      <c r="H324" s="16" t="str">
        <f t="shared" si="45"/>
        <v/>
      </c>
      <c r="I324" s="17" t="str">
        <f>IF(OR(A324="",B324=""),"",IFERROR(LOOKUP(2,1/(单次交易!$A$2:$A$201=A324),单次交易!$H$2:$H$201),0)+SUMIFS($G$2:$G$1001,$A$2:$A$1001,A324,$B$2:$B$1001,"&lt;"&amp;B324))</f>
        <v/>
      </c>
      <c r="J324" s="16" t="str">
        <f>IF(OR(A324="",B324=""),"",IFERROR(LOOKUP(2,1/(单次交易!$A$2:$A$201=A324),单次交易!$E$2:$E$201)*LOOKUP(2,1/(单次交易!$A$2:$A$201=A324),单次交易!$H$2:$H$201),0)+SUMIFS($H$2:$H$1001,$A$2:$A$1001,A324,$B$2:$B$1001,"&lt;"&amp;B324))</f>
        <v/>
      </c>
      <c r="K324" s="16" t="str">
        <f t="shared" si="46"/>
        <v/>
      </c>
      <c r="L324" s="17" t="str">
        <f t="shared" si="47"/>
        <v/>
      </c>
      <c r="M324" s="17" t="str">
        <f t="shared" si="48"/>
        <v/>
      </c>
      <c r="N324" s="17" t="str">
        <f t="shared" si="49"/>
        <v/>
      </c>
      <c r="O324" s="17" t="str">
        <f t="shared" si="50"/>
        <v/>
      </c>
      <c r="P324" s="16" t="str">
        <f t="shared" si="51"/>
        <v/>
      </c>
      <c r="Q324" s="16" t="str">
        <f t="shared" si="52"/>
        <v/>
      </c>
      <c r="R324" s="18" t="str">
        <f t="shared" si="53"/>
        <v/>
      </c>
    </row>
    <row r="325" spans="1:18">
      <c r="A325" s="12"/>
      <c r="B325" s="13"/>
      <c r="C325" s="14"/>
      <c r="D325" s="15"/>
      <c r="E325" s="15"/>
      <c r="F325" s="15"/>
      <c r="G325" s="13"/>
      <c r="H325" s="16" t="str">
        <f t="shared" si="45"/>
        <v/>
      </c>
      <c r="I325" s="17" t="str">
        <f>IF(OR(A325="",B325=""),"",IFERROR(LOOKUP(2,1/(单次交易!$A$2:$A$201=A325),单次交易!$H$2:$H$201),0)+SUMIFS($G$2:$G$1001,$A$2:$A$1001,A325,$B$2:$B$1001,"&lt;"&amp;B325))</f>
        <v/>
      </c>
      <c r="J325" s="16" t="str">
        <f>IF(OR(A325="",B325=""),"",IFERROR(LOOKUP(2,1/(单次交易!$A$2:$A$201=A325),单次交易!$E$2:$E$201)*LOOKUP(2,1/(单次交易!$A$2:$A$201=A325),单次交易!$H$2:$H$201),0)+SUMIFS($H$2:$H$1001,$A$2:$A$1001,A325,$B$2:$B$1001,"&lt;"&amp;B325))</f>
        <v/>
      </c>
      <c r="K325" s="16" t="str">
        <f t="shared" si="46"/>
        <v/>
      </c>
      <c r="L325" s="17" t="str">
        <f t="shared" si="47"/>
        <v/>
      </c>
      <c r="M325" s="17" t="str">
        <f t="shared" si="48"/>
        <v/>
      </c>
      <c r="N325" s="17" t="str">
        <f t="shared" si="49"/>
        <v/>
      </c>
      <c r="O325" s="17" t="str">
        <f t="shared" si="50"/>
        <v/>
      </c>
      <c r="P325" s="16" t="str">
        <f t="shared" si="51"/>
        <v/>
      </c>
      <c r="Q325" s="16" t="str">
        <f t="shared" si="52"/>
        <v/>
      </c>
      <c r="R325" s="18" t="str">
        <f t="shared" si="53"/>
        <v/>
      </c>
    </row>
    <row r="326" spans="1:18">
      <c r="A326" s="12"/>
      <c r="B326" s="13"/>
      <c r="C326" s="14"/>
      <c r="D326" s="15"/>
      <c r="E326" s="15"/>
      <c r="F326" s="15"/>
      <c r="G326" s="13"/>
      <c r="H326" s="16" t="str">
        <f t="shared" si="45"/>
        <v/>
      </c>
      <c r="I326" s="17" t="str">
        <f>IF(OR(A326="",B326=""),"",IFERROR(LOOKUP(2,1/(单次交易!$A$2:$A$201=A326),单次交易!$H$2:$H$201),0)+SUMIFS($G$2:$G$1001,$A$2:$A$1001,A326,$B$2:$B$1001,"&lt;"&amp;B326))</f>
        <v/>
      </c>
      <c r="J326" s="16" t="str">
        <f>IF(OR(A326="",B326=""),"",IFERROR(LOOKUP(2,1/(单次交易!$A$2:$A$201=A326),单次交易!$E$2:$E$201)*LOOKUP(2,1/(单次交易!$A$2:$A$201=A326),单次交易!$H$2:$H$201),0)+SUMIFS($H$2:$H$1001,$A$2:$A$1001,A326,$B$2:$B$1001,"&lt;"&amp;B326))</f>
        <v/>
      </c>
      <c r="K326" s="16" t="str">
        <f t="shared" si="46"/>
        <v/>
      </c>
      <c r="L326" s="17" t="str">
        <f t="shared" si="47"/>
        <v/>
      </c>
      <c r="M326" s="17" t="str">
        <f t="shared" si="48"/>
        <v/>
      </c>
      <c r="N326" s="17" t="str">
        <f t="shared" si="49"/>
        <v/>
      </c>
      <c r="O326" s="17" t="str">
        <f t="shared" si="50"/>
        <v/>
      </c>
      <c r="P326" s="16" t="str">
        <f t="shared" si="51"/>
        <v/>
      </c>
      <c r="Q326" s="16" t="str">
        <f t="shared" si="52"/>
        <v/>
      </c>
      <c r="R326" s="18" t="str">
        <f t="shared" si="53"/>
        <v/>
      </c>
    </row>
    <row r="327" spans="1:18">
      <c r="A327" s="12"/>
      <c r="B327" s="13"/>
      <c r="C327" s="14"/>
      <c r="D327" s="15"/>
      <c r="E327" s="15"/>
      <c r="F327" s="15"/>
      <c r="G327" s="13"/>
      <c r="H327" s="16" t="str">
        <f t="shared" si="45"/>
        <v/>
      </c>
      <c r="I327" s="17" t="str">
        <f>IF(OR(A327="",B327=""),"",IFERROR(LOOKUP(2,1/(单次交易!$A$2:$A$201=A327),单次交易!$H$2:$H$201),0)+SUMIFS($G$2:$G$1001,$A$2:$A$1001,A327,$B$2:$B$1001,"&lt;"&amp;B327))</f>
        <v/>
      </c>
      <c r="J327" s="16" t="str">
        <f>IF(OR(A327="",B327=""),"",IFERROR(LOOKUP(2,1/(单次交易!$A$2:$A$201=A327),单次交易!$E$2:$E$201)*LOOKUP(2,1/(单次交易!$A$2:$A$201=A327),单次交易!$H$2:$H$201),0)+SUMIFS($H$2:$H$1001,$A$2:$A$1001,A327,$B$2:$B$1001,"&lt;"&amp;B327))</f>
        <v/>
      </c>
      <c r="K327" s="16" t="str">
        <f t="shared" si="46"/>
        <v/>
      </c>
      <c r="L327" s="17" t="str">
        <f t="shared" si="47"/>
        <v/>
      </c>
      <c r="M327" s="17" t="str">
        <f t="shared" si="48"/>
        <v/>
      </c>
      <c r="N327" s="17" t="str">
        <f t="shared" si="49"/>
        <v/>
      </c>
      <c r="O327" s="17" t="str">
        <f t="shared" si="50"/>
        <v/>
      </c>
      <c r="P327" s="16" t="str">
        <f t="shared" si="51"/>
        <v/>
      </c>
      <c r="Q327" s="16" t="str">
        <f t="shared" si="52"/>
        <v/>
      </c>
      <c r="R327" s="18" t="str">
        <f t="shared" si="53"/>
        <v/>
      </c>
    </row>
    <row r="328" spans="1:18">
      <c r="A328" s="12"/>
      <c r="B328" s="13"/>
      <c r="C328" s="14"/>
      <c r="D328" s="15"/>
      <c r="E328" s="15"/>
      <c r="F328" s="15"/>
      <c r="G328" s="13"/>
      <c r="H328" s="16" t="str">
        <f t="shared" si="45"/>
        <v/>
      </c>
      <c r="I328" s="17" t="str">
        <f>IF(OR(A328="",B328=""),"",IFERROR(LOOKUP(2,1/(单次交易!$A$2:$A$201=A328),单次交易!$H$2:$H$201),0)+SUMIFS($G$2:$G$1001,$A$2:$A$1001,A328,$B$2:$B$1001,"&lt;"&amp;B328))</f>
        <v/>
      </c>
      <c r="J328" s="16" t="str">
        <f>IF(OR(A328="",B328=""),"",IFERROR(LOOKUP(2,1/(单次交易!$A$2:$A$201=A328),单次交易!$E$2:$E$201)*LOOKUP(2,1/(单次交易!$A$2:$A$201=A328),单次交易!$H$2:$H$201),0)+SUMIFS($H$2:$H$1001,$A$2:$A$1001,A328,$B$2:$B$1001,"&lt;"&amp;B328))</f>
        <v/>
      </c>
      <c r="K328" s="16" t="str">
        <f t="shared" si="46"/>
        <v/>
      </c>
      <c r="L328" s="17" t="str">
        <f t="shared" si="47"/>
        <v/>
      </c>
      <c r="M328" s="17" t="str">
        <f t="shared" si="48"/>
        <v/>
      </c>
      <c r="N328" s="17" t="str">
        <f t="shared" si="49"/>
        <v/>
      </c>
      <c r="O328" s="17" t="str">
        <f t="shared" si="50"/>
        <v/>
      </c>
      <c r="P328" s="16" t="str">
        <f t="shared" si="51"/>
        <v/>
      </c>
      <c r="Q328" s="16" t="str">
        <f t="shared" si="52"/>
        <v/>
      </c>
      <c r="R328" s="18" t="str">
        <f t="shared" si="53"/>
        <v/>
      </c>
    </row>
    <row r="329" spans="1:18">
      <c r="A329" s="12"/>
      <c r="B329" s="13"/>
      <c r="C329" s="14"/>
      <c r="D329" s="15"/>
      <c r="E329" s="15"/>
      <c r="F329" s="15"/>
      <c r="G329" s="13"/>
      <c r="H329" s="16" t="str">
        <f t="shared" si="45"/>
        <v/>
      </c>
      <c r="I329" s="17" t="str">
        <f>IF(OR(A329="",B329=""),"",IFERROR(LOOKUP(2,1/(单次交易!$A$2:$A$201=A329),单次交易!$H$2:$H$201),0)+SUMIFS($G$2:$G$1001,$A$2:$A$1001,A329,$B$2:$B$1001,"&lt;"&amp;B329))</f>
        <v/>
      </c>
      <c r="J329" s="16" t="str">
        <f>IF(OR(A329="",B329=""),"",IFERROR(LOOKUP(2,1/(单次交易!$A$2:$A$201=A329),单次交易!$E$2:$E$201)*LOOKUP(2,1/(单次交易!$A$2:$A$201=A329),单次交易!$H$2:$H$201),0)+SUMIFS($H$2:$H$1001,$A$2:$A$1001,A329,$B$2:$B$1001,"&lt;"&amp;B329))</f>
        <v/>
      </c>
      <c r="K329" s="16" t="str">
        <f t="shared" si="46"/>
        <v/>
      </c>
      <c r="L329" s="17" t="str">
        <f t="shared" si="47"/>
        <v/>
      </c>
      <c r="M329" s="17" t="str">
        <f t="shared" si="48"/>
        <v/>
      </c>
      <c r="N329" s="17" t="str">
        <f t="shared" si="49"/>
        <v/>
      </c>
      <c r="O329" s="17" t="str">
        <f t="shared" si="50"/>
        <v/>
      </c>
      <c r="P329" s="16" t="str">
        <f t="shared" si="51"/>
        <v/>
      </c>
      <c r="Q329" s="16" t="str">
        <f t="shared" si="52"/>
        <v/>
      </c>
      <c r="R329" s="18" t="str">
        <f t="shared" si="53"/>
        <v/>
      </c>
    </row>
    <row r="330" spans="1:18">
      <c r="A330" s="12"/>
      <c r="B330" s="13"/>
      <c r="C330" s="14"/>
      <c r="D330" s="15"/>
      <c r="E330" s="15"/>
      <c r="F330" s="15"/>
      <c r="G330" s="13"/>
      <c r="H330" s="16" t="str">
        <f t="shared" si="45"/>
        <v/>
      </c>
      <c r="I330" s="17" t="str">
        <f>IF(OR(A330="",B330=""),"",IFERROR(LOOKUP(2,1/(单次交易!$A$2:$A$201=A330),单次交易!$H$2:$H$201),0)+SUMIFS($G$2:$G$1001,$A$2:$A$1001,A330,$B$2:$B$1001,"&lt;"&amp;B330))</f>
        <v/>
      </c>
      <c r="J330" s="16" t="str">
        <f>IF(OR(A330="",B330=""),"",IFERROR(LOOKUP(2,1/(单次交易!$A$2:$A$201=A330),单次交易!$E$2:$E$201)*LOOKUP(2,1/(单次交易!$A$2:$A$201=A330),单次交易!$H$2:$H$201),0)+SUMIFS($H$2:$H$1001,$A$2:$A$1001,A330,$B$2:$B$1001,"&lt;"&amp;B330))</f>
        <v/>
      </c>
      <c r="K330" s="16" t="str">
        <f t="shared" si="46"/>
        <v/>
      </c>
      <c r="L330" s="17" t="str">
        <f t="shared" si="47"/>
        <v/>
      </c>
      <c r="M330" s="17" t="str">
        <f t="shared" si="48"/>
        <v/>
      </c>
      <c r="N330" s="17" t="str">
        <f t="shared" si="49"/>
        <v/>
      </c>
      <c r="O330" s="17" t="str">
        <f t="shared" si="50"/>
        <v/>
      </c>
      <c r="P330" s="16" t="str">
        <f t="shared" si="51"/>
        <v/>
      </c>
      <c r="Q330" s="16" t="str">
        <f t="shared" si="52"/>
        <v/>
      </c>
      <c r="R330" s="18" t="str">
        <f t="shared" si="53"/>
        <v/>
      </c>
    </row>
    <row r="331" spans="1:18">
      <c r="A331" s="12"/>
      <c r="B331" s="13"/>
      <c r="C331" s="14"/>
      <c r="D331" s="15"/>
      <c r="E331" s="15"/>
      <c r="F331" s="15"/>
      <c r="G331" s="13"/>
      <c r="H331" s="16" t="str">
        <f t="shared" si="45"/>
        <v/>
      </c>
      <c r="I331" s="17" t="str">
        <f>IF(OR(A331="",B331=""),"",IFERROR(LOOKUP(2,1/(单次交易!$A$2:$A$201=A331),单次交易!$H$2:$H$201),0)+SUMIFS($G$2:$G$1001,$A$2:$A$1001,A331,$B$2:$B$1001,"&lt;"&amp;B331))</f>
        <v/>
      </c>
      <c r="J331" s="16" t="str">
        <f>IF(OR(A331="",B331=""),"",IFERROR(LOOKUP(2,1/(单次交易!$A$2:$A$201=A331),单次交易!$E$2:$E$201)*LOOKUP(2,1/(单次交易!$A$2:$A$201=A331),单次交易!$H$2:$H$201),0)+SUMIFS($H$2:$H$1001,$A$2:$A$1001,A331,$B$2:$B$1001,"&lt;"&amp;B331))</f>
        <v/>
      </c>
      <c r="K331" s="16" t="str">
        <f t="shared" si="46"/>
        <v/>
      </c>
      <c r="L331" s="17" t="str">
        <f t="shared" si="47"/>
        <v/>
      </c>
      <c r="M331" s="17" t="str">
        <f t="shared" si="48"/>
        <v/>
      </c>
      <c r="N331" s="17" t="str">
        <f t="shared" si="49"/>
        <v/>
      </c>
      <c r="O331" s="17" t="str">
        <f t="shared" si="50"/>
        <v/>
      </c>
      <c r="P331" s="16" t="str">
        <f t="shared" si="51"/>
        <v/>
      </c>
      <c r="Q331" s="16" t="str">
        <f t="shared" si="52"/>
        <v/>
      </c>
      <c r="R331" s="18" t="str">
        <f t="shared" si="53"/>
        <v/>
      </c>
    </row>
    <row r="332" spans="1:18">
      <c r="A332" s="12"/>
      <c r="B332" s="13"/>
      <c r="C332" s="14"/>
      <c r="D332" s="15"/>
      <c r="E332" s="15"/>
      <c r="F332" s="15"/>
      <c r="G332" s="13"/>
      <c r="H332" s="16" t="str">
        <f t="shared" si="45"/>
        <v/>
      </c>
      <c r="I332" s="17" t="str">
        <f>IF(OR(A332="",B332=""),"",IFERROR(LOOKUP(2,1/(单次交易!$A$2:$A$201=A332),单次交易!$H$2:$H$201),0)+SUMIFS($G$2:$G$1001,$A$2:$A$1001,A332,$B$2:$B$1001,"&lt;"&amp;B332))</f>
        <v/>
      </c>
      <c r="J332" s="16" t="str">
        <f>IF(OR(A332="",B332=""),"",IFERROR(LOOKUP(2,1/(单次交易!$A$2:$A$201=A332),单次交易!$E$2:$E$201)*LOOKUP(2,1/(单次交易!$A$2:$A$201=A332),单次交易!$H$2:$H$201),0)+SUMIFS($H$2:$H$1001,$A$2:$A$1001,A332,$B$2:$B$1001,"&lt;"&amp;B332))</f>
        <v/>
      </c>
      <c r="K332" s="16" t="str">
        <f t="shared" si="46"/>
        <v/>
      </c>
      <c r="L332" s="17" t="str">
        <f t="shared" si="47"/>
        <v/>
      </c>
      <c r="M332" s="17" t="str">
        <f t="shared" si="48"/>
        <v/>
      </c>
      <c r="N332" s="17" t="str">
        <f t="shared" si="49"/>
        <v/>
      </c>
      <c r="O332" s="17" t="str">
        <f t="shared" si="50"/>
        <v/>
      </c>
      <c r="P332" s="16" t="str">
        <f t="shared" si="51"/>
        <v/>
      </c>
      <c r="Q332" s="16" t="str">
        <f t="shared" si="52"/>
        <v/>
      </c>
      <c r="R332" s="18" t="str">
        <f t="shared" si="53"/>
        <v/>
      </c>
    </row>
    <row r="333" spans="1:18">
      <c r="A333" s="12"/>
      <c r="B333" s="13"/>
      <c r="C333" s="14"/>
      <c r="D333" s="15"/>
      <c r="E333" s="15"/>
      <c r="F333" s="15"/>
      <c r="G333" s="13"/>
      <c r="H333" s="16" t="str">
        <f t="shared" si="45"/>
        <v/>
      </c>
      <c r="I333" s="17" t="str">
        <f>IF(OR(A333="",B333=""),"",IFERROR(LOOKUP(2,1/(单次交易!$A$2:$A$201=A333),单次交易!$H$2:$H$201),0)+SUMIFS($G$2:$G$1001,$A$2:$A$1001,A333,$B$2:$B$1001,"&lt;"&amp;B333))</f>
        <v/>
      </c>
      <c r="J333" s="16" t="str">
        <f>IF(OR(A333="",B333=""),"",IFERROR(LOOKUP(2,1/(单次交易!$A$2:$A$201=A333),单次交易!$E$2:$E$201)*LOOKUP(2,1/(单次交易!$A$2:$A$201=A333),单次交易!$H$2:$H$201),0)+SUMIFS($H$2:$H$1001,$A$2:$A$1001,A333,$B$2:$B$1001,"&lt;"&amp;B333))</f>
        <v/>
      </c>
      <c r="K333" s="16" t="str">
        <f t="shared" si="46"/>
        <v/>
      </c>
      <c r="L333" s="17" t="str">
        <f t="shared" si="47"/>
        <v/>
      </c>
      <c r="M333" s="17" t="str">
        <f t="shared" si="48"/>
        <v/>
      </c>
      <c r="N333" s="17" t="str">
        <f t="shared" si="49"/>
        <v/>
      </c>
      <c r="O333" s="17" t="str">
        <f t="shared" si="50"/>
        <v/>
      </c>
      <c r="P333" s="16" t="str">
        <f t="shared" si="51"/>
        <v/>
      </c>
      <c r="Q333" s="16" t="str">
        <f t="shared" si="52"/>
        <v/>
      </c>
      <c r="R333" s="18" t="str">
        <f t="shared" si="53"/>
        <v/>
      </c>
    </row>
    <row r="334" spans="1:18">
      <c r="A334" s="12"/>
      <c r="B334" s="13"/>
      <c r="C334" s="14"/>
      <c r="D334" s="15"/>
      <c r="E334" s="15"/>
      <c r="F334" s="15"/>
      <c r="G334" s="13"/>
      <c r="H334" s="16" t="str">
        <f t="shared" si="45"/>
        <v/>
      </c>
      <c r="I334" s="17" t="str">
        <f>IF(OR(A334="",B334=""),"",IFERROR(LOOKUP(2,1/(单次交易!$A$2:$A$201=A334),单次交易!$H$2:$H$201),0)+SUMIFS($G$2:$G$1001,$A$2:$A$1001,A334,$B$2:$B$1001,"&lt;"&amp;B334))</f>
        <v/>
      </c>
      <c r="J334" s="16" t="str">
        <f>IF(OR(A334="",B334=""),"",IFERROR(LOOKUP(2,1/(单次交易!$A$2:$A$201=A334),单次交易!$E$2:$E$201)*LOOKUP(2,1/(单次交易!$A$2:$A$201=A334),单次交易!$H$2:$H$201),0)+SUMIFS($H$2:$H$1001,$A$2:$A$1001,A334,$B$2:$B$1001,"&lt;"&amp;B334))</f>
        <v/>
      </c>
      <c r="K334" s="16" t="str">
        <f t="shared" si="46"/>
        <v/>
      </c>
      <c r="L334" s="17" t="str">
        <f t="shared" si="47"/>
        <v/>
      </c>
      <c r="M334" s="17" t="str">
        <f t="shared" si="48"/>
        <v/>
      </c>
      <c r="N334" s="17" t="str">
        <f t="shared" si="49"/>
        <v/>
      </c>
      <c r="O334" s="17" t="str">
        <f t="shared" si="50"/>
        <v/>
      </c>
      <c r="P334" s="16" t="str">
        <f t="shared" si="51"/>
        <v/>
      </c>
      <c r="Q334" s="16" t="str">
        <f t="shared" si="52"/>
        <v/>
      </c>
      <c r="R334" s="18" t="str">
        <f t="shared" si="53"/>
        <v/>
      </c>
    </row>
    <row r="335" spans="1:18">
      <c r="A335" s="12"/>
      <c r="B335" s="13"/>
      <c r="C335" s="14"/>
      <c r="D335" s="15"/>
      <c r="E335" s="15"/>
      <c r="F335" s="15"/>
      <c r="G335" s="13"/>
      <c r="H335" s="16" t="str">
        <f t="shared" si="45"/>
        <v/>
      </c>
      <c r="I335" s="17" t="str">
        <f>IF(OR(A335="",B335=""),"",IFERROR(LOOKUP(2,1/(单次交易!$A$2:$A$201=A335),单次交易!$H$2:$H$201),0)+SUMIFS($G$2:$G$1001,$A$2:$A$1001,A335,$B$2:$B$1001,"&lt;"&amp;B335))</f>
        <v/>
      </c>
      <c r="J335" s="16" t="str">
        <f>IF(OR(A335="",B335=""),"",IFERROR(LOOKUP(2,1/(单次交易!$A$2:$A$201=A335),单次交易!$E$2:$E$201)*LOOKUP(2,1/(单次交易!$A$2:$A$201=A335),单次交易!$H$2:$H$201),0)+SUMIFS($H$2:$H$1001,$A$2:$A$1001,A335,$B$2:$B$1001,"&lt;"&amp;B335))</f>
        <v/>
      </c>
      <c r="K335" s="16" t="str">
        <f t="shared" si="46"/>
        <v/>
      </c>
      <c r="L335" s="17" t="str">
        <f t="shared" si="47"/>
        <v/>
      </c>
      <c r="M335" s="17" t="str">
        <f t="shared" si="48"/>
        <v/>
      </c>
      <c r="N335" s="17" t="str">
        <f t="shared" si="49"/>
        <v/>
      </c>
      <c r="O335" s="17" t="str">
        <f t="shared" si="50"/>
        <v/>
      </c>
      <c r="P335" s="16" t="str">
        <f t="shared" si="51"/>
        <v/>
      </c>
      <c r="Q335" s="16" t="str">
        <f t="shared" si="52"/>
        <v/>
      </c>
      <c r="R335" s="18" t="str">
        <f t="shared" si="53"/>
        <v/>
      </c>
    </row>
    <row r="336" spans="1:18">
      <c r="A336" s="12"/>
      <c r="B336" s="13"/>
      <c r="C336" s="14"/>
      <c r="D336" s="15"/>
      <c r="E336" s="15"/>
      <c r="F336" s="15"/>
      <c r="G336" s="13"/>
      <c r="H336" s="16" t="str">
        <f t="shared" si="45"/>
        <v/>
      </c>
      <c r="I336" s="17" t="str">
        <f>IF(OR(A336="",B336=""),"",IFERROR(LOOKUP(2,1/(单次交易!$A$2:$A$201=A336),单次交易!$H$2:$H$201),0)+SUMIFS($G$2:$G$1001,$A$2:$A$1001,A336,$B$2:$B$1001,"&lt;"&amp;B336))</f>
        <v/>
      </c>
      <c r="J336" s="16" t="str">
        <f>IF(OR(A336="",B336=""),"",IFERROR(LOOKUP(2,1/(单次交易!$A$2:$A$201=A336),单次交易!$E$2:$E$201)*LOOKUP(2,1/(单次交易!$A$2:$A$201=A336),单次交易!$H$2:$H$201),0)+SUMIFS($H$2:$H$1001,$A$2:$A$1001,A336,$B$2:$B$1001,"&lt;"&amp;B336))</f>
        <v/>
      </c>
      <c r="K336" s="16" t="str">
        <f t="shared" si="46"/>
        <v/>
      </c>
      <c r="L336" s="17" t="str">
        <f t="shared" si="47"/>
        <v/>
      </c>
      <c r="M336" s="17" t="str">
        <f t="shared" si="48"/>
        <v/>
      </c>
      <c r="N336" s="17" t="str">
        <f t="shared" si="49"/>
        <v/>
      </c>
      <c r="O336" s="17" t="str">
        <f t="shared" si="50"/>
        <v/>
      </c>
      <c r="P336" s="16" t="str">
        <f t="shared" si="51"/>
        <v/>
      </c>
      <c r="Q336" s="16" t="str">
        <f t="shared" si="52"/>
        <v/>
      </c>
      <c r="R336" s="18" t="str">
        <f t="shared" si="53"/>
        <v/>
      </c>
    </row>
    <row r="337" spans="1:18">
      <c r="A337" s="12"/>
      <c r="B337" s="13"/>
      <c r="C337" s="14"/>
      <c r="D337" s="15"/>
      <c r="E337" s="15"/>
      <c r="F337" s="15"/>
      <c r="G337" s="13"/>
      <c r="H337" s="16" t="str">
        <f t="shared" si="45"/>
        <v/>
      </c>
      <c r="I337" s="17" t="str">
        <f>IF(OR(A337="",B337=""),"",IFERROR(LOOKUP(2,1/(单次交易!$A$2:$A$201=A337),单次交易!$H$2:$H$201),0)+SUMIFS($G$2:$G$1001,$A$2:$A$1001,A337,$B$2:$B$1001,"&lt;"&amp;B337))</f>
        <v/>
      </c>
      <c r="J337" s="16" t="str">
        <f>IF(OR(A337="",B337=""),"",IFERROR(LOOKUP(2,1/(单次交易!$A$2:$A$201=A337),单次交易!$E$2:$E$201)*LOOKUP(2,1/(单次交易!$A$2:$A$201=A337),单次交易!$H$2:$H$201),0)+SUMIFS($H$2:$H$1001,$A$2:$A$1001,A337,$B$2:$B$1001,"&lt;"&amp;B337))</f>
        <v/>
      </c>
      <c r="K337" s="16" t="str">
        <f t="shared" si="46"/>
        <v/>
      </c>
      <c r="L337" s="17" t="str">
        <f t="shared" si="47"/>
        <v/>
      </c>
      <c r="M337" s="17" t="str">
        <f t="shared" si="48"/>
        <v/>
      </c>
      <c r="N337" s="17" t="str">
        <f t="shared" si="49"/>
        <v/>
      </c>
      <c r="O337" s="17" t="str">
        <f t="shared" si="50"/>
        <v/>
      </c>
      <c r="P337" s="16" t="str">
        <f t="shared" si="51"/>
        <v/>
      </c>
      <c r="Q337" s="16" t="str">
        <f t="shared" si="52"/>
        <v/>
      </c>
      <c r="R337" s="18" t="str">
        <f t="shared" si="53"/>
        <v/>
      </c>
    </row>
    <row r="338" spans="1:18">
      <c r="A338" s="12"/>
      <c r="B338" s="13"/>
      <c r="C338" s="14"/>
      <c r="D338" s="15"/>
      <c r="E338" s="15"/>
      <c r="F338" s="15"/>
      <c r="G338" s="13"/>
      <c r="H338" s="16" t="str">
        <f t="shared" si="45"/>
        <v/>
      </c>
      <c r="I338" s="17" t="str">
        <f>IF(OR(A338="",B338=""),"",IFERROR(LOOKUP(2,1/(单次交易!$A$2:$A$201=A338),单次交易!$H$2:$H$201),0)+SUMIFS($G$2:$G$1001,$A$2:$A$1001,A338,$B$2:$B$1001,"&lt;"&amp;B338))</f>
        <v/>
      </c>
      <c r="J338" s="16" t="str">
        <f>IF(OR(A338="",B338=""),"",IFERROR(LOOKUP(2,1/(单次交易!$A$2:$A$201=A338),单次交易!$E$2:$E$201)*LOOKUP(2,1/(单次交易!$A$2:$A$201=A338),单次交易!$H$2:$H$201),0)+SUMIFS($H$2:$H$1001,$A$2:$A$1001,A338,$B$2:$B$1001,"&lt;"&amp;B338))</f>
        <v/>
      </c>
      <c r="K338" s="16" t="str">
        <f t="shared" si="46"/>
        <v/>
      </c>
      <c r="L338" s="17" t="str">
        <f t="shared" si="47"/>
        <v/>
      </c>
      <c r="M338" s="17" t="str">
        <f t="shared" si="48"/>
        <v/>
      </c>
      <c r="N338" s="17" t="str">
        <f t="shared" si="49"/>
        <v/>
      </c>
      <c r="O338" s="17" t="str">
        <f t="shared" si="50"/>
        <v/>
      </c>
      <c r="P338" s="16" t="str">
        <f t="shared" si="51"/>
        <v/>
      </c>
      <c r="Q338" s="16" t="str">
        <f t="shared" si="52"/>
        <v/>
      </c>
      <c r="R338" s="18" t="str">
        <f t="shared" si="53"/>
        <v/>
      </c>
    </row>
    <row r="339" spans="1:18">
      <c r="A339" s="12"/>
      <c r="B339" s="13"/>
      <c r="C339" s="14"/>
      <c r="D339" s="15"/>
      <c r="E339" s="15"/>
      <c r="F339" s="15"/>
      <c r="G339" s="13"/>
      <c r="H339" s="16" t="str">
        <f t="shared" si="45"/>
        <v/>
      </c>
      <c r="I339" s="17" t="str">
        <f>IF(OR(A339="",B339=""),"",IFERROR(LOOKUP(2,1/(单次交易!$A$2:$A$201=A339),单次交易!$H$2:$H$201),0)+SUMIFS($G$2:$G$1001,$A$2:$A$1001,A339,$B$2:$B$1001,"&lt;"&amp;B339))</f>
        <v/>
      </c>
      <c r="J339" s="16" t="str">
        <f>IF(OR(A339="",B339=""),"",IFERROR(LOOKUP(2,1/(单次交易!$A$2:$A$201=A339),单次交易!$E$2:$E$201)*LOOKUP(2,1/(单次交易!$A$2:$A$201=A339),单次交易!$H$2:$H$201),0)+SUMIFS($H$2:$H$1001,$A$2:$A$1001,A339,$B$2:$B$1001,"&lt;"&amp;B339))</f>
        <v/>
      </c>
      <c r="K339" s="16" t="str">
        <f t="shared" si="46"/>
        <v/>
      </c>
      <c r="L339" s="17" t="str">
        <f t="shared" si="47"/>
        <v/>
      </c>
      <c r="M339" s="17" t="str">
        <f t="shared" si="48"/>
        <v/>
      </c>
      <c r="N339" s="17" t="str">
        <f t="shared" si="49"/>
        <v/>
      </c>
      <c r="O339" s="17" t="str">
        <f t="shared" si="50"/>
        <v/>
      </c>
      <c r="P339" s="16" t="str">
        <f t="shared" si="51"/>
        <v/>
      </c>
      <c r="Q339" s="16" t="str">
        <f t="shared" si="52"/>
        <v/>
      </c>
      <c r="R339" s="18" t="str">
        <f t="shared" si="53"/>
        <v/>
      </c>
    </row>
    <row r="340" spans="1:18">
      <c r="A340" s="12"/>
      <c r="B340" s="13"/>
      <c r="C340" s="14"/>
      <c r="D340" s="15"/>
      <c r="E340" s="15"/>
      <c r="F340" s="15"/>
      <c r="G340" s="13"/>
      <c r="H340" s="16" t="str">
        <f t="shared" si="45"/>
        <v/>
      </c>
      <c r="I340" s="17" t="str">
        <f>IF(OR(A340="",B340=""),"",IFERROR(LOOKUP(2,1/(单次交易!$A$2:$A$201=A340),单次交易!$H$2:$H$201),0)+SUMIFS($G$2:$G$1001,$A$2:$A$1001,A340,$B$2:$B$1001,"&lt;"&amp;B340))</f>
        <v/>
      </c>
      <c r="J340" s="16" t="str">
        <f>IF(OR(A340="",B340=""),"",IFERROR(LOOKUP(2,1/(单次交易!$A$2:$A$201=A340),单次交易!$E$2:$E$201)*LOOKUP(2,1/(单次交易!$A$2:$A$201=A340),单次交易!$H$2:$H$201),0)+SUMIFS($H$2:$H$1001,$A$2:$A$1001,A340,$B$2:$B$1001,"&lt;"&amp;B340))</f>
        <v/>
      </c>
      <c r="K340" s="16" t="str">
        <f t="shared" si="46"/>
        <v/>
      </c>
      <c r="L340" s="17" t="str">
        <f t="shared" si="47"/>
        <v/>
      </c>
      <c r="M340" s="17" t="str">
        <f t="shared" si="48"/>
        <v/>
      </c>
      <c r="N340" s="17" t="str">
        <f t="shared" si="49"/>
        <v/>
      </c>
      <c r="O340" s="17" t="str">
        <f t="shared" si="50"/>
        <v/>
      </c>
      <c r="P340" s="16" t="str">
        <f t="shared" si="51"/>
        <v/>
      </c>
      <c r="Q340" s="16" t="str">
        <f t="shared" si="52"/>
        <v/>
      </c>
      <c r="R340" s="18" t="str">
        <f t="shared" si="53"/>
        <v/>
      </c>
    </row>
    <row r="341" spans="1:18">
      <c r="A341" s="12"/>
      <c r="B341" s="13"/>
      <c r="C341" s="14"/>
      <c r="D341" s="15"/>
      <c r="E341" s="15"/>
      <c r="F341" s="15"/>
      <c r="G341" s="13"/>
      <c r="H341" s="16" t="str">
        <f t="shared" si="45"/>
        <v/>
      </c>
      <c r="I341" s="17" t="str">
        <f>IF(OR(A341="",B341=""),"",IFERROR(LOOKUP(2,1/(单次交易!$A$2:$A$201=A341),单次交易!$H$2:$H$201),0)+SUMIFS($G$2:$G$1001,$A$2:$A$1001,A341,$B$2:$B$1001,"&lt;"&amp;B341))</f>
        <v/>
      </c>
      <c r="J341" s="16" t="str">
        <f>IF(OR(A341="",B341=""),"",IFERROR(LOOKUP(2,1/(单次交易!$A$2:$A$201=A341),单次交易!$E$2:$E$201)*LOOKUP(2,1/(单次交易!$A$2:$A$201=A341),单次交易!$H$2:$H$201),0)+SUMIFS($H$2:$H$1001,$A$2:$A$1001,A341,$B$2:$B$1001,"&lt;"&amp;B341))</f>
        <v/>
      </c>
      <c r="K341" s="16" t="str">
        <f t="shared" si="46"/>
        <v/>
      </c>
      <c r="L341" s="17" t="str">
        <f t="shared" si="47"/>
        <v/>
      </c>
      <c r="M341" s="17" t="str">
        <f t="shared" si="48"/>
        <v/>
      </c>
      <c r="N341" s="17" t="str">
        <f t="shared" si="49"/>
        <v/>
      </c>
      <c r="O341" s="17" t="str">
        <f t="shared" si="50"/>
        <v/>
      </c>
      <c r="P341" s="16" t="str">
        <f t="shared" si="51"/>
        <v/>
      </c>
      <c r="Q341" s="16" t="str">
        <f t="shared" si="52"/>
        <v/>
      </c>
      <c r="R341" s="18" t="str">
        <f t="shared" si="53"/>
        <v/>
      </c>
    </row>
    <row r="342" spans="1:18">
      <c r="A342" s="12"/>
      <c r="B342" s="13"/>
      <c r="C342" s="14"/>
      <c r="D342" s="15"/>
      <c r="E342" s="15"/>
      <c r="F342" s="15"/>
      <c r="G342" s="13"/>
      <c r="H342" s="16" t="str">
        <f t="shared" si="45"/>
        <v/>
      </c>
      <c r="I342" s="17" t="str">
        <f>IF(OR(A342="",B342=""),"",IFERROR(LOOKUP(2,1/(单次交易!$A$2:$A$201=A342),单次交易!$H$2:$H$201),0)+SUMIFS($G$2:$G$1001,$A$2:$A$1001,A342,$B$2:$B$1001,"&lt;"&amp;B342))</f>
        <v/>
      </c>
      <c r="J342" s="16" t="str">
        <f>IF(OR(A342="",B342=""),"",IFERROR(LOOKUP(2,1/(单次交易!$A$2:$A$201=A342),单次交易!$E$2:$E$201)*LOOKUP(2,1/(单次交易!$A$2:$A$201=A342),单次交易!$H$2:$H$201),0)+SUMIFS($H$2:$H$1001,$A$2:$A$1001,A342,$B$2:$B$1001,"&lt;"&amp;B342))</f>
        <v/>
      </c>
      <c r="K342" s="16" t="str">
        <f t="shared" si="46"/>
        <v/>
      </c>
      <c r="L342" s="17" t="str">
        <f t="shared" si="47"/>
        <v/>
      </c>
      <c r="M342" s="17" t="str">
        <f t="shared" si="48"/>
        <v/>
      </c>
      <c r="N342" s="17" t="str">
        <f t="shared" si="49"/>
        <v/>
      </c>
      <c r="O342" s="17" t="str">
        <f t="shared" si="50"/>
        <v/>
      </c>
      <c r="P342" s="16" t="str">
        <f t="shared" si="51"/>
        <v/>
      </c>
      <c r="Q342" s="16" t="str">
        <f t="shared" si="52"/>
        <v/>
      </c>
      <c r="R342" s="18" t="str">
        <f t="shared" si="53"/>
        <v/>
      </c>
    </row>
    <row r="343" spans="1:18">
      <c r="A343" s="12"/>
      <c r="B343" s="13"/>
      <c r="C343" s="14"/>
      <c r="D343" s="15"/>
      <c r="E343" s="15"/>
      <c r="F343" s="15"/>
      <c r="G343" s="13"/>
      <c r="H343" s="16" t="str">
        <f t="shared" si="45"/>
        <v/>
      </c>
      <c r="I343" s="17" t="str">
        <f>IF(OR(A343="",B343=""),"",IFERROR(LOOKUP(2,1/(单次交易!$A$2:$A$201=A343),单次交易!$H$2:$H$201),0)+SUMIFS($G$2:$G$1001,$A$2:$A$1001,A343,$B$2:$B$1001,"&lt;"&amp;B343))</f>
        <v/>
      </c>
      <c r="J343" s="16" t="str">
        <f>IF(OR(A343="",B343=""),"",IFERROR(LOOKUP(2,1/(单次交易!$A$2:$A$201=A343),单次交易!$E$2:$E$201)*LOOKUP(2,1/(单次交易!$A$2:$A$201=A343),单次交易!$H$2:$H$201),0)+SUMIFS($H$2:$H$1001,$A$2:$A$1001,A343,$B$2:$B$1001,"&lt;"&amp;B343))</f>
        <v/>
      </c>
      <c r="K343" s="16" t="str">
        <f t="shared" si="46"/>
        <v/>
      </c>
      <c r="L343" s="17" t="str">
        <f t="shared" si="47"/>
        <v/>
      </c>
      <c r="M343" s="17" t="str">
        <f t="shared" si="48"/>
        <v/>
      </c>
      <c r="N343" s="17" t="str">
        <f t="shared" si="49"/>
        <v/>
      </c>
      <c r="O343" s="17" t="str">
        <f t="shared" si="50"/>
        <v/>
      </c>
      <c r="P343" s="16" t="str">
        <f t="shared" si="51"/>
        <v/>
      </c>
      <c r="Q343" s="16" t="str">
        <f t="shared" si="52"/>
        <v/>
      </c>
      <c r="R343" s="18" t="str">
        <f t="shared" si="53"/>
        <v/>
      </c>
    </row>
    <row r="344" spans="1:18">
      <c r="A344" s="12"/>
      <c r="B344" s="13"/>
      <c r="C344" s="14"/>
      <c r="D344" s="15"/>
      <c r="E344" s="15"/>
      <c r="F344" s="15"/>
      <c r="G344" s="13"/>
      <c r="H344" s="16" t="str">
        <f t="shared" si="45"/>
        <v/>
      </c>
      <c r="I344" s="17" t="str">
        <f>IF(OR(A344="",B344=""),"",IFERROR(LOOKUP(2,1/(单次交易!$A$2:$A$201=A344),单次交易!$H$2:$H$201),0)+SUMIFS($G$2:$G$1001,$A$2:$A$1001,A344,$B$2:$B$1001,"&lt;"&amp;B344))</f>
        <v/>
      </c>
      <c r="J344" s="16" t="str">
        <f>IF(OR(A344="",B344=""),"",IFERROR(LOOKUP(2,1/(单次交易!$A$2:$A$201=A344),单次交易!$E$2:$E$201)*LOOKUP(2,1/(单次交易!$A$2:$A$201=A344),单次交易!$H$2:$H$201),0)+SUMIFS($H$2:$H$1001,$A$2:$A$1001,A344,$B$2:$B$1001,"&lt;"&amp;B344))</f>
        <v/>
      </c>
      <c r="K344" s="16" t="str">
        <f t="shared" si="46"/>
        <v/>
      </c>
      <c r="L344" s="17" t="str">
        <f t="shared" si="47"/>
        <v/>
      </c>
      <c r="M344" s="17" t="str">
        <f t="shared" si="48"/>
        <v/>
      </c>
      <c r="N344" s="17" t="str">
        <f t="shared" si="49"/>
        <v/>
      </c>
      <c r="O344" s="17" t="str">
        <f t="shared" si="50"/>
        <v/>
      </c>
      <c r="P344" s="16" t="str">
        <f t="shared" si="51"/>
        <v/>
      </c>
      <c r="Q344" s="16" t="str">
        <f t="shared" si="52"/>
        <v/>
      </c>
      <c r="R344" s="18" t="str">
        <f t="shared" si="53"/>
        <v/>
      </c>
    </row>
    <row r="345" spans="1:18">
      <c r="A345" s="12"/>
      <c r="B345" s="13"/>
      <c r="C345" s="14"/>
      <c r="D345" s="15"/>
      <c r="E345" s="15"/>
      <c r="F345" s="15"/>
      <c r="G345" s="13"/>
      <c r="H345" s="16" t="str">
        <f t="shared" si="45"/>
        <v/>
      </c>
      <c r="I345" s="17" t="str">
        <f>IF(OR(A345="",B345=""),"",IFERROR(LOOKUP(2,1/(单次交易!$A$2:$A$201=A345),单次交易!$H$2:$H$201),0)+SUMIFS($G$2:$G$1001,$A$2:$A$1001,A345,$B$2:$B$1001,"&lt;"&amp;B345))</f>
        <v/>
      </c>
      <c r="J345" s="16" t="str">
        <f>IF(OR(A345="",B345=""),"",IFERROR(LOOKUP(2,1/(单次交易!$A$2:$A$201=A345),单次交易!$E$2:$E$201)*LOOKUP(2,1/(单次交易!$A$2:$A$201=A345),单次交易!$H$2:$H$201),0)+SUMIFS($H$2:$H$1001,$A$2:$A$1001,A345,$B$2:$B$1001,"&lt;"&amp;B345))</f>
        <v/>
      </c>
      <c r="K345" s="16" t="str">
        <f t="shared" si="46"/>
        <v/>
      </c>
      <c r="L345" s="17" t="str">
        <f t="shared" si="47"/>
        <v/>
      </c>
      <c r="M345" s="17" t="str">
        <f t="shared" si="48"/>
        <v/>
      </c>
      <c r="N345" s="17" t="str">
        <f t="shared" si="49"/>
        <v/>
      </c>
      <c r="O345" s="17" t="str">
        <f t="shared" si="50"/>
        <v/>
      </c>
      <c r="P345" s="16" t="str">
        <f t="shared" si="51"/>
        <v/>
      </c>
      <c r="Q345" s="16" t="str">
        <f t="shared" si="52"/>
        <v/>
      </c>
      <c r="R345" s="18" t="str">
        <f t="shared" si="53"/>
        <v/>
      </c>
    </row>
    <row r="346" spans="1:18">
      <c r="A346" s="12"/>
      <c r="B346" s="13"/>
      <c r="C346" s="14"/>
      <c r="D346" s="15"/>
      <c r="E346" s="15"/>
      <c r="F346" s="15"/>
      <c r="G346" s="13"/>
      <c r="H346" s="16" t="str">
        <f t="shared" si="45"/>
        <v/>
      </c>
      <c r="I346" s="17" t="str">
        <f>IF(OR(A346="",B346=""),"",IFERROR(LOOKUP(2,1/(单次交易!$A$2:$A$201=A346),单次交易!$H$2:$H$201),0)+SUMIFS($G$2:$G$1001,$A$2:$A$1001,A346,$B$2:$B$1001,"&lt;"&amp;B346))</f>
        <v/>
      </c>
      <c r="J346" s="16" t="str">
        <f>IF(OR(A346="",B346=""),"",IFERROR(LOOKUP(2,1/(单次交易!$A$2:$A$201=A346),单次交易!$E$2:$E$201)*LOOKUP(2,1/(单次交易!$A$2:$A$201=A346),单次交易!$H$2:$H$201),0)+SUMIFS($H$2:$H$1001,$A$2:$A$1001,A346,$B$2:$B$1001,"&lt;"&amp;B346))</f>
        <v/>
      </c>
      <c r="K346" s="16" t="str">
        <f t="shared" si="46"/>
        <v/>
      </c>
      <c r="L346" s="17" t="str">
        <f t="shared" si="47"/>
        <v/>
      </c>
      <c r="M346" s="17" t="str">
        <f t="shared" si="48"/>
        <v/>
      </c>
      <c r="N346" s="17" t="str">
        <f t="shared" si="49"/>
        <v/>
      </c>
      <c r="O346" s="17" t="str">
        <f t="shared" si="50"/>
        <v/>
      </c>
      <c r="P346" s="16" t="str">
        <f t="shared" si="51"/>
        <v/>
      </c>
      <c r="Q346" s="16" t="str">
        <f t="shared" si="52"/>
        <v/>
      </c>
      <c r="R346" s="18" t="str">
        <f t="shared" si="53"/>
        <v/>
      </c>
    </row>
    <row r="347" spans="1:18">
      <c r="A347" s="12"/>
      <c r="B347" s="13"/>
      <c r="C347" s="14"/>
      <c r="D347" s="15"/>
      <c r="E347" s="15"/>
      <c r="F347" s="15"/>
      <c r="G347" s="13"/>
      <c r="H347" s="16" t="str">
        <f t="shared" si="45"/>
        <v/>
      </c>
      <c r="I347" s="17" t="str">
        <f>IF(OR(A347="",B347=""),"",IFERROR(LOOKUP(2,1/(单次交易!$A$2:$A$201=A347),单次交易!$H$2:$H$201),0)+SUMIFS($G$2:$G$1001,$A$2:$A$1001,A347,$B$2:$B$1001,"&lt;"&amp;B347))</f>
        <v/>
      </c>
      <c r="J347" s="16" t="str">
        <f>IF(OR(A347="",B347=""),"",IFERROR(LOOKUP(2,1/(单次交易!$A$2:$A$201=A347),单次交易!$E$2:$E$201)*LOOKUP(2,1/(单次交易!$A$2:$A$201=A347),单次交易!$H$2:$H$201),0)+SUMIFS($H$2:$H$1001,$A$2:$A$1001,A347,$B$2:$B$1001,"&lt;"&amp;B347))</f>
        <v/>
      </c>
      <c r="K347" s="16" t="str">
        <f t="shared" si="46"/>
        <v/>
      </c>
      <c r="L347" s="17" t="str">
        <f t="shared" si="47"/>
        <v/>
      </c>
      <c r="M347" s="17" t="str">
        <f t="shared" si="48"/>
        <v/>
      </c>
      <c r="N347" s="17" t="str">
        <f t="shared" si="49"/>
        <v/>
      </c>
      <c r="O347" s="17" t="str">
        <f t="shared" si="50"/>
        <v/>
      </c>
      <c r="P347" s="16" t="str">
        <f t="shared" si="51"/>
        <v/>
      </c>
      <c r="Q347" s="16" t="str">
        <f t="shared" si="52"/>
        <v/>
      </c>
      <c r="R347" s="18" t="str">
        <f t="shared" si="53"/>
        <v/>
      </c>
    </row>
    <row r="348" spans="1:18">
      <c r="A348" s="12"/>
      <c r="B348" s="13"/>
      <c r="C348" s="14"/>
      <c r="D348" s="15"/>
      <c r="E348" s="15"/>
      <c r="F348" s="15"/>
      <c r="G348" s="13"/>
      <c r="H348" s="16" t="str">
        <f t="shared" si="45"/>
        <v/>
      </c>
      <c r="I348" s="17" t="str">
        <f>IF(OR(A348="",B348=""),"",IFERROR(LOOKUP(2,1/(单次交易!$A$2:$A$201=A348),单次交易!$H$2:$H$201),0)+SUMIFS($G$2:$G$1001,$A$2:$A$1001,A348,$B$2:$B$1001,"&lt;"&amp;B348))</f>
        <v/>
      </c>
      <c r="J348" s="16" t="str">
        <f>IF(OR(A348="",B348=""),"",IFERROR(LOOKUP(2,1/(单次交易!$A$2:$A$201=A348),单次交易!$E$2:$E$201)*LOOKUP(2,1/(单次交易!$A$2:$A$201=A348),单次交易!$H$2:$H$201),0)+SUMIFS($H$2:$H$1001,$A$2:$A$1001,A348,$B$2:$B$1001,"&lt;"&amp;B348))</f>
        <v/>
      </c>
      <c r="K348" s="16" t="str">
        <f t="shared" si="46"/>
        <v/>
      </c>
      <c r="L348" s="17" t="str">
        <f t="shared" si="47"/>
        <v/>
      </c>
      <c r="M348" s="17" t="str">
        <f t="shared" si="48"/>
        <v/>
      </c>
      <c r="N348" s="17" t="str">
        <f t="shared" si="49"/>
        <v/>
      </c>
      <c r="O348" s="17" t="str">
        <f t="shared" si="50"/>
        <v/>
      </c>
      <c r="P348" s="16" t="str">
        <f t="shared" si="51"/>
        <v/>
      </c>
      <c r="Q348" s="16" t="str">
        <f t="shared" si="52"/>
        <v/>
      </c>
      <c r="R348" s="18" t="str">
        <f t="shared" si="53"/>
        <v/>
      </c>
    </row>
    <row r="349" spans="1:18">
      <c r="A349" s="12"/>
      <c r="B349" s="13"/>
      <c r="C349" s="14"/>
      <c r="D349" s="15"/>
      <c r="E349" s="15"/>
      <c r="F349" s="15"/>
      <c r="G349" s="13"/>
      <c r="H349" s="16" t="str">
        <f t="shared" si="45"/>
        <v/>
      </c>
      <c r="I349" s="17" t="str">
        <f>IF(OR(A349="",B349=""),"",IFERROR(LOOKUP(2,1/(单次交易!$A$2:$A$201=A349),单次交易!$H$2:$H$201),0)+SUMIFS($G$2:$G$1001,$A$2:$A$1001,A349,$B$2:$B$1001,"&lt;"&amp;B349))</f>
        <v/>
      </c>
      <c r="J349" s="16" t="str">
        <f>IF(OR(A349="",B349=""),"",IFERROR(LOOKUP(2,1/(单次交易!$A$2:$A$201=A349),单次交易!$E$2:$E$201)*LOOKUP(2,1/(单次交易!$A$2:$A$201=A349),单次交易!$H$2:$H$201),0)+SUMIFS($H$2:$H$1001,$A$2:$A$1001,A349,$B$2:$B$1001,"&lt;"&amp;B349))</f>
        <v/>
      </c>
      <c r="K349" s="16" t="str">
        <f t="shared" si="46"/>
        <v/>
      </c>
      <c r="L349" s="17" t="str">
        <f t="shared" si="47"/>
        <v/>
      </c>
      <c r="M349" s="17" t="str">
        <f t="shared" si="48"/>
        <v/>
      </c>
      <c r="N349" s="17" t="str">
        <f t="shared" si="49"/>
        <v/>
      </c>
      <c r="O349" s="17" t="str">
        <f t="shared" si="50"/>
        <v/>
      </c>
      <c r="P349" s="16" t="str">
        <f t="shared" si="51"/>
        <v/>
      </c>
      <c r="Q349" s="16" t="str">
        <f t="shared" si="52"/>
        <v/>
      </c>
      <c r="R349" s="18" t="str">
        <f t="shared" si="53"/>
        <v/>
      </c>
    </row>
    <row r="350" spans="1:18">
      <c r="A350" s="12"/>
      <c r="B350" s="13"/>
      <c r="C350" s="14"/>
      <c r="D350" s="15"/>
      <c r="E350" s="15"/>
      <c r="F350" s="15"/>
      <c r="G350" s="13"/>
      <c r="H350" s="16" t="str">
        <f t="shared" si="45"/>
        <v/>
      </c>
      <c r="I350" s="17" t="str">
        <f>IF(OR(A350="",B350=""),"",IFERROR(LOOKUP(2,1/(单次交易!$A$2:$A$201=A350),单次交易!$H$2:$H$201),0)+SUMIFS($G$2:$G$1001,$A$2:$A$1001,A350,$B$2:$B$1001,"&lt;"&amp;B350))</f>
        <v/>
      </c>
      <c r="J350" s="16" t="str">
        <f>IF(OR(A350="",B350=""),"",IFERROR(LOOKUP(2,1/(单次交易!$A$2:$A$201=A350),单次交易!$E$2:$E$201)*LOOKUP(2,1/(单次交易!$A$2:$A$201=A350),单次交易!$H$2:$H$201),0)+SUMIFS($H$2:$H$1001,$A$2:$A$1001,A350,$B$2:$B$1001,"&lt;"&amp;B350))</f>
        <v/>
      </c>
      <c r="K350" s="16" t="str">
        <f t="shared" si="46"/>
        <v/>
      </c>
      <c r="L350" s="17" t="str">
        <f t="shared" si="47"/>
        <v/>
      </c>
      <c r="M350" s="17" t="str">
        <f t="shared" si="48"/>
        <v/>
      </c>
      <c r="N350" s="17" t="str">
        <f t="shared" si="49"/>
        <v/>
      </c>
      <c r="O350" s="17" t="str">
        <f t="shared" si="50"/>
        <v/>
      </c>
      <c r="P350" s="16" t="str">
        <f t="shared" si="51"/>
        <v/>
      </c>
      <c r="Q350" s="16" t="str">
        <f t="shared" si="52"/>
        <v/>
      </c>
      <c r="R350" s="18" t="str">
        <f t="shared" si="53"/>
        <v/>
      </c>
    </row>
    <row r="351" spans="1:18">
      <c r="A351" s="12"/>
      <c r="B351" s="13"/>
      <c r="C351" s="14"/>
      <c r="D351" s="15"/>
      <c r="E351" s="15"/>
      <c r="F351" s="15"/>
      <c r="G351" s="13"/>
      <c r="H351" s="16" t="str">
        <f t="shared" si="45"/>
        <v/>
      </c>
      <c r="I351" s="17" t="str">
        <f>IF(OR(A351="",B351=""),"",IFERROR(LOOKUP(2,1/(单次交易!$A$2:$A$201=A351),单次交易!$H$2:$H$201),0)+SUMIFS($G$2:$G$1001,$A$2:$A$1001,A351,$B$2:$B$1001,"&lt;"&amp;B351))</f>
        <v/>
      </c>
      <c r="J351" s="16" t="str">
        <f>IF(OR(A351="",B351=""),"",IFERROR(LOOKUP(2,1/(单次交易!$A$2:$A$201=A351),单次交易!$E$2:$E$201)*LOOKUP(2,1/(单次交易!$A$2:$A$201=A351),单次交易!$H$2:$H$201),0)+SUMIFS($H$2:$H$1001,$A$2:$A$1001,A351,$B$2:$B$1001,"&lt;"&amp;B351))</f>
        <v/>
      </c>
      <c r="K351" s="16" t="str">
        <f t="shared" si="46"/>
        <v/>
      </c>
      <c r="L351" s="17" t="str">
        <f t="shared" si="47"/>
        <v/>
      </c>
      <c r="M351" s="17" t="str">
        <f t="shared" si="48"/>
        <v/>
      </c>
      <c r="N351" s="17" t="str">
        <f t="shared" si="49"/>
        <v/>
      </c>
      <c r="O351" s="17" t="str">
        <f t="shared" si="50"/>
        <v/>
      </c>
      <c r="P351" s="16" t="str">
        <f t="shared" si="51"/>
        <v/>
      </c>
      <c r="Q351" s="16" t="str">
        <f t="shared" si="52"/>
        <v/>
      </c>
      <c r="R351" s="18" t="str">
        <f t="shared" si="53"/>
        <v/>
      </c>
    </row>
    <row r="352" spans="1:18">
      <c r="A352" s="12"/>
      <c r="B352" s="13"/>
      <c r="C352" s="14"/>
      <c r="D352" s="15"/>
      <c r="E352" s="15"/>
      <c r="F352" s="15"/>
      <c r="G352" s="13"/>
      <c r="H352" s="16" t="str">
        <f t="shared" si="45"/>
        <v/>
      </c>
      <c r="I352" s="17" t="str">
        <f>IF(OR(A352="",B352=""),"",IFERROR(LOOKUP(2,1/(单次交易!$A$2:$A$201=A352),单次交易!$H$2:$H$201),0)+SUMIFS($G$2:$G$1001,$A$2:$A$1001,A352,$B$2:$B$1001,"&lt;"&amp;B352))</f>
        <v/>
      </c>
      <c r="J352" s="16" t="str">
        <f>IF(OR(A352="",B352=""),"",IFERROR(LOOKUP(2,1/(单次交易!$A$2:$A$201=A352),单次交易!$E$2:$E$201)*LOOKUP(2,1/(单次交易!$A$2:$A$201=A352),单次交易!$H$2:$H$201),0)+SUMIFS($H$2:$H$1001,$A$2:$A$1001,A352,$B$2:$B$1001,"&lt;"&amp;B352))</f>
        <v/>
      </c>
      <c r="K352" s="16" t="str">
        <f t="shared" si="46"/>
        <v/>
      </c>
      <c r="L352" s="17" t="str">
        <f t="shared" si="47"/>
        <v/>
      </c>
      <c r="M352" s="17" t="str">
        <f t="shared" si="48"/>
        <v/>
      </c>
      <c r="N352" s="17" t="str">
        <f t="shared" si="49"/>
        <v/>
      </c>
      <c r="O352" s="17" t="str">
        <f t="shared" si="50"/>
        <v/>
      </c>
      <c r="P352" s="16" t="str">
        <f t="shared" si="51"/>
        <v/>
      </c>
      <c r="Q352" s="16" t="str">
        <f t="shared" si="52"/>
        <v/>
      </c>
      <c r="R352" s="18" t="str">
        <f t="shared" si="53"/>
        <v/>
      </c>
    </row>
    <row r="353" spans="1:18">
      <c r="A353" s="12"/>
      <c r="B353" s="13"/>
      <c r="C353" s="14"/>
      <c r="D353" s="15"/>
      <c r="E353" s="15"/>
      <c r="F353" s="15"/>
      <c r="G353" s="13"/>
      <c r="H353" s="16" t="str">
        <f t="shared" si="45"/>
        <v/>
      </c>
      <c r="I353" s="17" t="str">
        <f>IF(OR(A353="",B353=""),"",IFERROR(LOOKUP(2,1/(单次交易!$A$2:$A$201=A353),单次交易!$H$2:$H$201),0)+SUMIFS($G$2:$G$1001,$A$2:$A$1001,A353,$B$2:$B$1001,"&lt;"&amp;B353))</f>
        <v/>
      </c>
      <c r="J353" s="16" t="str">
        <f>IF(OR(A353="",B353=""),"",IFERROR(LOOKUP(2,1/(单次交易!$A$2:$A$201=A353),单次交易!$E$2:$E$201)*LOOKUP(2,1/(单次交易!$A$2:$A$201=A353),单次交易!$H$2:$H$201),0)+SUMIFS($H$2:$H$1001,$A$2:$A$1001,A353,$B$2:$B$1001,"&lt;"&amp;B353))</f>
        <v/>
      </c>
      <c r="K353" s="16" t="str">
        <f t="shared" si="46"/>
        <v/>
      </c>
      <c r="L353" s="17" t="str">
        <f t="shared" si="47"/>
        <v/>
      </c>
      <c r="M353" s="17" t="str">
        <f t="shared" si="48"/>
        <v/>
      </c>
      <c r="N353" s="17" t="str">
        <f t="shared" si="49"/>
        <v/>
      </c>
      <c r="O353" s="17" t="str">
        <f t="shared" si="50"/>
        <v/>
      </c>
      <c r="P353" s="16" t="str">
        <f t="shared" si="51"/>
        <v/>
      </c>
      <c r="Q353" s="16" t="str">
        <f t="shared" si="52"/>
        <v/>
      </c>
      <c r="R353" s="18" t="str">
        <f t="shared" si="53"/>
        <v/>
      </c>
    </row>
    <row r="354" spans="1:18">
      <c r="A354" s="12"/>
      <c r="B354" s="13"/>
      <c r="C354" s="14"/>
      <c r="D354" s="15"/>
      <c r="E354" s="15"/>
      <c r="F354" s="15"/>
      <c r="G354" s="13"/>
      <c r="H354" s="16" t="str">
        <f t="shared" si="45"/>
        <v/>
      </c>
      <c r="I354" s="17" t="str">
        <f>IF(OR(A354="",B354=""),"",IFERROR(LOOKUP(2,1/(单次交易!$A$2:$A$201=A354),单次交易!$H$2:$H$201),0)+SUMIFS($G$2:$G$1001,$A$2:$A$1001,A354,$B$2:$B$1001,"&lt;"&amp;B354))</f>
        <v/>
      </c>
      <c r="J354" s="16" t="str">
        <f>IF(OR(A354="",B354=""),"",IFERROR(LOOKUP(2,1/(单次交易!$A$2:$A$201=A354),单次交易!$E$2:$E$201)*LOOKUP(2,1/(单次交易!$A$2:$A$201=A354),单次交易!$H$2:$H$201),0)+SUMIFS($H$2:$H$1001,$A$2:$A$1001,A354,$B$2:$B$1001,"&lt;"&amp;B354))</f>
        <v/>
      </c>
      <c r="K354" s="16" t="str">
        <f t="shared" si="46"/>
        <v/>
      </c>
      <c r="L354" s="17" t="str">
        <f t="shared" si="47"/>
        <v/>
      </c>
      <c r="M354" s="17" t="str">
        <f t="shared" si="48"/>
        <v/>
      </c>
      <c r="N354" s="17" t="str">
        <f t="shared" si="49"/>
        <v/>
      </c>
      <c r="O354" s="17" t="str">
        <f t="shared" si="50"/>
        <v/>
      </c>
      <c r="P354" s="16" t="str">
        <f t="shared" si="51"/>
        <v/>
      </c>
      <c r="Q354" s="16" t="str">
        <f t="shared" si="52"/>
        <v/>
      </c>
      <c r="R354" s="18" t="str">
        <f t="shared" si="53"/>
        <v/>
      </c>
    </row>
    <row r="355" spans="1:18">
      <c r="A355" s="12"/>
      <c r="B355" s="13"/>
      <c r="C355" s="14"/>
      <c r="D355" s="15"/>
      <c r="E355" s="15"/>
      <c r="F355" s="15"/>
      <c r="G355" s="13"/>
      <c r="H355" s="16" t="str">
        <f t="shared" si="45"/>
        <v/>
      </c>
      <c r="I355" s="17" t="str">
        <f>IF(OR(A355="",B355=""),"",IFERROR(LOOKUP(2,1/(单次交易!$A$2:$A$201=A355),单次交易!$H$2:$H$201),0)+SUMIFS($G$2:$G$1001,$A$2:$A$1001,A355,$B$2:$B$1001,"&lt;"&amp;B355))</f>
        <v/>
      </c>
      <c r="J355" s="16" t="str">
        <f>IF(OR(A355="",B355=""),"",IFERROR(LOOKUP(2,1/(单次交易!$A$2:$A$201=A355),单次交易!$E$2:$E$201)*LOOKUP(2,1/(单次交易!$A$2:$A$201=A355),单次交易!$H$2:$H$201),0)+SUMIFS($H$2:$H$1001,$A$2:$A$1001,A355,$B$2:$B$1001,"&lt;"&amp;B355))</f>
        <v/>
      </c>
      <c r="K355" s="16" t="str">
        <f t="shared" si="46"/>
        <v/>
      </c>
      <c r="L355" s="17" t="str">
        <f t="shared" si="47"/>
        <v/>
      </c>
      <c r="M355" s="17" t="str">
        <f t="shared" si="48"/>
        <v/>
      </c>
      <c r="N355" s="17" t="str">
        <f t="shared" si="49"/>
        <v/>
      </c>
      <c r="O355" s="17" t="str">
        <f t="shared" si="50"/>
        <v/>
      </c>
      <c r="P355" s="16" t="str">
        <f t="shared" si="51"/>
        <v/>
      </c>
      <c r="Q355" s="16" t="str">
        <f t="shared" si="52"/>
        <v/>
      </c>
      <c r="R355" s="18" t="str">
        <f t="shared" si="53"/>
        <v/>
      </c>
    </row>
    <row r="356" spans="1:18">
      <c r="A356" s="12"/>
      <c r="B356" s="13"/>
      <c r="C356" s="14"/>
      <c r="D356" s="15"/>
      <c r="E356" s="15"/>
      <c r="F356" s="15"/>
      <c r="G356" s="13"/>
      <c r="H356" s="16" t="str">
        <f t="shared" si="45"/>
        <v/>
      </c>
      <c r="I356" s="17" t="str">
        <f>IF(OR(A356="",B356=""),"",IFERROR(LOOKUP(2,1/(单次交易!$A$2:$A$201=A356),单次交易!$H$2:$H$201),0)+SUMIFS($G$2:$G$1001,$A$2:$A$1001,A356,$B$2:$B$1001,"&lt;"&amp;B356))</f>
        <v/>
      </c>
      <c r="J356" s="16" t="str">
        <f>IF(OR(A356="",B356=""),"",IFERROR(LOOKUP(2,1/(单次交易!$A$2:$A$201=A356),单次交易!$E$2:$E$201)*LOOKUP(2,1/(单次交易!$A$2:$A$201=A356),单次交易!$H$2:$H$201),0)+SUMIFS($H$2:$H$1001,$A$2:$A$1001,A356,$B$2:$B$1001,"&lt;"&amp;B356))</f>
        <v/>
      </c>
      <c r="K356" s="16" t="str">
        <f t="shared" si="46"/>
        <v/>
      </c>
      <c r="L356" s="17" t="str">
        <f t="shared" si="47"/>
        <v/>
      </c>
      <c r="M356" s="17" t="str">
        <f t="shared" si="48"/>
        <v/>
      </c>
      <c r="N356" s="17" t="str">
        <f t="shared" si="49"/>
        <v/>
      </c>
      <c r="O356" s="17" t="str">
        <f t="shared" si="50"/>
        <v/>
      </c>
      <c r="P356" s="16" t="str">
        <f t="shared" si="51"/>
        <v/>
      </c>
      <c r="Q356" s="16" t="str">
        <f t="shared" si="52"/>
        <v/>
      </c>
      <c r="R356" s="18" t="str">
        <f t="shared" si="53"/>
        <v/>
      </c>
    </row>
    <row r="357" spans="1:18">
      <c r="A357" s="12"/>
      <c r="B357" s="13"/>
      <c r="C357" s="14"/>
      <c r="D357" s="15"/>
      <c r="E357" s="15"/>
      <c r="F357" s="15"/>
      <c r="G357" s="13"/>
      <c r="H357" s="16" t="str">
        <f t="shared" si="45"/>
        <v/>
      </c>
      <c r="I357" s="17" t="str">
        <f>IF(OR(A357="",B357=""),"",IFERROR(LOOKUP(2,1/(单次交易!$A$2:$A$201=A357),单次交易!$H$2:$H$201),0)+SUMIFS($G$2:$G$1001,$A$2:$A$1001,A357,$B$2:$B$1001,"&lt;"&amp;B357))</f>
        <v/>
      </c>
      <c r="J357" s="16" t="str">
        <f>IF(OR(A357="",B357=""),"",IFERROR(LOOKUP(2,1/(单次交易!$A$2:$A$201=A357),单次交易!$E$2:$E$201)*LOOKUP(2,1/(单次交易!$A$2:$A$201=A357),单次交易!$H$2:$H$201),0)+SUMIFS($H$2:$H$1001,$A$2:$A$1001,A357,$B$2:$B$1001,"&lt;"&amp;B357))</f>
        <v/>
      </c>
      <c r="K357" s="16" t="str">
        <f t="shared" si="46"/>
        <v/>
      </c>
      <c r="L357" s="17" t="str">
        <f t="shared" si="47"/>
        <v/>
      </c>
      <c r="M357" s="17" t="str">
        <f t="shared" si="48"/>
        <v/>
      </c>
      <c r="N357" s="17" t="str">
        <f t="shared" si="49"/>
        <v/>
      </c>
      <c r="O357" s="17" t="str">
        <f t="shared" si="50"/>
        <v/>
      </c>
      <c r="P357" s="16" t="str">
        <f t="shared" si="51"/>
        <v/>
      </c>
      <c r="Q357" s="16" t="str">
        <f t="shared" si="52"/>
        <v/>
      </c>
      <c r="R357" s="18" t="str">
        <f t="shared" si="53"/>
        <v/>
      </c>
    </row>
    <row r="358" spans="1:18">
      <c r="A358" s="12"/>
      <c r="B358" s="13"/>
      <c r="C358" s="14"/>
      <c r="D358" s="15"/>
      <c r="E358" s="15"/>
      <c r="F358" s="15"/>
      <c r="G358" s="13"/>
      <c r="H358" s="16" t="str">
        <f t="shared" si="45"/>
        <v/>
      </c>
      <c r="I358" s="17" t="str">
        <f>IF(OR(A358="",B358=""),"",IFERROR(LOOKUP(2,1/(单次交易!$A$2:$A$201=A358),单次交易!$H$2:$H$201),0)+SUMIFS($G$2:$G$1001,$A$2:$A$1001,A358,$B$2:$B$1001,"&lt;"&amp;B358))</f>
        <v/>
      </c>
      <c r="J358" s="16" t="str">
        <f>IF(OR(A358="",B358=""),"",IFERROR(LOOKUP(2,1/(单次交易!$A$2:$A$201=A358),单次交易!$E$2:$E$201)*LOOKUP(2,1/(单次交易!$A$2:$A$201=A358),单次交易!$H$2:$H$201),0)+SUMIFS($H$2:$H$1001,$A$2:$A$1001,A358,$B$2:$B$1001,"&lt;"&amp;B358))</f>
        <v/>
      </c>
      <c r="K358" s="16" t="str">
        <f t="shared" si="46"/>
        <v/>
      </c>
      <c r="L358" s="17" t="str">
        <f t="shared" si="47"/>
        <v/>
      </c>
      <c r="M358" s="17" t="str">
        <f t="shared" si="48"/>
        <v/>
      </c>
      <c r="N358" s="17" t="str">
        <f t="shared" si="49"/>
        <v/>
      </c>
      <c r="O358" s="17" t="str">
        <f t="shared" si="50"/>
        <v/>
      </c>
      <c r="P358" s="16" t="str">
        <f t="shared" si="51"/>
        <v/>
      </c>
      <c r="Q358" s="16" t="str">
        <f t="shared" si="52"/>
        <v/>
      </c>
      <c r="R358" s="18" t="str">
        <f t="shared" si="53"/>
        <v/>
      </c>
    </row>
    <row r="359" spans="1:18">
      <c r="A359" s="12"/>
      <c r="B359" s="13"/>
      <c r="C359" s="14"/>
      <c r="D359" s="15"/>
      <c r="E359" s="15"/>
      <c r="F359" s="15"/>
      <c r="G359" s="13"/>
      <c r="H359" s="16" t="str">
        <f t="shared" si="45"/>
        <v/>
      </c>
      <c r="I359" s="17" t="str">
        <f>IF(OR(A359="",B359=""),"",IFERROR(LOOKUP(2,1/(单次交易!$A$2:$A$201=A359),单次交易!$H$2:$H$201),0)+SUMIFS($G$2:$G$1001,$A$2:$A$1001,A359,$B$2:$B$1001,"&lt;"&amp;B359))</f>
        <v/>
      </c>
      <c r="J359" s="16" t="str">
        <f>IF(OR(A359="",B359=""),"",IFERROR(LOOKUP(2,1/(单次交易!$A$2:$A$201=A359),单次交易!$E$2:$E$201)*LOOKUP(2,1/(单次交易!$A$2:$A$201=A359),单次交易!$H$2:$H$201),0)+SUMIFS($H$2:$H$1001,$A$2:$A$1001,A359,$B$2:$B$1001,"&lt;"&amp;B359))</f>
        <v/>
      </c>
      <c r="K359" s="16" t="str">
        <f t="shared" si="46"/>
        <v/>
      </c>
      <c r="L359" s="17" t="str">
        <f t="shared" si="47"/>
        <v/>
      </c>
      <c r="M359" s="17" t="str">
        <f t="shared" si="48"/>
        <v/>
      </c>
      <c r="N359" s="17" t="str">
        <f t="shared" si="49"/>
        <v/>
      </c>
      <c r="O359" s="17" t="str">
        <f t="shared" si="50"/>
        <v/>
      </c>
      <c r="P359" s="16" t="str">
        <f t="shared" si="51"/>
        <v/>
      </c>
      <c r="Q359" s="16" t="str">
        <f t="shared" si="52"/>
        <v/>
      </c>
      <c r="R359" s="18" t="str">
        <f t="shared" si="53"/>
        <v/>
      </c>
    </row>
    <row r="360" spans="1:18">
      <c r="A360" s="12"/>
      <c r="B360" s="13"/>
      <c r="C360" s="14"/>
      <c r="D360" s="15"/>
      <c r="E360" s="15"/>
      <c r="F360" s="15"/>
      <c r="G360" s="13"/>
      <c r="H360" s="16" t="str">
        <f t="shared" si="45"/>
        <v/>
      </c>
      <c r="I360" s="17" t="str">
        <f>IF(OR(A360="",B360=""),"",IFERROR(LOOKUP(2,1/(单次交易!$A$2:$A$201=A360),单次交易!$H$2:$H$201),0)+SUMIFS($G$2:$G$1001,$A$2:$A$1001,A360,$B$2:$B$1001,"&lt;"&amp;B360))</f>
        <v/>
      </c>
      <c r="J360" s="16" t="str">
        <f>IF(OR(A360="",B360=""),"",IFERROR(LOOKUP(2,1/(单次交易!$A$2:$A$201=A360),单次交易!$E$2:$E$201)*LOOKUP(2,1/(单次交易!$A$2:$A$201=A360),单次交易!$H$2:$H$201),0)+SUMIFS($H$2:$H$1001,$A$2:$A$1001,A360,$B$2:$B$1001,"&lt;"&amp;B360))</f>
        <v/>
      </c>
      <c r="K360" s="16" t="str">
        <f t="shared" si="46"/>
        <v/>
      </c>
      <c r="L360" s="17" t="str">
        <f t="shared" si="47"/>
        <v/>
      </c>
      <c r="M360" s="17" t="str">
        <f t="shared" si="48"/>
        <v/>
      </c>
      <c r="N360" s="17" t="str">
        <f t="shared" si="49"/>
        <v/>
      </c>
      <c r="O360" s="17" t="str">
        <f t="shared" si="50"/>
        <v/>
      </c>
      <c r="P360" s="16" t="str">
        <f t="shared" si="51"/>
        <v/>
      </c>
      <c r="Q360" s="16" t="str">
        <f t="shared" si="52"/>
        <v/>
      </c>
      <c r="R360" s="18" t="str">
        <f t="shared" si="53"/>
        <v/>
      </c>
    </row>
    <row r="361" spans="1:18">
      <c r="A361" s="12"/>
      <c r="B361" s="13"/>
      <c r="C361" s="14"/>
      <c r="D361" s="15"/>
      <c r="E361" s="15"/>
      <c r="F361" s="15"/>
      <c r="G361" s="13"/>
      <c r="H361" s="16" t="str">
        <f t="shared" si="45"/>
        <v/>
      </c>
      <c r="I361" s="17" t="str">
        <f>IF(OR(A361="",B361=""),"",IFERROR(LOOKUP(2,1/(单次交易!$A$2:$A$201=A361),单次交易!$H$2:$H$201),0)+SUMIFS($G$2:$G$1001,$A$2:$A$1001,A361,$B$2:$B$1001,"&lt;"&amp;B361))</f>
        <v/>
      </c>
      <c r="J361" s="16" t="str">
        <f>IF(OR(A361="",B361=""),"",IFERROR(LOOKUP(2,1/(单次交易!$A$2:$A$201=A361),单次交易!$E$2:$E$201)*LOOKUP(2,1/(单次交易!$A$2:$A$201=A361),单次交易!$H$2:$H$201),0)+SUMIFS($H$2:$H$1001,$A$2:$A$1001,A361,$B$2:$B$1001,"&lt;"&amp;B361))</f>
        <v/>
      </c>
      <c r="K361" s="16" t="str">
        <f t="shared" si="46"/>
        <v/>
      </c>
      <c r="L361" s="17" t="str">
        <f t="shared" si="47"/>
        <v/>
      </c>
      <c r="M361" s="17" t="str">
        <f t="shared" si="48"/>
        <v/>
      </c>
      <c r="N361" s="17" t="str">
        <f t="shared" si="49"/>
        <v/>
      </c>
      <c r="O361" s="17" t="str">
        <f t="shared" si="50"/>
        <v/>
      </c>
      <c r="P361" s="16" t="str">
        <f t="shared" si="51"/>
        <v/>
      </c>
      <c r="Q361" s="16" t="str">
        <f t="shared" si="52"/>
        <v/>
      </c>
      <c r="R361" s="18" t="str">
        <f t="shared" si="53"/>
        <v/>
      </c>
    </row>
    <row r="362" spans="1:18">
      <c r="A362" s="12"/>
      <c r="B362" s="13"/>
      <c r="C362" s="14"/>
      <c r="D362" s="15"/>
      <c r="E362" s="15"/>
      <c r="F362" s="15"/>
      <c r="G362" s="13"/>
      <c r="H362" s="16" t="str">
        <f t="shared" si="45"/>
        <v/>
      </c>
      <c r="I362" s="17" t="str">
        <f>IF(OR(A362="",B362=""),"",IFERROR(LOOKUP(2,1/(单次交易!$A$2:$A$201=A362),单次交易!$H$2:$H$201),0)+SUMIFS($G$2:$G$1001,$A$2:$A$1001,A362,$B$2:$B$1001,"&lt;"&amp;B362))</f>
        <v/>
      </c>
      <c r="J362" s="16" t="str">
        <f>IF(OR(A362="",B362=""),"",IFERROR(LOOKUP(2,1/(单次交易!$A$2:$A$201=A362),单次交易!$E$2:$E$201)*LOOKUP(2,1/(单次交易!$A$2:$A$201=A362),单次交易!$H$2:$H$201),0)+SUMIFS($H$2:$H$1001,$A$2:$A$1001,A362,$B$2:$B$1001,"&lt;"&amp;B362))</f>
        <v/>
      </c>
      <c r="K362" s="16" t="str">
        <f t="shared" si="46"/>
        <v/>
      </c>
      <c r="L362" s="17" t="str">
        <f t="shared" si="47"/>
        <v/>
      </c>
      <c r="M362" s="17" t="str">
        <f t="shared" si="48"/>
        <v/>
      </c>
      <c r="N362" s="17" t="str">
        <f t="shared" si="49"/>
        <v/>
      </c>
      <c r="O362" s="17" t="str">
        <f t="shared" si="50"/>
        <v/>
      </c>
      <c r="P362" s="16" t="str">
        <f t="shared" si="51"/>
        <v/>
      </c>
      <c r="Q362" s="16" t="str">
        <f t="shared" si="52"/>
        <v/>
      </c>
      <c r="R362" s="18" t="str">
        <f t="shared" si="53"/>
        <v/>
      </c>
    </row>
    <row r="363" spans="1:18">
      <c r="A363" s="12"/>
      <c r="B363" s="13"/>
      <c r="C363" s="14"/>
      <c r="D363" s="15"/>
      <c r="E363" s="15"/>
      <c r="F363" s="15"/>
      <c r="G363" s="13"/>
      <c r="H363" s="16" t="str">
        <f t="shared" si="45"/>
        <v/>
      </c>
      <c r="I363" s="17" t="str">
        <f>IF(OR(A363="",B363=""),"",IFERROR(LOOKUP(2,1/(单次交易!$A$2:$A$201=A363),单次交易!$H$2:$H$201),0)+SUMIFS($G$2:$G$1001,$A$2:$A$1001,A363,$B$2:$B$1001,"&lt;"&amp;B363))</f>
        <v/>
      </c>
      <c r="J363" s="16" t="str">
        <f>IF(OR(A363="",B363=""),"",IFERROR(LOOKUP(2,1/(单次交易!$A$2:$A$201=A363),单次交易!$E$2:$E$201)*LOOKUP(2,1/(单次交易!$A$2:$A$201=A363),单次交易!$H$2:$H$201),0)+SUMIFS($H$2:$H$1001,$A$2:$A$1001,A363,$B$2:$B$1001,"&lt;"&amp;B363))</f>
        <v/>
      </c>
      <c r="K363" s="16" t="str">
        <f t="shared" si="46"/>
        <v/>
      </c>
      <c r="L363" s="17" t="str">
        <f t="shared" si="47"/>
        <v/>
      </c>
      <c r="M363" s="17" t="str">
        <f t="shared" si="48"/>
        <v/>
      </c>
      <c r="N363" s="17" t="str">
        <f t="shared" si="49"/>
        <v/>
      </c>
      <c r="O363" s="17" t="str">
        <f t="shared" si="50"/>
        <v/>
      </c>
      <c r="P363" s="16" t="str">
        <f t="shared" si="51"/>
        <v/>
      </c>
      <c r="Q363" s="16" t="str">
        <f t="shared" si="52"/>
        <v/>
      </c>
      <c r="R363" s="18" t="str">
        <f t="shared" si="53"/>
        <v/>
      </c>
    </row>
    <row r="364" spans="1:18">
      <c r="A364" s="12"/>
      <c r="B364" s="13"/>
      <c r="C364" s="14"/>
      <c r="D364" s="15"/>
      <c r="E364" s="15"/>
      <c r="F364" s="15"/>
      <c r="G364" s="13"/>
      <c r="H364" s="16" t="str">
        <f t="shared" si="45"/>
        <v/>
      </c>
      <c r="I364" s="17" t="str">
        <f>IF(OR(A364="",B364=""),"",IFERROR(LOOKUP(2,1/(单次交易!$A$2:$A$201=A364),单次交易!$H$2:$H$201),0)+SUMIFS($G$2:$G$1001,$A$2:$A$1001,A364,$B$2:$B$1001,"&lt;"&amp;B364))</f>
        <v/>
      </c>
      <c r="J364" s="16" t="str">
        <f>IF(OR(A364="",B364=""),"",IFERROR(LOOKUP(2,1/(单次交易!$A$2:$A$201=A364),单次交易!$E$2:$E$201)*LOOKUP(2,1/(单次交易!$A$2:$A$201=A364),单次交易!$H$2:$H$201),0)+SUMIFS($H$2:$H$1001,$A$2:$A$1001,A364,$B$2:$B$1001,"&lt;"&amp;B364))</f>
        <v/>
      </c>
      <c r="K364" s="16" t="str">
        <f t="shared" si="46"/>
        <v/>
      </c>
      <c r="L364" s="17" t="str">
        <f t="shared" si="47"/>
        <v/>
      </c>
      <c r="M364" s="17" t="str">
        <f t="shared" si="48"/>
        <v/>
      </c>
      <c r="N364" s="17" t="str">
        <f t="shared" si="49"/>
        <v/>
      </c>
      <c r="O364" s="17" t="str">
        <f t="shared" si="50"/>
        <v/>
      </c>
      <c r="P364" s="16" t="str">
        <f t="shared" si="51"/>
        <v/>
      </c>
      <c r="Q364" s="16" t="str">
        <f t="shared" si="52"/>
        <v/>
      </c>
      <c r="R364" s="18" t="str">
        <f t="shared" si="53"/>
        <v/>
      </c>
    </row>
    <row r="365" spans="1:18">
      <c r="A365" s="12"/>
      <c r="B365" s="13"/>
      <c r="C365" s="14"/>
      <c r="D365" s="15"/>
      <c r="E365" s="15"/>
      <c r="F365" s="15"/>
      <c r="G365" s="13"/>
      <c r="H365" s="16" t="str">
        <f t="shared" si="45"/>
        <v/>
      </c>
      <c r="I365" s="17" t="str">
        <f>IF(OR(A365="",B365=""),"",IFERROR(LOOKUP(2,1/(单次交易!$A$2:$A$201=A365),单次交易!$H$2:$H$201),0)+SUMIFS($G$2:$G$1001,$A$2:$A$1001,A365,$B$2:$B$1001,"&lt;"&amp;B365))</f>
        <v/>
      </c>
      <c r="J365" s="16" t="str">
        <f>IF(OR(A365="",B365=""),"",IFERROR(LOOKUP(2,1/(单次交易!$A$2:$A$201=A365),单次交易!$E$2:$E$201)*LOOKUP(2,1/(单次交易!$A$2:$A$201=A365),单次交易!$H$2:$H$201),0)+SUMIFS($H$2:$H$1001,$A$2:$A$1001,A365,$B$2:$B$1001,"&lt;"&amp;B365))</f>
        <v/>
      </c>
      <c r="K365" s="16" t="str">
        <f t="shared" si="46"/>
        <v/>
      </c>
      <c r="L365" s="17" t="str">
        <f t="shared" si="47"/>
        <v/>
      </c>
      <c r="M365" s="17" t="str">
        <f t="shared" si="48"/>
        <v/>
      </c>
      <c r="N365" s="17" t="str">
        <f t="shared" si="49"/>
        <v/>
      </c>
      <c r="O365" s="17" t="str">
        <f t="shared" si="50"/>
        <v/>
      </c>
      <c r="P365" s="16" t="str">
        <f t="shared" si="51"/>
        <v/>
      </c>
      <c r="Q365" s="16" t="str">
        <f t="shared" si="52"/>
        <v/>
      </c>
      <c r="R365" s="18" t="str">
        <f t="shared" si="53"/>
        <v/>
      </c>
    </row>
    <row r="366" spans="1:18">
      <c r="A366" s="12"/>
      <c r="B366" s="13"/>
      <c r="C366" s="14"/>
      <c r="D366" s="15"/>
      <c r="E366" s="15"/>
      <c r="F366" s="15"/>
      <c r="G366" s="13"/>
      <c r="H366" s="16" t="str">
        <f t="shared" si="45"/>
        <v/>
      </c>
      <c r="I366" s="17" t="str">
        <f>IF(OR(A366="",B366=""),"",IFERROR(LOOKUP(2,1/(单次交易!$A$2:$A$201=A366),单次交易!$H$2:$H$201),0)+SUMIFS($G$2:$G$1001,$A$2:$A$1001,A366,$B$2:$B$1001,"&lt;"&amp;B366))</f>
        <v/>
      </c>
      <c r="J366" s="16" t="str">
        <f>IF(OR(A366="",B366=""),"",IFERROR(LOOKUP(2,1/(单次交易!$A$2:$A$201=A366),单次交易!$E$2:$E$201)*LOOKUP(2,1/(单次交易!$A$2:$A$201=A366),单次交易!$H$2:$H$201),0)+SUMIFS($H$2:$H$1001,$A$2:$A$1001,A366,$B$2:$B$1001,"&lt;"&amp;B366))</f>
        <v/>
      </c>
      <c r="K366" s="16" t="str">
        <f t="shared" si="46"/>
        <v/>
      </c>
      <c r="L366" s="17" t="str">
        <f t="shared" si="47"/>
        <v/>
      </c>
      <c r="M366" s="17" t="str">
        <f t="shared" si="48"/>
        <v/>
      </c>
      <c r="N366" s="17" t="str">
        <f t="shared" si="49"/>
        <v/>
      </c>
      <c r="O366" s="17" t="str">
        <f t="shared" si="50"/>
        <v/>
      </c>
      <c r="P366" s="16" t="str">
        <f t="shared" si="51"/>
        <v/>
      </c>
      <c r="Q366" s="16" t="str">
        <f t="shared" si="52"/>
        <v/>
      </c>
      <c r="R366" s="18" t="str">
        <f t="shared" si="53"/>
        <v/>
      </c>
    </row>
    <row r="367" spans="1:18">
      <c r="A367" s="12"/>
      <c r="B367" s="13"/>
      <c r="C367" s="14"/>
      <c r="D367" s="15"/>
      <c r="E367" s="15"/>
      <c r="F367" s="15"/>
      <c r="G367" s="13"/>
      <c r="H367" s="16" t="str">
        <f t="shared" si="45"/>
        <v/>
      </c>
      <c r="I367" s="17" t="str">
        <f>IF(OR(A367="",B367=""),"",IFERROR(LOOKUP(2,1/(单次交易!$A$2:$A$201=A367),单次交易!$H$2:$H$201),0)+SUMIFS($G$2:$G$1001,$A$2:$A$1001,A367,$B$2:$B$1001,"&lt;"&amp;B367))</f>
        <v/>
      </c>
      <c r="J367" s="16" t="str">
        <f>IF(OR(A367="",B367=""),"",IFERROR(LOOKUP(2,1/(单次交易!$A$2:$A$201=A367),单次交易!$E$2:$E$201)*LOOKUP(2,1/(单次交易!$A$2:$A$201=A367),单次交易!$H$2:$H$201),0)+SUMIFS($H$2:$H$1001,$A$2:$A$1001,A367,$B$2:$B$1001,"&lt;"&amp;B367))</f>
        <v/>
      </c>
      <c r="K367" s="16" t="str">
        <f t="shared" si="46"/>
        <v/>
      </c>
      <c r="L367" s="17" t="str">
        <f t="shared" si="47"/>
        <v/>
      </c>
      <c r="M367" s="17" t="str">
        <f t="shared" si="48"/>
        <v/>
      </c>
      <c r="N367" s="17" t="str">
        <f t="shared" si="49"/>
        <v/>
      </c>
      <c r="O367" s="17" t="str">
        <f t="shared" si="50"/>
        <v/>
      </c>
      <c r="P367" s="16" t="str">
        <f t="shared" si="51"/>
        <v/>
      </c>
      <c r="Q367" s="16" t="str">
        <f t="shared" si="52"/>
        <v/>
      </c>
      <c r="R367" s="18" t="str">
        <f t="shared" si="53"/>
        <v/>
      </c>
    </row>
    <row r="368" spans="1:18">
      <c r="A368" s="12"/>
      <c r="B368" s="13"/>
      <c r="C368" s="14"/>
      <c r="D368" s="15"/>
      <c r="E368" s="15"/>
      <c r="F368" s="15"/>
      <c r="G368" s="13"/>
      <c r="H368" s="16" t="str">
        <f t="shared" si="45"/>
        <v/>
      </c>
      <c r="I368" s="17" t="str">
        <f>IF(OR(A368="",B368=""),"",IFERROR(LOOKUP(2,1/(单次交易!$A$2:$A$201=A368),单次交易!$H$2:$H$201),0)+SUMIFS($G$2:$G$1001,$A$2:$A$1001,A368,$B$2:$B$1001,"&lt;"&amp;B368))</f>
        <v/>
      </c>
      <c r="J368" s="16" t="str">
        <f>IF(OR(A368="",B368=""),"",IFERROR(LOOKUP(2,1/(单次交易!$A$2:$A$201=A368),单次交易!$E$2:$E$201)*LOOKUP(2,1/(单次交易!$A$2:$A$201=A368),单次交易!$H$2:$H$201),0)+SUMIFS($H$2:$H$1001,$A$2:$A$1001,A368,$B$2:$B$1001,"&lt;"&amp;B368))</f>
        <v/>
      </c>
      <c r="K368" s="16" t="str">
        <f t="shared" si="46"/>
        <v/>
      </c>
      <c r="L368" s="17" t="str">
        <f t="shared" si="47"/>
        <v/>
      </c>
      <c r="M368" s="17" t="str">
        <f t="shared" si="48"/>
        <v/>
      </c>
      <c r="N368" s="17" t="str">
        <f t="shared" si="49"/>
        <v/>
      </c>
      <c r="O368" s="17" t="str">
        <f t="shared" si="50"/>
        <v/>
      </c>
      <c r="P368" s="16" t="str">
        <f t="shared" si="51"/>
        <v/>
      </c>
      <c r="Q368" s="16" t="str">
        <f t="shared" si="52"/>
        <v/>
      </c>
      <c r="R368" s="18" t="str">
        <f t="shared" si="53"/>
        <v/>
      </c>
    </row>
    <row r="369" spans="1:18">
      <c r="A369" s="12"/>
      <c r="B369" s="13"/>
      <c r="C369" s="14"/>
      <c r="D369" s="15"/>
      <c r="E369" s="15"/>
      <c r="F369" s="15"/>
      <c r="G369" s="13"/>
      <c r="H369" s="16" t="str">
        <f t="shared" si="45"/>
        <v/>
      </c>
      <c r="I369" s="17" t="str">
        <f>IF(OR(A369="",B369=""),"",IFERROR(LOOKUP(2,1/(单次交易!$A$2:$A$201=A369),单次交易!$H$2:$H$201),0)+SUMIFS($G$2:$G$1001,$A$2:$A$1001,A369,$B$2:$B$1001,"&lt;"&amp;B369))</f>
        <v/>
      </c>
      <c r="J369" s="16" t="str">
        <f>IF(OR(A369="",B369=""),"",IFERROR(LOOKUP(2,1/(单次交易!$A$2:$A$201=A369),单次交易!$E$2:$E$201)*LOOKUP(2,1/(单次交易!$A$2:$A$201=A369),单次交易!$H$2:$H$201),0)+SUMIFS($H$2:$H$1001,$A$2:$A$1001,A369,$B$2:$B$1001,"&lt;"&amp;B369))</f>
        <v/>
      </c>
      <c r="K369" s="16" t="str">
        <f t="shared" si="46"/>
        <v/>
      </c>
      <c r="L369" s="17" t="str">
        <f t="shared" si="47"/>
        <v/>
      </c>
      <c r="M369" s="17" t="str">
        <f t="shared" si="48"/>
        <v/>
      </c>
      <c r="N369" s="17" t="str">
        <f t="shared" si="49"/>
        <v/>
      </c>
      <c r="O369" s="17" t="str">
        <f t="shared" si="50"/>
        <v/>
      </c>
      <c r="P369" s="16" t="str">
        <f t="shared" si="51"/>
        <v/>
      </c>
      <c r="Q369" s="16" t="str">
        <f t="shared" si="52"/>
        <v/>
      </c>
      <c r="R369" s="18" t="str">
        <f t="shared" si="53"/>
        <v/>
      </c>
    </row>
    <row r="370" spans="1:18">
      <c r="A370" s="12"/>
      <c r="B370" s="13"/>
      <c r="C370" s="14"/>
      <c r="D370" s="15"/>
      <c r="E370" s="15"/>
      <c r="F370" s="15"/>
      <c r="G370" s="13"/>
      <c r="H370" s="16" t="str">
        <f t="shared" si="45"/>
        <v/>
      </c>
      <c r="I370" s="17" t="str">
        <f>IF(OR(A370="",B370=""),"",IFERROR(LOOKUP(2,1/(单次交易!$A$2:$A$201=A370),单次交易!$H$2:$H$201),0)+SUMIFS($G$2:$G$1001,$A$2:$A$1001,A370,$B$2:$B$1001,"&lt;"&amp;B370))</f>
        <v/>
      </c>
      <c r="J370" s="16" t="str">
        <f>IF(OR(A370="",B370=""),"",IFERROR(LOOKUP(2,1/(单次交易!$A$2:$A$201=A370),单次交易!$E$2:$E$201)*LOOKUP(2,1/(单次交易!$A$2:$A$201=A370),单次交易!$H$2:$H$201),0)+SUMIFS($H$2:$H$1001,$A$2:$A$1001,A370,$B$2:$B$1001,"&lt;"&amp;B370))</f>
        <v/>
      </c>
      <c r="K370" s="16" t="str">
        <f t="shared" si="46"/>
        <v/>
      </c>
      <c r="L370" s="17" t="str">
        <f t="shared" si="47"/>
        <v/>
      </c>
      <c r="M370" s="17" t="str">
        <f t="shared" si="48"/>
        <v/>
      </c>
      <c r="N370" s="17" t="str">
        <f t="shared" si="49"/>
        <v/>
      </c>
      <c r="O370" s="17" t="str">
        <f t="shared" si="50"/>
        <v/>
      </c>
      <c r="P370" s="16" t="str">
        <f t="shared" si="51"/>
        <v/>
      </c>
      <c r="Q370" s="16" t="str">
        <f t="shared" si="52"/>
        <v/>
      </c>
      <c r="R370" s="18" t="str">
        <f t="shared" si="53"/>
        <v/>
      </c>
    </row>
    <row r="371" spans="1:18">
      <c r="A371" s="12"/>
      <c r="B371" s="13"/>
      <c r="C371" s="14"/>
      <c r="D371" s="15"/>
      <c r="E371" s="15"/>
      <c r="F371" s="15"/>
      <c r="G371" s="13"/>
      <c r="H371" s="16" t="str">
        <f t="shared" si="45"/>
        <v/>
      </c>
      <c r="I371" s="17" t="str">
        <f>IF(OR(A371="",B371=""),"",IFERROR(LOOKUP(2,1/(单次交易!$A$2:$A$201=A371),单次交易!$H$2:$H$201),0)+SUMIFS($G$2:$G$1001,$A$2:$A$1001,A371,$B$2:$B$1001,"&lt;"&amp;B371))</f>
        <v/>
      </c>
      <c r="J371" s="16" t="str">
        <f>IF(OR(A371="",B371=""),"",IFERROR(LOOKUP(2,1/(单次交易!$A$2:$A$201=A371),单次交易!$E$2:$E$201)*LOOKUP(2,1/(单次交易!$A$2:$A$201=A371),单次交易!$H$2:$H$201),0)+SUMIFS($H$2:$H$1001,$A$2:$A$1001,A371,$B$2:$B$1001,"&lt;"&amp;B371))</f>
        <v/>
      </c>
      <c r="K371" s="16" t="str">
        <f t="shared" si="46"/>
        <v/>
      </c>
      <c r="L371" s="17" t="str">
        <f t="shared" si="47"/>
        <v/>
      </c>
      <c r="M371" s="17" t="str">
        <f t="shared" si="48"/>
        <v/>
      </c>
      <c r="N371" s="17" t="str">
        <f t="shared" si="49"/>
        <v/>
      </c>
      <c r="O371" s="17" t="str">
        <f t="shared" si="50"/>
        <v/>
      </c>
      <c r="P371" s="16" t="str">
        <f t="shared" si="51"/>
        <v/>
      </c>
      <c r="Q371" s="16" t="str">
        <f t="shared" si="52"/>
        <v/>
      </c>
      <c r="R371" s="18" t="str">
        <f t="shared" si="53"/>
        <v/>
      </c>
    </row>
    <row r="372" spans="1:18">
      <c r="A372" s="12"/>
      <c r="B372" s="13"/>
      <c r="C372" s="14"/>
      <c r="D372" s="15"/>
      <c r="E372" s="15"/>
      <c r="F372" s="15"/>
      <c r="G372" s="13"/>
      <c r="H372" s="16" t="str">
        <f t="shared" si="45"/>
        <v/>
      </c>
      <c r="I372" s="17" t="str">
        <f>IF(OR(A372="",B372=""),"",IFERROR(LOOKUP(2,1/(单次交易!$A$2:$A$201=A372),单次交易!$H$2:$H$201),0)+SUMIFS($G$2:$G$1001,$A$2:$A$1001,A372,$B$2:$B$1001,"&lt;"&amp;B372))</f>
        <v/>
      </c>
      <c r="J372" s="16" t="str">
        <f>IF(OR(A372="",B372=""),"",IFERROR(LOOKUP(2,1/(单次交易!$A$2:$A$201=A372),单次交易!$E$2:$E$201)*LOOKUP(2,1/(单次交易!$A$2:$A$201=A372),单次交易!$H$2:$H$201),0)+SUMIFS($H$2:$H$1001,$A$2:$A$1001,A372,$B$2:$B$1001,"&lt;"&amp;B372))</f>
        <v/>
      </c>
      <c r="K372" s="16" t="str">
        <f t="shared" si="46"/>
        <v/>
      </c>
      <c r="L372" s="17" t="str">
        <f t="shared" si="47"/>
        <v/>
      </c>
      <c r="M372" s="17" t="str">
        <f t="shared" si="48"/>
        <v/>
      </c>
      <c r="N372" s="17" t="str">
        <f t="shared" si="49"/>
        <v/>
      </c>
      <c r="O372" s="17" t="str">
        <f t="shared" si="50"/>
        <v/>
      </c>
      <c r="P372" s="16" t="str">
        <f t="shared" si="51"/>
        <v/>
      </c>
      <c r="Q372" s="16" t="str">
        <f t="shared" si="52"/>
        <v/>
      </c>
      <c r="R372" s="18" t="str">
        <f t="shared" si="53"/>
        <v/>
      </c>
    </row>
    <row r="373" spans="1:18">
      <c r="A373" s="12"/>
      <c r="B373" s="13"/>
      <c r="C373" s="14"/>
      <c r="D373" s="15"/>
      <c r="E373" s="15"/>
      <c r="F373" s="15"/>
      <c r="G373" s="13"/>
      <c r="H373" s="16" t="str">
        <f t="shared" si="45"/>
        <v/>
      </c>
      <c r="I373" s="17" t="str">
        <f>IF(OR(A373="",B373=""),"",IFERROR(LOOKUP(2,1/(单次交易!$A$2:$A$201=A373),单次交易!$H$2:$H$201),0)+SUMIFS($G$2:$G$1001,$A$2:$A$1001,A373,$B$2:$B$1001,"&lt;"&amp;B373))</f>
        <v/>
      </c>
      <c r="J373" s="16" t="str">
        <f>IF(OR(A373="",B373=""),"",IFERROR(LOOKUP(2,1/(单次交易!$A$2:$A$201=A373),单次交易!$E$2:$E$201)*LOOKUP(2,1/(单次交易!$A$2:$A$201=A373),单次交易!$H$2:$H$201),0)+SUMIFS($H$2:$H$1001,$A$2:$A$1001,A373,$B$2:$B$1001,"&lt;"&amp;B373))</f>
        <v/>
      </c>
      <c r="K373" s="16" t="str">
        <f t="shared" si="46"/>
        <v/>
      </c>
      <c r="L373" s="17" t="str">
        <f t="shared" si="47"/>
        <v/>
      </c>
      <c r="M373" s="17" t="str">
        <f t="shared" si="48"/>
        <v/>
      </c>
      <c r="N373" s="17" t="str">
        <f t="shared" si="49"/>
        <v/>
      </c>
      <c r="O373" s="17" t="str">
        <f t="shared" si="50"/>
        <v/>
      </c>
      <c r="P373" s="16" t="str">
        <f t="shared" si="51"/>
        <v/>
      </c>
      <c r="Q373" s="16" t="str">
        <f t="shared" si="52"/>
        <v/>
      </c>
      <c r="R373" s="18" t="str">
        <f t="shared" si="53"/>
        <v/>
      </c>
    </row>
    <row r="374" spans="1:18">
      <c r="A374" s="12"/>
      <c r="B374" s="13"/>
      <c r="C374" s="14"/>
      <c r="D374" s="15"/>
      <c r="E374" s="15"/>
      <c r="F374" s="15"/>
      <c r="G374" s="13"/>
      <c r="H374" s="16" t="str">
        <f t="shared" si="45"/>
        <v/>
      </c>
      <c r="I374" s="17" t="str">
        <f>IF(OR(A374="",B374=""),"",IFERROR(LOOKUP(2,1/(单次交易!$A$2:$A$201=A374),单次交易!$H$2:$H$201),0)+SUMIFS($G$2:$G$1001,$A$2:$A$1001,A374,$B$2:$B$1001,"&lt;"&amp;B374))</f>
        <v/>
      </c>
      <c r="J374" s="16" t="str">
        <f>IF(OR(A374="",B374=""),"",IFERROR(LOOKUP(2,1/(单次交易!$A$2:$A$201=A374),单次交易!$E$2:$E$201)*LOOKUP(2,1/(单次交易!$A$2:$A$201=A374),单次交易!$H$2:$H$201),0)+SUMIFS($H$2:$H$1001,$A$2:$A$1001,A374,$B$2:$B$1001,"&lt;"&amp;B374))</f>
        <v/>
      </c>
      <c r="K374" s="16" t="str">
        <f t="shared" si="46"/>
        <v/>
      </c>
      <c r="L374" s="17" t="str">
        <f t="shared" si="47"/>
        <v/>
      </c>
      <c r="M374" s="17" t="str">
        <f t="shared" si="48"/>
        <v/>
      </c>
      <c r="N374" s="17" t="str">
        <f t="shared" si="49"/>
        <v/>
      </c>
      <c r="O374" s="17" t="str">
        <f t="shared" si="50"/>
        <v/>
      </c>
      <c r="P374" s="16" t="str">
        <f t="shared" si="51"/>
        <v/>
      </c>
      <c r="Q374" s="16" t="str">
        <f t="shared" si="52"/>
        <v/>
      </c>
      <c r="R374" s="18" t="str">
        <f t="shared" si="53"/>
        <v/>
      </c>
    </row>
    <row r="375" spans="1:18">
      <c r="A375" s="12"/>
      <c r="B375" s="13"/>
      <c r="C375" s="14"/>
      <c r="D375" s="15"/>
      <c r="E375" s="15"/>
      <c r="F375" s="15"/>
      <c r="G375" s="13"/>
      <c r="H375" s="16" t="str">
        <f t="shared" si="45"/>
        <v/>
      </c>
      <c r="I375" s="17" t="str">
        <f>IF(OR(A375="",B375=""),"",IFERROR(LOOKUP(2,1/(单次交易!$A$2:$A$201=A375),单次交易!$H$2:$H$201),0)+SUMIFS($G$2:$G$1001,$A$2:$A$1001,A375,$B$2:$B$1001,"&lt;"&amp;B375))</f>
        <v/>
      </c>
      <c r="J375" s="16" t="str">
        <f>IF(OR(A375="",B375=""),"",IFERROR(LOOKUP(2,1/(单次交易!$A$2:$A$201=A375),单次交易!$E$2:$E$201)*LOOKUP(2,1/(单次交易!$A$2:$A$201=A375),单次交易!$H$2:$H$201),0)+SUMIFS($H$2:$H$1001,$A$2:$A$1001,A375,$B$2:$B$1001,"&lt;"&amp;B375))</f>
        <v/>
      </c>
      <c r="K375" s="16" t="str">
        <f t="shared" si="46"/>
        <v/>
      </c>
      <c r="L375" s="17" t="str">
        <f t="shared" si="47"/>
        <v/>
      </c>
      <c r="M375" s="17" t="str">
        <f t="shared" si="48"/>
        <v/>
      </c>
      <c r="N375" s="17" t="str">
        <f t="shared" si="49"/>
        <v/>
      </c>
      <c r="O375" s="17" t="str">
        <f t="shared" si="50"/>
        <v/>
      </c>
      <c r="P375" s="16" t="str">
        <f t="shared" si="51"/>
        <v/>
      </c>
      <c r="Q375" s="16" t="str">
        <f t="shared" si="52"/>
        <v/>
      </c>
      <c r="R375" s="18" t="str">
        <f t="shared" si="53"/>
        <v/>
      </c>
    </row>
    <row r="376" spans="1:18">
      <c r="A376" s="12"/>
      <c r="B376" s="13"/>
      <c r="C376" s="14"/>
      <c r="D376" s="15"/>
      <c r="E376" s="15"/>
      <c r="F376" s="15"/>
      <c r="G376" s="13"/>
      <c r="H376" s="16" t="str">
        <f t="shared" si="45"/>
        <v/>
      </c>
      <c r="I376" s="17" t="str">
        <f>IF(OR(A376="",B376=""),"",IFERROR(LOOKUP(2,1/(单次交易!$A$2:$A$201=A376),单次交易!$H$2:$H$201),0)+SUMIFS($G$2:$G$1001,$A$2:$A$1001,A376,$B$2:$B$1001,"&lt;"&amp;B376))</f>
        <v/>
      </c>
      <c r="J376" s="16" t="str">
        <f>IF(OR(A376="",B376=""),"",IFERROR(LOOKUP(2,1/(单次交易!$A$2:$A$201=A376),单次交易!$E$2:$E$201)*LOOKUP(2,1/(单次交易!$A$2:$A$201=A376),单次交易!$H$2:$H$201),0)+SUMIFS($H$2:$H$1001,$A$2:$A$1001,A376,$B$2:$B$1001,"&lt;"&amp;B376))</f>
        <v/>
      </c>
      <c r="K376" s="16" t="str">
        <f t="shared" si="46"/>
        <v/>
      </c>
      <c r="L376" s="17" t="str">
        <f t="shared" si="47"/>
        <v/>
      </c>
      <c r="M376" s="17" t="str">
        <f t="shared" si="48"/>
        <v/>
      </c>
      <c r="N376" s="17" t="str">
        <f t="shared" si="49"/>
        <v/>
      </c>
      <c r="O376" s="17" t="str">
        <f t="shared" si="50"/>
        <v/>
      </c>
      <c r="P376" s="16" t="str">
        <f t="shared" si="51"/>
        <v/>
      </c>
      <c r="Q376" s="16" t="str">
        <f t="shared" si="52"/>
        <v/>
      </c>
      <c r="R376" s="18" t="str">
        <f t="shared" si="53"/>
        <v/>
      </c>
    </row>
    <row r="377" spans="1:18">
      <c r="A377" s="12"/>
      <c r="B377" s="13"/>
      <c r="C377" s="14"/>
      <c r="D377" s="15"/>
      <c r="E377" s="15"/>
      <c r="F377" s="15"/>
      <c r="G377" s="13"/>
      <c r="H377" s="16" t="str">
        <f t="shared" si="45"/>
        <v/>
      </c>
      <c r="I377" s="17" t="str">
        <f>IF(OR(A377="",B377=""),"",IFERROR(LOOKUP(2,1/(单次交易!$A$2:$A$201=A377),单次交易!$H$2:$H$201),0)+SUMIFS($G$2:$G$1001,$A$2:$A$1001,A377,$B$2:$B$1001,"&lt;"&amp;B377))</f>
        <v/>
      </c>
      <c r="J377" s="16" t="str">
        <f>IF(OR(A377="",B377=""),"",IFERROR(LOOKUP(2,1/(单次交易!$A$2:$A$201=A377),单次交易!$E$2:$E$201)*LOOKUP(2,1/(单次交易!$A$2:$A$201=A377),单次交易!$H$2:$H$201),0)+SUMIFS($H$2:$H$1001,$A$2:$A$1001,A377,$B$2:$B$1001,"&lt;"&amp;B377))</f>
        <v/>
      </c>
      <c r="K377" s="16" t="str">
        <f t="shared" si="46"/>
        <v/>
      </c>
      <c r="L377" s="17" t="str">
        <f t="shared" si="47"/>
        <v/>
      </c>
      <c r="M377" s="17" t="str">
        <f t="shared" si="48"/>
        <v/>
      </c>
      <c r="N377" s="17" t="str">
        <f t="shared" si="49"/>
        <v/>
      </c>
      <c r="O377" s="17" t="str">
        <f t="shared" si="50"/>
        <v/>
      </c>
      <c r="P377" s="16" t="str">
        <f t="shared" si="51"/>
        <v/>
      </c>
      <c r="Q377" s="16" t="str">
        <f t="shared" si="52"/>
        <v/>
      </c>
      <c r="R377" s="18" t="str">
        <f t="shared" si="53"/>
        <v/>
      </c>
    </row>
    <row r="378" spans="1:18">
      <c r="A378" s="12"/>
      <c r="B378" s="13"/>
      <c r="C378" s="14"/>
      <c r="D378" s="15"/>
      <c r="E378" s="15"/>
      <c r="F378" s="15"/>
      <c r="G378" s="13"/>
      <c r="H378" s="16" t="str">
        <f t="shared" si="45"/>
        <v/>
      </c>
      <c r="I378" s="17" t="str">
        <f>IF(OR(A378="",B378=""),"",IFERROR(LOOKUP(2,1/(单次交易!$A$2:$A$201=A378),单次交易!$H$2:$H$201),0)+SUMIFS($G$2:$G$1001,$A$2:$A$1001,A378,$B$2:$B$1001,"&lt;"&amp;B378))</f>
        <v/>
      </c>
      <c r="J378" s="16" t="str">
        <f>IF(OR(A378="",B378=""),"",IFERROR(LOOKUP(2,1/(单次交易!$A$2:$A$201=A378),单次交易!$E$2:$E$201)*LOOKUP(2,1/(单次交易!$A$2:$A$201=A378),单次交易!$H$2:$H$201),0)+SUMIFS($H$2:$H$1001,$A$2:$A$1001,A378,$B$2:$B$1001,"&lt;"&amp;B378))</f>
        <v/>
      </c>
      <c r="K378" s="16" t="str">
        <f t="shared" si="46"/>
        <v/>
      </c>
      <c r="L378" s="17" t="str">
        <f t="shared" si="47"/>
        <v/>
      </c>
      <c r="M378" s="17" t="str">
        <f t="shared" si="48"/>
        <v/>
      </c>
      <c r="N378" s="17" t="str">
        <f t="shared" si="49"/>
        <v/>
      </c>
      <c r="O378" s="17" t="str">
        <f t="shared" si="50"/>
        <v/>
      </c>
      <c r="P378" s="16" t="str">
        <f t="shared" si="51"/>
        <v/>
      </c>
      <c r="Q378" s="16" t="str">
        <f t="shared" si="52"/>
        <v/>
      </c>
      <c r="R378" s="18" t="str">
        <f t="shared" si="53"/>
        <v/>
      </c>
    </row>
    <row r="379" spans="1:18">
      <c r="A379" s="12"/>
      <c r="B379" s="13"/>
      <c r="C379" s="14"/>
      <c r="D379" s="15"/>
      <c r="E379" s="15"/>
      <c r="F379" s="15"/>
      <c r="G379" s="13"/>
      <c r="H379" s="16" t="str">
        <f t="shared" si="45"/>
        <v/>
      </c>
      <c r="I379" s="17" t="str">
        <f>IF(OR(A379="",B379=""),"",IFERROR(LOOKUP(2,1/(单次交易!$A$2:$A$201=A379),单次交易!$H$2:$H$201),0)+SUMIFS($G$2:$G$1001,$A$2:$A$1001,A379,$B$2:$B$1001,"&lt;"&amp;B379))</f>
        <v/>
      </c>
      <c r="J379" s="16" t="str">
        <f>IF(OR(A379="",B379=""),"",IFERROR(LOOKUP(2,1/(单次交易!$A$2:$A$201=A379),单次交易!$E$2:$E$201)*LOOKUP(2,1/(单次交易!$A$2:$A$201=A379),单次交易!$H$2:$H$201),0)+SUMIFS($H$2:$H$1001,$A$2:$A$1001,A379,$B$2:$B$1001,"&lt;"&amp;B379))</f>
        <v/>
      </c>
      <c r="K379" s="16" t="str">
        <f t="shared" si="46"/>
        <v/>
      </c>
      <c r="L379" s="17" t="str">
        <f t="shared" si="47"/>
        <v/>
      </c>
      <c r="M379" s="17" t="str">
        <f t="shared" si="48"/>
        <v/>
      </c>
      <c r="N379" s="17" t="str">
        <f t="shared" si="49"/>
        <v/>
      </c>
      <c r="O379" s="17" t="str">
        <f t="shared" si="50"/>
        <v/>
      </c>
      <c r="P379" s="16" t="str">
        <f t="shared" si="51"/>
        <v/>
      </c>
      <c r="Q379" s="16" t="str">
        <f t="shared" si="52"/>
        <v/>
      </c>
      <c r="R379" s="18" t="str">
        <f t="shared" si="53"/>
        <v/>
      </c>
    </row>
    <row r="380" spans="1:18">
      <c r="A380" s="12"/>
      <c r="B380" s="13"/>
      <c r="C380" s="14"/>
      <c r="D380" s="15"/>
      <c r="E380" s="15"/>
      <c r="F380" s="15"/>
      <c r="G380" s="13"/>
      <c r="H380" s="16" t="str">
        <f t="shared" si="45"/>
        <v/>
      </c>
      <c r="I380" s="17" t="str">
        <f>IF(OR(A380="",B380=""),"",IFERROR(LOOKUP(2,1/(单次交易!$A$2:$A$201=A380),单次交易!$H$2:$H$201),0)+SUMIFS($G$2:$G$1001,$A$2:$A$1001,A380,$B$2:$B$1001,"&lt;"&amp;B380))</f>
        <v/>
      </c>
      <c r="J380" s="16" t="str">
        <f>IF(OR(A380="",B380=""),"",IFERROR(LOOKUP(2,1/(单次交易!$A$2:$A$201=A380),单次交易!$E$2:$E$201)*LOOKUP(2,1/(单次交易!$A$2:$A$201=A380),单次交易!$H$2:$H$201),0)+SUMIFS($H$2:$H$1001,$A$2:$A$1001,A380,$B$2:$B$1001,"&lt;"&amp;B380))</f>
        <v/>
      </c>
      <c r="K380" s="16" t="str">
        <f t="shared" si="46"/>
        <v/>
      </c>
      <c r="L380" s="17" t="str">
        <f t="shared" si="47"/>
        <v/>
      </c>
      <c r="M380" s="17" t="str">
        <f t="shared" si="48"/>
        <v/>
      </c>
      <c r="N380" s="17" t="str">
        <f t="shared" si="49"/>
        <v/>
      </c>
      <c r="O380" s="17" t="str">
        <f t="shared" si="50"/>
        <v/>
      </c>
      <c r="P380" s="16" t="str">
        <f t="shared" si="51"/>
        <v/>
      </c>
      <c r="Q380" s="16" t="str">
        <f t="shared" si="52"/>
        <v/>
      </c>
      <c r="R380" s="18" t="str">
        <f t="shared" si="53"/>
        <v/>
      </c>
    </row>
    <row r="381" spans="1:18">
      <c r="A381" s="12"/>
      <c r="B381" s="13"/>
      <c r="C381" s="14"/>
      <c r="D381" s="15"/>
      <c r="E381" s="15"/>
      <c r="F381" s="15"/>
      <c r="G381" s="13"/>
      <c r="H381" s="16" t="str">
        <f t="shared" si="45"/>
        <v/>
      </c>
      <c r="I381" s="17" t="str">
        <f>IF(OR(A381="",B381=""),"",IFERROR(LOOKUP(2,1/(单次交易!$A$2:$A$201=A381),单次交易!$H$2:$H$201),0)+SUMIFS($G$2:$G$1001,$A$2:$A$1001,A381,$B$2:$B$1001,"&lt;"&amp;B381))</f>
        <v/>
      </c>
      <c r="J381" s="16" t="str">
        <f>IF(OR(A381="",B381=""),"",IFERROR(LOOKUP(2,1/(单次交易!$A$2:$A$201=A381),单次交易!$E$2:$E$201)*LOOKUP(2,1/(单次交易!$A$2:$A$201=A381),单次交易!$H$2:$H$201),0)+SUMIFS($H$2:$H$1001,$A$2:$A$1001,A381,$B$2:$B$1001,"&lt;"&amp;B381))</f>
        <v/>
      </c>
      <c r="K381" s="16" t="str">
        <f t="shared" si="46"/>
        <v/>
      </c>
      <c r="L381" s="17" t="str">
        <f t="shared" si="47"/>
        <v/>
      </c>
      <c r="M381" s="17" t="str">
        <f t="shared" si="48"/>
        <v/>
      </c>
      <c r="N381" s="17" t="str">
        <f t="shared" si="49"/>
        <v/>
      </c>
      <c r="O381" s="17" t="str">
        <f t="shared" si="50"/>
        <v/>
      </c>
      <c r="P381" s="16" t="str">
        <f t="shared" si="51"/>
        <v/>
      </c>
      <c r="Q381" s="16" t="str">
        <f t="shared" si="52"/>
        <v/>
      </c>
      <c r="R381" s="18" t="str">
        <f t="shared" si="53"/>
        <v/>
      </c>
    </row>
    <row r="382" spans="1:18">
      <c r="A382" s="12"/>
      <c r="B382" s="13"/>
      <c r="C382" s="14"/>
      <c r="D382" s="15"/>
      <c r="E382" s="15"/>
      <c r="F382" s="15"/>
      <c r="G382" s="13"/>
      <c r="H382" s="16" t="str">
        <f t="shared" si="45"/>
        <v/>
      </c>
      <c r="I382" s="17" t="str">
        <f>IF(OR(A382="",B382=""),"",IFERROR(LOOKUP(2,1/(单次交易!$A$2:$A$201=A382),单次交易!$H$2:$H$201),0)+SUMIFS($G$2:$G$1001,$A$2:$A$1001,A382,$B$2:$B$1001,"&lt;"&amp;B382))</f>
        <v/>
      </c>
      <c r="J382" s="16" t="str">
        <f>IF(OR(A382="",B382=""),"",IFERROR(LOOKUP(2,1/(单次交易!$A$2:$A$201=A382),单次交易!$E$2:$E$201)*LOOKUP(2,1/(单次交易!$A$2:$A$201=A382),单次交易!$H$2:$H$201),0)+SUMIFS($H$2:$H$1001,$A$2:$A$1001,A382,$B$2:$B$1001,"&lt;"&amp;B382))</f>
        <v/>
      </c>
      <c r="K382" s="16" t="str">
        <f t="shared" si="46"/>
        <v/>
      </c>
      <c r="L382" s="17" t="str">
        <f t="shared" si="47"/>
        <v/>
      </c>
      <c r="M382" s="17" t="str">
        <f t="shared" si="48"/>
        <v/>
      </c>
      <c r="N382" s="17" t="str">
        <f t="shared" si="49"/>
        <v/>
      </c>
      <c r="O382" s="17" t="str">
        <f t="shared" si="50"/>
        <v/>
      </c>
      <c r="P382" s="16" t="str">
        <f t="shared" si="51"/>
        <v/>
      </c>
      <c r="Q382" s="16" t="str">
        <f t="shared" si="52"/>
        <v/>
      </c>
      <c r="R382" s="18" t="str">
        <f t="shared" si="53"/>
        <v/>
      </c>
    </row>
    <row r="383" spans="1:18">
      <c r="A383" s="12"/>
      <c r="B383" s="13"/>
      <c r="C383" s="14"/>
      <c r="D383" s="15"/>
      <c r="E383" s="15"/>
      <c r="F383" s="15"/>
      <c r="G383" s="13"/>
      <c r="H383" s="16" t="str">
        <f t="shared" si="45"/>
        <v/>
      </c>
      <c r="I383" s="17" t="str">
        <f>IF(OR(A383="",B383=""),"",IFERROR(LOOKUP(2,1/(单次交易!$A$2:$A$201=A383),单次交易!$H$2:$H$201),0)+SUMIFS($G$2:$G$1001,$A$2:$A$1001,A383,$B$2:$B$1001,"&lt;"&amp;B383))</f>
        <v/>
      </c>
      <c r="J383" s="16" t="str">
        <f>IF(OR(A383="",B383=""),"",IFERROR(LOOKUP(2,1/(单次交易!$A$2:$A$201=A383),单次交易!$E$2:$E$201)*LOOKUP(2,1/(单次交易!$A$2:$A$201=A383),单次交易!$H$2:$H$201),0)+SUMIFS($H$2:$H$1001,$A$2:$A$1001,A383,$B$2:$B$1001,"&lt;"&amp;B383))</f>
        <v/>
      </c>
      <c r="K383" s="16" t="str">
        <f t="shared" si="46"/>
        <v/>
      </c>
      <c r="L383" s="17" t="str">
        <f t="shared" si="47"/>
        <v/>
      </c>
      <c r="M383" s="17" t="str">
        <f t="shared" si="48"/>
        <v/>
      </c>
      <c r="N383" s="17" t="str">
        <f t="shared" si="49"/>
        <v/>
      </c>
      <c r="O383" s="17" t="str">
        <f t="shared" si="50"/>
        <v/>
      </c>
      <c r="P383" s="16" t="str">
        <f t="shared" si="51"/>
        <v/>
      </c>
      <c r="Q383" s="16" t="str">
        <f t="shared" si="52"/>
        <v/>
      </c>
      <c r="R383" s="18" t="str">
        <f t="shared" si="53"/>
        <v/>
      </c>
    </row>
    <row r="384" spans="1:18">
      <c r="A384" s="12"/>
      <c r="B384" s="13"/>
      <c r="C384" s="14"/>
      <c r="D384" s="15"/>
      <c r="E384" s="15"/>
      <c r="F384" s="15"/>
      <c r="G384" s="13"/>
      <c r="H384" s="16" t="str">
        <f t="shared" si="45"/>
        <v/>
      </c>
      <c r="I384" s="17" t="str">
        <f>IF(OR(A384="",B384=""),"",IFERROR(LOOKUP(2,1/(单次交易!$A$2:$A$201=A384),单次交易!$H$2:$H$201),0)+SUMIFS($G$2:$G$1001,$A$2:$A$1001,A384,$B$2:$B$1001,"&lt;"&amp;B384))</f>
        <v/>
      </c>
      <c r="J384" s="16" t="str">
        <f>IF(OR(A384="",B384=""),"",IFERROR(LOOKUP(2,1/(单次交易!$A$2:$A$201=A384),单次交易!$E$2:$E$201)*LOOKUP(2,1/(单次交易!$A$2:$A$201=A384),单次交易!$H$2:$H$201),0)+SUMIFS($H$2:$H$1001,$A$2:$A$1001,A384,$B$2:$B$1001,"&lt;"&amp;B384))</f>
        <v/>
      </c>
      <c r="K384" s="16" t="str">
        <f t="shared" si="46"/>
        <v/>
      </c>
      <c r="L384" s="17" t="str">
        <f t="shared" si="47"/>
        <v/>
      </c>
      <c r="M384" s="17" t="str">
        <f t="shared" si="48"/>
        <v/>
      </c>
      <c r="N384" s="17" t="str">
        <f t="shared" si="49"/>
        <v/>
      </c>
      <c r="O384" s="17" t="str">
        <f t="shared" si="50"/>
        <v/>
      </c>
      <c r="P384" s="16" t="str">
        <f t="shared" si="51"/>
        <v/>
      </c>
      <c r="Q384" s="16" t="str">
        <f t="shared" si="52"/>
        <v/>
      </c>
      <c r="R384" s="18" t="str">
        <f t="shared" si="53"/>
        <v/>
      </c>
    </row>
    <row r="385" spans="1:18">
      <c r="A385" s="12"/>
      <c r="B385" s="13"/>
      <c r="C385" s="14"/>
      <c r="D385" s="15"/>
      <c r="E385" s="15"/>
      <c r="F385" s="15"/>
      <c r="G385" s="13"/>
      <c r="H385" s="16" t="str">
        <f t="shared" si="45"/>
        <v/>
      </c>
      <c r="I385" s="17" t="str">
        <f>IF(OR(A385="",B385=""),"",IFERROR(LOOKUP(2,1/(单次交易!$A$2:$A$201=A385),单次交易!$H$2:$H$201),0)+SUMIFS($G$2:$G$1001,$A$2:$A$1001,A385,$B$2:$B$1001,"&lt;"&amp;B385))</f>
        <v/>
      </c>
      <c r="J385" s="16" t="str">
        <f>IF(OR(A385="",B385=""),"",IFERROR(LOOKUP(2,1/(单次交易!$A$2:$A$201=A385),单次交易!$E$2:$E$201)*LOOKUP(2,1/(单次交易!$A$2:$A$201=A385),单次交易!$H$2:$H$201),0)+SUMIFS($H$2:$H$1001,$A$2:$A$1001,A385,$B$2:$B$1001,"&lt;"&amp;B385))</f>
        <v/>
      </c>
      <c r="K385" s="16" t="str">
        <f t="shared" si="46"/>
        <v/>
      </c>
      <c r="L385" s="17" t="str">
        <f t="shared" si="47"/>
        <v/>
      </c>
      <c r="M385" s="17" t="str">
        <f t="shared" si="48"/>
        <v/>
      </c>
      <c r="N385" s="17" t="str">
        <f t="shared" si="49"/>
        <v/>
      </c>
      <c r="O385" s="17" t="str">
        <f t="shared" si="50"/>
        <v/>
      </c>
      <c r="P385" s="16" t="str">
        <f t="shared" si="51"/>
        <v/>
      </c>
      <c r="Q385" s="16" t="str">
        <f t="shared" si="52"/>
        <v/>
      </c>
      <c r="R385" s="18" t="str">
        <f t="shared" si="53"/>
        <v/>
      </c>
    </row>
    <row r="386" spans="1:18">
      <c r="A386" s="12"/>
      <c r="B386" s="13"/>
      <c r="C386" s="14"/>
      <c r="D386" s="15"/>
      <c r="E386" s="15"/>
      <c r="F386" s="15"/>
      <c r="G386" s="13"/>
      <c r="H386" s="16" t="str">
        <f t="shared" ref="H386:H449" si="54">IF(OR(A386="",D386="",G386=""),"",D386*G386)</f>
        <v/>
      </c>
      <c r="I386" s="17" t="str">
        <f>IF(OR(A386="",B386=""),"",IFERROR(LOOKUP(2,1/(单次交易!$A$2:$A$201=A386),单次交易!$H$2:$H$201),0)+SUMIFS($G$2:$G$1001,$A$2:$A$1001,A386,$B$2:$B$1001,"&lt;"&amp;B386))</f>
        <v/>
      </c>
      <c r="J386" s="16" t="str">
        <f>IF(OR(A386="",B386=""),"",IFERROR(LOOKUP(2,1/(单次交易!$A$2:$A$201=A386),单次交易!$E$2:$E$201)*LOOKUP(2,1/(单次交易!$A$2:$A$201=A386),单次交易!$H$2:$H$201),0)+SUMIFS($H$2:$H$1001,$A$2:$A$1001,A386,$B$2:$B$1001,"&lt;"&amp;B386))</f>
        <v/>
      </c>
      <c r="K386" s="16" t="str">
        <f t="shared" ref="K386:K449" si="55">IF(OR(E386="",I386="",J386=""),"",MAX(E386*I386-J386,0))</f>
        <v/>
      </c>
      <c r="L386" s="17" t="str">
        <f t="shared" ref="L386:L449" si="56">IF(OR(D386="",E386="",F386="",D386&lt;=E386),"",FLOOR((F386+K386)/(D386-E386),100))</f>
        <v/>
      </c>
      <c r="M386" s="17" t="str">
        <f t="shared" ref="M386:M449" si="57">IF(OR(A386="",B386="",L386=""),"",IF(B386=1,L386,IFERROR(SUMIFS($G$2:$G$1001,$A$2:$A$1001,A386,$B$2:$B$1001,B386-1),0)))</f>
        <v/>
      </c>
      <c r="N386" s="17" t="str">
        <f t="shared" ref="N386:N449" si="58">IF(OR(L386="",M386=""),"",MIN(L386,M386))</f>
        <v/>
      </c>
      <c r="O386" s="17" t="str">
        <f t="shared" ref="O386:O449" si="59">IF(OR(I386="",G386=""),"",I386+G386)</f>
        <v/>
      </c>
      <c r="P386" s="16" t="str">
        <f t="shared" ref="P386:P449" si="60">IF(OR(O386="",O386=0),"",(J386+H386)/O386)</f>
        <v/>
      </c>
      <c r="Q386" s="16" t="str">
        <f t="shared" ref="Q386:Q449" si="61">IF(OR(O386="",E386=""),"",MAX(J386+H386-E386*O386,0))</f>
        <v/>
      </c>
      <c r="R386" s="18" t="str">
        <f t="shared" ref="R386:R449" si="62">IF(A386="","",IF(COUNTIF(_TradeIds,A386)=0,"违规：交易编号不存在",IF(OR(B386="",B386&lt;1,B386&gt;5,B386&lt;&gt;INT(B386)),"违规：加仓序号须为1到5的整数",IF(COUNTIFS($A$2:$A$1001,A386,$B$2:$B$1001,B386)&gt;1,"违规：同一交易的加仓序号重复",IF(OR(D386="",E386="",F386=""),"计划不完整：请填写加仓价、新止损价和风险预算",IF(OR(D386&lt;=0,E386&lt;=0,F386&lt;=0,D386&lt;=E386),"违规：加仓价必须高于新止损价，金额须大于0",IF(AND(B386&gt;1,COUNTIFS($A$2:$A$1001,A386,$B$2:$B$1001,B386-1,$G$2:$G$1001,"&gt;0")=0),"违规：须先完成上一次加仓",IF(AND(B386&gt;1,E386&lt;SUMIFS($E$2:$E$1001,$A$2:$A$1001,A386,$B$2:$B$1001,B386-1)),"违规：新止损价不得低于上一次",IF(AND(B386&gt;1,F386&gt;SUMIFS($F$2:$F$1001,$A$2:$A$1001,A386,$B$2:$B$1001,B386-1)),"违规：风险预算须逐次不增加",IF(OR(_LockStatus="已锁仓",_LockStatus="解锁信息不完整"),"违规：锁仓期间禁止加仓",IF(G386="","计划可执行：建议股数见N列",IF(OR(G386&lt;=0,G386&lt;&gt;INT(G386),MOD(G386,100)&lt;&gt;0),"违规：实际股数须为100股整数倍",IF(G386&gt;N386,"违规：实际股数超过风险或金字塔上限",IF(AND(B386&gt;1,G386&gt;SUMIFS($G$2:$G$1001,$A$2:$A$1001,A386,$B$2:$B$1001,B386-1)),"违规：加仓股数须逐次不增加",IF(Q386&gt;F386,"违规：止损风险超过本次预算","通过")))))))))))))))</f>
        <v/>
      </c>
    </row>
    <row r="387" spans="1:18">
      <c r="A387" s="12"/>
      <c r="B387" s="13"/>
      <c r="C387" s="14"/>
      <c r="D387" s="15"/>
      <c r="E387" s="15"/>
      <c r="F387" s="15"/>
      <c r="G387" s="13"/>
      <c r="H387" s="16" t="str">
        <f t="shared" si="54"/>
        <v/>
      </c>
      <c r="I387" s="17" t="str">
        <f>IF(OR(A387="",B387=""),"",IFERROR(LOOKUP(2,1/(单次交易!$A$2:$A$201=A387),单次交易!$H$2:$H$201),0)+SUMIFS($G$2:$G$1001,$A$2:$A$1001,A387,$B$2:$B$1001,"&lt;"&amp;B387))</f>
        <v/>
      </c>
      <c r="J387" s="16" t="str">
        <f>IF(OR(A387="",B387=""),"",IFERROR(LOOKUP(2,1/(单次交易!$A$2:$A$201=A387),单次交易!$E$2:$E$201)*LOOKUP(2,1/(单次交易!$A$2:$A$201=A387),单次交易!$H$2:$H$201),0)+SUMIFS($H$2:$H$1001,$A$2:$A$1001,A387,$B$2:$B$1001,"&lt;"&amp;B387))</f>
        <v/>
      </c>
      <c r="K387" s="16" t="str">
        <f t="shared" si="55"/>
        <v/>
      </c>
      <c r="L387" s="17" t="str">
        <f t="shared" si="56"/>
        <v/>
      </c>
      <c r="M387" s="17" t="str">
        <f t="shared" si="57"/>
        <v/>
      </c>
      <c r="N387" s="17" t="str">
        <f t="shared" si="58"/>
        <v/>
      </c>
      <c r="O387" s="17" t="str">
        <f t="shared" si="59"/>
        <v/>
      </c>
      <c r="P387" s="16" t="str">
        <f t="shared" si="60"/>
        <v/>
      </c>
      <c r="Q387" s="16" t="str">
        <f t="shared" si="61"/>
        <v/>
      </c>
      <c r="R387" s="18" t="str">
        <f t="shared" si="62"/>
        <v/>
      </c>
    </row>
    <row r="388" spans="1:18">
      <c r="A388" s="12"/>
      <c r="B388" s="13"/>
      <c r="C388" s="14"/>
      <c r="D388" s="15"/>
      <c r="E388" s="15"/>
      <c r="F388" s="15"/>
      <c r="G388" s="13"/>
      <c r="H388" s="16" t="str">
        <f t="shared" si="54"/>
        <v/>
      </c>
      <c r="I388" s="17" t="str">
        <f>IF(OR(A388="",B388=""),"",IFERROR(LOOKUP(2,1/(单次交易!$A$2:$A$201=A388),单次交易!$H$2:$H$201),0)+SUMIFS($G$2:$G$1001,$A$2:$A$1001,A388,$B$2:$B$1001,"&lt;"&amp;B388))</f>
        <v/>
      </c>
      <c r="J388" s="16" t="str">
        <f>IF(OR(A388="",B388=""),"",IFERROR(LOOKUP(2,1/(单次交易!$A$2:$A$201=A388),单次交易!$E$2:$E$201)*LOOKUP(2,1/(单次交易!$A$2:$A$201=A388),单次交易!$H$2:$H$201),0)+SUMIFS($H$2:$H$1001,$A$2:$A$1001,A388,$B$2:$B$1001,"&lt;"&amp;B388))</f>
        <v/>
      </c>
      <c r="K388" s="16" t="str">
        <f t="shared" si="55"/>
        <v/>
      </c>
      <c r="L388" s="17" t="str">
        <f t="shared" si="56"/>
        <v/>
      </c>
      <c r="M388" s="17" t="str">
        <f t="shared" si="57"/>
        <v/>
      </c>
      <c r="N388" s="17" t="str">
        <f t="shared" si="58"/>
        <v/>
      </c>
      <c r="O388" s="17" t="str">
        <f t="shared" si="59"/>
        <v/>
      </c>
      <c r="P388" s="16" t="str">
        <f t="shared" si="60"/>
        <v/>
      </c>
      <c r="Q388" s="16" t="str">
        <f t="shared" si="61"/>
        <v/>
      </c>
      <c r="R388" s="18" t="str">
        <f t="shared" si="62"/>
        <v/>
      </c>
    </row>
    <row r="389" spans="1:18">
      <c r="A389" s="12"/>
      <c r="B389" s="13"/>
      <c r="C389" s="14"/>
      <c r="D389" s="15"/>
      <c r="E389" s="15"/>
      <c r="F389" s="15"/>
      <c r="G389" s="13"/>
      <c r="H389" s="16" t="str">
        <f t="shared" si="54"/>
        <v/>
      </c>
      <c r="I389" s="17" t="str">
        <f>IF(OR(A389="",B389=""),"",IFERROR(LOOKUP(2,1/(单次交易!$A$2:$A$201=A389),单次交易!$H$2:$H$201),0)+SUMIFS($G$2:$G$1001,$A$2:$A$1001,A389,$B$2:$B$1001,"&lt;"&amp;B389))</f>
        <v/>
      </c>
      <c r="J389" s="16" t="str">
        <f>IF(OR(A389="",B389=""),"",IFERROR(LOOKUP(2,1/(单次交易!$A$2:$A$201=A389),单次交易!$E$2:$E$201)*LOOKUP(2,1/(单次交易!$A$2:$A$201=A389),单次交易!$H$2:$H$201),0)+SUMIFS($H$2:$H$1001,$A$2:$A$1001,A389,$B$2:$B$1001,"&lt;"&amp;B389))</f>
        <v/>
      </c>
      <c r="K389" s="16" t="str">
        <f t="shared" si="55"/>
        <v/>
      </c>
      <c r="L389" s="17" t="str">
        <f t="shared" si="56"/>
        <v/>
      </c>
      <c r="M389" s="17" t="str">
        <f t="shared" si="57"/>
        <v/>
      </c>
      <c r="N389" s="17" t="str">
        <f t="shared" si="58"/>
        <v/>
      </c>
      <c r="O389" s="17" t="str">
        <f t="shared" si="59"/>
        <v/>
      </c>
      <c r="P389" s="16" t="str">
        <f t="shared" si="60"/>
        <v/>
      </c>
      <c r="Q389" s="16" t="str">
        <f t="shared" si="61"/>
        <v/>
      </c>
      <c r="R389" s="18" t="str">
        <f t="shared" si="62"/>
        <v/>
      </c>
    </row>
    <row r="390" spans="1:18">
      <c r="A390" s="12"/>
      <c r="B390" s="13"/>
      <c r="C390" s="14"/>
      <c r="D390" s="15"/>
      <c r="E390" s="15"/>
      <c r="F390" s="15"/>
      <c r="G390" s="13"/>
      <c r="H390" s="16" t="str">
        <f t="shared" si="54"/>
        <v/>
      </c>
      <c r="I390" s="17" t="str">
        <f>IF(OR(A390="",B390=""),"",IFERROR(LOOKUP(2,1/(单次交易!$A$2:$A$201=A390),单次交易!$H$2:$H$201),0)+SUMIFS($G$2:$G$1001,$A$2:$A$1001,A390,$B$2:$B$1001,"&lt;"&amp;B390))</f>
        <v/>
      </c>
      <c r="J390" s="16" t="str">
        <f>IF(OR(A390="",B390=""),"",IFERROR(LOOKUP(2,1/(单次交易!$A$2:$A$201=A390),单次交易!$E$2:$E$201)*LOOKUP(2,1/(单次交易!$A$2:$A$201=A390),单次交易!$H$2:$H$201),0)+SUMIFS($H$2:$H$1001,$A$2:$A$1001,A390,$B$2:$B$1001,"&lt;"&amp;B390))</f>
        <v/>
      </c>
      <c r="K390" s="16" t="str">
        <f t="shared" si="55"/>
        <v/>
      </c>
      <c r="L390" s="17" t="str">
        <f t="shared" si="56"/>
        <v/>
      </c>
      <c r="M390" s="17" t="str">
        <f t="shared" si="57"/>
        <v/>
      </c>
      <c r="N390" s="17" t="str">
        <f t="shared" si="58"/>
        <v/>
      </c>
      <c r="O390" s="17" t="str">
        <f t="shared" si="59"/>
        <v/>
      </c>
      <c r="P390" s="16" t="str">
        <f t="shared" si="60"/>
        <v/>
      </c>
      <c r="Q390" s="16" t="str">
        <f t="shared" si="61"/>
        <v/>
      </c>
      <c r="R390" s="18" t="str">
        <f t="shared" si="62"/>
        <v/>
      </c>
    </row>
    <row r="391" spans="1:18">
      <c r="A391" s="12"/>
      <c r="B391" s="13"/>
      <c r="C391" s="14"/>
      <c r="D391" s="15"/>
      <c r="E391" s="15"/>
      <c r="F391" s="15"/>
      <c r="G391" s="13"/>
      <c r="H391" s="16" t="str">
        <f t="shared" si="54"/>
        <v/>
      </c>
      <c r="I391" s="17" t="str">
        <f>IF(OR(A391="",B391=""),"",IFERROR(LOOKUP(2,1/(单次交易!$A$2:$A$201=A391),单次交易!$H$2:$H$201),0)+SUMIFS($G$2:$G$1001,$A$2:$A$1001,A391,$B$2:$B$1001,"&lt;"&amp;B391))</f>
        <v/>
      </c>
      <c r="J391" s="16" t="str">
        <f>IF(OR(A391="",B391=""),"",IFERROR(LOOKUP(2,1/(单次交易!$A$2:$A$201=A391),单次交易!$E$2:$E$201)*LOOKUP(2,1/(单次交易!$A$2:$A$201=A391),单次交易!$H$2:$H$201),0)+SUMIFS($H$2:$H$1001,$A$2:$A$1001,A391,$B$2:$B$1001,"&lt;"&amp;B391))</f>
        <v/>
      </c>
      <c r="K391" s="16" t="str">
        <f t="shared" si="55"/>
        <v/>
      </c>
      <c r="L391" s="17" t="str">
        <f t="shared" si="56"/>
        <v/>
      </c>
      <c r="M391" s="17" t="str">
        <f t="shared" si="57"/>
        <v/>
      </c>
      <c r="N391" s="17" t="str">
        <f t="shared" si="58"/>
        <v/>
      </c>
      <c r="O391" s="17" t="str">
        <f t="shared" si="59"/>
        <v/>
      </c>
      <c r="P391" s="16" t="str">
        <f t="shared" si="60"/>
        <v/>
      </c>
      <c r="Q391" s="16" t="str">
        <f t="shared" si="61"/>
        <v/>
      </c>
      <c r="R391" s="18" t="str">
        <f t="shared" si="62"/>
        <v/>
      </c>
    </row>
    <row r="392" spans="1:18">
      <c r="A392" s="12"/>
      <c r="B392" s="13"/>
      <c r="C392" s="14"/>
      <c r="D392" s="15"/>
      <c r="E392" s="15"/>
      <c r="F392" s="15"/>
      <c r="G392" s="13"/>
      <c r="H392" s="16" t="str">
        <f t="shared" si="54"/>
        <v/>
      </c>
      <c r="I392" s="17" t="str">
        <f>IF(OR(A392="",B392=""),"",IFERROR(LOOKUP(2,1/(单次交易!$A$2:$A$201=A392),单次交易!$H$2:$H$201),0)+SUMIFS($G$2:$G$1001,$A$2:$A$1001,A392,$B$2:$B$1001,"&lt;"&amp;B392))</f>
        <v/>
      </c>
      <c r="J392" s="16" t="str">
        <f>IF(OR(A392="",B392=""),"",IFERROR(LOOKUP(2,1/(单次交易!$A$2:$A$201=A392),单次交易!$E$2:$E$201)*LOOKUP(2,1/(单次交易!$A$2:$A$201=A392),单次交易!$H$2:$H$201),0)+SUMIFS($H$2:$H$1001,$A$2:$A$1001,A392,$B$2:$B$1001,"&lt;"&amp;B392))</f>
        <v/>
      </c>
      <c r="K392" s="16" t="str">
        <f t="shared" si="55"/>
        <v/>
      </c>
      <c r="L392" s="17" t="str">
        <f t="shared" si="56"/>
        <v/>
      </c>
      <c r="M392" s="17" t="str">
        <f t="shared" si="57"/>
        <v/>
      </c>
      <c r="N392" s="17" t="str">
        <f t="shared" si="58"/>
        <v/>
      </c>
      <c r="O392" s="17" t="str">
        <f t="shared" si="59"/>
        <v/>
      </c>
      <c r="P392" s="16" t="str">
        <f t="shared" si="60"/>
        <v/>
      </c>
      <c r="Q392" s="16" t="str">
        <f t="shared" si="61"/>
        <v/>
      </c>
      <c r="R392" s="18" t="str">
        <f t="shared" si="62"/>
        <v/>
      </c>
    </row>
    <row r="393" spans="1:18">
      <c r="A393" s="12"/>
      <c r="B393" s="13"/>
      <c r="C393" s="14"/>
      <c r="D393" s="15"/>
      <c r="E393" s="15"/>
      <c r="F393" s="15"/>
      <c r="G393" s="13"/>
      <c r="H393" s="16" t="str">
        <f t="shared" si="54"/>
        <v/>
      </c>
      <c r="I393" s="17" t="str">
        <f>IF(OR(A393="",B393=""),"",IFERROR(LOOKUP(2,1/(单次交易!$A$2:$A$201=A393),单次交易!$H$2:$H$201),0)+SUMIFS($G$2:$G$1001,$A$2:$A$1001,A393,$B$2:$B$1001,"&lt;"&amp;B393))</f>
        <v/>
      </c>
      <c r="J393" s="16" t="str">
        <f>IF(OR(A393="",B393=""),"",IFERROR(LOOKUP(2,1/(单次交易!$A$2:$A$201=A393),单次交易!$E$2:$E$201)*LOOKUP(2,1/(单次交易!$A$2:$A$201=A393),单次交易!$H$2:$H$201),0)+SUMIFS($H$2:$H$1001,$A$2:$A$1001,A393,$B$2:$B$1001,"&lt;"&amp;B393))</f>
        <v/>
      </c>
      <c r="K393" s="16" t="str">
        <f t="shared" si="55"/>
        <v/>
      </c>
      <c r="L393" s="17" t="str">
        <f t="shared" si="56"/>
        <v/>
      </c>
      <c r="M393" s="17" t="str">
        <f t="shared" si="57"/>
        <v/>
      </c>
      <c r="N393" s="17" t="str">
        <f t="shared" si="58"/>
        <v/>
      </c>
      <c r="O393" s="17" t="str">
        <f t="shared" si="59"/>
        <v/>
      </c>
      <c r="P393" s="16" t="str">
        <f t="shared" si="60"/>
        <v/>
      </c>
      <c r="Q393" s="16" t="str">
        <f t="shared" si="61"/>
        <v/>
      </c>
      <c r="R393" s="18" t="str">
        <f t="shared" si="62"/>
        <v/>
      </c>
    </row>
    <row r="394" spans="1:18">
      <c r="A394" s="12"/>
      <c r="B394" s="13"/>
      <c r="C394" s="14"/>
      <c r="D394" s="15"/>
      <c r="E394" s="15"/>
      <c r="F394" s="15"/>
      <c r="G394" s="13"/>
      <c r="H394" s="16" t="str">
        <f t="shared" si="54"/>
        <v/>
      </c>
      <c r="I394" s="17" t="str">
        <f>IF(OR(A394="",B394=""),"",IFERROR(LOOKUP(2,1/(单次交易!$A$2:$A$201=A394),单次交易!$H$2:$H$201),0)+SUMIFS($G$2:$G$1001,$A$2:$A$1001,A394,$B$2:$B$1001,"&lt;"&amp;B394))</f>
        <v/>
      </c>
      <c r="J394" s="16" t="str">
        <f>IF(OR(A394="",B394=""),"",IFERROR(LOOKUP(2,1/(单次交易!$A$2:$A$201=A394),单次交易!$E$2:$E$201)*LOOKUP(2,1/(单次交易!$A$2:$A$201=A394),单次交易!$H$2:$H$201),0)+SUMIFS($H$2:$H$1001,$A$2:$A$1001,A394,$B$2:$B$1001,"&lt;"&amp;B394))</f>
        <v/>
      </c>
      <c r="K394" s="16" t="str">
        <f t="shared" si="55"/>
        <v/>
      </c>
      <c r="L394" s="17" t="str">
        <f t="shared" si="56"/>
        <v/>
      </c>
      <c r="M394" s="17" t="str">
        <f t="shared" si="57"/>
        <v/>
      </c>
      <c r="N394" s="17" t="str">
        <f t="shared" si="58"/>
        <v/>
      </c>
      <c r="O394" s="17" t="str">
        <f t="shared" si="59"/>
        <v/>
      </c>
      <c r="P394" s="16" t="str">
        <f t="shared" si="60"/>
        <v/>
      </c>
      <c r="Q394" s="16" t="str">
        <f t="shared" si="61"/>
        <v/>
      </c>
      <c r="R394" s="18" t="str">
        <f t="shared" si="62"/>
        <v/>
      </c>
    </row>
    <row r="395" spans="1:18">
      <c r="A395" s="12"/>
      <c r="B395" s="13"/>
      <c r="C395" s="14"/>
      <c r="D395" s="15"/>
      <c r="E395" s="15"/>
      <c r="F395" s="15"/>
      <c r="G395" s="13"/>
      <c r="H395" s="16" t="str">
        <f t="shared" si="54"/>
        <v/>
      </c>
      <c r="I395" s="17" t="str">
        <f>IF(OR(A395="",B395=""),"",IFERROR(LOOKUP(2,1/(单次交易!$A$2:$A$201=A395),单次交易!$H$2:$H$201),0)+SUMIFS($G$2:$G$1001,$A$2:$A$1001,A395,$B$2:$B$1001,"&lt;"&amp;B395))</f>
        <v/>
      </c>
      <c r="J395" s="16" t="str">
        <f>IF(OR(A395="",B395=""),"",IFERROR(LOOKUP(2,1/(单次交易!$A$2:$A$201=A395),单次交易!$E$2:$E$201)*LOOKUP(2,1/(单次交易!$A$2:$A$201=A395),单次交易!$H$2:$H$201),0)+SUMIFS($H$2:$H$1001,$A$2:$A$1001,A395,$B$2:$B$1001,"&lt;"&amp;B395))</f>
        <v/>
      </c>
      <c r="K395" s="16" t="str">
        <f t="shared" si="55"/>
        <v/>
      </c>
      <c r="L395" s="17" t="str">
        <f t="shared" si="56"/>
        <v/>
      </c>
      <c r="M395" s="17" t="str">
        <f t="shared" si="57"/>
        <v/>
      </c>
      <c r="N395" s="17" t="str">
        <f t="shared" si="58"/>
        <v/>
      </c>
      <c r="O395" s="17" t="str">
        <f t="shared" si="59"/>
        <v/>
      </c>
      <c r="P395" s="16" t="str">
        <f t="shared" si="60"/>
        <v/>
      </c>
      <c r="Q395" s="16" t="str">
        <f t="shared" si="61"/>
        <v/>
      </c>
      <c r="R395" s="18" t="str">
        <f t="shared" si="62"/>
        <v/>
      </c>
    </row>
    <row r="396" spans="1:18">
      <c r="A396" s="12"/>
      <c r="B396" s="13"/>
      <c r="C396" s="14"/>
      <c r="D396" s="15"/>
      <c r="E396" s="15"/>
      <c r="F396" s="15"/>
      <c r="G396" s="13"/>
      <c r="H396" s="16" t="str">
        <f t="shared" si="54"/>
        <v/>
      </c>
      <c r="I396" s="17" t="str">
        <f>IF(OR(A396="",B396=""),"",IFERROR(LOOKUP(2,1/(单次交易!$A$2:$A$201=A396),单次交易!$H$2:$H$201),0)+SUMIFS($G$2:$G$1001,$A$2:$A$1001,A396,$B$2:$B$1001,"&lt;"&amp;B396))</f>
        <v/>
      </c>
      <c r="J396" s="16" t="str">
        <f>IF(OR(A396="",B396=""),"",IFERROR(LOOKUP(2,1/(单次交易!$A$2:$A$201=A396),单次交易!$E$2:$E$201)*LOOKUP(2,1/(单次交易!$A$2:$A$201=A396),单次交易!$H$2:$H$201),0)+SUMIFS($H$2:$H$1001,$A$2:$A$1001,A396,$B$2:$B$1001,"&lt;"&amp;B396))</f>
        <v/>
      </c>
      <c r="K396" s="16" t="str">
        <f t="shared" si="55"/>
        <v/>
      </c>
      <c r="L396" s="17" t="str">
        <f t="shared" si="56"/>
        <v/>
      </c>
      <c r="M396" s="17" t="str">
        <f t="shared" si="57"/>
        <v/>
      </c>
      <c r="N396" s="17" t="str">
        <f t="shared" si="58"/>
        <v/>
      </c>
      <c r="O396" s="17" t="str">
        <f t="shared" si="59"/>
        <v/>
      </c>
      <c r="P396" s="16" t="str">
        <f t="shared" si="60"/>
        <v/>
      </c>
      <c r="Q396" s="16" t="str">
        <f t="shared" si="61"/>
        <v/>
      </c>
      <c r="R396" s="18" t="str">
        <f t="shared" si="62"/>
        <v/>
      </c>
    </row>
    <row r="397" spans="1:18">
      <c r="A397" s="12"/>
      <c r="B397" s="13"/>
      <c r="C397" s="14"/>
      <c r="D397" s="15"/>
      <c r="E397" s="15"/>
      <c r="F397" s="15"/>
      <c r="G397" s="13"/>
      <c r="H397" s="16" t="str">
        <f t="shared" si="54"/>
        <v/>
      </c>
      <c r="I397" s="17" t="str">
        <f>IF(OR(A397="",B397=""),"",IFERROR(LOOKUP(2,1/(单次交易!$A$2:$A$201=A397),单次交易!$H$2:$H$201),0)+SUMIFS($G$2:$G$1001,$A$2:$A$1001,A397,$B$2:$B$1001,"&lt;"&amp;B397))</f>
        <v/>
      </c>
      <c r="J397" s="16" t="str">
        <f>IF(OR(A397="",B397=""),"",IFERROR(LOOKUP(2,1/(单次交易!$A$2:$A$201=A397),单次交易!$E$2:$E$201)*LOOKUP(2,1/(单次交易!$A$2:$A$201=A397),单次交易!$H$2:$H$201),0)+SUMIFS($H$2:$H$1001,$A$2:$A$1001,A397,$B$2:$B$1001,"&lt;"&amp;B397))</f>
        <v/>
      </c>
      <c r="K397" s="16" t="str">
        <f t="shared" si="55"/>
        <v/>
      </c>
      <c r="L397" s="17" t="str">
        <f t="shared" si="56"/>
        <v/>
      </c>
      <c r="M397" s="17" t="str">
        <f t="shared" si="57"/>
        <v/>
      </c>
      <c r="N397" s="17" t="str">
        <f t="shared" si="58"/>
        <v/>
      </c>
      <c r="O397" s="17" t="str">
        <f t="shared" si="59"/>
        <v/>
      </c>
      <c r="P397" s="16" t="str">
        <f t="shared" si="60"/>
        <v/>
      </c>
      <c r="Q397" s="16" t="str">
        <f t="shared" si="61"/>
        <v/>
      </c>
      <c r="R397" s="18" t="str">
        <f t="shared" si="62"/>
        <v/>
      </c>
    </row>
    <row r="398" spans="1:18">
      <c r="A398" s="12"/>
      <c r="B398" s="13"/>
      <c r="C398" s="14"/>
      <c r="D398" s="15"/>
      <c r="E398" s="15"/>
      <c r="F398" s="15"/>
      <c r="G398" s="13"/>
      <c r="H398" s="16" t="str">
        <f t="shared" si="54"/>
        <v/>
      </c>
      <c r="I398" s="17" t="str">
        <f>IF(OR(A398="",B398=""),"",IFERROR(LOOKUP(2,1/(单次交易!$A$2:$A$201=A398),单次交易!$H$2:$H$201),0)+SUMIFS($G$2:$G$1001,$A$2:$A$1001,A398,$B$2:$B$1001,"&lt;"&amp;B398))</f>
        <v/>
      </c>
      <c r="J398" s="16" t="str">
        <f>IF(OR(A398="",B398=""),"",IFERROR(LOOKUP(2,1/(单次交易!$A$2:$A$201=A398),单次交易!$E$2:$E$201)*LOOKUP(2,1/(单次交易!$A$2:$A$201=A398),单次交易!$H$2:$H$201),0)+SUMIFS($H$2:$H$1001,$A$2:$A$1001,A398,$B$2:$B$1001,"&lt;"&amp;B398))</f>
        <v/>
      </c>
      <c r="K398" s="16" t="str">
        <f t="shared" si="55"/>
        <v/>
      </c>
      <c r="L398" s="17" t="str">
        <f t="shared" si="56"/>
        <v/>
      </c>
      <c r="M398" s="17" t="str">
        <f t="shared" si="57"/>
        <v/>
      </c>
      <c r="N398" s="17" t="str">
        <f t="shared" si="58"/>
        <v/>
      </c>
      <c r="O398" s="17" t="str">
        <f t="shared" si="59"/>
        <v/>
      </c>
      <c r="P398" s="16" t="str">
        <f t="shared" si="60"/>
        <v/>
      </c>
      <c r="Q398" s="16" t="str">
        <f t="shared" si="61"/>
        <v/>
      </c>
      <c r="R398" s="18" t="str">
        <f t="shared" si="62"/>
        <v/>
      </c>
    </row>
    <row r="399" spans="1:18">
      <c r="A399" s="12"/>
      <c r="B399" s="13"/>
      <c r="C399" s="14"/>
      <c r="D399" s="15"/>
      <c r="E399" s="15"/>
      <c r="F399" s="15"/>
      <c r="G399" s="13"/>
      <c r="H399" s="16" t="str">
        <f t="shared" si="54"/>
        <v/>
      </c>
      <c r="I399" s="17" t="str">
        <f>IF(OR(A399="",B399=""),"",IFERROR(LOOKUP(2,1/(单次交易!$A$2:$A$201=A399),单次交易!$H$2:$H$201),0)+SUMIFS($G$2:$G$1001,$A$2:$A$1001,A399,$B$2:$B$1001,"&lt;"&amp;B399))</f>
        <v/>
      </c>
      <c r="J399" s="16" t="str">
        <f>IF(OR(A399="",B399=""),"",IFERROR(LOOKUP(2,1/(单次交易!$A$2:$A$201=A399),单次交易!$E$2:$E$201)*LOOKUP(2,1/(单次交易!$A$2:$A$201=A399),单次交易!$H$2:$H$201),0)+SUMIFS($H$2:$H$1001,$A$2:$A$1001,A399,$B$2:$B$1001,"&lt;"&amp;B399))</f>
        <v/>
      </c>
      <c r="K399" s="16" t="str">
        <f t="shared" si="55"/>
        <v/>
      </c>
      <c r="L399" s="17" t="str">
        <f t="shared" si="56"/>
        <v/>
      </c>
      <c r="M399" s="17" t="str">
        <f t="shared" si="57"/>
        <v/>
      </c>
      <c r="N399" s="17" t="str">
        <f t="shared" si="58"/>
        <v/>
      </c>
      <c r="O399" s="17" t="str">
        <f t="shared" si="59"/>
        <v/>
      </c>
      <c r="P399" s="16" t="str">
        <f t="shared" si="60"/>
        <v/>
      </c>
      <c r="Q399" s="16" t="str">
        <f t="shared" si="61"/>
        <v/>
      </c>
      <c r="R399" s="18" t="str">
        <f t="shared" si="62"/>
        <v/>
      </c>
    </row>
    <row r="400" spans="1:18">
      <c r="A400" s="12"/>
      <c r="B400" s="13"/>
      <c r="C400" s="14"/>
      <c r="D400" s="15"/>
      <c r="E400" s="15"/>
      <c r="F400" s="15"/>
      <c r="G400" s="13"/>
      <c r="H400" s="16" t="str">
        <f t="shared" si="54"/>
        <v/>
      </c>
      <c r="I400" s="17" t="str">
        <f>IF(OR(A400="",B400=""),"",IFERROR(LOOKUP(2,1/(单次交易!$A$2:$A$201=A400),单次交易!$H$2:$H$201),0)+SUMIFS($G$2:$G$1001,$A$2:$A$1001,A400,$B$2:$B$1001,"&lt;"&amp;B400))</f>
        <v/>
      </c>
      <c r="J400" s="16" t="str">
        <f>IF(OR(A400="",B400=""),"",IFERROR(LOOKUP(2,1/(单次交易!$A$2:$A$201=A400),单次交易!$E$2:$E$201)*LOOKUP(2,1/(单次交易!$A$2:$A$201=A400),单次交易!$H$2:$H$201),0)+SUMIFS($H$2:$H$1001,$A$2:$A$1001,A400,$B$2:$B$1001,"&lt;"&amp;B400))</f>
        <v/>
      </c>
      <c r="K400" s="16" t="str">
        <f t="shared" si="55"/>
        <v/>
      </c>
      <c r="L400" s="17" t="str">
        <f t="shared" si="56"/>
        <v/>
      </c>
      <c r="M400" s="17" t="str">
        <f t="shared" si="57"/>
        <v/>
      </c>
      <c r="N400" s="17" t="str">
        <f t="shared" si="58"/>
        <v/>
      </c>
      <c r="O400" s="17" t="str">
        <f t="shared" si="59"/>
        <v/>
      </c>
      <c r="P400" s="16" t="str">
        <f t="shared" si="60"/>
        <v/>
      </c>
      <c r="Q400" s="16" t="str">
        <f t="shared" si="61"/>
        <v/>
      </c>
      <c r="R400" s="18" t="str">
        <f t="shared" si="62"/>
        <v/>
      </c>
    </row>
    <row r="401" spans="1:18">
      <c r="A401" s="12"/>
      <c r="B401" s="13"/>
      <c r="C401" s="14"/>
      <c r="D401" s="15"/>
      <c r="E401" s="15"/>
      <c r="F401" s="15"/>
      <c r="G401" s="13"/>
      <c r="H401" s="16" t="str">
        <f t="shared" si="54"/>
        <v/>
      </c>
      <c r="I401" s="17" t="str">
        <f>IF(OR(A401="",B401=""),"",IFERROR(LOOKUP(2,1/(单次交易!$A$2:$A$201=A401),单次交易!$H$2:$H$201),0)+SUMIFS($G$2:$G$1001,$A$2:$A$1001,A401,$B$2:$B$1001,"&lt;"&amp;B401))</f>
        <v/>
      </c>
      <c r="J401" s="16" t="str">
        <f>IF(OR(A401="",B401=""),"",IFERROR(LOOKUP(2,1/(单次交易!$A$2:$A$201=A401),单次交易!$E$2:$E$201)*LOOKUP(2,1/(单次交易!$A$2:$A$201=A401),单次交易!$H$2:$H$201),0)+SUMIFS($H$2:$H$1001,$A$2:$A$1001,A401,$B$2:$B$1001,"&lt;"&amp;B401))</f>
        <v/>
      </c>
      <c r="K401" s="16" t="str">
        <f t="shared" si="55"/>
        <v/>
      </c>
      <c r="L401" s="17" t="str">
        <f t="shared" si="56"/>
        <v/>
      </c>
      <c r="M401" s="17" t="str">
        <f t="shared" si="57"/>
        <v/>
      </c>
      <c r="N401" s="17" t="str">
        <f t="shared" si="58"/>
        <v/>
      </c>
      <c r="O401" s="17" t="str">
        <f t="shared" si="59"/>
        <v/>
      </c>
      <c r="P401" s="16" t="str">
        <f t="shared" si="60"/>
        <v/>
      </c>
      <c r="Q401" s="16" t="str">
        <f t="shared" si="61"/>
        <v/>
      </c>
      <c r="R401" s="18" t="str">
        <f t="shared" si="62"/>
        <v/>
      </c>
    </row>
    <row r="402" spans="1:18">
      <c r="A402" s="12"/>
      <c r="B402" s="13"/>
      <c r="C402" s="14"/>
      <c r="D402" s="15"/>
      <c r="E402" s="15"/>
      <c r="F402" s="15"/>
      <c r="G402" s="13"/>
      <c r="H402" s="16" t="str">
        <f t="shared" si="54"/>
        <v/>
      </c>
      <c r="I402" s="17" t="str">
        <f>IF(OR(A402="",B402=""),"",IFERROR(LOOKUP(2,1/(单次交易!$A$2:$A$201=A402),单次交易!$H$2:$H$201),0)+SUMIFS($G$2:$G$1001,$A$2:$A$1001,A402,$B$2:$B$1001,"&lt;"&amp;B402))</f>
        <v/>
      </c>
      <c r="J402" s="16" t="str">
        <f>IF(OR(A402="",B402=""),"",IFERROR(LOOKUP(2,1/(单次交易!$A$2:$A$201=A402),单次交易!$E$2:$E$201)*LOOKUP(2,1/(单次交易!$A$2:$A$201=A402),单次交易!$H$2:$H$201),0)+SUMIFS($H$2:$H$1001,$A$2:$A$1001,A402,$B$2:$B$1001,"&lt;"&amp;B402))</f>
        <v/>
      </c>
      <c r="K402" s="16" t="str">
        <f t="shared" si="55"/>
        <v/>
      </c>
      <c r="L402" s="17" t="str">
        <f t="shared" si="56"/>
        <v/>
      </c>
      <c r="M402" s="17" t="str">
        <f t="shared" si="57"/>
        <v/>
      </c>
      <c r="N402" s="17" t="str">
        <f t="shared" si="58"/>
        <v/>
      </c>
      <c r="O402" s="17" t="str">
        <f t="shared" si="59"/>
        <v/>
      </c>
      <c r="P402" s="16" t="str">
        <f t="shared" si="60"/>
        <v/>
      </c>
      <c r="Q402" s="16" t="str">
        <f t="shared" si="61"/>
        <v/>
      </c>
      <c r="R402" s="18" t="str">
        <f t="shared" si="62"/>
        <v/>
      </c>
    </row>
    <row r="403" spans="1:18">
      <c r="A403" s="12"/>
      <c r="B403" s="13"/>
      <c r="C403" s="14"/>
      <c r="D403" s="15"/>
      <c r="E403" s="15"/>
      <c r="F403" s="15"/>
      <c r="G403" s="13"/>
      <c r="H403" s="16" t="str">
        <f t="shared" si="54"/>
        <v/>
      </c>
      <c r="I403" s="17" t="str">
        <f>IF(OR(A403="",B403=""),"",IFERROR(LOOKUP(2,1/(单次交易!$A$2:$A$201=A403),单次交易!$H$2:$H$201),0)+SUMIFS($G$2:$G$1001,$A$2:$A$1001,A403,$B$2:$B$1001,"&lt;"&amp;B403))</f>
        <v/>
      </c>
      <c r="J403" s="16" t="str">
        <f>IF(OR(A403="",B403=""),"",IFERROR(LOOKUP(2,1/(单次交易!$A$2:$A$201=A403),单次交易!$E$2:$E$201)*LOOKUP(2,1/(单次交易!$A$2:$A$201=A403),单次交易!$H$2:$H$201),0)+SUMIFS($H$2:$H$1001,$A$2:$A$1001,A403,$B$2:$B$1001,"&lt;"&amp;B403))</f>
        <v/>
      </c>
      <c r="K403" s="16" t="str">
        <f t="shared" si="55"/>
        <v/>
      </c>
      <c r="L403" s="17" t="str">
        <f t="shared" si="56"/>
        <v/>
      </c>
      <c r="M403" s="17" t="str">
        <f t="shared" si="57"/>
        <v/>
      </c>
      <c r="N403" s="17" t="str">
        <f t="shared" si="58"/>
        <v/>
      </c>
      <c r="O403" s="17" t="str">
        <f t="shared" si="59"/>
        <v/>
      </c>
      <c r="P403" s="16" t="str">
        <f t="shared" si="60"/>
        <v/>
      </c>
      <c r="Q403" s="16" t="str">
        <f t="shared" si="61"/>
        <v/>
      </c>
      <c r="R403" s="18" t="str">
        <f t="shared" si="62"/>
        <v/>
      </c>
    </row>
    <row r="404" spans="1:18">
      <c r="A404" s="12"/>
      <c r="B404" s="13"/>
      <c r="C404" s="14"/>
      <c r="D404" s="15"/>
      <c r="E404" s="15"/>
      <c r="F404" s="15"/>
      <c r="G404" s="13"/>
      <c r="H404" s="16" t="str">
        <f t="shared" si="54"/>
        <v/>
      </c>
      <c r="I404" s="17" t="str">
        <f>IF(OR(A404="",B404=""),"",IFERROR(LOOKUP(2,1/(单次交易!$A$2:$A$201=A404),单次交易!$H$2:$H$201),0)+SUMIFS($G$2:$G$1001,$A$2:$A$1001,A404,$B$2:$B$1001,"&lt;"&amp;B404))</f>
        <v/>
      </c>
      <c r="J404" s="16" t="str">
        <f>IF(OR(A404="",B404=""),"",IFERROR(LOOKUP(2,1/(单次交易!$A$2:$A$201=A404),单次交易!$E$2:$E$201)*LOOKUP(2,1/(单次交易!$A$2:$A$201=A404),单次交易!$H$2:$H$201),0)+SUMIFS($H$2:$H$1001,$A$2:$A$1001,A404,$B$2:$B$1001,"&lt;"&amp;B404))</f>
        <v/>
      </c>
      <c r="K404" s="16" t="str">
        <f t="shared" si="55"/>
        <v/>
      </c>
      <c r="L404" s="17" t="str">
        <f t="shared" si="56"/>
        <v/>
      </c>
      <c r="M404" s="17" t="str">
        <f t="shared" si="57"/>
        <v/>
      </c>
      <c r="N404" s="17" t="str">
        <f t="shared" si="58"/>
        <v/>
      </c>
      <c r="O404" s="17" t="str">
        <f t="shared" si="59"/>
        <v/>
      </c>
      <c r="P404" s="16" t="str">
        <f t="shared" si="60"/>
        <v/>
      </c>
      <c r="Q404" s="16" t="str">
        <f t="shared" si="61"/>
        <v/>
      </c>
      <c r="R404" s="18" t="str">
        <f t="shared" si="62"/>
        <v/>
      </c>
    </row>
    <row r="405" spans="1:18">
      <c r="A405" s="12"/>
      <c r="B405" s="13"/>
      <c r="C405" s="14"/>
      <c r="D405" s="15"/>
      <c r="E405" s="15"/>
      <c r="F405" s="15"/>
      <c r="G405" s="13"/>
      <c r="H405" s="16" t="str">
        <f t="shared" si="54"/>
        <v/>
      </c>
      <c r="I405" s="17" t="str">
        <f>IF(OR(A405="",B405=""),"",IFERROR(LOOKUP(2,1/(单次交易!$A$2:$A$201=A405),单次交易!$H$2:$H$201),0)+SUMIFS($G$2:$G$1001,$A$2:$A$1001,A405,$B$2:$B$1001,"&lt;"&amp;B405))</f>
        <v/>
      </c>
      <c r="J405" s="16" t="str">
        <f>IF(OR(A405="",B405=""),"",IFERROR(LOOKUP(2,1/(单次交易!$A$2:$A$201=A405),单次交易!$E$2:$E$201)*LOOKUP(2,1/(单次交易!$A$2:$A$201=A405),单次交易!$H$2:$H$201),0)+SUMIFS($H$2:$H$1001,$A$2:$A$1001,A405,$B$2:$B$1001,"&lt;"&amp;B405))</f>
        <v/>
      </c>
      <c r="K405" s="16" t="str">
        <f t="shared" si="55"/>
        <v/>
      </c>
      <c r="L405" s="17" t="str">
        <f t="shared" si="56"/>
        <v/>
      </c>
      <c r="M405" s="17" t="str">
        <f t="shared" si="57"/>
        <v/>
      </c>
      <c r="N405" s="17" t="str">
        <f t="shared" si="58"/>
        <v/>
      </c>
      <c r="O405" s="17" t="str">
        <f t="shared" si="59"/>
        <v/>
      </c>
      <c r="P405" s="16" t="str">
        <f t="shared" si="60"/>
        <v/>
      </c>
      <c r="Q405" s="16" t="str">
        <f t="shared" si="61"/>
        <v/>
      </c>
      <c r="R405" s="18" t="str">
        <f t="shared" si="62"/>
        <v/>
      </c>
    </row>
    <row r="406" spans="1:18">
      <c r="A406" s="12"/>
      <c r="B406" s="13"/>
      <c r="C406" s="14"/>
      <c r="D406" s="15"/>
      <c r="E406" s="15"/>
      <c r="F406" s="15"/>
      <c r="G406" s="13"/>
      <c r="H406" s="16" t="str">
        <f t="shared" si="54"/>
        <v/>
      </c>
      <c r="I406" s="17" t="str">
        <f>IF(OR(A406="",B406=""),"",IFERROR(LOOKUP(2,1/(单次交易!$A$2:$A$201=A406),单次交易!$H$2:$H$201),0)+SUMIFS($G$2:$G$1001,$A$2:$A$1001,A406,$B$2:$B$1001,"&lt;"&amp;B406))</f>
        <v/>
      </c>
      <c r="J406" s="16" t="str">
        <f>IF(OR(A406="",B406=""),"",IFERROR(LOOKUP(2,1/(单次交易!$A$2:$A$201=A406),单次交易!$E$2:$E$201)*LOOKUP(2,1/(单次交易!$A$2:$A$201=A406),单次交易!$H$2:$H$201),0)+SUMIFS($H$2:$H$1001,$A$2:$A$1001,A406,$B$2:$B$1001,"&lt;"&amp;B406))</f>
        <v/>
      </c>
      <c r="K406" s="16" t="str">
        <f t="shared" si="55"/>
        <v/>
      </c>
      <c r="L406" s="17" t="str">
        <f t="shared" si="56"/>
        <v/>
      </c>
      <c r="M406" s="17" t="str">
        <f t="shared" si="57"/>
        <v/>
      </c>
      <c r="N406" s="17" t="str">
        <f t="shared" si="58"/>
        <v/>
      </c>
      <c r="O406" s="17" t="str">
        <f t="shared" si="59"/>
        <v/>
      </c>
      <c r="P406" s="16" t="str">
        <f t="shared" si="60"/>
        <v/>
      </c>
      <c r="Q406" s="16" t="str">
        <f t="shared" si="61"/>
        <v/>
      </c>
      <c r="R406" s="18" t="str">
        <f t="shared" si="62"/>
        <v/>
      </c>
    </row>
    <row r="407" spans="1:18">
      <c r="A407" s="12"/>
      <c r="B407" s="13"/>
      <c r="C407" s="14"/>
      <c r="D407" s="15"/>
      <c r="E407" s="15"/>
      <c r="F407" s="15"/>
      <c r="G407" s="13"/>
      <c r="H407" s="16" t="str">
        <f t="shared" si="54"/>
        <v/>
      </c>
      <c r="I407" s="17" t="str">
        <f>IF(OR(A407="",B407=""),"",IFERROR(LOOKUP(2,1/(单次交易!$A$2:$A$201=A407),单次交易!$H$2:$H$201),0)+SUMIFS($G$2:$G$1001,$A$2:$A$1001,A407,$B$2:$B$1001,"&lt;"&amp;B407))</f>
        <v/>
      </c>
      <c r="J407" s="16" t="str">
        <f>IF(OR(A407="",B407=""),"",IFERROR(LOOKUP(2,1/(单次交易!$A$2:$A$201=A407),单次交易!$E$2:$E$201)*LOOKUP(2,1/(单次交易!$A$2:$A$201=A407),单次交易!$H$2:$H$201),0)+SUMIFS($H$2:$H$1001,$A$2:$A$1001,A407,$B$2:$B$1001,"&lt;"&amp;B407))</f>
        <v/>
      </c>
      <c r="K407" s="16" t="str">
        <f t="shared" si="55"/>
        <v/>
      </c>
      <c r="L407" s="17" t="str">
        <f t="shared" si="56"/>
        <v/>
      </c>
      <c r="M407" s="17" t="str">
        <f t="shared" si="57"/>
        <v/>
      </c>
      <c r="N407" s="17" t="str">
        <f t="shared" si="58"/>
        <v/>
      </c>
      <c r="O407" s="17" t="str">
        <f t="shared" si="59"/>
        <v/>
      </c>
      <c r="P407" s="16" t="str">
        <f t="shared" si="60"/>
        <v/>
      </c>
      <c r="Q407" s="16" t="str">
        <f t="shared" si="61"/>
        <v/>
      </c>
      <c r="R407" s="18" t="str">
        <f t="shared" si="62"/>
        <v/>
      </c>
    </row>
    <row r="408" spans="1:18">
      <c r="A408" s="12"/>
      <c r="B408" s="13"/>
      <c r="C408" s="14"/>
      <c r="D408" s="15"/>
      <c r="E408" s="15"/>
      <c r="F408" s="15"/>
      <c r="G408" s="13"/>
      <c r="H408" s="16" t="str">
        <f t="shared" si="54"/>
        <v/>
      </c>
      <c r="I408" s="17" t="str">
        <f>IF(OR(A408="",B408=""),"",IFERROR(LOOKUP(2,1/(单次交易!$A$2:$A$201=A408),单次交易!$H$2:$H$201),0)+SUMIFS($G$2:$G$1001,$A$2:$A$1001,A408,$B$2:$B$1001,"&lt;"&amp;B408))</f>
        <v/>
      </c>
      <c r="J408" s="16" t="str">
        <f>IF(OR(A408="",B408=""),"",IFERROR(LOOKUP(2,1/(单次交易!$A$2:$A$201=A408),单次交易!$E$2:$E$201)*LOOKUP(2,1/(单次交易!$A$2:$A$201=A408),单次交易!$H$2:$H$201),0)+SUMIFS($H$2:$H$1001,$A$2:$A$1001,A408,$B$2:$B$1001,"&lt;"&amp;B408))</f>
        <v/>
      </c>
      <c r="K408" s="16" t="str">
        <f t="shared" si="55"/>
        <v/>
      </c>
      <c r="L408" s="17" t="str">
        <f t="shared" si="56"/>
        <v/>
      </c>
      <c r="M408" s="17" t="str">
        <f t="shared" si="57"/>
        <v/>
      </c>
      <c r="N408" s="17" t="str">
        <f t="shared" si="58"/>
        <v/>
      </c>
      <c r="O408" s="17" t="str">
        <f t="shared" si="59"/>
        <v/>
      </c>
      <c r="P408" s="16" t="str">
        <f t="shared" si="60"/>
        <v/>
      </c>
      <c r="Q408" s="16" t="str">
        <f t="shared" si="61"/>
        <v/>
      </c>
      <c r="R408" s="18" t="str">
        <f t="shared" si="62"/>
        <v/>
      </c>
    </row>
    <row r="409" spans="1:18">
      <c r="A409" s="12"/>
      <c r="B409" s="13"/>
      <c r="C409" s="14"/>
      <c r="D409" s="15"/>
      <c r="E409" s="15"/>
      <c r="F409" s="15"/>
      <c r="G409" s="13"/>
      <c r="H409" s="16" t="str">
        <f t="shared" si="54"/>
        <v/>
      </c>
      <c r="I409" s="17" t="str">
        <f>IF(OR(A409="",B409=""),"",IFERROR(LOOKUP(2,1/(单次交易!$A$2:$A$201=A409),单次交易!$H$2:$H$201),0)+SUMIFS($G$2:$G$1001,$A$2:$A$1001,A409,$B$2:$B$1001,"&lt;"&amp;B409))</f>
        <v/>
      </c>
      <c r="J409" s="16" t="str">
        <f>IF(OR(A409="",B409=""),"",IFERROR(LOOKUP(2,1/(单次交易!$A$2:$A$201=A409),单次交易!$E$2:$E$201)*LOOKUP(2,1/(单次交易!$A$2:$A$201=A409),单次交易!$H$2:$H$201),0)+SUMIFS($H$2:$H$1001,$A$2:$A$1001,A409,$B$2:$B$1001,"&lt;"&amp;B409))</f>
        <v/>
      </c>
      <c r="K409" s="16" t="str">
        <f t="shared" si="55"/>
        <v/>
      </c>
      <c r="L409" s="17" t="str">
        <f t="shared" si="56"/>
        <v/>
      </c>
      <c r="M409" s="17" t="str">
        <f t="shared" si="57"/>
        <v/>
      </c>
      <c r="N409" s="17" t="str">
        <f t="shared" si="58"/>
        <v/>
      </c>
      <c r="O409" s="17" t="str">
        <f t="shared" si="59"/>
        <v/>
      </c>
      <c r="P409" s="16" t="str">
        <f t="shared" si="60"/>
        <v/>
      </c>
      <c r="Q409" s="16" t="str">
        <f t="shared" si="61"/>
        <v/>
      </c>
      <c r="R409" s="18" t="str">
        <f t="shared" si="62"/>
        <v/>
      </c>
    </row>
    <row r="410" spans="1:18">
      <c r="A410" s="12"/>
      <c r="B410" s="13"/>
      <c r="C410" s="14"/>
      <c r="D410" s="15"/>
      <c r="E410" s="15"/>
      <c r="F410" s="15"/>
      <c r="G410" s="13"/>
      <c r="H410" s="16" t="str">
        <f t="shared" si="54"/>
        <v/>
      </c>
      <c r="I410" s="17" t="str">
        <f>IF(OR(A410="",B410=""),"",IFERROR(LOOKUP(2,1/(单次交易!$A$2:$A$201=A410),单次交易!$H$2:$H$201),0)+SUMIFS($G$2:$G$1001,$A$2:$A$1001,A410,$B$2:$B$1001,"&lt;"&amp;B410))</f>
        <v/>
      </c>
      <c r="J410" s="16" t="str">
        <f>IF(OR(A410="",B410=""),"",IFERROR(LOOKUP(2,1/(单次交易!$A$2:$A$201=A410),单次交易!$E$2:$E$201)*LOOKUP(2,1/(单次交易!$A$2:$A$201=A410),单次交易!$H$2:$H$201),0)+SUMIFS($H$2:$H$1001,$A$2:$A$1001,A410,$B$2:$B$1001,"&lt;"&amp;B410))</f>
        <v/>
      </c>
      <c r="K410" s="16" t="str">
        <f t="shared" si="55"/>
        <v/>
      </c>
      <c r="L410" s="17" t="str">
        <f t="shared" si="56"/>
        <v/>
      </c>
      <c r="M410" s="17" t="str">
        <f t="shared" si="57"/>
        <v/>
      </c>
      <c r="N410" s="17" t="str">
        <f t="shared" si="58"/>
        <v/>
      </c>
      <c r="O410" s="17" t="str">
        <f t="shared" si="59"/>
        <v/>
      </c>
      <c r="P410" s="16" t="str">
        <f t="shared" si="60"/>
        <v/>
      </c>
      <c r="Q410" s="16" t="str">
        <f t="shared" si="61"/>
        <v/>
      </c>
      <c r="R410" s="18" t="str">
        <f t="shared" si="62"/>
        <v/>
      </c>
    </row>
    <row r="411" spans="1:18">
      <c r="A411" s="12"/>
      <c r="B411" s="13"/>
      <c r="C411" s="14"/>
      <c r="D411" s="15"/>
      <c r="E411" s="15"/>
      <c r="F411" s="15"/>
      <c r="G411" s="13"/>
      <c r="H411" s="16" t="str">
        <f t="shared" si="54"/>
        <v/>
      </c>
      <c r="I411" s="17" t="str">
        <f>IF(OR(A411="",B411=""),"",IFERROR(LOOKUP(2,1/(单次交易!$A$2:$A$201=A411),单次交易!$H$2:$H$201),0)+SUMIFS($G$2:$G$1001,$A$2:$A$1001,A411,$B$2:$B$1001,"&lt;"&amp;B411))</f>
        <v/>
      </c>
      <c r="J411" s="16" t="str">
        <f>IF(OR(A411="",B411=""),"",IFERROR(LOOKUP(2,1/(单次交易!$A$2:$A$201=A411),单次交易!$E$2:$E$201)*LOOKUP(2,1/(单次交易!$A$2:$A$201=A411),单次交易!$H$2:$H$201),0)+SUMIFS($H$2:$H$1001,$A$2:$A$1001,A411,$B$2:$B$1001,"&lt;"&amp;B411))</f>
        <v/>
      </c>
      <c r="K411" s="16" t="str">
        <f t="shared" si="55"/>
        <v/>
      </c>
      <c r="L411" s="17" t="str">
        <f t="shared" si="56"/>
        <v/>
      </c>
      <c r="M411" s="17" t="str">
        <f t="shared" si="57"/>
        <v/>
      </c>
      <c r="N411" s="17" t="str">
        <f t="shared" si="58"/>
        <v/>
      </c>
      <c r="O411" s="17" t="str">
        <f t="shared" si="59"/>
        <v/>
      </c>
      <c r="P411" s="16" t="str">
        <f t="shared" si="60"/>
        <v/>
      </c>
      <c r="Q411" s="16" t="str">
        <f t="shared" si="61"/>
        <v/>
      </c>
      <c r="R411" s="18" t="str">
        <f t="shared" si="62"/>
        <v/>
      </c>
    </row>
    <row r="412" spans="1:18">
      <c r="A412" s="12"/>
      <c r="B412" s="13"/>
      <c r="C412" s="14"/>
      <c r="D412" s="15"/>
      <c r="E412" s="15"/>
      <c r="F412" s="15"/>
      <c r="G412" s="13"/>
      <c r="H412" s="16" t="str">
        <f t="shared" si="54"/>
        <v/>
      </c>
      <c r="I412" s="17" t="str">
        <f>IF(OR(A412="",B412=""),"",IFERROR(LOOKUP(2,1/(单次交易!$A$2:$A$201=A412),单次交易!$H$2:$H$201),0)+SUMIFS($G$2:$G$1001,$A$2:$A$1001,A412,$B$2:$B$1001,"&lt;"&amp;B412))</f>
        <v/>
      </c>
      <c r="J412" s="16" t="str">
        <f>IF(OR(A412="",B412=""),"",IFERROR(LOOKUP(2,1/(单次交易!$A$2:$A$201=A412),单次交易!$E$2:$E$201)*LOOKUP(2,1/(单次交易!$A$2:$A$201=A412),单次交易!$H$2:$H$201),0)+SUMIFS($H$2:$H$1001,$A$2:$A$1001,A412,$B$2:$B$1001,"&lt;"&amp;B412))</f>
        <v/>
      </c>
      <c r="K412" s="16" t="str">
        <f t="shared" si="55"/>
        <v/>
      </c>
      <c r="L412" s="17" t="str">
        <f t="shared" si="56"/>
        <v/>
      </c>
      <c r="M412" s="17" t="str">
        <f t="shared" si="57"/>
        <v/>
      </c>
      <c r="N412" s="17" t="str">
        <f t="shared" si="58"/>
        <v/>
      </c>
      <c r="O412" s="17" t="str">
        <f t="shared" si="59"/>
        <v/>
      </c>
      <c r="P412" s="16" t="str">
        <f t="shared" si="60"/>
        <v/>
      </c>
      <c r="Q412" s="16" t="str">
        <f t="shared" si="61"/>
        <v/>
      </c>
      <c r="R412" s="18" t="str">
        <f t="shared" si="62"/>
        <v/>
      </c>
    </row>
    <row r="413" spans="1:18">
      <c r="A413" s="12"/>
      <c r="B413" s="13"/>
      <c r="C413" s="14"/>
      <c r="D413" s="15"/>
      <c r="E413" s="15"/>
      <c r="F413" s="15"/>
      <c r="G413" s="13"/>
      <c r="H413" s="16" t="str">
        <f t="shared" si="54"/>
        <v/>
      </c>
      <c r="I413" s="17" t="str">
        <f>IF(OR(A413="",B413=""),"",IFERROR(LOOKUP(2,1/(单次交易!$A$2:$A$201=A413),单次交易!$H$2:$H$201),0)+SUMIFS($G$2:$G$1001,$A$2:$A$1001,A413,$B$2:$B$1001,"&lt;"&amp;B413))</f>
        <v/>
      </c>
      <c r="J413" s="16" t="str">
        <f>IF(OR(A413="",B413=""),"",IFERROR(LOOKUP(2,1/(单次交易!$A$2:$A$201=A413),单次交易!$E$2:$E$201)*LOOKUP(2,1/(单次交易!$A$2:$A$201=A413),单次交易!$H$2:$H$201),0)+SUMIFS($H$2:$H$1001,$A$2:$A$1001,A413,$B$2:$B$1001,"&lt;"&amp;B413))</f>
        <v/>
      </c>
      <c r="K413" s="16" t="str">
        <f t="shared" si="55"/>
        <v/>
      </c>
      <c r="L413" s="17" t="str">
        <f t="shared" si="56"/>
        <v/>
      </c>
      <c r="M413" s="17" t="str">
        <f t="shared" si="57"/>
        <v/>
      </c>
      <c r="N413" s="17" t="str">
        <f t="shared" si="58"/>
        <v/>
      </c>
      <c r="O413" s="17" t="str">
        <f t="shared" si="59"/>
        <v/>
      </c>
      <c r="P413" s="16" t="str">
        <f t="shared" si="60"/>
        <v/>
      </c>
      <c r="Q413" s="16" t="str">
        <f t="shared" si="61"/>
        <v/>
      </c>
      <c r="R413" s="18" t="str">
        <f t="shared" si="62"/>
        <v/>
      </c>
    </row>
    <row r="414" spans="1:18">
      <c r="A414" s="12"/>
      <c r="B414" s="13"/>
      <c r="C414" s="14"/>
      <c r="D414" s="15"/>
      <c r="E414" s="15"/>
      <c r="F414" s="15"/>
      <c r="G414" s="13"/>
      <c r="H414" s="16" t="str">
        <f t="shared" si="54"/>
        <v/>
      </c>
      <c r="I414" s="17" t="str">
        <f>IF(OR(A414="",B414=""),"",IFERROR(LOOKUP(2,1/(单次交易!$A$2:$A$201=A414),单次交易!$H$2:$H$201),0)+SUMIFS($G$2:$G$1001,$A$2:$A$1001,A414,$B$2:$B$1001,"&lt;"&amp;B414))</f>
        <v/>
      </c>
      <c r="J414" s="16" t="str">
        <f>IF(OR(A414="",B414=""),"",IFERROR(LOOKUP(2,1/(单次交易!$A$2:$A$201=A414),单次交易!$E$2:$E$201)*LOOKUP(2,1/(单次交易!$A$2:$A$201=A414),单次交易!$H$2:$H$201),0)+SUMIFS($H$2:$H$1001,$A$2:$A$1001,A414,$B$2:$B$1001,"&lt;"&amp;B414))</f>
        <v/>
      </c>
      <c r="K414" s="16" t="str">
        <f t="shared" si="55"/>
        <v/>
      </c>
      <c r="L414" s="17" t="str">
        <f t="shared" si="56"/>
        <v/>
      </c>
      <c r="M414" s="17" t="str">
        <f t="shared" si="57"/>
        <v/>
      </c>
      <c r="N414" s="17" t="str">
        <f t="shared" si="58"/>
        <v/>
      </c>
      <c r="O414" s="17" t="str">
        <f t="shared" si="59"/>
        <v/>
      </c>
      <c r="P414" s="16" t="str">
        <f t="shared" si="60"/>
        <v/>
      </c>
      <c r="Q414" s="16" t="str">
        <f t="shared" si="61"/>
        <v/>
      </c>
      <c r="R414" s="18" t="str">
        <f t="shared" si="62"/>
        <v/>
      </c>
    </row>
    <row r="415" spans="1:18">
      <c r="A415" s="12"/>
      <c r="B415" s="13"/>
      <c r="C415" s="14"/>
      <c r="D415" s="15"/>
      <c r="E415" s="15"/>
      <c r="F415" s="15"/>
      <c r="G415" s="13"/>
      <c r="H415" s="16" t="str">
        <f t="shared" si="54"/>
        <v/>
      </c>
      <c r="I415" s="17" t="str">
        <f>IF(OR(A415="",B415=""),"",IFERROR(LOOKUP(2,1/(单次交易!$A$2:$A$201=A415),单次交易!$H$2:$H$201),0)+SUMIFS($G$2:$G$1001,$A$2:$A$1001,A415,$B$2:$B$1001,"&lt;"&amp;B415))</f>
        <v/>
      </c>
      <c r="J415" s="16" t="str">
        <f>IF(OR(A415="",B415=""),"",IFERROR(LOOKUP(2,1/(单次交易!$A$2:$A$201=A415),单次交易!$E$2:$E$201)*LOOKUP(2,1/(单次交易!$A$2:$A$201=A415),单次交易!$H$2:$H$201),0)+SUMIFS($H$2:$H$1001,$A$2:$A$1001,A415,$B$2:$B$1001,"&lt;"&amp;B415))</f>
        <v/>
      </c>
      <c r="K415" s="16" t="str">
        <f t="shared" si="55"/>
        <v/>
      </c>
      <c r="L415" s="17" t="str">
        <f t="shared" si="56"/>
        <v/>
      </c>
      <c r="M415" s="17" t="str">
        <f t="shared" si="57"/>
        <v/>
      </c>
      <c r="N415" s="17" t="str">
        <f t="shared" si="58"/>
        <v/>
      </c>
      <c r="O415" s="17" t="str">
        <f t="shared" si="59"/>
        <v/>
      </c>
      <c r="P415" s="16" t="str">
        <f t="shared" si="60"/>
        <v/>
      </c>
      <c r="Q415" s="16" t="str">
        <f t="shared" si="61"/>
        <v/>
      </c>
      <c r="R415" s="18" t="str">
        <f t="shared" si="62"/>
        <v/>
      </c>
    </row>
    <row r="416" spans="1:18">
      <c r="A416" s="12"/>
      <c r="B416" s="13"/>
      <c r="C416" s="14"/>
      <c r="D416" s="15"/>
      <c r="E416" s="15"/>
      <c r="F416" s="15"/>
      <c r="G416" s="13"/>
      <c r="H416" s="16" t="str">
        <f t="shared" si="54"/>
        <v/>
      </c>
      <c r="I416" s="17" t="str">
        <f>IF(OR(A416="",B416=""),"",IFERROR(LOOKUP(2,1/(单次交易!$A$2:$A$201=A416),单次交易!$H$2:$H$201),0)+SUMIFS($G$2:$G$1001,$A$2:$A$1001,A416,$B$2:$B$1001,"&lt;"&amp;B416))</f>
        <v/>
      </c>
      <c r="J416" s="16" t="str">
        <f>IF(OR(A416="",B416=""),"",IFERROR(LOOKUP(2,1/(单次交易!$A$2:$A$201=A416),单次交易!$E$2:$E$201)*LOOKUP(2,1/(单次交易!$A$2:$A$201=A416),单次交易!$H$2:$H$201),0)+SUMIFS($H$2:$H$1001,$A$2:$A$1001,A416,$B$2:$B$1001,"&lt;"&amp;B416))</f>
        <v/>
      </c>
      <c r="K416" s="16" t="str">
        <f t="shared" si="55"/>
        <v/>
      </c>
      <c r="L416" s="17" t="str">
        <f t="shared" si="56"/>
        <v/>
      </c>
      <c r="M416" s="17" t="str">
        <f t="shared" si="57"/>
        <v/>
      </c>
      <c r="N416" s="17" t="str">
        <f t="shared" si="58"/>
        <v/>
      </c>
      <c r="O416" s="17" t="str">
        <f t="shared" si="59"/>
        <v/>
      </c>
      <c r="P416" s="16" t="str">
        <f t="shared" si="60"/>
        <v/>
      </c>
      <c r="Q416" s="16" t="str">
        <f t="shared" si="61"/>
        <v/>
      </c>
      <c r="R416" s="18" t="str">
        <f t="shared" si="62"/>
        <v/>
      </c>
    </row>
    <row r="417" spans="1:18">
      <c r="A417" s="12"/>
      <c r="B417" s="13"/>
      <c r="C417" s="14"/>
      <c r="D417" s="15"/>
      <c r="E417" s="15"/>
      <c r="F417" s="15"/>
      <c r="G417" s="13"/>
      <c r="H417" s="16" t="str">
        <f t="shared" si="54"/>
        <v/>
      </c>
      <c r="I417" s="17" t="str">
        <f>IF(OR(A417="",B417=""),"",IFERROR(LOOKUP(2,1/(单次交易!$A$2:$A$201=A417),单次交易!$H$2:$H$201),0)+SUMIFS($G$2:$G$1001,$A$2:$A$1001,A417,$B$2:$B$1001,"&lt;"&amp;B417))</f>
        <v/>
      </c>
      <c r="J417" s="16" t="str">
        <f>IF(OR(A417="",B417=""),"",IFERROR(LOOKUP(2,1/(单次交易!$A$2:$A$201=A417),单次交易!$E$2:$E$201)*LOOKUP(2,1/(单次交易!$A$2:$A$201=A417),单次交易!$H$2:$H$201),0)+SUMIFS($H$2:$H$1001,$A$2:$A$1001,A417,$B$2:$B$1001,"&lt;"&amp;B417))</f>
        <v/>
      </c>
      <c r="K417" s="16" t="str">
        <f t="shared" si="55"/>
        <v/>
      </c>
      <c r="L417" s="17" t="str">
        <f t="shared" si="56"/>
        <v/>
      </c>
      <c r="M417" s="17" t="str">
        <f t="shared" si="57"/>
        <v/>
      </c>
      <c r="N417" s="17" t="str">
        <f t="shared" si="58"/>
        <v/>
      </c>
      <c r="O417" s="17" t="str">
        <f t="shared" si="59"/>
        <v/>
      </c>
      <c r="P417" s="16" t="str">
        <f t="shared" si="60"/>
        <v/>
      </c>
      <c r="Q417" s="16" t="str">
        <f t="shared" si="61"/>
        <v/>
      </c>
      <c r="R417" s="18" t="str">
        <f t="shared" si="62"/>
        <v/>
      </c>
    </row>
    <row r="418" spans="1:18">
      <c r="A418" s="12"/>
      <c r="B418" s="13"/>
      <c r="C418" s="14"/>
      <c r="D418" s="15"/>
      <c r="E418" s="15"/>
      <c r="F418" s="15"/>
      <c r="G418" s="13"/>
      <c r="H418" s="16" t="str">
        <f t="shared" si="54"/>
        <v/>
      </c>
      <c r="I418" s="17" t="str">
        <f>IF(OR(A418="",B418=""),"",IFERROR(LOOKUP(2,1/(单次交易!$A$2:$A$201=A418),单次交易!$H$2:$H$201),0)+SUMIFS($G$2:$G$1001,$A$2:$A$1001,A418,$B$2:$B$1001,"&lt;"&amp;B418))</f>
        <v/>
      </c>
      <c r="J418" s="16" t="str">
        <f>IF(OR(A418="",B418=""),"",IFERROR(LOOKUP(2,1/(单次交易!$A$2:$A$201=A418),单次交易!$E$2:$E$201)*LOOKUP(2,1/(单次交易!$A$2:$A$201=A418),单次交易!$H$2:$H$201),0)+SUMIFS($H$2:$H$1001,$A$2:$A$1001,A418,$B$2:$B$1001,"&lt;"&amp;B418))</f>
        <v/>
      </c>
      <c r="K418" s="16" t="str">
        <f t="shared" si="55"/>
        <v/>
      </c>
      <c r="L418" s="17" t="str">
        <f t="shared" si="56"/>
        <v/>
      </c>
      <c r="M418" s="17" t="str">
        <f t="shared" si="57"/>
        <v/>
      </c>
      <c r="N418" s="17" t="str">
        <f t="shared" si="58"/>
        <v/>
      </c>
      <c r="O418" s="17" t="str">
        <f t="shared" si="59"/>
        <v/>
      </c>
      <c r="P418" s="16" t="str">
        <f t="shared" si="60"/>
        <v/>
      </c>
      <c r="Q418" s="16" t="str">
        <f t="shared" si="61"/>
        <v/>
      </c>
      <c r="R418" s="18" t="str">
        <f t="shared" si="62"/>
        <v/>
      </c>
    </row>
    <row r="419" spans="1:18">
      <c r="A419" s="12"/>
      <c r="B419" s="13"/>
      <c r="C419" s="14"/>
      <c r="D419" s="15"/>
      <c r="E419" s="15"/>
      <c r="F419" s="15"/>
      <c r="G419" s="13"/>
      <c r="H419" s="16" t="str">
        <f t="shared" si="54"/>
        <v/>
      </c>
      <c r="I419" s="17" t="str">
        <f>IF(OR(A419="",B419=""),"",IFERROR(LOOKUP(2,1/(单次交易!$A$2:$A$201=A419),单次交易!$H$2:$H$201),0)+SUMIFS($G$2:$G$1001,$A$2:$A$1001,A419,$B$2:$B$1001,"&lt;"&amp;B419))</f>
        <v/>
      </c>
      <c r="J419" s="16" t="str">
        <f>IF(OR(A419="",B419=""),"",IFERROR(LOOKUP(2,1/(单次交易!$A$2:$A$201=A419),单次交易!$E$2:$E$201)*LOOKUP(2,1/(单次交易!$A$2:$A$201=A419),单次交易!$H$2:$H$201),0)+SUMIFS($H$2:$H$1001,$A$2:$A$1001,A419,$B$2:$B$1001,"&lt;"&amp;B419))</f>
        <v/>
      </c>
      <c r="K419" s="16" t="str">
        <f t="shared" si="55"/>
        <v/>
      </c>
      <c r="L419" s="17" t="str">
        <f t="shared" si="56"/>
        <v/>
      </c>
      <c r="M419" s="17" t="str">
        <f t="shared" si="57"/>
        <v/>
      </c>
      <c r="N419" s="17" t="str">
        <f t="shared" si="58"/>
        <v/>
      </c>
      <c r="O419" s="17" t="str">
        <f t="shared" si="59"/>
        <v/>
      </c>
      <c r="P419" s="16" t="str">
        <f t="shared" si="60"/>
        <v/>
      </c>
      <c r="Q419" s="16" t="str">
        <f t="shared" si="61"/>
        <v/>
      </c>
      <c r="R419" s="18" t="str">
        <f t="shared" si="62"/>
        <v/>
      </c>
    </row>
    <row r="420" spans="1:18">
      <c r="A420" s="12"/>
      <c r="B420" s="13"/>
      <c r="C420" s="14"/>
      <c r="D420" s="15"/>
      <c r="E420" s="15"/>
      <c r="F420" s="15"/>
      <c r="G420" s="13"/>
      <c r="H420" s="16" t="str">
        <f t="shared" si="54"/>
        <v/>
      </c>
      <c r="I420" s="17" t="str">
        <f>IF(OR(A420="",B420=""),"",IFERROR(LOOKUP(2,1/(单次交易!$A$2:$A$201=A420),单次交易!$H$2:$H$201),0)+SUMIFS($G$2:$G$1001,$A$2:$A$1001,A420,$B$2:$B$1001,"&lt;"&amp;B420))</f>
        <v/>
      </c>
      <c r="J420" s="16" t="str">
        <f>IF(OR(A420="",B420=""),"",IFERROR(LOOKUP(2,1/(单次交易!$A$2:$A$201=A420),单次交易!$E$2:$E$201)*LOOKUP(2,1/(单次交易!$A$2:$A$201=A420),单次交易!$H$2:$H$201),0)+SUMIFS($H$2:$H$1001,$A$2:$A$1001,A420,$B$2:$B$1001,"&lt;"&amp;B420))</f>
        <v/>
      </c>
      <c r="K420" s="16" t="str">
        <f t="shared" si="55"/>
        <v/>
      </c>
      <c r="L420" s="17" t="str">
        <f t="shared" si="56"/>
        <v/>
      </c>
      <c r="M420" s="17" t="str">
        <f t="shared" si="57"/>
        <v/>
      </c>
      <c r="N420" s="17" t="str">
        <f t="shared" si="58"/>
        <v/>
      </c>
      <c r="O420" s="17" t="str">
        <f t="shared" si="59"/>
        <v/>
      </c>
      <c r="P420" s="16" t="str">
        <f t="shared" si="60"/>
        <v/>
      </c>
      <c r="Q420" s="16" t="str">
        <f t="shared" si="61"/>
        <v/>
      </c>
      <c r="R420" s="18" t="str">
        <f t="shared" si="62"/>
        <v/>
      </c>
    </row>
    <row r="421" spans="1:18">
      <c r="A421" s="12"/>
      <c r="B421" s="13"/>
      <c r="C421" s="14"/>
      <c r="D421" s="15"/>
      <c r="E421" s="15"/>
      <c r="F421" s="15"/>
      <c r="G421" s="13"/>
      <c r="H421" s="16" t="str">
        <f t="shared" si="54"/>
        <v/>
      </c>
      <c r="I421" s="17" t="str">
        <f>IF(OR(A421="",B421=""),"",IFERROR(LOOKUP(2,1/(单次交易!$A$2:$A$201=A421),单次交易!$H$2:$H$201),0)+SUMIFS($G$2:$G$1001,$A$2:$A$1001,A421,$B$2:$B$1001,"&lt;"&amp;B421))</f>
        <v/>
      </c>
      <c r="J421" s="16" t="str">
        <f>IF(OR(A421="",B421=""),"",IFERROR(LOOKUP(2,1/(单次交易!$A$2:$A$201=A421),单次交易!$E$2:$E$201)*LOOKUP(2,1/(单次交易!$A$2:$A$201=A421),单次交易!$H$2:$H$201),0)+SUMIFS($H$2:$H$1001,$A$2:$A$1001,A421,$B$2:$B$1001,"&lt;"&amp;B421))</f>
        <v/>
      </c>
      <c r="K421" s="16" t="str">
        <f t="shared" si="55"/>
        <v/>
      </c>
      <c r="L421" s="17" t="str">
        <f t="shared" si="56"/>
        <v/>
      </c>
      <c r="M421" s="17" t="str">
        <f t="shared" si="57"/>
        <v/>
      </c>
      <c r="N421" s="17" t="str">
        <f t="shared" si="58"/>
        <v/>
      </c>
      <c r="O421" s="17" t="str">
        <f t="shared" si="59"/>
        <v/>
      </c>
      <c r="P421" s="16" t="str">
        <f t="shared" si="60"/>
        <v/>
      </c>
      <c r="Q421" s="16" t="str">
        <f t="shared" si="61"/>
        <v/>
      </c>
      <c r="R421" s="18" t="str">
        <f t="shared" si="62"/>
        <v/>
      </c>
    </row>
    <row r="422" spans="1:18">
      <c r="A422" s="12"/>
      <c r="B422" s="13"/>
      <c r="C422" s="14"/>
      <c r="D422" s="15"/>
      <c r="E422" s="15"/>
      <c r="F422" s="15"/>
      <c r="G422" s="13"/>
      <c r="H422" s="16" t="str">
        <f t="shared" si="54"/>
        <v/>
      </c>
      <c r="I422" s="17" t="str">
        <f>IF(OR(A422="",B422=""),"",IFERROR(LOOKUP(2,1/(单次交易!$A$2:$A$201=A422),单次交易!$H$2:$H$201),0)+SUMIFS($G$2:$G$1001,$A$2:$A$1001,A422,$B$2:$B$1001,"&lt;"&amp;B422))</f>
        <v/>
      </c>
      <c r="J422" s="16" t="str">
        <f>IF(OR(A422="",B422=""),"",IFERROR(LOOKUP(2,1/(单次交易!$A$2:$A$201=A422),单次交易!$E$2:$E$201)*LOOKUP(2,1/(单次交易!$A$2:$A$201=A422),单次交易!$H$2:$H$201),0)+SUMIFS($H$2:$H$1001,$A$2:$A$1001,A422,$B$2:$B$1001,"&lt;"&amp;B422))</f>
        <v/>
      </c>
      <c r="K422" s="16" t="str">
        <f t="shared" si="55"/>
        <v/>
      </c>
      <c r="L422" s="17" t="str">
        <f t="shared" si="56"/>
        <v/>
      </c>
      <c r="M422" s="17" t="str">
        <f t="shared" si="57"/>
        <v/>
      </c>
      <c r="N422" s="17" t="str">
        <f t="shared" si="58"/>
        <v/>
      </c>
      <c r="O422" s="17" t="str">
        <f t="shared" si="59"/>
        <v/>
      </c>
      <c r="P422" s="16" t="str">
        <f t="shared" si="60"/>
        <v/>
      </c>
      <c r="Q422" s="16" t="str">
        <f t="shared" si="61"/>
        <v/>
      </c>
      <c r="R422" s="18" t="str">
        <f t="shared" si="62"/>
        <v/>
      </c>
    </row>
    <row r="423" spans="1:18">
      <c r="A423" s="12"/>
      <c r="B423" s="13"/>
      <c r="C423" s="14"/>
      <c r="D423" s="15"/>
      <c r="E423" s="15"/>
      <c r="F423" s="15"/>
      <c r="G423" s="13"/>
      <c r="H423" s="16" t="str">
        <f t="shared" si="54"/>
        <v/>
      </c>
      <c r="I423" s="17" t="str">
        <f>IF(OR(A423="",B423=""),"",IFERROR(LOOKUP(2,1/(单次交易!$A$2:$A$201=A423),单次交易!$H$2:$H$201),0)+SUMIFS($G$2:$G$1001,$A$2:$A$1001,A423,$B$2:$B$1001,"&lt;"&amp;B423))</f>
        <v/>
      </c>
      <c r="J423" s="16" t="str">
        <f>IF(OR(A423="",B423=""),"",IFERROR(LOOKUP(2,1/(单次交易!$A$2:$A$201=A423),单次交易!$E$2:$E$201)*LOOKUP(2,1/(单次交易!$A$2:$A$201=A423),单次交易!$H$2:$H$201),0)+SUMIFS($H$2:$H$1001,$A$2:$A$1001,A423,$B$2:$B$1001,"&lt;"&amp;B423))</f>
        <v/>
      </c>
      <c r="K423" s="16" t="str">
        <f t="shared" si="55"/>
        <v/>
      </c>
      <c r="L423" s="17" t="str">
        <f t="shared" si="56"/>
        <v/>
      </c>
      <c r="M423" s="17" t="str">
        <f t="shared" si="57"/>
        <v/>
      </c>
      <c r="N423" s="17" t="str">
        <f t="shared" si="58"/>
        <v/>
      </c>
      <c r="O423" s="17" t="str">
        <f t="shared" si="59"/>
        <v/>
      </c>
      <c r="P423" s="16" t="str">
        <f t="shared" si="60"/>
        <v/>
      </c>
      <c r="Q423" s="16" t="str">
        <f t="shared" si="61"/>
        <v/>
      </c>
      <c r="R423" s="18" t="str">
        <f t="shared" si="62"/>
        <v/>
      </c>
    </row>
    <row r="424" spans="1:18">
      <c r="A424" s="12"/>
      <c r="B424" s="13"/>
      <c r="C424" s="14"/>
      <c r="D424" s="15"/>
      <c r="E424" s="15"/>
      <c r="F424" s="15"/>
      <c r="G424" s="13"/>
      <c r="H424" s="16" t="str">
        <f t="shared" si="54"/>
        <v/>
      </c>
      <c r="I424" s="17" t="str">
        <f>IF(OR(A424="",B424=""),"",IFERROR(LOOKUP(2,1/(单次交易!$A$2:$A$201=A424),单次交易!$H$2:$H$201),0)+SUMIFS($G$2:$G$1001,$A$2:$A$1001,A424,$B$2:$B$1001,"&lt;"&amp;B424))</f>
        <v/>
      </c>
      <c r="J424" s="16" t="str">
        <f>IF(OR(A424="",B424=""),"",IFERROR(LOOKUP(2,1/(单次交易!$A$2:$A$201=A424),单次交易!$E$2:$E$201)*LOOKUP(2,1/(单次交易!$A$2:$A$201=A424),单次交易!$H$2:$H$201),0)+SUMIFS($H$2:$H$1001,$A$2:$A$1001,A424,$B$2:$B$1001,"&lt;"&amp;B424))</f>
        <v/>
      </c>
      <c r="K424" s="16" t="str">
        <f t="shared" si="55"/>
        <v/>
      </c>
      <c r="L424" s="17" t="str">
        <f t="shared" si="56"/>
        <v/>
      </c>
      <c r="M424" s="17" t="str">
        <f t="shared" si="57"/>
        <v/>
      </c>
      <c r="N424" s="17" t="str">
        <f t="shared" si="58"/>
        <v/>
      </c>
      <c r="O424" s="17" t="str">
        <f t="shared" si="59"/>
        <v/>
      </c>
      <c r="P424" s="16" t="str">
        <f t="shared" si="60"/>
        <v/>
      </c>
      <c r="Q424" s="16" t="str">
        <f t="shared" si="61"/>
        <v/>
      </c>
      <c r="R424" s="18" t="str">
        <f t="shared" si="62"/>
        <v/>
      </c>
    </row>
    <row r="425" spans="1:18">
      <c r="A425" s="12"/>
      <c r="B425" s="13"/>
      <c r="C425" s="14"/>
      <c r="D425" s="15"/>
      <c r="E425" s="15"/>
      <c r="F425" s="15"/>
      <c r="G425" s="13"/>
      <c r="H425" s="16" t="str">
        <f t="shared" si="54"/>
        <v/>
      </c>
      <c r="I425" s="17" t="str">
        <f>IF(OR(A425="",B425=""),"",IFERROR(LOOKUP(2,1/(单次交易!$A$2:$A$201=A425),单次交易!$H$2:$H$201),0)+SUMIFS($G$2:$G$1001,$A$2:$A$1001,A425,$B$2:$B$1001,"&lt;"&amp;B425))</f>
        <v/>
      </c>
      <c r="J425" s="16" t="str">
        <f>IF(OR(A425="",B425=""),"",IFERROR(LOOKUP(2,1/(单次交易!$A$2:$A$201=A425),单次交易!$E$2:$E$201)*LOOKUP(2,1/(单次交易!$A$2:$A$201=A425),单次交易!$H$2:$H$201),0)+SUMIFS($H$2:$H$1001,$A$2:$A$1001,A425,$B$2:$B$1001,"&lt;"&amp;B425))</f>
        <v/>
      </c>
      <c r="K425" s="16" t="str">
        <f t="shared" si="55"/>
        <v/>
      </c>
      <c r="L425" s="17" t="str">
        <f t="shared" si="56"/>
        <v/>
      </c>
      <c r="M425" s="17" t="str">
        <f t="shared" si="57"/>
        <v/>
      </c>
      <c r="N425" s="17" t="str">
        <f t="shared" si="58"/>
        <v/>
      </c>
      <c r="O425" s="17" t="str">
        <f t="shared" si="59"/>
        <v/>
      </c>
      <c r="P425" s="16" t="str">
        <f t="shared" si="60"/>
        <v/>
      </c>
      <c r="Q425" s="16" t="str">
        <f t="shared" si="61"/>
        <v/>
      </c>
      <c r="R425" s="18" t="str">
        <f t="shared" si="62"/>
        <v/>
      </c>
    </row>
    <row r="426" spans="1:18">
      <c r="A426" s="12"/>
      <c r="B426" s="13"/>
      <c r="C426" s="14"/>
      <c r="D426" s="15"/>
      <c r="E426" s="15"/>
      <c r="F426" s="15"/>
      <c r="G426" s="13"/>
      <c r="H426" s="16" t="str">
        <f t="shared" si="54"/>
        <v/>
      </c>
      <c r="I426" s="17" t="str">
        <f>IF(OR(A426="",B426=""),"",IFERROR(LOOKUP(2,1/(单次交易!$A$2:$A$201=A426),单次交易!$H$2:$H$201),0)+SUMIFS($G$2:$G$1001,$A$2:$A$1001,A426,$B$2:$B$1001,"&lt;"&amp;B426))</f>
        <v/>
      </c>
      <c r="J426" s="16" t="str">
        <f>IF(OR(A426="",B426=""),"",IFERROR(LOOKUP(2,1/(单次交易!$A$2:$A$201=A426),单次交易!$E$2:$E$201)*LOOKUP(2,1/(单次交易!$A$2:$A$201=A426),单次交易!$H$2:$H$201),0)+SUMIFS($H$2:$H$1001,$A$2:$A$1001,A426,$B$2:$B$1001,"&lt;"&amp;B426))</f>
        <v/>
      </c>
      <c r="K426" s="16" t="str">
        <f t="shared" si="55"/>
        <v/>
      </c>
      <c r="L426" s="17" t="str">
        <f t="shared" si="56"/>
        <v/>
      </c>
      <c r="M426" s="17" t="str">
        <f t="shared" si="57"/>
        <v/>
      </c>
      <c r="N426" s="17" t="str">
        <f t="shared" si="58"/>
        <v/>
      </c>
      <c r="O426" s="17" t="str">
        <f t="shared" si="59"/>
        <v/>
      </c>
      <c r="P426" s="16" t="str">
        <f t="shared" si="60"/>
        <v/>
      </c>
      <c r="Q426" s="16" t="str">
        <f t="shared" si="61"/>
        <v/>
      </c>
      <c r="R426" s="18" t="str">
        <f t="shared" si="62"/>
        <v/>
      </c>
    </row>
    <row r="427" spans="1:18">
      <c r="A427" s="12"/>
      <c r="B427" s="13"/>
      <c r="C427" s="14"/>
      <c r="D427" s="15"/>
      <c r="E427" s="15"/>
      <c r="F427" s="15"/>
      <c r="G427" s="13"/>
      <c r="H427" s="16" t="str">
        <f t="shared" si="54"/>
        <v/>
      </c>
      <c r="I427" s="17" t="str">
        <f>IF(OR(A427="",B427=""),"",IFERROR(LOOKUP(2,1/(单次交易!$A$2:$A$201=A427),单次交易!$H$2:$H$201),0)+SUMIFS($G$2:$G$1001,$A$2:$A$1001,A427,$B$2:$B$1001,"&lt;"&amp;B427))</f>
        <v/>
      </c>
      <c r="J427" s="16" t="str">
        <f>IF(OR(A427="",B427=""),"",IFERROR(LOOKUP(2,1/(单次交易!$A$2:$A$201=A427),单次交易!$E$2:$E$201)*LOOKUP(2,1/(单次交易!$A$2:$A$201=A427),单次交易!$H$2:$H$201),0)+SUMIFS($H$2:$H$1001,$A$2:$A$1001,A427,$B$2:$B$1001,"&lt;"&amp;B427))</f>
        <v/>
      </c>
      <c r="K427" s="16" t="str">
        <f t="shared" si="55"/>
        <v/>
      </c>
      <c r="L427" s="17" t="str">
        <f t="shared" si="56"/>
        <v/>
      </c>
      <c r="M427" s="17" t="str">
        <f t="shared" si="57"/>
        <v/>
      </c>
      <c r="N427" s="17" t="str">
        <f t="shared" si="58"/>
        <v/>
      </c>
      <c r="O427" s="17" t="str">
        <f t="shared" si="59"/>
        <v/>
      </c>
      <c r="P427" s="16" t="str">
        <f t="shared" si="60"/>
        <v/>
      </c>
      <c r="Q427" s="16" t="str">
        <f t="shared" si="61"/>
        <v/>
      </c>
      <c r="R427" s="18" t="str">
        <f t="shared" si="62"/>
        <v/>
      </c>
    </row>
    <row r="428" spans="1:18">
      <c r="A428" s="12"/>
      <c r="B428" s="13"/>
      <c r="C428" s="14"/>
      <c r="D428" s="15"/>
      <c r="E428" s="15"/>
      <c r="F428" s="15"/>
      <c r="G428" s="13"/>
      <c r="H428" s="16" t="str">
        <f t="shared" si="54"/>
        <v/>
      </c>
      <c r="I428" s="17" t="str">
        <f>IF(OR(A428="",B428=""),"",IFERROR(LOOKUP(2,1/(单次交易!$A$2:$A$201=A428),单次交易!$H$2:$H$201),0)+SUMIFS($G$2:$G$1001,$A$2:$A$1001,A428,$B$2:$B$1001,"&lt;"&amp;B428))</f>
        <v/>
      </c>
      <c r="J428" s="16" t="str">
        <f>IF(OR(A428="",B428=""),"",IFERROR(LOOKUP(2,1/(单次交易!$A$2:$A$201=A428),单次交易!$E$2:$E$201)*LOOKUP(2,1/(单次交易!$A$2:$A$201=A428),单次交易!$H$2:$H$201),0)+SUMIFS($H$2:$H$1001,$A$2:$A$1001,A428,$B$2:$B$1001,"&lt;"&amp;B428))</f>
        <v/>
      </c>
      <c r="K428" s="16" t="str">
        <f t="shared" si="55"/>
        <v/>
      </c>
      <c r="L428" s="17" t="str">
        <f t="shared" si="56"/>
        <v/>
      </c>
      <c r="M428" s="17" t="str">
        <f t="shared" si="57"/>
        <v/>
      </c>
      <c r="N428" s="17" t="str">
        <f t="shared" si="58"/>
        <v/>
      </c>
      <c r="O428" s="17" t="str">
        <f t="shared" si="59"/>
        <v/>
      </c>
      <c r="P428" s="16" t="str">
        <f t="shared" si="60"/>
        <v/>
      </c>
      <c r="Q428" s="16" t="str">
        <f t="shared" si="61"/>
        <v/>
      </c>
      <c r="R428" s="18" t="str">
        <f t="shared" si="62"/>
        <v/>
      </c>
    </row>
    <row r="429" spans="1:18">
      <c r="A429" s="12"/>
      <c r="B429" s="13"/>
      <c r="C429" s="14"/>
      <c r="D429" s="15"/>
      <c r="E429" s="15"/>
      <c r="F429" s="15"/>
      <c r="G429" s="13"/>
      <c r="H429" s="16" t="str">
        <f t="shared" si="54"/>
        <v/>
      </c>
      <c r="I429" s="17" t="str">
        <f>IF(OR(A429="",B429=""),"",IFERROR(LOOKUP(2,1/(单次交易!$A$2:$A$201=A429),单次交易!$H$2:$H$201),0)+SUMIFS($G$2:$G$1001,$A$2:$A$1001,A429,$B$2:$B$1001,"&lt;"&amp;B429))</f>
        <v/>
      </c>
      <c r="J429" s="16" t="str">
        <f>IF(OR(A429="",B429=""),"",IFERROR(LOOKUP(2,1/(单次交易!$A$2:$A$201=A429),单次交易!$E$2:$E$201)*LOOKUP(2,1/(单次交易!$A$2:$A$201=A429),单次交易!$H$2:$H$201),0)+SUMIFS($H$2:$H$1001,$A$2:$A$1001,A429,$B$2:$B$1001,"&lt;"&amp;B429))</f>
        <v/>
      </c>
      <c r="K429" s="16" t="str">
        <f t="shared" si="55"/>
        <v/>
      </c>
      <c r="L429" s="17" t="str">
        <f t="shared" si="56"/>
        <v/>
      </c>
      <c r="M429" s="17" t="str">
        <f t="shared" si="57"/>
        <v/>
      </c>
      <c r="N429" s="17" t="str">
        <f t="shared" si="58"/>
        <v/>
      </c>
      <c r="O429" s="17" t="str">
        <f t="shared" si="59"/>
        <v/>
      </c>
      <c r="P429" s="16" t="str">
        <f t="shared" si="60"/>
        <v/>
      </c>
      <c r="Q429" s="16" t="str">
        <f t="shared" si="61"/>
        <v/>
      </c>
      <c r="R429" s="18" t="str">
        <f t="shared" si="62"/>
        <v/>
      </c>
    </row>
    <row r="430" spans="1:18">
      <c r="A430" s="12"/>
      <c r="B430" s="13"/>
      <c r="C430" s="14"/>
      <c r="D430" s="15"/>
      <c r="E430" s="15"/>
      <c r="F430" s="15"/>
      <c r="G430" s="13"/>
      <c r="H430" s="16" t="str">
        <f t="shared" si="54"/>
        <v/>
      </c>
      <c r="I430" s="17" t="str">
        <f>IF(OR(A430="",B430=""),"",IFERROR(LOOKUP(2,1/(单次交易!$A$2:$A$201=A430),单次交易!$H$2:$H$201),0)+SUMIFS($G$2:$G$1001,$A$2:$A$1001,A430,$B$2:$B$1001,"&lt;"&amp;B430))</f>
        <v/>
      </c>
      <c r="J430" s="16" t="str">
        <f>IF(OR(A430="",B430=""),"",IFERROR(LOOKUP(2,1/(单次交易!$A$2:$A$201=A430),单次交易!$E$2:$E$201)*LOOKUP(2,1/(单次交易!$A$2:$A$201=A430),单次交易!$H$2:$H$201),0)+SUMIFS($H$2:$H$1001,$A$2:$A$1001,A430,$B$2:$B$1001,"&lt;"&amp;B430))</f>
        <v/>
      </c>
      <c r="K430" s="16" t="str">
        <f t="shared" si="55"/>
        <v/>
      </c>
      <c r="L430" s="17" t="str">
        <f t="shared" si="56"/>
        <v/>
      </c>
      <c r="M430" s="17" t="str">
        <f t="shared" si="57"/>
        <v/>
      </c>
      <c r="N430" s="17" t="str">
        <f t="shared" si="58"/>
        <v/>
      </c>
      <c r="O430" s="17" t="str">
        <f t="shared" si="59"/>
        <v/>
      </c>
      <c r="P430" s="16" t="str">
        <f t="shared" si="60"/>
        <v/>
      </c>
      <c r="Q430" s="16" t="str">
        <f t="shared" si="61"/>
        <v/>
      </c>
      <c r="R430" s="18" t="str">
        <f t="shared" si="62"/>
        <v/>
      </c>
    </row>
    <row r="431" spans="1:18">
      <c r="A431" s="12"/>
      <c r="B431" s="13"/>
      <c r="C431" s="14"/>
      <c r="D431" s="15"/>
      <c r="E431" s="15"/>
      <c r="F431" s="15"/>
      <c r="G431" s="13"/>
      <c r="H431" s="16" t="str">
        <f t="shared" si="54"/>
        <v/>
      </c>
      <c r="I431" s="17" t="str">
        <f>IF(OR(A431="",B431=""),"",IFERROR(LOOKUP(2,1/(单次交易!$A$2:$A$201=A431),单次交易!$H$2:$H$201),0)+SUMIFS($G$2:$G$1001,$A$2:$A$1001,A431,$B$2:$B$1001,"&lt;"&amp;B431))</f>
        <v/>
      </c>
      <c r="J431" s="16" t="str">
        <f>IF(OR(A431="",B431=""),"",IFERROR(LOOKUP(2,1/(单次交易!$A$2:$A$201=A431),单次交易!$E$2:$E$201)*LOOKUP(2,1/(单次交易!$A$2:$A$201=A431),单次交易!$H$2:$H$201),0)+SUMIFS($H$2:$H$1001,$A$2:$A$1001,A431,$B$2:$B$1001,"&lt;"&amp;B431))</f>
        <v/>
      </c>
      <c r="K431" s="16" t="str">
        <f t="shared" si="55"/>
        <v/>
      </c>
      <c r="L431" s="17" t="str">
        <f t="shared" si="56"/>
        <v/>
      </c>
      <c r="M431" s="17" t="str">
        <f t="shared" si="57"/>
        <v/>
      </c>
      <c r="N431" s="17" t="str">
        <f t="shared" si="58"/>
        <v/>
      </c>
      <c r="O431" s="17" t="str">
        <f t="shared" si="59"/>
        <v/>
      </c>
      <c r="P431" s="16" t="str">
        <f t="shared" si="60"/>
        <v/>
      </c>
      <c r="Q431" s="16" t="str">
        <f t="shared" si="61"/>
        <v/>
      </c>
      <c r="R431" s="18" t="str">
        <f t="shared" si="62"/>
        <v/>
      </c>
    </row>
    <row r="432" spans="1:18">
      <c r="A432" s="12"/>
      <c r="B432" s="13"/>
      <c r="C432" s="14"/>
      <c r="D432" s="15"/>
      <c r="E432" s="15"/>
      <c r="F432" s="15"/>
      <c r="G432" s="13"/>
      <c r="H432" s="16" t="str">
        <f t="shared" si="54"/>
        <v/>
      </c>
      <c r="I432" s="17" t="str">
        <f>IF(OR(A432="",B432=""),"",IFERROR(LOOKUP(2,1/(单次交易!$A$2:$A$201=A432),单次交易!$H$2:$H$201),0)+SUMIFS($G$2:$G$1001,$A$2:$A$1001,A432,$B$2:$B$1001,"&lt;"&amp;B432))</f>
        <v/>
      </c>
      <c r="J432" s="16" t="str">
        <f>IF(OR(A432="",B432=""),"",IFERROR(LOOKUP(2,1/(单次交易!$A$2:$A$201=A432),单次交易!$E$2:$E$201)*LOOKUP(2,1/(单次交易!$A$2:$A$201=A432),单次交易!$H$2:$H$201),0)+SUMIFS($H$2:$H$1001,$A$2:$A$1001,A432,$B$2:$B$1001,"&lt;"&amp;B432))</f>
        <v/>
      </c>
      <c r="K432" s="16" t="str">
        <f t="shared" si="55"/>
        <v/>
      </c>
      <c r="L432" s="17" t="str">
        <f t="shared" si="56"/>
        <v/>
      </c>
      <c r="M432" s="17" t="str">
        <f t="shared" si="57"/>
        <v/>
      </c>
      <c r="N432" s="17" t="str">
        <f t="shared" si="58"/>
        <v/>
      </c>
      <c r="O432" s="17" t="str">
        <f t="shared" si="59"/>
        <v/>
      </c>
      <c r="P432" s="16" t="str">
        <f t="shared" si="60"/>
        <v/>
      </c>
      <c r="Q432" s="16" t="str">
        <f t="shared" si="61"/>
        <v/>
      </c>
      <c r="R432" s="18" t="str">
        <f t="shared" si="62"/>
        <v/>
      </c>
    </row>
    <row r="433" spans="1:18">
      <c r="A433" s="12"/>
      <c r="B433" s="13"/>
      <c r="C433" s="14"/>
      <c r="D433" s="15"/>
      <c r="E433" s="15"/>
      <c r="F433" s="15"/>
      <c r="G433" s="13"/>
      <c r="H433" s="16" t="str">
        <f t="shared" si="54"/>
        <v/>
      </c>
      <c r="I433" s="17" t="str">
        <f>IF(OR(A433="",B433=""),"",IFERROR(LOOKUP(2,1/(单次交易!$A$2:$A$201=A433),单次交易!$H$2:$H$201),0)+SUMIFS($G$2:$G$1001,$A$2:$A$1001,A433,$B$2:$B$1001,"&lt;"&amp;B433))</f>
        <v/>
      </c>
      <c r="J433" s="16" t="str">
        <f>IF(OR(A433="",B433=""),"",IFERROR(LOOKUP(2,1/(单次交易!$A$2:$A$201=A433),单次交易!$E$2:$E$201)*LOOKUP(2,1/(单次交易!$A$2:$A$201=A433),单次交易!$H$2:$H$201),0)+SUMIFS($H$2:$H$1001,$A$2:$A$1001,A433,$B$2:$B$1001,"&lt;"&amp;B433))</f>
        <v/>
      </c>
      <c r="K433" s="16" t="str">
        <f t="shared" si="55"/>
        <v/>
      </c>
      <c r="L433" s="17" t="str">
        <f t="shared" si="56"/>
        <v/>
      </c>
      <c r="M433" s="17" t="str">
        <f t="shared" si="57"/>
        <v/>
      </c>
      <c r="N433" s="17" t="str">
        <f t="shared" si="58"/>
        <v/>
      </c>
      <c r="O433" s="17" t="str">
        <f t="shared" si="59"/>
        <v/>
      </c>
      <c r="P433" s="16" t="str">
        <f t="shared" si="60"/>
        <v/>
      </c>
      <c r="Q433" s="16" t="str">
        <f t="shared" si="61"/>
        <v/>
      </c>
      <c r="R433" s="18" t="str">
        <f t="shared" si="62"/>
        <v/>
      </c>
    </row>
    <row r="434" spans="1:18">
      <c r="A434" s="12"/>
      <c r="B434" s="13"/>
      <c r="C434" s="14"/>
      <c r="D434" s="15"/>
      <c r="E434" s="15"/>
      <c r="F434" s="15"/>
      <c r="G434" s="13"/>
      <c r="H434" s="16" t="str">
        <f t="shared" si="54"/>
        <v/>
      </c>
      <c r="I434" s="17" t="str">
        <f>IF(OR(A434="",B434=""),"",IFERROR(LOOKUP(2,1/(单次交易!$A$2:$A$201=A434),单次交易!$H$2:$H$201),0)+SUMIFS($G$2:$G$1001,$A$2:$A$1001,A434,$B$2:$B$1001,"&lt;"&amp;B434))</f>
        <v/>
      </c>
      <c r="J434" s="16" t="str">
        <f>IF(OR(A434="",B434=""),"",IFERROR(LOOKUP(2,1/(单次交易!$A$2:$A$201=A434),单次交易!$E$2:$E$201)*LOOKUP(2,1/(单次交易!$A$2:$A$201=A434),单次交易!$H$2:$H$201),0)+SUMIFS($H$2:$H$1001,$A$2:$A$1001,A434,$B$2:$B$1001,"&lt;"&amp;B434))</f>
        <v/>
      </c>
      <c r="K434" s="16" t="str">
        <f t="shared" si="55"/>
        <v/>
      </c>
      <c r="L434" s="17" t="str">
        <f t="shared" si="56"/>
        <v/>
      </c>
      <c r="M434" s="17" t="str">
        <f t="shared" si="57"/>
        <v/>
      </c>
      <c r="N434" s="17" t="str">
        <f t="shared" si="58"/>
        <v/>
      </c>
      <c r="O434" s="17" t="str">
        <f t="shared" si="59"/>
        <v/>
      </c>
      <c r="P434" s="16" t="str">
        <f t="shared" si="60"/>
        <v/>
      </c>
      <c r="Q434" s="16" t="str">
        <f t="shared" si="61"/>
        <v/>
      </c>
      <c r="R434" s="18" t="str">
        <f t="shared" si="62"/>
        <v/>
      </c>
    </row>
    <row r="435" spans="1:18">
      <c r="A435" s="12"/>
      <c r="B435" s="13"/>
      <c r="C435" s="14"/>
      <c r="D435" s="15"/>
      <c r="E435" s="15"/>
      <c r="F435" s="15"/>
      <c r="G435" s="13"/>
      <c r="H435" s="16" t="str">
        <f t="shared" si="54"/>
        <v/>
      </c>
      <c r="I435" s="17" t="str">
        <f>IF(OR(A435="",B435=""),"",IFERROR(LOOKUP(2,1/(单次交易!$A$2:$A$201=A435),单次交易!$H$2:$H$201),0)+SUMIFS($G$2:$G$1001,$A$2:$A$1001,A435,$B$2:$B$1001,"&lt;"&amp;B435))</f>
        <v/>
      </c>
      <c r="J435" s="16" t="str">
        <f>IF(OR(A435="",B435=""),"",IFERROR(LOOKUP(2,1/(单次交易!$A$2:$A$201=A435),单次交易!$E$2:$E$201)*LOOKUP(2,1/(单次交易!$A$2:$A$201=A435),单次交易!$H$2:$H$201),0)+SUMIFS($H$2:$H$1001,$A$2:$A$1001,A435,$B$2:$B$1001,"&lt;"&amp;B435))</f>
        <v/>
      </c>
      <c r="K435" s="16" t="str">
        <f t="shared" si="55"/>
        <v/>
      </c>
      <c r="L435" s="17" t="str">
        <f t="shared" si="56"/>
        <v/>
      </c>
      <c r="M435" s="17" t="str">
        <f t="shared" si="57"/>
        <v/>
      </c>
      <c r="N435" s="17" t="str">
        <f t="shared" si="58"/>
        <v/>
      </c>
      <c r="O435" s="17" t="str">
        <f t="shared" si="59"/>
        <v/>
      </c>
      <c r="P435" s="16" t="str">
        <f t="shared" si="60"/>
        <v/>
      </c>
      <c r="Q435" s="16" t="str">
        <f t="shared" si="61"/>
        <v/>
      </c>
      <c r="R435" s="18" t="str">
        <f t="shared" si="62"/>
        <v/>
      </c>
    </row>
    <row r="436" spans="1:18">
      <c r="A436" s="12"/>
      <c r="B436" s="13"/>
      <c r="C436" s="14"/>
      <c r="D436" s="15"/>
      <c r="E436" s="15"/>
      <c r="F436" s="15"/>
      <c r="G436" s="13"/>
      <c r="H436" s="16" t="str">
        <f t="shared" si="54"/>
        <v/>
      </c>
      <c r="I436" s="17" t="str">
        <f>IF(OR(A436="",B436=""),"",IFERROR(LOOKUP(2,1/(单次交易!$A$2:$A$201=A436),单次交易!$H$2:$H$201),0)+SUMIFS($G$2:$G$1001,$A$2:$A$1001,A436,$B$2:$B$1001,"&lt;"&amp;B436))</f>
        <v/>
      </c>
      <c r="J436" s="16" t="str">
        <f>IF(OR(A436="",B436=""),"",IFERROR(LOOKUP(2,1/(单次交易!$A$2:$A$201=A436),单次交易!$E$2:$E$201)*LOOKUP(2,1/(单次交易!$A$2:$A$201=A436),单次交易!$H$2:$H$201),0)+SUMIFS($H$2:$H$1001,$A$2:$A$1001,A436,$B$2:$B$1001,"&lt;"&amp;B436))</f>
        <v/>
      </c>
      <c r="K436" s="16" t="str">
        <f t="shared" si="55"/>
        <v/>
      </c>
      <c r="L436" s="17" t="str">
        <f t="shared" si="56"/>
        <v/>
      </c>
      <c r="M436" s="17" t="str">
        <f t="shared" si="57"/>
        <v/>
      </c>
      <c r="N436" s="17" t="str">
        <f t="shared" si="58"/>
        <v/>
      </c>
      <c r="O436" s="17" t="str">
        <f t="shared" si="59"/>
        <v/>
      </c>
      <c r="P436" s="16" t="str">
        <f t="shared" si="60"/>
        <v/>
      </c>
      <c r="Q436" s="16" t="str">
        <f t="shared" si="61"/>
        <v/>
      </c>
      <c r="R436" s="18" t="str">
        <f t="shared" si="62"/>
        <v/>
      </c>
    </row>
    <row r="437" spans="1:18">
      <c r="A437" s="12"/>
      <c r="B437" s="13"/>
      <c r="C437" s="14"/>
      <c r="D437" s="15"/>
      <c r="E437" s="15"/>
      <c r="F437" s="15"/>
      <c r="G437" s="13"/>
      <c r="H437" s="16" t="str">
        <f t="shared" si="54"/>
        <v/>
      </c>
      <c r="I437" s="17" t="str">
        <f>IF(OR(A437="",B437=""),"",IFERROR(LOOKUP(2,1/(单次交易!$A$2:$A$201=A437),单次交易!$H$2:$H$201),0)+SUMIFS($G$2:$G$1001,$A$2:$A$1001,A437,$B$2:$B$1001,"&lt;"&amp;B437))</f>
        <v/>
      </c>
      <c r="J437" s="16" t="str">
        <f>IF(OR(A437="",B437=""),"",IFERROR(LOOKUP(2,1/(单次交易!$A$2:$A$201=A437),单次交易!$E$2:$E$201)*LOOKUP(2,1/(单次交易!$A$2:$A$201=A437),单次交易!$H$2:$H$201),0)+SUMIFS($H$2:$H$1001,$A$2:$A$1001,A437,$B$2:$B$1001,"&lt;"&amp;B437))</f>
        <v/>
      </c>
      <c r="K437" s="16" t="str">
        <f t="shared" si="55"/>
        <v/>
      </c>
      <c r="L437" s="17" t="str">
        <f t="shared" si="56"/>
        <v/>
      </c>
      <c r="M437" s="17" t="str">
        <f t="shared" si="57"/>
        <v/>
      </c>
      <c r="N437" s="17" t="str">
        <f t="shared" si="58"/>
        <v/>
      </c>
      <c r="O437" s="17" t="str">
        <f t="shared" si="59"/>
        <v/>
      </c>
      <c r="P437" s="16" t="str">
        <f t="shared" si="60"/>
        <v/>
      </c>
      <c r="Q437" s="16" t="str">
        <f t="shared" si="61"/>
        <v/>
      </c>
      <c r="R437" s="18" t="str">
        <f t="shared" si="62"/>
        <v/>
      </c>
    </row>
    <row r="438" spans="1:18">
      <c r="A438" s="12"/>
      <c r="B438" s="13"/>
      <c r="C438" s="14"/>
      <c r="D438" s="15"/>
      <c r="E438" s="15"/>
      <c r="F438" s="15"/>
      <c r="G438" s="13"/>
      <c r="H438" s="16" t="str">
        <f t="shared" si="54"/>
        <v/>
      </c>
      <c r="I438" s="17" t="str">
        <f>IF(OR(A438="",B438=""),"",IFERROR(LOOKUP(2,1/(单次交易!$A$2:$A$201=A438),单次交易!$H$2:$H$201),0)+SUMIFS($G$2:$G$1001,$A$2:$A$1001,A438,$B$2:$B$1001,"&lt;"&amp;B438))</f>
        <v/>
      </c>
      <c r="J438" s="16" t="str">
        <f>IF(OR(A438="",B438=""),"",IFERROR(LOOKUP(2,1/(单次交易!$A$2:$A$201=A438),单次交易!$E$2:$E$201)*LOOKUP(2,1/(单次交易!$A$2:$A$201=A438),单次交易!$H$2:$H$201),0)+SUMIFS($H$2:$H$1001,$A$2:$A$1001,A438,$B$2:$B$1001,"&lt;"&amp;B438))</f>
        <v/>
      </c>
      <c r="K438" s="16" t="str">
        <f t="shared" si="55"/>
        <v/>
      </c>
      <c r="L438" s="17" t="str">
        <f t="shared" si="56"/>
        <v/>
      </c>
      <c r="M438" s="17" t="str">
        <f t="shared" si="57"/>
        <v/>
      </c>
      <c r="N438" s="17" t="str">
        <f t="shared" si="58"/>
        <v/>
      </c>
      <c r="O438" s="17" t="str">
        <f t="shared" si="59"/>
        <v/>
      </c>
      <c r="P438" s="16" t="str">
        <f t="shared" si="60"/>
        <v/>
      </c>
      <c r="Q438" s="16" t="str">
        <f t="shared" si="61"/>
        <v/>
      </c>
      <c r="R438" s="18" t="str">
        <f t="shared" si="62"/>
        <v/>
      </c>
    </row>
    <row r="439" spans="1:18">
      <c r="A439" s="12"/>
      <c r="B439" s="13"/>
      <c r="C439" s="14"/>
      <c r="D439" s="15"/>
      <c r="E439" s="15"/>
      <c r="F439" s="15"/>
      <c r="G439" s="13"/>
      <c r="H439" s="16" t="str">
        <f t="shared" si="54"/>
        <v/>
      </c>
      <c r="I439" s="17" t="str">
        <f>IF(OR(A439="",B439=""),"",IFERROR(LOOKUP(2,1/(单次交易!$A$2:$A$201=A439),单次交易!$H$2:$H$201),0)+SUMIFS($G$2:$G$1001,$A$2:$A$1001,A439,$B$2:$B$1001,"&lt;"&amp;B439))</f>
        <v/>
      </c>
      <c r="J439" s="16" t="str">
        <f>IF(OR(A439="",B439=""),"",IFERROR(LOOKUP(2,1/(单次交易!$A$2:$A$201=A439),单次交易!$E$2:$E$201)*LOOKUP(2,1/(单次交易!$A$2:$A$201=A439),单次交易!$H$2:$H$201),0)+SUMIFS($H$2:$H$1001,$A$2:$A$1001,A439,$B$2:$B$1001,"&lt;"&amp;B439))</f>
        <v/>
      </c>
      <c r="K439" s="16" t="str">
        <f t="shared" si="55"/>
        <v/>
      </c>
      <c r="L439" s="17" t="str">
        <f t="shared" si="56"/>
        <v/>
      </c>
      <c r="M439" s="17" t="str">
        <f t="shared" si="57"/>
        <v/>
      </c>
      <c r="N439" s="17" t="str">
        <f t="shared" si="58"/>
        <v/>
      </c>
      <c r="O439" s="17" t="str">
        <f t="shared" si="59"/>
        <v/>
      </c>
      <c r="P439" s="16" t="str">
        <f t="shared" si="60"/>
        <v/>
      </c>
      <c r="Q439" s="16" t="str">
        <f t="shared" si="61"/>
        <v/>
      </c>
      <c r="R439" s="18" t="str">
        <f t="shared" si="62"/>
        <v/>
      </c>
    </row>
    <row r="440" spans="1:18">
      <c r="A440" s="12"/>
      <c r="B440" s="13"/>
      <c r="C440" s="14"/>
      <c r="D440" s="15"/>
      <c r="E440" s="15"/>
      <c r="F440" s="15"/>
      <c r="G440" s="13"/>
      <c r="H440" s="16" t="str">
        <f t="shared" si="54"/>
        <v/>
      </c>
      <c r="I440" s="17" t="str">
        <f>IF(OR(A440="",B440=""),"",IFERROR(LOOKUP(2,1/(单次交易!$A$2:$A$201=A440),单次交易!$H$2:$H$201),0)+SUMIFS($G$2:$G$1001,$A$2:$A$1001,A440,$B$2:$B$1001,"&lt;"&amp;B440))</f>
        <v/>
      </c>
      <c r="J440" s="16" t="str">
        <f>IF(OR(A440="",B440=""),"",IFERROR(LOOKUP(2,1/(单次交易!$A$2:$A$201=A440),单次交易!$E$2:$E$201)*LOOKUP(2,1/(单次交易!$A$2:$A$201=A440),单次交易!$H$2:$H$201),0)+SUMIFS($H$2:$H$1001,$A$2:$A$1001,A440,$B$2:$B$1001,"&lt;"&amp;B440))</f>
        <v/>
      </c>
      <c r="K440" s="16" t="str">
        <f t="shared" si="55"/>
        <v/>
      </c>
      <c r="L440" s="17" t="str">
        <f t="shared" si="56"/>
        <v/>
      </c>
      <c r="M440" s="17" t="str">
        <f t="shared" si="57"/>
        <v/>
      </c>
      <c r="N440" s="17" t="str">
        <f t="shared" si="58"/>
        <v/>
      </c>
      <c r="O440" s="17" t="str">
        <f t="shared" si="59"/>
        <v/>
      </c>
      <c r="P440" s="16" t="str">
        <f t="shared" si="60"/>
        <v/>
      </c>
      <c r="Q440" s="16" t="str">
        <f t="shared" si="61"/>
        <v/>
      </c>
      <c r="R440" s="18" t="str">
        <f t="shared" si="62"/>
        <v/>
      </c>
    </row>
    <row r="441" spans="1:18">
      <c r="A441" s="12"/>
      <c r="B441" s="13"/>
      <c r="C441" s="14"/>
      <c r="D441" s="15"/>
      <c r="E441" s="15"/>
      <c r="F441" s="15"/>
      <c r="G441" s="13"/>
      <c r="H441" s="16" t="str">
        <f t="shared" si="54"/>
        <v/>
      </c>
      <c r="I441" s="17" t="str">
        <f>IF(OR(A441="",B441=""),"",IFERROR(LOOKUP(2,1/(单次交易!$A$2:$A$201=A441),单次交易!$H$2:$H$201),0)+SUMIFS($G$2:$G$1001,$A$2:$A$1001,A441,$B$2:$B$1001,"&lt;"&amp;B441))</f>
        <v/>
      </c>
      <c r="J441" s="16" t="str">
        <f>IF(OR(A441="",B441=""),"",IFERROR(LOOKUP(2,1/(单次交易!$A$2:$A$201=A441),单次交易!$E$2:$E$201)*LOOKUP(2,1/(单次交易!$A$2:$A$201=A441),单次交易!$H$2:$H$201),0)+SUMIFS($H$2:$H$1001,$A$2:$A$1001,A441,$B$2:$B$1001,"&lt;"&amp;B441))</f>
        <v/>
      </c>
      <c r="K441" s="16" t="str">
        <f t="shared" si="55"/>
        <v/>
      </c>
      <c r="L441" s="17" t="str">
        <f t="shared" si="56"/>
        <v/>
      </c>
      <c r="M441" s="17" t="str">
        <f t="shared" si="57"/>
        <v/>
      </c>
      <c r="N441" s="17" t="str">
        <f t="shared" si="58"/>
        <v/>
      </c>
      <c r="O441" s="17" t="str">
        <f t="shared" si="59"/>
        <v/>
      </c>
      <c r="P441" s="16" t="str">
        <f t="shared" si="60"/>
        <v/>
      </c>
      <c r="Q441" s="16" t="str">
        <f t="shared" si="61"/>
        <v/>
      </c>
      <c r="R441" s="18" t="str">
        <f t="shared" si="62"/>
        <v/>
      </c>
    </row>
    <row r="442" spans="1:18">
      <c r="A442" s="12"/>
      <c r="B442" s="13"/>
      <c r="C442" s="14"/>
      <c r="D442" s="15"/>
      <c r="E442" s="15"/>
      <c r="F442" s="15"/>
      <c r="G442" s="13"/>
      <c r="H442" s="16" t="str">
        <f t="shared" si="54"/>
        <v/>
      </c>
      <c r="I442" s="17" t="str">
        <f>IF(OR(A442="",B442=""),"",IFERROR(LOOKUP(2,1/(单次交易!$A$2:$A$201=A442),单次交易!$H$2:$H$201),0)+SUMIFS($G$2:$G$1001,$A$2:$A$1001,A442,$B$2:$B$1001,"&lt;"&amp;B442))</f>
        <v/>
      </c>
      <c r="J442" s="16" t="str">
        <f>IF(OR(A442="",B442=""),"",IFERROR(LOOKUP(2,1/(单次交易!$A$2:$A$201=A442),单次交易!$E$2:$E$201)*LOOKUP(2,1/(单次交易!$A$2:$A$201=A442),单次交易!$H$2:$H$201),0)+SUMIFS($H$2:$H$1001,$A$2:$A$1001,A442,$B$2:$B$1001,"&lt;"&amp;B442))</f>
        <v/>
      </c>
      <c r="K442" s="16" t="str">
        <f t="shared" si="55"/>
        <v/>
      </c>
      <c r="L442" s="17" t="str">
        <f t="shared" si="56"/>
        <v/>
      </c>
      <c r="M442" s="17" t="str">
        <f t="shared" si="57"/>
        <v/>
      </c>
      <c r="N442" s="17" t="str">
        <f t="shared" si="58"/>
        <v/>
      </c>
      <c r="O442" s="17" t="str">
        <f t="shared" si="59"/>
        <v/>
      </c>
      <c r="P442" s="16" t="str">
        <f t="shared" si="60"/>
        <v/>
      </c>
      <c r="Q442" s="16" t="str">
        <f t="shared" si="61"/>
        <v/>
      </c>
      <c r="R442" s="18" t="str">
        <f t="shared" si="62"/>
        <v/>
      </c>
    </row>
    <row r="443" spans="1:18">
      <c r="A443" s="12"/>
      <c r="B443" s="13"/>
      <c r="C443" s="14"/>
      <c r="D443" s="15"/>
      <c r="E443" s="15"/>
      <c r="F443" s="15"/>
      <c r="G443" s="13"/>
      <c r="H443" s="16" t="str">
        <f t="shared" si="54"/>
        <v/>
      </c>
      <c r="I443" s="17" t="str">
        <f>IF(OR(A443="",B443=""),"",IFERROR(LOOKUP(2,1/(单次交易!$A$2:$A$201=A443),单次交易!$H$2:$H$201),0)+SUMIFS($G$2:$G$1001,$A$2:$A$1001,A443,$B$2:$B$1001,"&lt;"&amp;B443))</f>
        <v/>
      </c>
      <c r="J443" s="16" t="str">
        <f>IF(OR(A443="",B443=""),"",IFERROR(LOOKUP(2,1/(单次交易!$A$2:$A$201=A443),单次交易!$E$2:$E$201)*LOOKUP(2,1/(单次交易!$A$2:$A$201=A443),单次交易!$H$2:$H$201),0)+SUMIFS($H$2:$H$1001,$A$2:$A$1001,A443,$B$2:$B$1001,"&lt;"&amp;B443))</f>
        <v/>
      </c>
      <c r="K443" s="16" t="str">
        <f t="shared" si="55"/>
        <v/>
      </c>
      <c r="L443" s="17" t="str">
        <f t="shared" si="56"/>
        <v/>
      </c>
      <c r="M443" s="17" t="str">
        <f t="shared" si="57"/>
        <v/>
      </c>
      <c r="N443" s="17" t="str">
        <f t="shared" si="58"/>
        <v/>
      </c>
      <c r="O443" s="17" t="str">
        <f t="shared" si="59"/>
        <v/>
      </c>
      <c r="P443" s="16" t="str">
        <f t="shared" si="60"/>
        <v/>
      </c>
      <c r="Q443" s="16" t="str">
        <f t="shared" si="61"/>
        <v/>
      </c>
      <c r="R443" s="18" t="str">
        <f t="shared" si="62"/>
        <v/>
      </c>
    </row>
    <row r="444" spans="1:18">
      <c r="A444" s="12"/>
      <c r="B444" s="13"/>
      <c r="C444" s="14"/>
      <c r="D444" s="15"/>
      <c r="E444" s="15"/>
      <c r="F444" s="15"/>
      <c r="G444" s="13"/>
      <c r="H444" s="16" t="str">
        <f t="shared" si="54"/>
        <v/>
      </c>
      <c r="I444" s="17" t="str">
        <f>IF(OR(A444="",B444=""),"",IFERROR(LOOKUP(2,1/(单次交易!$A$2:$A$201=A444),单次交易!$H$2:$H$201),0)+SUMIFS($G$2:$G$1001,$A$2:$A$1001,A444,$B$2:$B$1001,"&lt;"&amp;B444))</f>
        <v/>
      </c>
      <c r="J444" s="16" t="str">
        <f>IF(OR(A444="",B444=""),"",IFERROR(LOOKUP(2,1/(单次交易!$A$2:$A$201=A444),单次交易!$E$2:$E$201)*LOOKUP(2,1/(单次交易!$A$2:$A$201=A444),单次交易!$H$2:$H$201),0)+SUMIFS($H$2:$H$1001,$A$2:$A$1001,A444,$B$2:$B$1001,"&lt;"&amp;B444))</f>
        <v/>
      </c>
      <c r="K444" s="16" t="str">
        <f t="shared" si="55"/>
        <v/>
      </c>
      <c r="L444" s="17" t="str">
        <f t="shared" si="56"/>
        <v/>
      </c>
      <c r="M444" s="17" t="str">
        <f t="shared" si="57"/>
        <v/>
      </c>
      <c r="N444" s="17" t="str">
        <f t="shared" si="58"/>
        <v/>
      </c>
      <c r="O444" s="17" t="str">
        <f t="shared" si="59"/>
        <v/>
      </c>
      <c r="P444" s="16" t="str">
        <f t="shared" si="60"/>
        <v/>
      </c>
      <c r="Q444" s="16" t="str">
        <f t="shared" si="61"/>
        <v/>
      </c>
      <c r="R444" s="18" t="str">
        <f t="shared" si="62"/>
        <v/>
      </c>
    </row>
    <row r="445" spans="1:18">
      <c r="A445" s="12"/>
      <c r="B445" s="13"/>
      <c r="C445" s="14"/>
      <c r="D445" s="15"/>
      <c r="E445" s="15"/>
      <c r="F445" s="15"/>
      <c r="G445" s="13"/>
      <c r="H445" s="16" t="str">
        <f t="shared" si="54"/>
        <v/>
      </c>
      <c r="I445" s="17" t="str">
        <f>IF(OR(A445="",B445=""),"",IFERROR(LOOKUP(2,1/(单次交易!$A$2:$A$201=A445),单次交易!$H$2:$H$201),0)+SUMIFS($G$2:$G$1001,$A$2:$A$1001,A445,$B$2:$B$1001,"&lt;"&amp;B445))</f>
        <v/>
      </c>
      <c r="J445" s="16" t="str">
        <f>IF(OR(A445="",B445=""),"",IFERROR(LOOKUP(2,1/(单次交易!$A$2:$A$201=A445),单次交易!$E$2:$E$201)*LOOKUP(2,1/(单次交易!$A$2:$A$201=A445),单次交易!$H$2:$H$201),0)+SUMIFS($H$2:$H$1001,$A$2:$A$1001,A445,$B$2:$B$1001,"&lt;"&amp;B445))</f>
        <v/>
      </c>
      <c r="K445" s="16" t="str">
        <f t="shared" si="55"/>
        <v/>
      </c>
      <c r="L445" s="17" t="str">
        <f t="shared" si="56"/>
        <v/>
      </c>
      <c r="M445" s="17" t="str">
        <f t="shared" si="57"/>
        <v/>
      </c>
      <c r="N445" s="17" t="str">
        <f t="shared" si="58"/>
        <v/>
      </c>
      <c r="O445" s="17" t="str">
        <f t="shared" si="59"/>
        <v/>
      </c>
      <c r="P445" s="16" t="str">
        <f t="shared" si="60"/>
        <v/>
      </c>
      <c r="Q445" s="16" t="str">
        <f t="shared" si="61"/>
        <v/>
      </c>
      <c r="R445" s="18" t="str">
        <f t="shared" si="62"/>
        <v/>
      </c>
    </row>
    <row r="446" spans="1:18">
      <c r="A446" s="12"/>
      <c r="B446" s="13"/>
      <c r="C446" s="14"/>
      <c r="D446" s="15"/>
      <c r="E446" s="15"/>
      <c r="F446" s="15"/>
      <c r="G446" s="13"/>
      <c r="H446" s="16" t="str">
        <f t="shared" si="54"/>
        <v/>
      </c>
      <c r="I446" s="17" t="str">
        <f>IF(OR(A446="",B446=""),"",IFERROR(LOOKUP(2,1/(单次交易!$A$2:$A$201=A446),单次交易!$H$2:$H$201),0)+SUMIFS($G$2:$G$1001,$A$2:$A$1001,A446,$B$2:$B$1001,"&lt;"&amp;B446))</f>
        <v/>
      </c>
      <c r="J446" s="16" t="str">
        <f>IF(OR(A446="",B446=""),"",IFERROR(LOOKUP(2,1/(单次交易!$A$2:$A$201=A446),单次交易!$E$2:$E$201)*LOOKUP(2,1/(单次交易!$A$2:$A$201=A446),单次交易!$H$2:$H$201),0)+SUMIFS($H$2:$H$1001,$A$2:$A$1001,A446,$B$2:$B$1001,"&lt;"&amp;B446))</f>
        <v/>
      </c>
      <c r="K446" s="16" t="str">
        <f t="shared" si="55"/>
        <v/>
      </c>
      <c r="L446" s="17" t="str">
        <f t="shared" si="56"/>
        <v/>
      </c>
      <c r="M446" s="17" t="str">
        <f t="shared" si="57"/>
        <v/>
      </c>
      <c r="N446" s="17" t="str">
        <f t="shared" si="58"/>
        <v/>
      </c>
      <c r="O446" s="17" t="str">
        <f t="shared" si="59"/>
        <v/>
      </c>
      <c r="P446" s="16" t="str">
        <f t="shared" si="60"/>
        <v/>
      </c>
      <c r="Q446" s="16" t="str">
        <f t="shared" si="61"/>
        <v/>
      </c>
      <c r="R446" s="18" t="str">
        <f t="shared" si="62"/>
        <v/>
      </c>
    </row>
    <row r="447" spans="1:18">
      <c r="A447" s="12"/>
      <c r="B447" s="13"/>
      <c r="C447" s="14"/>
      <c r="D447" s="15"/>
      <c r="E447" s="15"/>
      <c r="F447" s="15"/>
      <c r="G447" s="13"/>
      <c r="H447" s="16" t="str">
        <f t="shared" si="54"/>
        <v/>
      </c>
      <c r="I447" s="17" t="str">
        <f>IF(OR(A447="",B447=""),"",IFERROR(LOOKUP(2,1/(单次交易!$A$2:$A$201=A447),单次交易!$H$2:$H$201),0)+SUMIFS($G$2:$G$1001,$A$2:$A$1001,A447,$B$2:$B$1001,"&lt;"&amp;B447))</f>
        <v/>
      </c>
      <c r="J447" s="16" t="str">
        <f>IF(OR(A447="",B447=""),"",IFERROR(LOOKUP(2,1/(单次交易!$A$2:$A$201=A447),单次交易!$E$2:$E$201)*LOOKUP(2,1/(单次交易!$A$2:$A$201=A447),单次交易!$H$2:$H$201),0)+SUMIFS($H$2:$H$1001,$A$2:$A$1001,A447,$B$2:$B$1001,"&lt;"&amp;B447))</f>
        <v/>
      </c>
      <c r="K447" s="16" t="str">
        <f t="shared" si="55"/>
        <v/>
      </c>
      <c r="L447" s="17" t="str">
        <f t="shared" si="56"/>
        <v/>
      </c>
      <c r="M447" s="17" t="str">
        <f t="shared" si="57"/>
        <v/>
      </c>
      <c r="N447" s="17" t="str">
        <f t="shared" si="58"/>
        <v/>
      </c>
      <c r="O447" s="17" t="str">
        <f t="shared" si="59"/>
        <v/>
      </c>
      <c r="P447" s="16" t="str">
        <f t="shared" si="60"/>
        <v/>
      </c>
      <c r="Q447" s="16" t="str">
        <f t="shared" si="61"/>
        <v/>
      </c>
      <c r="R447" s="18" t="str">
        <f t="shared" si="62"/>
        <v/>
      </c>
    </row>
    <row r="448" spans="1:18">
      <c r="A448" s="12"/>
      <c r="B448" s="13"/>
      <c r="C448" s="14"/>
      <c r="D448" s="15"/>
      <c r="E448" s="15"/>
      <c r="F448" s="15"/>
      <c r="G448" s="13"/>
      <c r="H448" s="16" t="str">
        <f t="shared" si="54"/>
        <v/>
      </c>
      <c r="I448" s="17" t="str">
        <f>IF(OR(A448="",B448=""),"",IFERROR(LOOKUP(2,1/(单次交易!$A$2:$A$201=A448),单次交易!$H$2:$H$201),0)+SUMIFS($G$2:$G$1001,$A$2:$A$1001,A448,$B$2:$B$1001,"&lt;"&amp;B448))</f>
        <v/>
      </c>
      <c r="J448" s="16" t="str">
        <f>IF(OR(A448="",B448=""),"",IFERROR(LOOKUP(2,1/(单次交易!$A$2:$A$201=A448),单次交易!$E$2:$E$201)*LOOKUP(2,1/(单次交易!$A$2:$A$201=A448),单次交易!$H$2:$H$201),0)+SUMIFS($H$2:$H$1001,$A$2:$A$1001,A448,$B$2:$B$1001,"&lt;"&amp;B448))</f>
        <v/>
      </c>
      <c r="K448" s="16" t="str">
        <f t="shared" si="55"/>
        <v/>
      </c>
      <c r="L448" s="17" t="str">
        <f t="shared" si="56"/>
        <v/>
      </c>
      <c r="M448" s="17" t="str">
        <f t="shared" si="57"/>
        <v/>
      </c>
      <c r="N448" s="17" t="str">
        <f t="shared" si="58"/>
        <v/>
      </c>
      <c r="O448" s="17" t="str">
        <f t="shared" si="59"/>
        <v/>
      </c>
      <c r="P448" s="16" t="str">
        <f t="shared" si="60"/>
        <v/>
      </c>
      <c r="Q448" s="16" t="str">
        <f t="shared" si="61"/>
        <v/>
      </c>
      <c r="R448" s="18" t="str">
        <f t="shared" si="62"/>
        <v/>
      </c>
    </row>
    <row r="449" spans="1:18">
      <c r="A449" s="12"/>
      <c r="B449" s="13"/>
      <c r="C449" s="14"/>
      <c r="D449" s="15"/>
      <c r="E449" s="15"/>
      <c r="F449" s="15"/>
      <c r="G449" s="13"/>
      <c r="H449" s="16" t="str">
        <f t="shared" si="54"/>
        <v/>
      </c>
      <c r="I449" s="17" t="str">
        <f>IF(OR(A449="",B449=""),"",IFERROR(LOOKUP(2,1/(单次交易!$A$2:$A$201=A449),单次交易!$H$2:$H$201),0)+SUMIFS($G$2:$G$1001,$A$2:$A$1001,A449,$B$2:$B$1001,"&lt;"&amp;B449))</f>
        <v/>
      </c>
      <c r="J449" s="16" t="str">
        <f>IF(OR(A449="",B449=""),"",IFERROR(LOOKUP(2,1/(单次交易!$A$2:$A$201=A449),单次交易!$E$2:$E$201)*LOOKUP(2,1/(单次交易!$A$2:$A$201=A449),单次交易!$H$2:$H$201),0)+SUMIFS($H$2:$H$1001,$A$2:$A$1001,A449,$B$2:$B$1001,"&lt;"&amp;B449))</f>
        <v/>
      </c>
      <c r="K449" s="16" t="str">
        <f t="shared" si="55"/>
        <v/>
      </c>
      <c r="L449" s="17" t="str">
        <f t="shared" si="56"/>
        <v/>
      </c>
      <c r="M449" s="17" t="str">
        <f t="shared" si="57"/>
        <v/>
      </c>
      <c r="N449" s="17" t="str">
        <f t="shared" si="58"/>
        <v/>
      </c>
      <c r="O449" s="17" t="str">
        <f t="shared" si="59"/>
        <v/>
      </c>
      <c r="P449" s="16" t="str">
        <f t="shared" si="60"/>
        <v/>
      </c>
      <c r="Q449" s="16" t="str">
        <f t="shared" si="61"/>
        <v/>
      </c>
      <c r="R449" s="18" t="str">
        <f t="shared" si="62"/>
        <v/>
      </c>
    </row>
    <row r="450" spans="1:18">
      <c r="A450" s="12"/>
      <c r="B450" s="13"/>
      <c r="C450" s="14"/>
      <c r="D450" s="15"/>
      <c r="E450" s="15"/>
      <c r="F450" s="15"/>
      <c r="G450" s="13"/>
      <c r="H450" s="16" t="str">
        <f t="shared" ref="H450:H513" si="63">IF(OR(A450="",D450="",G450=""),"",D450*G450)</f>
        <v/>
      </c>
      <c r="I450" s="17" t="str">
        <f>IF(OR(A450="",B450=""),"",IFERROR(LOOKUP(2,1/(单次交易!$A$2:$A$201=A450),单次交易!$H$2:$H$201),0)+SUMIFS($G$2:$G$1001,$A$2:$A$1001,A450,$B$2:$B$1001,"&lt;"&amp;B450))</f>
        <v/>
      </c>
      <c r="J450" s="16" t="str">
        <f>IF(OR(A450="",B450=""),"",IFERROR(LOOKUP(2,1/(单次交易!$A$2:$A$201=A450),单次交易!$E$2:$E$201)*LOOKUP(2,1/(单次交易!$A$2:$A$201=A450),单次交易!$H$2:$H$201),0)+SUMIFS($H$2:$H$1001,$A$2:$A$1001,A450,$B$2:$B$1001,"&lt;"&amp;B450))</f>
        <v/>
      </c>
      <c r="K450" s="16" t="str">
        <f t="shared" ref="K450:K513" si="64">IF(OR(E450="",I450="",J450=""),"",MAX(E450*I450-J450,0))</f>
        <v/>
      </c>
      <c r="L450" s="17" t="str">
        <f t="shared" ref="L450:L513" si="65">IF(OR(D450="",E450="",F450="",D450&lt;=E450),"",FLOOR((F450+K450)/(D450-E450),100))</f>
        <v/>
      </c>
      <c r="M450" s="17" t="str">
        <f t="shared" ref="M450:M513" si="66">IF(OR(A450="",B450="",L450=""),"",IF(B450=1,L450,IFERROR(SUMIFS($G$2:$G$1001,$A$2:$A$1001,A450,$B$2:$B$1001,B450-1),0)))</f>
        <v/>
      </c>
      <c r="N450" s="17" t="str">
        <f t="shared" ref="N450:N513" si="67">IF(OR(L450="",M450=""),"",MIN(L450,M450))</f>
        <v/>
      </c>
      <c r="O450" s="17" t="str">
        <f t="shared" ref="O450:O513" si="68">IF(OR(I450="",G450=""),"",I450+G450)</f>
        <v/>
      </c>
      <c r="P450" s="16" t="str">
        <f t="shared" ref="P450:P513" si="69">IF(OR(O450="",O450=0),"",(J450+H450)/O450)</f>
        <v/>
      </c>
      <c r="Q450" s="16" t="str">
        <f t="shared" ref="Q450:Q513" si="70">IF(OR(O450="",E450=""),"",MAX(J450+H450-E450*O450,0))</f>
        <v/>
      </c>
      <c r="R450" s="18" t="str">
        <f t="shared" ref="R450:R513" si="71">IF(A450="","",IF(COUNTIF(_TradeIds,A450)=0,"违规：交易编号不存在",IF(OR(B450="",B450&lt;1,B450&gt;5,B450&lt;&gt;INT(B450)),"违规：加仓序号须为1到5的整数",IF(COUNTIFS($A$2:$A$1001,A450,$B$2:$B$1001,B450)&gt;1,"违规：同一交易的加仓序号重复",IF(OR(D450="",E450="",F450=""),"计划不完整：请填写加仓价、新止损价和风险预算",IF(OR(D450&lt;=0,E450&lt;=0,F450&lt;=0,D450&lt;=E450),"违规：加仓价必须高于新止损价，金额须大于0",IF(AND(B450&gt;1,COUNTIFS($A$2:$A$1001,A450,$B$2:$B$1001,B450-1,$G$2:$G$1001,"&gt;0")=0),"违规：须先完成上一次加仓",IF(AND(B450&gt;1,E450&lt;SUMIFS($E$2:$E$1001,$A$2:$A$1001,A450,$B$2:$B$1001,B450-1)),"违规：新止损价不得低于上一次",IF(AND(B450&gt;1,F450&gt;SUMIFS($F$2:$F$1001,$A$2:$A$1001,A450,$B$2:$B$1001,B450-1)),"违规：风险预算须逐次不增加",IF(OR(_LockStatus="已锁仓",_LockStatus="解锁信息不完整"),"违规：锁仓期间禁止加仓",IF(G450="","计划可执行：建议股数见N列",IF(OR(G450&lt;=0,G450&lt;&gt;INT(G450),MOD(G450,100)&lt;&gt;0),"违规：实际股数须为100股整数倍",IF(G450&gt;N450,"违规：实际股数超过风险或金字塔上限",IF(AND(B450&gt;1,G450&gt;SUMIFS($G$2:$G$1001,$A$2:$A$1001,A450,$B$2:$B$1001,B450-1)),"违规：加仓股数须逐次不增加",IF(Q450&gt;F450,"违规：止损风险超过本次预算","通过")))))))))))))))</f>
        <v/>
      </c>
    </row>
    <row r="451" spans="1:18">
      <c r="A451" s="12"/>
      <c r="B451" s="13"/>
      <c r="C451" s="14"/>
      <c r="D451" s="15"/>
      <c r="E451" s="15"/>
      <c r="F451" s="15"/>
      <c r="G451" s="13"/>
      <c r="H451" s="16" t="str">
        <f t="shared" si="63"/>
        <v/>
      </c>
      <c r="I451" s="17" t="str">
        <f>IF(OR(A451="",B451=""),"",IFERROR(LOOKUP(2,1/(单次交易!$A$2:$A$201=A451),单次交易!$H$2:$H$201),0)+SUMIFS($G$2:$G$1001,$A$2:$A$1001,A451,$B$2:$B$1001,"&lt;"&amp;B451))</f>
        <v/>
      </c>
      <c r="J451" s="16" t="str">
        <f>IF(OR(A451="",B451=""),"",IFERROR(LOOKUP(2,1/(单次交易!$A$2:$A$201=A451),单次交易!$E$2:$E$201)*LOOKUP(2,1/(单次交易!$A$2:$A$201=A451),单次交易!$H$2:$H$201),0)+SUMIFS($H$2:$H$1001,$A$2:$A$1001,A451,$B$2:$B$1001,"&lt;"&amp;B451))</f>
        <v/>
      </c>
      <c r="K451" s="16" t="str">
        <f t="shared" si="64"/>
        <v/>
      </c>
      <c r="L451" s="17" t="str">
        <f t="shared" si="65"/>
        <v/>
      </c>
      <c r="M451" s="17" t="str">
        <f t="shared" si="66"/>
        <v/>
      </c>
      <c r="N451" s="17" t="str">
        <f t="shared" si="67"/>
        <v/>
      </c>
      <c r="O451" s="17" t="str">
        <f t="shared" si="68"/>
        <v/>
      </c>
      <c r="P451" s="16" t="str">
        <f t="shared" si="69"/>
        <v/>
      </c>
      <c r="Q451" s="16" t="str">
        <f t="shared" si="70"/>
        <v/>
      </c>
      <c r="R451" s="18" t="str">
        <f t="shared" si="71"/>
        <v/>
      </c>
    </row>
    <row r="452" spans="1:18">
      <c r="A452" s="12"/>
      <c r="B452" s="13"/>
      <c r="C452" s="14"/>
      <c r="D452" s="15"/>
      <c r="E452" s="15"/>
      <c r="F452" s="15"/>
      <c r="G452" s="13"/>
      <c r="H452" s="16" t="str">
        <f t="shared" si="63"/>
        <v/>
      </c>
      <c r="I452" s="17" t="str">
        <f>IF(OR(A452="",B452=""),"",IFERROR(LOOKUP(2,1/(单次交易!$A$2:$A$201=A452),单次交易!$H$2:$H$201),0)+SUMIFS($G$2:$G$1001,$A$2:$A$1001,A452,$B$2:$B$1001,"&lt;"&amp;B452))</f>
        <v/>
      </c>
      <c r="J452" s="16" t="str">
        <f>IF(OR(A452="",B452=""),"",IFERROR(LOOKUP(2,1/(单次交易!$A$2:$A$201=A452),单次交易!$E$2:$E$201)*LOOKUP(2,1/(单次交易!$A$2:$A$201=A452),单次交易!$H$2:$H$201),0)+SUMIFS($H$2:$H$1001,$A$2:$A$1001,A452,$B$2:$B$1001,"&lt;"&amp;B452))</f>
        <v/>
      </c>
      <c r="K452" s="16" t="str">
        <f t="shared" si="64"/>
        <v/>
      </c>
      <c r="L452" s="17" t="str">
        <f t="shared" si="65"/>
        <v/>
      </c>
      <c r="M452" s="17" t="str">
        <f t="shared" si="66"/>
        <v/>
      </c>
      <c r="N452" s="17" t="str">
        <f t="shared" si="67"/>
        <v/>
      </c>
      <c r="O452" s="17" t="str">
        <f t="shared" si="68"/>
        <v/>
      </c>
      <c r="P452" s="16" t="str">
        <f t="shared" si="69"/>
        <v/>
      </c>
      <c r="Q452" s="16" t="str">
        <f t="shared" si="70"/>
        <v/>
      </c>
      <c r="R452" s="18" t="str">
        <f t="shared" si="71"/>
        <v/>
      </c>
    </row>
    <row r="453" spans="1:18">
      <c r="A453" s="12"/>
      <c r="B453" s="13"/>
      <c r="C453" s="14"/>
      <c r="D453" s="15"/>
      <c r="E453" s="15"/>
      <c r="F453" s="15"/>
      <c r="G453" s="13"/>
      <c r="H453" s="16" t="str">
        <f t="shared" si="63"/>
        <v/>
      </c>
      <c r="I453" s="17" t="str">
        <f>IF(OR(A453="",B453=""),"",IFERROR(LOOKUP(2,1/(单次交易!$A$2:$A$201=A453),单次交易!$H$2:$H$201),0)+SUMIFS($G$2:$G$1001,$A$2:$A$1001,A453,$B$2:$B$1001,"&lt;"&amp;B453))</f>
        <v/>
      </c>
      <c r="J453" s="16" t="str">
        <f>IF(OR(A453="",B453=""),"",IFERROR(LOOKUP(2,1/(单次交易!$A$2:$A$201=A453),单次交易!$E$2:$E$201)*LOOKUP(2,1/(单次交易!$A$2:$A$201=A453),单次交易!$H$2:$H$201),0)+SUMIFS($H$2:$H$1001,$A$2:$A$1001,A453,$B$2:$B$1001,"&lt;"&amp;B453))</f>
        <v/>
      </c>
      <c r="K453" s="16" t="str">
        <f t="shared" si="64"/>
        <v/>
      </c>
      <c r="L453" s="17" t="str">
        <f t="shared" si="65"/>
        <v/>
      </c>
      <c r="M453" s="17" t="str">
        <f t="shared" si="66"/>
        <v/>
      </c>
      <c r="N453" s="17" t="str">
        <f t="shared" si="67"/>
        <v/>
      </c>
      <c r="O453" s="17" t="str">
        <f t="shared" si="68"/>
        <v/>
      </c>
      <c r="P453" s="16" t="str">
        <f t="shared" si="69"/>
        <v/>
      </c>
      <c r="Q453" s="16" t="str">
        <f t="shared" si="70"/>
        <v/>
      </c>
      <c r="R453" s="18" t="str">
        <f t="shared" si="71"/>
        <v/>
      </c>
    </row>
    <row r="454" spans="1:18">
      <c r="A454" s="12"/>
      <c r="B454" s="13"/>
      <c r="C454" s="14"/>
      <c r="D454" s="15"/>
      <c r="E454" s="15"/>
      <c r="F454" s="15"/>
      <c r="G454" s="13"/>
      <c r="H454" s="16" t="str">
        <f t="shared" si="63"/>
        <v/>
      </c>
      <c r="I454" s="17" t="str">
        <f>IF(OR(A454="",B454=""),"",IFERROR(LOOKUP(2,1/(单次交易!$A$2:$A$201=A454),单次交易!$H$2:$H$201),0)+SUMIFS($G$2:$G$1001,$A$2:$A$1001,A454,$B$2:$B$1001,"&lt;"&amp;B454))</f>
        <v/>
      </c>
      <c r="J454" s="16" t="str">
        <f>IF(OR(A454="",B454=""),"",IFERROR(LOOKUP(2,1/(单次交易!$A$2:$A$201=A454),单次交易!$E$2:$E$201)*LOOKUP(2,1/(单次交易!$A$2:$A$201=A454),单次交易!$H$2:$H$201),0)+SUMIFS($H$2:$H$1001,$A$2:$A$1001,A454,$B$2:$B$1001,"&lt;"&amp;B454))</f>
        <v/>
      </c>
      <c r="K454" s="16" t="str">
        <f t="shared" si="64"/>
        <v/>
      </c>
      <c r="L454" s="17" t="str">
        <f t="shared" si="65"/>
        <v/>
      </c>
      <c r="M454" s="17" t="str">
        <f t="shared" si="66"/>
        <v/>
      </c>
      <c r="N454" s="17" t="str">
        <f t="shared" si="67"/>
        <v/>
      </c>
      <c r="O454" s="17" t="str">
        <f t="shared" si="68"/>
        <v/>
      </c>
      <c r="P454" s="16" t="str">
        <f t="shared" si="69"/>
        <v/>
      </c>
      <c r="Q454" s="16" t="str">
        <f t="shared" si="70"/>
        <v/>
      </c>
      <c r="R454" s="18" t="str">
        <f t="shared" si="71"/>
        <v/>
      </c>
    </row>
    <row r="455" spans="1:18">
      <c r="A455" s="12"/>
      <c r="B455" s="13"/>
      <c r="C455" s="14"/>
      <c r="D455" s="15"/>
      <c r="E455" s="15"/>
      <c r="F455" s="15"/>
      <c r="G455" s="13"/>
      <c r="H455" s="16" t="str">
        <f t="shared" si="63"/>
        <v/>
      </c>
      <c r="I455" s="17" t="str">
        <f>IF(OR(A455="",B455=""),"",IFERROR(LOOKUP(2,1/(单次交易!$A$2:$A$201=A455),单次交易!$H$2:$H$201),0)+SUMIFS($G$2:$G$1001,$A$2:$A$1001,A455,$B$2:$B$1001,"&lt;"&amp;B455))</f>
        <v/>
      </c>
      <c r="J455" s="16" t="str">
        <f>IF(OR(A455="",B455=""),"",IFERROR(LOOKUP(2,1/(单次交易!$A$2:$A$201=A455),单次交易!$E$2:$E$201)*LOOKUP(2,1/(单次交易!$A$2:$A$201=A455),单次交易!$H$2:$H$201),0)+SUMIFS($H$2:$H$1001,$A$2:$A$1001,A455,$B$2:$B$1001,"&lt;"&amp;B455))</f>
        <v/>
      </c>
      <c r="K455" s="16" t="str">
        <f t="shared" si="64"/>
        <v/>
      </c>
      <c r="L455" s="17" t="str">
        <f t="shared" si="65"/>
        <v/>
      </c>
      <c r="M455" s="17" t="str">
        <f t="shared" si="66"/>
        <v/>
      </c>
      <c r="N455" s="17" t="str">
        <f t="shared" si="67"/>
        <v/>
      </c>
      <c r="O455" s="17" t="str">
        <f t="shared" si="68"/>
        <v/>
      </c>
      <c r="P455" s="16" t="str">
        <f t="shared" si="69"/>
        <v/>
      </c>
      <c r="Q455" s="16" t="str">
        <f t="shared" si="70"/>
        <v/>
      </c>
      <c r="R455" s="18" t="str">
        <f t="shared" si="71"/>
        <v/>
      </c>
    </row>
    <row r="456" spans="1:18">
      <c r="A456" s="12"/>
      <c r="B456" s="13"/>
      <c r="C456" s="14"/>
      <c r="D456" s="15"/>
      <c r="E456" s="15"/>
      <c r="F456" s="15"/>
      <c r="G456" s="13"/>
      <c r="H456" s="16" t="str">
        <f t="shared" si="63"/>
        <v/>
      </c>
      <c r="I456" s="17" t="str">
        <f>IF(OR(A456="",B456=""),"",IFERROR(LOOKUP(2,1/(单次交易!$A$2:$A$201=A456),单次交易!$H$2:$H$201),0)+SUMIFS($G$2:$G$1001,$A$2:$A$1001,A456,$B$2:$B$1001,"&lt;"&amp;B456))</f>
        <v/>
      </c>
      <c r="J456" s="16" t="str">
        <f>IF(OR(A456="",B456=""),"",IFERROR(LOOKUP(2,1/(单次交易!$A$2:$A$201=A456),单次交易!$E$2:$E$201)*LOOKUP(2,1/(单次交易!$A$2:$A$201=A456),单次交易!$H$2:$H$201),0)+SUMIFS($H$2:$H$1001,$A$2:$A$1001,A456,$B$2:$B$1001,"&lt;"&amp;B456))</f>
        <v/>
      </c>
      <c r="K456" s="16" t="str">
        <f t="shared" si="64"/>
        <v/>
      </c>
      <c r="L456" s="17" t="str">
        <f t="shared" si="65"/>
        <v/>
      </c>
      <c r="M456" s="17" t="str">
        <f t="shared" si="66"/>
        <v/>
      </c>
      <c r="N456" s="17" t="str">
        <f t="shared" si="67"/>
        <v/>
      </c>
      <c r="O456" s="17" t="str">
        <f t="shared" si="68"/>
        <v/>
      </c>
      <c r="P456" s="16" t="str">
        <f t="shared" si="69"/>
        <v/>
      </c>
      <c r="Q456" s="16" t="str">
        <f t="shared" si="70"/>
        <v/>
      </c>
      <c r="R456" s="18" t="str">
        <f t="shared" si="71"/>
        <v/>
      </c>
    </row>
    <row r="457" spans="1:18">
      <c r="A457" s="12"/>
      <c r="B457" s="13"/>
      <c r="C457" s="14"/>
      <c r="D457" s="15"/>
      <c r="E457" s="15"/>
      <c r="F457" s="15"/>
      <c r="G457" s="13"/>
      <c r="H457" s="16" t="str">
        <f t="shared" si="63"/>
        <v/>
      </c>
      <c r="I457" s="17" t="str">
        <f>IF(OR(A457="",B457=""),"",IFERROR(LOOKUP(2,1/(单次交易!$A$2:$A$201=A457),单次交易!$H$2:$H$201),0)+SUMIFS($G$2:$G$1001,$A$2:$A$1001,A457,$B$2:$B$1001,"&lt;"&amp;B457))</f>
        <v/>
      </c>
      <c r="J457" s="16" t="str">
        <f>IF(OR(A457="",B457=""),"",IFERROR(LOOKUP(2,1/(单次交易!$A$2:$A$201=A457),单次交易!$E$2:$E$201)*LOOKUP(2,1/(单次交易!$A$2:$A$201=A457),单次交易!$H$2:$H$201),0)+SUMIFS($H$2:$H$1001,$A$2:$A$1001,A457,$B$2:$B$1001,"&lt;"&amp;B457))</f>
        <v/>
      </c>
      <c r="K457" s="16" t="str">
        <f t="shared" si="64"/>
        <v/>
      </c>
      <c r="L457" s="17" t="str">
        <f t="shared" si="65"/>
        <v/>
      </c>
      <c r="M457" s="17" t="str">
        <f t="shared" si="66"/>
        <v/>
      </c>
      <c r="N457" s="17" t="str">
        <f t="shared" si="67"/>
        <v/>
      </c>
      <c r="O457" s="17" t="str">
        <f t="shared" si="68"/>
        <v/>
      </c>
      <c r="P457" s="16" t="str">
        <f t="shared" si="69"/>
        <v/>
      </c>
      <c r="Q457" s="16" t="str">
        <f t="shared" si="70"/>
        <v/>
      </c>
      <c r="R457" s="18" t="str">
        <f t="shared" si="71"/>
        <v/>
      </c>
    </row>
    <row r="458" spans="1:18">
      <c r="A458" s="12"/>
      <c r="B458" s="13"/>
      <c r="C458" s="14"/>
      <c r="D458" s="15"/>
      <c r="E458" s="15"/>
      <c r="F458" s="15"/>
      <c r="G458" s="13"/>
      <c r="H458" s="16" t="str">
        <f t="shared" si="63"/>
        <v/>
      </c>
      <c r="I458" s="17" t="str">
        <f>IF(OR(A458="",B458=""),"",IFERROR(LOOKUP(2,1/(单次交易!$A$2:$A$201=A458),单次交易!$H$2:$H$201),0)+SUMIFS($G$2:$G$1001,$A$2:$A$1001,A458,$B$2:$B$1001,"&lt;"&amp;B458))</f>
        <v/>
      </c>
      <c r="J458" s="16" t="str">
        <f>IF(OR(A458="",B458=""),"",IFERROR(LOOKUP(2,1/(单次交易!$A$2:$A$201=A458),单次交易!$E$2:$E$201)*LOOKUP(2,1/(单次交易!$A$2:$A$201=A458),单次交易!$H$2:$H$201),0)+SUMIFS($H$2:$H$1001,$A$2:$A$1001,A458,$B$2:$B$1001,"&lt;"&amp;B458))</f>
        <v/>
      </c>
      <c r="K458" s="16" t="str">
        <f t="shared" si="64"/>
        <v/>
      </c>
      <c r="L458" s="17" t="str">
        <f t="shared" si="65"/>
        <v/>
      </c>
      <c r="M458" s="17" t="str">
        <f t="shared" si="66"/>
        <v/>
      </c>
      <c r="N458" s="17" t="str">
        <f t="shared" si="67"/>
        <v/>
      </c>
      <c r="O458" s="17" t="str">
        <f t="shared" si="68"/>
        <v/>
      </c>
      <c r="P458" s="16" t="str">
        <f t="shared" si="69"/>
        <v/>
      </c>
      <c r="Q458" s="16" t="str">
        <f t="shared" si="70"/>
        <v/>
      </c>
      <c r="R458" s="18" t="str">
        <f t="shared" si="71"/>
        <v/>
      </c>
    </row>
    <row r="459" spans="1:18">
      <c r="A459" s="12"/>
      <c r="B459" s="13"/>
      <c r="C459" s="14"/>
      <c r="D459" s="15"/>
      <c r="E459" s="15"/>
      <c r="F459" s="15"/>
      <c r="G459" s="13"/>
      <c r="H459" s="16" t="str">
        <f t="shared" si="63"/>
        <v/>
      </c>
      <c r="I459" s="17" t="str">
        <f>IF(OR(A459="",B459=""),"",IFERROR(LOOKUP(2,1/(单次交易!$A$2:$A$201=A459),单次交易!$H$2:$H$201),0)+SUMIFS($G$2:$G$1001,$A$2:$A$1001,A459,$B$2:$B$1001,"&lt;"&amp;B459))</f>
        <v/>
      </c>
      <c r="J459" s="16" t="str">
        <f>IF(OR(A459="",B459=""),"",IFERROR(LOOKUP(2,1/(单次交易!$A$2:$A$201=A459),单次交易!$E$2:$E$201)*LOOKUP(2,1/(单次交易!$A$2:$A$201=A459),单次交易!$H$2:$H$201),0)+SUMIFS($H$2:$H$1001,$A$2:$A$1001,A459,$B$2:$B$1001,"&lt;"&amp;B459))</f>
        <v/>
      </c>
      <c r="K459" s="16" t="str">
        <f t="shared" si="64"/>
        <v/>
      </c>
      <c r="L459" s="17" t="str">
        <f t="shared" si="65"/>
        <v/>
      </c>
      <c r="M459" s="17" t="str">
        <f t="shared" si="66"/>
        <v/>
      </c>
      <c r="N459" s="17" t="str">
        <f t="shared" si="67"/>
        <v/>
      </c>
      <c r="O459" s="17" t="str">
        <f t="shared" si="68"/>
        <v/>
      </c>
      <c r="P459" s="16" t="str">
        <f t="shared" si="69"/>
        <v/>
      </c>
      <c r="Q459" s="16" t="str">
        <f t="shared" si="70"/>
        <v/>
      </c>
      <c r="R459" s="18" t="str">
        <f t="shared" si="71"/>
        <v/>
      </c>
    </row>
    <row r="460" spans="1:18">
      <c r="A460" s="12"/>
      <c r="B460" s="13"/>
      <c r="C460" s="14"/>
      <c r="D460" s="15"/>
      <c r="E460" s="15"/>
      <c r="F460" s="15"/>
      <c r="G460" s="13"/>
      <c r="H460" s="16" t="str">
        <f t="shared" si="63"/>
        <v/>
      </c>
      <c r="I460" s="17" t="str">
        <f>IF(OR(A460="",B460=""),"",IFERROR(LOOKUP(2,1/(单次交易!$A$2:$A$201=A460),单次交易!$H$2:$H$201),0)+SUMIFS($G$2:$G$1001,$A$2:$A$1001,A460,$B$2:$B$1001,"&lt;"&amp;B460))</f>
        <v/>
      </c>
      <c r="J460" s="16" t="str">
        <f>IF(OR(A460="",B460=""),"",IFERROR(LOOKUP(2,1/(单次交易!$A$2:$A$201=A460),单次交易!$E$2:$E$201)*LOOKUP(2,1/(单次交易!$A$2:$A$201=A460),单次交易!$H$2:$H$201),0)+SUMIFS($H$2:$H$1001,$A$2:$A$1001,A460,$B$2:$B$1001,"&lt;"&amp;B460))</f>
        <v/>
      </c>
      <c r="K460" s="16" t="str">
        <f t="shared" si="64"/>
        <v/>
      </c>
      <c r="L460" s="17" t="str">
        <f t="shared" si="65"/>
        <v/>
      </c>
      <c r="M460" s="17" t="str">
        <f t="shared" si="66"/>
        <v/>
      </c>
      <c r="N460" s="17" t="str">
        <f t="shared" si="67"/>
        <v/>
      </c>
      <c r="O460" s="17" t="str">
        <f t="shared" si="68"/>
        <v/>
      </c>
      <c r="P460" s="16" t="str">
        <f t="shared" si="69"/>
        <v/>
      </c>
      <c r="Q460" s="16" t="str">
        <f t="shared" si="70"/>
        <v/>
      </c>
      <c r="R460" s="18" t="str">
        <f t="shared" si="71"/>
        <v/>
      </c>
    </row>
    <row r="461" spans="1:18">
      <c r="A461" s="12"/>
      <c r="B461" s="13"/>
      <c r="C461" s="14"/>
      <c r="D461" s="15"/>
      <c r="E461" s="15"/>
      <c r="F461" s="15"/>
      <c r="G461" s="13"/>
      <c r="H461" s="16" t="str">
        <f t="shared" si="63"/>
        <v/>
      </c>
      <c r="I461" s="17" t="str">
        <f>IF(OR(A461="",B461=""),"",IFERROR(LOOKUP(2,1/(单次交易!$A$2:$A$201=A461),单次交易!$H$2:$H$201),0)+SUMIFS($G$2:$G$1001,$A$2:$A$1001,A461,$B$2:$B$1001,"&lt;"&amp;B461))</f>
        <v/>
      </c>
      <c r="J461" s="16" t="str">
        <f>IF(OR(A461="",B461=""),"",IFERROR(LOOKUP(2,1/(单次交易!$A$2:$A$201=A461),单次交易!$E$2:$E$201)*LOOKUP(2,1/(单次交易!$A$2:$A$201=A461),单次交易!$H$2:$H$201),0)+SUMIFS($H$2:$H$1001,$A$2:$A$1001,A461,$B$2:$B$1001,"&lt;"&amp;B461))</f>
        <v/>
      </c>
      <c r="K461" s="16" t="str">
        <f t="shared" si="64"/>
        <v/>
      </c>
      <c r="L461" s="17" t="str">
        <f t="shared" si="65"/>
        <v/>
      </c>
      <c r="M461" s="17" t="str">
        <f t="shared" si="66"/>
        <v/>
      </c>
      <c r="N461" s="17" t="str">
        <f t="shared" si="67"/>
        <v/>
      </c>
      <c r="O461" s="17" t="str">
        <f t="shared" si="68"/>
        <v/>
      </c>
      <c r="P461" s="16" t="str">
        <f t="shared" si="69"/>
        <v/>
      </c>
      <c r="Q461" s="16" t="str">
        <f t="shared" si="70"/>
        <v/>
      </c>
      <c r="R461" s="18" t="str">
        <f t="shared" si="71"/>
        <v/>
      </c>
    </row>
    <row r="462" spans="1:18">
      <c r="A462" s="12"/>
      <c r="B462" s="13"/>
      <c r="C462" s="14"/>
      <c r="D462" s="15"/>
      <c r="E462" s="15"/>
      <c r="F462" s="15"/>
      <c r="G462" s="13"/>
      <c r="H462" s="16" t="str">
        <f t="shared" si="63"/>
        <v/>
      </c>
      <c r="I462" s="17" t="str">
        <f>IF(OR(A462="",B462=""),"",IFERROR(LOOKUP(2,1/(单次交易!$A$2:$A$201=A462),单次交易!$H$2:$H$201),0)+SUMIFS($G$2:$G$1001,$A$2:$A$1001,A462,$B$2:$B$1001,"&lt;"&amp;B462))</f>
        <v/>
      </c>
      <c r="J462" s="16" t="str">
        <f>IF(OR(A462="",B462=""),"",IFERROR(LOOKUP(2,1/(单次交易!$A$2:$A$201=A462),单次交易!$E$2:$E$201)*LOOKUP(2,1/(单次交易!$A$2:$A$201=A462),单次交易!$H$2:$H$201),0)+SUMIFS($H$2:$H$1001,$A$2:$A$1001,A462,$B$2:$B$1001,"&lt;"&amp;B462))</f>
        <v/>
      </c>
      <c r="K462" s="16" t="str">
        <f t="shared" si="64"/>
        <v/>
      </c>
      <c r="L462" s="17" t="str">
        <f t="shared" si="65"/>
        <v/>
      </c>
      <c r="M462" s="17" t="str">
        <f t="shared" si="66"/>
        <v/>
      </c>
      <c r="N462" s="17" t="str">
        <f t="shared" si="67"/>
        <v/>
      </c>
      <c r="O462" s="17" t="str">
        <f t="shared" si="68"/>
        <v/>
      </c>
      <c r="P462" s="16" t="str">
        <f t="shared" si="69"/>
        <v/>
      </c>
      <c r="Q462" s="16" t="str">
        <f t="shared" si="70"/>
        <v/>
      </c>
      <c r="R462" s="18" t="str">
        <f t="shared" si="71"/>
        <v/>
      </c>
    </row>
    <row r="463" spans="1:18">
      <c r="A463" s="12"/>
      <c r="B463" s="13"/>
      <c r="C463" s="14"/>
      <c r="D463" s="15"/>
      <c r="E463" s="15"/>
      <c r="F463" s="15"/>
      <c r="G463" s="13"/>
      <c r="H463" s="16" t="str">
        <f t="shared" si="63"/>
        <v/>
      </c>
      <c r="I463" s="17" t="str">
        <f>IF(OR(A463="",B463=""),"",IFERROR(LOOKUP(2,1/(单次交易!$A$2:$A$201=A463),单次交易!$H$2:$H$201),0)+SUMIFS($G$2:$G$1001,$A$2:$A$1001,A463,$B$2:$B$1001,"&lt;"&amp;B463))</f>
        <v/>
      </c>
      <c r="J463" s="16" t="str">
        <f>IF(OR(A463="",B463=""),"",IFERROR(LOOKUP(2,1/(单次交易!$A$2:$A$201=A463),单次交易!$E$2:$E$201)*LOOKUP(2,1/(单次交易!$A$2:$A$201=A463),单次交易!$H$2:$H$201),0)+SUMIFS($H$2:$H$1001,$A$2:$A$1001,A463,$B$2:$B$1001,"&lt;"&amp;B463))</f>
        <v/>
      </c>
      <c r="K463" s="16" t="str">
        <f t="shared" si="64"/>
        <v/>
      </c>
      <c r="L463" s="17" t="str">
        <f t="shared" si="65"/>
        <v/>
      </c>
      <c r="M463" s="17" t="str">
        <f t="shared" si="66"/>
        <v/>
      </c>
      <c r="N463" s="17" t="str">
        <f t="shared" si="67"/>
        <v/>
      </c>
      <c r="O463" s="17" t="str">
        <f t="shared" si="68"/>
        <v/>
      </c>
      <c r="P463" s="16" t="str">
        <f t="shared" si="69"/>
        <v/>
      </c>
      <c r="Q463" s="16" t="str">
        <f t="shared" si="70"/>
        <v/>
      </c>
      <c r="R463" s="18" t="str">
        <f t="shared" si="71"/>
        <v/>
      </c>
    </row>
    <row r="464" spans="1:18">
      <c r="A464" s="12"/>
      <c r="B464" s="13"/>
      <c r="C464" s="14"/>
      <c r="D464" s="15"/>
      <c r="E464" s="15"/>
      <c r="F464" s="15"/>
      <c r="G464" s="13"/>
      <c r="H464" s="16" t="str">
        <f t="shared" si="63"/>
        <v/>
      </c>
      <c r="I464" s="17" t="str">
        <f>IF(OR(A464="",B464=""),"",IFERROR(LOOKUP(2,1/(单次交易!$A$2:$A$201=A464),单次交易!$H$2:$H$201),0)+SUMIFS($G$2:$G$1001,$A$2:$A$1001,A464,$B$2:$B$1001,"&lt;"&amp;B464))</f>
        <v/>
      </c>
      <c r="J464" s="16" t="str">
        <f>IF(OR(A464="",B464=""),"",IFERROR(LOOKUP(2,1/(单次交易!$A$2:$A$201=A464),单次交易!$E$2:$E$201)*LOOKUP(2,1/(单次交易!$A$2:$A$201=A464),单次交易!$H$2:$H$201),0)+SUMIFS($H$2:$H$1001,$A$2:$A$1001,A464,$B$2:$B$1001,"&lt;"&amp;B464))</f>
        <v/>
      </c>
      <c r="K464" s="16" t="str">
        <f t="shared" si="64"/>
        <v/>
      </c>
      <c r="L464" s="17" t="str">
        <f t="shared" si="65"/>
        <v/>
      </c>
      <c r="M464" s="17" t="str">
        <f t="shared" si="66"/>
        <v/>
      </c>
      <c r="N464" s="17" t="str">
        <f t="shared" si="67"/>
        <v/>
      </c>
      <c r="O464" s="17" t="str">
        <f t="shared" si="68"/>
        <v/>
      </c>
      <c r="P464" s="16" t="str">
        <f t="shared" si="69"/>
        <v/>
      </c>
      <c r="Q464" s="16" t="str">
        <f t="shared" si="70"/>
        <v/>
      </c>
      <c r="R464" s="18" t="str">
        <f t="shared" si="71"/>
        <v/>
      </c>
    </row>
    <row r="465" spans="1:18">
      <c r="A465" s="12"/>
      <c r="B465" s="13"/>
      <c r="C465" s="14"/>
      <c r="D465" s="15"/>
      <c r="E465" s="15"/>
      <c r="F465" s="15"/>
      <c r="G465" s="13"/>
      <c r="H465" s="16" t="str">
        <f t="shared" si="63"/>
        <v/>
      </c>
      <c r="I465" s="17" t="str">
        <f>IF(OR(A465="",B465=""),"",IFERROR(LOOKUP(2,1/(单次交易!$A$2:$A$201=A465),单次交易!$H$2:$H$201),0)+SUMIFS($G$2:$G$1001,$A$2:$A$1001,A465,$B$2:$B$1001,"&lt;"&amp;B465))</f>
        <v/>
      </c>
      <c r="J465" s="16" t="str">
        <f>IF(OR(A465="",B465=""),"",IFERROR(LOOKUP(2,1/(单次交易!$A$2:$A$201=A465),单次交易!$E$2:$E$201)*LOOKUP(2,1/(单次交易!$A$2:$A$201=A465),单次交易!$H$2:$H$201),0)+SUMIFS($H$2:$H$1001,$A$2:$A$1001,A465,$B$2:$B$1001,"&lt;"&amp;B465))</f>
        <v/>
      </c>
      <c r="K465" s="16" t="str">
        <f t="shared" si="64"/>
        <v/>
      </c>
      <c r="L465" s="17" t="str">
        <f t="shared" si="65"/>
        <v/>
      </c>
      <c r="M465" s="17" t="str">
        <f t="shared" si="66"/>
        <v/>
      </c>
      <c r="N465" s="17" t="str">
        <f t="shared" si="67"/>
        <v/>
      </c>
      <c r="O465" s="17" t="str">
        <f t="shared" si="68"/>
        <v/>
      </c>
      <c r="P465" s="16" t="str">
        <f t="shared" si="69"/>
        <v/>
      </c>
      <c r="Q465" s="16" t="str">
        <f t="shared" si="70"/>
        <v/>
      </c>
      <c r="R465" s="18" t="str">
        <f t="shared" si="71"/>
        <v/>
      </c>
    </row>
    <row r="466" spans="1:18">
      <c r="A466" s="12"/>
      <c r="B466" s="13"/>
      <c r="C466" s="14"/>
      <c r="D466" s="15"/>
      <c r="E466" s="15"/>
      <c r="F466" s="15"/>
      <c r="G466" s="13"/>
      <c r="H466" s="16" t="str">
        <f t="shared" si="63"/>
        <v/>
      </c>
      <c r="I466" s="17" t="str">
        <f>IF(OR(A466="",B466=""),"",IFERROR(LOOKUP(2,1/(单次交易!$A$2:$A$201=A466),单次交易!$H$2:$H$201),0)+SUMIFS($G$2:$G$1001,$A$2:$A$1001,A466,$B$2:$B$1001,"&lt;"&amp;B466))</f>
        <v/>
      </c>
      <c r="J466" s="16" t="str">
        <f>IF(OR(A466="",B466=""),"",IFERROR(LOOKUP(2,1/(单次交易!$A$2:$A$201=A466),单次交易!$E$2:$E$201)*LOOKUP(2,1/(单次交易!$A$2:$A$201=A466),单次交易!$H$2:$H$201),0)+SUMIFS($H$2:$H$1001,$A$2:$A$1001,A466,$B$2:$B$1001,"&lt;"&amp;B466))</f>
        <v/>
      </c>
      <c r="K466" s="16" t="str">
        <f t="shared" si="64"/>
        <v/>
      </c>
      <c r="L466" s="17" t="str">
        <f t="shared" si="65"/>
        <v/>
      </c>
      <c r="M466" s="17" t="str">
        <f t="shared" si="66"/>
        <v/>
      </c>
      <c r="N466" s="17" t="str">
        <f t="shared" si="67"/>
        <v/>
      </c>
      <c r="O466" s="17" t="str">
        <f t="shared" si="68"/>
        <v/>
      </c>
      <c r="P466" s="16" t="str">
        <f t="shared" si="69"/>
        <v/>
      </c>
      <c r="Q466" s="16" t="str">
        <f t="shared" si="70"/>
        <v/>
      </c>
      <c r="R466" s="18" t="str">
        <f t="shared" si="71"/>
        <v/>
      </c>
    </row>
    <row r="467" spans="1:18">
      <c r="A467" s="12"/>
      <c r="B467" s="13"/>
      <c r="C467" s="14"/>
      <c r="D467" s="15"/>
      <c r="E467" s="15"/>
      <c r="F467" s="15"/>
      <c r="G467" s="13"/>
      <c r="H467" s="16" t="str">
        <f t="shared" si="63"/>
        <v/>
      </c>
      <c r="I467" s="17" t="str">
        <f>IF(OR(A467="",B467=""),"",IFERROR(LOOKUP(2,1/(单次交易!$A$2:$A$201=A467),单次交易!$H$2:$H$201),0)+SUMIFS($G$2:$G$1001,$A$2:$A$1001,A467,$B$2:$B$1001,"&lt;"&amp;B467))</f>
        <v/>
      </c>
      <c r="J467" s="16" t="str">
        <f>IF(OR(A467="",B467=""),"",IFERROR(LOOKUP(2,1/(单次交易!$A$2:$A$201=A467),单次交易!$E$2:$E$201)*LOOKUP(2,1/(单次交易!$A$2:$A$201=A467),单次交易!$H$2:$H$201),0)+SUMIFS($H$2:$H$1001,$A$2:$A$1001,A467,$B$2:$B$1001,"&lt;"&amp;B467))</f>
        <v/>
      </c>
      <c r="K467" s="16" t="str">
        <f t="shared" si="64"/>
        <v/>
      </c>
      <c r="L467" s="17" t="str">
        <f t="shared" si="65"/>
        <v/>
      </c>
      <c r="M467" s="17" t="str">
        <f t="shared" si="66"/>
        <v/>
      </c>
      <c r="N467" s="17" t="str">
        <f t="shared" si="67"/>
        <v/>
      </c>
      <c r="O467" s="17" t="str">
        <f t="shared" si="68"/>
        <v/>
      </c>
      <c r="P467" s="16" t="str">
        <f t="shared" si="69"/>
        <v/>
      </c>
      <c r="Q467" s="16" t="str">
        <f t="shared" si="70"/>
        <v/>
      </c>
      <c r="R467" s="18" t="str">
        <f t="shared" si="71"/>
        <v/>
      </c>
    </row>
    <row r="468" spans="1:18">
      <c r="A468" s="12"/>
      <c r="B468" s="13"/>
      <c r="C468" s="14"/>
      <c r="D468" s="15"/>
      <c r="E468" s="15"/>
      <c r="F468" s="15"/>
      <c r="G468" s="13"/>
      <c r="H468" s="16" t="str">
        <f t="shared" si="63"/>
        <v/>
      </c>
      <c r="I468" s="17" t="str">
        <f>IF(OR(A468="",B468=""),"",IFERROR(LOOKUP(2,1/(单次交易!$A$2:$A$201=A468),单次交易!$H$2:$H$201),0)+SUMIFS($G$2:$G$1001,$A$2:$A$1001,A468,$B$2:$B$1001,"&lt;"&amp;B468))</f>
        <v/>
      </c>
      <c r="J468" s="16" t="str">
        <f>IF(OR(A468="",B468=""),"",IFERROR(LOOKUP(2,1/(单次交易!$A$2:$A$201=A468),单次交易!$E$2:$E$201)*LOOKUP(2,1/(单次交易!$A$2:$A$201=A468),单次交易!$H$2:$H$201),0)+SUMIFS($H$2:$H$1001,$A$2:$A$1001,A468,$B$2:$B$1001,"&lt;"&amp;B468))</f>
        <v/>
      </c>
      <c r="K468" s="16" t="str">
        <f t="shared" si="64"/>
        <v/>
      </c>
      <c r="L468" s="17" t="str">
        <f t="shared" si="65"/>
        <v/>
      </c>
      <c r="M468" s="17" t="str">
        <f t="shared" si="66"/>
        <v/>
      </c>
      <c r="N468" s="17" t="str">
        <f t="shared" si="67"/>
        <v/>
      </c>
      <c r="O468" s="17" t="str">
        <f t="shared" si="68"/>
        <v/>
      </c>
      <c r="P468" s="16" t="str">
        <f t="shared" si="69"/>
        <v/>
      </c>
      <c r="Q468" s="16" t="str">
        <f t="shared" si="70"/>
        <v/>
      </c>
      <c r="R468" s="18" t="str">
        <f t="shared" si="71"/>
        <v/>
      </c>
    </row>
    <row r="469" spans="1:18">
      <c r="A469" s="12"/>
      <c r="B469" s="13"/>
      <c r="C469" s="14"/>
      <c r="D469" s="15"/>
      <c r="E469" s="15"/>
      <c r="F469" s="15"/>
      <c r="G469" s="13"/>
      <c r="H469" s="16" t="str">
        <f t="shared" si="63"/>
        <v/>
      </c>
      <c r="I469" s="17" t="str">
        <f>IF(OR(A469="",B469=""),"",IFERROR(LOOKUP(2,1/(单次交易!$A$2:$A$201=A469),单次交易!$H$2:$H$201),0)+SUMIFS($G$2:$G$1001,$A$2:$A$1001,A469,$B$2:$B$1001,"&lt;"&amp;B469))</f>
        <v/>
      </c>
      <c r="J469" s="16" t="str">
        <f>IF(OR(A469="",B469=""),"",IFERROR(LOOKUP(2,1/(单次交易!$A$2:$A$201=A469),单次交易!$E$2:$E$201)*LOOKUP(2,1/(单次交易!$A$2:$A$201=A469),单次交易!$H$2:$H$201),0)+SUMIFS($H$2:$H$1001,$A$2:$A$1001,A469,$B$2:$B$1001,"&lt;"&amp;B469))</f>
        <v/>
      </c>
      <c r="K469" s="16" t="str">
        <f t="shared" si="64"/>
        <v/>
      </c>
      <c r="L469" s="17" t="str">
        <f t="shared" si="65"/>
        <v/>
      </c>
      <c r="M469" s="17" t="str">
        <f t="shared" si="66"/>
        <v/>
      </c>
      <c r="N469" s="17" t="str">
        <f t="shared" si="67"/>
        <v/>
      </c>
      <c r="O469" s="17" t="str">
        <f t="shared" si="68"/>
        <v/>
      </c>
      <c r="P469" s="16" t="str">
        <f t="shared" si="69"/>
        <v/>
      </c>
      <c r="Q469" s="16" t="str">
        <f t="shared" si="70"/>
        <v/>
      </c>
      <c r="R469" s="18" t="str">
        <f t="shared" si="71"/>
        <v/>
      </c>
    </row>
    <row r="470" spans="1:18">
      <c r="A470" s="12"/>
      <c r="B470" s="13"/>
      <c r="C470" s="14"/>
      <c r="D470" s="15"/>
      <c r="E470" s="15"/>
      <c r="F470" s="15"/>
      <c r="G470" s="13"/>
      <c r="H470" s="16" t="str">
        <f t="shared" si="63"/>
        <v/>
      </c>
      <c r="I470" s="17" t="str">
        <f>IF(OR(A470="",B470=""),"",IFERROR(LOOKUP(2,1/(单次交易!$A$2:$A$201=A470),单次交易!$H$2:$H$201),0)+SUMIFS($G$2:$G$1001,$A$2:$A$1001,A470,$B$2:$B$1001,"&lt;"&amp;B470))</f>
        <v/>
      </c>
      <c r="J470" s="16" t="str">
        <f>IF(OR(A470="",B470=""),"",IFERROR(LOOKUP(2,1/(单次交易!$A$2:$A$201=A470),单次交易!$E$2:$E$201)*LOOKUP(2,1/(单次交易!$A$2:$A$201=A470),单次交易!$H$2:$H$201),0)+SUMIFS($H$2:$H$1001,$A$2:$A$1001,A470,$B$2:$B$1001,"&lt;"&amp;B470))</f>
        <v/>
      </c>
      <c r="K470" s="16" t="str">
        <f t="shared" si="64"/>
        <v/>
      </c>
      <c r="L470" s="17" t="str">
        <f t="shared" si="65"/>
        <v/>
      </c>
      <c r="M470" s="17" t="str">
        <f t="shared" si="66"/>
        <v/>
      </c>
      <c r="N470" s="17" t="str">
        <f t="shared" si="67"/>
        <v/>
      </c>
      <c r="O470" s="17" t="str">
        <f t="shared" si="68"/>
        <v/>
      </c>
      <c r="P470" s="16" t="str">
        <f t="shared" si="69"/>
        <v/>
      </c>
      <c r="Q470" s="16" t="str">
        <f t="shared" si="70"/>
        <v/>
      </c>
      <c r="R470" s="18" t="str">
        <f t="shared" si="71"/>
        <v/>
      </c>
    </row>
    <row r="471" spans="1:18">
      <c r="A471" s="12"/>
      <c r="B471" s="13"/>
      <c r="C471" s="14"/>
      <c r="D471" s="15"/>
      <c r="E471" s="15"/>
      <c r="F471" s="15"/>
      <c r="G471" s="13"/>
      <c r="H471" s="16" t="str">
        <f t="shared" si="63"/>
        <v/>
      </c>
      <c r="I471" s="17" t="str">
        <f>IF(OR(A471="",B471=""),"",IFERROR(LOOKUP(2,1/(单次交易!$A$2:$A$201=A471),单次交易!$H$2:$H$201),0)+SUMIFS($G$2:$G$1001,$A$2:$A$1001,A471,$B$2:$B$1001,"&lt;"&amp;B471))</f>
        <v/>
      </c>
      <c r="J471" s="16" t="str">
        <f>IF(OR(A471="",B471=""),"",IFERROR(LOOKUP(2,1/(单次交易!$A$2:$A$201=A471),单次交易!$E$2:$E$201)*LOOKUP(2,1/(单次交易!$A$2:$A$201=A471),单次交易!$H$2:$H$201),0)+SUMIFS($H$2:$H$1001,$A$2:$A$1001,A471,$B$2:$B$1001,"&lt;"&amp;B471))</f>
        <v/>
      </c>
      <c r="K471" s="16" t="str">
        <f t="shared" si="64"/>
        <v/>
      </c>
      <c r="L471" s="17" t="str">
        <f t="shared" si="65"/>
        <v/>
      </c>
      <c r="M471" s="17" t="str">
        <f t="shared" si="66"/>
        <v/>
      </c>
      <c r="N471" s="17" t="str">
        <f t="shared" si="67"/>
        <v/>
      </c>
      <c r="O471" s="17" t="str">
        <f t="shared" si="68"/>
        <v/>
      </c>
      <c r="P471" s="16" t="str">
        <f t="shared" si="69"/>
        <v/>
      </c>
      <c r="Q471" s="16" t="str">
        <f t="shared" si="70"/>
        <v/>
      </c>
      <c r="R471" s="18" t="str">
        <f t="shared" si="71"/>
        <v/>
      </c>
    </row>
    <row r="472" spans="1:18">
      <c r="A472" s="12"/>
      <c r="B472" s="13"/>
      <c r="C472" s="14"/>
      <c r="D472" s="15"/>
      <c r="E472" s="15"/>
      <c r="F472" s="15"/>
      <c r="G472" s="13"/>
      <c r="H472" s="16" t="str">
        <f t="shared" si="63"/>
        <v/>
      </c>
      <c r="I472" s="17" t="str">
        <f>IF(OR(A472="",B472=""),"",IFERROR(LOOKUP(2,1/(单次交易!$A$2:$A$201=A472),单次交易!$H$2:$H$201),0)+SUMIFS($G$2:$G$1001,$A$2:$A$1001,A472,$B$2:$B$1001,"&lt;"&amp;B472))</f>
        <v/>
      </c>
      <c r="J472" s="16" t="str">
        <f>IF(OR(A472="",B472=""),"",IFERROR(LOOKUP(2,1/(单次交易!$A$2:$A$201=A472),单次交易!$E$2:$E$201)*LOOKUP(2,1/(单次交易!$A$2:$A$201=A472),单次交易!$H$2:$H$201),0)+SUMIFS($H$2:$H$1001,$A$2:$A$1001,A472,$B$2:$B$1001,"&lt;"&amp;B472))</f>
        <v/>
      </c>
      <c r="K472" s="16" t="str">
        <f t="shared" si="64"/>
        <v/>
      </c>
      <c r="L472" s="17" t="str">
        <f t="shared" si="65"/>
        <v/>
      </c>
      <c r="M472" s="17" t="str">
        <f t="shared" si="66"/>
        <v/>
      </c>
      <c r="N472" s="17" t="str">
        <f t="shared" si="67"/>
        <v/>
      </c>
      <c r="O472" s="17" t="str">
        <f t="shared" si="68"/>
        <v/>
      </c>
      <c r="P472" s="16" t="str">
        <f t="shared" si="69"/>
        <v/>
      </c>
      <c r="Q472" s="16" t="str">
        <f t="shared" si="70"/>
        <v/>
      </c>
      <c r="R472" s="18" t="str">
        <f t="shared" si="71"/>
        <v/>
      </c>
    </row>
    <row r="473" spans="1:18">
      <c r="A473" s="12"/>
      <c r="B473" s="13"/>
      <c r="C473" s="14"/>
      <c r="D473" s="15"/>
      <c r="E473" s="15"/>
      <c r="F473" s="15"/>
      <c r="G473" s="13"/>
      <c r="H473" s="16" t="str">
        <f t="shared" si="63"/>
        <v/>
      </c>
      <c r="I473" s="17" t="str">
        <f>IF(OR(A473="",B473=""),"",IFERROR(LOOKUP(2,1/(单次交易!$A$2:$A$201=A473),单次交易!$H$2:$H$201),0)+SUMIFS($G$2:$G$1001,$A$2:$A$1001,A473,$B$2:$B$1001,"&lt;"&amp;B473))</f>
        <v/>
      </c>
      <c r="J473" s="16" t="str">
        <f>IF(OR(A473="",B473=""),"",IFERROR(LOOKUP(2,1/(单次交易!$A$2:$A$201=A473),单次交易!$E$2:$E$201)*LOOKUP(2,1/(单次交易!$A$2:$A$201=A473),单次交易!$H$2:$H$201),0)+SUMIFS($H$2:$H$1001,$A$2:$A$1001,A473,$B$2:$B$1001,"&lt;"&amp;B473))</f>
        <v/>
      </c>
      <c r="K473" s="16" t="str">
        <f t="shared" si="64"/>
        <v/>
      </c>
      <c r="L473" s="17" t="str">
        <f t="shared" si="65"/>
        <v/>
      </c>
      <c r="M473" s="17" t="str">
        <f t="shared" si="66"/>
        <v/>
      </c>
      <c r="N473" s="17" t="str">
        <f t="shared" si="67"/>
        <v/>
      </c>
      <c r="O473" s="17" t="str">
        <f t="shared" si="68"/>
        <v/>
      </c>
      <c r="P473" s="16" t="str">
        <f t="shared" si="69"/>
        <v/>
      </c>
      <c r="Q473" s="16" t="str">
        <f t="shared" si="70"/>
        <v/>
      </c>
      <c r="R473" s="18" t="str">
        <f t="shared" si="71"/>
        <v/>
      </c>
    </row>
    <row r="474" spans="1:18">
      <c r="A474" s="12"/>
      <c r="B474" s="13"/>
      <c r="C474" s="14"/>
      <c r="D474" s="15"/>
      <c r="E474" s="15"/>
      <c r="F474" s="15"/>
      <c r="G474" s="13"/>
      <c r="H474" s="16" t="str">
        <f t="shared" si="63"/>
        <v/>
      </c>
      <c r="I474" s="17" t="str">
        <f>IF(OR(A474="",B474=""),"",IFERROR(LOOKUP(2,1/(单次交易!$A$2:$A$201=A474),单次交易!$H$2:$H$201),0)+SUMIFS($G$2:$G$1001,$A$2:$A$1001,A474,$B$2:$B$1001,"&lt;"&amp;B474))</f>
        <v/>
      </c>
      <c r="J474" s="16" t="str">
        <f>IF(OR(A474="",B474=""),"",IFERROR(LOOKUP(2,1/(单次交易!$A$2:$A$201=A474),单次交易!$E$2:$E$201)*LOOKUP(2,1/(单次交易!$A$2:$A$201=A474),单次交易!$H$2:$H$201),0)+SUMIFS($H$2:$H$1001,$A$2:$A$1001,A474,$B$2:$B$1001,"&lt;"&amp;B474))</f>
        <v/>
      </c>
      <c r="K474" s="16" t="str">
        <f t="shared" si="64"/>
        <v/>
      </c>
      <c r="L474" s="17" t="str">
        <f t="shared" si="65"/>
        <v/>
      </c>
      <c r="M474" s="17" t="str">
        <f t="shared" si="66"/>
        <v/>
      </c>
      <c r="N474" s="17" t="str">
        <f t="shared" si="67"/>
        <v/>
      </c>
      <c r="O474" s="17" t="str">
        <f t="shared" si="68"/>
        <v/>
      </c>
      <c r="P474" s="16" t="str">
        <f t="shared" si="69"/>
        <v/>
      </c>
      <c r="Q474" s="16" t="str">
        <f t="shared" si="70"/>
        <v/>
      </c>
      <c r="R474" s="18" t="str">
        <f t="shared" si="71"/>
        <v/>
      </c>
    </row>
    <row r="475" spans="1:18">
      <c r="A475" s="12"/>
      <c r="B475" s="13"/>
      <c r="C475" s="14"/>
      <c r="D475" s="15"/>
      <c r="E475" s="15"/>
      <c r="F475" s="15"/>
      <c r="G475" s="13"/>
      <c r="H475" s="16" t="str">
        <f t="shared" si="63"/>
        <v/>
      </c>
      <c r="I475" s="17" t="str">
        <f>IF(OR(A475="",B475=""),"",IFERROR(LOOKUP(2,1/(单次交易!$A$2:$A$201=A475),单次交易!$H$2:$H$201),0)+SUMIFS($G$2:$G$1001,$A$2:$A$1001,A475,$B$2:$B$1001,"&lt;"&amp;B475))</f>
        <v/>
      </c>
      <c r="J475" s="16" t="str">
        <f>IF(OR(A475="",B475=""),"",IFERROR(LOOKUP(2,1/(单次交易!$A$2:$A$201=A475),单次交易!$E$2:$E$201)*LOOKUP(2,1/(单次交易!$A$2:$A$201=A475),单次交易!$H$2:$H$201),0)+SUMIFS($H$2:$H$1001,$A$2:$A$1001,A475,$B$2:$B$1001,"&lt;"&amp;B475))</f>
        <v/>
      </c>
      <c r="K475" s="16" t="str">
        <f t="shared" si="64"/>
        <v/>
      </c>
      <c r="L475" s="17" t="str">
        <f t="shared" si="65"/>
        <v/>
      </c>
      <c r="M475" s="17" t="str">
        <f t="shared" si="66"/>
        <v/>
      </c>
      <c r="N475" s="17" t="str">
        <f t="shared" si="67"/>
        <v/>
      </c>
      <c r="O475" s="17" t="str">
        <f t="shared" si="68"/>
        <v/>
      </c>
      <c r="P475" s="16" t="str">
        <f t="shared" si="69"/>
        <v/>
      </c>
      <c r="Q475" s="16" t="str">
        <f t="shared" si="70"/>
        <v/>
      </c>
      <c r="R475" s="18" t="str">
        <f t="shared" si="71"/>
        <v/>
      </c>
    </row>
    <row r="476" spans="1:18">
      <c r="A476" s="12"/>
      <c r="B476" s="13"/>
      <c r="C476" s="14"/>
      <c r="D476" s="15"/>
      <c r="E476" s="15"/>
      <c r="F476" s="15"/>
      <c r="G476" s="13"/>
      <c r="H476" s="16" t="str">
        <f t="shared" si="63"/>
        <v/>
      </c>
      <c r="I476" s="17" t="str">
        <f>IF(OR(A476="",B476=""),"",IFERROR(LOOKUP(2,1/(单次交易!$A$2:$A$201=A476),单次交易!$H$2:$H$201),0)+SUMIFS($G$2:$G$1001,$A$2:$A$1001,A476,$B$2:$B$1001,"&lt;"&amp;B476))</f>
        <v/>
      </c>
      <c r="J476" s="16" t="str">
        <f>IF(OR(A476="",B476=""),"",IFERROR(LOOKUP(2,1/(单次交易!$A$2:$A$201=A476),单次交易!$E$2:$E$201)*LOOKUP(2,1/(单次交易!$A$2:$A$201=A476),单次交易!$H$2:$H$201),0)+SUMIFS($H$2:$H$1001,$A$2:$A$1001,A476,$B$2:$B$1001,"&lt;"&amp;B476))</f>
        <v/>
      </c>
      <c r="K476" s="16" t="str">
        <f t="shared" si="64"/>
        <v/>
      </c>
      <c r="L476" s="17" t="str">
        <f t="shared" si="65"/>
        <v/>
      </c>
      <c r="M476" s="17" t="str">
        <f t="shared" si="66"/>
        <v/>
      </c>
      <c r="N476" s="17" t="str">
        <f t="shared" si="67"/>
        <v/>
      </c>
      <c r="O476" s="17" t="str">
        <f t="shared" si="68"/>
        <v/>
      </c>
      <c r="P476" s="16" t="str">
        <f t="shared" si="69"/>
        <v/>
      </c>
      <c r="Q476" s="16" t="str">
        <f t="shared" si="70"/>
        <v/>
      </c>
      <c r="R476" s="18" t="str">
        <f t="shared" si="71"/>
        <v/>
      </c>
    </row>
    <row r="477" spans="1:18">
      <c r="A477" s="12"/>
      <c r="B477" s="13"/>
      <c r="C477" s="14"/>
      <c r="D477" s="15"/>
      <c r="E477" s="15"/>
      <c r="F477" s="15"/>
      <c r="G477" s="13"/>
      <c r="H477" s="16" t="str">
        <f t="shared" si="63"/>
        <v/>
      </c>
      <c r="I477" s="17" t="str">
        <f>IF(OR(A477="",B477=""),"",IFERROR(LOOKUP(2,1/(单次交易!$A$2:$A$201=A477),单次交易!$H$2:$H$201),0)+SUMIFS($G$2:$G$1001,$A$2:$A$1001,A477,$B$2:$B$1001,"&lt;"&amp;B477))</f>
        <v/>
      </c>
      <c r="J477" s="16" t="str">
        <f>IF(OR(A477="",B477=""),"",IFERROR(LOOKUP(2,1/(单次交易!$A$2:$A$201=A477),单次交易!$E$2:$E$201)*LOOKUP(2,1/(单次交易!$A$2:$A$201=A477),单次交易!$H$2:$H$201),0)+SUMIFS($H$2:$H$1001,$A$2:$A$1001,A477,$B$2:$B$1001,"&lt;"&amp;B477))</f>
        <v/>
      </c>
      <c r="K477" s="16" t="str">
        <f t="shared" si="64"/>
        <v/>
      </c>
      <c r="L477" s="17" t="str">
        <f t="shared" si="65"/>
        <v/>
      </c>
      <c r="M477" s="17" t="str">
        <f t="shared" si="66"/>
        <v/>
      </c>
      <c r="N477" s="17" t="str">
        <f t="shared" si="67"/>
        <v/>
      </c>
      <c r="O477" s="17" t="str">
        <f t="shared" si="68"/>
        <v/>
      </c>
      <c r="P477" s="16" t="str">
        <f t="shared" si="69"/>
        <v/>
      </c>
      <c r="Q477" s="16" t="str">
        <f t="shared" si="70"/>
        <v/>
      </c>
      <c r="R477" s="18" t="str">
        <f t="shared" si="71"/>
        <v/>
      </c>
    </row>
    <row r="478" spans="1:18">
      <c r="A478" s="12"/>
      <c r="B478" s="13"/>
      <c r="C478" s="14"/>
      <c r="D478" s="15"/>
      <c r="E478" s="15"/>
      <c r="F478" s="15"/>
      <c r="G478" s="13"/>
      <c r="H478" s="16" t="str">
        <f t="shared" si="63"/>
        <v/>
      </c>
      <c r="I478" s="17" t="str">
        <f>IF(OR(A478="",B478=""),"",IFERROR(LOOKUP(2,1/(单次交易!$A$2:$A$201=A478),单次交易!$H$2:$H$201),0)+SUMIFS($G$2:$G$1001,$A$2:$A$1001,A478,$B$2:$B$1001,"&lt;"&amp;B478))</f>
        <v/>
      </c>
      <c r="J478" s="16" t="str">
        <f>IF(OR(A478="",B478=""),"",IFERROR(LOOKUP(2,1/(单次交易!$A$2:$A$201=A478),单次交易!$E$2:$E$201)*LOOKUP(2,1/(单次交易!$A$2:$A$201=A478),单次交易!$H$2:$H$201),0)+SUMIFS($H$2:$H$1001,$A$2:$A$1001,A478,$B$2:$B$1001,"&lt;"&amp;B478))</f>
        <v/>
      </c>
      <c r="K478" s="16" t="str">
        <f t="shared" si="64"/>
        <v/>
      </c>
      <c r="L478" s="17" t="str">
        <f t="shared" si="65"/>
        <v/>
      </c>
      <c r="M478" s="17" t="str">
        <f t="shared" si="66"/>
        <v/>
      </c>
      <c r="N478" s="17" t="str">
        <f t="shared" si="67"/>
        <v/>
      </c>
      <c r="O478" s="17" t="str">
        <f t="shared" si="68"/>
        <v/>
      </c>
      <c r="P478" s="16" t="str">
        <f t="shared" si="69"/>
        <v/>
      </c>
      <c r="Q478" s="16" t="str">
        <f t="shared" si="70"/>
        <v/>
      </c>
      <c r="R478" s="18" t="str">
        <f t="shared" si="71"/>
        <v/>
      </c>
    </row>
    <row r="479" spans="1:18">
      <c r="A479" s="12"/>
      <c r="B479" s="13"/>
      <c r="C479" s="14"/>
      <c r="D479" s="15"/>
      <c r="E479" s="15"/>
      <c r="F479" s="15"/>
      <c r="G479" s="13"/>
      <c r="H479" s="16" t="str">
        <f t="shared" si="63"/>
        <v/>
      </c>
      <c r="I479" s="17" t="str">
        <f>IF(OR(A479="",B479=""),"",IFERROR(LOOKUP(2,1/(单次交易!$A$2:$A$201=A479),单次交易!$H$2:$H$201),0)+SUMIFS($G$2:$G$1001,$A$2:$A$1001,A479,$B$2:$B$1001,"&lt;"&amp;B479))</f>
        <v/>
      </c>
      <c r="J479" s="16" t="str">
        <f>IF(OR(A479="",B479=""),"",IFERROR(LOOKUP(2,1/(单次交易!$A$2:$A$201=A479),单次交易!$E$2:$E$201)*LOOKUP(2,1/(单次交易!$A$2:$A$201=A479),单次交易!$H$2:$H$201),0)+SUMIFS($H$2:$H$1001,$A$2:$A$1001,A479,$B$2:$B$1001,"&lt;"&amp;B479))</f>
        <v/>
      </c>
      <c r="K479" s="16" t="str">
        <f t="shared" si="64"/>
        <v/>
      </c>
      <c r="L479" s="17" t="str">
        <f t="shared" si="65"/>
        <v/>
      </c>
      <c r="M479" s="17" t="str">
        <f t="shared" si="66"/>
        <v/>
      </c>
      <c r="N479" s="17" t="str">
        <f t="shared" si="67"/>
        <v/>
      </c>
      <c r="O479" s="17" t="str">
        <f t="shared" si="68"/>
        <v/>
      </c>
      <c r="P479" s="16" t="str">
        <f t="shared" si="69"/>
        <v/>
      </c>
      <c r="Q479" s="16" t="str">
        <f t="shared" si="70"/>
        <v/>
      </c>
      <c r="R479" s="18" t="str">
        <f t="shared" si="71"/>
        <v/>
      </c>
    </row>
    <row r="480" spans="1:18">
      <c r="A480" s="12"/>
      <c r="B480" s="13"/>
      <c r="C480" s="14"/>
      <c r="D480" s="15"/>
      <c r="E480" s="15"/>
      <c r="F480" s="15"/>
      <c r="G480" s="13"/>
      <c r="H480" s="16" t="str">
        <f t="shared" si="63"/>
        <v/>
      </c>
      <c r="I480" s="17" t="str">
        <f>IF(OR(A480="",B480=""),"",IFERROR(LOOKUP(2,1/(单次交易!$A$2:$A$201=A480),单次交易!$H$2:$H$201),0)+SUMIFS($G$2:$G$1001,$A$2:$A$1001,A480,$B$2:$B$1001,"&lt;"&amp;B480))</f>
        <v/>
      </c>
      <c r="J480" s="16" t="str">
        <f>IF(OR(A480="",B480=""),"",IFERROR(LOOKUP(2,1/(单次交易!$A$2:$A$201=A480),单次交易!$E$2:$E$201)*LOOKUP(2,1/(单次交易!$A$2:$A$201=A480),单次交易!$H$2:$H$201),0)+SUMIFS($H$2:$H$1001,$A$2:$A$1001,A480,$B$2:$B$1001,"&lt;"&amp;B480))</f>
        <v/>
      </c>
      <c r="K480" s="16" t="str">
        <f t="shared" si="64"/>
        <v/>
      </c>
      <c r="L480" s="17" t="str">
        <f t="shared" si="65"/>
        <v/>
      </c>
      <c r="M480" s="17" t="str">
        <f t="shared" si="66"/>
        <v/>
      </c>
      <c r="N480" s="17" t="str">
        <f t="shared" si="67"/>
        <v/>
      </c>
      <c r="O480" s="17" t="str">
        <f t="shared" si="68"/>
        <v/>
      </c>
      <c r="P480" s="16" t="str">
        <f t="shared" si="69"/>
        <v/>
      </c>
      <c r="Q480" s="16" t="str">
        <f t="shared" si="70"/>
        <v/>
      </c>
      <c r="R480" s="18" t="str">
        <f t="shared" si="71"/>
        <v/>
      </c>
    </row>
    <row r="481" spans="1:18">
      <c r="A481" s="12"/>
      <c r="B481" s="13"/>
      <c r="C481" s="14"/>
      <c r="D481" s="15"/>
      <c r="E481" s="15"/>
      <c r="F481" s="15"/>
      <c r="G481" s="13"/>
      <c r="H481" s="16" t="str">
        <f t="shared" si="63"/>
        <v/>
      </c>
      <c r="I481" s="17" t="str">
        <f>IF(OR(A481="",B481=""),"",IFERROR(LOOKUP(2,1/(单次交易!$A$2:$A$201=A481),单次交易!$H$2:$H$201),0)+SUMIFS($G$2:$G$1001,$A$2:$A$1001,A481,$B$2:$B$1001,"&lt;"&amp;B481))</f>
        <v/>
      </c>
      <c r="J481" s="16" t="str">
        <f>IF(OR(A481="",B481=""),"",IFERROR(LOOKUP(2,1/(单次交易!$A$2:$A$201=A481),单次交易!$E$2:$E$201)*LOOKUP(2,1/(单次交易!$A$2:$A$201=A481),单次交易!$H$2:$H$201),0)+SUMIFS($H$2:$H$1001,$A$2:$A$1001,A481,$B$2:$B$1001,"&lt;"&amp;B481))</f>
        <v/>
      </c>
      <c r="K481" s="16" t="str">
        <f t="shared" si="64"/>
        <v/>
      </c>
      <c r="L481" s="17" t="str">
        <f t="shared" si="65"/>
        <v/>
      </c>
      <c r="M481" s="17" t="str">
        <f t="shared" si="66"/>
        <v/>
      </c>
      <c r="N481" s="17" t="str">
        <f t="shared" si="67"/>
        <v/>
      </c>
      <c r="O481" s="17" t="str">
        <f t="shared" si="68"/>
        <v/>
      </c>
      <c r="P481" s="16" t="str">
        <f t="shared" si="69"/>
        <v/>
      </c>
      <c r="Q481" s="16" t="str">
        <f t="shared" si="70"/>
        <v/>
      </c>
      <c r="R481" s="18" t="str">
        <f t="shared" si="71"/>
        <v/>
      </c>
    </row>
    <row r="482" spans="1:18">
      <c r="A482" s="12"/>
      <c r="B482" s="13"/>
      <c r="C482" s="14"/>
      <c r="D482" s="15"/>
      <c r="E482" s="15"/>
      <c r="F482" s="15"/>
      <c r="G482" s="13"/>
      <c r="H482" s="16" t="str">
        <f t="shared" si="63"/>
        <v/>
      </c>
      <c r="I482" s="17" t="str">
        <f>IF(OR(A482="",B482=""),"",IFERROR(LOOKUP(2,1/(单次交易!$A$2:$A$201=A482),单次交易!$H$2:$H$201),0)+SUMIFS($G$2:$G$1001,$A$2:$A$1001,A482,$B$2:$B$1001,"&lt;"&amp;B482))</f>
        <v/>
      </c>
      <c r="J482" s="16" t="str">
        <f>IF(OR(A482="",B482=""),"",IFERROR(LOOKUP(2,1/(单次交易!$A$2:$A$201=A482),单次交易!$E$2:$E$201)*LOOKUP(2,1/(单次交易!$A$2:$A$201=A482),单次交易!$H$2:$H$201),0)+SUMIFS($H$2:$H$1001,$A$2:$A$1001,A482,$B$2:$B$1001,"&lt;"&amp;B482))</f>
        <v/>
      </c>
      <c r="K482" s="16" t="str">
        <f t="shared" si="64"/>
        <v/>
      </c>
      <c r="L482" s="17" t="str">
        <f t="shared" si="65"/>
        <v/>
      </c>
      <c r="M482" s="17" t="str">
        <f t="shared" si="66"/>
        <v/>
      </c>
      <c r="N482" s="17" t="str">
        <f t="shared" si="67"/>
        <v/>
      </c>
      <c r="O482" s="17" t="str">
        <f t="shared" si="68"/>
        <v/>
      </c>
      <c r="P482" s="16" t="str">
        <f t="shared" si="69"/>
        <v/>
      </c>
      <c r="Q482" s="16" t="str">
        <f t="shared" si="70"/>
        <v/>
      </c>
      <c r="R482" s="18" t="str">
        <f t="shared" si="71"/>
        <v/>
      </c>
    </row>
    <row r="483" spans="1:18">
      <c r="A483" s="12"/>
      <c r="B483" s="13"/>
      <c r="C483" s="14"/>
      <c r="D483" s="15"/>
      <c r="E483" s="15"/>
      <c r="F483" s="15"/>
      <c r="G483" s="13"/>
      <c r="H483" s="16" t="str">
        <f t="shared" si="63"/>
        <v/>
      </c>
      <c r="I483" s="17" t="str">
        <f>IF(OR(A483="",B483=""),"",IFERROR(LOOKUP(2,1/(单次交易!$A$2:$A$201=A483),单次交易!$H$2:$H$201),0)+SUMIFS($G$2:$G$1001,$A$2:$A$1001,A483,$B$2:$B$1001,"&lt;"&amp;B483))</f>
        <v/>
      </c>
      <c r="J483" s="16" t="str">
        <f>IF(OR(A483="",B483=""),"",IFERROR(LOOKUP(2,1/(单次交易!$A$2:$A$201=A483),单次交易!$E$2:$E$201)*LOOKUP(2,1/(单次交易!$A$2:$A$201=A483),单次交易!$H$2:$H$201),0)+SUMIFS($H$2:$H$1001,$A$2:$A$1001,A483,$B$2:$B$1001,"&lt;"&amp;B483))</f>
        <v/>
      </c>
      <c r="K483" s="16" t="str">
        <f t="shared" si="64"/>
        <v/>
      </c>
      <c r="L483" s="17" t="str">
        <f t="shared" si="65"/>
        <v/>
      </c>
      <c r="M483" s="17" t="str">
        <f t="shared" si="66"/>
        <v/>
      </c>
      <c r="N483" s="17" t="str">
        <f t="shared" si="67"/>
        <v/>
      </c>
      <c r="O483" s="17" t="str">
        <f t="shared" si="68"/>
        <v/>
      </c>
      <c r="P483" s="16" t="str">
        <f t="shared" si="69"/>
        <v/>
      </c>
      <c r="Q483" s="16" t="str">
        <f t="shared" si="70"/>
        <v/>
      </c>
      <c r="R483" s="18" t="str">
        <f t="shared" si="71"/>
        <v/>
      </c>
    </row>
    <row r="484" spans="1:18">
      <c r="A484" s="12"/>
      <c r="B484" s="13"/>
      <c r="C484" s="14"/>
      <c r="D484" s="15"/>
      <c r="E484" s="15"/>
      <c r="F484" s="15"/>
      <c r="G484" s="13"/>
      <c r="H484" s="16" t="str">
        <f t="shared" si="63"/>
        <v/>
      </c>
      <c r="I484" s="17" t="str">
        <f>IF(OR(A484="",B484=""),"",IFERROR(LOOKUP(2,1/(单次交易!$A$2:$A$201=A484),单次交易!$H$2:$H$201),0)+SUMIFS($G$2:$G$1001,$A$2:$A$1001,A484,$B$2:$B$1001,"&lt;"&amp;B484))</f>
        <v/>
      </c>
      <c r="J484" s="16" t="str">
        <f>IF(OR(A484="",B484=""),"",IFERROR(LOOKUP(2,1/(单次交易!$A$2:$A$201=A484),单次交易!$E$2:$E$201)*LOOKUP(2,1/(单次交易!$A$2:$A$201=A484),单次交易!$H$2:$H$201),0)+SUMIFS($H$2:$H$1001,$A$2:$A$1001,A484,$B$2:$B$1001,"&lt;"&amp;B484))</f>
        <v/>
      </c>
      <c r="K484" s="16" t="str">
        <f t="shared" si="64"/>
        <v/>
      </c>
      <c r="L484" s="17" t="str">
        <f t="shared" si="65"/>
        <v/>
      </c>
      <c r="M484" s="17" t="str">
        <f t="shared" si="66"/>
        <v/>
      </c>
      <c r="N484" s="17" t="str">
        <f t="shared" si="67"/>
        <v/>
      </c>
      <c r="O484" s="17" t="str">
        <f t="shared" si="68"/>
        <v/>
      </c>
      <c r="P484" s="16" t="str">
        <f t="shared" si="69"/>
        <v/>
      </c>
      <c r="Q484" s="16" t="str">
        <f t="shared" si="70"/>
        <v/>
      </c>
      <c r="R484" s="18" t="str">
        <f t="shared" si="71"/>
        <v/>
      </c>
    </row>
    <row r="485" spans="1:18">
      <c r="A485" s="12"/>
      <c r="B485" s="13"/>
      <c r="C485" s="14"/>
      <c r="D485" s="15"/>
      <c r="E485" s="15"/>
      <c r="F485" s="15"/>
      <c r="G485" s="13"/>
      <c r="H485" s="16" t="str">
        <f t="shared" si="63"/>
        <v/>
      </c>
      <c r="I485" s="17" t="str">
        <f>IF(OR(A485="",B485=""),"",IFERROR(LOOKUP(2,1/(单次交易!$A$2:$A$201=A485),单次交易!$H$2:$H$201),0)+SUMIFS($G$2:$G$1001,$A$2:$A$1001,A485,$B$2:$B$1001,"&lt;"&amp;B485))</f>
        <v/>
      </c>
      <c r="J485" s="16" t="str">
        <f>IF(OR(A485="",B485=""),"",IFERROR(LOOKUP(2,1/(单次交易!$A$2:$A$201=A485),单次交易!$E$2:$E$201)*LOOKUP(2,1/(单次交易!$A$2:$A$201=A485),单次交易!$H$2:$H$201),0)+SUMIFS($H$2:$H$1001,$A$2:$A$1001,A485,$B$2:$B$1001,"&lt;"&amp;B485))</f>
        <v/>
      </c>
      <c r="K485" s="16" t="str">
        <f t="shared" si="64"/>
        <v/>
      </c>
      <c r="L485" s="17" t="str">
        <f t="shared" si="65"/>
        <v/>
      </c>
      <c r="M485" s="17" t="str">
        <f t="shared" si="66"/>
        <v/>
      </c>
      <c r="N485" s="17" t="str">
        <f t="shared" si="67"/>
        <v/>
      </c>
      <c r="O485" s="17" t="str">
        <f t="shared" si="68"/>
        <v/>
      </c>
      <c r="P485" s="16" t="str">
        <f t="shared" si="69"/>
        <v/>
      </c>
      <c r="Q485" s="16" t="str">
        <f t="shared" si="70"/>
        <v/>
      </c>
      <c r="R485" s="18" t="str">
        <f t="shared" si="71"/>
        <v/>
      </c>
    </row>
    <row r="486" spans="1:18">
      <c r="A486" s="12"/>
      <c r="B486" s="13"/>
      <c r="C486" s="14"/>
      <c r="D486" s="15"/>
      <c r="E486" s="15"/>
      <c r="F486" s="15"/>
      <c r="G486" s="13"/>
      <c r="H486" s="16" t="str">
        <f t="shared" si="63"/>
        <v/>
      </c>
      <c r="I486" s="17" t="str">
        <f>IF(OR(A486="",B486=""),"",IFERROR(LOOKUP(2,1/(单次交易!$A$2:$A$201=A486),单次交易!$H$2:$H$201),0)+SUMIFS($G$2:$G$1001,$A$2:$A$1001,A486,$B$2:$B$1001,"&lt;"&amp;B486))</f>
        <v/>
      </c>
      <c r="J486" s="16" t="str">
        <f>IF(OR(A486="",B486=""),"",IFERROR(LOOKUP(2,1/(单次交易!$A$2:$A$201=A486),单次交易!$E$2:$E$201)*LOOKUP(2,1/(单次交易!$A$2:$A$201=A486),单次交易!$H$2:$H$201),0)+SUMIFS($H$2:$H$1001,$A$2:$A$1001,A486,$B$2:$B$1001,"&lt;"&amp;B486))</f>
        <v/>
      </c>
      <c r="K486" s="16" t="str">
        <f t="shared" si="64"/>
        <v/>
      </c>
      <c r="L486" s="17" t="str">
        <f t="shared" si="65"/>
        <v/>
      </c>
      <c r="M486" s="17" t="str">
        <f t="shared" si="66"/>
        <v/>
      </c>
      <c r="N486" s="17" t="str">
        <f t="shared" si="67"/>
        <v/>
      </c>
      <c r="O486" s="17" t="str">
        <f t="shared" si="68"/>
        <v/>
      </c>
      <c r="P486" s="16" t="str">
        <f t="shared" si="69"/>
        <v/>
      </c>
      <c r="Q486" s="16" t="str">
        <f t="shared" si="70"/>
        <v/>
      </c>
      <c r="R486" s="18" t="str">
        <f t="shared" si="71"/>
        <v/>
      </c>
    </row>
    <row r="487" spans="1:18">
      <c r="A487" s="12"/>
      <c r="B487" s="13"/>
      <c r="C487" s="14"/>
      <c r="D487" s="15"/>
      <c r="E487" s="15"/>
      <c r="F487" s="15"/>
      <c r="G487" s="13"/>
      <c r="H487" s="16" t="str">
        <f t="shared" si="63"/>
        <v/>
      </c>
      <c r="I487" s="17" t="str">
        <f>IF(OR(A487="",B487=""),"",IFERROR(LOOKUP(2,1/(单次交易!$A$2:$A$201=A487),单次交易!$H$2:$H$201),0)+SUMIFS($G$2:$G$1001,$A$2:$A$1001,A487,$B$2:$B$1001,"&lt;"&amp;B487))</f>
        <v/>
      </c>
      <c r="J487" s="16" t="str">
        <f>IF(OR(A487="",B487=""),"",IFERROR(LOOKUP(2,1/(单次交易!$A$2:$A$201=A487),单次交易!$E$2:$E$201)*LOOKUP(2,1/(单次交易!$A$2:$A$201=A487),单次交易!$H$2:$H$201),0)+SUMIFS($H$2:$H$1001,$A$2:$A$1001,A487,$B$2:$B$1001,"&lt;"&amp;B487))</f>
        <v/>
      </c>
      <c r="K487" s="16" t="str">
        <f t="shared" si="64"/>
        <v/>
      </c>
      <c r="L487" s="17" t="str">
        <f t="shared" si="65"/>
        <v/>
      </c>
      <c r="M487" s="17" t="str">
        <f t="shared" si="66"/>
        <v/>
      </c>
      <c r="N487" s="17" t="str">
        <f t="shared" si="67"/>
        <v/>
      </c>
      <c r="O487" s="17" t="str">
        <f t="shared" si="68"/>
        <v/>
      </c>
      <c r="P487" s="16" t="str">
        <f t="shared" si="69"/>
        <v/>
      </c>
      <c r="Q487" s="16" t="str">
        <f t="shared" si="70"/>
        <v/>
      </c>
      <c r="R487" s="18" t="str">
        <f t="shared" si="71"/>
        <v/>
      </c>
    </row>
    <row r="488" spans="1:18">
      <c r="A488" s="12"/>
      <c r="B488" s="13"/>
      <c r="C488" s="14"/>
      <c r="D488" s="15"/>
      <c r="E488" s="15"/>
      <c r="F488" s="15"/>
      <c r="G488" s="13"/>
      <c r="H488" s="16" t="str">
        <f t="shared" si="63"/>
        <v/>
      </c>
      <c r="I488" s="17" t="str">
        <f>IF(OR(A488="",B488=""),"",IFERROR(LOOKUP(2,1/(单次交易!$A$2:$A$201=A488),单次交易!$H$2:$H$201),0)+SUMIFS($G$2:$G$1001,$A$2:$A$1001,A488,$B$2:$B$1001,"&lt;"&amp;B488))</f>
        <v/>
      </c>
      <c r="J488" s="16" t="str">
        <f>IF(OR(A488="",B488=""),"",IFERROR(LOOKUP(2,1/(单次交易!$A$2:$A$201=A488),单次交易!$E$2:$E$201)*LOOKUP(2,1/(单次交易!$A$2:$A$201=A488),单次交易!$H$2:$H$201),0)+SUMIFS($H$2:$H$1001,$A$2:$A$1001,A488,$B$2:$B$1001,"&lt;"&amp;B488))</f>
        <v/>
      </c>
      <c r="K488" s="16" t="str">
        <f t="shared" si="64"/>
        <v/>
      </c>
      <c r="L488" s="17" t="str">
        <f t="shared" si="65"/>
        <v/>
      </c>
      <c r="M488" s="17" t="str">
        <f t="shared" si="66"/>
        <v/>
      </c>
      <c r="N488" s="17" t="str">
        <f t="shared" si="67"/>
        <v/>
      </c>
      <c r="O488" s="17" t="str">
        <f t="shared" si="68"/>
        <v/>
      </c>
      <c r="P488" s="16" t="str">
        <f t="shared" si="69"/>
        <v/>
      </c>
      <c r="Q488" s="16" t="str">
        <f t="shared" si="70"/>
        <v/>
      </c>
      <c r="R488" s="18" t="str">
        <f t="shared" si="71"/>
        <v/>
      </c>
    </row>
    <row r="489" spans="1:18">
      <c r="A489" s="12"/>
      <c r="B489" s="13"/>
      <c r="C489" s="14"/>
      <c r="D489" s="15"/>
      <c r="E489" s="15"/>
      <c r="F489" s="15"/>
      <c r="G489" s="13"/>
      <c r="H489" s="16" t="str">
        <f t="shared" si="63"/>
        <v/>
      </c>
      <c r="I489" s="17" t="str">
        <f>IF(OR(A489="",B489=""),"",IFERROR(LOOKUP(2,1/(单次交易!$A$2:$A$201=A489),单次交易!$H$2:$H$201),0)+SUMIFS($G$2:$G$1001,$A$2:$A$1001,A489,$B$2:$B$1001,"&lt;"&amp;B489))</f>
        <v/>
      </c>
      <c r="J489" s="16" t="str">
        <f>IF(OR(A489="",B489=""),"",IFERROR(LOOKUP(2,1/(单次交易!$A$2:$A$201=A489),单次交易!$E$2:$E$201)*LOOKUP(2,1/(单次交易!$A$2:$A$201=A489),单次交易!$H$2:$H$201),0)+SUMIFS($H$2:$H$1001,$A$2:$A$1001,A489,$B$2:$B$1001,"&lt;"&amp;B489))</f>
        <v/>
      </c>
      <c r="K489" s="16" t="str">
        <f t="shared" si="64"/>
        <v/>
      </c>
      <c r="L489" s="17" t="str">
        <f t="shared" si="65"/>
        <v/>
      </c>
      <c r="M489" s="17" t="str">
        <f t="shared" si="66"/>
        <v/>
      </c>
      <c r="N489" s="17" t="str">
        <f t="shared" si="67"/>
        <v/>
      </c>
      <c r="O489" s="17" t="str">
        <f t="shared" si="68"/>
        <v/>
      </c>
      <c r="P489" s="16" t="str">
        <f t="shared" si="69"/>
        <v/>
      </c>
      <c r="Q489" s="16" t="str">
        <f t="shared" si="70"/>
        <v/>
      </c>
      <c r="R489" s="18" t="str">
        <f t="shared" si="71"/>
        <v/>
      </c>
    </row>
    <row r="490" spans="1:18">
      <c r="A490" s="12"/>
      <c r="B490" s="13"/>
      <c r="C490" s="14"/>
      <c r="D490" s="15"/>
      <c r="E490" s="15"/>
      <c r="F490" s="15"/>
      <c r="G490" s="13"/>
      <c r="H490" s="16" t="str">
        <f t="shared" si="63"/>
        <v/>
      </c>
      <c r="I490" s="17" t="str">
        <f>IF(OR(A490="",B490=""),"",IFERROR(LOOKUP(2,1/(单次交易!$A$2:$A$201=A490),单次交易!$H$2:$H$201),0)+SUMIFS($G$2:$G$1001,$A$2:$A$1001,A490,$B$2:$B$1001,"&lt;"&amp;B490))</f>
        <v/>
      </c>
      <c r="J490" s="16" t="str">
        <f>IF(OR(A490="",B490=""),"",IFERROR(LOOKUP(2,1/(单次交易!$A$2:$A$201=A490),单次交易!$E$2:$E$201)*LOOKUP(2,1/(单次交易!$A$2:$A$201=A490),单次交易!$H$2:$H$201),0)+SUMIFS($H$2:$H$1001,$A$2:$A$1001,A490,$B$2:$B$1001,"&lt;"&amp;B490))</f>
        <v/>
      </c>
      <c r="K490" s="16" t="str">
        <f t="shared" si="64"/>
        <v/>
      </c>
      <c r="L490" s="17" t="str">
        <f t="shared" si="65"/>
        <v/>
      </c>
      <c r="M490" s="17" t="str">
        <f t="shared" si="66"/>
        <v/>
      </c>
      <c r="N490" s="17" t="str">
        <f t="shared" si="67"/>
        <v/>
      </c>
      <c r="O490" s="17" t="str">
        <f t="shared" si="68"/>
        <v/>
      </c>
      <c r="P490" s="16" t="str">
        <f t="shared" si="69"/>
        <v/>
      </c>
      <c r="Q490" s="16" t="str">
        <f t="shared" si="70"/>
        <v/>
      </c>
      <c r="R490" s="18" t="str">
        <f t="shared" si="71"/>
        <v/>
      </c>
    </row>
    <row r="491" spans="1:18">
      <c r="A491" s="12"/>
      <c r="B491" s="13"/>
      <c r="C491" s="14"/>
      <c r="D491" s="15"/>
      <c r="E491" s="15"/>
      <c r="F491" s="15"/>
      <c r="G491" s="13"/>
      <c r="H491" s="16" t="str">
        <f t="shared" si="63"/>
        <v/>
      </c>
      <c r="I491" s="17" t="str">
        <f>IF(OR(A491="",B491=""),"",IFERROR(LOOKUP(2,1/(单次交易!$A$2:$A$201=A491),单次交易!$H$2:$H$201),0)+SUMIFS($G$2:$G$1001,$A$2:$A$1001,A491,$B$2:$B$1001,"&lt;"&amp;B491))</f>
        <v/>
      </c>
      <c r="J491" s="16" t="str">
        <f>IF(OR(A491="",B491=""),"",IFERROR(LOOKUP(2,1/(单次交易!$A$2:$A$201=A491),单次交易!$E$2:$E$201)*LOOKUP(2,1/(单次交易!$A$2:$A$201=A491),单次交易!$H$2:$H$201),0)+SUMIFS($H$2:$H$1001,$A$2:$A$1001,A491,$B$2:$B$1001,"&lt;"&amp;B491))</f>
        <v/>
      </c>
      <c r="K491" s="16" t="str">
        <f t="shared" si="64"/>
        <v/>
      </c>
      <c r="L491" s="17" t="str">
        <f t="shared" si="65"/>
        <v/>
      </c>
      <c r="M491" s="17" t="str">
        <f t="shared" si="66"/>
        <v/>
      </c>
      <c r="N491" s="17" t="str">
        <f t="shared" si="67"/>
        <v/>
      </c>
      <c r="O491" s="17" t="str">
        <f t="shared" si="68"/>
        <v/>
      </c>
      <c r="P491" s="16" t="str">
        <f t="shared" si="69"/>
        <v/>
      </c>
      <c r="Q491" s="16" t="str">
        <f t="shared" si="70"/>
        <v/>
      </c>
      <c r="R491" s="18" t="str">
        <f t="shared" si="71"/>
        <v/>
      </c>
    </row>
    <row r="492" spans="1:18">
      <c r="A492" s="12"/>
      <c r="B492" s="13"/>
      <c r="C492" s="14"/>
      <c r="D492" s="15"/>
      <c r="E492" s="15"/>
      <c r="F492" s="15"/>
      <c r="G492" s="13"/>
      <c r="H492" s="16" t="str">
        <f t="shared" si="63"/>
        <v/>
      </c>
      <c r="I492" s="17" t="str">
        <f>IF(OR(A492="",B492=""),"",IFERROR(LOOKUP(2,1/(单次交易!$A$2:$A$201=A492),单次交易!$H$2:$H$201),0)+SUMIFS($G$2:$G$1001,$A$2:$A$1001,A492,$B$2:$B$1001,"&lt;"&amp;B492))</f>
        <v/>
      </c>
      <c r="J492" s="16" t="str">
        <f>IF(OR(A492="",B492=""),"",IFERROR(LOOKUP(2,1/(单次交易!$A$2:$A$201=A492),单次交易!$E$2:$E$201)*LOOKUP(2,1/(单次交易!$A$2:$A$201=A492),单次交易!$H$2:$H$201),0)+SUMIFS($H$2:$H$1001,$A$2:$A$1001,A492,$B$2:$B$1001,"&lt;"&amp;B492))</f>
        <v/>
      </c>
      <c r="K492" s="16" t="str">
        <f t="shared" si="64"/>
        <v/>
      </c>
      <c r="L492" s="17" t="str">
        <f t="shared" si="65"/>
        <v/>
      </c>
      <c r="M492" s="17" t="str">
        <f t="shared" si="66"/>
        <v/>
      </c>
      <c r="N492" s="17" t="str">
        <f t="shared" si="67"/>
        <v/>
      </c>
      <c r="O492" s="17" t="str">
        <f t="shared" si="68"/>
        <v/>
      </c>
      <c r="P492" s="16" t="str">
        <f t="shared" si="69"/>
        <v/>
      </c>
      <c r="Q492" s="16" t="str">
        <f t="shared" si="70"/>
        <v/>
      </c>
      <c r="R492" s="18" t="str">
        <f t="shared" si="71"/>
        <v/>
      </c>
    </row>
    <row r="493" spans="1:18">
      <c r="A493" s="12"/>
      <c r="B493" s="13"/>
      <c r="C493" s="14"/>
      <c r="D493" s="15"/>
      <c r="E493" s="15"/>
      <c r="F493" s="15"/>
      <c r="G493" s="13"/>
      <c r="H493" s="16" t="str">
        <f t="shared" si="63"/>
        <v/>
      </c>
      <c r="I493" s="17" t="str">
        <f>IF(OR(A493="",B493=""),"",IFERROR(LOOKUP(2,1/(单次交易!$A$2:$A$201=A493),单次交易!$H$2:$H$201),0)+SUMIFS($G$2:$G$1001,$A$2:$A$1001,A493,$B$2:$B$1001,"&lt;"&amp;B493))</f>
        <v/>
      </c>
      <c r="J493" s="16" t="str">
        <f>IF(OR(A493="",B493=""),"",IFERROR(LOOKUP(2,1/(单次交易!$A$2:$A$201=A493),单次交易!$E$2:$E$201)*LOOKUP(2,1/(单次交易!$A$2:$A$201=A493),单次交易!$H$2:$H$201),0)+SUMIFS($H$2:$H$1001,$A$2:$A$1001,A493,$B$2:$B$1001,"&lt;"&amp;B493))</f>
        <v/>
      </c>
      <c r="K493" s="16" t="str">
        <f t="shared" si="64"/>
        <v/>
      </c>
      <c r="L493" s="17" t="str">
        <f t="shared" si="65"/>
        <v/>
      </c>
      <c r="M493" s="17" t="str">
        <f t="shared" si="66"/>
        <v/>
      </c>
      <c r="N493" s="17" t="str">
        <f t="shared" si="67"/>
        <v/>
      </c>
      <c r="O493" s="17" t="str">
        <f t="shared" si="68"/>
        <v/>
      </c>
      <c r="P493" s="16" t="str">
        <f t="shared" si="69"/>
        <v/>
      </c>
      <c r="Q493" s="16" t="str">
        <f t="shared" si="70"/>
        <v/>
      </c>
      <c r="R493" s="18" t="str">
        <f t="shared" si="71"/>
        <v/>
      </c>
    </row>
    <row r="494" spans="1:18">
      <c r="A494" s="12"/>
      <c r="B494" s="13"/>
      <c r="C494" s="14"/>
      <c r="D494" s="15"/>
      <c r="E494" s="15"/>
      <c r="F494" s="15"/>
      <c r="G494" s="13"/>
      <c r="H494" s="16" t="str">
        <f t="shared" si="63"/>
        <v/>
      </c>
      <c r="I494" s="17" t="str">
        <f>IF(OR(A494="",B494=""),"",IFERROR(LOOKUP(2,1/(单次交易!$A$2:$A$201=A494),单次交易!$H$2:$H$201),0)+SUMIFS($G$2:$G$1001,$A$2:$A$1001,A494,$B$2:$B$1001,"&lt;"&amp;B494))</f>
        <v/>
      </c>
      <c r="J494" s="16" t="str">
        <f>IF(OR(A494="",B494=""),"",IFERROR(LOOKUP(2,1/(单次交易!$A$2:$A$201=A494),单次交易!$E$2:$E$201)*LOOKUP(2,1/(单次交易!$A$2:$A$201=A494),单次交易!$H$2:$H$201),0)+SUMIFS($H$2:$H$1001,$A$2:$A$1001,A494,$B$2:$B$1001,"&lt;"&amp;B494))</f>
        <v/>
      </c>
      <c r="K494" s="16" t="str">
        <f t="shared" si="64"/>
        <v/>
      </c>
      <c r="L494" s="17" t="str">
        <f t="shared" si="65"/>
        <v/>
      </c>
      <c r="M494" s="17" t="str">
        <f t="shared" si="66"/>
        <v/>
      </c>
      <c r="N494" s="17" t="str">
        <f t="shared" si="67"/>
        <v/>
      </c>
      <c r="O494" s="17" t="str">
        <f t="shared" si="68"/>
        <v/>
      </c>
      <c r="P494" s="16" t="str">
        <f t="shared" si="69"/>
        <v/>
      </c>
      <c r="Q494" s="16" t="str">
        <f t="shared" si="70"/>
        <v/>
      </c>
      <c r="R494" s="18" t="str">
        <f t="shared" si="71"/>
        <v/>
      </c>
    </row>
    <row r="495" spans="1:18">
      <c r="A495" s="12"/>
      <c r="B495" s="13"/>
      <c r="C495" s="14"/>
      <c r="D495" s="15"/>
      <c r="E495" s="15"/>
      <c r="F495" s="15"/>
      <c r="G495" s="13"/>
      <c r="H495" s="16" t="str">
        <f t="shared" si="63"/>
        <v/>
      </c>
      <c r="I495" s="17" t="str">
        <f>IF(OR(A495="",B495=""),"",IFERROR(LOOKUP(2,1/(单次交易!$A$2:$A$201=A495),单次交易!$H$2:$H$201),0)+SUMIFS($G$2:$G$1001,$A$2:$A$1001,A495,$B$2:$B$1001,"&lt;"&amp;B495))</f>
        <v/>
      </c>
      <c r="J495" s="16" t="str">
        <f>IF(OR(A495="",B495=""),"",IFERROR(LOOKUP(2,1/(单次交易!$A$2:$A$201=A495),单次交易!$E$2:$E$201)*LOOKUP(2,1/(单次交易!$A$2:$A$201=A495),单次交易!$H$2:$H$201),0)+SUMIFS($H$2:$H$1001,$A$2:$A$1001,A495,$B$2:$B$1001,"&lt;"&amp;B495))</f>
        <v/>
      </c>
      <c r="K495" s="16" t="str">
        <f t="shared" si="64"/>
        <v/>
      </c>
      <c r="L495" s="17" t="str">
        <f t="shared" si="65"/>
        <v/>
      </c>
      <c r="M495" s="17" t="str">
        <f t="shared" si="66"/>
        <v/>
      </c>
      <c r="N495" s="17" t="str">
        <f t="shared" si="67"/>
        <v/>
      </c>
      <c r="O495" s="17" t="str">
        <f t="shared" si="68"/>
        <v/>
      </c>
      <c r="P495" s="16" t="str">
        <f t="shared" si="69"/>
        <v/>
      </c>
      <c r="Q495" s="16" t="str">
        <f t="shared" si="70"/>
        <v/>
      </c>
      <c r="R495" s="18" t="str">
        <f t="shared" si="71"/>
        <v/>
      </c>
    </row>
    <row r="496" spans="1:18">
      <c r="A496" s="12"/>
      <c r="B496" s="13"/>
      <c r="C496" s="14"/>
      <c r="D496" s="15"/>
      <c r="E496" s="15"/>
      <c r="F496" s="15"/>
      <c r="G496" s="13"/>
      <c r="H496" s="16" t="str">
        <f t="shared" si="63"/>
        <v/>
      </c>
      <c r="I496" s="17" t="str">
        <f>IF(OR(A496="",B496=""),"",IFERROR(LOOKUP(2,1/(单次交易!$A$2:$A$201=A496),单次交易!$H$2:$H$201),0)+SUMIFS($G$2:$G$1001,$A$2:$A$1001,A496,$B$2:$B$1001,"&lt;"&amp;B496))</f>
        <v/>
      </c>
      <c r="J496" s="16" t="str">
        <f>IF(OR(A496="",B496=""),"",IFERROR(LOOKUP(2,1/(单次交易!$A$2:$A$201=A496),单次交易!$E$2:$E$201)*LOOKUP(2,1/(单次交易!$A$2:$A$201=A496),单次交易!$H$2:$H$201),0)+SUMIFS($H$2:$H$1001,$A$2:$A$1001,A496,$B$2:$B$1001,"&lt;"&amp;B496))</f>
        <v/>
      </c>
      <c r="K496" s="16" t="str">
        <f t="shared" si="64"/>
        <v/>
      </c>
      <c r="L496" s="17" t="str">
        <f t="shared" si="65"/>
        <v/>
      </c>
      <c r="M496" s="17" t="str">
        <f t="shared" si="66"/>
        <v/>
      </c>
      <c r="N496" s="17" t="str">
        <f t="shared" si="67"/>
        <v/>
      </c>
      <c r="O496" s="17" t="str">
        <f t="shared" si="68"/>
        <v/>
      </c>
      <c r="P496" s="16" t="str">
        <f t="shared" si="69"/>
        <v/>
      </c>
      <c r="Q496" s="16" t="str">
        <f t="shared" si="70"/>
        <v/>
      </c>
      <c r="R496" s="18" t="str">
        <f t="shared" si="71"/>
        <v/>
      </c>
    </row>
    <row r="497" spans="1:18">
      <c r="A497" s="12"/>
      <c r="B497" s="13"/>
      <c r="C497" s="14"/>
      <c r="D497" s="15"/>
      <c r="E497" s="15"/>
      <c r="F497" s="15"/>
      <c r="G497" s="13"/>
      <c r="H497" s="16" t="str">
        <f t="shared" si="63"/>
        <v/>
      </c>
      <c r="I497" s="17" t="str">
        <f>IF(OR(A497="",B497=""),"",IFERROR(LOOKUP(2,1/(单次交易!$A$2:$A$201=A497),单次交易!$H$2:$H$201),0)+SUMIFS($G$2:$G$1001,$A$2:$A$1001,A497,$B$2:$B$1001,"&lt;"&amp;B497))</f>
        <v/>
      </c>
      <c r="J497" s="16" t="str">
        <f>IF(OR(A497="",B497=""),"",IFERROR(LOOKUP(2,1/(单次交易!$A$2:$A$201=A497),单次交易!$E$2:$E$201)*LOOKUP(2,1/(单次交易!$A$2:$A$201=A497),单次交易!$H$2:$H$201),0)+SUMIFS($H$2:$H$1001,$A$2:$A$1001,A497,$B$2:$B$1001,"&lt;"&amp;B497))</f>
        <v/>
      </c>
      <c r="K497" s="16" t="str">
        <f t="shared" si="64"/>
        <v/>
      </c>
      <c r="L497" s="17" t="str">
        <f t="shared" si="65"/>
        <v/>
      </c>
      <c r="M497" s="17" t="str">
        <f t="shared" si="66"/>
        <v/>
      </c>
      <c r="N497" s="17" t="str">
        <f t="shared" si="67"/>
        <v/>
      </c>
      <c r="O497" s="17" t="str">
        <f t="shared" si="68"/>
        <v/>
      </c>
      <c r="P497" s="16" t="str">
        <f t="shared" si="69"/>
        <v/>
      </c>
      <c r="Q497" s="16" t="str">
        <f t="shared" si="70"/>
        <v/>
      </c>
      <c r="R497" s="18" t="str">
        <f t="shared" si="71"/>
        <v/>
      </c>
    </row>
    <row r="498" spans="1:18">
      <c r="A498" s="12"/>
      <c r="B498" s="13"/>
      <c r="C498" s="14"/>
      <c r="D498" s="15"/>
      <c r="E498" s="15"/>
      <c r="F498" s="15"/>
      <c r="G498" s="13"/>
      <c r="H498" s="16" t="str">
        <f t="shared" si="63"/>
        <v/>
      </c>
      <c r="I498" s="17" t="str">
        <f>IF(OR(A498="",B498=""),"",IFERROR(LOOKUP(2,1/(单次交易!$A$2:$A$201=A498),单次交易!$H$2:$H$201),0)+SUMIFS($G$2:$G$1001,$A$2:$A$1001,A498,$B$2:$B$1001,"&lt;"&amp;B498))</f>
        <v/>
      </c>
      <c r="J498" s="16" t="str">
        <f>IF(OR(A498="",B498=""),"",IFERROR(LOOKUP(2,1/(单次交易!$A$2:$A$201=A498),单次交易!$E$2:$E$201)*LOOKUP(2,1/(单次交易!$A$2:$A$201=A498),单次交易!$H$2:$H$201),0)+SUMIFS($H$2:$H$1001,$A$2:$A$1001,A498,$B$2:$B$1001,"&lt;"&amp;B498))</f>
        <v/>
      </c>
      <c r="K498" s="16" t="str">
        <f t="shared" si="64"/>
        <v/>
      </c>
      <c r="L498" s="17" t="str">
        <f t="shared" si="65"/>
        <v/>
      </c>
      <c r="M498" s="17" t="str">
        <f t="shared" si="66"/>
        <v/>
      </c>
      <c r="N498" s="17" t="str">
        <f t="shared" si="67"/>
        <v/>
      </c>
      <c r="O498" s="17" t="str">
        <f t="shared" si="68"/>
        <v/>
      </c>
      <c r="P498" s="16" t="str">
        <f t="shared" si="69"/>
        <v/>
      </c>
      <c r="Q498" s="16" t="str">
        <f t="shared" si="70"/>
        <v/>
      </c>
      <c r="R498" s="18" t="str">
        <f t="shared" si="71"/>
        <v/>
      </c>
    </row>
    <row r="499" spans="1:18">
      <c r="A499" s="12"/>
      <c r="B499" s="13"/>
      <c r="C499" s="14"/>
      <c r="D499" s="15"/>
      <c r="E499" s="15"/>
      <c r="F499" s="15"/>
      <c r="G499" s="13"/>
      <c r="H499" s="16" t="str">
        <f t="shared" si="63"/>
        <v/>
      </c>
      <c r="I499" s="17" t="str">
        <f>IF(OR(A499="",B499=""),"",IFERROR(LOOKUP(2,1/(单次交易!$A$2:$A$201=A499),单次交易!$H$2:$H$201),0)+SUMIFS($G$2:$G$1001,$A$2:$A$1001,A499,$B$2:$B$1001,"&lt;"&amp;B499))</f>
        <v/>
      </c>
      <c r="J499" s="16" t="str">
        <f>IF(OR(A499="",B499=""),"",IFERROR(LOOKUP(2,1/(单次交易!$A$2:$A$201=A499),单次交易!$E$2:$E$201)*LOOKUP(2,1/(单次交易!$A$2:$A$201=A499),单次交易!$H$2:$H$201),0)+SUMIFS($H$2:$H$1001,$A$2:$A$1001,A499,$B$2:$B$1001,"&lt;"&amp;B499))</f>
        <v/>
      </c>
      <c r="K499" s="16" t="str">
        <f t="shared" si="64"/>
        <v/>
      </c>
      <c r="L499" s="17" t="str">
        <f t="shared" si="65"/>
        <v/>
      </c>
      <c r="M499" s="17" t="str">
        <f t="shared" si="66"/>
        <v/>
      </c>
      <c r="N499" s="17" t="str">
        <f t="shared" si="67"/>
        <v/>
      </c>
      <c r="O499" s="17" t="str">
        <f t="shared" si="68"/>
        <v/>
      </c>
      <c r="P499" s="16" t="str">
        <f t="shared" si="69"/>
        <v/>
      </c>
      <c r="Q499" s="16" t="str">
        <f t="shared" si="70"/>
        <v/>
      </c>
      <c r="R499" s="18" t="str">
        <f t="shared" si="71"/>
        <v/>
      </c>
    </row>
    <row r="500" spans="1:18">
      <c r="A500" s="12"/>
      <c r="B500" s="13"/>
      <c r="C500" s="14"/>
      <c r="D500" s="15"/>
      <c r="E500" s="15"/>
      <c r="F500" s="15"/>
      <c r="G500" s="13"/>
      <c r="H500" s="16" t="str">
        <f t="shared" si="63"/>
        <v/>
      </c>
      <c r="I500" s="17" t="str">
        <f>IF(OR(A500="",B500=""),"",IFERROR(LOOKUP(2,1/(单次交易!$A$2:$A$201=A500),单次交易!$H$2:$H$201),0)+SUMIFS($G$2:$G$1001,$A$2:$A$1001,A500,$B$2:$B$1001,"&lt;"&amp;B500))</f>
        <v/>
      </c>
      <c r="J500" s="16" t="str">
        <f>IF(OR(A500="",B500=""),"",IFERROR(LOOKUP(2,1/(单次交易!$A$2:$A$201=A500),单次交易!$E$2:$E$201)*LOOKUP(2,1/(单次交易!$A$2:$A$201=A500),单次交易!$H$2:$H$201),0)+SUMIFS($H$2:$H$1001,$A$2:$A$1001,A500,$B$2:$B$1001,"&lt;"&amp;B500))</f>
        <v/>
      </c>
      <c r="K500" s="16" t="str">
        <f t="shared" si="64"/>
        <v/>
      </c>
      <c r="L500" s="17" t="str">
        <f t="shared" si="65"/>
        <v/>
      </c>
      <c r="M500" s="17" t="str">
        <f t="shared" si="66"/>
        <v/>
      </c>
      <c r="N500" s="17" t="str">
        <f t="shared" si="67"/>
        <v/>
      </c>
      <c r="O500" s="17" t="str">
        <f t="shared" si="68"/>
        <v/>
      </c>
      <c r="P500" s="16" t="str">
        <f t="shared" si="69"/>
        <v/>
      </c>
      <c r="Q500" s="16" t="str">
        <f t="shared" si="70"/>
        <v/>
      </c>
      <c r="R500" s="18" t="str">
        <f t="shared" si="71"/>
        <v/>
      </c>
    </row>
    <row r="501" spans="1:18">
      <c r="A501" s="12"/>
      <c r="B501" s="13"/>
      <c r="C501" s="14"/>
      <c r="D501" s="15"/>
      <c r="E501" s="15"/>
      <c r="F501" s="15"/>
      <c r="G501" s="13"/>
      <c r="H501" s="16" t="str">
        <f t="shared" si="63"/>
        <v/>
      </c>
      <c r="I501" s="17" t="str">
        <f>IF(OR(A501="",B501=""),"",IFERROR(LOOKUP(2,1/(单次交易!$A$2:$A$201=A501),单次交易!$H$2:$H$201),0)+SUMIFS($G$2:$G$1001,$A$2:$A$1001,A501,$B$2:$B$1001,"&lt;"&amp;B501))</f>
        <v/>
      </c>
      <c r="J501" s="16" t="str">
        <f>IF(OR(A501="",B501=""),"",IFERROR(LOOKUP(2,1/(单次交易!$A$2:$A$201=A501),单次交易!$E$2:$E$201)*LOOKUP(2,1/(单次交易!$A$2:$A$201=A501),单次交易!$H$2:$H$201),0)+SUMIFS($H$2:$H$1001,$A$2:$A$1001,A501,$B$2:$B$1001,"&lt;"&amp;B501))</f>
        <v/>
      </c>
      <c r="K501" s="16" t="str">
        <f t="shared" si="64"/>
        <v/>
      </c>
      <c r="L501" s="17" t="str">
        <f t="shared" si="65"/>
        <v/>
      </c>
      <c r="M501" s="17" t="str">
        <f t="shared" si="66"/>
        <v/>
      </c>
      <c r="N501" s="17" t="str">
        <f t="shared" si="67"/>
        <v/>
      </c>
      <c r="O501" s="17" t="str">
        <f t="shared" si="68"/>
        <v/>
      </c>
      <c r="P501" s="16" t="str">
        <f t="shared" si="69"/>
        <v/>
      </c>
      <c r="Q501" s="16" t="str">
        <f t="shared" si="70"/>
        <v/>
      </c>
      <c r="R501" s="18" t="str">
        <f t="shared" si="71"/>
        <v/>
      </c>
    </row>
    <row r="502" spans="1:18">
      <c r="A502" s="12"/>
      <c r="B502" s="13"/>
      <c r="C502" s="14"/>
      <c r="D502" s="15"/>
      <c r="E502" s="15"/>
      <c r="F502" s="15"/>
      <c r="G502" s="13"/>
      <c r="H502" s="16" t="str">
        <f t="shared" si="63"/>
        <v/>
      </c>
      <c r="I502" s="17" t="str">
        <f>IF(OR(A502="",B502=""),"",IFERROR(LOOKUP(2,1/(单次交易!$A$2:$A$201=A502),单次交易!$H$2:$H$201),0)+SUMIFS($G$2:$G$1001,$A$2:$A$1001,A502,$B$2:$B$1001,"&lt;"&amp;B502))</f>
        <v/>
      </c>
      <c r="J502" s="16" t="str">
        <f>IF(OR(A502="",B502=""),"",IFERROR(LOOKUP(2,1/(单次交易!$A$2:$A$201=A502),单次交易!$E$2:$E$201)*LOOKUP(2,1/(单次交易!$A$2:$A$201=A502),单次交易!$H$2:$H$201),0)+SUMIFS($H$2:$H$1001,$A$2:$A$1001,A502,$B$2:$B$1001,"&lt;"&amp;B502))</f>
        <v/>
      </c>
      <c r="K502" s="16" t="str">
        <f t="shared" si="64"/>
        <v/>
      </c>
      <c r="L502" s="17" t="str">
        <f t="shared" si="65"/>
        <v/>
      </c>
      <c r="M502" s="17" t="str">
        <f t="shared" si="66"/>
        <v/>
      </c>
      <c r="N502" s="17" t="str">
        <f t="shared" si="67"/>
        <v/>
      </c>
      <c r="O502" s="17" t="str">
        <f t="shared" si="68"/>
        <v/>
      </c>
      <c r="P502" s="16" t="str">
        <f t="shared" si="69"/>
        <v/>
      </c>
      <c r="Q502" s="16" t="str">
        <f t="shared" si="70"/>
        <v/>
      </c>
      <c r="R502" s="18" t="str">
        <f t="shared" si="71"/>
        <v/>
      </c>
    </row>
    <row r="503" spans="1:18">
      <c r="A503" s="12"/>
      <c r="B503" s="13"/>
      <c r="C503" s="14"/>
      <c r="D503" s="15"/>
      <c r="E503" s="15"/>
      <c r="F503" s="15"/>
      <c r="G503" s="13"/>
      <c r="H503" s="16" t="str">
        <f t="shared" si="63"/>
        <v/>
      </c>
      <c r="I503" s="17" t="str">
        <f>IF(OR(A503="",B503=""),"",IFERROR(LOOKUP(2,1/(单次交易!$A$2:$A$201=A503),单次交易!$H$2:$H$201),0)+SUMIFS($G$2:$G$1001,$A$2:$A$1001,A503,$B$2:$B$1001,"&lt;"&amp;B503))</f>
        <v/>
      </c>
      <c r="J503" s="16" t="str">
        <f>IF(OR(A503="",B503=""),"",IFERROR(LOOKUP(2,1/(单次交易!$A$2:$A$201=A503),单次交易!$E$2:$E$201)*LOOKUP(2,1/(单次交易!$A$2:$A$201=A503),单次交易!$H$2:$H$201),0)+SUMIFS($H$2:$H$1001,$A$2:$A$1001,A503,$B$2:$B$1001,"&lt;"&amp;B503))</f>
        <v/>
      </c>
      <c r="K503" s="16" t="str">
        <f t="shared" si="64"/>
        <v/>
      </c>
      <c r="L503" s="17" t="str">
        <f t="shared" si="65"/>
        <v/>
      </c>
      <c r="M503" s="17" t="str">
        <f t="shared" si="66"/>
        <v/>
      </c>
      <c r="N503" s="17" t="str">
        <f t="shared" si="67"/>
        <v/>
      </c>
      <c r="O503" s="17" t="str">
        <f t="shared" si="68"/>
        <v/>
      </c>
      <c r="P503" s="16" t="str">
        <f t="shared" si="69"/>
        <v/>
      </c>
      <c r="Q503" s="16" t="str">
        <f t="shared" si="70"/>
        <v/>
      </c>
      <c r="R503" s="18" t="str">
        <f t="shared" si="71"/>
        <v/>
      </c>
    </row>
    <row r="504" spans="1:18">
      <c r="A504" s="12"/>
      <c r="B504" s="13"/>
      <c r="C504" s="14"/>
      <c r="D504" s="15"/>
      <c r="E504" s="15"/>
      <c r="F504" s="15"/>
      <c r="G504" s="13"/>
      <c r="H504" s="16" t="str">
        <f t="shared" si="63"/>
        <v/>
      </c>
      <c r="I504" s="17" t="str">
        <f>IF(OR(A504="",B504=""),"",IFERROR(LOOKUP(2,1/(单次交易!$A$2:$A$201=A504),单次交易!$H$2:$H$201),0)+SUMIFS($G$2:$G$1001,$A$2:$A$1001,A504,$B$2:$B$1001,"&lt;"&amp;B504))</f>
        <v/>
      </c>
      <c r="J504" s="16" t="str">
        <f>IF(OR(A504="",B504=""),"",IFERROR(LOOKUP(2,1/(单次交易!$A$2:$A$201=A504),单次交易!$E$2:$E$201)*LOOKUP(2,1/(单次交易!$A$2:$A$201=A504),单次交易!$H$2:$H$201),0)+SUMIFS($H$2:$H$1001,$A$2:$A$1001,A504,$B$2:$B$1001,"&lt;"&amp;B504))</f>
        <v/>
      </c>
      <c r="K504" s="16" t="str">
        <f t="shared" si="64"/>
        <v/>
      </c>
      <c r="L504" s="17" t="str">
        <f t="shared" si="65"/>
        <v/>
      </c>
      <c r="M504" s="17" t="str">
        <f t="shared" si="66"/>
        <v/>
      </c>
      <c r="N504" s="17" t="str">
        <f t="shared" si="67"/>
        <v/>
      </c>
      <c r="O504" s="17" t="str">
        <f t="shared" si="68"/>
        <v/>
      </c>
      <c r="P504" s="16" t="str">
        <f t="shared" si="69"/>
        <v/>
      </c>
      <c r="Q504" s="16" t="str">
        <f t="shared" si="70"/>
        <v/>
      </c>
      <c r="R504" s="18" t="str">
        <f t="shared" si="71"/>
        <v/>
      </c>
    </row>
    <row r="505" spans="1:18">
      <c r="A505" s="12"/>
      <c r="B505" s="13"/>
      <c r="C505" s="14"/>
      <c r="D505" s="15"/>
      <c r="E505" s="15"/>
      <c r="F505" s="15"/>
      <c r="G505" s="13"/>
      <c r="H505" s="16" t="str">
        <f t="shared" si="63"/>
        <v/>
      </c>
      <c r="I505" s="17" t="str">
        <f>IF(OR(A505="",B505=""),"",IFERROR(LOOKUP(2,1/(单次交易!$A$2:$A$201=A505),单次交易!$H$2:$H$201),0)+SUMIFS($G$2:$G$1001,$A$2:$A$1001,A505,$B$2:$B$1001,"&lt;"&amp;B505))</f>
        <v/>
      </c>
      <c r="J505" s="16" t="str">
        <f>IF(OR(A505="",B505=""),"",IFERROR(LOOKUP(2,1/(单次交易!$A$2:$A$201=A505),单次交易!$E$2:$E$201)*LOOKUP(2,1/(单次交易!$A$2:$A$201=A505),单次交易!$H$2:$H$201),0)+SUMIFS($H$2:$H$1001,$A$2:$A$1001,A505,$B$2:$B$1001,"&lt;"&amp;B505))</f>
        <v/>
      </c>
      <c r="K505" s="16" t="str">
        <f t="shared" si="64"/>
        <v/>
      </c>
      <c r="L505" s="17" t="str">
        <f t="shared" si="65"/>
        <v/>
      </c>
      <c r="M505" s="17" t="str">
        <f t="shared" si="66"/>
        <v/>
      </c>
      <c r="N505" s="17" t="str">
        <f t="shared" si="67"/>
        <v/>
      </c>
      <c r="O505" s="17" t="str">
        <f t="shared" si="68"/>
        <v/>
      </c>
      <c r="P505" s="16" t="str">
        <f t="shared" si="69"/>
        <v/>
      </c>
      <c r="Q505" s="16" t="str">
        <f t="shared" si="70"/>
        <v/>
      </c>
      <c r="R505" s="18" t="str">
        <f t="shared" si="71"/>
        <v/>
      </c>
    </row>
    <row r="506" spans="1:18">
      <c r="A506" s="12"/>
      <c r="B506" s="13"/>
      <c r="C506" s="14"/>
      <c r="D506" s="15"/>
      <c r="E506" s="15"/>
      <c r="F506" s="15"/>
      <c r="G506" s="13"/>
      <c r="H506" s="16" t="str">
        <f t="shared" si="63"/>
        <v/>
      </c>
      <c r="I506" s="17" t="str">
        <f>IF(OR(A506="",B506=""),"",IFERROR(LOOKUP(2,1/(单次交易!$A$2:$A$201=A506),单次交易!$H$2:$H$201),0)+SUMIFS($G$2:$G$1001,$A$2:$A$1001,A506,$B$2:$B$1001,"&lt;"&amp;B506))</f>
        <v/>
      </c>
      <c r="J506" s="16" t="str">
        <f>IF(OR(A506="",B506=""),"",IFERROR(LOOKUP(2,1/(单次交易!$A$2:$A$201=A506),单次交易!$E$2:$E$201)*LOOKUP(2,1/(单次交易!$A$2:$A$201=A506),单次交易!$H$2:$H$201),0)+SUMIFS($H$2:$H$1001,$A$2:$A$1001,A506,$B$2:$B$1001,"&lt;"&amp;B506))</f>
        <v/>
      </c>
      <c r="K506" s="16" t="str">
        <f t="shared" si="64"/>
        <v/>
      </c>
      <c r="L506" s="17" t="str">
        <f t="shared" si="65"/>
        <v/>
      </c>
      <c r="M506" s="17" t="str">
        <f t="shared" si="66"/>
        <v/>
      </c>
      <c r="N506" s="17" t="str">
        <f t="shared" si="67"/>
        <v/>
      </c>
      <c r="O506" s="17" t="str">
        <f t="shared" si="68"/>
        <v/>
      </c>
      <c r="P506" s="16" t="str">
        <f t="shared" si="69"/>
        <v/>
      </c>
      <c r="Q506" s="16" t="str">
        <f t="shared" si="70"/>
        <v/>
      </c>
      <c r="R506" s="18" t="str">
        <f t="shared" si="71"/>
        <v/>
      </c>
    </row>
    <row r="507" spans="1:18">
      <c r="A507" s="12"/>
      <c r="B507" s="13"/>
      <c r="C507" s="14"/>
      <c r="D507" s="15"/>
      <c r="E507" s="15"/>
      <c r="F507" s="15"/>
      <c r="G507" s="13"/>
      <c r="H507" s="16" t="str">
        <f t="shared" si="63"/>
        <v/>
      </c>
      <c r="I507" s="17" t="str">
        <f>IF(OR(A507="",B507=""),"",IFERROR(LOOKUP(2,1/(单次交易!$A$2:$A$201=A507),单次交易!$H$2:$H$201),0)+SUMIFS($G$2:$G$1001,$A$2:$A$1001,A507,$B$2:$B$1001,"&lt;"&amp;B507))</f>
        <v/>
      </c>
      <c r="J507" s="16" t="str">
        <f>IF(OR(A507="",B507=""),"",IFERROR(LOOKUP(2,1/(单次交易!$A$2:$A$201=A507),单次交易!$E$2:$E$201)*LOOKUP(2,1/(单次交易!$A$2:$A$201=A507),单次交易!$H$2:$H$201),0)+SUMIFS($H$2:$H$1001,$A$2:$A$1001,A507,$B$2:$B$1001,"&lt;"&amp;B507))</f>
        <v/>
      </c>
      <c r="K507" s="16" t="str">
        <f t="shared" si="64"/>
        <v/>
      </c>
      <c r="L507" s="17" t="str">
        <f t="shared" si="65"/>
        <v/>
      </c>
      <c r="M507" s="17" t="str">
        <f t="shared" si="66"/>
        <v/>
      </c>
      <c r="N507" s="17" t="str">
        <f t="shared" si="67"/>
        <v/>
      </c>
      <c r="O507" s="17" t="str">
        <f t="shared" si="68"/>
        <v/>
      </c>
      <c r="P507" s="16" t="str">
        <f t="shared" si="69"/>
        <v/>
      </c>
      <c r="Q507" s="16" t="str">
        <f t="shared" si="70"/>
        <v/>
      </c>
      <c r="R507" s="18" t="str">
        <f t="shared" si="71"/>
        <v/>
      </c>
    </row>
    <row r="508" spans="1:18">
      <c r="A508" s="12"/>
      <c r="B508" s="13"/>
      <c r="C508" s="14"/>
      <c r="D508" s="15"/>
      <c r="E508" s="15"/>
      <c r="F508" s="15"/>
      <c r="G508" s="13"/>
      <c r="H508" s="16" t="str">
        <f t="shared" si="63"/>
        <v/>
      </c>
      <c r="I508" s="17" t="str">
        <f>IF(OR(A508="",B508=""),"",IFERROR(LOOKUP(2,1/(单次交易!$A$2:$A$201=A508),单次交易!$H$2:$H$201),0)+SUMIFS($G$2:$G$1001,$A$2:$A$1001,A508,$B$2:$B$1001,"&lt;"&amp;B508))</f>
        <v/>
      </c>
      <c r="J508" s="16" t="str">
        <f>IF(OR(A508="",B508=""),"",IFERROR(LOOKUP(2,1/(单次交易!$A$2:$A$201=A508),单次交易!$E$2:$E$201)*LOOKUP(2,1/(单次交易!$A$2:$A$201=A508),单次交易!$H$2:$H$201),0)+SUMIFS($H$2:$H$1001,$A$2:$A$1001,A508,$B$2:$B$1001,"&lt;"&amp;B508))</f>
        <v/>
      </c>
      <c r="K508" s="16" t="str">
        <f t="shared" si="64"/>
        <v/>
      </c>
      <c r="L508" s="17" t="str">
        <f t="shared" si="65"/>
        <v/>
      </c>
      <c r="M508" s="17" t="str">
        <f t="shared" si="66"/>
        <v/>
      </c>
      <c r="N508" s="17" t="str">
        <f t="shared" si="67"/>
        <v/>
      </c>
      <c r="O508" s="17" t="str">
        <f t="shared" si="68"/>
        <v/>
      </c>
      <c r="P508" s="16" t="str">
        <f t="shared" si="69"/>
        <v/>
      </c>
      <c r="Q508" s="16" t="str">
        <f t="shared" si="70"/>
        <v/>
      </c>
      <c r="R508" s="18" t="str">
        <f t="shared" si="71"/>
        <v/>
      </c>
    </row>
    <row r="509" spans="1:18">
      <c r="A509" s="12"/>
      <c r="B509" s="13"/>
      <c r="C509" s="14"/>
      <c r="D509" s="15"/>
      <c r="E509" s="15"/>
      <c r="F509" s="15"/>
      <c r="G509" s="13"/>
      <c r="H509" s="16" t="str">
        <f t="shared" si="63"/>
        <v/>
      </c>
      <c r="I509" s="17" t="str">
        <f>IF(OR(A509="",B509=""),"",IFERROR(LOOKUP(2,1/(单次交易!$A$2:$A$201=A509),单次交易!$H$2:$H$201),0)+SUMIFS($G$2:$G$1001,$A$2:$A$1001,A509,$B$2:$B$1001,"&lt;"&amp;B509))</f>
        <v/>
      </c>
      <c r="J509" s="16" t="str">
        <f>IF(OR(A509="",B509=""),"",IFERROR(LOOKUP(2,1/(单次交易!$A$2:$A$201=A509),单次交易!$E$2:$E$201)*LOOKUP(2,1/(单次交易!$A$2:$A$201=A509),单次交易!$H$2:$H$201),0)+SUMIFS($H$2:$H$1001,$A$2:$A$1001,A509,$B$2:$B$1001,"&lt;"&amp;B509))</f>
        <v/>
      </c>
      <c r="K509" s="16" t="str">
        <f t="shared" si="64"/>
        <v/>
      </c>
      <c r="L509" s="17" t="str">
        <f t="shared" si="65"/>
        <v/>
      </c>
      <c r="M509" s="17" t="str">
        <f t="shared" si="66"/>
        <v/>
      </c>
      <c r="N509" s="17" t="str">
        <f t="shared" si="67"/>
        <v/>
      </c>
      <c r="O509" s="17" t="str">
        <f t="shared" si="68"/>
        <v/>
      </c>
      <c r="P509" s="16" t="str">
        <f t="shared" si="69"/>
        <v/>
      </c>
      <c r="Q509" s="16" t="str">
        <f t="shared" si="70"/>
        <v/>
      </c>
      <c r="R509" s="18" t="str">
        <f t="shared" si="71"/>
        <v/>
      </c>
    </row>
    <row r="510" spans="1:18">
      <c r="A510" s="12"/>
      <c r="B510" s="13"/>
      <c r="C510" s="14"/>
      <c r="D510" s="15"/>
      <c r="E510" s="15"/>
      <c r="F510" s="15"/>
      <c r="G510" s="13"/>
      <c r="H510" s="16" t="str">
        <f t="shared" si="63"/>
        <v/>
      </c>
      <c r="I510" s="17" t="str">
        <f>IF(OR(A510="",B510=""),"",IFERROR(LOOKUP(2,1/(单次交易!$A$2:$A$201=A510),单次交易!$H$2:$H$201),0)+SUMIFS($G$2:$G$1001,$A$2:$A$1001,A510,$B$2:$B$1001,"&lt;"&amp;B510))</f>
        <v/>
      </c>
      <c r="J510" s="16" t="str">
        <f>IF(OR(A510="",B510=""),"",IFERROR(LOOKUP(2,1/(单次交易!$A$2:$A$201=A510),单次交易!$E$2:$E$201)*LOOKUP(2,1/(单次交易!$A$2:$A$201=A510),单次交易!$H$2:$H$201),0)+SUMIFS($H$2:$H$1001,$A$2:$A$1001,A510,$B$2:$B$1001,"&lt;"&amp;B510))</f>
        <v/>
      </c>
      <c r="K510" s="16" t="str">
        <f t="shared" si="64"/>
        <v/>
      </c>
      <c r="L510" s="17" t="str">
        <f t="shared" si="65"/>
        <v/>
      </c>
      <c r="M510" s="17" t="str">
        <f t="shared" si="66"/>
        <v/>
      </c>
      <c r="N510" s="17" t="str">
        <f t="shared" si="67"/>
        <v/>
      </c>
      <c r="O510" s="17" t="str">
        <f t="shared" si="68"/>
        <v/>
      </c>
      <c r="P510" s="16" t="str">
        <f t="shared" si="69"/>
        <v/>
      </c>
      <c r="Q510" s="16" t="str">
        <f t="shared" si="70"/>
        <v/>
      </c>
      <c r="R510" s="18" t="str">
        <f t="shared" si="71"/>
        <v/>
      </c>
    </row>
    <row r="511" spans="1:18">
      <c r="A511" s="12"/>
      <c r="B511" s="13"/>
      <c r="C511" s="14"/>
      <c r="D511" s="15"/>
      <c r="E511" s="15"/>
      <c r="F511" s="15"/>
      <c r="G511" s="13"/>
      <c r="H511" s="16" t="str">
        <f t="shared" si="63"/>
        <v/>
      </c>
      <c r="I511" s="17" t="str">
        <f>IF(OR(A511="",B511=""),"",IFERROR(LOOKUP(2,1/(单次交易!$A$2:$A$201=A511),单次交易!$H$2:$H$201),0)+SUMIFS($G$2:$G$1001,$A$2:$A$1001,A511,$B$2:$B$1001,"&lt;"&amp;B511))</f>
        <v/>
      </c>
      <c r="J511" s="16" t="str">
        <f>IF(OR(A511="",B511=""),"",IFERROR(LOOKUP(2,1/(单次交易!$A$2:$A$201=A511),单次交易!$E$2:$E$201)*LOOKUP(2,1/(单次交易!$A$2:$A$201=A511),单次交易!$H$2:$H$201),0)+SUMIFS($H$2:$H$1001,$A$2:$A$1001,A511,$B$2:$B$1001,"&lt;"&amp;B511))</f>
        <v/>
      </c>
      <c r="K511" s="16" t="str">
        <f t="shared" si="64"/>
        <v/>
      </c>
      <c r="L511" s="17" t="str">
        <f t="shared" si="65"/>
        <v/>
      </c>
      <c r="M511" s="17" t="str">
        <f t="shared" si="66"/>
        <v/>
      </c>
      <c r="N511" s="17" t="str">
        <f t="shared" si="67"/>
        <v/>
      </c>
      <c r="O511" s="17" t="str">
        <f t="shared" si="68"/>
        <v/>
      </c>
      <c r="P511" s="16" t="str">
        <f t="shared" si="69"/>
        <v/>
      </c>
      <c r="Q511" s="16" t="str">
        <f t="shared" si="70"/>
        <v/>
      </c>
      <c r="R511" s="18" t="str">
        <f t="shared" si="71"/>
        <v/>
      </c>
    </row>
    <row r="512" spans="1:18">
      <c r="A512" s="12"/>
      <c r="B512" s="13"/>
      <c r="C512" s="14"/>
      <c r="D512" s="15"/>
      <c r="E512" s="15"/>
      <c r="F512" s="15"/>
      <c r="G512" s="13"/>
      <c r="H512" s="16" t="str">
        <f t="shared" si="63"/>
        <v/>
      </c>
      <c r="I512" s="17" t="str">
        <f>IF(OR(A512="",B512=""),"",IFERROR(LOOKUP(2,1/(单次交易!$A$2:$A$201=A512),单次交易!$H$2:$H$201),0)+SUMIFS($G$2:$G$1001,$A$2:$A$1001,A512,$B$2:$B$1001,"&lt;"&amp;B512))</f>
        <v/>
      </c>
      <c r="J512" s="16" t="str">
        <f>IF(OR(A512="",B512=""),"",IFERROR(LOOKUP(2,1/(单次交易!$A$2:$A$201=A512),单次交易!$E$2:$E$201)*LOOKUP(2,1/(单次交易!$A$2:$A$201=A512),单次交易!$H$2:$H$201),0)+SUMIFS($H$2:$H$1001,$A$2:$A$1001,A512,$B$2:$B$1001,"&lt;"&amp;B512))</f>
        <v/>
      </c>
      <c r="K512" s="16" t="str">
        <f t="shared" si="64"/>
        <v/>
      </c>
      <c r="L512" s="17" t="str">
        <f t="shared" si="65"/>
        <v/>
      </c>
      <c r="M512" s="17" t="str">
        <f t="shared" si="66"/>
        <v/>
      </c>
      <c r="N512" s="17" t="str">
        <f t="shared" si="67"/>
        <v/>
      </c>
      <c r="O512" s="17" t="str">
        <f t="shared" si="68"/>
        <v/>
      </c>
      <c r="P512" s="16" t="str">
        <f t="shared" si="69"/>
        <v/>
      </c>
      <c r="Q512" s="16" t="str">
        <f t="shared" si="70"/>
        <v/>
      </c>
      <c r="R512" s="18" t="str">
        <f t="shared" si="71"/>
        <v/>
      </c>
    </row>
    <row r="513" spans="1:18">
      <c r="A513" s="12"/>
      <c r="B513" s="13"/>
      <c r="C513" s="14"/>
      <c r="D513" s="15"/>
      <c r="E513" s="15"/>
      <c r="F513" s="15"/>
      <c r="G513" s="13"/>
      <c r="H513" s="16" t="str">
        <f t="shared" si="63"/>
        <v/>
      </c>
      <c r="I513" s="17" t="str">
        <f>IF(OR(A513="",B513=""),"",IFERROR(LOOKUP(2,1/(单次交易!$A$2:$A$201=A513),单次交易!$H$2:$H$201),0)+SUMIFS($G$2:$G$1001,$A$2:$A$1001,A513,$B$2:$B$1001,"&lt;"&amp;B513))</f>
        <v/>
      </c>
      <c r="J513" s="16" t="str">
        <f>IF(OR(A513="",B513=""),"",IFERROR(LOOKUP(2,1/(单次交易!$A$2:$A$201=A513),单次交易!$E$2:$E$201)*LOOKUP(2,1/(单次交易!$A$2:$A$201=A513),单次交易!$H$2:$H$201),0)+SUMIFS($H$2:$H$1001,$A$2:$A$1001,A513,$B$2:$B$1001,"&lt;"&amp;B513))</f>
        <v/>
      </c>
      <c r="K513" s="16" t="str">
        <f t="shared" si="64"/>
        <v/>
      </c>
      <c r="L513" s="17" t="str">
        <f t="shared" si="65"/>
        <v/>
      </c>
      <c r="M513" s="17" t="str">
        <f t="shared" si="66"/>
        <v/>
      </c>
      <c r="N513" s="17" t="str">
        <f t="shared" si="67"/>
        <v/>
      </c>
      <c r="O513" s="17" t="str">
        <f t="shared" si="68"/>
        <v/>
      </c>
      <c r="P513" s="16" t="str">
        <f t="shared" si="69"/>
        <v/>
      </c>
      <c r="Q513" s="16" t="str">
        <f t="shared" si="70"/>
        <v/>
      </c>
      <c r="R513" s="18" t="str">
        <f t="shared" si="71"/>
        <v/>
      </c>
    </row>
    <row r="514" spans="1:18">
      <c r="A514" s="12"/>
      <c r="B514" s="13"/>
      <c r="C514" s="14"/>
      <c r="D514" s="15"/>
      <c r="E514" s="15"/>
      <c r="F514" s="15"/>
      <c r="G514" s="13"/>
      <c r="H514" s="16" t="str">
        <f t="shared" ref="H514:H577" si="72">IF(OR(A514="",D514="",G514=""),"",D514*G514)</f>
        <v/>
      </c>
      <c r="I514" s="17" t="str">
        <f>IF(OR(A514="",B514=""),"",IFERROR(LOOKUP(2,1/(单次交易!$A$2:$A$201=A514),单次交易!$H$2:$H$201),0)+SUMIFS($G$2:$G$1001,$A$2:$A$1001,A514,$B$2:$B$1001,"&lt;"&amp;B514))</f>
        <v/>
      </c>
      <c r="J514" s="16" t="str">
        <f>IF(OR(A514="",B514=""),"",IFERROR(LOOKUP(2,1/(单次交易!$A$2:$A$201=A514),单次交易!$E$2:$E$201)*LOOKUP(2,1/(单次交易!$A$2:$A$201=A514),单次交易!$H$2:$H$201),0)+SUMIFS($H$2:$H$1001,$A$2:$A$1001,A514,$B$2:$B$1001,"&lt;"&amp;B514))</f>
        <v/>
      </c>
      <c r="K514" s="16" t="str">
        <f t="shared" ref="K514:K577" si="73">IF(OR(E514="",I514="",J514=""),"",MAX(E514*I514-J514,0))</f>
        <v/>
      </c>
      <c r="L514" s="17" t="str">
        <f t="shared" ref="L514:L577" si="74">IF(OR(D514="",E514="",F514="",D514&lt;=E514),"",FLOOR((F514+K514)/(D514-E514),100))</f>
        <v/>
      </c>
      <c r="M514" s="17" t="str">
        <f t="shared" ref="M514:M577" si="75">IF(OR(A514="",B514="",L514=""),"",IF(B514=1,L514,IFERROR(SUMIFS($G$2:$G$1001,$A$2:$A$1001,A514,$B$2:$B$1001,B514-1),0)))</f>
        <v/>
      </c>
      <c r="N514" s="17" t="str">
        <f t="shared" ref="N514:N577" si="76">IF(OR(L514="",M514=""),"",MIN(L514,M514))</f>
        <v/>
      </c>
      <c r="O514" s="17" t="str">
        <f t="shared" ref="O514:O577" si="77">IF(OR(I514="",G514=""),"",I514+G514)</f>
        <v/>
      </c>
      <c r="P514" s="16" t="str">
        <f t="shared" ref="P514:P577" si="78">IF(OR(O514="",O514=0),"",(J514+H514)/O514)</f>
        <v/>
      </c>
      <c r="Q514" s="16" t="str">
        <f t="shared" ref="Q514:Q577" si="79">IF(OR(O514="",E514=""),"",MAX(J514+H514-E514*O514,0))</f>
        <v/>
      </c>
      <c r="R514" s="18" t="str">
        <f t="shared" ref="R514:R577" si="80">IF(A514="","",IF(COUNTIF(_TradeIds,A514)=0,"违规：交易编号不存在",IF(OR(B514="",B514&lt;1,B514&gt;5,B514&lt;&gt;INT(B514)),"违规：加仓序号须为1到5的整数",IF(COUNTIFS($A$2:$A$1001,A514,$B$2:$B$1001,B514)&gt;1,"违规：同一交易的加仓序号重复",IF(OR(D514="",E514="",F514=""),"计划不完整：请填写加仓价、新止损价和风险预算",IF(OR(D514&lt;=0,E514&lt;=0,F514&lt;=0,D514&lt;=E514),"违规：加仓价必须高于新止损价，金额须大于0",IF(AND(B514&gt;1,COUNTIFS($A$2:$A$1001,A514,$B$2:$B$1001,B514-1,$G$2:$G$1001,"&gt;0")=0),"违规：须先完成上一次加仓",IF(AND(B514&gt;1,E514&lt;SUMIFS($E$2:$E$1001,$A$2:$A$1001,A514,$B$2:$B$1001,B514-1)),"违规：新止损价不得低于上一次",IF(AND(B514&gt;1,F514&gt;SUMIFS($F$2:$F$1001,$A$2:$A$1001,A514,$B$2:$B$1001,B514-1)),"违规：风险预算须逐次不增加",IF(OR(_LockStatus="已锁仓",_LockStatus="解锁信息不完整"),"违规：锁仓期间禁止加仓",IF(G514="","计划可执行：建议股数见N列",IF(OR(G514&lt;=0,G514&lt;&gt;INT(G514),MOD(G514,100)&lt;&gt;0),"违规：实际股数须为100股整数倍",IF(G514&gt;N514,"违规：实际股数超过风险或金字塔上限",IF(AND(B514&gt;1,G514&gt;SUMIFS($G$2:$G$1001,$A$2:$A$1001,A514,$B$2:$B$1001,B514-1)),"违规：加仓股数须逐次不增加",IF(Q514&gt;F514,"违规：止损风险超过本次预算","通过")))))))))))))))</f>
        <v/>
      </c>
    </row>
    <row r="515" spans="1:18">
      <c r="A515" s="12"/>
      <c r="B515" s="13"/>
      <c r="C515" s="14"/>
      <c r="D515" s="15"/>
      <c r="E515" s="15"/>
      <c r="F515" s="15"/>
      <c r="G515" s="13"/>
      <c r="H515" s="16" t="str">
        <f t="shared" si="72"/>
        <v/>
      </c>
      <c r="I515" s="17" t="str">
        <f>IF(OR(A515="",B515=""),"",IFERROR(LOOKUP(2,1/(单次交易!$A$2:$A$201=A515),单次交易!$H$2:$H$201),0)+SUMIFS($G$2:$G$1001,$A$2:$A$1001,A515,$B$2:$B$1001,"&lt;"&amp;B515))</f>
        <v/>
      </c>
      <c r="J515" s="16" t="str">
        <f>IF(OR(A515="",B515=""),"",IFERROR(LOOKUP(2,1/(单次交易!$A$2:$A$201=A515),单次交易!$E$2:$E$201)*LOOKUP(2,1/(单次交易!$A$2:$A$201=A515),单次交易!$H$2:$H$201),0)+SUMIFS($H$2:$H$1001,$A$2:$A$1001,A515,$B$2:$B$1001,"&lt;"&amp;B515))</f>
        <v/>
      </c>
      <c r="K515" s="16" t="str">
        <f t="shared" si="73"/>
        <v/>
      </c>
      <c r="L515" s="17" t="str">
        <f t="shared" si="74"/>
        <v/>
      </c>
      <c r="M515" s="17" t="str">
        <f t="shared" si="75"/>
        <v/>
      </c>
      <c r="N515" s="17" t="str">
        <f t="shared" si="76"/>
        <v/>
      </c>
      <c r="O515" s="17" t="str">
        <f t="shared" si="77"/>
        <v/>
      </c>
      <c r="P515" s="16" t="str">
        <f t="shared" si="78"/>
        <v/>
      </c>
      <c r="Q515" s="16" t="str">
        <f t="shared" si="79"/>
        <v/>
      </c>
      <c r="R515" s="18" t="str">
        <f t="shared" si="80"/>
        <v/>
      </c>
    </row>
    <row r="516" spans="1:18">
      <c r="A516" s="12"/>
      <c r="B516" s="13"/>
      <c r="C516" s="14"/>
      <c r="D516" s="15"/>
      <c r="E516" s="15"/>
      <c r="F516" s="15"/>
      <c r="G516" s="13"/>
      <c r="H516" s="16" t="str">
        <f t="shared" si="72"/>
        <v/>
      </c>
      <c r="I516" s="17" t="str">
        <f>IF(OR(A516="",B516=""),"",IFERROR(LOOKUP(2,1/(单次交易!$A$2:$A$201=A516),单次交易!$H$2:$H$201),0)+SUMIFS($G$2:$G$1001,$A$2:$A$1001,A516,$B$2:$B$1001,"&lt;"&amp;B516))</f>
        <v/>
      </c>
      <c r="J516" s="16" t="str">
        <f>IF(OR(A516="",B516=""),"",IFERROR(LOOKUP(2,1/(单次交易!$A$2:$A$201=A516),单次交易!$E$2:$E$201)*LOOKUP(2,1/(单次交易!$A$2:$A$201=A516),单次交易!$H$2:$H$201),0)+SUMIFS($H$2:$H$1001,$A$2:$A$1001,A516,$B$2:$B$1001,"&lt;"&amp;B516))</f>
        <v/>
      </c>
      <c r="K516" s="16" t="str">
        <f t="shared" si="73"/>
        <v/>
      </c>
      <c r="L516" s="17" t="str">
        <f t="shared" si="74"/>
        <v/>
      </c>
      <c r="M516" s="17" t="str">
        <f t="shared" si="75"/>
        <v/>
      </c>
      <c r="N516" s="17" t="str">
        <f t="shared" si="76"/>
        <v/>
      </c>
      <c r="O516" s="17" t="str">
        <f t="shared" si="77"/>
        <v/>
      </c>
      <c r="P516" s="16" t="str">
        <f t="shared" si="78"/>
        <v/>
      </c>
      <c r="Q516" s="16" t="str">
        <f t="shared" si="79"/>
        <v/>
      </c>
      <c r="R516" s="18" t="str">
        <f t="shared" si="80"/>
        <v/>
      </c>
    </row>
    <row r="517" spans="1:18">
      <c r="A517" s="12"/>
      <c r="B517" s="13"/>
      <c r="C517" s="14"/>
      <c r="D517" s="15"/>
      <c r="E517" s="15"/>
      <c r="F517" s="15"/>
      <c r="G517" s="13"/>
      <c r="H517" s="16" t="str">
        <f t="shared" si="72"/>
        <v/>
      </c>
      <c r="I517" s="17" t="str">
        <f>IF(OR(A517="",B517=""),"",IFERROR(LOOKUP(2,1/(单次交易!$A$2:$A$201=A517),单次交易!$H$2:$H$201),0)+SUMIFS($G$2:$G$1001,$A$2:$A$1001,A517,$B$2:$B$1001,"&lt;"&amp;B517))</f>
        <v/>
      </c>
      <c r="J517" s="16" t="str">
        <f>IF(OR(A517="",B517=""),"",IFERROR(LOOKUP(2,1/(单次交易!$A$2:$A$201=A517),单次交易!$E$2:$E$201)*LOOKUP(2,1/(单次交易!$A$2:$A$201=A517),单次交易!$H$2:$H$201),0)+SUMIFS($H$2:$H$1001,$A$2:$A$1001,A517,$B$2:$B$1001,"&lt;"&amp;B517))</f>
        <v/>
      </c>
      <c r="K517" s="16" t="str">
        <f t="shared" si="73"/>
        <v/>
      </c>
      <c r="L517" s="17" t="str">
        <f t="shared" si="74"/>
        <v/>
      </c>
      <c r="M517" s="17" t="str">
        <f t="shared" si="75"/>
        <v/>
      </c>
      <c r="N517" s="17" t="str">
        <f t="shared" si="76"/>
        <v/>
      </c>
      <c r="O517" s="17" t="str">
        <f t="shared" si="77"/>
        <v/>
      </c>
      <c r="P517" s="16" t="str">
        <f t="shared" si="78"/>
        <v/>
      </c>
      <c r="Q517" s="16" t="str">
        <f t="shared" si="79"/>
        <v/>
      </c>
      <c r="R517" s="18" t="str">
        <f t="shared" si="80"/>
        <v/>
      </c>
    </row>
    <row r="518" spans="1:18">
      <c r="A518" s="12"/>
      <c r="B518" s="13"/>
      <c r="C518" s="14"/>
      <c r="D518" s="15"/>
      <c r="E518" s="15"/>
      <c r="F518" s="15"/>
      <c r="G518" s="13"/>
      <c r="H518" s="16" t="str">
        <f t="shared" si="72"/>
        <v/>
      </c>
      <c r="I518" s="17" t="str">
        <f>IF(OR(A518="",B518=""),"",IFERROR(LOOKUP(2,1/(单次交易!$A$2:$A$201=A518),单次交易!$H$2:$H$201),0)+SUMIFS($G$2:$G$1001,$A$2:$A$1001,A518,$B$2:$B$1001,"&lt;"&amp;B518))</f>
        <v/>
      </c>
      <c r="J518" s="16" t="str">
        <f>IF(OR(A518="",B518=""),"",IFERROR(LOOKUP(2,1/(单次交易!$A$2:$A$201=A518),单次交易!$E$2:$E$201)*LOOKUP(2,1/(单次交易!$A$2:$A$201=A518),单次交易!$H$2:$H$201),0)+SUMIFS($H$2:$H$1001,$A$2:$A$1001,A518,$B$2:$B$1001,"&lt;"&amp;B518))</f>
        <v/>
      </c>
      <c r="K518" s="16" t="str">
        <f t="shared" si="73"/>
        <v/>
      </c>
      <c r="L518" s="17" t="str">
        <f t="shared" si="74"/>
        <v/>
      </c>
      <c r="M518" s="17" t="str">
        <f t="shared" si="75"/>
        <v/>
      </c>
      <c r="N518" s="17" t="str">
        <f t="shared" si="76"/>
        <v/>
      </c>
      <c r="O518" s="17" t="str">
        <f t="shared" si="77"/>
        <v/>
      </c>
      <c r="P518" s="16" t="str">
        <f t="shared" si="78"/>
        <v/>
      </c>
      <c r="Q518" s="16" t="str">
        <f t="shared" si="79"/>
        <v/>
      </c>
      <c r="R518" s="18" t="str">
        <f t="shared" si="80"/>
        <v/>
      </c>
    </row>
    <row r="519" spans="1:18">
      <c r="A519" s="12"/>
      <c r="B519" s="13"/>
      <c r="C519" s="14"/>
      <c r="D519" s="15"/>
      <c r="E519" s="15"/>
      <c r="F519" s="15"/>
      <c r="G519" s="13"/>
      <c r="H519" s="16" t="str">
        <f t="shared" si="72"/>
        <v/>
      </c>
      <c r="I519" s="17" t="str">
        <f>IF(OR(A519="",B519=""),"",IFERROR(LOOKUP(2,1/(单次交易!$A$2:$A$201=A519),单次交易!$H$2:$H$201),0)+SUMIFS($G$2:$G$1001,$A$2:$A$1001,A519,$B$2:$B$1001,"&lt;"&amp;B519))</f>
        <v/>
      </c>
      <c r="J519" s="16" t="str">
        <f>IF(OR(A519="",B519=""),"",IFERROR(LOOKUP(2,1/(单次交易!$A$2:$A$201=A519),单次交易!$E$2:$E$201)*LOOKUP(2,1/(单次交易!$A$2:$A$201=A519),单次交易!$H$2:$H$201),0)+SUMIFS($H$2:$H$1001,$A$2:$A$1001,A519,$B$2:$B$1001,"&lt;"&amp;B519))</f>
        <v/>
      </c>
      <c r="K519" s="16" t="str">
        <f t="shared" si="73"/>
        <v/>
      </c>
      <c r="L519" s="17" t="str">
        <f t="shared" si="74"/>
        <v/>
      </c>
      <c r="M519" s="17" t="str">
        <f t="shared" si="75"/>
        <v/>
      </c>
      <c r="N519" s="17" t="str">
        <f t="shared" si="76"/>
        <v/>
      </c>
      <c r="O519" s="17" t="str">
        <f t="shared" si="77"/>
        <v/>
      </c>
      <c r="P519" s="16" t="str">
        <f t="shared" si="78"/>
        <v/>
      </c>
      <c r="Q519" s="16" t="str">
        <f t="shared" si="79"/>
        <v/>
      </c>
      <c r="R519" s="18" t="str">
        <f t="shared" si="80"/>
        <v/>
      </c>
    </row>
    <row r="520" spans="1:18">
      <c r="A520" s="12"/>
      <c r="B520" s="13"/>
      <c r="C520" s="14"/>
      <c r="D520" s="15"/>
      <c r="E520" s="15"/>
      <c r="F520" s="15"/>
      <c r="G520" s="13"/>
      <c r="H520" s="16" t="str">
        <f t="shared" si="72"/>
        <v/>
      </c>
      <c r="I520" s="17" t="str">
        <f>IF(OR(A520="",B520=""),"",IFERROR(LOOKUP(2,1/(单次交易!$A$2:$A$201=A520),单次交易!$H$2:$H$201),0)+SUMIFS($G$2:$G$1001,$A$2:$A$1001,A520,$B$2:$B$1001,"&lt;"&amp;B520))</f>
        <v/>
      </c>
      <c r="J520" s="16" t="str">
        <f>IF(OR(A520="",B520=""),"",IFERROR(LOOKUP(2,1/(单次交易!$A$2:$A$201=A520),单次交易!$E$2:$E$201)*LOOKUP(2,1/(单次交易!$A$2:$A$201=A520),单次交易!$H$2:$H$201),0)+SUMIFS($H$2:$H$1001,$A$2:$A$1001,A520,$B$2:$B$1001,"&lt;"&amp;B520))</f>
        <v/>
      </c>
      <c r="K520" s="16" t="str">
        <f t="shared" si="73"/>
        <v/>
      </c>
      <c r="L520" s="17" t="str">
        <f t="shared" si="74"/>
        <v/>
      </c>
      <c r="M520" s="17" t="str">
        <f t="shared" si="75"/>
        <v/>
      </c>
      <c r="N520" s="17" t="str">
        <f t="shared" si="76"/>
        <v/>
      </c>
      <c r="O520" s="17" t="str">
        <f t="shared" si="77"/>
        <v/>
      </c>
      <c r="P520" s="16" t="str">
        <f t="shared" si="78"/>
        <v/>
      </c>
      <c r="Q520" s="16" t="str">
        <f t="shared" si="79"/>
        <v/>
      </c>
      <c r="R520" s="18" t="str">
        <f t="shared" si="80"/>
        <v/>
      </c>
    </row>
    <row r="521" spans="1:18">
      <c r="A521" s="12"/>
      <c r="B521" s="13"/>
      <c r="C521" s="14"/>
      <c r="D521" s="15"/>
      <c r="E521" s="15"/>
      <c r="F521" s="15"/>
      <c r="G521" s="13"/>
      <c r="H521" s="16" t="str">
        <f t="shared" si="72"/>
        <v/>
      </c>
      <c r="I521" s="17" t="str">
        <f>IF(OR(A521="",B521=""),"",IFERROR(LOOKUP(2,1/(单次交易!$A$2:$A$201=A521),单次交易!$H$2:$H$201),0)+SUMIFS($G$2:$G$1001,$A$2:$A$1001,A521,$B$2:$B$1001,"&lt;"&amp;B521))</f>
        <v/>
      </c>
      <c r="J521" s="16" t="str">
        <f>IF(OR(A521="",B521=""),"",IFERROR(LOOKUP(2,1/(单次交易!$A$2:$A$201=A521),单次交易!$E$2:$E$201)*LOOKUP(2,1/(单次交易!$A$2:$A$201=A521),单次交易!$H$2:$H$201),0)+SUMIFS($H$2:$H$1001,$A$2:$A$1001,A521,$B$2:$B$1001,"&lt;"&amp;B521))</f>
        <v/>
      </c>
      <c r="K521" s="16" t="str">
        <f t="shared" si="73"/>
        <v/>
      </c>
      <c r="L521" s="17" t="str">
        <f t="shared" si="74"/>
        <v/>
      </c>
      <c r="M521" s="17" t="str">
        <f t="shared" si="75"/>
        <v/>
      </c>
      <c r="N521" s="17" t="str">
        <f t="shared" si="76"/>
        <v/>
      </c>
      <c r="O521" s="17" t="str">
        <f t="shared" si="77"/>
        <v/>
      </c>
      <c r="P521" s="16" t="str">
        <f t="shared" si="78"/>
        <v/>
      </c>
      <c r="Q521" s="16" t="str">
        <f t="shared" si="79"/>
        <v/>
      </c>
      <c r="R521" s="18" t="str">
        <f t="shared" si="80"/>
        <v/>
      </c>
    </row>
    <row r="522" spans="1:18">
      <c r="A522" s="12"/>
      <c r="B522" s="13"/>
      <c r="C522" s="14"/>
      <c r="D522" s="15"/>
      <c r="E522" s="15"/>
      <c r="F522" s="15"/>
      <c r="G522" s="13"/>
      <c r="H522" s="16" t="str">
        <f t="shared" si="72"/>
        <v/>
      </c>
      <c r="I522" s="17" t="str">
        <f>IF(OR(A522="",B522=""),"",IFERROR(LOOKUP(2,1/(单次交易!$A$2:$A$201=A522),单次交易!$H$2:$H$201),0)+SUMIFS($G$2:$G$1001,$A$2:$A$1001,A522,$B$2:$B$1001,"&lt;"&amp;B522))</f>
        <v/>
      </c>
      <c r="J522" s="16" t="str">
        <f>IF(OR(A522="",B522=""),"",IFERROR(LOOKUP(2,1/(单次交易!$A$2:$A$201=A522),单次交易!$E$2:$E$201)*LOOKUP(2,1/(单次交易!$A$2:$A$201=A522),单次交易!$H$2:$H$201),0)+SUMIFS($H$2:$H$1001,$A$2:$A$1001,A522,$B$2:$B$1001,"&lt;"&amp;B522))</f>
        <v/>
      </c>
      <c r="K522" s="16" t="str">
        <f t="shared" si="73"/>
        <v/>
      </c>
      <c r="L522" s="17" t="str">
        <f t="shared" si="74"/>
        <v/>
      </c>
      <c r="M522" s="17" t="str">
        <f t="shared" si="75"/>
        <v/>
      </c>
      <c r="N522" s="17" t="str">
        <f t="shared" si="76"/>
        <v/>
      </c>
      <c r="O522" s="17" t="str">
        <f t="shared" si="77"/>
        <v/>
      </c>
      <c r="P522" s="16" t="str">
        <f t="shared" si="78"/>
        <v/>
      </c>
      <c r="Q522" s="16" t="str">
        <f t="shared" si="79"/>
        <v/>
      </c>
      <c r="R522" s="18" t="str">
        <f t="shared" si="80"/>
        <v/>
      </c>
    </row>
    <row r="523" spans="1:18">
      <c r="A523" s="12"/>
      <c r="B523" s="13"/>
      <c r="C523" s="14"/>
      <c r="D523" s="15"/>
      <c r="E523" s="15"/>
      <c r="F523" s="15"/>
      <c r="G523" s="13"/>
      <c r="H523" s="16" t="str">
        <f t="shared" si="72"/>
        <v/>
      </c>
      <c r="I523" s="17" t="str">
        <f>IF(OR(A523="",B523=""),"",IFERROR(LOOKUP(2,1/(单次交易!$A$2:$A$201=A523),单次交易!$H$2:$H$201),0)+SUMIFS($G$2:$G$1001,$A$2:$A$1001,A523,$B$2:$B$1001,"&lt;"&amp;B523))</f>
        <v/>
      </c>
      <c r="J523" s="16" t="str">
        <f>IF(OR(A523="",B523=""),"",IFERROR(LOOKUP(2,1/(单次交易!$A$2:$A$201=A523),单次交易!$E$2:$E$201)*LOOKUP(2,1/(单次交易!$A$2:$A$201=A523),单次交易!$H$2:$H$201),0)+SUMIFS($H$2:$H$1001,$A$2:$A$1001,A523,$B$2:$B$1001,"&lt;"&amp;B523))</f>
        <v/>
      </c>
      <c r="K523" s="16" t="str">
        <f t="shared" si="73"/>
        <v/>
      </c>
      <c r="L523" s="17" t="str">
        <f t="shared" si="74"/>
        <v/>
      </c>
      <c r="M523" s="17" t="str">
        <f t="shared" si="75"/>
        <v/>
      </c>
      <c r="N523" s="17" t="str">
        <f t="shared" si="76"/>
        <v/>
      </c>
      <c r="O523" s="17" t="str">
        <f t="shared" si="77"/>
        <v/>
      </c>
      <c r="P523" s="16" t="str">
        <f t="shared" si="78"/>
        <v/>
      </c>
      <c r="Q523" s="16" t="str">
        <f t="shared" si="79"/>
        <v/>
      </c>
      <c r="R523" s="18" t="str">
        <f t="shared" si="80"/>
        <v/>
      </c>
    </row>
    <row r="524" spans="1:18">
      <c r="A524" s="12"/>
      <c r="B524" s="13"/>
      <c r="C524" s="14"/>
      <c r="D524" s="15"/>
      <c r="E524" s="15"/>
      <c r="F524" s="15"/>
      <c r="G524" s="13"/>
      <c r="H524" s="16" t="str">
        <f t="shared" si="72"/>
        <v/>
      </c>
      <c r="I524" s="17" t="str">
        <f>IF(OR(A524="",B524=""),"",IFERROR(LOOKUP(2,1/(单次交易!$A$2:$A$201=A524),单次交易!$H$2:$H$201),0)+SUMIFS($G$2:$G$1001,$A$2:$A$1001,A524,$B$2:$B$1001,"&lt;"&amp;B524))</f>
        <v/>
      </c>
      <c r="J524" s="16" t="str">
        <f>IF(OR(A524="",B524=""),"",IFERROR(LOOKUP(2,1/(单次交易!$A$2:$A$201=A524),单次交易!$E$2:$E$201)*LOOKUP(2,1/(单次交易!$A$2:$A$201=A524),单次交易!$H$2:$H$201),0)+SUMIFS($H$2:$H$1001,$A$2:$A$1001,A524,$B$2:$B$1001,"&lt;"&amp;B524))</f>
        <v/>
      </c>
      <c r="K524" s="16" t="str">
        <f t="shared" si="73"/>
        <v/>
      </c>
      <c r="L524" s="17" t="str">
        <f t="shared" si="74"/>
        <v/>
      </c>
      <c r="M524" s="17" t="str">
        <f t="shared" si="75"/>
        <v/>
      </c>
      <c r="N524" s="17" t="str">
        <f t="shared" si="76"/>
        <v/>
      </c>
      <c r="O524" s="17" t="str">
        <f t="shared" si="77"/>
        <v/>
      </c>
      <c r="P524" s="16" t="str">
        <f t="shared" si="78"/>
        <v/>
      </c>
      <c r="Q524" s="16" t="str">
        <f t="shared" si="79"/>
        <v/>
      </c>
      <c r="R524" s="18" t="str">
        <f t="shared" si="80"/>
        <v/>
      </c>
    </row>
    <row r="525" spans="1:18">
      <c r="A525" s="12"/>
      <c r="B525" s="13"/>
      <c r="C525" s="14"/>
      <c r="D525" s="15"/>
      <c r="E525" s="15"/>
      <c r="F525" s="15"/>
      <c r="G525" s="13"/>
      <c r="H525" s="16" t="str">
        <f t="shared" si="72"/>
        <v/>
      </c>
      <c r="I525" s="17" t="str">
        <f>IF(OR(A525="",B525=""),"",IFERROR(LOOKUP(2,1/(单次交易!$A$2:$A$201=A525),单次交易!$H$2:$H$201),0)+SUMIFS($G$2:$G$1001,$A$2:$A$1001,A525,$B$2:$B$1001,"&lt;"&amp;B525))</f>
        <v/>
      </c>
      <c r="J525" s="16" t="str">
        <f>IF(OR(A525="",B525=""),"",IFERROR(LOOKUP(2,1/(单次交易!$A$2:$A$201=A525),单次交易!$E$2:$E$201)*LOOKUP(2,1/(单次交易!$A$2:$A$201=A525),单次交易!$H$2:$H$201),0)+SUMIFS($H$2:$H$1001,$A$2:$A$1001,A525,$B$2:$B$1001,"&lt;"&amp;B525))</f>
        <v/>
      </c>
      <c r="K525" s="16" t="str">
        <f t="shared" si="73"/>
        <v/>
      </c>
      <c r="L525" s="17" t="str">
        <f t="shared" si="74"/>
        <v/>
      </c>
      <c r="M525" s="17" t="str">
        <f t="shared" si="75"/>
        <v/>
      </c>
      <c r="N525" s="17" t="str">
        <f t="shared" si="76"/>
        <v/>
      </c>
      <c r="O525" s="17" t="str">
        <f t="shared" si="77"/>
        <v/>
      </c>
      <c r="P525" s="16" t="str">
        <f t="shared" si="78"/>
        <v/>
      </c>
      <c r="Q525" s="16" t="str">
        <f t="shared" si="79"/>
        <v/>
      </c>
      <c r="R525" s="18" t="str">
        <f t="shared" si="80"/>
        <v/>
      </c>
    </row>
    <row r="526" spans="1:18">
      <c r="A526" s="12"/>
      <c r="B526" s="13"/>
      <c r="C526" s="14"/>
      <c r="D526" s="15"/>
      <c r="E526" s="15"/>
      <c r="F526" s="15"/>
      <c r="G526" s="13"/>
      <c r="H526" s="16" t="str">
        <f t="shared" si="72"/>
        <v/>
      </c>
      <c r="I526" s="17" t="str">
        <f>IF(OR(A526="",B526=""),"",IFERROR(LOOKUP(2,1/(单次交易!$A$2:$A$201=A526),单次交易!$H$2:$H$201),0)+SUMIFS($G$2:$G$1001,$A$2:$A$1001,A526,$B$2:$B$1001,"&lt;"&amp;B526))</f>
        <v/>
      </c>
      <c r="J526" s="16" t="str">
        <f>IF(OR(A526="",B526=""),"",IFERROR(LOOKUP(2,1/(单次交易!$A$2:$A$201=A526),单次交易!$E$2:$E$201)*LOOKUP(2,1/(单次交易!$A$2:$A$201=A526),单次交易!$H$2:$H$201),0)+SUMIFS($H$2:$H$1001,$A$2:$A$1001,A526,$B$2:$B$1001,"&lt;"&amp;B526))</f>
        <v/>
      </c>
      <c r="K526" s="16" t="str">
        <f t="shared" si="73"/>
        <v/>
      </c>
      <c r="L526" s="17" t="str">
        <f t="shared" si="74"/>
        <v/>
      </c>
      <c r="M526" s="17" t="str">
        <f t="shared" si="75"/>
        <v/>
      </c>
      <c r="N526" s="17" t="str">
        <f t="shared" si="76"/>
        <v/>
      </c>
      <c r="O526" s="17" t="str">
        <f t="shared" si="77"/>
        <v/>
      </c>
      <c r="P526" s="16" t="str">
        <f t="shared" si="78"/>
        <v/>
      </c>
      <c r="Q526" s="16" t="str">
        <f t="shared" si="79"/>
        <v/>
      </c>
      <c r="R526" s="18" t="str">
        <f t="shared" si="80"/>
        <v/>
      </c>
    </row>
    <row r="527" spans="1:18">
      <c r="A527" s="12"/>
      <c r="B527" s="13"/>
      <c r="C527" s="14"/>
      <c r="D527" s="15"/>
      <c r="E527" s="15"/>
      <c r="F527" s="15"/>
      <c r="G527" s="13"/>
      <c r="H527" s="16" t="str">
        <f t="shared" si="72"/>
        <v/>
      </c>
      <c r="I527" s="17" t="str">
        <f>IF(OR(A527="",B527=""),"",IFERROR(LOOKUP(2,1/(单次交易!$A$2:$A$201=A527),单次交易!$H$2:$H$201),0)+SUMIFS($G$2:$G$1001,$A$2:$A$1001,A527,$B$2:$B$1001,"&lt;"&amp;B527))</f>
        <v/>
      </c>
      <c r="J527" s="16" t="str">
        <f>IF(OR(A527="",B527=""),"",IFERROR(LOOKUP(2,1/(单次交易!$A$2:$A$201=A527),单次交易!$E$2:$E$201)*LOOKUP(2,1/(单次交易!$A$2:$A$201=A527),单次交易!$H$2:$H$201),0)+SUMIFS($H$2:$H$1001,$A$2:$A$1001,A527,$B$2:$B$1001,"&lt;"&amp;B527))</f>
        <v/>
      </c>
      <c r="K527" s="16" t="str">
        <f t="shared" si="73"/>
        <v/>
      </c>
      <c r="L527" s="17" t="str">
        <f t="shared" si="74"/>
        <v/>
      </c>
      <c r="M527" s="17" t="str">
        <f t="shared" si="75"/>
        <v/>
      </c>
      <c r="N527" s="17" t="str">
        <f t="shared" si="76"/>
        <v/>
      </c>
      <c r="O527" s="17" t="str">
        <f t="shared" si="77"/>
        <v/>
      </c>
      <c r="P527" s="16" t="str">
        <f t="shared" si="78"/>
        <v/>
      </c>
      <c r="Q527" s="16" t="str">
        <f t="shared" si="79"/>
        <v/>
      </c>
      <c r="R527" s="18" t="str">
        <f t="shared" si="80"/>
        <v/>
      </c>
    </row>
    <row r="528" spans="1:18">
      <c r="A528" s="12"/>
      <c r="B528" s="13"/>
      <c r="C528" s="14"/>
      <c r="D528" s="15"/>
      <c r="E528" s="15"/>
      <c r="F528" s="15"/>
      <c r="G528" s="13"/>
      <c r="H528" s="16" t="str">
        <f t="shared" si="72"/>
        <v/>
      </c>
      <c r="I528" s="17" t="str">
        <f>IF(OR(A528="",B528=""),"",IFERROR(LOOKUP(2,1/(单次交易!$A$2:$A$201=A528),单次交易!$H$2:$H$201),0)+SUMIFS($G$2:$G$1001,$A$2:$A$1001,A528,$B$2:$B$1001,"&lt;"&amp;B528))</f>
        <v/>
      </c>
      <c r="J528" s="16" t="str">
        <f>IF(OR(A528="",B528=""),"",IFERROR(LOOKUP(2,1/(单次交易!$A$2:$A$201=A528),单次交易!$E$2:$E$201)*LOOKUP(2,1/(单次交易!$A$2:$A$201=A528),单次交易!$H$2:$H$201),0)+SUMIFS($H$2:$H$1001,$A$2:$A$1001,A528,$B$2:$B$1001,"&lt;"&amp;B528))</f>
        <v/>
      </c>
      <c r="K528" s="16" t="str">
        <f t="shared" si="73"/>
        <v/>
      </c>
      <c r="L528" s="17" t="str">
        <f t="shared" si="74"/>
        <v/>
      </c>
      <c r="M528" s="17" t="str">
        <f t="shared" si="75"/>
        <v/>
      </c>
      <c r="N528" s="17" t="str">
        <f t="shared" si="76"/>
        <v/>
      </c>
      <c r="O528" s="17" t="str">
        <f t="shared" si="77"/>
        <v/>
      </c>
      <c r="P528" s="16" t="str">
        <f t="shared" si="78"/>
        <v/>
      </c>
      <c r="Q528" s="16" t="str">
        <f t="shared" si="79"/>
        <v/>
      </c>
      <c r="R528" s="18" t="str">
        <f t="shared" si="80"/>
        <v/>
      </c>
    </row>
    <row r="529" spans="1:18">
      <c r="A529" s="12"/>
      <c r="B529" s="13"/>
      <c r="C529" s="14"/>
      <c r="D529" s="15"/>
      <c r="E529" s="15"/>
      <c r="F529" s="15"/>
      <c r="G529" s="13"/>
      <c r="H529" s="16" t="str">
        <f t="shared" si="72"/>
        <v/>
      </c>
      <c r="I529" s="17" t="str">
        <f>IF(OR(A529="",B529=""),"",IFERROR(LOOKUP(2,1/(单次交易!$A$2:$A$201=A529),单次交易!$H$2:$H$201),0)+SUMIFS($G$2:$G$1001,$A$2:$A$1001,A529,$B$2:$B$1001,"&lt;"&amp;B529))</f>
        <v/>
      </c>
      <c r="J529" s="16" t="str">
        <f>IF(OR(A529="",B529=""),"",IFERROR(LOOKUP(2,1/(单次交易!$A$2:$A$201=A529),单次交易!$E$2:$E$201)*LOOKUP(2,1/(单次交易!$A$2:$A$201=A529),单次交易!$H$2:$H$201),0)+SUMIFS($H$2:$H$1001,$A$2:$A$1001,A529,$B$2:$B$1001,"&lt;"&amp;B529))</f>
        <v/>
      </c>
      <c r="K529" s="16" t="str">
        <f t="shared" si="73"/>
        <v/>
      </c>
      <c r="L529" s="17" t="str">
        <f t="shared" si="74"/>
        <v/>
      </c>
      <c r="M529" s="17" t="str">
        <f t="shared" si="75"/>
        <v/>
      </c>
      <c r="N529" s="17" t="str">
        <f t="shared" si="76"/>
        <v/>
      </c>
      <c r="O529" s="17" t="str">
        <f t="shared" si="77"/>
        <v/>
      </c>
      <c r="P529" s="16" t="str">
        <f t="shared" si="78"/>
        <v/>
      </c>
      <c r="Q529" s="16" t="str">
        <f t="shared" si="79"/>
        <v/>
      </c>
      <c r="R529" s="18" t="str">
        <f t="shared" si="80"/>
        <v/>
      </c>
    </row>
    <row r="530" spans="1:18">
      <c r="A530" s="12"/>
      <c r="B530" s="13"/>
      <c r="C530" s="14"/>
      <c r="D530" s="15"/>
      <c r="E530" s="15"/>
      <c r="F530" s="15"/>
      <c r="G530" s="13"/>
      <c r="H530" s="16" t="str">
        <f t="shared" si="72"/>
        <v/>
      </c>
      <c r="I530" s="17" t="str">
        <f>IF(OR(A530="",B530=""),"",IFERROR(LOOKUP(2,1/(单次交易!$A$2:$A$201=A530),单次交易!$H$2:$H$201),0)+SUMIFS($G$2:$G$1001,$A$2:$A$1001,A530,$B$2:$B$1001,"&lt;"&amp;B530))</f>
        <v/>
      </c>
      <c r="J530" s="16" t="str">
        <f>IF(OR(A530="",B530=""),"",IFERROR(LOOKUP(2,1/(单次交易!$A$2:$A$201=A530),单次交易!$E$2:$E$201)*LOOKUP(2,1/(单次交易!$A$2:$A$201=A530),单次交易!$H$2:$H$201),0)+SUMIFS($H$2:$H$1001,$A$2:$A$1001,A530,$B$2:$B$1001,"&lt;"&amp;B530))</f>
        <v/>
      </c>
      <c r="K530" s="16" t="str">
        <f t="shared" si="73"/>
        <v/>
      </c>
      <c r="L530" s="17" t="str">
        <f t="shared" si="74"/>
        <v/>
      </c>
      <c r="M530" s="17" t="str">
        <f t="shared" si="75"/>
        <v/>
      </c>
      <c r="N530" s="17" t="str">
        <f t="shared" si="76"/>
        <v/>
      </c>
      <c r="O530" s="17" t="str">
        <f t="shared" si="77"/>
        <v/>
      </c>
      <c r="P530" s="16" t="str">
        <f t="shared" si="78"/>
        <v/>
      </c>
      <c r="Q530" s="16" t="str">
        <f t="shared" si="79"/>
        <v/>
      </c>
      <c r="R530" s="18" t="str">
        <f t="shared" si="80"/>
        <v/>
      </c>
    </row>
    <row r="531" spans="1:18">
      <c r="A531" s="12"/>
      <c r="B531" s="13"/>
      <c r="C531" s="14"/>
      <c r="D531" s="15"/>
      <c r="E531" s="15"/>
      <c r="F531" s="15"/>
      <c r="G531" s="13"/>
      <c r="H531" s="16" t="str">
        <f t="shared" si="72"/>
        <v/>
      </c>
      <c r="I531" s="17" t="str">
        <f>IF(OR(A531="",B531=""),"",IFERROR(LOOKUP(2,1/(单次交易!$A$2:$A$201=A531),单次交易!$H$2:$H$201),0)+SUMIFS($G$2:$G$1001,$A$2:$A$1001,A531,$B$2:$B$1001,"&lt;"&amp;B531))</f>
        <v/>
      </c>
      <c r="J531" s="16" t="str">
        <f>IF(OR(A531="",B531=""),"",IFERROR(LOOKUP(2,1/(单次交易!$A$2:$A$201=A531),单次交易!$E$2:$E$201)*LOOKUP(2,1/(单次交易!$A$2:$A$201=A531),单次交易!$H$2:$H$201),0)+SUMIFS($H$2:$H$1001,$A$2:$A$1001,A531,$B$2:$B$1001,"&lt;"&amp;B531))</f>
        <v/>
      </c>
      <c r="K531" s="16" t="str">
        <f t="shared" si="73"/>
        <v/>
      </c>
      <c r="L531" s="17" t="str">
        <f t="shared" si="74"/>
        <v/>
      </c>
      <c r="M531" s="17" t="str">
        <f t="shared" si="75"/>
        <v/>
      </c>
      <c r="N531" s="17" t="str">
        <f t="shared" si="76"/>
        <v/>
      </c>
      <c r="O531" s="17" t="str">
        <f t="shared" si="77"/>
        <v/>
      </c>
      <c r="P531" s="16" t="str">
        <f t="shared" si="78"/>
        <v/>
      </c>
      <c r="Q531" s="16" t="str">
        <f t="shared" si="79"/>
        <v/>
      </c>
      <c r="R531" s="18" t="str">
        <f t="shared" si="80"/>
        <v/>
      </c>
    </row>
    <row r="532" spans="1:18">
      <c r="A532" s="12"/>
      <c r="B532" s="13"/>
      <c r="C532" s="14"/>
      <c r="D532" s="15"/>
      <c r="E532" s="15"/>
      <c r="F532" s="15"/>
      <c r="G532" s="13"/>
      <c r="H532" s="16" t="str">
        <f t="shared" si="72"/>
        <v/>
      </c>
      <c r="I532" s="17" t="str">
        <f>IF(OR(A532="",B532=""),"",IFERROR(LOOKUP(2,1/(单次交易!$A$2:$A$201=A532),单次交易!$H$2:$H$201),0)+SUMIFS($G$2:$G$1001,$A$2:$A$1001,A532,$B$2:$B$1001,"&lt;"&amp;B532))</f>
        <v/>
      </c>
      <c r="J532" s="16" t="str">
        <f>IF(OR(A532="",B532=""),"",IFERROR(LOOKUP(2,1/(单次交易!$A$2:$A$201=A532),单次交易!$E$2:$E$201)*LOOKUP(2,1/(单次交易!$A$2:$A$201=A532),单次交易!$H$2:$H$201),0)+SUMIFS($H$2:$H$1001,$A$2:$A$1001,A532,$B$2:$B$1001,"&lt;"&amp;B532))</f>
        <v/>
      </c>
      <c r="K532" s="16" t="str">
        <f t="shared" si="73"/>
        <v/>
      </c>
      <c r="L532" s="17" t="str">
        <f t="shared" si="74"/>
        <v/>
      </c>
      <c r="M532" s="17" t="str">
        <f t="shared" si="75"/>
        <v/>
      </c>
      <c r="N532" s="17" t="str">
        <f t="shared" si="76"/>
        <v/>
      </c>
      <c r="O532" s="17" t="str">
        <f t="shared" si="77"/>
        <v/>
      </c>
      <c r="P532" s="16" t="str">
        <f t="shared" si="78"/>
        <v/>
      </c>
      <c r="Q532" s="16" t="str">
        <f t="shared" si="79"/>
        <v/>
      </c>
      <c r="R532" s="18" t="str">
        <f t="shared" si="80"/>
        <v/>
      </c>
    </row>
    <row r="533" spans="1:18">
      <c r="A533" s="12"/>
      <c r="B533" s="13"/>
      <c r="C533" s="14"/>
      <c r="D533" s="15"/>
      <c r="E533" s="15"/>
      <c r="F533" s="15"/>
      <c r="G533" s="13"/>
      <c r="H533" s="16" t="str">
        <f t="shared" si="72"/>
        <v/>
      </c>
      <c r="I533" s="17" t="str">
        <f>IF(OR(A533="",B533=""),"",IFERROR(LOOKUP(2,1/(单次交易!$A$2:$A$201=A533),单次交易!$H$2:$H$201),0)+SUMIFS($G$2:$G$1001,$A$2:$A$1001,A533,$B$2:$B$1001,"&lt;"&amp;B533))</f>
        <v/>
      </c>
      <c r="J533" s="16" t="str">
        <f>IF(OR(A533="",B533=""),"",IFERROR(LOOKUP(2,1/(单次交易!$A$2:$A$201=A533),单次交易!$E$2:$E$201)*LOOKUP(2,1/(单次交易!$A$2:$A$201=A533),单次交易!$H$2:$H$201),0)+SUMIFS($H$2:$H$1001,$A$2:$A$1001,A533,$B$2:$B$1001,"&lt;"&amp;B533))</f>
        <v/>
      </c>
      <c r="K533" s="16" t="str">
        <f t="shared" si="73"/>
        <v/>
      </c>
      <c r="L533" s="17" t="str">
        <f t="shared" si="74"/>
        <v/>
      </c>
      <c r="M533" s="17" t="str">
        <f t="shared" si="75"/>
        <v/>
      </c>
      <c r="N533" s="17" t="str">
        <f t="shared" si="76"/>
        <v/>
      </c>
      <c r="O533" s="17" t="str">
        <f t="shared" si="77"/>
        <v/>
      </c>
      <c r="P533" s="16" t="str">
        <f t="shared" si="78"/>
        <v/>
      </c>
      <c r="Q533" s="16" t="str">
        <f t="shared" si="79"/>
        <v/>
      </c>
      <c r="R533" s="18" t="str">
        <f t="shared" si="80"/>
        <v/>
      </c>
    </row>
    <row r="534" spans="1:18">
      <c r="A534" s="12"/>
      <c r="B534" s="13"/>
      <c r="C534" s="14"/>
      <c r="D534" s="15"/>
      <c r="E534" s="15"/>
      <c r="F534" s="15"/>
      <c r="G534" s="13"/>
      <c r="H534" s="16" t="str">
        <f t="shared" si="72"/>
        <v/>
      </c>
      <c r="I534" s="17" t="str">
        <f>IF(OR(A534="",B534=""),"",IFERROR(LOOKUP(2,1/(单次交易!$A$2:$A$201=A534),单次交易!$H$2:$H$201),0)+SUMIFS($G$2:$G$1001,$A$2:$A$1001,A534,$B$2:$B$1001,"&lt;"&amp;B534))</f>
        <v/>
      </c>
      <c r="J534" s="16" t="str">
        <f>IF(OR(A534="",B534=""),"",IFERROR(LOOKUP(2,1/(单次交易!$A$2:$A$201=A534),单次交易!$E$2:$E$201)*LOOKUP(2,1/(单次交易!$A$2:$A$201=A534),单次交易!$H$2:$H$201),0)+SUMIFS($H$2:$H$1001,$A$2:$A$1001,A534,$B$2:$B$1001,"&lt;"&amp;B534))</f>
        <v/>
      </c>
      <c r="K534" s="16" t="str">
        <f t="shared" si="73"/>
        <v/>
      </c>
      <c r="L534" s="17" t="str">
        <f t="shared" si="74"/>
        <v/>
      </c>
      <c r="M534" s="17" t="str">
        <f t="shared" si="75"/>
        <v/>
      </c>
      <c r="N534" s="17" t="str">
        <f t="shared" si="76"/>
        <v/>
      </c>
      <c r="O534" s="17" t="str">
        <f t="shared" si="77"/>
        <v/>
      </c>
      <c r="P534" s="16" t="str">
        <f t="shared" si="78"/>
        <v/>
      </c>
      <c r="Q534" s="16" t="str">
        <f t="shared" si="79"/>
        <v/>
      </c>
      <c r="R534" s="18" t="str">
        <f t="shared" si="80"/>
        <v/>
      </c>
    </row>
    <row r="535" spans="1:18">
      <c r="A535" s="12"/>
      <c r="B535" s="13"/>
      <c r="C535" s="14"/>
      <c r="D535" s="15"/>
      <c r="E535" s="15"/>
      <c r="F535" s="15"/>
      <c r="G535" s="13"/>
      <c r="H535" s="16" t="str">
        <f t="shared" si="72"/>
        <v/>
      </c>
      <c r="I535" s="17" t="str">
        <f>IF(OR(A535="",B535=""),"",IFERROR(LOOKUP(2,1/(单次交易!$A$2:$A$201=A535),单次交易!$H$2:$H$201),0)+SUMIFS($G$2:$G$1001,$A$2:$A$1001,A535,$B$2:$B$1001,"&lt;"&amp;B535))</f>
        <v/>
      </c>
      <c r="J535" s="16" t="str">
        <f>IF(OR(A535="",B535=""),"",IFERROR(LOOKUP(2,1/(单次交易!$A$2:$A$201=A535),单次交易!$E$2:$E$201)*LOOKUP(2,1/(单次交易!$A$2:$A$201=A535),单次交易!$H$2:$H$201),0)+SUMIFS($H$2:$H$1001,$A$2:$A$1001,A535,$B$2:$B$1001,"&lt;"&amp;B535))</f>
        <v/>
      </c>
      <c r="K535" s="16" t="str">
        <f t="shared" si="73"/>
        <v/>
      </c>
      <c r="L535" s="17" t="str">
        <f t="shared" si="74"/>
        <v/>
      </c>
      <c r="M535" s="17" t="str">
        <f t="shared" si="75"/>
        <v/>
      </c>
      <c r="N535" s="17" t="str">
        <f t="shared" si="76"/>
        <v/>
      </c>
      <c r="O535" s="17" t="str">
        <f t="shared" si="77"/>
        <v/>
      </c>
      <c r="P535" s="16" t="str">
        <f t="shared" si="78"/>
        <v/>
      </c>
      <c r="Q535" s="16" t="str">
        <f t="shared" si="79"/>
        <v/>
      </c>
      <c r="R535" s="18" t="str">
        <f t="shared" si="80"/>
        <v/>
      </c>
    </row>
    <row r="536" spans="1:18">
      <c r="A536" s="12"/>
      <c r="B536" s="13"/>
      <c r="C536" s="14"/>
      <c r="D536" s="15"/>
      <c r="E536" s="15"/>
      <c r="F536" s="15"/>
      <c r="G536" s="13"/>
      <c r="H536" s="16" t="str">
        <f t="shared" si="72"/>
        <v/>
      </c>
      <c r="I536" s="17" t="str">
        <f>IF(OR(A536="",B536=""),"",IFERROR(LOOKUP(2,1/(单次交易!$A$2:$A$201=A536),单次交易!$H$2:$H$201),0)+SUMIFS($G$2:$G$1001,$A$2:$A$1001,A536,$B$2:$B$1001,"&lt;"&amp;B536))</f>
        <v/>
      </c>
      <c r="J536" s="16" t="str">
        <f>IF(OR(A536="",B536=""),"",IFERROR(LOOKUP(2,1/(单次交易!$A$2:$A$201=A536),单次交易!$E$2:$E$201)*LOOKUP(2,1/(单次交易!$A$2:$A$201=A536),单次交易!$H$2:$H$201),0)+SUMIFS($H$2:$H$1001,$A$2:$A$1001,A536,$B$2:$B$1001,"&lt;"&amp;B536))</f>
        <v/>
      </c>
      <c r="K536" s="16" t="str">
        <f t="shared" si="73"/>
        <v/>
      </c>
      <c r="L536" s="17" t="str">
        <f t="shared" si="74"/>
        <v/>
      </c>
      <c r="M536" s="17" t="str">
        <f t="shared" si="75"/>
        <v/>
      </c>
      <c r="N536" s="17" t="str">
        <f t="shared" si="76"/>
        <v/>
      </c>
      <c r="O536" s="17" t="str">
        <f t="shared" si="77"/>
        <v/>
      </c>
      <c r="P536" s="16" t="str">
        <f t="shared" si="78"/>
        <v/>
      </c>
      <c r="Q536" s="16" t="str">
        <f t="shared" si="79"/>
        <v/>
      </c>
      <c r="R536" s="18" t="str">
        <f t="shared" si="80"/>
        <v/>
      </c>
    </row>
    <row r="537" spans="1:18">
      <c r="A537" s="12"/>
      <c r="B537" s="13"/>
      <c r="C537" s="14"/>
      <c r="D537" s="15"/>
      <c r="E537" s="15"/>
      <c r="F537" s="15"/>
      <c r="G537" s="13"/>
      <c r="H537" s="16" t="str">
        <f t="shared" si="72"/>
        <v/>
      </c>
      <c r="I537" s="17" t="str">
        <f>IF(OR(A537="",B537=""),"",IFERROR(LOOKUP(2,1/(单次交易!$A$2:$A$201=A537),单次交易!$H$2:$H$201),0)+SUMIFS($G$2:$G$1001,$A$2:$A$1001,A537,$B$2:$B$1001,"&lt;"&amp;B537))</f>
        <v/>
      </c>
      <c r="J537" s="16" t="str">
        <f>IF(OR(A537="",B537=""),"",IFERROR(LOOKUP(2,1/(单次交易!$A$2:$A$201=A537),单次交易!$E$2:$E$201)*LOOKUP(2,1/(单次交易!$A$2:$A$201=A537),单次交易!$H$2:$H$201),0)+SUMIFS($H$2:$H$1001,$A$2:$A$1001,A537,$B$2:$B$1001,"&lt;"&amp;B537))</f>
        <v/>
      </c>
      <c r="K537" s="16" t="str">
        <f t="shared" si="73"/>
        <v/>
      </c>
      <c r="L537" s="17" t="str">
        <f t="shared" si="74"/>
        <v/>
      </c>
      <c r="M537" s="17" t="str">
        <f t="shared" si="75"/>
        <v/>
      </c>
      <c r="N537" s="17" t="str">
        <f t="shared" si="76"/>
        <v/>
      </c>
      <c r="O537" s="17" t="str">
        <f t="shared" si="77"/>
        <v/>
      </c>
      <c r="P537" s="16" t="str">
        <f t="shared" si="78"/>
        <v/>
      </c>
      <c r="Q537" s="16" t="str">
        <f t="shared" si="79"/>
        <v/>
      </c>
      <c r="R537" s="18" t="str">
        <f t="shared" si="80"/>
        <v/>
      </c>
    </row>
    <row r="538" spans="1:18">
      <c r="A538" s="12"/>
      <c r="B538" s="13"/>
      <c r="C538" s="14"/>
      <c r="D538" s="15"/>
      <c r="E538" s="15"/>
      <c r="F538" s="15"/>
      <c r="G538" s="13"/>
      <c r="H538" s="16" t="str">
        <f t="shared" si="72"/>
        <v/>
      </c>
      <c r="I538" s="17" t="str">
        <f>IF(OR(A538="",B538=""),"",IFERROR(LOOKUP(2,1/(单次交易!$A$2:$A$201=A538),单次交易!$H$2:$H$201),0)+SUMIFS($G$2:$G$1001,$A$2:$A$1001,A538,$B$2:$B$1001,"&lt;"&amp;B538))</f>
        <v/>
      </c>
      <c r="J538" s="16" t="str">
        <f>IF(OR(A538="",B538=""),"",IFERROR(LOOKUP(2,1/(单次交易!$A$2:$A$201=A538),单次交易!$E$2:$E$201)*LOOKUP(2,1/(单次交易!$A$2:$A$201=A538),单次交易!$H$2:$H$201),0)+SUMIFS($H$2:$H$1001,$A$2:$A$1001,A538,$B$2:$B$1001,"&lt;"&amp;B538))</f>
        <v/>
      </c>
      <c r="K538" s="16" t="str">
        <f t="shared" si="73"/>
        <v/>
      </c>
      <c r="L538" s="17" t="str">
        <f t="shared" si="74"/>
        <v/>
      </c>
      <c r="M538" s="17" t="str">
        <f t="shared" si="75"/>
        <v/>
      </c>
      <c r="N538" s="17" t="str">
        <f t="shared" si="76"/>
        <v/>
      </c>
      <c r="O538" s="17" t="str">
        <f t="shared" si="77"/>
        <v/>
      </c>
      <c r="P538" s="16" t="str">
        <f t="shared" si="78"/>
        <v/>
      </c>
      <c r="Q538" s="16" t="str">
        <f t="shared" si="79"/>
        <v/>
      </c>
      <c r="R538" s="18" t="str">
        <f t="shared" si="80"/>
        <v/>
      </c>
    </row>
    <row r="539" spans="1:18">
      <c r="A539" s="12"/>
      <c r="B539" s="13"/>
      <c r="C539" s="14"/>
      <c r="D539" s="15"/>
      <c r="E539" s="15"/>
      <c r="F539" s="15"/>
      <c r="G539" s="13"/>
      <c r="H539" s="16" t="str">
        <f t="shared" si="72"/>
        <v/>
      </c>
      <c r="I539" s="17" t="str">
        <f>IF(OR(A539="",B539=""),"",IFERROR(LOOKUP(2,1/(单次交易!$A$2:$A$201=A539),单次交易!$H$2:$H$201),0)+SUMIFS($G$2:$G$1001,$A$2:$A$1001,A539,$B$2:$B$1001,"&lt;"&amp;B539))</f>
        <v/>
      </c>
      <c r="J539" s="16" t="str">
        <f>IF(OR(A539="",B539=""),"",IFERROR(LOOKUP(2,1/(单次交易!$A$2:$A$201=A539),单次交易!$E$2:$E$201)*LOOKUP(2,1/(单次交易!$A$2:$A$201=A539),单次交易!$H$2:$H$201),0)+SUMIFS($H$2:$H$1001,$A$2:$A$1001,A539,$B$2:$B$1001,"&lt;"&amp;B539))</f>
        <v/>
      </c>
      <c r="K539" s="16" t="str">
        <f t="shared" si="73"/>
        <v/>
      </c>
      <c r="L539" s="17" t="str">
        <f t="shared" si="74"/>
        <v/>
      </c>
      <c r="M539" s="17" t="str">
        <f t="shared" si="75"/>
        <v/>
      </c>
      <c r="N539" s="17" t="str">
        <f t="shared" si="76"/>
        <v/>
      </c>
      <c r="O539" s="17" t="str">
        <f t="shared" si="77"/>
        <v/>
      </c>
      <c r="P539" s="16" t="str">
        <f t="shared" si="78"/>
        <v/>
      </c>
      <c r="Q539" s="16" t="str">
        <f t="shared" si="79"/>
        <v/>
      </c>
      <c r="R539" s="18" t="str">
        <f t="shared" si="80"/>
        <v/>
      </c>
    </row>
    <row r="540" spans="1:18">
      <c r="A540" s="12"/>
      <c r="B540" s="13"/>
      <c r="C540" s="14"/>
      <c r="D540" s="15"/>
      <c r="E540" s="15"/>
      <c r="F540" s="15"/>
      <c r="G540" s="13"/>
      <c r="H540" s="16" t="str">
        <f t="shared" si="72"/>
        <v/>
      </c>
      <c r="I540" s="17" t="str">
        <f>IF(OR(A540="",B540=""),"",IFERROR(LOOKUP(2,1/(单次交易!$A$2:$A$201=A540),单次交易!$H$2:$H$201),0)+SUMIFS($G$2:$G$1001,$A$2:$A$1001,A540,$B$2:$B$1001,"&lt;"&amp;B540))</f>
        <v/>
      </c>
      <c r="J540" s="16" t="str">
        <f>IF(OR(A540="",B540=""),"",IFERROR(LOOKUP(2,1/(单次交易!$A$2:$A$201=A540),单次交易!$E$2:$E$201)*LOOKUP(2,1/(单次交易!$A$2:$A$201=A540),单次交易!$H$2:$H$201),0)+SUMIFS($H$2:$H$1001,$A$2:$A$1001,A540,$B$2:$B$1001,"&lt;"&amp;B540))</f>
        <v/>
      </c>
      <c r="K540" s="16" t="str">
        <f t="shared" si="73"/>
        <v/>
      </c>
      <c r="L540" s="17" t="str">
        <f t="shared" si="74"/>
        <v/>
      </c>
      <c r="M540" s="17" t="str">
        <f t="shared" si="75"/>
        <v/>
      </c>
      <c r="N540" s="17" t="str">
        <f t="shared" si="76"/>
        <v/>
      </c>
      <c r="O540" s="17" t="str">
        <f t="shared" si="77"/>
        <v/>
      </c>
      <c r="P540" s="16" t="str">
        <f t="shared" si="78"/>
        <v/>
      </c>
      <c r="Q540" s="16" t="str">
        <f t="shared" si="79"/>
        <v/>
      </c>
      <c r="R540" s="18" t="str">
        <f t="shared" si="80"/>
        <v/>
      </c>
    </row>
    <row r="541" spans="1:18">
      <c r="A541" s="12"/>
      <c r="B541" s="13"/>
      <c r="C541" s="14"/>
      <c r="D541" s="15"/>
      <c r="E541" s="15"/>
      <c r="F541" s="15"/>
      <c r="G541" s="13"/>
      <c r="H541" s="16" t="str">
        <f t="shared" si="72"/>
        <v/>
      </c>
      <c r="I541" s="17" t="str">
        <f>IF(OR(A541="",B541=""),"",IFERROR(LOOKUP(2,1/(单次交易!$A$2:$A$201=A541),单次交易!$H$2:$H$201),0)+SUMIFS($G$2:$G$1001,$A$2:$A$1001,A541,$B$2:$B$1001,"&lt;"&amp;B541))</f>
        <v/>
      </c>
      <c r="J541" s="16" t="str">
        <f>IF(OR(A541="",B541=""),"",IFERROR(LOOKUP(2,1/(单次交易!$A$2:$A$201=A541),单次交易!$E$2:$E$201)*LOOKUP(2,1/(单次交易!$A$2:$A$201=A541),单次交易!$H$2:$H$201),0)+SUMIFS($H$2:$H$1001,$A$2:$A$1001,A541,$B$2:$B$1001,"&lt;"&amp;B541))</f>
        <v/>
      </c>
      <c r="K541" s="16" t="str">
        <f t="shared" si="73"/>
        <v/>
      </c>
      <c r="L541" s="17" t="str">
        <f t="shared" si="74"/>
        <v/>
      </c>
      <c r="M541" s="17" t="str">
        <f t="shared" si="75"/>
        <v/>
      </c>
      <c r="N541" s="17" t="str">
        <f t="shared" si="76"/>
        <v/>
      </c>
      <c r="O541" s="17" t="str">
        <f t="shared" si="77"/>
        <v/>
      </c>
      <c r="P541" s="16" t="str">
        <f t="shared" si="78"/>
        <v/>
      </c>
      <c r="Q541" s="16" t="str">
        <f t="shared" si="79"/>
        <v/>
      </c>
      <c r="R541" s="18" t="str">
        <f t="shared" si="80"/>
        <v/>
      </c>
    </row>
    <row r="542" spans="1:18">
      <c r="A542" s="12"/>
      <c r="B542" s="13"/>
      <c r="C542" s="14"/>
      <c r="D542" s="15"/>
      <c r="E542" s="15"/>
      <c r="F542" s="15"/>
      <c r="G542" s="13"/>
      <c r="H542" s="16" t="str">
        <f t="shared" si="72"/>
        <v/>
      </c>
      <c r="I542" s="17" t="str">
        <f>IF(OR(A542="",B542=""),"",IFERROR(LOOKUP(2,1/(单次交易!$A$2:$A$201=A542),单次交易!$H$2:$H$201),0)+SUMIFS($G$2:$G$1001,$A$2:$A$1001,A542,$B$2:$B$1001,"&lt;"&amp;B542))</f>
        <v/>
      </c>
      <c r="J542" s="16" t="str">
        <f>IF(OR(A542="",B542=""),"",IFERROR(LOOKUP(2,1/(单次交易!$A$2:$A$201=A542),单次交易!$E$2:$E$201)*LOOKUP(2,1/(单次交易!$A$2:$A$201=A542),单次交易!$H$2:$H$201),0)+SUMIFS($H$2:$H$1001,$A$2:$A$1001,A542,$B$2:$B$1001,"&lt;"&amp;B542))</f>
        <v/>
      </c>
      <c r="K542" s="16" t="str">
        <f t="shared" si="73"/>
        <v/>
      </c>
      <c r="L542" s="17" t="str">
        <f t="shared" si="74"/>
        <v/>
      </c>
      <c r="M542" s="17" t="str">
        <f t="shared" si="75"/>
        <v/>
      </c>
      <c r="N542" s="17" t="str">
        <f t="shared" si="76"/>
        <v/>
      </c>
      <c r="O542" s="17" t="str">
        <f t="shared" si="77"/>
        <v/>
      </c>
      <c r="P542" s="16" t="str">
        <f t="shared" si="78"/>
        <v/>
      </c>
      <c r="Q542" s="16" t="str">
        <f t="shared" si="79"/>
        <v/>
      </c>
      <c r="R542" s="18" t="str">
        <f t="shared" si="80"/>
        <v/>
      </c>
    </row>
    <row r="543" spans="1:18">
      <c r="A543" s="12"/>
      <c r="B543" s="13"/>
      <c r="C543" s="14"/>
      <c r="D543" s="15"/>
      <c r="E543" s="15"/>
      <c r="F543" s="15"/>
      <c r="G543" s="13"/>
      <c r="H543" s="16" t="str">
        <f t="shared" si="72"/>
        <v/>
      </c>
      <c r="I543" s="17" t="str">
        <f>IF(OR(A543="",B543=""),"",IFERROR(LOOKUP(2,1/(单次交易!$A$2:$A$201=A543),单次交易!$H$2:$H$201),0)+SUMIFS($G$2:$G$1001,$A$2:$A$1001,A543,$B$2:$B$1001,"&lt;"&amp;B543))</f>
        <v/>
      </c>
      <c r="J543" s="16" t="str">
        <f>IF(OR(A543="",B543=""),"",IFERROR(LOOKUP(2,1/(单次交易!$A$2:$A$201=A543),单次交易!$E$2:$E$201)*LOOKUP(2,1/(单次交易!$A$2:$A$201=A543),单次交易!$H$2:$H$201),0)+SUMIFS($H$2:$H$1001,$A$2:$A$1001,A543,$B$2:$B$1001,"&lt;"&amp;B543))</f>
        <v/>
      </c>
      <c r="K543" s="16" t="str">
        <f t="shared" si="73"/>
        <v/>
      </c>
      <c r="L543" s="17" t="str">
        <f t="shared" si="74"/>
        <v/>
      </c>
      <c r="M543" s="17" t="str">
        <f t="shared" si="75"/>
        <v/>
      </c>
      <c r="N543" s="17" t="str">
        <f t="shared" si="76"/>
        <v/>
      </c>
      <c r="O543" s="17" t="str">
        <f t="shared" si="77"/>
        <v/>
      </c>
      <c r="P543" s="16" t="str">
        <f t="shared" si="78"/>
        <v/>
      </c>
      <c r="Q543" s="16" t="str">
        <f t="shared" si="79"/>
        <v/>
      </c>
      <c r="R543" s="18" t="str">
        <f t="shared" si="80"/>
        <v/>
      </c>
    </row>
    <row r="544" spans="1:18">
      <c r="A544" s="12"/>
      <c r="B544" s="13"/>
      <c r="C544" s="14"/>
      <c r="D544" s="15"/>
      <c r="E544" s="15"/>
      <c r="F544" s="15"/>
      <c r="G544" s="13"/>
      <c r="H544" s="16" t="str">
        <f t="shared" si="72"/>
        <v/>
      </c>
      <c r="I544" s="17" t="str">
        <f>IF(OR(A544="",B544=""),"",IFERROR(LOOKUP(2,1/(单次交易!$A$2:$A$201=A544),单次交易!$H$2:$H$201),0)+SUMIFS($G$2:$G$1001,$A$2:$A$1001,A544,$B$2:$B$1001,"&lt;"&amp;B544))</f>
        <v/>
      </c>
      <c r="J544" s="16" t="str">
        <f>IF(OR(A544="",B544=""),"",IFERROR(LOOKUP(2,1/(单次交易!$A$2:$A$201=A544),单次交易!$E$2:$E$201)*LOOKUP(2,1/(单次交易!$A$2:$A$201=A544),单次交易!$H$2:$H$201),0)+SUMIFS($H$2:$H$1001,$A$2:$A$1001,A544,$B$2:$B$1001,"&lt;"&amp;B544))</f>
        <v/>
      </c>
      <c r="K544" s="16" t="str">
        <f t="shared" si="73"/>
        <v/>
      </c>
      <c r="L544" s="17" t="str">
        <f t="shared" si="74"/>
        <v/>
      </c>
      <c r="M544" s="17" t="str">
        <f t="shared" si="75"/>
        <v/>
      </c>
      <c r="N544" s="17" t="str">
        <f t="shared" si="76"/>
        <v/>
      </c>
      <c r="O544" s="17" t="str">
        <f t="shared" si="77"/>
        <v/>
      </c>
      <c r="P544" s="16" t="str">
        <f t="shared" si="78"/>
        <v/>
      </c>
      <c r="Q544" s="16" t="str">
        <f t="shared" si="79"/>
        <v/>
      </c>
      <c r="R544" s="18" t="str">
        <f t="shared" si="80"/>
        <v/>
      </c>
    </row>
    <row r="545" spans="1:18">
      <c r="A545" s="12"/>
      <c r="B545" s="13"/>
      <c r="C545" s="14"/>
      <c r="D545" s="15"/>
      <c r="E545" s="15"/>
      <c r="F545" s="15"/>
      <c r="G545" s="13"/>
      <c r="H545" s="16" t="str">
        <f t="shared" si="72"/>
        <v/>
      </c>
      <c r="I545" s="17" t="str">
        <f>IF(OR(A545="",B545=""),"",IFERROR(LOOKUP(2,1/(单次交易!$A$2:$A$201=A545),单次交易!$H$2:$H$201),0)+SUMIFS($G$2:$G$1001,$A$2:$A$1001,A545,$B$2:$B$1001,"&lt;"&amp;B545))</f>
        <v/>
      </c>
      <c r="J545" s="16" t="str">
        <f>IF(OR(A545="",B545=""),"",IFERROR(LOOKUP(2,1/(单次交易!$A$2:$A$201=A545),单次交易!$E$2:$E$201)*LOOKUP(2,1/(单次交易!$A$2:$A$201=A545),单次交易!$H$2:$H$201),0)+SUMIFS($H$2:$H$1001,$A$2:$A$1001,A545,$B$2:$B$1001,"&lt;"&amp;B545))</f>
        <v/>
      </c>
      <c r="K545" s="16" t="str">
        <f t="shared" si="73"/>
        <v/>
      </c>
      <c r="L545" s="17" t="str">
        <f t="shared" si="74"/>
        <v/>
      </c>
      <c r="M545" s="17" t="str">
        <f t="shared" si="75"/>
        <v/>
      </c>
      <c r="N545" s="17" t="str">
        <f t="shared" si="76"/>
        <v/>
      </c>
      <c r="O545" s="17" t="str">
        <f t="shared" si="77"/>
        <v/>
      </c>
      <c r="P545" s="16" t="str">
        <f t="shared" si="78"/>
        <v/>
      </c>
      <c r="Q545" s="16" t="str">
        <f t="shared" si="79"/>
        <v/>
      </c>
      <c r="R545" s="18" t="str">
        <f t="shared" si="80"/>
        <v/>
      </c>
    </row>
    <row r="546" spans="1:18">
      <c r="A546" s="12"/>
      <c r="B546" s="13"/>
      <c r="C546" s="14"/>
      <c r="D546" s="15"/>
      <c r="E546" s="15"/>
      <c r="F546" s="15"/>
      <c r="G546" s="13"/>
      <c r="H546" s="16" t="str">
        <f t="shared" si="72"/>
        <v/>
      </c>
      <c r="I546" s="17" t="str">
        <f>IF(OR(A546="",B546=""),"",IFERROR(LOOKUP(2,1/(单次交易!$A$2:$A$201=A546),单次交易!$H$2:$H$201),0)+SUMIFS($G$2:$G$1001,$A$2:$A$1001,A546,$B$2:$B$1001,"&lt;"&amp;B546))</f>
        <v/>
      </c>
      <c r="J546" s="16" t="str">
        <f>IF(OR(A546="",B546=""),"",IFERROR(LOOKUP(2,1/(单次交易!$A$2:$A$201=A546),单次交易!$E$2:$E$201)*LOOKUP(2,1/(单次交易!$A$2:$A$201=A546),单次交易!$H$2:$H$201),0)+SUMIFS($H$2:$H$1001,$A$2:$A$1001,A546,$B$2:$B$1001,"&lt;"&amp;B546))</f>
        <v/>
      </c>
      <c r="K546" s="16" t="str">
        <f t="shared" si="73"/>
        <v/>
      </c>
      <c r="L546" s="17" t="str">
        <f t="shared" si="74"/>
        <v/>
      </c>
      <c r="M546" s="17" t="str">
        <f t="shared" si="75"/>
        <v/>
      </c>
      <c r="N546" s="17" t="str">
        <f t="shared" si="76"/>
        <v/>
      </c>
      <c r="O546" s="17" t="str">
        <f t="shared" si="77"/>
        <v/>
      </c>
      <c r="P546" s="16" t="str">
        <f t="shared" si="78"/>
        <v/>
      </c>
      <c r="Q546" s="16" t="str">
        <f t="shared" si="79"/>
        <v/>
      </c>
      <c r="R546" s="18" t="str">
        <f t="shared" si="80"/>
        <v/>
      </c>
    </row>
    <row r="547" spans="1:18">
      <c r="A547" s="12"/>
      <c r="B547" s="13"/>
      <c r="C547" s="14"/>
      <c r="D547" s="15"/>
      <c r="E547" s="15"/>
      <c r="F547" s="15"/>
      <c r="G547" s="13"/>
      <c r="H547" s="16" t="str">
        <f t="shared" si="72"/>
        <v/>
      </c>
      <c r="I547" s="17" t="str">
        <f>IF(OR(A547="",B547=""),"",IFERROR(LOOKUP(2,1/(单次交易!$A$2:$A$201=A547),单次交易!$H$2:$H$201),0)+SUMIFS($G$2:$G$1001,$A$2:$A$1001,A547,$B$2:$B$1001,"&lt;"&amp;B547))</f>
        <v/>
      </c>
      <c r="J547" s="16" t="str">
        <f>IF(OR(A547="",B547=""),"",IFERROR(LOOKUP(2,1/(单次交易!$A$2:$A$201=A547),单次交易!$E$2:$E$201)*LOOKUP(2,1/(单次交易!$A$2:$A$201=A547),单次交易!$H$2:$H$201),0)+SUMIFS($H$2:$H$1001,$A$2:$A$1001,A547,$B$2:$B$1001,"&lt;"&amp;B547))</f>
        <v/>
      </c>
      <c r="K547" s="16" t="str">
        <f t="shared" si="73"/>
        <v/>
      </c>
      <c r="L547" s="17" t="str">
        <f t="shared" si="74"/>
        <v/>
      </c>
      <c r="M547" s="17" t="str">
        <f t="shared" si="75"/>
        <v/>
      </c>
      <c r="N547" s="17" t="str">
        <f t="shared" si="76"/>
        <v/>
      </c>
      <c r="O547" s="17" t="str">
        <f t="shared" si="77"/>
        <v/>
      </c>
      <c r="P547" s="16" t="str">
        <f t="shared" si="78"/>
        <v/>
      </c>
      <c r="Q547" s="16" t="str">
        <f t="shared" si="79"/>
        <v/>
      </c>
      <c r="R547" s="18" t="str">
        <f t="shared" si="80"/>
        <v/>
      </c>
    </row>
    <row r="548" spans="1:18">
      <c r="A548" s="12"/>
      <c r="B548" s="13"/>
      <c r="C548" s="14"/>
      <c r="D548" s="15"/>
      <c r="E548" s="15"/>
      <c r="F548" s="15"/>
      <c r="G548" s="13"/>
      <c r="H548" s="16" t="str">
        <f t="shared" si="72"/>
        <v/>
      </c>
      <c r="I548" s="17" t="str">
        <f>IF(OR(A548="",B548=""),"",IFERROR(LOOKUP(2,1/(单次交易!$A$2:$A$201=A548),单次交易!$H$2:$H$201),0)+SUMIFS($G$2:$G$1001,$A$2:$A$1001,A548,$B$2:$B$1001,"&lt;"&amp;B548))</f>
        <v/>
      </c>
      <c r="J548" s="16" t="str">
        <f>IF(OR(A548="",B548=""),"",IFERROR(LOOKUP(2,1/(单次交易!$A$2:$A$201=A548),单次交易!$E$2:$E$201)*LOOKUP(2,1/(单次交易!$A$2:$A$201=A548),单次交易!$H$2:$H$201),0)+SUMIFS($H$2:$H$1001,$A$2:$A$1001,A548,$B$2:$B$1001,"&lt;"&amp;B548))</f>
        <v/>
      </c>
      <c r="K548" s="16" t="str">
        <f t="shared" si="73"/>
        <v/>
      </c>
      <c r="L548" s="17" t="str">
        <f t="shared" si="74"/>
        <v/>
      </c>
      <c r="M548" s="17" t="str">
        <f t="shared" si="75"/>
        <v/>
      </c>
      <c r="N548" s="17" t="str">
        <f t="shared" si="76"/>
        <v/>
      </c>
      <c r="O548" s="17" t="str">
        <f t="shared" si="77"/>
        <v/>
      </c>
      <c r="P548" s="16" t="str">
        <f t="shared" si="78"/>
        <v/>
      </c>
      <c r="Q548" s="16" t="str">
        <f t="shared" si="79"/>
        <v/>
      </c>
      <c r="R548" s="18" t="str">
        <f t="shared" si="80"/>
        <v/>
      </c>
    </row>
    <row r="549" spans="1:18">
      <c r="A549" s="12"/>
      <c r="B549" s="13"/>
      <c r="C549" s="14"/>
      <c r="D549" s="15"/>
      <c r="E549" s="15"/>
      <c r="F549" s="15"/>
      <c r="G549" s="13"/>
      <c r="H549" s="16" t="str">
        <f t="shared" si="72"/>
        <v/>
      </c>
      <c r="I549" s="17" t="str">
        <f>IF(OR(A549="",B549=""),"",IFERROR(LOOKUP(2,1/(单次交易!$A$2:$A$201=A549),单次交易!$H$2:$H$201),0)+SUMIFS($G$2:$G$1001,$A$2:$A$1001,A549,$B$2:$B$1001,"&lt;"&amp;B549))</f>
        <v/>
      </c>
      <c r="J549" s="16" t="str">
        <f>IF(OR(A549="",B549=""),"",IFERROR(LOOKUP(2,1/(单次交易!$A$2:$A$201=A549),单次交易!$E$2:$E$201)*LOOKUP(2,1/(单次交易!$A$2:$A$201=A549),单次交易!$H$2:$H$201),0)+SUMIFS($H$2:$H$1001,$A$2:$A$1001,A549,$B$2:$B$1001,"&lt;"&amp;B549))</f>
        <v/>
      </c>
      <c r="K549" s="16" t="str">
        <f t="shared" si="73"/>
        <v/>
      </c>
      <c r="L549" s="17" t="str">
        <f t="shared" si="74"/>
        <v/>
      </c>
      <c r="M549" s="17" t="str">
        <f t="shared" si="75"/>
        <v/>
      </c>
      <c r="N549" s="17" t="str">
        <f t="shared" si="76"/>
        <v/>
      </c>
      <c r="O549" s="17" t="str">
        <f t="shared" si="77"/>
        <v/>
      </c>
      <c r="P549" s="16" t="str">
        <f t="shared" si="78"/>
        <v/>
      </c>
      <c r="Q549" s="16" t="str">
        <f t="shared" si="79"/>
        <v/>
      </c>
      <c r="R549" s="18" t="str">
        <f t="shared" si="80"/>
        <v/>
      </c>
    </row>
    <row r="550" spans="1:18">
      <c r="A550" s="12"/>
      <c r="B550" s="13"/>
      <c r="C550" s="14"/>
      <c r="D550" s="15"/>
      <c r="E550" s="15"/>
      <c r="F550" s="15"/>
      <c r="G550" s="13"/>
      <c r="H550" s="16" t="str">
        <f t="shared" si="72"/>
        <v/>
      </c>
      <c r="I550" s="17" t="str">
        <f>IF(OR(A550="",B550=""),"",IFERROR(LOOKUP(2,1/(单次交易!$A$2:$A$201=A550),单次交易!$H$2:$H$201),0)+SUMIFS($G$2:$G$1001,$A$2:$A$1001,A550,$B$2:$B$1001,"&lt;"&amp;B550))</f>
        <v/>
      </c>
      <c r="J550" s="16" t="str">
        <f>IF(OR(A550="",B550=""),"",IFERROR(LOOKUP(2,1/(单次交易!$A$2:$A$201=A550),单次交易!$E$2:$E$201)*LOOKUP(2,1/(单次交易!$A$2:$A$201=A550),单次交易!$H$2:$H$201),0)+SUMIFS($H$2:$H$1001,$A$2:$A$1001,A550,$B$2:$B$1001,"&lt;"&amp;B550))</f>
        <v/>
      </c>
      <c r="K550" s="16" t="str">
        <f t="shared" si="73"/>
        <v/>
      </c>
      <c r="L550" s="17" t="str">
        <f t="shared" si="74"/>
        <v/>
      </c>
      <c r="M550" s="17" t="str">
        <f t="shared" si="75"/>
        <v/>
      </c>
      <c r="N550" s="17" t="str">
        <f t="shared" si="76"/>
        <v/>
      </c>
      <c r="O550" s="17" t="str">
        <f t="shared" si="77"/>
        <v/>
      </c>
      <c r="P550" s="16" t="str">
        <f t="shared" si="78"/>
        <v/>
      </c>
      <c r="Q550" s="16" t="str">
        <f t="shared" si="79"/>
        <v/>
      </c>
      <c r="R550" s="18" t="str">
        <f t="shared" si="80"/>
        <v/>
      </c>
    </row>
    <row r="551" spans="1:18">
      <c r="A551" s="12"/>
      <c r="B551" s="13"/>
      <c r="C551" s="14"/>
      <c r="D551" s="15"/>
      <c r="E551" s="15"/>
      <c r="F551" s="15"/>
      <c r="G551" s="13"/>
      <c r="H551" s="16" t="str">
        <f t="shared" si="72"/>
        <v/>
      </c>
      <c r="I551" s="17" t="str">
        <f>IF(OR(A551="",B551=""),"",IFERROR(LOOKUP(2,1/(单次交易!$A$2:$A$201=A551),单次交易!$H$2:$H$201),0)+SUMIFS($G$2:$G$1001,$A$2:$A$1001,A551,$B$2:$B$1001,"&lt;"&amp;B551))</f>
        <v/>
      </c>
      <c r="J551" s="16" t="str">
        <f>IF(OR(A551="",B551=""),"",IFERROR(LOOKUP(2,1/(单次交易!$A$2:$A$201=A551),单次交易!$E$2:$E$201)*LOOKUP(2,1/(单次交易!$A$2:$A$201=A551),单次交易!$H$2:$H$201),0)+SUMIFS($H$2:$H$1001,$A$2:$A$1001,A551,$B$2:$B$1001,"&lt;"&amp;B551))</f>
        <v/>
      </c>
      <c r="K551" s="16" t="str">
        <f t="shared" si="73"/>
        <v/>
      </c>
      <c r="L551" s="17" t="str">
        <f t="shared" si="74"/>
        <v/>
      </c>
      <c r="M551" s="17" t="str">
        <f t="shared" si="75"/>
        <v/>
      </c>
      <c r="N551" s="17" t="str">
        <f t="shared" si="76"/>
        <v/>
      </c>
      <c r="O551" s="17" t="str">
        <f t="shared" si="77"/>
        <v/>
      </c>
      <c r="P551" s="16" t="str">
        <f t="shared" si="78"/>
        <v/>
      </c>
      <c r="Q551" s="16" t="str">
        <f t="shared" si="79"/>
        <v/>
      </c>
      <c r="R551" s="18" t="str">
        <f t="shared" si="80"/>
        <v/>
      </c>
    </row>
    <row r="552" spans="1:18">
      <c r="A552" s="12"/>
      <c r="B552" s="13"/>
      <c r="C552" s="14"/>
      <c r="D552" s="15"/>
      <c r="E552" s="15"/>
      <c r="F552" s="15"/>
      <c r="G552" s="13"/>
      <c r="H552" s="16" t="str">
        <f t="shared" si="72"/>
        <v/>
      </c>
      <c r="I552" s="17" t="str">
        <f>IF(OR(A552="",B552=""),"",IFERROR(LOOKUP(2,1/(单次交易!$A$2:$A$201=A552),单次交易!$H$2:$H$201),0)+SUMIFS($G$2:$G$1001,$A$2:$A$1001,A552,$B$2:$B$1001,"&lt;"&amp;B552))</f>
        <v/>
      </c>
      <c r="J552" s="16" t="str">
        <f>IF(OR(A552="",B552=""),"",IFERROR(LOOKUP(2,1/(单次交易!$A$2:$A$201=A552),单次交易!$E$2:$E$201)*LOOKUP(2,1/(单次交易!$A$2:$A$201=A552),单次交易!$H$2:$H$201),0)+SUMIFS($H$2:$H$1001,$A$2:$A$1001,A552,$B$2:$B$1001,"&lt;"&amp;B552))</f>
        <v/>
      </c>
      <c r="K552" s="16" t="str">
        <f t="shared" si="73"/>
        <v/>
      </c>
      <c r="L552" s="17" t="str">
        <f t="shared" si="74"/>
        <v/>
      </c>
      <c r="M552" s="17" t="str">
        <f t="shared" si="75"/>
        <v/>
      </c>
      <c r="N552" s="17" t="str">
        <f t="shared" si="76"/>
        <v/>
      </c>
      <c r="O552" s="17" t="str">
        <f t="shared" si="77"/>
        <v/>
      </c>
      <c r="P552" s="16" t="str">
        <f t="shared" si="78"/>
        <v/>
      </c>
      <c r="Q552" s="16" t="str">
        <f t="shared" si="79"/>
        <v/>
      </c>
      <c r="R552" s="18" t="str">
        <f t="shared" si="80"/>
        <v/>
      </c>
    </row>
    <row r="553" spans="1:18">
      <c r="A553" s="12"/>
      <c r="B553" s="13"/>
      <c r="C553" s="14"/>
      <c r="D553" s="15"/>
      <c r="E553" s="15"/>
      <c r="F553" s="15"/>
      <c r="G553" s="13"/>
      <c r="H553" s="16" t="str">
        <f t="shared" si="72"/>
        <v/>
      </c>
      <c r="I553" s="17" t="str">
        <f>IF(OR(A553="",B553=""),"",IFERROR(LOOKUP(2,1/(单次交易!$A$2:$A$201=A553),单次交易!$H$2:$H$201),0)+SUMIFS($G$2:$G$1001,$A$2:$A$1001,A553,$B$2:$B$1001,"&lt;"&amp;B553))</f>
        <v/>
      </c>
      <c r="J553" s="16" t="str">
        <f>IF(OR(A553="",B553=""),"",IFERROR(LOOKUP(2,1/(单次交易!$A$2:$A$201=A553),单次交易!$E$2:$E$201)*LOOKUP(2,1/(单次交易!$A$2:$A$201=A553),单次交易!$H$2:$H$201),0)+SUMIFS($H$2:$H$1001,$A$2:$A$1001,A553,$B$2:$B$1001,"&lt;"&amp;B553))</f>
        <v/>
      </c>
      <c r="K553" s="16" t="str">
        <f t="shared" si="73"/>
        <v/>
      </c>
      <c r="L553" s="17" t="str">
        <f t="shared" si="74"/>
        <v/>
      </c>
      <c r="M553" s="17" t="str">
        <f t="shared" si="75"/>
        <v/>
      </c>
      <c r="N553" s="17" t="str">
        <f t="shared" si="76"/>
        <v/>
      </c>
      <c r="O553" s="17" t="str">
        <f t="shared" si="77"/>
        <v/>
      </c>
      <c r="P553" s="16" t="str">
        <f t="shared" si="78"/>
        <v/>
      </c>
      <c r="Q553" s="16" t="str">
        <f t="shared" si="79"/>
        <v/>
      </c>
      <c r="R553" s="18" t="str">
        <f t="shared" si="80"/>
        <v/>
      </c>
    </row>
    <row r="554" spans="1:18">
      <c r="A554" s="12"/>
      <c r="B554" s="13"/>
      <c r="C554" s="14"/>
      <c r="D554" s="15"/>
      <c r="E554" s="15"/>
      <c r="F554" s="15"/>
      <c r="G554" s="13"/>
      <c r="H554" s="16" t="str">
        <f t="shared" si="72"/>
        <v/>
      </c>
      <c r="I554" s="17" t="str">
        <f>IF(OR(A554="",B554=""),"",IFERROR(LOOKUP(2,1/(单次交易!$A$2:$A$201=A554),单次交易!$H$2:$H$201),0)+SUMIFS($G$2:$G$1001,$A$2:$A$1001,A554,$B$2:$B$1001,"&lt;"&amp;B554))</f>
        <v/>
      </c>
      <c r="J554" s="16" t="str">
        <f>IF(OR(A554="",B554=""),"",IFERROR(LOOKUP(2,1/(单次交易!$A$2:$A$201=A554),单次交易!$E$2:$E$201)*LOOKUP(2,1/(单次交易!$A$2:$A$201=A554),单次交易!$H$2:$H$201),0)+SUMIFS($H$2:$H$1001,$A$2:$A$1001,A554,$B$2:$B$1001,"&lt;"&amp;B554))</f>
        <v/>
      </c>
      <c r="K554" s="16" t="str">
        <f t="shared" si="73"/>
        <v/>
      </c>
      <c r="L554" s="17" t="str">
        <f t="shared" si="74"/>
        <v/>
      </c>
      <c r="M554" s="17" t="str">
        <f t="shared" si="75"/>
        <v/>
      </c>
      <c r="N554" s="17" t="str">
        <f t="shared" si="76"/>
        <v/>
      </c>
      <c r="O554" s="17" t="str">
        <f t="shared" si="77"/>
        <v/>
      </c>
      <c r="P554" s="16" t="str">
        <f t="shared" si="78"/>
        <v/>
      </c>
      <c r="Q554" s="16" t="str">
        <f t="shared" si="79"/>
        <v/>
      </c>
      <c r="R554" s="18" t="str">
        <f t="shared" si="80"/>
        <v/>
      </c>
    </row>
    <row r="555" spans="1:18">
      <c r="A555" s="12"/>
      <c r="B555" s="13"/>
      <c r="C555" s="14"/>
      <c r="D555" s="15"/>
      <c r="E555" s="15"/>
      <c r="F555" s="15"/>
      <c r="G555" s="13"/>
      <c r="H555" s="16" t="str">
        <f t="shared" si="72"/>
        <v/>
      </c>
      <c r="I555" s="17" t="str">
        <f>IF(OR(A555="",B555=""),"",IFERROR(LOOKUP(2,1/(单次交易!$A$2:$A$201=A555),单次交易!$H$2:$H$201),0)+SUMIFS($G$2:$G$1001,$A$2:$A$1001,A555,$B$2:$B$1001,"&lt;"&amp;B555))</f>
        <v/>
      </c>
      <c r="J555" s="16" t="str">
        <f>IF(OR(A555="",B555=""),"",IFERROR(LOOKUP(2,1/(单次交易!$A$2:$A$201=A555),单次交易!$E$2:$E$201)*LOOKUP(2,1/(单次交易!$A$2:$A$201=A555),单次交易!$H$2:$H$201),0)+SUMIFS($H$2:$H$1001,$A$2:$A$1001,A555,$B$2:$B$1001,"&lt;"&amp;B555))</f>
        <v/>
      </c>
      <c r="K555" s="16" t="str">
        <f t="shared" si="73"/>
        <v/>
      </c>
      <c r="L555" s="17" t="str">
        <f t="shared" si="74"/>
        <v/>
      </c>
      <c r="M555" s="17" t="str">
        <f t="shared" si="75"/>
        <v/>
      </c>
      <c r="N555" s="17" t="str">
        <f t="shared" si="76"/>
        <v/>
      </c>
      <c r="O555" s="17" t="str">
        <f t="shared" si="77"/>
        <v/>
      </c>
      <c r="P555" s="16" t="str">
        <f t="shared" si="78"/>
        <v/>
      </c>
      <c r="Q555" s="16" t="str">
        <f t="shared" si="79"/>
        <v/>
      </c>
      <c r="R555" s="18" t="str">
        <f t="shared" si="80"/>
        <v/>
      </c>
    </row>
    <row r="556" spans="1:18">
      <c r="A556" s="12"/>
      <c r="B556" s="13"/>
      <c r="C556" s="14"/>
      <c r="D556" s="15"/>
      <c r="E556" s="15"/>
      <c r="F556" s="15"/>
      <c r="G556" s="13"/>
      <c r="H556" s="16" t="str">
        <f t="shared" si="72"/>
        <v/>
      </c>
      <c r="I556" s="17" t="str">
        <f>IF(OR(A556="",B556=""),"",IFERROR(LOOKUP(2,1/(单次交易!$A$2:$A$201=A556),单次交易!$H$2:$H$201),0)+SUMIFS($G$2:$G$1001,$A$2:$A$1001,A556,$B$2:$B$1001,"&lt;"&amp;B556))</f>
        <v/>
      </c>
      <c r="J556" s="16" t="str">
        <f>IF(OR(A556="",B556=""),"",IFERROR(LOOKUP(2,1/(单次交易!$A$2:$A$201=A556),单次交易!$E$2:$E$201)*LOOKUP(2,1/(单次交易!$A$2:$A$201=A556),单次交易!$H$2:$H$201),0)+SUMIFS($H$2:$H$1001,$A$2:$A$1001,A556,$B$2:$B$1001,"&lt;"&amp;B556))</f>
        <v/>
      </c>
      <c r="K556" s="16" t="str">
        <f t="shared" si="73"/>
        <v/>
      </c>
      <c r="L556" s="17" t="str">
        <f t="shared" si="74"/>
        <v/>
      </c>
      <c r="M556" s="17" t="str">
        <f t="shared" si="75"/>
        <v/>
      </c>
      <c r="N556" s="17" t="str">
        <f t="shared" si="76"/>
        <v/>
      </c>
      <c r="O556" s="17" t="str">
        <f t="shared" si="77"/>
        <v/>
      </c>
      <c r="P556" s="16" t="str">
        <f t="shared" si="78"/>
        <v/>
      </c>
      <c r="Q556" s="16" t="str">
        <f t="shared" si="79"/>
        <v/>
      </c>
      <c r="R556" s="18" t="str">
        <f t="shared" si="80"/>
        <v/>
      </c>
    </row>
    <row r="557" spans="1:18">
      <c r="A557" s="12"/>
      <c r="B557" s="13"/>
      <c r="C557" s="14"/>
      <c r="D557" s="15"/>
      <c r="E557" s="15"/>
      <c r="F557" s="15"/>
      <c r="G557" s="13"/>
      <c r="H557" s="16" t="str">
        <f t="shared" si="72"/>
        <v/>
      </c>
      <c r="I557" s="17" t="str">
        <f>IF(OR(A557="",B557=""),"",IFERROR(LOOKUP(2,1/(单次交易!$A$2:$A$201=A557),单次交易!$H$2:$H$201),0)+SUMIFS($G$2:$G$1001,$A$2:$A$1001,A557,$B$2:$B$1001,"&lt;"&amp;B557))</f>
        <v/>
      </c>
      <c r="J557" s="16" t="str">
        <f>IF(OR(A557="",B557=""),"",IFERROR(LOOKUP(2,1/(单次交易!$A$2:$A$201=A557),单次交易!$E$2:$E$201)*LOOKUP(2,1/(单次交易!$A$2:$A$201=A557),单次交易!$H$2:$H$201),0)+SUMIFS($H$2:$H$1001,$A$2:$A$1001,A557,$B$2:$B$1001,"&lt;"&amp;B557))</f>
        <v/>
      </c>
      <c r="K557" s="16" t="str">
        <f t="shared" si="73"/>
        <v/>
      </c>
      <c r="L557" s="17" t="str">
        <f t="shared" si="74"/>
        <v/>
      </c>
      <c r="M557" s="17" t="str">
        <f t="shared" si="75"/>
        <v/>
      </c>
      <c r="N557" s="17" t="str">
        <f t="shared" si="76"/>
        <v/>
      </c>
      <c r="O557" s="17" t="str">
        <f t="shared" si="77"/>
        <v/>
      </c>
      <c r="P557" s="16" t="str">
        <f t="shared" si="78"/>
        <v/>
      </c>
      <c r="Q557" s="16" t="str">
        <f t="shared" si="79"/>
        <v/>
      </c>
      <c r="R557" s="18" t="str">
        <f t="shared" si="80"/>
        <v/>
      </c>
    </row>
    <row r="558" spans="1:18">
      <c r="A558" s="12"/>
      <c r="B558" s="13"/>
      <c r="C558" s="14"/>
      <c r="D558" s="15"/>
      <c r="E558" s="15"/>
      <c r="F558" s="15"/>
      <c r="G558" s="13"/>
      <c r="H558" s="16" t="str">
        <f t="shared" si="72"/>
        <v/>
      </c>
      <c r="I558" s="17" t="str">
        <f>IF(OR(A558="",B558=""),"",IFERROR(LOOKUP(2,1/(单次交易!$A$2:$A$201=A558),单次交易!$H$2:$H$201),0)+SUMIFS($G$2:$G$1001,$A$2:$A$1001,A558,$B$2:$B$1001,"&lt;"&amp;B558))</f>
        <v/>
      </c>
      <c r="J558" s="16" t="str">
        <f>IF(OR(A558="",B558=""),"",IFERROR(LOOKUP(2,1/(单次交易!$A$2:$A$201=A558),单次交易!$E$2:$E$201)*LOOKUP(2,1/(单次交易!$A$2:$A$201=A558),单次交易!$H$2:$H$201),0)+SUMIFS($H$2:$H$1001,$A$2:$A$1001,A558,$B$2:$B$1001,"&lt;"&amp;B558))</f>
        <v/>
      </c>
      <c r="K558" s="16" t="str">
        <f t="shared" si="73"/>
        <v/>
      </c>
      <c r="L558" s="17" t="str">
        <f t="shared" si="74"/>
        <v/>
      </c>
      <c r="M558" s="17" t="str">
        <f t="shared" si="75"/>
        <v/>
      </c>
      <c r="N558" s="17" t="str">
        <f t="shared" si="76"/>
        <v/>
      </c>
      <c r="O558" s="17" t="str">
        <f t="shared" si="77"/>
        <v/>
      </c>
      <c r="P558" s="16" t="str">
        <f t="shared" si="78"/>
        <v/>
      </c>
      <c r="Q558" s="16" t="str">
        <f t="shared" si="79"/>
        <v/>
      </c>
      <c r="R558" s="18" t="str">
        <f t="shared" si="80"/>
        <v/>
      </c>
    </row>
    <row r="559" spans="1:18">
      <c r="A559" s="12"/>
      <c r="B559" s="13"/>
      <c r="C559" s="14"/>
      <c r="D559" s="15"/>
      <c r="E559" s="15"/>
      <c r="F559" s="15"/>
      <c r="G559" s="13"/>
      <c r="H559" s="16" t="str">
        <f t="shared" si="72"/>
        <v/>
      </c>
      <c r="I559" s="17" t="str">
        <f>IF(OR(A559="",B559=""),"",IFERROR(LOOKUP(2,1/(单次交易!$A$2:$A$201=A559),单次交易!$H$2:$H$201),0)+SUMIFS($G$2:$G$1001,$A$2:$A$1001,A559,$B$2:$B$1001,"&lt;"&amp;B559))</f>
        <v/>
      </c>
      <c r="J559" s="16" t="str">
        <f>IF(OR(A559="",B559=""),"",IFERROR(LOOKUP(2,1/(单次交易!$A$2:$A$201=A559),单次交易!$E$2:$E$201)*LOOKUP(2,1/(单次交易!$A$2:$A$201=A559),单次交易!$H$2:$H$201),0)+SUMIFS($H$2:$H$1001,$A$2:$A$1001,A559,$B$2:$B$1001,"&lt;"&amp;B559))</f>
        <v/>
      </c>
      <c r="K559" s="16" t="str">
        <f t="shared" si="73"/>
        <v/>
      </c>
      <c r="L559" s="17" t="str">
        <f t="shared" si="74"/>
        <v/>
      </c>
      <c r="M559" s="17" t="str">
        <f t="shared" si="75"/>
        <v/>
      </c>
      <c r="N559" s="17" t="str">
        <f t="shared" si="76"/>
        <v/>
      </c>
      <c r="O559" s="17" t="str">
        <f t="shared" si="77"/>
        <v/>
      </c>
      <c r="P559" s="16" t="str">
        <f t="shared" si="78"/>
        <v/>
      </c>
      <c r="Q559" s="16" t="str">
        <f t="shared" si="79"/>
        <v/>
      </c>
      <c r="R559" s="18" t="str">
        <f t="shared" si="80"/>
        <v/>
      </c>
    </row>
    <row r="560" spans="1:18">
      <c r="A560" s="12"/>
      <c r="B560" s="13"/>
      <c r="C560" s="14"/>
      <c r="D560" s="15"/>
      <c r="E560" s="15"/>
      <c r="F560" s="15"/>
      <c r="G560" s="13"/>
      <c r="H560" s="16" t="str">
        <f t="shared" si="72"/>
        <v/>
      </c>
      <c r="I560" s="17" t="str">
        <f>IF(OR(A560="",B560=""),"",IFERROR(LOOKUP(2,1/(单次交易!$A$2:$A$201=A560),单次交易!$H$2:$H$201),0)+SUMIFS($G$2:$G$1001,$A$2:$A$1001,A560,$B$2:$B$1001,"&lt;"&amp;B560))</f>
        <v/>
      </c>
      <c r="J560" s="16" t="str">
        <f>IF(OR(A560="",B560=""),"",IFERROR(LOOKUP(2,1/(单次交易!$A$2:$A$201=A560),单次交易!$E$2:$E$201)*LOOKUP(2,1/(单次交易!$A$2:$A$201=A560),单次交易!$H$2:$H$201),0)+SUMIFS($H$2:$H$1001,$A$2:$A$1001,A560,$B$2:$B$1001,"&lt;"&amp;B560))</f>
        <v/>
      </c>
      <c r="K560" s="16" t="str">
        <f t="shared" si="73"/>
        <v/>
      </c>
      <c r="L560" s="17" t="str">
        <f t="shared" si="74"/>
        <v/>
      </c>
      <c r="M560" s="17" t="str">
        <f t="shared" si="75"/>
        <v/>
      </c>
      <c r="N560" s="17" t="str">
        <f t="shared" si="76"/>
        <v/>
      </c>
      <c r="O560" s="17" t="str">
        <f t="shared" si="77"/>
        <v/>
      </c>
      <c r="P560" s="16" t="str">
        <f t="shared" si="78"/>
        <v/>
      </c>
      <c r="Q560" s="16" t="str">
        <f t="shared" si="79"/>
        <v/>
      </c>
      <c r="R560" s="18" t="str">
        <f t="shared" si="80"/>
        <v/>
      </c>
    </row>
    <row r="561" spans="1:18">
      <c r="A561" s="12"/>
      <c r="B561" s="13"/>
      <c r="C561" s="14"/>
      <c r="D561" s="15"/>
      <c r="E561" s="15"/>
      <c r="F561" s="15"/>
      <c r="G561" s="13"/>
      <c r="H561" s="16" t="str">
        <f t="shared" si="72"/>
        <v/>
      </c>
      <c r="I561" s="17" t="str">
        <f>IF(OR(A561="",B561=""),"",IFERROR(LOOKUP(2,1/(单次交易!$A$2:$A$201=A561),单次交易!$H$2:$H$201),0)+SUMIFS($G$2:$G$1001,$A$2:$A$1001,A561,$B$2:$B$1001,"&lt;"&amp;B561))</f>
        <v/>
      </c>
      <c r="J561" s="16" t="str">
        <f>IF(OR(A561="",B561=""),"",IFERROR(LOOKUP(2,1/(单次交易!$A$2:$A$201=A561),单次交易!$E$2:$E$201)*LOOKUP(2,1/(单次交易!$A$2:$A$201=A561),单次交易!$H$2:$H$201),0)+SUMIFS($H$2:$H$1001,$A$2:$A$1001,A561,$B$2:$B$1001,"&lt;"&amp;B561))</f>
        <v/>
      </c>
      <c r="K561" s="16" t="str">
        <f t="shared" si="73"/>
        <v/>
      </c>
      <c r="L561" s="17" t="str">
        <f t="shared" si="74"/>
        <v/>
      </c>
      <c r="M561" s="17" t="str">
        <f t="shared" si="75"/>
        <v/>
      </c>
      <c r="N561" s="17" t="str">
        <f t="shared" si="76"/>
        <v/>
      </c>
      <c r="O561" s="17" t="str">
        <f t="shared" si="77"/>
        <v/>
      </c>
      <c r="P561" s="16" t="str">
        <f t="shared" si="78"/>
        <v/>
      </c>
      <c r="Q561" s="16" t="str">
        <f t="shared" si="79"/>
        <v/>
      </c>
      <c r="R561" s="18" t="str">
        <f t="shared" si="80"/>
        <v/>
      </c>
    </row>
    <row r="562" spans="1:18">
      <c r="A562" s="12"/>
      <c r="B562" s="13"/>
      <c r="C562" s="14"/>
      <c r="D562" s="15"/>
      <c r="E562" s="15"/>
      <c r="F562" s="15"/>
      <c r="G562" s="13"/>
      <c r="H562" s="16" t="str">
        <f t="shared" si="72"/>
        <v/>
      </c>
      <c r="I562" s="17" t="str">
        <f>IF(OR(A562="",B562=""),"",IFERROR(LOOKUP(2,1/(单次交易!$A$2:$A$201=A562),单次交易!$H$2:$H$201),0)+SUMIFS($G$2:$G$1001,$A$2:$A$1001,A562,$B$2:$B$1001,"&lt;"&amp;B562))</f>
        <v/>
      </c>
      <c r="J562" s="16" t="str">
        <f>IF(OR(A562="",B562=""),"",IFERROR(LOOKUP(2,1/(单次交易!$A$2:$A$201=A562),单次交易!$E$2:$E$201)*LOOKUP(2,1/(单次交易!$A$2:$A$201=A562),单次交易!$H$2:$H$201),0)+SUMIFS($H$2:$H$1001,$A$2:$A$1001,A562,$B$2:$B$1001,"&lt;"&amp;B562))</f>
        <v/>
      </c>
      <c r="K562" s="16" t="str">
        <f t="shared" si="73"/>
        <v/>
      </c>
      <c r="L562" s="17" t="str">
        <f t="shared" si="74"/>
        <v/>
      </c>
      <c r="M562" s="17" t="str">
        <f t="shared" si="75"/>
        <v/>
      </c>
      <c r="N562" s="17" t="str">
        <f t="shared" si="76"/>
        <v/>
      </c>
      <c r="O562" s="17" t="str">
        <f t="shared" si="77"/>
        <v/>
      </c>
      <c r="P562" s="16" t="str">
        <f t="shared" si="78"/>
        <v/>
      </c>
      <c r="Q562" s="16" t="str">
        <f t="shared" si="79"/>
        <v/>
      </c>
      <c r="R562" s="18" t="str">
        <f t="shared" si="80"/>
        <v/>
      </c>
    </row>
    <row r="563" spans="1:18">
      <c r="A563" s="12"/>
      <c r="B563" s="13"/>
      <c r="C563" s="14"/>
      <c r="D563" s="15"/>
      <c r="E563" s="15"/>
      <c r="F563" s="15"/>
      <c r="G563" s="13"/>
      <c r="H563" s="16" t="str">
        <f t="shared" si="72"/>
        <v/>
      </c>
      <c r="I563" s="17" t="str">
        <f>IF(OR(A563="",B563=""),"",IFERROR(LOOKUP(2,1/(单次交易!$A$2:$A$201=A563),单次交易!$H$2:$H$201),0)+SUMIFS($G$2:$G$1001,$A$2:$A$1001,A563,$B$2:$B$1001,"&lt;"&amp;B563))</f>
        <v/>
      </c>
      <c r="J563" s="16" t="str">
        <f>IF(OR(A563="",B563=""),"",IFERROR(LOOKUP(2,1/(单次交易!$A$2:$A$201=A563),单次交易!$E$2:$E$201)*LOOKUP(2,1/(单次交易!$A$2:$A$201=A563),单次交易!$H$2:$H$201),0)+SUMIFS($H$2:$H$1001,$A$2:$A$1001,A563,$B$2:$B$1001,"&lt;"&amp;B563))</f>
        <v/>
      </c>
      <c r="K563" s="16" t="str">
        <f t="shared" si="73"/>
        <v/>
      </c>
      <c r="L563" s="17" t="str">
        <f t="shared" si="74"/>
        <v/>
      </c>
      <c r="M563" s="17" t="str">
        <f t="shared" si="75"/>
        <v/>
      </c>
      <c r="N563" s="17" t="str">
        <f t="shared" si="76"/>
        <v/>
      </c>
      <c r="O563" s="17" t="str">
        <f t="shared" si="77"/>
        <v/>
      </c>
      <c r="P563" s="16" t="str">
        <f t="shared" si="78"/>
        <v/>
      </c>
      <c r="Q563" s="16" t="str">
        <f t="shared" si="79"/>
        <v/>
      </c>
      <c r="R563" s="18" t="str">
        <f t="shared" si="80"/>
        <v/>
      </c>
    </row>
    <row r="564" spans="1:18">
      <c r="A564" s="12"/>
      <c r="B564" s="13"/>
      <c r="C564" s="14"/>
      <c r="D564" s="15"/>
      <c r="E564" s="15"/>
      <c r="F564" s="15"/>
      <c r="G564" s="13"/>
      <c r="H564" s="16" t="str">
        <f t="shared" si="72"/>
        <v/>
      </c>
      <c r="I564" s="17" t="str">
        <f>IF(OR(A564="",B564=""),"",IFERROR(LOOKUP(2,1/(单次交易!$A$2:$A$201=A564),单次交易!$H$2:$H$201),0)+SUMIFS($G$2:$G$1001,$A$2:$A$1001,A564,$B$2:$B$1001,"&lt;"&amp;B564))</f>
        <v/>
      </c>
      <c r="J564" s="16" t="str">
        <f>IF(OR(A564="",B564=""),"",IFERROR(LOOKUP(2,1/(单次交易!$A$2:$A$201=A564),单次交易!$E$2:$E$201)*LOOKUP(2,1/(单次交易!$A$2:$A$201=A564),单次交易!$H$2:$H$201),0)+SUMIFS($H$2:$H$1001,$A$2:$A$1001,A564,$B$2:$B$1001,"&lt;"&amp;B564))</f>
        <v/>
      </c>
      <c r="K564" s="16" t="str">
        <f t="shared" si="73"/>
        <v/>
      </c>
      <c r="L564" s="17" t="str">
        <f t="shared" si="74"/>
        <v/>
      </c>
      <c r="M564" s="17" t="str">
        <f t="shared" si="75"/>
        <v/>
      </c>
      <c r="N564" s="17" t="str">
        <f t="shared" si="76"/>
        <v/>
      </c>
      <c r="O564" s="17" t="str">
        <f t="shared" si="77"/>
        <v/>
      </c>
      <c r="P564" s="16" t="str">
        <f t="shared" si="78"/>
        <v/>
      </c>
      <c r="Q564" s="16" t="str">
        <f t="shared" si="79"/>
        <v/>
      </c>
      <c r="R564" s="18" t="str">
        <f t="shared" si="80"/>
        <v/>
      </c>
    </row>
    <row r="565" spans="1:18">
      <c r="A565" s="12"/>
      <c r="B565" s="13"/>
      <c r="C565" s="14"/>
      <c r="D565" s="15"/>
      <c r="E565" s="15"/>
      <c r="F565" s="15"/>
      <c r="G565" s="13"/>
      <c r="H565" s="16" t="str">
        <f t="shared" si="72"/>
        <v/>
      </c>
      <c r="I565" s="17" t="str">
        <f>IF(OR(A565="",B565=""),"",IFERROR(LOOKUP(2,1/(单次交易!$A$2:$A$201=A565),单次交易!$H$2:$H$201),0)+SUMIFS($G$2:$G$1001,$A$2:$A$1001,A565,$B$2:$B$1001,"&lt;"&amp;B565))</f>
        <v/>
      </c>
      <c r="J565" s="16" t="str">
        <f>IF(OR(A565="",B565=""),"",IFERROR(LOOKUP(2,1/(单次交易!$A$2:$A$201=A565),单次交易!$E$2:$E$201)*LOOKUP(2,1/(单次交易!$A$2:$A$201=A565),单次交易!$H$2:$H$201),0)+SUMIFS($H$2:$H$1001,$A$2:$A$1001,A565,$B$2:$B$1001,"&lt;"&amp;B565))</f>
        <v/>
      </c>
      <c r="K565" s="16" t="str">
        <f t="shared" si="73"/>
        <v/>
      </c>
      <c r="L565" s="17" t="str">
        <f t="shared" si="74"/>
        <v/>
      </c>
      <c r="M565" s="17" t="str">
        <f t="shared" si="75"/>
        <v/>
      </c>
      <c r="N565" s="17" t="str">
        <f t="shared" si="76"/>
        <v/>
      </c>
      <c r="O565" s="17" t="str">
        <f t="shared" si="77"/>
        <v/>
      </c>
      <c r="P565" s="16" t="str">
        <f t="shared" si="78"/>
        <v/>
      </c>
      <c r="Q565" s="16" t="str">
        <f t="shared" si="79"/>
        <v/>
      </c>
      <c r="R565" s="18" t="str">
        <f t="shared" si="80"/>
        <v/>
      </c>
    </row>
    <row r="566" spans="1:18">
      <c r="A566" s="12"/>
      <c r="B566" s="13"/>
      <c r="C566" s="14"/>
      <c r="D566" s="15"/>
      <c r="E566" s="15"/>
      <c r="F566" s="15"/>
      <c r="G566" s="13"/>
      <c r="H566" s="16" t="str">
        <f t="shared" si="72"/>
        <v/>
      </c>
      <c r="I566" s="17" t="str">
        <f>IF(OR(A566="",B566=""),"",IFERROR(LOOKUP(2,1/(单次交易!$A$2:$A$201=A566),单次交易!$H$2:$H$201),0)+SUMIFS($G$2:$G$1001,$A$2:$A$1001,A566,$B$2:$B$1001,"&lt;"&amp;B566))</f>
        <v/>
      </c>
      <c r="J566" s="16" t="str">
        <f>IF(OR(A566="",B566=""),"",IFERROR(LOOKUP(2,1/(单次交易!$A$2:$A$201=A566),单次交易!$E$2:$E$201)*LOOKUP(2,1/(单次交易!$A$2:$A$201=A566),单次交易!$H$2:$H$201),0)+SUMIFS($H$2:$H$1001,$A$2:$A$1001,A566,$B$2:$B$1001,"&lt;"&amp;B566))</f>
        <v/>
      </c>
      <c r="K566" s="16" t="str">
        <f t="shared" si="73"/>
        <v/>
      </c>
      <c r="L566" s="17" t="str">
        <f t="shared" si="74"/>
        <v/>
      </c>
      <c r="M566" s="17" t="str">
        <f t="shared" si="75"/>
        <v/>
      </c>
      <c r="N566" s="17" t="str">
        <f t="shared" si="76"/>
        <v/>
      </c>
      <c r="O566" s="17" t="str">
        <f t="shared" si="77"/>
        <v/>
      </c>
      <c r="P566" s="16" t="str">
        <f t="shared" si="78"/>
        <v/>
      </c>
      <c r="Q566" s="16" t="str">
        <f t="shared" si="79"/>
        <v/>
      </c>
      <c r="R566" s="18" t="str">
        <f t="shared" si="80"/>
        <v/>
      </c>
    </row>
    <row r="567" spans="1:18">
      <c r="A567" s="12"/>
      <c r="B567" s="13"/>
      <c r="C567" s="14"/>
      <c r="D567" s="15"/>
      <c r="E567" s="15"/>
      <c r="F567" s="15"/>
      <c r="G567" s="13"/>
      <c r="H567" s="16" t="str">
        <f t="shared" si="72"/>
        <v/>
      </c>
      <c r="I567" s="17" t="str">
        <f>IF(OR(A567="",B567=""),"",IFERROR(LOOKUP(2,1/(单次交易!$A$2:$A$201=A567),单次交易!$H$2:$H$201),0)+SUMIFS($G$2:$G$1001,$A$2:$A$1001,A567,$B$2:$B$1001,"&lt;"&amp;B567))</f>
        <v/>
      </c>
      <c r="J567" s="16" t="str">
        <f>IF(OR(A567="",B567=""),"",IFERROR(LOOKUP(2,1/(单次交易!$A$2:$A$201=A567),单次交易!$E$2:$E$201)*LOOKUP(2,1/(单次交易!$A$2:$A$201=A567),单次交易!$H$2:$H$201),0)+SUMIFS($H$2:$H$1001,$A$2:$A$1001,A567,$B$2:$B$1001,"&lt;"&amp;B567))</f>
        <v/>
      </c>
      <c r="K567" s="16" t="str">
        <f t="shared" si="73"/>
        <v/>
      </c>
      <c r="L567" s="17" t="str">
        <f t="shared" si="74"/>
        <v/>
      </c>
      <c r="M567" s="17" t="str">
        <f t="shared" si="75"/>
        <v/>
      </c>
      <c r="N567" s="17" t="str">
        <f t="shared" si="76"/>
        <v/>
      </c>
      <c r="O567" s="17" t="str">
        <f t="shared" si="77"/>
        <v/>
      </c>
      <c r="P567" s="16" t="str">
        <f t="shared" si="78"/>
        <v/>
      </c>
      <c r="Q567" s="16" t="str">
        <f t="shared" si="79"/>
        <v/>
      </c>
      <c r="R567" s="18" t="str">
        <f t="shared" si="80"/>
        <v/>
      </c>
    </row>
    <row r="568" spans="1:18">
      <c r="A568" s="12"/>
      <c r="B568" s="13"/>
      <c r="C568" s="14"/>
      <c r="D568" s="15"/>
      <c r="E568" s="15"/>
      <c r="F568" s="15"/>
      <c r="G568" s="13"/>
      <c r="H568" s="16" t="str">
        <f t="shared" si="72"/>
        <v/>
      </c>
      <c r="I568" s="17" t="str">
        <f>IF(OR(A568="",B568=""),"",IFERROR(LOOKUP(2,1/(单次交易!$A$2:$A$201=A568),单次交易!$H$2:$H$201),0)+SUMIFS($G$2:$G$1001,$A$2:$A$1001,A568,$B$2:$B$1001,"&lt;"&amp;B568))</f>
        <v/>
      </c>
      <c r="J568" s="16" t="str">
        <f>IF(OR(A568="",B568=""),"",IFERROR(LOOKUP(2,1/(单次交易!$A$2:$A$201=A568),单次交易!$E$2:$E$201)*LOOKUP(2,1/(单次交易!$A$2:$A$201=A568),单次交易!$H$2:$H$201),0)+SUMIFS($H$2:$H$1001,$A$2:$A$1001,A568,$B$2:$B$1001,"&lt;"&amp;B568))</f>
        <v/>
      </c>
      <c r="K568" s="16" t="str">
        <f t="shared" si="73"/>
        <v/>
      </c>
      <c r="L568" s="17" t="str">
        <f t="shared" si="74"/>
        <v/>
      </c>
      <c r="M568" s="17" t="str">
        <f t="shared" si="75"/>
        <v/>
      </c>
      <c r="N568" s="17" t="str">
        <f t="shared" si="76"/>
        <v/>
      </c>
      <c r="O568" s="17" t="str">
        <f t="shared" si="77"/>
        <v/>
      </c>
      <c r="P568" s="16" t="str">
        <f t="shared" si="78"/>
        <v/>
      </c>
      <c r="Q568" s="16" t="str">
        <f t="shared" si="79"/>
        <v/>
      </c>
      <c r="R568" s="18" t="str">
        <f t="shared" si="80"/>
        <v/>
      </c>
    </row>
    <row r="569" spans="1:18">
      <c r="A569" s="12"/>
      <c r="B569" s="13"/>
      <c r="C569" s="14"/>
      <c r="D569" s="15"/>
      <c r="E569" s="15"/>
      <c r="F569" s="15"/>
      <c r="G569" s="13"/>
      <c r="H569" s="16" t="str">
        <f t="shared" si="72"/>
        <v/>
      </c>
      <c r="I569" s="17" t="str">
        <f>IF(OR(A569="",B569=""),"",IFERROR(LOOKUP(2,1/(单次交易!$A$2:$A$201=A569),单次交易!$H$2:$H$201),0)+SUMIFS($G$2:$G$1001,$A$2:$A$1001,A569,$B$2:$B$1001,"&lt;"&amp;B569))</f>
        <v/>
      </c>
      <c r="J569" s="16" t="str">
        <f>IF(OR(A569="",B569=""),"",IFERROR(LOOKUP(2,1/(单次交易!$A$2:$A$201=A569),单次交易!$E$2:$E$201)*LOOKUP(2,1/(单次交易!$A$2:$A$201=A569),单次交易!$H$2:$H$201),0)+SUMIFS($H$2:$H$1001,$A$2:$A$1001,A569,$B$2:$B$1001,"&lt;"&amp;B569))</f>
        <v/>
      </c>
      <c r="K569" s="16" t="str">
        <f t="shared" si="73"/>
        <v/>
      </c>
      <c r="L569" s="17" t="str">
        <f t="shared" si="74"/>
        <v/>
      </c>
      <c r="M569" s="17" t="str">
        <f t="shared" si="75"/>
        <v/>
      </c>
      <c r="N569" s="17" t="str">
        <f t="shared" si="76"/>
        <v/>
      </c>
      <c r="O569" s="17" t="str">
        <f t="shared" si="77"/>
        <v/>
      </c>
      <c r="P569" s="16" t="str">
        <f t="shared" si="78"/>
        <v/>
      </c>
      <c r="Q569" s="16" t="str">
        <f t="shared" si="79"/>
        <v/>
      </c>
      <c r="R569" s="18" t="str">
        <f t="shared" si="80"/>
        <v/>
      </c>
    </row>
    <row r="570" spans="1:18">
      <c r="A570" s="12"/>
      <c r="B570" s="13"/>
      <c r="C570" s="14"/>
      <c r="D570" s="15"/>
      <c r="E570" s="15"/>
      <c r="F570" s="15"/>
      <c r="G570" s="13"/>
      <c r="H570" s="16" t="str">
        <f t="shared" si="72"/>
        <v/>
      </c>
      <c r="I570" s="17" t="str">
        <f>IF(OR(A570="",B570=""),"",IFERROR(LOOKUP(2,1/(单次交易!$A$2:$A$201=A570),单次交易!$H$2:$H$201),0)+SUMIFS($G$2:$G$1001,$A$2:$A$1001,A570,$B$2:$B$1001,"&lt;"&amp;B570))</f>
        <v/>
      </c>
      <c r="J570" s="16" t="str">
        <f>IF(OR(A570="",B570=""),"",IFERROR(LOOKUP(2,1/(单次交易!$A$2:$A$201=A570),单次交易!$E$2:$E$201)*LOOKUP(2,1/(单次交易!$A$2:$A$201=A570),单次交易!$H$2:$H$201),0)+SUMIFS($H$2:$H$1001,$A$2:$A$1001,A570,$B$2:$B$1001,"&lt;"&amp;B570))</f>
        <v/>
      </c>
      <c r="K570" s="16" t="str">
        <f t="shared" si="73"/>
        <v/>
      </c>
      <c r="L570" s="17" t="str">
        <f t="shared" si="74"/>
        <v/>
      </c>
      <c r="M570" s="17" t="str">
        <f t="shared" si="75"/>
        <v/>
      </c>
      <c r="N570" s="17" t="str">
        <f t="shared" si="76"/>
        <v/>
      </c>
      <c r="O570" s="17" t="str">
        <f t="shared" si="77"/>
        <v/>
      </c>
      <c r="P570" s="16" t="str">
        <f t="shared" si="78"/>
        <v/>
      </c>
      <c r="Q570" s="16" t="str">
        <f t="shared" si="79"/>
        <v/>
      </c>
      <c r="R570" s="18" t="str">
        <f t="shared" si="80"/>
        <v/>
      </c>
    </row>
    <row r="571" spans="1:18">
      <c r="A571" s="12"/>
      <c r="B571" s="13"/>
      <c r="C571" s="14"/>
      <c r="D571" s="15"/>
      <c r="E571" s="15"/>
      <c r="F571" s="15"/>
      <c r="G571" s="13"/>
      <c r="H571" s="16" t="str">
        <f t="shared" si="72"/>
        <v/>
      </c>
      <c r="I571" s="17" t="str">
        <f>IF(OR(A571="",B571=""),"",IFERROR(LOOKUP(2,1/(单次交易!$A$2:$A$201=A571),单次交易!$H$2:$H$201),0)+SUMIFS($G$2:$G$1001,$A$2:$A$1001,A571,$B$2:$B$1001,"&lt;"&amp;B571))</f>
        <v/>
      </c>
      <c r="J571" s="16" t="str">
        <f>IF(OR(A571="",B571=""),"",IFERROR(LOOKUP(2,1/(单次交易!$A$2:$A$201=A571),单次交易!$E$2:$E$201)*LOOKUP(2,1/(单次交易!$A$2:$A$201=A571),单次交易!$H$2:$H$201),0)+SUMIFS($H$2:$H$1001,$A$2:$A$1001,A571,$B$2:$B$1001,"&lt;"&amp;B571))</f>
        <v/>
      </c>
      <c r="K571" s="16" t="str">
        <f t="shared" si="73"/>
        <v/>
      </c>
      <c r="L571" s="17" t="str">
        <f t="shared" si="74"/>
        <v/>
      </c>
      <c r="M571" s="17" t="str">
        <f t="shared" si="75"/>
        <v/>
      </c>
      <c r="N571" s="17" t="str">
        <f t="shared" si="76"/>
        <v/>
      </c>
      <c r="O571" s="17" t="str">
        <f t="shared" si="77"/>
        <v/>
      </c>
      <c r="P571" s="16" t="str">
        <f t="shared" si="78"/>
        <v/>
      </c>
      <c r="Q571" s="16" t="str">
        <f t="shared" si="79"/>
        <v/>
      </c>
      <c r="R571" s="18" t="str">
        <f t="shared" si="80"/>
        <v/>
      </c>
    </row>
    <row r="572" spans="1:18">
      <c r="A572" s="12"/>
      <c r="B572" s="13"/>
      <c r="C572" s="14"/>
      <c r="D572" s="15"/>
      <c r="E572" s="15"/>
      <c r="F572" s="15"/>
      <c r="G572" s="13"/>
      <c r="H572" s="16" t="str">
        <f t="shared" si="72"/>
        <v/>
      </c>
      <c r="I572" s="17" t="str">
        <f>IF(OR(A572="",B572=""),"",IFERROR(LOOKUP(2,1/(单次交易!$A$2:$A$201=A572),单次交易!$H$2:$H$201),0)+SUMIFS($G$2:$G$1001,$A$2:$A$1001,A572,$B$2:$B$1001,"&lt;"&amp;B572))</f>
        <v/>
      </c>
      <c r="J572" s="16" t="str">
        <f>IF(OR(A572="",B572=""),"",IFERROR(LOOKUP(2,1/(单次交易!$A$2:$A$201=A572),单次交易!$E$2:$E$201)*LOOKUP(2,1/(单次交易!$A$2:$A$201=A572),单次交易!$H$2:$H$201),0)+SUMIFS($H$2:$H$1001,$A$2:$A$1001,A572,$B$2:$B$1001,"&lt;"&amp;B572))</f>
        <v/>
      </c>
      <c r="K572" s="16" t="str">
        <f t="shared" si="73"/>
        <v/>
      </c>
      <c r="L572" s="17" t="str">
        <f t="shared" si="74"/>
        <v/>
      </c>
      <c r="M572" s="17" t="str">
        <f t="shared" si="75"/>
        <v/>
      </c>
      <c r="N572" s="17" t="str">
        <f t="shared" si="76"/>
        <v/>
      </c>
      <c r="O572" s="17" t="str">
        <f t="shared" si="77"/>
        <v/>
      </c>
      <c r="P572" s="16" t="str">
        <f t="shared" si="78"/>
        <v/>
      </c>
      <c r="Q572" s="16" t="str">
        <f t="shared" si="79"/>
        <v/>
      </c>
      <c r="R572" s="18" t="str">
        <f t="shared" si="80"/>
        <v/>
      </c>
    </row>
    <row r="573" spans="1:18">
      <c r="A573" s="12"/>
      <c r="B573" s="13"/>
      <c r="C573" s="14"/>
      <c r="D573" s="15"/>
      <c r="E573" s="15"/>
      <c r="F573" s="15"/>
      <c r="G573" s="13"/>
      <c r="H573" s="16" t="str">
        <f t="shared" si="72"/>
        <v/>
      </c>
      <c r="I573" s="17" t="str">
        <f>IF(OR(A573="",B573=""),"",IFERROR(LOOKUP(2,1/(单次交易!$A$2:$A$201=A573),单次交易!$H$2:$H$201),0)+SUMIFS($G$2:$G$1001,$A$2:$A$1001,A573,$B$2:$B$1001,"&lt;"&amp;B573))</f>
        <v/>
      </c>
      <c r="J573" s="16" t="str">
        <f>IF(OR(A573="",B573=""),"",IFERROR(LOOKUP(2,1/(单次交易!$A$2:$A$201=A573),单次交易!$E$2:$E$201)*LOOKUP(2,1/(单次交易!$A$2:$A$201=A573),单次交易!$H$2:$H$201),0)+SUMIFS($H$2:$H$1001,$A$2:$A$1001,A573,$B$2:$B$1001,"&lt;"&amp;B573))</f>
        <v/>
      </c>
      <c r="K573" s="16" t="str">
        <f t="shared" si="73"/>
        <v/>
      </c>
      <c r="L573" s="17" t="str">
        <f t="shared" si="74"/>
        <v/>
      </c>
      <c r="M573" s="17" t="str">
        <f t="shared" si="75"/>
        <v/>
      </c>
      <c r="N573" s="17" t="str">
        <f t="shared" si="76"/>
        <v/>
      </c>
      <c r="O573" s="17" t="str">
        <f t="shared" si="77"/>
        <v/>
      </c>
      <c r="P573" s="16" t="str">
        <f t="shared" si="78"/>
        <v/>
      </c>
      <c r="Q573" s="16" t="str">
        <f t="shared" si="79"/>
        <v/>
      </c>
      <c r="R573" s="18" t="str">
        <f t="shared" si="80"/>
        <v/>
      </c>
    </row>
    <row r="574" spans="1:18">
      <c r="A574" s="12"/>
      <c r="B574" s="13"/>
      <c r="C574" s="14"/>
      <c r="D574" s="15"/>
      <c r="E574" s="15"/>
      <c r="F574" s="15"/>
      <c r="G574" s="13"/>
      <c r="H574" s="16" t="str">
        <f t="shared" si="72"/>
        <v/>
      </c>
      <c r="I574" s="17" t="str">
        <f>IF(OR(A574="",B574=""),"",IFERROR(LOOKUP(2,1/(单次交易!$A$2:$A$201=A574),单次交易!$H$2:$H$201),0)+SUMIFS($G$2:$G$1001,$A$2:$A$1001,A574,$B$2:$B$1001,"&lt;"&amp;B574))</f>
        <v/>
      </c>
      <c r="J574" s="16" t="str">
        <f>IF(OR(A574="",B574=""),"",IFERROR(LOOKUP(2,1/(单次交易!$A$2:$A$201=A574),单次交易!$E$2:$E$201)*LOOKUP(2,1/(单次交易!$A$2:$A$201=A574),单次交易!$H$2:$H$201),0)+SUMIFS($H$2:$H$1001,$A$2:$A$1001,A574,$B$2:$B$1001,"&lt;"&amp;B574))</f>
        <v/>
      </c>
      <c r="K574" s="16" t="str">
        <f t="shared" si="73"/>
        <v/>
      </c>
      <c r="L574" s="17" t="str">
        <f t="shared" si="74"/>
        <v/>
      </c>
      <c r="M574" s="17" t="str">
        <f t="shared" si="75"/>
        <v/>
      </c>
      <c r="N574" s="17" t="str">
        <f t="shared" si="76"/>
        <v/>
      </c>
      <c r="O574" s="17" t="str">
        <f t="shared" si="77"/>
        <v/>
      </c>
      <c r="P574" s="16" t="str">
        <f t="shared" si="78"/>
        <v/>
      </c>
      <c r="Q574" s="16" t="str">
        <f t="shared" si="79"/>
        <v/>
      </c>
      <c r="R574" s="18" t="str">
        <f t="shared" si="80"/>
        <v/>
      </c>
    </row>
    <row r="575" spans="1:18">
      <c r="A575" s="12"/>
      <c r="B575" s="13"/>
      <c r="C575" s="14"/>
      <c r="D575" s="15"/>
      <c r="E575" s="15"/>
      <c r="F575" s="15"/>
      <c r="G575" s="13"/>
      <c r="H575" s="16" t="str">
        <f t="shared" si="72"/>
        <v/>
      </c>
      <c r="I575" s="17" t="str">
        <f>IF(OR(A575="",B575=""),"",IFERROR(LOOKUP(2,1/(单次交易!$A$2:$A$201=A575),单次交易!$H$2:$H$201),0)+SUMIFS($G$2:$G$1001,$A$2:$A$1001,A575,$B$2:$B$1001,"&lt;"&amp;B575))</f>
        <v/>
      </c>
      <c r="J575" s="16" t="str">
        <f>IF(OR(A575="",B575=""),"",IFERROR(LOOKUP(2,1/(单次交易!$A$2:$A$201=A575),单次交易!$E$2:$E$201)*LOOKUP(2,1/(单次交易!$A$2:$A$201=A575),单次交易!$H$2:$H$201),0)+SUMIFS($H$2:$H$1001,$A$2:$A$1001,A575,$B$2:$B$1001,"&lt;"&amp;B575))</f>
        <v/>
      </c>
      <c r="K575" s="16" t="str">
        <f t="shared" si="73"/>
        <v/>
      </c>
      <c r="L575" s="17" t="str">
        <f t="shared" si="74"/>
        <v/>
      </c>
      <c r="M575" s="17" t="str">
        <f t="shared" si="75"/>
        <v/>
      </c>
      <c r="N575" s="17" t="str">
        <f t="shared" si="76"/>
        <v/>
      </c>
      <c r="O575" s="17" t="str">
        <f t="shared" si="77"/>
        <v/>
      </c>
      <c r="P575" s="16" t="str">
        <f t="shared" si="78"/>
        <v/>
      </c>
      <c r="Q575" s="16" t="str">
        <f t="shared" si="79"/>
        <v/>
      </c>
      <c r="R575" s="18" t="str">
        <f t="shared" si="80"/>
        <v/>
      </c>
    </row>
    <row r="576" spans="1:18">
      <c r="A576" s="12"/>
      <c r="B576" s="13"/>
      <c r="C576" s="14"/>
      <c r="D576" s="15"/>
      <c r="E576" s="15"/>
      <c r="F576" s="15"/>
      <c r="G576" s="13"/>
      <c r="H576" s="16" t="str">
        <f t="shared" si="72"/>
        <v/>
      </c>
      <c r="I576" s="17" t="str">
        <f>IF(OR(A576="",B576=""),"",IFERROR(LOOKUP(2,1/(单次交易!$A$2:$A$201=A576),单次交易!$H$2:$H$201),0)+SUMIFS($G$2:$G$1001,$A$2:$A$1001,A576,$B$2:$B$1001,"&lt;"&amp;B576))</f>
        <v/>
      </c>
      <c r="J576" s="16" t="str">
        <f>IF(OR(A576="",B576=""),"",IFERROR(LOOKUP(2,1/(单次交易!$A$2:$A$201=A576),单次交易!$E$2:$E$201)*LOOKUP(2,1/(单次交易!$A$2:$A$201=A576),单次交易!$H$2:$H$201),0)+SUMIFS($H$2:$H$1001,$A$2:$A$1001,A576,$B$2:$B$1001,"&lt;"&amp;B576))</f>
        <v/>
      </c>
      <c r="K576" s="16" t="str">
        <f t="shared" si="73"/>
        <v/>
      </c>
      <c r="L576" s="17" t="str">
        <f t="shared" si="74"/>
        <v/>
      </c>
      <c r="M576" s="17" t="str">
        <f t="shared" si="75"/>
        <v/>
      </c>
      <c r="N576" s="17" t="str">
        <f t="shared" si="76"/>
        <v/>
      </c>
      <c r="O576" s="17" t="str">
        <f t="shared" si="77"/>
        <v/>
      </c>
      <c r="P576" s="16" t="str">
        <f t="shared" si="78"/>
        <v/>
      </c>
      <c r="Q576" s="16" t="str">
        <f t="shared" si="79"/>
        <v/>
      </c>
      <c r="R576" s="18" t="str">
        <f t="shared" si="80"/>
        <v/>
      </c>
    </row>
    <row r="577" spans="1:18">
      <c r="A577" s="12"/>
      <c r="B577" s="13"/>
      <c r="C577" s="14"/>
      <c r="D577" s="15"/>
      <c r="E577" s="15"/>
      <c r="F577" s="15"/>
      <c r="G577" s="13"/>
      <c r="H577" s="16" t="str">
        <f t="shared" si="72"/>
        <v/>
      </c>
      <c r="I577" s="17" t="str">
        <f>IF(OR(A577="",B577=""),"",IFERROR(LOOKUP(2,1/(单次交易!$A$2:$A$201=A577),单次交易!$H$2:$H$201),0)+SUMIFS($G$2:$G$1001,$A$2:$A$1001,A577,$B$2:$B$1001,"&lt;"&amp;B577))</f>
        <v/>
      </c>
      <c r="J577" s="16" t="str">
        <f>IF(OR(A577="",B577=""),"",IFERROR(LOOKUP(2,1/(单次交易!$A$2:$A$201=A577),单次交易!$E$2:$E$201)*LOOKUP(2,1/(单次交易!$A$2:$A$201=A577),单次交易!$H$2:$H$201),0)+SUMIFS($H$2:$H$1001,$A$2:$A$1001,A577,$B$2:$B$1001,"&lt;"&amp;B577))</f>
        <v/>
      </c>
      <c r="K577" s="16" t="str">
        <f t="shared" si="73"/>
        <v/>
      </c>
      <c r="L577" s="17" t="str">
        <f t="shared" si="74"/>
        <v/>
      </c>
      <c r="M577" s="17" t="str">
        <f t="shared" si="75"/>
        <v/>
      </c>
      <c r="N577" s="17" t="str">
        <f t="shared" si="76"/>
        <v/>
      </c>
      <c r="O577" s="17" t="str">
        <f t="shared" si="77"/>
        <v/>
      </c>
      <c r="P577" s="16" t="str">
        <f t="shared" si="78"/>
        <v/>
      </c>
      <c r="Q577" s="16" t="str">
        <f t="shared" si="79"/>
        <v/>
      </c>
      <c r="R577" s="18" t="str">
        <f t="shared" si="80"/>
        <v/>
      </c>
    </row>
    <row r="578" spans="1:18">
      <c r="A578" s="12"/>
      <c r="B578" s="13"/>
      <c r="C578" s="14"/>
      <c r="D578" s="15"/>
      <c r="E578" s="15"/>
      <c r="F578" s="15"/>
      <c r="G578" s="13"/>
      <c r="H578" s="16" t="str">
        <f t="shared" ref="H578:H641" si="81">IF(OR(A578="",D578="",G578=""),"",D578*G578)</f>
        <v/>
      </c>
      <c r="I578" s="17" t="str">
        <f>IF(OR(A578="",B578=""),"",IFERROR(LOOKUP(2,1/(单次交易!$A$2:$A$201=A578),单次交易!$H$2:$H$201),0)+SUMIFS($G$2:$G$1001,$A$2:$A$1001,A578,$B$2:$B$1001,"&lt;"&amp;B578))</f>
        <v/>
      </c>
      <c r="J578" s="16" t="str">
        <f>IF(OR(A578="",B578=""),"",IFERROR(LOOKUP(2,1/(单次交易!$A$2:$A$201=A578),单次交易!$E$2:$E$201)*LOOKUP(2,1/(单次交易!$A$2:$A$201=A578),单次交易!$H$2:$H$201),0)+SUMIFS($H$2:$H$1001,$A$2:$A$1001,A578,$B$2:$B$1001,"&lt;"&amp;B578))</f>
        <v/>
      </c>
      <c r="K578" s="16" t="str">
        <f t="shared" ref="K578:K641" si="82">IF(OR(E578="",I578="",J578=""),"",MAX(E578*I578-J578,0))</f>
        <v/>
      </c>
      <c r="L578" s="17" t="str">
        <f t="shared" ref="L578:L641" si="83">IF(OR(D578="",E578="",F578="",D578&lt;=E578),"",FLOOR((F578+K578)/(D578-E578),100))</f>
        <v/>
      </c>
      <c r="M578" s="17" t="str">
        <f t="shared" ref="M578:M641" si="84">IF(OR(A578="",B578="",L578=""),"",IF(B578=1,L578,IFERROR(SUMIFS($G$2:$G$1001,$A$2:$A$1001,A578,$B$2:$B$1001,B578-1),0)))</f>
        <v/>
      </c>
      <c r="N578" s="17" t="str">
        <f t="shared" ref="N578:N641" si="85">IF(OR(L578="",M578=""),"",MIN(L578,M578))</f>
        <v/>
      </c>
      <c r="O578" s="17" t="str">
        <f t="shared" ref="O578:O641" si="86">IF(OR(I578="",G578=""),"",I578+G578)</f>
        <v/>
      </c>
      <c r="P578" s="16" t="str">
        <f t="shared" ref="P578:P641" si="87">IF(OR(O578="",O578=0),"",(J578+H578)/O578)</f>
        <v/>
      </c>
      <c r="Q578" s="16" t="str">
        <f t="shared" ref="Q578:Q641" si="88">IF(OR(O578="",E578=""),"",MAX(J578+H578-E578*O578,0))</f>
        <v/>
      </c>
      <c r="R578" s="18" t="str">
        <f t="shared" ref="R578:R641" si="89">IF(A578="","",IF(COUNTIF(_TradeIds,A578)=0,"违规：交易编号不存在",IF(OR(B578="",B578&lt;1,B578&gt;5,B578&lt;&gt;INT(B578)),"违规：加仓序号须为1到5的整数",IF(COUNTIFS($A$2:$A$1001,A578,$B$2:$B$1001,B578)&gt;1,"违规：同一交易的加仓序号重复",IF(OR(D578="",E578="",F578=""),"计划不完整：请填写加仓价、新止损价和风险预算",IF(OR(D578&lt;=0,E578&lt;=0,F578&lt;=0,D578&lt;=E578),"违规：加仓价必须高于新止损价，金额须大于0",IF(AND(B578&gt;1,COUNTIFS($A$2:$A$1001,A578,$B$2:$B$1001,B578-1,$G$2:$G$1001,"&gt;0")=0),"违规：须先完成上一次加仓",IF(AND(B578&gt;1,E578&lt;SUMIFS($E$2:$E$1001,$A$2:$A$1001,A578,$B$2:$B$1001,B578-1)),"违规：新止损价不得低于上一次",IF(AND(B578&gt;1,F578&gt;SUMIFS($F$2:$F$1001,$A$2:$A$1001,A578,$B$2:$B$1001,B578-1)),"违规：风险预算须逐次不增加",IF(OR(_LockStatus="已锁仓",_LockStatus="解锁信息不完整"),"违规：锁仓期间禁止加仓",IF(G578="","计划可执行：建议股数见N列",IF(OR(G578&lt;=0,G578&lt;&gt;INT(G578),MOD(G578,100)&lt;&gt;0),"违规：实际股数须为100股整数倍",IF(G578&gt;N578,"违规：实际股数超过风险或金字塔上限",IF(AND(B578&gt;1,G578&gt;SUMIFS($G$2:$G$1001,$A$2:$A$1001,A578,$B$2:$B$1001,B578-1)),"违规：加仓股数须逐次不增加",IF(Q578&gt;F578,"违规：止损风险超过本次预算","通过")))))))))))))))</f>
        <v/>
      </c>
    </row>
    <row r="579" spans="1:18">
      <c r="A579" s="12"/>
      <c r="B579" s="13"/>
      <c r="C579" s="14"/>
      <c r="D579" s="15"/>
      <c r="E579" s="15"/>
      <c r="F579" s="15"/>
      <c r="G579" s="13"/>
      <c r="H579" s="16" t="str">
        <f t="shared" si="81"/>
        <v/>
      </c>
      <c r="I579" s="17" t="str">
        <f>IF(OR(A579="",B579=""),"",IFERROR(LOOKUP(2,1/(单次交易!$A$2:$A$201=A579),单次交易!$H$2:$H$201),0)+SUMIFS($G$2:$G$1001,$A$2:$A$1001,A579,$B$2:$B$1001,"&lt;"&amp;B579))</f>
        <v/>
      </c>
      <c r="J579" s="16" t="str">
        <f>IF(OR(A579="",B579=""),"",IFERROR(LOOKUP(2,1/(单次交易!$A$2:$A$201=A579),单次交易!$E$2:$E$201)*LOOKUP(2,1/(单次交易!$A$2:$A$201=A579),单次交易!$H$2:$H$201),0)+SUMIFS($H$2:$H$1001,$A$2:$A$1001,A579,$B$2:$B$1001,"&lt;"&amp;B579))</f>
        <v/>
      </c>
      <c r="K579" s="16" t="str">
        <f t="shared" si="82"/>
        <v/>
      </c>
      <c r="L579" s="17" t="str">
        <f t="shared" si="83"/>
        <v/>
      </c>
      <c r="M579" s="17" t="str">
        <f t="shared" si="84"/>
        <v/>
      </c>
      <c r="N579" s="17" t="str">
        <f t="shared" si="85"/>
        <v/>
      </c>
      <c r="O579" s="17" t="str">
        <f t="shared" si="86"/>
        <v/>
      </c>
      <c r="P579" s="16" t="str">
        <f t="shared" si="87"/>
        <v/>
      </c>
      <c r="Q579" s="16" t="str">
        <f t="shared" si="88"/>
        <v/>
      </c>
      <c r="R579" s="18" t="str">
        <f t="shared" si="89"/>
        <v/>
      </c>
    </row>
    <row r="580" spans="1:18">
      <c r="A580" s="12"/>
      <c r="B580" s="13"/>
      <c r="C580" s="14"/>
      <c r="D580" s="15"/>
      <c r="E580" s="15"/>
      <c r="F580" s="15"/>
      <c r="G580" s="13"/>
      <c r="H580" s="16" t="str">
        <f t="shared" si="81"/>
        <v/>
      </c>
      <c r="I580" s="17" t="str">
        <f>IF(OR(A580="",B580=""),"",IFERROR(LOOKUP(2,1/(单次交易!$A$2:$A$201=A580),单次交易!$H$2:$H$201),0)+SUMIFS($G$2:$G$1001,$A$2:$A$1001,A580,$B$2:$B$1001,"&lt;"&amp;B580))</f>
        <v/>
      </c>
      <c r="J580" s="16" t="str">
        <f>IF(OR(A580="",B580=""),"",IFERROR(LOOKUP(2,1/(单次交易!$A$2:$A$201=A580),单次交易!$E$2:$E$201)*LOOKUP(2,1/(单次交易!$A$2:$A$201=A580),单次交易!$H$2:$H$201),0)+SUMIFS($H$2:$H$1001,$A$2:$A$1001,A580,$B$2:$B$1001,"&lt;"&amp;B580))</f>
        <v/>
      </c>
      <c r="K580" s="16" t="str">
        <f t="shared" si="82"/>
        <v/>
      </c>
      <c r="L580" s="17" t="str">
        <f t="shared" si="83"/>
        <v/>
      </c>
      <c r="M580" s="17" t="str">
        <f t="shared" si="84"/>
        <v/>
      </c>
      <c r="N580" s="17" t="str">
        <f t="shared" si="85"/>
        <v/>
      </c>
      <c r="O580" s="17" t="str">
        <f t="shared" si="86"/>
        <v/>
      </c>
      <c r="P580" s="16" t="str">
        <f t="shared" si="87"/>
        <v/>
      </c>
      <c r="Q580" s="16" t="str">
        <f t="shared" si="88"/>
        <v/>
      </c>
      <c r="R580" s="18" t="str">
        <f t="shared" si="89"/>
        <v/>
      </c>
    </row>
    <row r="581" spans="1:18">
      <c r="A581" s="12"/>
      <c r="B581" s="13"/>
      <c r="C581" s="14"/>
      <c r="D581" s="15"/>
      <c r="E581" s="15"/>
      <c r="F581" s="15"/>
      <c r="G581" s="13"/>
      <c r="H581" s="16" t="str">
        <f t="shared" si="81"/>
        <v/>
      </c>
      <c r="I581" s="17" t="str">
        <f>IF(OR(A581="",B581=""),"",IFERROR(LOOKUP(2,1/(单次交易!$A$2:$A$201=A581),单次交易!$H$2:$H$201),0)+SUMIFS($G$2:$G$1001,$A$2:$A$1001,A581,$B$2:$B$1001,"&lt;"&amp;B581))</f>
        <v/>
      </c>
      <c r="J581" s="16" t="str">
        <f>IF(OR(A581="",B581=""),"",IFERROR(LOOKUP(2,1/(单次交易!$A$2:$A$201=A581),单次交易!$E$2:$E$201)*LOOKUP(2,1/(单次交易!$A$2:$A$201=A581),单次交易!$H$2:$H$201),0)+SUMIFS($H$2:$H$1001,$A$2:$A$1001,A581,$B$2:$B$1001,"&lt;"&amp;B581))</f>
        <v/>
      </c>
      <c r="K581" s="16" t="str">
        <f t="shared" si="82"/>
        <v/>
      </c>
      <c r="L581" s="17" t="str">
        <f t="shared" si="83"/>
        <v/>
      </c>
      <c r="M581" s="17" t="str">
        <f t="shared" si="84"/>
        <v/>
      </c>
      <c r="N581" s="17" t="str">
        <f t="shared" si="85"/>
        <v/>
      </c>
      <c r="O581" s="17" t="str">
        <f t="shared" si="86"/>
        <v/>
      </c>
      <c r="P581" s="16" t="str">
        <f t="shared" si="87"/>
        <v/>
      </c>
      <c r="Q581" s="16" t="str">
        <f t="shared" si="88"/>
        <v/>
      </c>
      <c r="R581" s="18" t="str">
        <f t="shared" si="89"/>
        <v/>
      </c>
    </row>
    <row r="582" spans="1:18">
      <c r="A582" s="12"/>
      <c r="B582" s="13"/>
      <c r="C582" s="14"/>
      <c r="D582" s="15"/>
      <c r="E582" s="15"/>
      <c r="F582" s="15"/>
      <c r="G582" s="13"/>
      <c r="H582" s="16" t="str">
        <f t="shared" si="81"/>
        <v/>
      </c>
      <c r="I582" s="17" t="str">
        <f>IF(OR(A582="",B582=""),"",IFERROR(LOOKUP(2,1/(单次交易!$A$2:$A$201=A582),单次交易!$H$2:$H$201),0)+SUMIFS($G$2:$G$1001,$A$2:$A$1001,A582,$B$2:$B$1001,"&lt;"&amp;B582))</f>
        <v/>
      </c>
      <c r="J582" s="16" t="str">
        <f>IF(OR(A582="",B582=""),"",IFERROR(LOOKUP(2,1/(单次交易!$A$2:$A$201=A582),单次交易!$E$2:$E$201)*LOOKUP(2,1/(单次交易!$A$2:$A$201=A582),单次交易!$H$2:$H$201),0)+SUMIFS($H$2:$H$1001,$A$2:$A$1001,A582,$B$2:$B$1001,"&lt;"&amp;B582))</f>
        <v/>
      </c>
      <c r="K582" s="16" t="str">
        <f t="shared" si="82"/>
        <v/>
      </c>
      <c r="L582" s="17" t="str">
        <f t="shared" si="83"/>
        <v/>
      </c>
      <c r="M582" s="17" t="str">
        <f t="shared" si="84"/>
        <v/>
      </c>
      <c r="N582" s="17" t="str">
        <f t="shared" si="85"/>
        <v/>
      </c>
      <c r="O582" s="17" t="str">
        <f t="shared" si="86"/>
        <v/>
      </c>
      <c r="P582" s="16" t="str">
        <f t="shared" si="87"/>
        <v/>
      </c>
      <c r="Q582" s="16" t="str">
        <f t="shared" si="88"/>
        <v/>
      </c>
      <c r="R582" s="18" t="str">
        <f t="shared" si="89"/>
        <v/>
      </c>
    </row>
    <row r="583" spans="1:18">
      <c r="A583" s="12"/>
      <c r="B583" s="13"/>
      <c r="C583" s="14"/>
      <c r="D583" s="15"/>
      <c r="E583" s="15"/>
      <c r="F583" s="15"/>
      <c r="G583" s="13"/>
      <c r="H583" s="16" t="str">
        <f t="shared" si="81"/>
        <v/>
      </c>
      <c r="I583" s="17" t="str">
        <f>IF(OR(A583="",B583=""),"",IFERROR(LOOKUP(2,1/(单次交易!$A$2:$A$201=A583),单次交易!$H$2:$H$201),0)+SUMIFS($G$2:$G$1001,$A$2:$A$1001,A583,$B$2:$B$1001,"&lt;"&amp;B583))</f>
        <v/>
      </c>
      <c r="J583" s="16" t="str">
        <f>IF(OR(A583="",B583=""),"",IFERROR(LOOKUP(2,1/(单次交易!$A$2:$A$201=A583),单次交易!$E$2:$E$201)*LOOKUP(2,1/(单次交易!$A$2:$A$201=A583),单次交易!$H$2:$H$201),0)+SUMIFS($H$2:$H$1001,$A$2:$A$1001,A583,$B$2:$B$1001,"&lt;"&amp;B583))</f>
        <v/>
      </c>
      <c r="K583" s="16" t="str">
        <f t="shared" si="82"/>
        <v/>
      </c>
      <c r="L583" s="17" t="str">
        <f t="shared" si="83"/>
        <v/>
      </c>
      <c r="M583" s="17" t="str">
        <f t="shared" si="84"/>
        <v/>
      </c>
      <c r="N583" s="17" t="str">
        <f t="shared" si="85"/>
        <v/>
      </c>
      <c r="O583" s="17" t="str">
        <f t="shared" si="86"/>
        <v/>
      </c>
      <c r="P583" s="16" t="str">
        <f t="shared" si="87"/>
        <v/>
      </c>
      <c r="Q583" s="16" t="str">
        <f t="shared" si="88"/>
        <v/>
      </c>
      <c r="R583" s="18" t="str">
        <f t="shared" si="89"/>
        <v/>
      </c>
    </row>
    <row r="584" spans="1:18">
      <c r="A584" s="12"/>
      <c r="B584" s="13"/>
      <c r="C584" s="14"/>
      <c r="D584" s="15"/>
      <c r="E584" s="15"/>
      <c r="F584" s="15"/>
      <c r="G584" s="13"/>
      <c r="H584" s="16" t="str">
        <f t="shared" si="81"/>
        <v/>
      </c>
      <c r="I584" s="17" t="str">
        <f>IF(OR(A584="",B584=""),"",IFERROR(LOOKUP(2,1/(单次交易!$A$2:$A$201=A584),单次交易!$H$2:$H$201),0)+SUMIFS($G$2:$G$1001,$A$2:$A$1001,A584,$B$2:$B$1001,"&lt;"&amp;B584))</f>
        <v/>
      </c>
      <c r="J584" s="16" t="str">
        <f>IF(OR(A584="",B584=""),"",IFERROR(LOOKUP(2,1/(单次交易!$A$2:$A$201=A584),单次交易!$E$2:$E$201)*LOOKUP(2,1/(单次交易!$A$2:$A$201=A584),单次交易!$H$2:$H$201),0)+SUMIFS($H$2:$H$1001,$A$2:$A$1001,A584,$B$2:$B$1001,"&lt;"&amp;B584))</f>
        <v/>
      </c>
      <c r="K584" s="16" t="str">
        <f t="shared" si="82"/>
        <v/>
      </c>
      <c r="L584" s="17" t="str">
        <f t="shared" si="83"/>
        <v/>
      </c>
      <c r="M584" s="17" t="str">
        <f t="shared" si="84"/>
        <v/>
      </c>
      <c r="N584" s="17" t="str">
        <f t="shared" si="85"/>
        <v/>
      </c>
      <c r="O584" s="17" t="str">
        <f t="shared" si="86"/>
        <v/>
      </c>
      <c r="P584" s="16" t="str">
        <f t="shared" si="87"/>
        <v/>
      </c>
      <c r="Q584" s="16" t="str">
        <f t="shared" si="88"/>
        <v/>
      </c>
      <c r="R584" s="18" t="str">
        <f t="shared" si="89"/>
        <v/>
      </c>
    </row>
    <row r="585" spans="1:18">
      <c r="A585" s="12"/>
      <c r="B585" s="13"/>
      <c r="C585" s="14"/>
      <c r="D585" s="15"/>
      <c r="E585" s="15"/>
      <c r="F585" s="15"/>
      <c r="G585" s="13"/>
      <c r="H585" s="16" t="str">
        <f t="shared" si="81"/>
        <v/>
      </c>
      <c r="I585" s="17" t="str">
        <f>IF(OR(A585="",B585=""),"",IFERROR(LOOKUP(2,1/(单次交易!$A$2:$A$201=A585),单次交易!$H$2:$H$201),0)+SUMIFS($G$2:$G$1001,$A$2:$A$1001,A585,$B$2:$B$1001,"&lt;"&amp;B585))</f>
        <v/>
      </c>
      <c r="J585" s="16" t="str">
        <f>IF(OR(A585="",B585=""),"",IFERROR(LOOKUP(2,1/(单次交易!$A$2:$A$201=A585),单次交易!$E$2:$E$201)*LOOKUP(2,1/(单次交易!$A$2:$A$201=A585),单次交易!$H$2:$H$201),0)+SUMIFS($H$2:$H$1001,$A$2:$A$1001,A585,$B$2:$B$1001,"&lt;"&amp;B585))</f>
        <v/>
      </c>
      <c r="K585" s="16" t="str">
        <f t="shared" si="82"/>
        <v/>
      </c>
      <c r="L585" s="17" t="str">
        <f t="shared" si="83"/>
        <v/>
      </c>
      <c r="M585" s="17" t="str">
        <f t="shared" si="84"/>
        <v/>
      </c>
      <c r="N585" s="17" t="str">
        <f t="shared" si="85"/>
        <v/>
      </c>
      <c r="O585" s="17" t="str">
        <f t="shared" si="86"/>
        <v/>
      </c>
      <c r="P585" s="16" t="str">
        <f t="shared" si="87"/>
        <v/>
      </c>
      <c r="Q585" s="16" t="str">
        <f t="shared" si="88"/>
        <v/>
      </c>
      <c r="R585" s="18" t="str">
        <f t="shared" si="89"/>
        <v/>
      </c>
    </row>
    <row r="586" spans="1:18">
      <c r="A586" s="12"/>
      <c r="B586" s="13"/>
      <c r="C586" s="14"/>
      <c r="D586" s="15"/>
      <c r="E586" s="15"/>
      <c r="F586" s="15"/>
      <c r="G586" s="13"/>
      <c r="H586" s="16" t="str">
        <f t="shared" si="81"/>
        <v/>
      </c>
      <c r="I586" s="17" t="str">
        <f>IF(OR(A586="",B586=""),"",IFERROR(LOOKUP(2,1/(单次交易!$A$2:$A$201=A586),单次交易!$H$2:$H$201),0)+SUMIFS($G$2:$G$1001,$A$2:$A$1001,A586,$B$2:$B$1001,"&lt;"&amp;B586))</f>
        <v/>
      </c>
      <c r="J586" s="16" t="str">
        <f>IF(OR(A586="",B586=""),"",IFERROR(LOOKUP(2,1/(单次交易!$A$2:$A$201=A586),单次交易!$E$2:$E$201)*LOOKUP(2,1/(单次交易!$A$2:$A$201=A586),单次交易!$H$2:$H$201),0)+SUMIFS($H$2:$H$1001,$A$2:$A$1001,A586,$B$2:$B$1001,"&lt;"&amp;B586))</f>
        <v/>
      </c>
      <c r="K586" s="16" t="str">
        <f t="shared" si="82"/>
        <v/>
      </c>
      <c r="L586" s="17" t="str">
        <f t="shared" si="83"/>
        <v/>
      </c>
      <c r="M586" s="17" t="str">
        <f t="shared" si="84"/>
        <v/>
      </c>
      <c r="N586" s="17" t="str">
        <f t="shared" si="85"/>
        <v/>
      </c>
      <c r="O586" s="17" t="str">
        <f t="shared" si="86"/>
        <v/>
      </c>
      <c r="P586" s="16" t="str">
        <f t="shared" si="87"/>
        <v/>
      </c>
      <c r="Q586" s="16" t="str">
        <f t="shared" si="88"/>
        <v/>
      </c>
      <c r="R586" s="18" t="str">
        <f t="shared" si="89"/>
        <v/>
      </c>
    </row>
    <row r="587" spans="1:18">
      <c r="A587" s="12"/>
      <c r="B587" s="13"/>
      <c r="C587" s="14"/>
      <c r="D587" s="15"/>
      <c r="E587" s="15"/>
      <c r="F587" s="15"/>
      <c r="G587" s="13"/>
      <c r="H587" s="16" t="str">
        <f t="shared" si="81"/>
        <v/>
      </c>
      <c r="I587" s="17" t="str">
        <f>IF(OR(A587="",B587=""),"",IFERROR(LOOKUP(2,1/(单次交易!$A$2:$A$201=A587),单次交易!$H$2:$H$201),0)+SUMIFS($G$2:$G$1001,$A$2:$A$1001,A587,$B$2:$B$1001,"&lt;"&amp;B587))</f>
        <v/>
      </c>
      <c r="J587" s="16" t="str">
        <f>IF(OR(A587="",B587=""),"",IFERROR(LOOKUP(2,1/(单次交易!$A$2:$A$201=A587),单次交易!$E$2:$E$201)*LOOKUP(2,1/(单次交易!$A$2:$A$201=A587),单次交易!$H$2:$H$201),0)+SUMIFS($H$2:$H$1001,$A$2:$A$1001,A587,$B$2:$B$1001,"&lt;"&amp;B587))</f>
        <v/>
      </c>
      <c r="K587" s="16" t="str">
        <f t="shared" si="82"/>
        <v/>
      </c>
      <c r="L587" s="17" t="str">
        <f t="shared" si="83"/>
        <v/>
      </c>
      <c r="M587" s="17" t="str">
        <f t="shared" si="84"/>
        <v/>
      </c>
      <c r="N587" s="17" t="str">
        <f t="shared" si="85"/>
        <v/>
      </c>
      <c r="O587" s="17" t="str">
        <f t="shared" si="86"/>
        <v/>
      </c>
      <c r="P587" s="16" t="str">
        <f t="shared" si="87"/>
        <v/>
      </c>
      <c r="Q587" s="16" t="str">
        <f t="shared" si="88"/>
        <v/>
      </c>
      <c r="R587" s="18" t="str">
        <f t="shared" si="89"/>
        <v/>
      </c>
    </row>
    <row r="588" spans="1:18">
      <c r="A588" s="12"/>
      <c r="B588" s="13"/>
      <c r="C588" s="14"/>
      <c r="D588" s="15"/>
      <c r="E588" s="15"/>
      <c r="F588" s="15"/>
      <c r="G588" s="13"/>
      <c r="H588" s="16" t="str">
        <f t="shared" si="81"/>
        <v/>
      </c>
      <c r="I588" s="17" t="str">
        <f>IF(OR(A588="",B588=""),"",IFERROR(LOOKUP(2,1/(单次交易!$A$2:$A$201=A588),单次交易!$H$2:$H$201),0)+SUMIFS($G$2:$G$1001,$A$2:$A$1001,A588,$B$2:$B$1001,"&lt;"&amp;B588))</f>
        <v/>
      </c>
      <c r="J588" s="16" t="str">
        <f>IF(OR(A588="",B588=""),"",IFERROR(LOOKUP(2,1/(单次交易!$A$2:$A$201=A588),单次交易!$E$2:$E$201)*LOOKUP(2,1/(单次交易!$A$2:$A$201=A588),单次交易!$H$2:$H$201),0)+SUMIFS($H$2:$H$1001,$A$2:$A$1001,A588,$B$2:$B$1001,"&lt;"&amp;B588))</f>
        <v/>
      </c>
      <c r="K588" s="16" t="str">
        <f t="shared" si="82"/>
        <v/>
      </c>
      <c r="L588" s="17" t="str">
        <f t="shared" si="83"/>
        <v/>
      </c>
      <c r="M588" s="17" t="str">
        <f t="shared" si="84"/>
        <v/>
      </c>
      <c r="N588" s="17" t="str">
        <f t="shared" si="85"/>
        <v/>
      </c>
      <c r="O588" s="17" t="str">
        <f t="shared" si="86"/>
        <v/>
      </c>
      <c r="P588" s="16" t="str">
        <f t="shared" si="87"/>
        <v/>
      </c>
      <c r="Q588" s="16" t="str">
        <f t="shared" si="88"/>
        <v/>
      </c>
      <c r="R588" s="18" t="str">
        <f t="shared" si="89"/>
        <v/>
      </c>
    </row>
    <row r="589" spans="1:18">
      <c r="A589" s="12"/>
      <c r="B589" s="13"/>
      <c r="C589" s="14"/>
      <c r="D589" s="15"/>
      <c r="E589" s="15"/>
      <c r="F589" s="15"/>
      <c r="G589" s="13"/>
      <c r="H589" s="16" t="str">
        <f t="shared" si="81"/>
        <v/>
      </c>
      <c r="I589" s="17" t="str">
        <f>IF(OR(A589="",B589=""),"",IFERROR(LOOKUP(2,1/(单次交易!$A$2:$A$201=A589),单次交易!$H$2:$H$201),0)+SUMIFS($G$2:$G$1001,$A$2:$A$1001,A589,$B$2:$B$1001,"&lt;"&amp;B589))</f>
        <v/>
      </c>
      <c r="J589" s="16" t="str">
        <f>IF(OR(A589="",B589=""),"",IFERROR(LOOKUP(2,1/(单次交易!$A$2:$A$201=A589),单次交易!$E$2:$E$201)*LOOKUP(2,1/(单次交易!$A$2:$A$201=A589),单次交易!$H$2:$H$201),0)+SUMIFS($H$2:$H$1001,$A$2:$A$1001,A589,$B$2:$B$1001,"&lt;"&amp;B589))</f>
        <v/>
      </c>
      <c r="K589" s="16" t="str">
        <f t="shared" si="82"/>
        <v/>
      </c>
      <c r="L589" s="17" t="str">
        <f t="shared" si="83"/>
        <v/>
      </c>
      <c r="M589" s="17" t="str">
        <f t="shared" si="84"/>
        <v/>
      </c>
      <c r="N589" s="17" t="str">
        <f t="shared" si="85"/>
        <v/>
      </c>
      <c r="O589" s="17" t="str">
        <f t="shared" si="86"/>
        <v/>
      </c>
      <c r="P589" s="16" t="str">
        <f t="shared" si="87"/>
        <v/>
      </c>
      <c r="Q589" s="16" t="str">
        <f t="shared" si="88"/>
        <v/>
      </c>
      <c r="R589" s="18" t="str">
        <f t="shared" si="89"/>
        <v/>
      </c>
    </row>
    <row r="590" spans="1:18">
      <c r="A590" s="12"/>
      <c r="B590" s="13"/>
      <c r="C590" s="14"/>
      <c r="D590" s="15"/>
      <c r="E590" s="15"/>
      <c r="F590" s="15"/>
      <c r="G590" s="13"/>
      <c r="H590" s="16" t="str">
        <f t="shared" si="81"/>
        <v/>
      </c>
      <c r="I590" s="17" t="str">
        <f>IF(OR(A590="",B590=""),"",IFERROR(LOOKUP(2,1/(单次交易!$A$2:$A$201=A590),单次交易!$H$2:$H$201),0)+SUMIFS($G$2:$G$1001,$A$2:$A$1001,A590,$B$2:$B$1001,"&lt;"&amp;B590))</f>
        <v/>
      </c>
      <c r="J590" s="16" t="str">
        <f>IF(OR(A590="",B590=""),"",IFERROR(LOOKUP(2,1/(单次交易!$A$2:$A$201=A590),单次交易!$E$2:$E$201)*LOOKUP(2,1/(单次交易!$A$2:$A$201=A590),单次交易!$H$2:$H$201),0)+SUMIFS($H$2:$H$1001,$A$2:$A$1001,A590,$B$2:$B$1001,"&lt;"&amp;B590))</f>
        <v/>
      </c>
      <c r="K590" s="16" t="str">
        <f t="shared" si="82"/>
        <v/>
      </c>
      <c r="L590" s="17" t="str">
        <f t="shared" si="83"/>
        <v/>
      </c>
      <c r="M590" s="17" t="str">
        <f t="shared" si="84"/>
        <v/>
      </c>
      <c r="N590" s="17" t="str">
        <f t="shared" si="85"/>
        <v/>
      </c>
      <c r="O590" s="17" t="str">
        <f t="shared" si="86"/>
        <v/>
      </c>
      <c r="P590" s="16" t="str">
        <f t="shared" si="87"/>
        <v/>
      </c>
      <c r="Q590" s="16" t="str">
        <f t="shared" si="88"/>
        <v/>
      </c>
      <c r="R590" s="18" t="str">
        <f t="shared" si="89"/>
        <v/>
      </c>
    </row>
    <row r="591" spans="1:18">
      <c r="A591" s="12"/>
      <c r="B591" s="13"/>
      <c r="C591" s="14"/>
      <c r="D591" s="15"/>
      <c r="E591" s="15"/>
      <c r="F591" s="15"/>
      <c r="G591" s="13"/>
      <c r="H591" s="16" t="str">
        <f t="shared" si="81"/>
        <v/>
      </c>
      <c r="I591" s="17" t="str">
        <f>IF(OR(A591="",B591=""),"",IFERROR(LOOKUP(2,1/(单次交易!$A$2:$A$201=A591),单次交易!$H$2:$H$201),0)+SUMIFS($G$2:$G$1001,$A$2:$A$1001,A591,$B$2:$B$1001,"&lt;"&amp;B591))</f>
        <v/>
      </c>
      <c r="J591" s="16" t="str">
        <f>IF(OR(A591="",B591=""),"",IFERROR(LOOKUP(2,1/(单次交易!$A$2:$A$201=A591),单次交易!$E$2:$E$201)*LOOKUP(2,1/(单次交易!$A$2:$A$201=A591),单次交易!$H$2:$H$201),0)+SUMIFS($H$2:$H$1001,$A$2:$A$1001,A591,$B$2:$B$1001,"&lt;"&amp;B591))</f>
        <v/>
      </c>
      <c r="K591" s="16" t="str">
        <f t="shared" si="82"/>
        <v/>
      </c>
      <c r="L591" s="17" t="str">
        <f t="shared" si="83"/>
        <v/>
      </c>
      <c r="M591" s="17" t="str">
        <f t="shared" si="84"/>
        <v/>
      </c>
      <c r="N591" s="17" t="str">
        <f t="shared" si="85"/>
        <v/>
      </c>
      <c r="O591" s="17" t="str">
        <f t="shared" si="86"/>
        <v/>
      </c>
      <c r="P591" s="16" t="str">
        <f t="shared" si="87"/>
        <v/>
      </c>
      <c r="Q591" s="16" t="str">
        <f t="shared" si="88"/>
        <v/>
      </c>
      <c r="R591" s="18" t="str">
        <f t="shared" si="89"/>
        <v/>
      </c>
    </row>
    <row r="592" spans="1:18">
      <c r="A592" s="12"/>
      <c r="B592" s="13"/>
      <c r="C592" s="14"/>
      <c r="D592" s="15"/>
      <c r="E592" s="15"/>
      <c r="F592" s="15"/>
      <c r="G592" s="13"/>
      <c r="H592" s="16" t="str">
        <f t="shared" si="81"/>
        <v/>
      </c>
      <c r="I592" s="17" t="str">
        <f>IF(OR(A592="",B592=""),"",IFERROR(LOOKUP(2,1/(单次交易!$A$2:$A$201=A592),单次交易!$H$2:$H$201),0)+SUMIFS($G$2:$G$1001,$A$2:$A$1001,A592,$B$2:$B$1001,"&lt;"&amp;B592))</f>
        <v/>
      </c>
      <c r="J592" s="16" t="str">
        <f>IF(OR(A592="",B592=""),"",IFERROR(LOOKUP(2,1/(单次交易!$A$2:$A$201=A592),单次交易!$E$2:$E$201)*LOOKUP(2,1/(单次交易!$A$2:$A$201=A592),单次交易!$H$2:$H$201),0)+SUMIFS($H$2:$H$1001,$A$2:$A$1001,A592,$B$2:$B$1001,"&lt;"&amp;B592))</f>
        <v/>
      </c>
      <c r="K592" s="16" t="str">
        <f t="shared" si="82"/>
        <v/>
      </c>
      <c r="L592" s="17" t="str">
        <f t="shared" si="83"/>
        <v/>
      </c>
      <c r="M592" s="17" t="str">
        <f t="shared" si="84"/>
        <v/>
      </c>
      <c r="N592" s="17" t="str">
        <f t="shared" si="85"/>
        <v/>
      </c>
      <c r="O592" s="17" t="str">
        <f t="shared" si="86"/>
        <v/>
      </c>
      <c r="P592" s="16" t="str">
        <f t="shared" si="87"/>
        <v/>
      </c>
      <c r="Q592" s="16" t="str">
        <f t="shared" si="88"/>
        <v/>
      </c>
      <c r="R592" s="18" t="str">
        <f t="shared" si="89"/>
        <v/>
      </c>
    </row>
    <row r="593" spans="1:18">
      <c r="A593" s="12"/>
      <c r="B593" s="13"/>
      <c r="C593" s="14"/>
      <c r="D593" s="15"/>
      <c r="E593" s="15"/>
      <c r="F593" s="15"/>
      <c r="G593" s="13"/>
      <c r="H593" s="16" t="str">
        <f t="shared" si="81"/>
        <v/>
      </c>
      <c r="I593" s="17" t="str">
        <f>IF(OR(A593="",B593=""),"",IFERROR(LOOKUP(2,1/(单次交易!$A$2:$A$201=A593),单次交易!$H$2:$H$201),0)+SUMIFS($G$2:$G$1001,$A$2:$A$1001,A593,$B$2:$B$1001,"&lt;"&amp;B593))</f>
        <v/>
      </c>
      <c r="J593" s="16" t="str">
        <f>IF(OR(A593="",B593=""),"",IFERROR(LOOKUP(2,1/(单次交易!$A$2:$A$201=A593),单次交易!$E$2:$E$201)*LOOKUP(2,1/(单次交易!$A$2:$A$201=A593),单次交易!$H$2:$H$201),0)+SUMIFS($H$2:$H$1001,$A$2:$A$1001,A593,$B$2:$B$1001,"&lt;"&amp;B593))</f>
        <v/>
      </c>
      <c r="K593" s="16" t="str">
        <f t="shared" si="82"/>
        <v/>
      </c>
      <c r="L593" s="17" t="str">
        <f t="shared" si="83"/>
        <v/>
      </c>
      <c r="M593" s="17" t="str">
        <f t="shared" si="84"/>
        <v/>
      </c>
      <c r="N593" s="17" t="str">
        <f t="shared" si="85"/>
        <v/>
      </c>
      <c r="O593" s="17" t="str">
        <f t="shared" si="86"/>
        <v/>
      </c>
      <c r="P593" s="16" t="str">
        <f t="shared" si="87"/>
        <v/>
      </c>
      <c r="Q593" s="16" t="str">
        <f t="shared" si="88"/>
        <v/>
      </c>
      <c r="R593" s="18" t="str">
        <f t="shared" si="89"/>
        <v/>
      </c>
    </row>
    <row r="594" spans="1:18">
      <c r="A594" s="12"/>
      <c r="B594" s="13"/>
      <c r="C594" s="14"/>
      <c r="D594" s="15"/>
      <c r="E594" s="15"/>
      <c r="F594" s="15"/>
      <c r="G594" s="13"/>
      <c r="H594" s="16" t="str">
        <f t="shared" si="81"/>
        <v/>
      </c>
      <c r="I594" s="17" t="str">
        <f>IF(OR(A594="",B594=""),"",IFERROR(LOOKUP(2,1/(单次交易!$A$2:$A$201=A594),单次交易!$H$2:$H$201),0)+SUMIFS($G$2:$G$1001,$A$2:$A$1001,A594,$B$2:$B$1001,"&lt;"&amp;B594))</f>
        <v/>
      </c>
      <c r="J594" s="16" t="str">
        <f>IF(OR(A594="",B594=""),"",IFERROR(LOOKUP(2,1/(单次交易!$A$2:$A$201=A594),单次交易!$E$2:$E$201)*LOOKUP(2,1/(单次交易!$A$2:$A$201=A594),单次交易!$H$2:$H$201),0)+SUMIFS($H$2:$H$1001,$A$2:$A$1001,A594,$B$2:$B$1001,"&lt;"&amp;B594))</f>
        <v/>
      </c>
      <c r="K594" s="16" t="str">
        <f t="shared" si="82"/>
        <v/>
      </c>
      <c r="L594" s="17" t="str">
        <f t="shared" si="83"/>
        <v/>
      </c>
      <c r="M594" s="17" t="str">
        <f t="shared" si="84"/>
        <v/>
      </c>
      <c r="N594" s="17" t="str">
        <f t="shared" si="85"/>
        <v/>
      </c>
      <c r="O594" s="17" t="str">
        <f t="shared" si="86"/>
        <v/>
      </c>
      <c r="P594" s="16" t="str">
        <f t="shared" si="87"/>
        <v/>
      </c>
      <c r="Q594" s="16" t="str">
        <f t="shared" si="88"/>
        <v/>
      </c>
      <c r="R594" s="18" t="str">
        <f t="shared" si="89"/>
        <v/>
      </c>
    </row>
    <row r="595" spans="1:18">
      <c r="A595" s="12"/>
      <c r="B595" s="13"/>
      <c r="C595" s="14"/>
      <c r="D595" s="15"/>
      <c r="E595" s="15"/>
      <c r="F595" s="15"/>
      <c r="G595" s="13"/>
      <c r="H595" s="16" t="str">
        <f t="shared" si="81"/>
        <v/>
      </c>
      <c r="I595" s="17" t="str">
        <f>IF(OR(A595="",B595=""),"",IFERROR(LOOKUP(2,1/(单次交易!$A$2:$A$201=A595),单次交易!$H$2:$H$201),0)+SUMIFS($G$2:$G$1001,$A$2:$A$1001,A595,$B$2:$B$1001,"&lt;"&amp;B595))</f>
        <v/>
      </c>
      <c r="J595" s="16" t="str">
        <f>IF(OR(A595="",B595=""),"",IFERROR(LOOKUP(2,1/(单次交易!$A$2:$A$201=A595),单次交易!$E$2:$E$201)*LOOKUP(2,1/(单次交易!$A$2:$A$201=A595),单次交易!$H$2:$H$201),0)+SUMIFS($H$2:$H$1001,$A$2:$A$1001,A595,$B$2:$B$1001,"&lt;"&amp;B595))</f>
        <v/>
      </c>
      <c r="K595" s="16" t="str">
        <f t="shared" si="82"/>
        <v/>
      </c>
      <c r="L595" s="17" t="str">
        <f t="shared" si="83"/>
        <v/>
      </c>
      <c r="M595" s="17" t="str">
        <f t="shared" si="84"/>
        <v/>
      </c>
      <c r="N595" s="17" t="str">
        <f t="shared" si="85"/>
        <v/>
      </c>
      <c r="O595" s="17" t="str">
        <f t="shared" si="86"/>
        <v/>
      </c>
      <c r="P595" s="16" t="str">
        <f t="shared" si="87"/>
        <v/>
      </c>
      <c r="Q595" s="16" t="str">
        <f t="shared" si="88"/>
        <v/>
      </c>
      <c r="R595" s="18" t="str">
        <f t="shared" si="89"/>
        <v/>
      </c>
    </row>
    <row r="596" spans="1:18">
      <c r="A596" s="12"/>
      <c r="B596" s="13"/>
      <c r="C596" s="14"/>
      <c r="D596" s="15"/>
      <c r="E596" s="15"/>
      <c r="F596" s="15"/>
      <c r="G596" s="13"/>
      <c r="H596" s="16" t="str">
        <f t="shared" si="81"/>
        <v/>
      </c>
      <c r="I596" s="17" t="str">
        <f>IF(OR(A596="",B596=""),"",IFERROR(LOOKUP(2,1/(单次交易!$A$2:$A$201=A596),单次交易!$H$2:$H$201),0)+SUMIFS($G$2:$G$1001,$A$2:$A$1001,A596,$B$2:$B$1001,"&lt;"&amp;B596))</f>
        <v/>
      </c>
      <c r="J596" s="16" t="str">
        <f>IF(OR(A596="",B596=""),"",IFERROR(LOOKUP(2,1/(单次交易!$A$2:$A$201=A596),单次交易!$E$2:$E$201)*LOOKUP(2,1/(单次交易!$A$2:$A$201=A596),单次交易!$H$2:$H$201),0)+SUMIFS($H$2:$H$1001,$A$2:$A$1001,A596,$B$2:$B$1001,"&lt;"&amp;B596))</f>
        <v/>
      </c>
      <c r="K596" s="16" t="str">
        <f t="shared" si="82"/>
        <v/>
      </c>
      <c r="L596" s="17" t="str">
        <f t="shared" si="83"/>
        <v/>
      </c>
      <c r="M596" s="17" t="str">
        <f t="shared" si="84"/>
        <v/>
      </c>
      <c r="N596" s="17" t="str">
        <f t="shared" si="85"/>
        <v/>
      </c>
      <c r="O596" s="17" t="str">
        <f t="shared" si="86"/>
        <v/>
      </c>
      <c r="P596" s="16" t="str">
        <f t="shared" si="87"/>
        <v/>
      </c>
      <c r="Q596" s="16" t="str">
        <f t="shared" si="88"/>
        <v/>
      </c>
      <c r="R596" s="18" t="str">
        <f t="shared" si="89"/>
        <v/>
      </c>
    </row>
    <row r="597" spans="1:18">
      <c r="A597" s="12"/>
      <c r="B597" s="13"/>
      <c r="C597" s="14"/>
      <c r="D597" s="15"/>
      <c r="E597" s="15"/>
      <c r="F597" s="15"/>
      <c r="G597" s="13"/>
      <c r="H597" s="16" t="str">
        <f t="shared" si="81"/>
        <v/>
      </c>
      <c r="I597" s="17" t="str">
        <f>IF(OR(A597="",B597=""),"",IFERROR(LOOKUP(2,1/(单次交易!$A$2:$A$201=A597),单次交易!$H$2:$H$201),0)+SUMIFS($G$2:$G$1001,$A$2:$A$1001,A597,$B$2:$B$1001,"&lt;"&amp;B597))</f>
        <v/>
      </c>
      <c r="J597" s="16" t="str">
        <f>IF(OR(A597="",B597=""),"",IFERROR(LOOKUP(2,1/(单次交易!$A$2:$A$201=A597),单次交易!$E$2:$E$201)*LOOKUP(2,1/(单次交易!$A$2:$A$201=A597),单次交易!$H$2:$H$201),0)+SUMIFS($H$2:$H$1001,$A$2:$A$1001,A597,$B$2:$B$1001,"&lt;"&amp;B597))</f>
        <v/>
      </c>
      <c r="K597" s="16" t="str">
        <f t="shared" si="82"/>
        <v/>
      </c>
      <c r="L597" s="17" t="str">
        <f t="shared" si="83"/>
        <v/>
      </c>
      <c r="M597" s="17" t="str">
        <f t="shared" si="84"/>
        <v/>
      </c>
      <c r="N597" s="17" t="str">
        <f t="shared" si="85"/>
        <v/>
      </c>
      <c r="O597" s="17" t="str">
        <f t="shared" si="86"/>
        <v/>
      </c>
      <c r="P597" s="16" t="str">
        <f t="shared" si="87"/>
        <v/>
      </c>
      <c r="Q597" s="16" t="str">
        <f t="shared" si="88"/>
        <v/>
      </c>
      <c r="R597" s="18" t="str">
        <f t="shared" si="89"/>
        <v/>
      </c>
    </row>
    <row r="598" spans="1:18">
      <c r="A598" s="12"/>
      <c r="B598" s="13"/>
      <c r="C598" s="14"/>
      <c r="D598" s="15"/>
      <c r="E598" s="15"/>
      <c r="F598" s="15"/>
      <c r="G598" s="13"/>
      <c r="H598" s="16" t="str">
        <f t="shared" si="81"/>
        <v/>
      </c>
      <c r="I598" s="17" t="str">
        <f>IF(OR(A598="",B598=""),"",IFERROR(LOOKUP(2,1/(单次交易!$A$2:$A$201=A598),单次交易!$H$2:$H$201),0)+SUMIFS($G$2:$G$1001,$A$2:$A$1001,A598,$B$2:$B$1001,"&lt;"&amp;B598))</f>
        <v/>
      </c>
      <c r="J598" s="16" t="str">
        <f>IF(OR(A598="",B598=""),"",IFERROR(LOOKUP(2,1/(单次交易!$A$2:$A$201=A598),单次交易!$E$2:$E$201)*LOOKUP(2,1/(单次交易!$A$2:$A$201=A598),单次交易!$H$2:$H$201),0)+SUMIFS($H$2:$H$1001,$A$2:$A$1001,A598,$B$2:$B$1001,"&lt;"&amp;B598))</f>
        <v/>
      </c>
      <c r="K598" s="16" t="str">
        <f t="shared" si="82"/>
        <v/>
      </c>
      <c r="L598" s="17" t="str">
        <f t="shared" si="83"/>
        <v/>
      </c>
      <c r="M598" s="17" t="str">
        <f t="shared" si="84"/>
        <v/>
      </c>
      <c r="N598" s="17" t="str">
        <f t="shared" si="85"/>
        <v/>
      </c>
      <c r="O598" s="17" t="str">
        <f t="shared" si="86"/>
        <v/>
      </c>
      <c r="P598" s="16" t="str">
        <f t="shared" si="87"/>
        <v/>
      </c>
      <c r="Q598" s="16" t="str">
        <f t="shared" si="88"/>
        <v/>
      </c>
      <c r="R598" s="18" t="str">
        <f t="shared" si="89"/>
        <v/>
      </c>
    </row>
    <row r="599" spans="1:18">
      <c r="A599" s="12"/>
      <c r="B599" s="13"/>
      <c r="C599" s="14"/>
      <c r="D599" s="15"/>
      <c r="E599" s="15"/>
      <c r="F599" s="15"/>
      <c r="G599" s="13"/>
      <c r="H599" s="16" t="str">
        <f t="shared" si="81"/>
        <v/>
      </c>
      <c r="I599" s="17" t="str">
        <f>IF(OR(A599="",B599=""),"",IFERROR(LOOKUP(2,1/(单次交易!$A$2:$A$201=A599),单次交易!$H$2:$H$201),0)+SUMIFS($G$2:$G$1001,$A$2:$A$1001,A599,$B$2:$B$1001,"&lt;"&amp;B599))</f>
        <v/>
      </c>
      <c r="J599" s="16" t="str">
        <f>IF(OR(A599="",B599=""),"",IFERROR(LOOKUP(2,1/(单次交易!$A$2:$A$201=A599),单次交易!$E$2:$E$201)*LOOKUP(2,1/(单次交易!$A$2:$A$201=A599),单次交易!$H$2:$H$201),0)+SUMIFS($H$2:$H$1001,$A$2:$A$1001,A599,$B$2:$B$1001,"&lt;"&amp;B599))</f>
        <v/>
      </c>
      <c r="K599" s="16" t="str">
        <f t="shared" si="82"/>
        <v/>
      </c>
      <c r="L599" s="17" t="str">
        <f t="shared" si="83"/>
        <v/>
      </c>
      <c r="M599" s="17" t="str">
        <f t="shared" si="84"/>
        <v/>
      </c>
      <c r="N599" s="17" t="str">
        <f t="shared" si="85"/>
        <v/>
      </c>
      <c r="O599" s="17" t="str">
        <f t="shared" si="86"/>
        <v/>
      </c>
      <c r="P599" s="16" t="str">
        <f t="shared" si="87"/>
        <v/>
      </c>
      <c r="Q599" s="16" t="str">
        <f t="shared" si="88"/>
        <v/>
      </c>
      <c r="R599" s="18" t="str">
        <f t="shared" si="89"/>
        <v/>
      </c>
    </row>
    <row r="600" spans="1:18">
      <c r="A600" s="12"/>
      <c r="B600" s="13"/>
      <c r="C600" s="14"/>
      <c r="D600" s="15"/>
      <c r="E600" s="15"/>
      <c r="F600" s="15"/>
      <c r="G600" s="13"/>
      <c r="H600" s="16" t="str">
        <f t="shared" si="81"/>
        <v/>
      </c>
      <c r="I600" s="17" t="str">
        <f>IF(OR(A600="",B600=""),"",IFERROR(LOOKUP(2,1/(单次交易!$A$2:$A$201=A600),单次交易!$H$2:$H$201),0)+SUMIFS($G$2:$G$1001,$A$2:$A$1001,A600,$B$2:$B$1001,"&lt;"&amp;B600))</f>
        <v/>
      </c>
      <c r="J600" s="16" t="str">
        <f>IF(OR(A600="",B600=""),"",IFERROR(LOOKUP(2,1/(单次交易!$A$2:$A$201=A600),单次交易!$E$2:$E$201)*LOOKUP(2,1/(单次交易!$A$2:$A$201=A600),单次交易!$H$2:$H$201),0)+SUMIFS($H$2:$H$1001,$A$2:$A$1001,A600,$B$2:$B$1001,"&lt;"&amp;B600))</f>
        <v/>
      </c>
      <c r="K600" s="16" t="str">
        <f t="shared" si="82"/>
        <v/>
      </c>
      <c r="L600" s="17" t="str">
        <f t="shared" si="83"/>
        <v/>
      </c>
      <c r="M600" s="17" t="str">
        <f t="shared" si="84"/>
        <v/>
      </c>
      <c r="N600" s="17" t="str">
        <f t="shared" si="85"/>
        <v/>
      </c>
      <c r="O600" s="17" t="str">
        <f t="shared" si="86"/>
        <v/>
      </c>
      <c r="P600" s="16" t="str">
        <f t="shared" si="87"/>
        <v/>
      </c>
      <c r="Q600" s="16" t="str">
        <f t="shared" si="88"/>
        <v/>
      </c>
      <c r="R600" s="18" t="str">
        <f t="shared" si="89"/>
        <v/>
      </c>
    </row>
    <row r="601" spans="1:18">
      <c r="A601" s="12"/>
      <c r="B601" s="13"/>
      <c r="C601" s="14"/>
      <c r="D601" s="15"/>
      <c r="E601" s="15"/>
      <c r="F601" s="15"/>
      <c r="G601" s="13"/>
      <c r="H601" s="16" t="str">
        <f t="shared" si="81"/>
        <v/>
      </c>
      <c r="I601" s="17" t="str">
        <f>IF(OR(A601="",B601=""),"",IFERROR(LOOKUP(2,1/(单次交易!$A$2:$A$201=A601),单次交易!$H$2:$H$201),0)+SUMIFS($G$2:$G$1001,$A$2:$A$1001,A601,$B$2:$B$1001,"&lt;"&amp;B601))</f>
        <v/>
      </c>
      <c r="J601" s="16" t="str">
        <f>IF(OR(A601="",B601=""),"",IFERROR(LOOKUP(2,1/(单次交易!$A$2:$A$201=A601),单次交易!$E$2:$E$201)*LOOKUP(2,1/(单次交易!$A$2:$A$201=A601),单次交易!$H$2:$H$201),0)+SUMIFS($H$2:$H$1001,$A$2:$A$1001,A601,$B$2:$B$1001,"&lt;"&amp;B601))</f>
        <v/>
      </c>
      <c r="K601" s="16" t="str">
        <f t="shared" si="82"/>
        <v/>
      </c>
      <c r="L601" s="17" t="str">
        <f t="shared" si="83"/>
        <v/>
      </c>
      <c r="M601" s="17" t="str">
        <f t="shared" si="84"/>
        <v/>
      </c>
      <c r="N601" s="17" t="str">
        <f t="shared" si="85"/>
        <v/>
      </c>
      <c r="O601" s="17" t="str">
        <f t="shared" si="86"/>
        <v/>
      </c>
      <c r="P601" s="16" t="str">
        <f t="shared" si="87"/>
        <v/>
      </c>
      <c r="Q601" s="16" t="str">
        <f t="shared" si="88"/>
        <v/>
      </c>
      <c r="R601" s="18" t="str">
        <f t="shared" si="89"/>
        <v/>
      </c>
    </row>
    <row r="602" spans="1:18">
      <c r="A602" s="12"/>
      <c r="B602" s="13"/>
      <c r="C602" s="14"/>
      <c r="D602" s="15"/>
      <c r="E602" s="15"/>
      <c r="F602" s="15"/>
      <c r="G602" s="13"/>
      <c r="H602" s="16" t="str">
        <f t="shared" si="81"/>
        <v/>
      </c>
      <c r="I602" s="17" t="str">
        <f>IF(OR(A602="",B602=""),"",IFERROR(LOOKUP(2,1/(单次交易!$A$2:$A$201=A602),单次交易!$H$2:$H$201),0)+SUMIFS($G$2:$G$1001,$A$2:$A$1001,A602,$B$2:$B$1001,"&lt;"&amp;B602))</f>
        <v/>
      </c>
      <c r="J602" s="16" t="str">
        <f>IF(OR(A602="",B602=""),"",IFERROR(LOOKUP(2,1/(单次交易!$A$2:$A$201=A602),单次交易!$E$2:$E$201)*LOOKUP(2,1/(单次交易!$A$2:$A$201=A602),单次交易!$H$2:$H$201),0)+SUMIFS($H$2:$H$1001,$A$2:$A$1001,A602,$B$2:$B$1001,"&lt;"&amp;B602))</f>
        <v/>
      </c>
      <c r="K602" s="16" t="str">
        <f t="shared" si="82"/>
        <v/>
      </c>
      <c r="L602" s="17" t="str">
        <f t="shared" si="83"/>
        <v/>
      </c>
      <c r="M602" s="17" t="str">
        <f t="shared" si="84"/>
        <v/>
      </c>
      <c r="N602" s="17" t="str">
        <f t="shared" si="85"/>
        <v/>
      </c>
      <c r="O602" s="17" t="str">
        <f t="shared" si="86"/>
        <v/>
      </c>
      <c r="P602" s="16" t="str">
        <f t="shared" si="87"/>
        <v/>
      </c>
      <c r="Q602" s="16" t="str">
        <f t="shared" si="88"/>
        <v/>
      </c>
      <c r="R602" s="18" t="str">
        <f t="shared" si="89"/>
        <v/>
      </c>
    </row>
    <row r="603" spans="1:18">
      <c r="A603" s="12"/>
      <c r="B603" s="13"/>
      <c r="C603" s="14"/>
      <c r="D603" s="15"/>
      <c r="E603" s="15"/>
      <c r="F603" s="15"/>
      <c r="G603" s="13"/>
      <c r="H603" s="16" t="str">
        <f t="shared" si="81"/>
        <v/>
      </c>
      <c r="I603" s="17" t="str">
        <f>IF(OR(A603="",B603=""),"",IFERROR(LOOKUP(2,1/(单次交易!$A$2:$A$201=A603),单次交易!$H$2:$H$201),0)+SUMIFS($G$2:$G$1001,$A$2:$A$1001,A603,$B$2:$B$1001,"&lt;"&amp;B603))</f>
        <v/>
      </c>
      <c r="J603" s="16" t="str">
        <f>IF(OR(A603="",B603=""),"",IFERROR(LOOKUP(2,1/(单次交易!$A$2:$A$201=A603),单次交易!$E$2:$E$201)*LOOKUP(2,1/(单次交易!$A$2:$A$201=A603),单次交易!$H$2:$H$201),0)+SUMIFS($H$2:$H$1001,$A$2:$A$1001,A603,$B$2:$B$1001,"&lt;"&amp;B603))</f>
        <v/>
      </c>
      <c r="K603" s="16" t="str">
        <f t="shared" si="82"/>
        <v/>
      </c>
      <c r="L603" s="17" t="str">
        <f t="shared" si="83"/>
        <v/>
      </c>
      <c r="M603" s="17" t="str">
        <f t="shared" si="84"/>
        <v/>
      </c>
      <c r="N603" s="17" t="str">
        <f t="shared" si="85"/>
        <v/>
      </c>
      <c r="O603" s="17" t="str">
        <f t="shared" si="86"/>
        <v/>
      </c>
      <c r="P603" s="16" t="str">
        <f t="shared" si="87"/>
        <v/>
      </c>
      <c r="Q603" s="16" t="str">
        <f t="shared" si="88"/>
        <v/>
      </c>
      <c r="R603" s="18" t="str">
        <f t="shared" si="89"/>
        <v/>
      </c>
    </row>
    <row r="604" spans="1:18">
      <c r="A604" s="12"/>
      <c r="B604" s="13"/>
      <c r="C604" s="14"/>
      <c r="D604" s="15"/>
      <c r="E604" s="15"/>
      <c r="F604" s="15"/>
      <c r="G604" s="13"/>
      <c r="H604" s="16" t="str">
        <f t="shared" si="81"/>
        <v/>
      </c>
      <c r="I604" s="17" t="str">
        <f>IF(OR(A604="",B604=""),"",IFERROR(LOOKUP(2,1/(单次交易!$A$2:$A$201=A604),单次交易!$H$2:$H$201),0)+SUMIFS($G$2:$G$1001,$A$2:$A$1001,A604,$B$2:$B$1001,"&lt;"&amp;B604))</f>
        <v/>
      </c>
      <c r="J604" s="16" t="str">
        <f>IF(OR(A604="",B604=""),"",IFERROR(LOOKUP(2,1/(单次交易!$A$2:$A$201=A604),单次交易!$E$2:$E$201)*LOOKUP(2,1/(单次交易!$A$2:$A$201=A604),单次交易!$H$2:$H$201),0)+SUMIFS($H$2:$H$1001,$A$2:$A$1001,A604,$B$2:$B$1001,"&lt;"&amp;B604))</f>
        <v/>
      </c>
      <c r="K604" s="16" t="str">
        <f t="shared" si="82"/>
        <v/>
      </c>
      <c r="L604" s="17" t="str">
        <f t="shared" si="83"/>
        <v/>
      </c>
      <c r="M604" s="17" t="str">
        <f t="shared" si="84"/>
        <v/>
      </c>
      <c r="N604" s="17" t="str">
        <f t="shared" si="85"/>
        <v/>
      </c>
      <c r="O604" s="17" t="str">
        <f t="shared" si="86"/>
        <v/>
      </c>
      <c r="P604" s="16" t="str">
        <f t="shared" si="87"/>
        <v/>
      </c>
      <c r="Q604" s="16" t="str">
        <f t="shared" si="88"/>
        <v/>
      </c>
      <c r="R604" s="18" t="str">
        <f t="shared" si="89"/>
        <v/>
      </c>
    </row>
    <row r="605" spans="1:18">
      <c r="A605" s="12"/>
      <c r="B605" s="13"/>
      <c r="C605" s="14"/>
      <c r="D605" s="15"/>
      <c r="E605" s="15"/>
      <c r="F605" s="15"/>
      <c r="G605" s="13"/>
      <c r="H605" s="16" t="str">
        <f t="shared" si="81"/>
        <v/>
      </c>
      <c r="I605" s="17" t="str">
        <f>IF(OR(A605="",B605=""),"",IFERROR(LOOKUP(2,1/(单次交易!$A$2:$A$201=A605),单次交易!$H$2:$H$201),0)+SUMIFS($G$2:$G$1001,$A$2:$A$1001,A605,$B$2:$B$1001,"&lt;"&amp;B605))</f>
        <v/>
      </c>
      <c r="J605" s="16" t="str">
        <f>IF(OR(A605="",B605=""),"",IFERROR(LOOKUP(2,1/(单次交易!$A$2:$A$201=A605),单次交易!$E$2:$E$201)*LOOKUP(2,1/(单次交易!$A$2:$A$201=A605),单次交易!$H$2:$H$201),0)+SUMIFS($H$2:$H$1001,$A$2:$A$1001,A605,$B$2:$B$1001,"&lt;"&amp;B605))</f>
        <v/>
      </c>
      <c r="K605" s="16" t="str">
        <f t="shared" si="82"/>
        <v/>
      </c>
      <c r="L605" s="17" t="str">
        <f t="shared" si="83"/>
        <v/>
      </c>
      <c r="M605" s="17" t="str">
        <f t="shared" si="84"/>
        <v/>
      </c>
      <c r="N605" s="17" t="str">
        <f t="shared" si="85"/>
        <v/>
      </c>
      <c r="O605" s="17" t="str">
        <f t="shared" si="86"/>
        <v/>
      </c>
      <c r="P605" s="16" t="str">
        <f t="shared" si="87"/>
        <v/>
      </c>
      <c r="Q605" s="16" t="str">
        <f t="shared" si="88"/>
        <v/>
      </c>
      <c r="R605" s="18" t="str">
        <f t="shared" si="89"/>
        <v/>
      </c>
    </row>
    <row r="606" spans="1:18">
      <c r="A606" s="12"/>
      <c r="B606" s="13"/>
      <c r="C606" s="14"/>
      <c r="D606" s="15"/>
      <c r="E606" s="15"/>
      <c r="F606" s="15"/>
      <c r="G606" s="13"/>
      <c r="H606" s="16" t="str">
        <f t="shared" si="81"/>
        <v/>
      </c>
      <c r="I606" s="17" t="str">
        <f>IF(OR(A606="",B606=""),"",IFERROR(LOOKUP(2,1/(单次交易!$A$2:$A$201=A606),单次交易!$H$2:$H$201),0)+SUMIFS($G$2:$G$1001,$A$2:$A$1001,A606,$B$2:$B$1001,"&lt;"&amp;B606))</f>
        <v/>
      </c>
      <c r="J606" s="16" t="str">
        <f>IF(OR(A606="",B606=""),"",IFERROR(LOOKUP(2,1/(单次交易!$A$2:$A$201=A606),单次交易!$E$2:$E$201)*LOOKUP(2,1/(单次交易!$A$2:$A$201=A606),单次交易!$H$2:$H$201),0)+SUMIFS($H$2:$H$1001,$A$2:$A$1001,A606,$B$2:$B$1001,"&lt;"&amp;B606))</f>
        <v/>
      </c>
      <c r="K606" s="16" t="str">
        <f t="shared" si="82"/>
        <v/>
      </c>
      <c r="L606" s="17" t="str">
        <f t="shared" si="83"/>
        <v/>
      </c>
      <c r="M606" s="17" t="str">
        <f t="shared" si="84"/>
        <v/>
      </c>
      <c r="N606" s="17" t="str">
        <f t="shared" si="85"/>
        <v/>
      </c>
      <c r="O606" s="17" t="str">
        <f t="shared" si="86"/>
        <v/>
      </c>
      <c r="P606" s="16" t="str">
        <f t="shared" si="87"/>
        <v/>
      </c>
      <c r="Q606" s="16" t="str">
        <f t="shared" si="88"/>
        <v/>
      </c>
      <c r="R606" s="18" t="str">
        <f t="shared" si="89"/>
        <v/>
      </c>
    </row>
    <row r="607" spans="1:18">
      <c r="A607" s="12"/>
      <c r="B607" s="13"/>
      <c r="C607" s="14"/>
      <c r="D607" s="15"/>
      <c r="E607" s="15"/>
      <c r="F607" s="15"/>
      <c r="G607" s="13"/>
      <c r="H607" s="16" t="str">
        <f t="shared" si="81"/>
        <v/>
      </c>
      <c r="I607" s="17" t="str">
        <f>IF(OR(A607="",B607=""),"",IFERROR(LOOKUP(2,1/(单次交易!$A$2:$A$201=A607),单次交易!$H$2:$H$201),0)+SUMIFS($G$2:$G$1001,$A$2:$A$1001,A607,$B$2:$B$1001,"&lt;"&amp;B607))</f>
        <v/>
      </c>
      <c r="J607" s="16" t="str">
        <f>IF(OR(A607="",B607=""),"",IFERROR(LOOKUP(2,1/(单次交易!$A$2:$A$201=A607),单次交易!$E$2:$E$201)*LOOKUP(2,1/(单次交易!$A$2:$A$201=A607),单次交易!$H$2:$H$201),0)+SUMIFS($H$2:$H$1001,$A$2:$A$1001,A607,$B$2:$B$1001,"&lt;"&amp;B607))</f>
        <v/>
      </c>
      <c r="K607" s="16" t="str">
        <f t="shared" si="82"/>
        <v/>
      </c>
      <c r="L607" s="17" t="str">
        <f t="shared" si="83"/>
        <v/>
      </c>
      <c r="M607" s="17" t="str">
        <f t="shared" si="84"/>
        <v/>
      </c>
      <c r="N607" s="17" t="str">
        <f t="shared" si="85"/>
        <v/>
      </c>
      <c r="O607" s="17" t="str">
        <f t="shared" si="86"/>
        <v/>
      </c>
      <c r="P607" s="16" t="str">
        <f t="shared" si="87"/>
        <v/>
      </c>
      <c r="Q607" s="16" t="str">
        <f t="shared" si="88"/>
        <v/>
      </c>
      <c r="R607" s="18" t="str">
        <f t="shared" si="89"/>
        <v/>
      </c>
    </row>
    <row r="608" spans="1:18">
      <c r="A608" s="12"/>
      <c r="B608" s="13"/>
      <c r="C608" s="14"/>
      <c r="D608" s="15"/>
      <c r="E608" s="15"/>
      <c r="F608" s="15"/>
      <c r="G608" s="13"/>
      <c r="H608" s="16" t="str">
        <f t="shared" si="81"/>
        <v/>
      </c>
      <c r="I608" s="17" t="str">
        <f>IF(OR(A608="",B608=""),"",IFERROR(LOOKUP(2,1/(单次交易!$A$2:$A$201=A608),单次交易!$H$2:$H$201),0)+SUMIFS($G$2:$G$1001,$A$2:$A$1001,A608,$B$2:$B$1001,"&lt;"&amp;B608))</f>
        <v/>
      </c>
      <c r="J608" s="16" t="str">
        <f>IF(OR(A608="",B608=""),"",IFERROR(LOOKUP(2,1/(单次交易!$A$2:$A$201=A608),单次交易!$E$2:$E$201)*LOOKUP(2,1/(单次交易!$A$2:$A$201=A608),单次交易!$H$2:$H$201),0)+SUMIFS($H$2:$H$1001,$A$2:$A$1001,A608,$B$2:$B$1001,"&lt;"&amp;B608))</f>
        <v/>
      </c>
      <c r="K608" s="16" t="str">
        <f t="shared" si="82"/>
        <v/>
      </c>
      <c r="L608" s="17" t="str">
        <f t="shared" si="83"/>
        <v/>
      </c>
      <c r="M608" s="17" t="str">
        <f t="shared" si="84"/>
        <v/>
      </c>
      <c r="N608" s="17" t="str">
        <f t="shared" si="85"/>
        <v/>
      </c>
      <c r="O608" s="17" t="str">
        <f t="shared" si="86"/>
        <v/>
      </c>
      <c r="P608" s="16" t="str">
        <f t="shared" si="87"/>
        <v/>
      </c>
      <c r="Q608" s="16" t="str">
        <f t="shared" si="88"/>
        <v/>
      </c>
      <c r="R608" s="18" t="str">
        <f t="shared" si="89"/>
        <v/>
      </c>
    </row>
    <row r="609" spans="1:18">
      <c r="A609" s="12"/>
      <c r="B609" s="13"/>
      <c r="C609" s="14"/>
      <c r="D609" s="15"/>
      <c r="E609" s="15"/>
      <c r="F609" s="15"/>
      <c r="G609" s="13"/>
      <c r="H609" s="16" t="str">
        <f t="shared" si="81"/>
        <v/>
      </c>
      <c r="I609" s="17" t="str">
        <f>IF(OR(A609="",B609=""),"",IFERROR(LOOKUP(2,1/(单次交易!$A$2:$A$201=A609),单次交易!$H$2:$H$201),0)+SUMIFS($G$2:$G$1001,$A$2:$A$1001,A609,$B$2:$B$1001,"&lt;"&amp;B609))</f>
        <v/>
      </c>
      <c r="J609" s="16" t="str">
        <f>IF(OR(A609="",B609=""),"",IFERROR(LOOKUP(2,1/(单次交易!$A$2:$A$201=A609),单次交易!$E$2:$E$201)*LOOKUP(2,1/(单次交易!$A$2:$A$201=A609),单次交易!$H$2:$H$201),0)+SUMIFS($H$2:$H$1001,$A$2:$A$1001,A609,$B$2:$B$1001,"&lt;"&amp;B609))</f>
        <v/>
      </c>
      <c r="K609" s="16" t="str">
        <f t="shared" si="82"/>
        <v/>
      </c>
      <c r="L609" s="17" t="str">
        <f t="shared" si="83"/>
        <v/>
      </c>
      <c r="M609" s="17" t="str">
        <f t="shared" si="84"/>
        <v/>
      </c>
      <c r="N609" s="17" t="str">
        <f t="shared" si="85"/>
        <v/>
      </c>
      <c r="O609" s="17" t="str">
        <f t="shared" si="86"/>
        <v/>
      </c>
      <c r="P609" s="16" t="str">
        <f t="shared" si="87"/>
        <v/>
      </c>
      <c r="Q609" s="16" t="str">
        <f t="shared" si="88"/>
        <v/>
      </c>
      <c r="R609" s="18" t="str">
        <f t="shared" si="89"/>
        <v/>
      </c>
    </row>
    <row r="610" spans="1:18">
      <c r="A610" s="12"/>
      <c r="B610" s="13"/>
      <c r="C610" s="14"/>
      <c r="D610" s="15"/>
      <c r="E610" s="15"/>
      <c r="F610" s="15"/>
      <c r="G610" s="13"/>
      <c r="H610" s="16" t="str">
        <f t="shared" si="81"/>
        <v/>
      </c>
      <c r="I610" s="17" t="str">
        <f>IF(OR(A610="",B610=""),"",IFERROR(LOOKUP(2,1/(单次交易!$A$2:$A$201=A610),单次交易!$H$2:$H$201),0)+SUMIFS($G$2:$G$1001,$A$2:$A$1001,A610,$B$2:$B$1001,"&lt;"&amp;B610))</f>
        <v/>
      </c>
      <c r="J610" s="16" t="str">
        <f>IF(OR(A610="",B610=""),"",IFERROR(LOOKUP(2,1/(单次交易!$A$2:$A$201=A610),单次交易!$E$2:$E$201)*LOOKUP(2,1/(单次交易!$A$2:$A$201=A610),单次交易!$H$2:$H$201),0)+SUMIFS($H$2:$H$1001,$A$2:$A$1001,A610,$B$2:$B$1001,"&lt;"&amp;B610))</f>
        <v/>
      </c>
      <c r="K610" s="16" t="str">
        <f t="shared" si="82"/>
        <v/>
      </c>
      <c r="L610" s="17" t="str">
        <f t="shared" si="83"/>
        <v/>
      </c>
      <c r="M610" s="17" t="str">
        <f t="shared" si="84"/>
        <v/>
      </c>
      <c r="N610" s="17" t="str">
        <f t="shared" si="85"/>
        <v/>
      </c>
      <c r="O610" s="17" t="str">
        <f t="shared" si="86"/>
        <v/>
      </c>
      <c r="P610" s="16" t="str">
        <f t="shared" si="87"/>
        <v/>
      </c>
      <c r="Q610" s="16" t="str">
        <f t="shared" si="88"/>
        <v/>
      </c>
      <c r="R610" s="18" t="str">
        <f t="shared" si="89"/>
        <v/>
      </c>
    </row>
    <row r="611" spans="1:18">
      <c r="A611" s="12"/>
      <c r="B611" s="13"/>
      <c r="C611" s="14"/>
      <c r="D611" s="15"/>
      <c r="E611" s="15"/>
      <c r="F611" s="15"/>
      <c r="G611" s="13"/>
      <c r="H611" s="16" t="str">
        <f t="shared" si="81"/>
        <v/>
      </c>
      <c r="I611" s="17" t="str">
        <f>IF(OR(A611="",B611=""),"",IFERROR(LOOKUP(2,1/(单次交易!$A$2:$A$201=A611),单次交易!$H$2:$H$201),0)+SUMIFS($G$2:$G$1001,$A$2:$A$1001,A611,$B$2:$B$1001,"&lt;"&amp;B611))</f>
        <v/>
      </c>
      <c r="J611" s="16" t="str">
        <f>IF(OR(A611="",B611=""),"",IFERROR(LOOKUP(2,1/(单次交易!$A$2:$A$201=A611),单次交易!$E$2:$E$201)*LOOKUP(2,1/(单次交易!$A$2:$A$201=A611),单次交易!$H$2:$H$201),0)+SUMIFS($H$2:$H$1001,$A$2:$A$1001,A611,$B$2:$B$1001,"&lt;"&amp;B611))</f>
        <v/>
      </c>
      <c r="K611" s="16" t="str">
        <f t="shared" si="82"/>
        <v/>
      </c>
      <c r="L611" s="17" t="str">
        <f t="shared" si="83"/>
        <v/>
      </c>
      <c r="M611" s="17" t="str">
        <f t="shared" si="84"/>
        <v/>
      </c>
      <c r="N611" s="17" t="str">
        <f t="shared" si="85"/>
        <v/>
      </c>
      <c r="O611" s="17" t="str">
        <f t="shared" si="86"/>
        <v/>
      </c>
      <c r="P611" s="16" t="str">
        <f t="shared" si="87"/>
        <v/>
      </c>
      <c r="Q611" s="16" t="str">
        <f t="shared" si="88"/>
        <v/>
      </c>
      <c r="R611" s="18" t="str">
        <f t="shared" si="89"/>
        <v/>
      </c>
    </row>
    <row r="612" spans="1:18">
      <c r="A612" s="12"/>
      <c r="B612" s="13"/>
      <c r="C612" s="14"/>
      <c r="D612" s="15"/>
      <c r="E612" s="15"/>
      <c r="F612" s="15"/>
      <c r="G612" s="13"/>
      <c r="H612" s="16" t="str">
        <f t="shared" si="81"/>
        <v/>
      </c>
      <c r="I612" s="17" t="str">
        <f>IF(OR(A612="",B612=""),"",IFERROR(LOOKUP(2,1/(单次交易!$A$2:$A$201=A612),单次交易!$H$2:$H$201),0)+SUMIFS($G$2:$G$1001,$A$2:$A$1001,A612,$B$2:$B$1001,"&lt;"&amp;B612))</f>
        <v/>
      </c>
      <c r="J612" s="16" t="str">
        <f>IF(OR(A612="",B612=""),"",IFERROR(LOOKUP(2,1/(单次交易!$A$2:$A$201=A612),单次交易!$E$2:$E$201)*LOOKUP(2,1/(单次交易!$A$2:$A$201=A612),单次交易!$H$2:$H$201),0)+SUMIFS($H$2:$H$1001,$A$2:$A$1001,A612,$B$2:$B$1001,"&lt;"&amp;B612))</f>
        <v/>
      </c>
      <c r="K612" s="16" t="str">
        <f t="shared" si="82"/>
        <v/>
      </c>
      <c r="L612" s="17" t="str">
        <f t="shared" si="83"/>
        <v/>
      </c>
      <c r="M612" s="17" t="str">
        <f t="shared" si="84"/>
        <v/>
      </c>
      <c r="N612" s="17" t="str">
        <f t="shared" si="85"/>
        <v/>
      </c>
      <c r="O612" s="17" t="str">
        <f t="shared" si="86"/>
        <v/>
      </c>
      <c r="P612" s="16" t="str">
        <f t="shared" si="87"/>
        <v/>
      </c>
      <c r="Q612" s="16" t="str">
        <f t="shared" si="88"/>
        <v/>
      </c>
      <c r="R612" s="18" t="str">
        <f t="shared" si="89"/>
        <v/>
      </c>
    </row>
    <row r="613" spans="1:18">
      <c r="A613" s="12"/>
      <c r="B613" s="13"/>
      <c r="C613" s="14"/>
      <c r="D613" s="15"/>
      <c r="E613" s="15"/>
      <c r="F613" s="15"/>
      <c r="G613" s="13"/>
      <c r="H613" s="16" t="str">
        <f t="shared" si="81"/>
        <v/>
      </c>
      <c r="I613" s="17" t="str">
        <f>IF(OR(A613="",B613=""),"",IFERROR(LOOKUP(2,1/(单次交易!$A$2:$A$201=A613),单次交易!$H$2:$H$201),0)+SUMIFS($G$2:$G$1001,$A$2:$A$1001,A613,$B$2:$B$1001,"&lt;"&amp;B613))</f>
        <v/>
      </c>
      <c r="J613" s="16" t="str">
        <f>IF(OR(A613="",B613=""),"",IFERROR(LOOKUP(2,1/(单次交易!$A$2:$A$201=A613),单次交易!$E$2:$E$201)*LOOKUP(2,1/(单次交易!$A$2:$A$201=A613),单次交易!$H$2:$H$201),0)+SUMIFS($H$2:$H$1001,$A$2:$A$1001,A613,$B$2:$B$1001,"&lt;"&amp;B613))</f>
        <v/>
      </c>
      <c r="K613" s="16" t="str">
        <f t="shared" si="82"/>
        <v/>
      </c>
      <c r="L613" s="17" t="str">
        <f t="shared" si="83"/>
        <v/>
      </c>
      <c r="M613" s="17" t="str">
        <f t="shared" si="84"/>
        <v/>
      </c>
      <c r="N613" s="17" t="str">
        <f t="shared" si="85"/>
        <v/>
      </c>
      <c r="O613" s="17" t="str">
        <f t="shared" si="86"/>
        <v/>
      </c>
      <c r="P613" s="16" t="str">
        <f t="shared" si="87"/>
        <v/>
      </c>
      <c r="Q613" s="16" t="str">
        <f t="shared" si="88"/>
        <v/>
      </c>
      <c r="R613" s="18" t="str">
        <f t="shared" si="89"/>
        <v/>
      </c>
    </row>
    <row r="614" spans="1:18">
      <c r="A614" s="12"/>
      <c r="B614" s="13"/>
      <c r="C614" s="14"/>
      <c r="D614" s="15"/>
      <c r="E614" s="15"/>
      <c r="F614" s="15"/>
      <c r="G614" s="13"/>
      <c r="H614" s="16" t="str">
        <f t="shared" si="81"/>
        <v/>
      </c>
      <c r="I614" s="17" t="str">
        <f>IF(OR(A614="",B614=""),"",IFERROR(LOOKUP(2,1/(单次交易!$A$2:$A$201=A614),单次交易!$H$2:$H$201),0)+SUMIFS($G$2:$G$1001,$A$2:$A$1001,A614,$B$2:$B$1001,"&lt;"&amp;B614))</f>
        <v/>
      </c>
      <c r="J614" s="16" t="str">
        <f>IF(OR(A614="",B614=""),"",IFERROR(LOOKUP(2,1/(单次交易!$A$2:$A$201=A614),单次交易!$E$2:$E$201)*LOOKUP(2,1/(单次交易!$A$2:$A$201=A614),单次交易!$H$2:$H$201),0)+SUMIFS($H$2:$H$1001,$A$2:$A$1001,A614,$B$2:$B$1001,"&lt;"&amp;B614))</f>
        <v/>
      </c>
      <c r="K614" s="16" t="str">
        <f t="shared" si="82"/>
        <v/>
      </c>
      <c r="L614" s="17" t="str">
        <f t="shared" si="83"/>
        <v/>
      </c>
      <c r="M614" s="17" t="str">
        <f t="shared" si="84"/>
        <v/>
      </c>
      <c r="N614" s="17" t="str">
        <f t="shared" si="85"/>
        <v/>
      </c>
      <c r="O614" s="17" t="str">
        <f t="shared" si="86"/>
        <v/>
      </c>
      <c r="P614" s="16" t="str">
        <f t="shared" si="87"/>
        <v/>
      </c>
      <c r="Q614" s="16" t="str">
        <f t="shared" si="88"/>
        <v/>
      </c>
      <c r="R614" s="18" t="str">
        <f t="shared" si="89"/>
        <v/>
      </c>
    </row>
    <row r="615" spans="1:18">
      <c r="A615" s="12"/>
      <c r="B615" s="13"/>
      <c r="C615" s="14"/>
      <c r="D615" s="15"/>
      <c r="E615" s="15"/>
      <c r="F615" s="15"/>
      <c r="G615" s="13"/>
      <c r="H615" s="16" t="str">
        <f t="shared" si="81"/>
        <v/>
      </c>
      <c r="I615" s="17" t="str">
        <f>IF(OR(A615="",B615=""),"",IFERROR(LOOKUP(2,1/(单次交易!$A$2:$A$201=A615),单次交易!$H$2:$H$201),0)+SUMIFS($G$2:$G$1001,$A$2:$A$1001,A615,$B$2:$B$1001,"&lt;"&amp;B615))</f>
        <v/>
      </c>
      <c r="J615" s="16" t="str">
        <f>IF(OR(A615="",B615=""),"",IFERROR(LOOKUP(2,1/(单次交易!$A$2:$A$201=A615),单次交易!$E$2:$E$201)*LOOKUP(2,1/(单次交易!$A$2:$A$201=A615),单次交易!$H$2:$H$201),0)+SUMIFS($H$2:$H$1001,$A$2:$A$1001,A615,$B$2:$B$1001,"&lt;"&amp;B615))</f>
        <v/>
      </c>
      <c r="K615" s="16" t="str">
        <f t="shared" si="82"/>
        <v/>
      </c>
      <c r="L615" s="17" t="str">
        <f t="shared" si="83"/>
        <v/>
      </c>
      <c r="M615" s="17" t="str">
        <f t="shared" si="84"/>
        <v/>
      </c>
      <c r="N615" s="17" t="str">
        <f t="shared" si="85"/>
        <v/>
      </c>
      <c r="O615" s="17" t="str">
        <f t="shared" si="86"/>
        <v/>
      </c>
      <c r="P615" s="16" t="str">
        <f t="shared" si="87"/>
        <v/>
      </c>
      <c r="Q615" s="16" t="str">
        <f t="shared" si="88"/>
        <v/>
      </c>
      <c r="R615" s="18" t="str">
        <f t="shared" si="89"/>
        <v/>
      </c>
    </row>
    <row r="616" spans="1:18">
      <c r="A616" s="12"/>
      <c r="B616" s="13"/>
      <c r="C616" s="14"/>
      <c r="D616" s="15"/>
      <c r="E616" s="15"/>
      <c r="F616" s="15"/>
      <c r="G616" s="13"/>
      <c r="H616" s="16" t="str">
        <f t="shared" si="81"/>
        <v/>
      </c>
      <c r="I616" s="17" t="str">
        <f>IF(OR(A616="",B616=""),"",IFERROR(LOOKUP(2,1/(单次交易!$A$2:$A$201=A616),单次交易!$H$2:$H$201),0)+SUMIFS($G$2:$G$1001,$A$2:$A$1001,A616,$B$2:$B$1001,"&lt;"&amp;B616))</f>
        <v/>
      </c>
      <c r="J616" s="16" t="str">
        <f>IF(OR(A616="",B616=""),"",IFERROR(LOOKUP(2,1/(单次交易!$A$2:$A$201=A616),单次交易!$E$2:$E$201)*LOOKUP(2,1/(单次交易!$A$2:$A$201=A616),单次交易!$H$2:$H$201),0)+SUMIFS($H$2:$H$1001,$A$2:$A$1001,A616,$B$2:$B$1001,"&lt;"&amp;B616))</f>
        <v/>
      </c>
      <c r="K616" s="16" t="str">
        <f t="shared" si="82"/>
        <v/>
      </c>
      <c r="L616" s="17" t="str">
        <f t="shared" si="83"/>
        <v/>
      </c>
      <c r="M616" s="17" t="str">
        <f t="shared" si="84"/>
        <v/>
      </c>
      <c r="N616" s="17" t="str">
        <f t="shared" si="85"/>
        <v/>
      </c>
      <c r="O616" s="17" t="str">
        <f t="shared" si="86"/>
        <v/>
      </c>
      <c r="P616" s="16" t="str">
        <f t="shared" si="87"/>
        <v/>
      </c>
      <c r="Q616" s="16" t="str">
        <f t="shared" si="88"/>
        <v/>
      </c>
      <c r="R616" s="18" t="str">
        <f t="shared" si="89"/>
        <v/>
      </c>
    </row>
    <row r="617" spans="1:18">
      <c r="A617" s="12"/>
      <c r="B617" s="13"/>
      <c r="C617" s="14"/>
      <c r="D617" s="15"/>
      <c r="E617" s="15"/>
      <c r="F617" s="15"/>
      <c r="G617" s="13"/>
      <c r="H617" s="16" t="str">
        <f t="shared" si="81"/>
        <v/>
      </c>
      <c r="I617" s="17" t="str">
        <f>IF(OR(A617="",B617=""),"",IFERROR(LOOKUP(2,1/(单次交易!$A$2:$A$201=A617),单次交易!$H$2:$H$201),0)+SUMIFS($G$2:$G$1001,$A$2:$A$1001,A617,$B$2:$B$1001,"&lt;"&amp;B617))</f>
        <v/>
      </c>
      <c r="J617" s="16" t="str">
        <f>IF(OR(A617="",B617=""),"",IFERROR(LOOKUP(2,1/(单次交易!$A$2:$A$201=A617),单次交易!$E$2:$E$201)*LOOKUP(2,1/(单次交易!$A$2:$A$201=A617),单次交易!$H$2:$H$201),0)+SUMIFS($H$2:$H$1001,$A$2:$A$1001,A617,$B$2:$B$1001,"&lt;"&amp;B617))</f>
        <v/>
      </c>
      <c r="K617" s="16" t="str">
        <f t="shared" si="82"/>
        <v/>
      </c>
      <c r="L617" s="17" t="str">
        <f t="shared" si="83"/>
        <v/>
      </c>
      <c r="M617" s="17" t="str">
        <f t="shared" si="84"/>
        <v/>
      </c>
      <c r="N617" s="17" t="str">
        <f t="shared" si="85"/>
        <v/>
      </c>
      <c r="O617" s="17" t="str">
        <f t="shared" si="86"/>
        <v/>
      </c>
      <c r="P617" s="16" t="str">
        <f t="shared" si="87"/>
        <v/>
      </c>
      <c r="Q617" s="16" t="str">
        <f t="shared" si="88"/>
        <v/>
      </c>
      <c r="R617" s="18" t="str">
        <f t="shared" si="89"/>
        <v/>
      </c>
    </row>
    <row r="618" spans="1:18">
      <c r="A618" s="12"/>
      <c r="B618" s="13"/>
      <c r="C618" s="14"/>
      <c r="D618" s="15"/>
      <c r="E618" s="15"/>
      <c r="F618" s="15"/>
      <c r="G618" s="13"/>
      <c r="H618" s="16" t="str">
        <f t="shared" si="81"/>
        <v/>
      </c>
      <c r="I618" s="17" t="str">
        <f>IF(OR(A618="",B618=""),"",IFERROR(LOOKUP(2,1/(单次交易!$A$2:$A$201=A618),单次交易!$H$2:$H$201),0)+SUMIFS($G$2:$G$1001,$A$2:$A$1001,A618,$B$2:$B$1001,"&lt;"&amp;B618))</f>
        <v/>
      </c>
      <c r="J618" s="16" t="str">
        <f>IF(OR(A618="",B618=""),"",IFERROR(LOOKUP(2,1/(单次交易!$A$2:$A$201=A618),单次交易!$E$2:$E$201)*LOOKUP(2,1/(单次交易!$A$2:$A$201=A618),单次交易!$H$2:$H$201),0)+SUMIFS($H$2:$H$1001,$A$2:$A$1001,A618,$B$2:$B$1001,"&lt;"&amp;B618))</f>
        <v/>
      </c>
      <c r="K618" s="16" t="str">
        <f t="shared" si="82"/>
        <v/>
      </c>
      <c r="L618" s="17" t="str">
        <f t="shared" si="83"/>
        <v/>
      </c>
      <c r="M618" s="17" t="str">
        <f t="shared" si="84"/>
        <v/>
      </c>
      <c r="N618" s="17" t="str">
        <f t="shared" si="85"/>
        <v/>
      </c>
      <c r="O618" s="17" t="str">
        <f t="shared" si="86"/>
        <v/>
      </c>
      <c r="P618" s="16" t="str">
        <f t="shared" si="87"/>
        <v/>
      </c>
      <c r="Q618" s="16" t="str">
        <f t="shared" si="88"/>
        <v/>
      </c>
      <c r="R618" s="18" t="str">
        <f t="shared" si="89"/>
        <v/>
      </c>
    </row>
    <row r="619" spans="1:18">
      <c r="A619" s="12"/>
      <c r="B619" s="13"/>
      <c r="C619" s="14"/>
      <c r="D619" s="15"/>
      <c r="E619" s="15"/>
      <c r="F619" s="15"/>
      <c r="G619" s="13"/>
      <c r="H619" s="16" t="str">
        <f t="shared" si="81"/>
        <v/>
      </c>
      <c r="I619" s="17" t="str">
        <f>IF(OR(A619="",B619=""),"",IFERROR(LOOKUP(2,1/(单次交易!$A$2:$A$201=A619),单次交易!$H$2:$H$201),0)+SUMIFS($G$2:$G$1001,$A$2:$A$1001,A619,$B$2:$B$1001,"&lt;"&amp;B619))</f>
        <v/>
      </c>
      <c r="J619" s="16" t="str">
        <f>IF(OR(A619="",B619=""),"",IFERROR(LOOKUP(2,1/(单次交易!$A$2:$A$201=A619),单次交易!$E$2:$E$201)*LOOKUP(2,1/(单次交易!$A$2:$A$201=A619),单次交易!$H$2:$H$201),0)+SUMIFS($H$2:$H$1001,$A$2:$A$1001,A619,$B$2:$B$1001,"&lt;"&amp;B619))</f>
        <v/>
      </c>
      <c r="K619" s="16" t="str">
        <f t="shared" si="82"/>
        <v/>
      </c>
      <c r="L619" s="17" t="str">
        <f t="shared" si="83"/>
        <v/>
      </c>
      <c r="M619" s="17" t="str">
        <f t="shared" si="84"/>
        <v/>
      </c>
      <c r="N619" s="17" t="str">
        <f t="shared" si="85"/>
        <v/>
      </c>
      <c r="O619" s="17" t="str">
        <f t="shared" si="86"/>
        <v/>
      </c>
      <c r="P619" s="16" t="str">
        <f t="shared" si="87"/>
        <v/>
      </c>
      <c r="Q619" s="16" t="str">
        <f t="shared" si="88"/>
        <v/>
      </c>
      <c r="R619" s="18" t="str">
        <f t="shared" si="89"/>
        <v/>
      </c>
    </row>
    <row r="620" spans="1:18">
      <c r="A620" s="12"/>
      <c r="B620" s="13"/>
      <c r="C620" s="14"/>
      <c r="D620" s="15"/>
      <c r="E620" s="15"/>
      <c r="F620" s="15"/>
      <c r="G620" s="13"/>
      <c r="H620" s="16" t="str">
        <f t="shared" si="81"/>
        <v/>
      </c>
      <c r="I620" s="17" t="str">
        <f>IF(OR(A620="",B620=""),"",IFERROR(LOOKUP(2,1/(单次交易!$A$2:$A$201=A620),单次交易!$H$2:$H$201),0)+SUMIFS($G$2:$G$1001,$A$2:$A$1001,A620,$B$2:$B$1001,"&lt;"&amp;B620))</f>
        <v/>
      </c>
      <c r="J620" s="16" t="str">
        <f>IF(OR(A620="",B620=""),"",IFERROR(LOOKUP(2,1/(单次交易!$A$2:$A$201=A620),单次交易!$E$2:$E$201)*LOOKUP(2,1/(单次交易!$A$2:$A$201=A620),单次交易!$H$2:$H$201),0)+SUMIFS($H$2:$H$1001,$A$2:$A$1001,A620,$B$2:$B$1001,"&lt;"&amp;B620))</f>
        <v/>
      </c>
      <c r="K620" s="16" t="str">
        <f t="shared" si="82"/>
        <v/>
      </c>
      <c r="L620" s="17" t="str">
        <f t="shared" si="83"/>
        <v/>
      </c>
      <c r="M620" s="17" t="str">
        <f t="shared" si="84"/>
        <v/>
      </c>
      <c r="N620" s="17" t="str">
        <f t="shared" si="85"/>
        <v/>
      </c>
      <c r="O620" s="17" t="str">
        <f t="shared" si="86"/>
        <v/>
      </c>
      <c r="P620" s="16" t="str">
        <f t="shared" si="87"/>
        <v/>
      </c>
      <c r="Q620" s="16" t="str">
        <f t="shared" si="88"/>
        <v/>
      </c>
      <c r="R620" s="18" t="str">
        <f t="shared" si="89"/>
        <v/>
      </c>
    </row>
    <row r="621" spans="1:18">
      <c r="A621" s="12"/>
      <c r="B621" s="13"/>
      <c r="C621" s="14"/>
      <c r="D621" s="15"/>
      <c r="E621" s="15"/>
      <c r="F621" s="15"/>
      <c r="G621" s="13"/>
      <c r="H621" s="16" t="str">
        <f t="shared" si="81"/>
        <v/>
      </c>
      <c r="I621" s="17" t="str">
        <f>IF(OR(A621="",B621=""),"",IFERROR(LOOKUP(2,1/(单次交易!$A$2:$A$201=A621),单次交易!$H$2:$H$201),0)+SUMIFS($G$2:$G$1001,$A$2:$A$1001,A621,$B$2:$B$1001,"&lt;"&amp;B621))</f>
        <v/>
      </c>
      <c r="J621" s="16" t="str">
        <f>IF(OR(A621="",B621=""),"",IFERROR(LOOKUP(2,1/(单次交易!$A$2:$A$201=A621),单次交易!$E$2:$E$201)*LOOKUP(2,1/(单次交易!$A$2:$A$201=A621),单次交易!$H$2:$H$201),0)+SUMIFS($H$2:$H$1001,$A$2:$A$1001,A621,$B$2:$B$1001,"&lt;"&amp;B621))</f>
        <v/>
      </c>
      <c r="K621" s="16" t="str">
        <f t="shared" si="82"/>
        <v/>
      </c>
      <c r="L621" s="17" t="str">
        <f t="shared" si="83"/>
        <v/>
      </c>
      <c r="M621" s="17" t="str">
        <f t="shared" si="84"/>
        <v/>
      </c>
      <c r="N621" s="17" t="str">
        <f t="shared" si="85"/>
        <v/>
      </c>
      <c r="O621" s="17" t="str">
        <f t="shared" si="86"/>
        <v/>
      </c>
      <c r="P621" s="16" t="str">
        <f t="shared" si="87"/>
        <v/>
      </c>
      <c r="Q621" s="16" t="str">
        <f t="shared" si="88"/>
        <v/>
      </c>
      <c r="R621" s="18" t="str">
        <f t="shared" si="89"/>
        <v/>
      </c>
    </row>
    <row r="622" spans="1:18">
      <c r="A622" s="12"/>
      <c r="B622" s="13"/>
      <c r="C622" s="14"/>
      <c r="D622" s="15"/>
      <c r="E622" s="15"/>
      <c r="F622" s="15"/>
      <c r="G622" s="13"/>
      <c r="H622" s="16" t="str">
        <f t="shared" si="81"/>
        <v/>
      </c>
      <c r="I622" s="17" t="str">
        <f>IF(OR(A622="",B622=""),"",IFERROR(LOOKUP(2,1/(单次交易!$A$2:$A$201=A622),单次交易!$H$2:$H$201),0)+SUMIFS($G$2:$G$1001,$A$2:$A$1001,A622,$B$2:$B$1001,"&lt;"&amp;B622))</f>
        <v/>
      </c>
      <c r="J622" s="16" t="str">
        <f>IF(OR(A622="",B622=""),"",IFERROR(LOOKUP(2,1/(单次交易!$A$2:$A$201=A622),单次交易!$E$2:$E$201)*LOOKUP(2,1/(单次交易!$A$2:$A$201=A622),单次交易!$H$2:$H$201),0)+SUMIFS($H$2:$H$1001,$A$2:$A$1001,A622,$B$2:$B$1001,"&lt;"&amp;B622))</f>
        <v/>
      </c>
      <c r="K622" s="16" t="str">
        <f t="shared" si="82"/>
        <v/>
      </c>
      <c r="L622" s="17" t="str">
        <f t="shared" si="83"/>
        <v/>
      </c>
      <c r="M622" s="17" t="str">
        <f t="shared" si="84"/>
        <v/>
      </c>
      <c r="N622" s="17" t="str">
        <f t="shared" si="85"/>
        <v/>
      </c>
      <c r="O622" s="17" t="str">
        <f t="shared" si="86"/>
        <v/>
      </c>
      <c r="P622" s="16" t="str">
        <f t="shared" si="87"/>
        <v/>
      </c>
      <c r="Q622" s="16" t="str">
        <f t="shared" si="88"/>
        <v/>
      </c>
      <c r="R622" s="18" t="str">
        <f t="shared" si="89"/>
        <v/>
      </c>
    </row>
    <row r="623" spans="1:18">
      <c r="A623" s="12"/>
      <c r="B623" s="13"/>
      <c r="C623" s="14"/>
      <c r="D623" s="15"/>
      <c r="E623" s="15"/>
      <c r="F623" s="15"/>
      <c r="G623" s="13"/>
      <c r="H623" s="16" t="str">
        <f t="shared" si="81"/>
        <v/>
      </c>
      <c r="I623" s="17" t="str">
        <f>IF(OR(A623="",B623=""),"",IFERROR(LOOKUP(2,1/(单次交易!$A$2:$A$201=A623),单次交易!$H$2:$H$201),0)+SUMIFS($G$2:$G$1001,$A$2:$A$1001,A623,$B$2:$B$1001,"&lt;"&amp;B623))</f>
        <v/>
      </c>
      <c r="J623" s="16" t="str">
        <f>IF(OR(A623="",B623=""),"",IFERROR(LOOKUP(2,1/(单次交易!$A$2:$A$201=A623),单次交易!$E$2:$E$201)*LOOKUP(2,1/(单次交易!$A$2:$A$201=A623),单次交易!$H$2:$H$201),0)+SUMIFS($H$2:$H$1001,$A$2:$A$1001,A623,$B$2:$B$1001,"&lt;"&amp;B623))</f>
        <v/>
      </c>
      <c r="K623" s="16" t="str">
        <f t="shared" si="82"/>
        <v/>
      </c>
      <c r="L623" s="17" t="str">
        <f t="shared" si="83"/>
        <v/>
      </c>
      <c r="M623" s="17" t="str">
        <f t="shared" si="84"/>
        <v/>
      </c>
      <c r="N623" s="17" t="str">
        <f t="shared" si="85"/>
        <v/>
      </c>
      <c r="O623" s="17" t="str">
        <f t="shared" si="86"/>
        <v/>
      </c>
      <c r="P623" s="16" t="str">
        <f t="shared" si="87"/>
        <v/>
      </c>
      <c r="Q623" s="16" t="str">
        <f t="shared" si="88"/>
        <v/>
      </c>
      <c r="R623" s="18" t="str">
        <f t="shared" si="89"/>
        <v/>
      </c>
    </row>
    <row r="624" spans="1:18">
      <c r="A624" s="12"/>
      <c r="B624" s="13"/>
      <c r="C624" s="14"/>
      <c r="D624" s="15"/>
      <c r="E624" s="15"/>
      <c r="F624" s="15"/>
      <c r="G624" s="13"/>
      <c r="H624" s="16" t="str">
        <f t="shared" si="81"/>
        <v/>
      </c>
      <c r="I624" s="17" t="str">
        <f>IF(OR(A624="",B624=""),"",IFERROR(LOOKUP(2,1/(单次交易!$A$2:$A$201=A624),单次交易!$H$2:$H$201),0)+SUMIFS($G$2:$G$1001,$A$2:$A$1001,A624,$B$2:$B$1001,"&lt;"&amp;B624))</f>
        <v/>
      </c>
      <c r="J624" s="16" t="str">
        <f>IF(OR(A624="",B624=""),"",IFERROR(LOOKUP(2,1/(单次交易!$A$2:$A$201=A624),单次交易!$E$2:$E$201)*LOOKUP(2,1/(单次交易!$A$2:$A$201=A624),单次交易!$H$2:$H$201),0)+SUMIFS($H$2:$H$1001,$A$2:$A$1001,A624,$B$2:$B$1001,"&lt;"&amp;B624))</f>
        <v/>
      </c>
      <c r="K624" s="16" t="str">
        <f t="shared" si="82"/>
        <v/>
      </c>
      <c r="L624" s="17" t="str">
        <f t="shared" si="83"/>
        <v/>
      </c>
      <c r="M624" s="17" t="str">
        <f t="shared" si="84"/>
        <v/>
      </c>
      <c r="N624" s="17" t="str">
        <f t="shared" si="85"/>
        <v/>
      </c>
      <c r="O624" s="17" t="str">
        <f t="shared" si="86"/>
        <v/>
      </c>
      <c r="P624" s="16" t="str">
        <f t="shared" si="87"/>
        <v/>
      </c>
      <c r="Q624" s="16" t="str">
        <f t="shared" si="88"/>
        <v/>
      </c>
      <c r="R624" s="18" t="str">
        <f t="shared" si="89"/>
        <v/>
      </c>
    </row>
    <row r="625" spans="1:18">
      <c r="A625" s="12"/>
      <c r="B625" s="13"/>
      <c r="C625" s="14"/>
      <c r="D625" s="15"/>
      <c r="E625" s="15"/>
      <c r="F625" s="15"/>
      <c r="G625" s="13"/>
      <c r="H625" s="16" t="str">
        <f t="shared" si="81"/>
        <v/>
      </c>
      <c r="I625" s="17" t="str">
        <f>IF(OR(A625="",B625=""),"",IFERROR(LOOKUP(2,1/(单次交易!$A$2:$A$201=A625),单次交易!$H$2:$H$201),0)+SUMIFS($G$2:$G$1001,$A$2:$A$1001,A625,$B$2:$B$1001,"&lt;"&amp;B625))</f>
        <v/>
      </c>
      <c r="J625" s="16" t="str">
        <f>IF(OR(A625="",B625=""),"",IFERROR(LOOKUP(2,1/(单次交易!$A$2:$A$201=A625),单次交易!$E$2:$E$201)*LOOKUP(2,1/(单次交易!$A$2:$A$201=A625),单次交易!$H$2:$H$201),0)+SUMIFS($H$2:$H$1001,$A$2:$A$1001,A625,$B$2:$B$1001,"&lt;"&amp;B625))</f>
        <v/>
      </c>
      <c r="K625" s="16" t="str">
        <f t="shared" si="82"/>
        <v/>
      </c>
      <c r="L625" s="17" t="str">
        <f t="shared" si="83"/>
        <v/>
      </c>
      <c r="M625" s="17" t="str">
        <f t="shared" si="84"/>
        <v/>
      </c>
      <c r="N625" s="17" t="str">
        <f t="shared" si="85"/>
        <v/>
      </c>
      <c r="O625" s="17" t="str">
        <f t="shared" si="86"/>
        <v/>
      </c>
      <c r="P625" s="16" t="str">
        <f t="shared" si="87"/>
        <v/>
      </c>
      <c r="Q625" s="16" t="str">
        <f t="shared" si="88"/>
        <v/>
      </c>
      <c r="R625" s="18" t="str">
        <f t="shared" si="89"/>
        <v/>
      </c>
    </row>
    <row r="626" spans="1:18">
      <c r="A626" s="12"/>
      <c r="B626" s="13"/>
      <c r="C626" s="14"/>
      <c r="D626" s="15"/>
      <c r="E626" s="15"/>
      <c r="F626" s="15"/>
      <c r="G626" s="13"/>
      <c r="H626" s="16" t="str">
        <f t="shared" si="81"/>
        <v/>
      </c>
      <c r="I626" s="17" t="str">
        <f>IF(OR(A626="",B626=""),"",IFERROR(LOOKUP(2,1/(单次交易!$A$2:$A$201=A626),单次交易!$H$2:$H$201),0)+SUMIFS($G$2:$G$1001,$A$2:$A$1001,A626,$B$2:$B$1001,"&lt;"&amp;B626))</f>
        <v/>
      </c>
      <c r="J626" s="16" t="str">
        <f>IF(OR(A626="",B626=""),"",IFERROR(LOOKUP(2,1/(单次交易!$A$2:$A$201=A626),单次交易!$E$2:$E$201)*LOOKUP(2,1/(单次交易!$A$2:$A$201=A626),单次交易!$H$2:$H$201),0)+SUMIFS($H$2:$H$1001,$A$2:$A$1001,A626,$B$2:$B$1001,"&lt;"&amp;B626))</f>
        <v/>
      </c>
      <c r="K626" s="16" t="str">
        <f t="shared" si="82"/>
        <v/>
      </c>
      <c r="L626" s="17" t="str">
        <f t="shared" si="83"/>
        <v/>
      </c>
      <c r="M626" s="17" t="str">
        <f t="shared" si="84"/>
        <v/>
      </c>
      <c r="N626" s="17" t="str">
        <f t="shared" si="85"/>
        <v/>
      </c>
      <c r="O626" s="17" t="str">
        <f t="shared" si="86"/>
        <v/>
      </c>
      <c r="P626" s="16" t="str">
        <f t="shared" si="87"/>
        <v/>
      </c>
      <c r="Q626" s="16" t="str">
        <f t="shared" si="88"/>
        <v/>
      </c>
      <c r="R626" s="18" t="str">
        <f t="shared" si="89"/>
        <v/>
      </c>
    </row>
    <row r="627" spans="1:18">
      <c r="A627" s="12"/>
      <c r="B627" s="13"/>
      <c r="C627" s="14"/>
      <c r="D627" s="15"/>
      <c r="E627" s="15"/>
      <c r="F627" s="15"/>
      <c r="G627" s="13"/>
      <c r="H627" s="16" t="str">
        <f t="shared" si="81"/>
        <v/>
      </c>
      <c r="I627" s="17" t="str">
        <f>IF(OR(A627="",B627=""),"",IFERROR(LOOKUP(2,1/(单次交易!$A$2:$A$201=A627),单次交易!$H$2:$H$201),0)+SUMIFS($G$2:$G$1001,$A$2:$A$1001,A627,$B$2:$B$1001,"&lt;"&amp;B627))</f>
        <v/>
      </c>
      <c r="J627" s="16" t="str">
        <f>IF(OR(A627="",B627=""),"",IFERROR(LOOKUP(2,1/(单次交易!$A$2:$A$201=A627),单次交易!$E$2:$E$201)*LOOKUP(2,1/(单次交易!$A$2:$A$201=A627),单次交易!$H$2:$H$201),0)+SUMIFS($H$2:$H$1001,$A$2:$A$1001,A627,$B$2:$B$1001,"&lt;"&amp;B627))</f>
        <v/>
      </c>
      <c r="K627" s="16" t="str">
        <f t="shared" si="82"/>
        <v/>
      </c>
      <c r="L627" s="17" t="str">
        <f t="shared" si="83"/>
        <v/>
      </c>
      <c r="M627" s="17" t="str">
        <f t="shared" si="84"/>
        <v/>
      </c>
      <c r="N627" s="17" t="str">
        <f t="shared" si="85"/>
        <v/>
      </c>
      <c r="O627" s="17" t="str">
        <f t="shared" si="86"/>
        <v/>
      </c>
      <c r="P627" s="16" t="str">
        <f t="shared" si="87"/>
        <v/>
      </c>
      <c r="Q627" s="16" t="str">
        <f t="shared" si="88"/>
        <v/>
      </c>
      <c r="R627" s="18" t="str">
        <f t="shared" si="89"/>
        <v/>
      </c>
    </row>
    <row r="628" spans="1:18">
      <c r="A628" s="12"/>
      <c r="B628" s="13"/>
      <c r="C628" s="14"/>
      <c r="D628" s="15"/>
      <c r="E628" s="15"/>
      <c r="F628" s="15"/>
      <c r="G628" s="13"/>
      <c r="H628" s="16" t="str">
        <f t="shared" si="81"/>
        <v/>
      </c>
      <c r="I628" s="17" t="str">
        <f>IF(OR(A628="",B628=""),"",IFERROR(LOOKUP(2,1/(单次交易!$A$2:$A$201=A628),单次交易!$H$2:$H$201),0)+SUMIFS($G$2:$G$1001,$A$2:$A$1001,A628,$B$2:$B$1001,"&lt;"&amp;B628))</f>
        <v/>
      </c>
      <c r="J628" s="16" t="str">
        <f>IF(OR(A628="",B628=""),"",IFERROR(LOOKUP(2,1/(单次交易!$A$2:$A$201=A628),单次交易!$E$2:$E$201)*LOOKUP(2,1/(单次交易!$A$2:$A$201=A628),单次交易!$H$2:$H$201),0)+SUMIFS($H$2:$H$1001,$A$2:$A$1001,A628,$B$2:$B$1001,"&lt;"&amp;B628))</f>
        <v/>
      </c>
      <c r="K628" s="16" t="str">
        <f t="shared" si="82"/>
        <v/>
      </c>
      <c r="L628" s="17" t="str">
        <f t="shared" si="83"/>
        <v/>
      </c>
      <c r="M628" s="17" t="str">
        <f t="shared" si="84"/>
        <v/>
      </c>
      <c r="N628" s="17" t="str">
        <f t="shared" si="85"/>
        <v/>
      </c>
      <c r="O628" s="17" t="str">
        <f t="shared" si="86"/>
        <v/>
      </c>
      <c r="P628" s="16" t="str">
        <f t="shared" si="87"/>
        <v/>
      </c>
      <c r="Q628" s="16" t="str">
        <f t="shared" si="88"/>
        <v/>
      </c>
      <c r="R628" s="18" t="str">
        <f t="shared" si="89"/>
        <v/>
      </c>
    </row>
    <row r="629" spans="1:18">
      <c r="A629" s="12"/>
      <c r="B629" s="13"/>
      <c r="C629" s="14"/>
      <c r="D629" s="15"/>
      <c r="E629" s="15"/>
      <c r="F629" s="15"/>
      <c r="G629" s="13"/>
      <c r="H629" s="16" t="str">
        <f t="shared" si="81"/>
        <v/>
      </c>
      <c r="I629" s="17" t="str">
        <f>IF(OR(A629="",B629=""),"",IFERROR(LOOKUP(2,1/(单次交易!$A$2:$A$201=A629),单次交易!$H$2:$H$201),0)+SUMIFS($G$2:$G$1001,$A$2:$A$1001,A629,$B$2:$B$1001,"&lt;"&amp;B629))</f>
        <v/>
      </c>
      <c r="J629" s="16" t="str">
        <f>IF(OR(A629="",B629=""),"",IFERROR(LOOKUP(2,1/(单次交易!$A$2:$A$201=A629),单次交易!$E$2:$E$201)*LOOKUP(2,1/(单次交易!$A$2:$A$201=A629),单次交易!$H$2:$H$201),0)+SUMIFS($H$2:$H$1001,$A$2:$A$1001,A629,$B$2:$B$1001,"&lt;"&amp;B629))</f>
        <v/>
      </c>
      <c r="K629" s="16" t="str">
        <f t="shared" si="82"/>
        <v/>
      </c>
      <c r="L629" s="17" t="str">
        <f t="shared" si="83"/>
        <v/>
      </c>
      <c r="M629" s="17" t="str">
        <f t="shared" si="84"/>
        <v/>
      </c>
      <c r="N629" s="17" t="str">
        <f t="shared" si="85"/>
        <v/>
      </c>
      <c r="O629" s="17" t="str">
        <f t="shared" si="86"/>
        <v/>
      </c>
      <c r="P629" s="16" t="str">
        <f t="shared" si="87"/>
        <v/>
      </c>
      <c r="Q629" s="16" t="str">
        <f t="shared" si="88"/>
        <v/>
      </c>
      <c r="R629" s="18" t="str">
        <f t="shared" si="89"/>
        <v/>
      </c>
    </row>
    <row r="630" spans="1:18">
      <c r="A630" s="12"/>
      <c r="B630" s="13"/>
      <c r="C630" s="14"/>
      <c r="D630" s="15"/>
      <c r="E630" s="15"/>
      <c r="F630" s="15"/>
      <c r="G630" s="13"/>
      <c r="H630" s="16" t="str">
        <f t="shared" si="81"/>
        <v/>
      </c>
      <c r="I630" s="17" t="str">
        <f>IF(OR(A630="",B630=""),"",IFERROR(LOOKUP(2,1/(单次交易!$A$2:$A$201=A630),单次交易!$H$2:$H$201),0)+SUMIFS($G$2:$G$1001,$A$2:$A$1001,A630,$B$2:$B$1001,"&lt;"&amp;B630))</f>
        <v/>
      </c>
      <c r="J630" s="16" t="str">
        <f>IF(OR(A630="",B630=""),"",IFERROR(LOOKUP(2,1/(单次交易!$A$2:$A$201=A630),单次交易!$E$2:$E$201)*LOOKUP(2,1/(单次交易!$A$2:$A$201=A630),单次交易!$H$2:$H$201),0)+SUMIFS($H$2:$H$1001,$A$2:$A$1001,A630,$B$2:$B$1001,"&lt;"&amp;B630))</f>
        <v/>
      </c>
      <c r="K630" s="16" t="str">
        <f t="shared" si="82"/>
        <v/>
      </c>
      <c r="L630" s="17" t="str">
        <f t="shared" si="83"/>
        <v/>
      </c>
      <c r="M630" s="17" t="str">
        <f t="shared" si="84"/>
        <v/>
      </c>
      <c r="N630" s="17" t="str">
        <f t="shared" si="85"/>
        <v/>
      </c>
      <c r="O630" s="17" t="str">
        <f t="shared" si="86"/>
        <v/>
      </c>
      <c r="P630" s="16" t="str">
        <f t="shared" si="87"/>
        <v/>
      </c>
      <c r="Q630" s="16" t="str">
        <f t="shared" si="88"/>
        <v/>
      </c>
      <c r="R630" s="18" t="str">
        <f t="shared" si="89"/>
        <v/>
      </c>
    </row>
    <row r="631" spans="1:18">
      <c r="A631" s="12"/>
      <c r="B631" s="13"/>
      <c r="C631" s="14"/>
      <c r="D631" s="15"/>
      <c r="E631" s="15"/>
      <c r="F631" s="15"/>
      <c r="G631" s="13"/>
      <c r="H631" s="16" t="str">
        <f t="shared" si="81"/>
        <v/>
      </c>
      <c r="I631" s="17" t="str">
        <f>IF(OR(A631="",B631=""),"",IFERROR(LOOKUP(2,1/(单次交易!$A$2:$A$201=A631),单次交易!$H$2:$H$201),0)+SUMIFS($G$2:$G$1001,$A$2:$A$1001,A631,$B$2:$B$1001,"&lt;"&amp;B631))</f>
        <v/>
      </c>
      <c r="J631" s="16" t="str">
        <f>IF(OR(A631="",B631=""),"",IFERROR(LOOKUP(2,1/(单次交易!$A$2:$A$201=A631),单次交易!$E$2:$E$201)*LOOKUP(2,1/(单次交易!$A$2:$A$201=A631),单次交易!$H$2:$H$201),0)+SUMIFS($H$2:$H$1001,$A$2:$A$1001,A631,$B$2:$B$1001,"&lt;"&amp;B631))</f>
        <v/>
      </c>
      <c r="K631" s="16" t="str">
        <f t="shared" si="82"/>
        <v/>
      </c>
      <c r="L631" s="17" t="str">
        <f t="shared" si="83"/>
        <v/>
      </c>
      <c r="M631" s="17" t="str">
        <f t="shared" si="84"/>
        <v/>
      </c>
      <c r="N631" s="17" t="str">
        <f t="shared" si="85"/>
        <v/>
      </c>
      <c r="O631" s="17" t="str">
        <f t="shared" si="86"/>
        <v/>
      </c>
      <c r="P631" s="16" t="str">
        <f t="shared" si="87"/>
        <v/>
      </c>
      <c r="Q631" s="16" t="str">
        <f t="shared" si="88"/>
        <v/>
      </c>
      <c r="R631" s="18" t="str">
        <f t="shared" si="89"/>
        <v/>
      </c>
    </row>
    <row r="632" spans="1:18">
      <c r="A632" s="12"/>
      <c r="B632" s="13"/>
      <c r="C632" s="14"/>
      <c r="D632" s="15"/>
      <c r="E632" s="15"/>
      <c r="F632" s="15"/>
      <c r="G632" s="13"/>
      <c r="H632" s="16" t="str">
        <f t="shared" si="81"/>
        <v/>
      </c>
      <c r="I632" s="17" t="str">
        <f>IF(OR(A632="",B632=""),"",IFERROR(LOOKUP(2,1/(单次交易!$A$2:$A$201=A632),单次交易!$H$2:$H$201),0)+SUMIFS($G$2:$G$1001,$A$2:$A$1001,A632,$B$2:$B$1001,"&lt;"&amp;B632))</f>
        <v/>
      </c>
      <c r="J632" s="16" t="str">
        <f>IF(OR(A632="",B632=""),"",IFERROR(LOOKUP(2,1/(单次交易!$A$2:$A$201=A632),单次交易!$E$2:$E$201)*LOOKUP(2,1/(单次交易!$A$2:$A$201=A632),单次交易!$H$2:$H$201),0)+SUMIFS($H$2:$H$1001,$A$2:$A$1001,A632,$B$2:$B$1001,"&lt;"&amp;B632))</f>
        <v/>
      </c>
      <c r="K632" s="16" t="str">
        <f t="shared" si="82"/>
        <v/>
      </c>
      <c r="L632" s="17" t="str">
        <f t="shared" si="83"/>
        <v/>
      </c>
      <c r="M632" s="17" t="str">
        <f t="shared" si="84"/>
        <v/>
      </c>
      <c r="N632" s="17" t="str">
        <f t="shared" si="85"/>
        <v/>
      </c>
      <c r="O632" s="17" t="str">
        <f t="shared" si="86"/>
        <v/>
      </c>
      <c r="P632" s="16" t="str">
        <f t="shared" si="87"/>
        <v/>
      </c>
      <c r="Q632" s="16" t="str">
        <f t="shared" si="88"/>
        <v/>
      </c>
      <c r="R632" s="18" t="str">
        <f t="shared" si="89"/>
        <v/>
      </c>
    </row>
    <row r="633" spans="1:18">
      <c r="A633" s="12"/>
      <c r="B633" s="13"/>
      <c r="C633" s="14"/>
      <c r="D633" s="15"/>
      <c r="E633" s="15"/>
      <c r="F633" s="15"/>
      <c r="G633" s="13"/>
      <c r="H633" s="16" t="str">
        <f t="shared" si="81"/>
        <v/>
      </c>
      <c r="I633" s="17" t="str">
        <f>IF(OR(A633="",B633=""),"",IFERROR(LOOKUP(2,1/(单次交易!$A$2:$A$201=A633),单次交易!$H$2:$H$201),0)+SUMIFS($G$2:$G$1001,$A$2:$A$1001,A633,$B$2:$B$1001,"&lt;"&amp;B633))</f>
        <v/>
      </c>
      <c r="J633" s="16" t="str">
        <f>IF(OR(A633="",B633=""),"",IFERROR(LOOKUP(2,1/(单次交易!$A$2:$A$201=A633),单次交易!$E$2:$E$201)*LOOKUP(2,1/(单次交易!$A$2:$A$201=A633),单次交易!$H$2:$H$201),0)+SUMIFS($H$2:$H$1001,$A$2:$A$1001,A633,$B$2:$B$1001,"&lt;"&amp;B633))</f>
        <v/>
      </c>
      <c r="K633" s="16" t="str">
        <f t="shared" si="82"/>
        <v/>
      </c>
      <c r="L633" s="17" t="str">
        <f t="shared" si="83"/>
        <v/>
      </c>
      <c r="M633" s="17" t="str">
        <f t="shared" si="84"/>
        <v/>
      </c>
      <c r="N633" s="17" t="str">
        <f t="shared" si="85"/>
        <v/>
      </c>
      <c r="O633" s="17" t="str">
        <f t="shared" si="86"/>
        <v/>
      </c>
      <c r="P633" s="16" t="str">
        <f t="shared" si="87"/>
        <v/>
      </c>
      <c r="Q633" s="16" t="str">
        <f t="shared" si="88"/>
        <v/>
      </c>
      <c r="R633" s="18" t="str">
        <f t="shared" si="89"/>
        <v/>
      </c>
    </row>
    <row r="634" spans="1:18">
      <c r="A634" s="12"/>
      <c r="B634" s="13"/>
      <c r="C634" s="14"/>
      <c r="D634" s="15"/>
      <c r="E634" s="15"/>
      <c r="F634" s="15"/>
      <c r="G634" s="13"/>
      <c r="H634" s="16" t="str">
        <f t="shared" si="81"/>
        <v/>
      </c>
      <c r="I634" s="17" t="str">
        <f>IF(OR(A634="",B634=""),"",IFERROR(LOOKUP(2,1/(单次交易!$A$2:$A$201=A634),单次交易!$H$2:$H$201),0)+SUMIFS($G$2:$G$1001,$A$2:$A$1001,A634,$B$2:$B$1001,"&lt;"&amp;B634))</f>
        <v/>
      </c>
      <c r="J634" s="16" t="str">
        <f>IF(OR(A634="",B634=""),"",IFERROR(LOOKUP(2,1/(单次交易!$A$2:$A$201=A634),单次交易!$E$2:$E$201)*LOOKUP(2,1/(单次交易!$A$2:$A$201=A634),单次交易!$H$2:$H$201),0)+SUMIFS($H$2:$H$1001,$A$2:$A$1001,A634,$B$2:$B$1001,"&lt;"&amp;B634))</f>
        <v/>
      </c>
      <c r="K634" s="16" t="str">
        <f t="shared" si="82"/>
        <v/>
      </c>
      <c r="L634" s="17" t="str">
        <f t="shared" si="83"/>
        <v/>
      </c>
      <c r="M634" s="17" t="str">
        <f t="shared" si="84"/>
        <v/>
      </c>
      <c r="N634" s="17" t="str">
        <f t="shared" si="85"/>
        <v/>
      </c>
      <c r="O634" s="17" t="str">
        <f t="shared" si="86"/>
        <v/>
      </c>
      <c r="P634" s="16" t="str">
        <f t="shared" si="87"/>
        <v/>
      </c>
      <c r="Q634" s="16" t="str">
        <f t="shared" si="88"/>
        <v/>
      </c>
      <c r="R634" s="18" t="str">
        <f t="shared" si="89"/>
        <v/>
      </c>
    </row>
    <row r="635" spans="1:18">
      <c r="A635" s="12"/>
      <c r="B635" s="13"/>
      <c r="C635" s="14"/>
      <c r="D635" s="15"/>
      <c r="E635" s="15"/>
      <c r="F635" s="15"/>
      <c r="G635" s="13"/>
      <c r="H635" s="16" t="str">
        <f t="shared" si="81"/>
        <v/>
      </c>
      <c r="I635" s="17" t="str">
        <f>IF(OR(A635="",B635=""),"",IFERROR(LOOKUP(2,1/(单次交易!$A$2:$A$201=A635),单次交易!$H$2:$H$201),0)+SUMIFS($G$2:$G$1001,$A$2:$A$1001,A635,$B$2:$B$1001,"&lt;"&amp;B635))</f>
        <v/>
      </c>
      <c r="J635" s="16" t="str">
        <f>IF(OR(A635="",B635=""),"",IFERROR(LOOKUP(2,1/(单次交易!$A$2:$A$201=A635),单次交易!$E$2:$E$201)*LOOKUP(2,1/(单次交易!$A$2:$A$201=A635),单次交易!$H$2:$H$201),0)+SUMIFS($H$2:$H$1001,$A$2:$A$1001,A635,$B$2:$B$1001,"&lt;"&amp;B635))</f>
        <v/>
      </c>
      <c r="K635" s="16" t="str">
        <f t="shared" si="82"/>
        <v/>
      </c>
      <c r="L635" s="17" t="str">
        <f t="shared" si="83"/>
        <v/>
      </c>
      <c r="M635" s="17" t="str">
        <f t="shared" si="84"/>
        <v/>
      </c>
      <c r="N635" s="17" t="str">
        <f t="shared" si="85"/>
        <v/>
      </c>
      <c r="O635" s="17" t="str">
        <f t="shared" si="86"/>
        <v/>
      </c>
      <c r="P635" s="16" t="str">
        <f t="shared" si="87"/>
        <v/>
      </c>
      <c r="Q635" s="16" t="str">
        <f t="shared" si="88"/>
        <v/>
      </c>
      <c r="R635" s="18" t="str">
        <f t="shared" si="89"/>
        <v/>
      </c>
    </row>
    <row r="636" spans="1:18">
      <c r="A636" s="12"/>
      <c r="B636" s="13"/>
      <c r="C636" s="14"/>
      <c r="D636" s="15"/>
      <c r="E636" s="15"/>
      <c r="F636" s="15"/>
      <c r="G636" s="13"/>
      <c r="H636" s="16" t="str">
        <f t="shared" si="81"/>
        <v/>
      </c>
      <c r="I636" s="17" t="str">
        <f>IF(OR(A636="",B636=""),"",IFERROR(LOOKUP(2,1/(单次交易!$A$2:$A$201=A636),单次交易!$H$2:$H$201),0)+SUMIFS($G$2:$G$1001,$A$2:$A$1001,A636,$B$2:$B$1001,"&lt;"&amp;B636))</f>
        <v/>
      </c>
      <c r="J636" s="16" t="str">
        <f>IF(OR(A636="",B636=""),"",IFERROR(LOOKUP(2,1/(单次交易!$A$2:$A$201=A636),单次交易!$E$2:$E$201)*LOOKUP(2,1/(单次交易!$A$2:$A$201=A636),单次交易!$H$2:$H$201),0)+SUMIFS($H$2:$H$1001,$A$2:$A$1001,A636,$B$2:$B$1001,"&lt;"&amp;B636))</f>
        <v/>
      </c>
      <c r="K636" s="16" t="str">
        <f t="shared" si="82"/>
        <v/>
      </c>
      <c r="L636" s="17" t="str">
        <f t="shared" si="83"/>
        <v/>
      </c>
      <c r="M636" s="17" t="str">
        <f t="shared" si="84"/>
        <v/>
      </c>
      <c r="N636" s="17" t="str">
        <f t="shared" si="85"/>
        <v/>
      </c>
      <c r="O636" s="17" t="str">
        <f t="shared" si="86"/>
        <v/>
      </c>
      <c r="P636" s="16" t="str">
        <f t="shared" si="87"/>
        <v/>
      </c>
      <c r="Q636" s="16" t="str">
        <f t="shared" si="88"/>
        <v/>
      </c>
      <c r="R636" s="18" t="str">
        <f t="shared" si="89"/>
        <v/>
      </c>
    </row>
    <row r="637" spans="1:18">
      <c r="A637" s="12"/>
      <c r="B637" s="13"/>
      <c r="C637" s="14"/>
      <c r="D637" s="15"/>
      <c r="E637" s="15"/>
      <c r="F637" s="15"/>
      <c r="G637" s="13"/>
      <c r="H637" s="16" t="str">
        <f t="shared" si="81"/>
        <v/>
      </c>
      <c r="I637" s="17" t="str">
        <f>IF(OR(A637="",B637=""),"",IFERROR(LOOKUP(2,1/(单次交易!$A$2:$A$201=A637),单次交易!$H$2:$H$201),0)+SUMIFS($G$2:$G$1001,$A$2:$A$1001,A637,$B$2:$B$1001,"&lt;"&amp;B637))</f>
        <v/>
      </c>
      <c r="J637" s="16" t="str">
        <f>IF(OR(A637="",B637=""),"",IFERROR(LOOKUP(2,1/(单次交易!$A$2:$A$201=A637),单次交易!$E$2:$E$201)*LOOKUP(2,1/(单次交易!$A$2:$A$201=A637),单次交易!$H$2:$H$201),0)+SUMIFS($H$2:$H$1001,$A$2:$A$1001,A637,$B$2:$B$1001,"&lt;"&amp;B637))</f>
        <v/>
      </c>
      <c r="K637" s="16" t="str">
        <f t="shared" si="82"/>
        <v/>
      </c>
      <c r="L637" s="17" t="str">
        <f t="shared" si="83"/>
        <v/>
      </c>
      <c r="M637" s="17" t="str">
        <f t="shared" si="84"/>
        <v/>
      </c>
      <c r="N637" s="17" t="str">
        <f t="shared" si="85"/>
        <v/>
      </c>
      <c r="O637" s="17" t="str">
        <f t="shared" si="86"/>
        <v/>
      </c>
      <c r="P637" s="16" t="str">
        <f t="shared" si="87"/>
        <v/>
      </c>
      <c r="Q637" s="16" t="str">
        <f t="shared" si="88"/>
        <v/>
      </c>
      <c r="R637" s="18" t="str">
        <f t="shared" si="89"/>
        <v/>
      </c>
    </row>
    <row r="638" spans="1:18">
      <c r="A638" s="12"/>
      <c r="B638" s="13"/>
      <c r="C638" s="14"/>
      <c r="D638" s="15"/>
      <c r="E638" s="15"/>
      <c r="F638" s="15"/>
      <c r="G638" s="13"/>
      <c r="H638" s="16" t="str">
        <f t="shared" si="81"/>
        <v/>
      </c>
      <c r="I638" s="17" t="str">
        <f>IF(OR(A638="",B638=""),"",IFERROR(LOOKUP(2,1/(单次交易!$A$2:$A$201=A638),单次交易!$H$2:$H$201),0)+SUMIFS($G$2:$G$1001,$A$2:$A$1001,A638,$B$2:$B$1001,"&lt;"&amp;B638))</f>
        <v/>
      </c>
      <c r="J638" s="16" t="str">
        <f>IF(OR(A638="",B638=""),"",IFERROR(LOOKUP(2,1/(单次交易!$A$2:$A$201=A638),单次交易!$E$2:$E$201)*LOOKUP(2,1/(单次交易!$A$2:$A$201=A638),单次交易!$H$2:$H$201),0)+SUMIFS($H$2:$H$1001,$A$2:$A$1001,A638,$B$2:$B$1001,"&lt;"&amp;B638))</f>
        <v/>
      </c>
      <c r="K638" s="16" t="str">
        <f t="shared" si="82"/>
        <v/>
      </c>
      <c r="L638" s="17" t="str">
        <f t="shared" si="83"/>
        <v/>
      </c>
      <c r="M638" s="17" t="str">
        <f t="shared" si="84"/>
        <v/>
      </c>
      <c r="N638" s="17" t="str">
        <f t="shared" si="85"/>
        <v/>
      </c>
      <c r="O638" s="17" t="str">
        <f t="shared" si="86"/>
        <v/>
      </c>
      <c r="P638" s="16" t="str">
        <f t="shared" si="87"/>
        <v/>
      </c>
      <c r="Q638" s="16" t="str">
        <f t="shared" si="88"/>
        <v/>
      </c>
      <c r="R638" s="18" t="str">
        <f t="shared" si="89"/>
        <v/>
      </c>
    </row>
    <row r="639" spans="1:18">
      <c r="A639" s="12"/>
      <c r="B639" s="13"/>
      <c r="C639" s="14"/>
      <c r="D639" s="15"/>
      <c r="E639" s="15"/>
      <c r="F639" s="15"/>
      <c r="G639" s="13"/>
      <c r="H639" s="16" t="str">
        <f t="shared" si="81"/>
        <v/>
      </c>
      <c r="I639" s="17" t="str">
        <f>IF(OR(A639="",B639=""),"",IFERROR(LOOKUP(2,1/(单次交易!$A$2:$A$201=A639),单次交易!$H$2:$H$201),0)+SUMIFS($G$2:$G$1001,$A$2:$A$1001,A639,$B$2:$B$1001,"&lt;"&amp;B639))</f>
        <v/>
      </c>
      <c r="J639" s="16" t="str">
        <f>IF(OR(A639="",B639=""),"",IFERROR(LOOKUP(2,1/(单次交易!$A$2:$A$201=A639),单次交易!$E$2:$E$201)*LOOKUP(2,1/(单次交易!$A$2:$A$201=A639),单次交易!$H$2:$H$201),0)+SUMIFS($H$2:$H$1001,$A$2:$A$1001,A639,$B$2:$B$1001,"&lt;"&amp;B639))</f>
        <v/>
      </c>
      <c r="K639" s="16" t="str">
        <f t="shared" si="82"/>
        <v/>
      </c>
      <c r="L639" s="17" t="str">
        <f t="shared" si="83"/>
        <v/>
      </c>
      <c r="M639" s="17" t="str">
        <f t="shared" si="84"/>
        <v/>
      </c>
      <c r="N639" s="17" t="str">
        <f t="shared" si="85"/>
        <v/>
      </c>
      <c r="O639" s="17" t="str">
        <f t="shared" si="86"/>
        <v/>
      </c>
      <c r="P639" s="16" t="str">
        <f t="shared" si="87"/>
        <v/>
      </c>
      <c r="Q639" s="16" t="str">
        <f t="shared" si="88"/>
        <v/>
      </c>
      <c r="R639" s="18" t="str">
        <f t="shared" si="89"/>
        <v/>
      </c>
    </row>
    <row r="640" spans="1:18">
      <c r="A640" s="12"/>
      <c r="B640" s="13"/>
      <c r="C640" s="14"/>
      <c r="D640" s="15"/>
      <c r="E640" s="15"/>
      <c r="F640" s="15"/>
      <c r="G640" s="13"/>
      <c r="H640" s="16" t="str">
        <f t="shared" si="81"/>
        <v/>
      </c>
      <c r="I640" s="17" t="str">
        <f>IF(OR(A640="",B640=""),"",IFERROR(LOOKUP(2,1/(单次交易!$A$2:$A$201=A640),单次交易!$H$2:$H$201),0)+SUMIFS($G$2:$G$1001,$A$2:$A$1001,A640,$B$2:$B$1001,"&lt;"&amp;B640))</f>
        <v/>
      </c>
      <c r="J640" s="16" t="str">
        <f>IF(OR(A640="",B640=""),"",IFERROR(LOOKUP(2,1/(单次交易!$A$2:$A$201=A640),单次交易!$E$2:$E$201)*LOOKUP(2,1/(单次交易!$A$2:$A$201=A640),单次交易!$H$2:$H$201),0)+SUMIFS($H$2:$H$1001,$A$2:$A$1001,A640,$B$2:$B$1001,"&lt;"&amp;B640))</f>
        <v/>
      </c>
      <c r="K640" s="16" t="str">
        <f t="shared" si="82"/>
        <v/>
      </c>
      <c r="L640" s="17" t="str">
        <f t="shared" si="83"/>
        <v/>
      </c>
      <c r="M640" s="17" t="str">
        <f t="shared" si="84"/>
        <v/>
      </c>
      <c r="N640" s="17" t="str">
        <f t="shared" si="85"/>
        <v/>
      </c>
      <c r="O640" s="17" t="str">
        <f t="shared" si="86"/>
        <v/>
      </c>
      <c r="P640" s="16" t="str">
        <f t="shared" si="87"/>
        <v/>
      </c>
      <c r="Q640" s="16" t="str">
        <f t="shared" si="88"/>
        <v/>
      </c>
      <c r="R640" s="18" t="str">
        <f t="shared" si="89"/>
        <v/>
      </c>
    </row>
    <row r="641" spans="1:18">
      <c r="A641" s="12"/>
      <c r="B641" s="13"/>
      <c r="C641" s="14"/>
      <c r="D641" s="15"/>
      <c r="E641" s="15"/>
      <c r="F641" s="15"/>
      <c r="G641" s="13"/>
      <c r="H641" s="16" t="str">
        <f t="shared" si="81"/>
        <v/>
      </c>
      <c r="I641" s="17" t="str">
        <f>IF(OR(A641="",B641=""),"",IFERROR(LOOKUP(2,1/(单次交易!$A$2:$A$201=A641),单次交易!$H$2:$H$201),0)+SUMIFS($G$2:$G$1001,$A$2:$A$1001,A641,$B$2:$B$1001,"&lt;"&amp;B641))</f>
        <v/>
      </c>
      <c r="J641" s="16" t="str">
        <f>IF(OR(A641="",B641=""),"",IFERROR(LOOKUP(2,1/(单次交易!$A$2:$A$201=A641),单次交易!$E$2:$E$201)*LOOKUP(2,1/(单次交易!$A$2:$A$201=A641),单次交易!$H$2:$H$201),0)+SUMIFS($H$2:$H$1001,$A$2:$A$1001,A641,$B$2:$B$1001,"&lt;"&amp;B641))</f>
        <v/>
      </c>
      <c r="K641" s="16" t="str">
        <f t="shared" si="82"/>
        <v/>
      </c>
      <c r="L641" s="17" t="str">
        <f t="shared" si="83"/>
        <v/>
      </c>
      <c r="M641" s="17" t="str">
        <f t="shared" si="84"/>
        <v/>
      </c>
      <c r="N641" s="17" t="str">
        <f t="shared" si="85"/>
        <v/>
      </c>
      <c r="O641" s="17" t="str">
        <f t="shared" si="86"/>
        <v/>
      </c>
      <c r="P641" s="16" t="str">
        <f t="shared" si="87"/>
        <v/>
      </c>
      <c r="Q641" s="16" t="str">
        <f t="shared" si="88"/>
        <v/>
      </c>
      <c r="R641" s="18" t="str">
        <f t="shared" si="89"/>
        <v/>
      </c>
    </row>
    <row r="642" spans="1:18">
      <c r="A642" s="12"/>
      <c r="B642" s="13"/>
      <c r="C642" s="14"/>
      <c r="D642" s="15"/>
      <c r="E642" s="15"/>
      <c r="F642" s="15"/>
      <c r="G642" s="13"/>
      <c r="H642" s="16" t="str">
        <f t="shared" ref="H642:H705" si="90">IF(OR(A642="",D642="",G642=""),"",D642*G642)</f>
        <v/>
      </c>
      <c r="I642" s="17" t="str">
        <f>IF(OR(A642="",B642=""),"",IFERROR(LOOKUP(2,1/(单次交易!$A$2:$A$201=A642),单次交易!$H$2:$H$201),0)+SUMIFS($G$2:$G$1001,$A$2:$A$1001,A642,$B$2:$B$1001,"&lt;"&amp;B642))</f>
        <v/>
      </c>
      <c r="J642" s="16" t="str">
        <f>IF(OR(A642="",B642=""),"",IFERROR(LOOKUP(2,1/(单次交易!$A$2:$A$201=A642),单次交易!$E$2:$E$201)*LOOKUP(2,1/(单次交易!$A$2:$A$201=A642),单次交易!$H$2:$H$201),0)+SUMIFS($H$2:$H$1001,$A$2:$A$1001,A642,$B$2:$B$1001,"&lt;"&amp;B642))</f>
        <v/>
      </c>
      <c r="K642" s="16" t="str">
        <f t="shared" ref="K642:K705" si="91">IF(OR(E642="",I642="",J642=""),"",MAX(E642*I642-J642,0))</f>
        <v/>
      </c>
      <c r="L642" s="17" t="str">
        <f t="shared" ref="L642:L705" si="92">IF(OR(D642="",E642="",F642="",D642&lt;=E642),"",FLOOR((F642+K642)/(D642-E642),100))</f>
        <v/>
      </c>
      <c r="M642" s="17" t="str">
        <f t="shared" ref="M642:M705" si="93">IF(OR(A642="",B642="",L642=""),"",IF(B642=1,L642,IFERROR(SUMIFS($G$2:$G$1001,$A$2:$A$1001,A642,$B$2:$B$1001,B642-1),0)))</f>
        <v/>
      </c>
      <c r="N642" s="17" t="str">
        <f t="shared" ref="N642:N705" si="94">IF(OR(L642="",M642=""),"",MIN(L642,M642))</f>
        <v/>
      </c>
      <c r="O642" s="17" t="str">
        <f t="shared" ref="O642:O705" si="95">IF(OR(I642="",G642=""),"",I642+G642)</f>
        <v/>
      </c>
      <c r="P642" s="16" t="str">
        <f t="shared" ref="P642:P705" si="96">IF(OR(O642="",O642=0),"",(J642+H642)/O642)</f>
        <v/>
      </c>
      <c r="Q642" s="16" t="str">
        <f t="shared" ref="Q642:Q705" si="97">IF(OR(O642="",E642=""),"",MAX(J642+H642-E642*O642,0))</f>
        <v/>
      </c>
      <c r="R642" s="18" t="str">
        <f t="shared" ref="R642:R705" si="98">IF(A642="","",IF(COUNTIF(_TradeIds,A642)=0,"违规：交易编号不存在",IF(OR(B642="",B642&lt;1,B642&gt;5,B642&lt;&gt;INT(B642)),"违规：加仓序号须为1到5的整数",IF(COUNTIFS($A$2:$A$1001,A642,$B$2:$B$1001,B642)&gt;1,"违规：同一交易的加仓序号重复",IF(OR(D642="",E642="",F642=""),"计划不完整：请填写加仓价、新止损价和风险预算",IF(OR(D642&lt;=0,E642&lt;=0,F642&lt;=0,D642&lt;=E642),"违规：加仓价必须高于新止损价，金额须大于0",IF(AND(B642&gt;1,COUNTIFS($A$2:$A$1001,A642,$B$2:$B$1001,B642-1,$G$2:$G$1001,"&gt;0")=0),"违规：须先完成上一次加仓",IF(AND(B642&gt;1,E642&lt;SUMIFS($E$2:$E$1001,$A$2:$A$1001,A642,$B$2:$B$1001,B642-1)),"违规：新止损价不得低于上一次",IF(AND(B642&gt;1,F642&gt;SUMIFS($F$2:$F$1001,$A$2:$A$1001,A642,$B$2:$B$1001,B642-1)),"违规：风险预算须逐次不增加",IF(OR(_LockStatus="已锁仓",_LockStatus="解锁信息不完整"),"违规：锁仓期间禁止加仓",IF(G642="","计划可执行：建议股数见N列",IF(OR(G642&lt;=0,G642&lt;&gt;INT(G642),MOD(G642,100)&lt;&gt;0),"违规：实际股数须为100股整数倍",IF(G642&gt;N642,"违规：实际股数超过风险或金字塔上限",IF(AND(B642&gt;1,G642&gt;SUMIFS($G$2:$G$1001,$A$2:$A$1001,A642,$B$2:$B$1001,B642-1)),"违规：加仓股数须逐次不增加",IF(Q642&gt;F642,"违规：止损风险超过本次预算","通过")))))))))))))))</f>
        <v/>
      </c>
    </row>
    <row r="643" spans="1:18">
      <c r="A643" s="12"/>
      <c r="B643" s="13"/>
      <c r="C643" s="14"/>
      <c r="D643" s="15"/>
      <c r="E643" s="15"/>
      <c r="F643" s="15"/>
      <c r="G643" s="13"/>
      <c r="H643" s="16" t="str">
        <f t="shared" si="90"/>
        <v/>
      </c>
      <c r="I643" s="17" t="str">
        <f>IF(OR(A643="",B643=""),"",IFERROR(LOOKUP(2,1/(单次交易!$A$2:$A$201=A643),单次交易!$H$2:$H$201),0)+SUMIFS($G$2:$G$1001,$A$2:$A$1001,A643,$B$2:$B$1001,"&lt;"&amp;B643))</f>
        <v/>
      </c>
      <c r="J643" s="16" t="str">
        <f>IF(OR(A643="",B643=""),"",IFERROR(LOOKUP(2,1/(单次交易!$A$2:$A$201=A643),单次交易!$E$2:$E$201)*LOOKUP(2,1/(单次交易!$A$2:$A$201=A643),单次交易!$H$2:$H$201),0)+SUMIFS($H$2:$H$1001,$A$2:$A$1001,A643,$B$2:$B$1001,"&lt;"&amp;B643))</f>
        <v/>
      </c>
      <c r="K643" s="16" t="str">
        <f t="shared" si="91"/>
        <v/>
      </c>
      <c r="L643" s="17" t="str">
        <f t="shared" si="92"/>
        <v/>
      </c>
      <c r="M643" s="17" t="str">
        <f t="shared" si="93"/>
        <v/>
      </c>
      <c r="N643" s="17" t="str">
        <f t="shared" si="94"/>
        <v/>
      </c>
      <c r="O643" s="17" t="str">
        <f t="shared" si="95"/>
        <v/>
      </c>
      <c r="P643" s="16" t="str">
        <f t="shared" si="96"/>
        <v/>
      </c>
      <c r="Q643" s="16" t="str">
        <f t="shared" si="97"/>
        <v/>
      </c>
      <c r="R643" s="18" t="str">
        <f t="shared" si="98"/>
        <v/>
      </c>
    </row>
    <row r="644" spans="1:18">
      <c r="A644" s="12"/>
      <c r="B644" s="13"/>
      <c r="C644" s="14"/>
      <c r="D644" s="15"/>
      <c r="E644" s="15"/>
      <c r="F644" s="15"/>
      <c r="G644" s="13"/>
      <c r="H644" s="16" t="str">
        <f t="shared" si="90"/>
        <v/>
      </c>
      <c r="I644" s="17" t="str">
        <f>IF(OR(A644="",B644=""),"",IFERROR(LOOKUP(2,1/(单次交易!$A$2:$A$201=A644),单次交易!$H$2:$H$201),0)+SUMIFS($G$2:$G$1001,$A$2:$A$1001,A644,$B$2:$B$1001,"&lt;"&amp;B644))</f>
        <v/>
      </c>
      <c r="J644" s="16" t="str">
        <f>IF(OR(A644="",B644=""),"",IFERROR(LOOKUP(2,1/(单次交易!$A$2:$A$201=A644),单次交易!$E$2:$E$201)*LOOKUP(2,1/(单次交易!$A$2:$A$201=A644),单次交易!$H$2:$H$201),0)+SUMIFS($H$2:$H$1001,$A$2:$A$1001,A644,$B$2:$B$1001,"&lt;"&amp;B644))</f>
        <v/>
      </c>
      <c r="K644" s="16" t="str">
        <f t="shared" si="91"/>
        <v/>
      </c>
      <c r="L644" s="17" t="str">
        <f t="shared" si="92"/>
        <v/>
      </c>
      <c r="M644" s="17" t="str">
        <f t="shared" si="93"/>
        <v/>
      </c>
      <c r="N644" s="17" t="str">
        <f t="shared" si="94"/>
        <v/>
      </c>
      <c r="O644" s="17" t="str">
        <f t="shared" si="95"/>
        <v/>
      </c>
      <c r="P644" s="16" t="str">
        <f t="shared" si="96"/>
        <v/>
      </c>
      <c r="Q644" s="16" t="str">
        <f t="shared" si="97"/>
        <v/>
      </c>
      <c r="R644" s="18" t="str">
        <f t="shared" si="98"/>
        <v/>
      </c>
    </row>
    <row r="645" spans="1:18">
      <c r="A645" s="12"/>
      <c r="B645" s="13"/>
      <c r="C645" s="14"/>
      <c r="D645" s="15"/>
      <c r="E645" s="15"/>
      <c r="F645" s="15"/>
      <c r="G645" s="13"/>
      <c r="H645" s="16" t="str">
        <f t="shared" si="90"/>
        <v/>
      </c>
      <c r="I645" s="17" t="str">
        <f>IF(OR(A645="",B645=""),"",IFERROR(LOOKUP(2,1/(单次交易!$A$2:$A$201=A645),单次交易!$H$2:$H$201),0)+SUMIFS($G$2:$G$1001,$A$2:$A$1001,A645,$B$2:$B$1001,"&lt;"&amp;B645))</f>
        <v/>
      </c>
      <c r="J645" s="16" t="str">
        <f>IF(OR(A645="",B645=""),"",IFERROR(LOOKUP(2,1/(单次交易!$A$2:$A$201=A645),单次交易!$E$2:$E$201)*LOOKUP(2,1/(单次交易!$A$2:$A$201=A645),单次交易!$H$2:$H$201),0)+SUMIFS($H$2:$H$1001,$A$2:$A$1001,A645,$B$2:$B$1001,"&lt;"&amp;B645))</f>
        <v/>
      </c>
      <c r="K645" s="16" t="str">
        <f t="shared" si="91"/>
        <v/>
      </c>
      <c r="L645" s="17" t="str">
        <f t="shared" si="92"/>
        <v/>
      </c>
      <c r="M645" s="17" t="str">
        <f t="shared" si="93"/>
        <v/>
      </c>
      <c r="N645" s="17" t="str">
        <f t="shared" si="94"/>
        <v/>
      </c>
      <c r="O645" s="17" t="str">
        <f t="shared" si="95"/>
        <v/>
      </c>
      <c r="P645" s="16" t="str">
        <f t="shared" si="96"/>
        <v/>
      </c>
      <c r="Q645" s="16" t="str">
        <f t="shared" si="97"/>
        <v/>
      </c>
      <c r="R645" s="18" t="str">
        <f t="shared" si="98"/>
        <v/>
      </c>
    </row>
    <row r="646" spans="1:18">
      <c r="A646" s="12"/>
      <c r="B646" s="13"/>
      <c r="C646" s="14"/>
      <c r="D646" s="15"/>
      <c r="E646" s="15"/>
      <c r="F646" s="15"/>
      <c r="G646" s="13"/>
      <c r="H646" s="16" t="str">
        <f t="shared" si="90"/>
        <v/>
      </c>
      <c r="I646" s="17" t="str">
        <f>IF(OR(A646="",B646=""),"",IFERROR(LOOKUP(2,1/(单次交易!$A$2:$A$201=A646),单次交易!$H$2:$H$201),0)+SUMIFS($G$2:$G$1001,$A$2:$A$1001,A646,$B$2:$B$1001,"&lt;"&amp;B646))</f>
        <v/>
      </c>
      <c r="J646" s="16" t="str">
        <f>IF(OR(A646="",B646=""),"",IFERROR(LOOKUP(2,1/(单次交易!$A$2:$A$201=A646),单次交易!$E$2:$E$201)*LOOKUP(2,1/(单次交易!$A$2:$A$201=A646),单次交易!$H$2:$H$201),0)+SUMIFS($H$2:$H$1001,$A$2:$A$1001,A646,$B$2:$B$1001,"&lt;"&amp;B646))</f>
        <v/>
      </c>
      <c r="K646" s="16" t="str">
        <f t="shared" si="91"/>
        <v/>
      </c>
      <c r="L646" s="17" t="str">
        <f t="shared" si="92"/>
        <v/>
      </c>
      <c r="M646" s="17" t="str">
        <f t="shared" si="93"/>
        <v/>
      </c>
      <c r="N646" s="17" t="str">
        <f t="shared" si="94"/>
        <v/>
      </c>
      <c r="O646" s="17" t="str">
        <f t="shared" si="95"/>
        <v/>
      </c>
      <c r="P646" s="16" t="str">
        <f t="shared" si="96"/>
        <v/>
      </c>
      <c r="Q646" s="16" t="str">
        <f t="shared" si="97"/>
        <v/>
      </c>
      <c r="R646" s="18" t="str">
        <f t="shared" si="98"/>
        <v/>
      </c>
    </row>
    <row r="647" spans="1:18">
      <c r="A647" s="12"/>
      <c r="B647" s="13"/>
      <c r="C647" s="14"/>
      <c r="D647" s="15"/>
      <c r="E647" s="15"/>
      <c r="F647" s="15"/>
      <c r="G647" s="13"/>
      <c r="H647" s="16" t="str">
        <f t="shared" si="90"/>
        <v/>
      </c>
      <c r="I647" s="17" t="str">
        <f>IF(OR(A647="",B647=""),"",IFERROR(LOOKUP(2,1/(单次交易!$A$2:$A$201=A647),单次交易!$H$2:$H$201),0)+SUMIFS($G$2:$G$1001,$A$2:$A$1001,A647,$B$2:$B$1001,"&lt;"&amp;B647))</f>
        <v/>
      </c>
      <c r="J647" s="16" t="str">
        <f>IF(OR(A647="",B647=""),"",IFERROR(LOOKUP(2,1/(单次交易!$A$2:$A$201=A647),单次交易!$E$2:$E$201)*LOOKUP(2,1/(单次交易!$A$2:$A$201=A647),单次交易!$H$2:$H$201),0)+SUMIFS($H$2:$H$1001,$A$2:$A$1001,A647,$B$2:$B$1001,"&lt;"&amp;B647))</f>
        <v/>
      </c>
      <c r="K647" s="16" t="str">
        <f t="shared" si="91"/>
        <v/>
      </c>
      <c r="L647" s="17" t="str">
        <f t="shared" si="92"/>
        <v/>
      </c>
      <c r="M647" s="17" t="str">
        <f t="shared" si="93"/>
        <v/>
      </c>
      <c r="N647" s="17" t="str">
        <f t="shared" si="94"/>
        <v/>
      </c>
      <c r="O647" s="17" t="str">
        <f t="shared" si="95"/>
        <v/>
      </c>
      <c r="P647" s="16" t="str">
        <f t="shared" si="96"/>
        <v/>
      </c>
      <c r="Q647" s="16" t="str">
        <f t="shared" si="97"/>
        <v/>
      </c>
      <c r="R647" s="18" t="str">
        <f t="shared" si="98"/>
        <v/>
      </c>
    </row>
    <row r="648" spans="1:18">
      <c r="A648" s="12"/>
      <c r="B648" s="13"/>
      <c r="C648" s="14"/>
      <c r="D648" s="15"/>
      <c r="E648" s="15"/>
      <c r="F648" s="15"/>
      <c r="G648" s="13"/>
      <c r="H648" s="16" t="str">
        <f t="shared" si="90"/>
        <v/>
      </c>
      <c r="I648" s="17" t="str">
        <f>IF(OR(A648="",B648=""),"",IFERROR(LOOKUP(2,1/(单次交易!$A$2:$A$201=A648),单次交易!$H$2:$H$201),0)+SUMIFS($G$2:$G$1001,$A$2:$A$1001,A648,$B$2:$B$1001,"&lt;"&amp;B648))</f>
        <v/>
      </c>
      <c r="J648" s="16" t="str">
        <f>IF(OR(A648="",B648=""),"",IFERROR(LOOKUP(2,1/(单次交易!$A$2:$A$201=A648),单次交易!$E$2:$E$201)*LOOKUP(2,1/(单次交易!$A$2:$A$201=A648),单次交易!$H$2:$H$201),0)+SUMIFS($H$2:$H$1001,$A$2:$A$1001,A648,$B$2:$B$1001,"&lt;"&amp;B648))</f>
        <v/>
      </c>
      <c r="K648" s="16" t="str">
        <f t="shared" si="91"/>
        <v/>
      </c>
      <c r="L648" s="17" t="str">
        <f t="shared" si="92"/>
        <v/>
      </c>
      <c r="M648" s="17" t="str">
        <f t="shared" si="93"/>
        <v/>
      </c>
      <c r="N648" s="17" t="str">
        <f t="shared" si="94"/>
        <v/>
      </c>
      <c r="O648" s="17" t="str">
        <f t="shared" si="95"/>
        <v/>
      </c>
      <c r="P648" s="16" t="str">
        <f t="shared" si="96"/>
        <v/>
      </c>
      <c r="Q648" s="16" t="str">
        <f t="shared" si="97"/>
        <v/>
      </c>
      <c r="R648" s="18" t="str">
        <f t="shared" si="98"/>
        <v/>
      </c>
    </row>
    <row r="649" spans="1:18">
      <c r="A649" s="12"/>
      <c r="B649" s="13"/>
      <c r="C649" s="14"/>
      <c r="D649" s="15"/>
      <c r="E649" s="15"/>
      <c r="F649" s="15"/>
      <c r="G649" s="13"/>
      <c r="H649" s="16" t="str">
        <f t="shared" si="90"/>
        <v/>
      </c>
      <c r="I649" s="17" t="str">
        <f>IF(OR(A649="",B649=""),"",IFERROR(LOOKUP(2,1/(单次交易!$A$2:$A$201=A649),单次交易!$H$2:$H$201),0)+SUMIFS($G$2:$G$1001,$A$2:$A$1001,A649,$B$2:$B$1001,"&lt;"&amp;B649))</f>
        <v/>
      </c>
      <c r="J649" s="16" t="str">
        <f>IF(OR(A649="",B649=""),"",IFERROR(LOOKUP(2,1/(单次交易!$A$2:$A$201=A649),单次交易!$E$2:$E$201)*LOOKUP(2,1/(单次交易!$A$2:$A$201=A649),单次交易!$H$2:$H$201),0)+SUMIFS($H$2:$H$1001,$A$2:$A$1001,A649,$B$2:$B$1001,"&lt;"&amp;B649))</f>
        <v/>
      </c>
      <c r="K649" s="16" t="str">
        <f t="shared" si="91"/>
        <v/>
      </c>
      <c r="L649" s="17" t="str">
        <f t="shared" si="92"/>
        <v/>
      </c>
      <c r="M649" s="17" t="str">
        <f t="shared" si="93"/>
        <v/>
      </c>
      <c r="N649" s="17" t="str">
        <f t="shared" si="94"/>
        <v/>
      </c>
      <c r="O649" s="17" t="str">
        <f t="shared" si="95"/>
        <v/>
      </c>
      <c r="P649" s="16" t="str">
        <f t="shared" si="96"/>
        <v/>
      </c>
      <c r="Q649" s="16" t="str">
        <f t="shared" si="97"/>
        <v/>
      </c>
      <c r="R649" s="18" t="str">
        <f t="shared" si="98"/>
        <v/>
      </c>
    </row>
    <row r="650" spans="1:18">
      <c r="A650" s="12"/>
      <c r="B650" s="13"/>
      <c r="C650" s="14"/>
      <c r="D650" s="15"/>
      <c r="E650" s="15"/>
      <c r="F650" s="15"/>
      <c r="G650" s="13"/>
      <c r="H650" s="16" t="str">
        <f t="shared" si="90"/>
        <v/>
      </c>
      <c r="I650" s="17" t="str">
        <f>IF(OR(A650="",B650=""),"",IFERROR(LOOKUP(2,1/(单次交易!$A$2:$A$201=A650),单次交易!$H$2:$H$201),0)+SUMIFS($G$2:$G$1001,$A$2:$A$1001,A650,$B$2:$B$1001,"&lt;"&amp;B650))</f>
        <v/>
      </c>
      <c r="J650" s="16" t="str">
        <f>IF(OR(A650="",B650=""),"",IFERROR(LOOKUP(2,1/(单次交易!$A$2:$A$201=A650),单次交易!$E$2:$E$201)*LOOKUP(2,1/(单次交易!$A$2:$A$201=A650),单次交易!$H$2:$H$201),0)+SUMIFS($H$2:$H$1001,$A$2:$A$1001,A650,$B$2:$B$1001,"&lt;"&amp;B650))</f>
        <v/>
      </c>
      <c r="K650" s="16" t="str">
        <f t="shared" si="91"/>
        <v/>
      </c>
      <c r="L650" s="17" t="str">
        <f t="shared" si="92"/>
        <v/>
      </c>
      <c r="M650" s="17" t="str">
        <f t="shared" si="93"/>
        <v/>
      </c>
      <c r="N650" s="17" t="str">
        <f t="shared" si="94"/>
        <v/>
      </c>
      <c r="O650" s="17" t="str">
        <f t="shared" si="95"/>
        <v/>
      </c>
      <c r="P650" s="16" t="str">
        <f t="shared" si="96"/>
        <v/>
      </c>
      <c r="Q650" s="16" t="str">
        <f t="shared" si="97"/>
        <v/>
      </c>
      <c r="R650" s="18" t="str">
        <f t="shared" si="98"/>
        <v/>
      </c>
    </row>
    <row r="651" spans="1:18">
      <c r="A651" s="12"/>
      <c r="B651" s="13"/>
      <c r="C651" s="14"/>
      <c r="D651" s="15"/>
      <c r="E651" s="15"/>
      <c r="F651" s="15"/>
      <c r="G651" s="13"/>
      <c r="H651" s="16" t="str">
        <f t="shared" si="90"/>
        <v/>
      </c>
      <c r="I651" s="17" t="str">
        <f>IF(OR(A651="",B651=""),"",IFERROR(LOOKUP(2,1/(单次交易!$A$2:$A$201=A651),单次交易!$H$2:$H$201),0)+SUMIFS($G$2:$G$1001,$A$2:$A$1001,A651,$B$2:$B$1001,"&lt;"&amp;B651))</f>
        <v/>
      </c>
      <c r="J651" s="16" t="str">
        <f>IF(OR(A651="",B651=""),"",IFERROR(LOOKUP(2,1/(单次交易!$A$2:$A$201=A651),单次交易!$E$2:$E$201)*LOOKUP(2,1/(单次交易!$A$2:$A$201=A651),单次交易!$H$2:$H$201),0)+SUMIFS($H$2:$H$1001,$A$2:$A$1001,A651,$B$2:$B$1001,"&lt;"&amp;B651))</f>
        <v/>
      </c>
      <c r="K651" s="16" t="str">
        <f t="shared" si="91"/>
        <v/>
      </c>
      <c r="L651" s="17" t="str">
        <f t="shared" si="92"/>
        <v/>
      </c>
      <c r="M651" s="17" t="str">
        <f t="shared" si="93"/>
        <v/>
      </c>
      <c r="N651" s="17" t="str">
        <f t="shared" si="94"/>
        <v/>
      </c>
      <c r="O651" s="17" t="str">
        <f t="shared" si="95"/>
        <v/>
      </c>
      <c r="P651" s="16" t="str">
        <f t="shared" si="96"/>
        <v/>
      </c>
      <c r="Q651" s="16" t="str">
        <f t="shared" si="97"/>
        <v/>
      </c>
      <c r="R651" s="18" t="str">
        <f t="shared" si="98"/>
        <v/>
      </c>
    </row>
    <row r="652" spans="1:18">
      <c r="A652" s="12"/>
      <c r="B652" s="13"/>
      <c r="C652" s="14"/>
      <c r="D652" s="15"/>
      <c r="E652" s="15"/>
      <c r="F652" s="15"/>
      <c r="G652" s="13"/>
      <c r="H652" s="16" t="str">
        <f t="shared" si="90"/>
        <v/>
      </c>
      <c r="I652" s="17" t="str">
        <f>IF(OR(A652="",B652=""),"",IFERROR(LOOKUP(2,1/(单次交易!$A$2:$A$201=A652),单次交易!$H$2:$H$201),0)+SUMIFS($G$2:$G$1001,$A$2:$A$1001,A652,$B$2:$B$1001,"&lt;"&amp;B652))</f>
        <v/>
      </c>
      <c r="J652" s="16" t="str">
        <f>IF(OR(A652="",B652=""),"",IFERROR(LOOKUP(2,1/(单次交易!$A$2:$A$201=A652),单次交易!$E$2:$E$201)*LOOKUP(2,1/(单次交易!$A$2:$A$201=A652),单次交易!$H$2:$H$201),0)+SUMIFS($H$2:$H$1001,$A$2:$A$1001,A652,$B$2:$B$1001,"&lt;"&amp;B652))</f>
        <v/>
      </c>
      <c r="K652" s="16" t="str">
        <f t="shared" si="91"/>
        <v/>
      </c>
      <c r="L652" s="17" t="str">
        <f t="shared" si="92"/>
        <v/>
      </c>
      <c r="M652" s="17" t="str">
        <f t="shared" si="93"/>
        <v/>
      </c>
      <c r="N652" s="17" t="str">
        <f t="shared" si="94"/>
        <v/>
      </c>
      <c r="O652" s="17" t="str">
        <f t="shared" si="95"/>
        <v/>
      </c>
      <c r="P652" s="16" t="str">
        <f t="shared" si="96"/>
        <v/>
      </c>
      <c r="Q652" s="16" t="str">
        <f t="shared" si="97"/>
        <v/>
      </c>
      <c r="R652" s="18" t="str">
        <f t="shared" si="98"/>
        <v/>
      </c>
    </row>
    <row r="653" spans="1:18">
      <c r="A653" s="12"/>
      <c r="B653" s="13"/>
      <c r="C653" s="14"/>
      <c r="D653" s="15"/>
      <c r="E653" s="15"/>
      <c r="F653" s="15"/>
      <c r="G653" s="13"/>
      <c r="H653" s="16" t="str">
        <f t="shared" si="90"/>
        <v/>
      </c>
      <c r="I653" s="17" t="str">
        <f>IF(OR(A653="",B653=""),"",IFERROR(LOOKUP(2,1/(单次交易!$A$2:$A$201=A653),单次交易!$H$2:$H$201),0)+SUMIFS($G$2:$G$1001,$A$2:$A$1001,A653,$B$2:$B$1001,"&lt;"&amp;B653))</f>
        <v/>
      </c>
      <c r="J653" s="16" t="str">
        <f>IF(OR(A653="",B653=""),"",IFERROR(LOOKUP(2,1/(单次交易!$A$2:$A$201=A653),单次交易!$E$2:$E$201)*LOOKUP(2,1/(单次交易!$A$2:$A$201=A653),单次交易!$H$2:$H$201),0)+SUMIFS($H$2:$H$1001,$A$2:$A$1001,A653,$B$2:$B$1001,"&lt;"&amp;B653))</f>
        <v/>
      </c>
      <c r="K653" s="16" t="str">
        <f t="shared" si="91"/>
        <v/>
      </c>
      <c r="L653" s="17" t="str">
        <f t="shared" si="92"/>
        <v/>
      </c>
      <c r="M653" s="17" t="str">
        <f t="shared" si="93"/>
        <v/>
      </c>
      <c r="N653" s="17" t="str">
        <f t="shared" si="94"/>
        <v/>
      </c>
      <c r="O653" s="17" t="str">
        <f t="shared" si="95"/>
        <v/>
      </c>
      <c r="P653" s="16" t="str">
        <f t="shared" si="96"/>
        <v/>
      </c>
      <c r="Q653" s="16" t="str">
        <f t="shared" si="97"/>
        <v/>
      </c>
      <c r="R653" s="18" t="str">
        <f t="shared" si="98"/>
        <v/>
      </c>
    </row>
    <row r="654" spans="1:18">
      <c r="A654" s="12"/>
      <c r="B654" s="13"/>
      <c r="C654" s="14"/>
      <c r="D654" s="15"/>
      <c r="E654" s="15"/>
      <c r="F654" s="15"/>
      <c r="G654" s="13"/>
      <c r="H654" s="16" t="str">
        <f t="shared" si="90"/>
        <v/>
      </c>
      <c r="I654" s="17" t="str">
        <f>IF(OR(A654="",B654=""),"",IFERROR(LOOKUP(2,1/(单次交易!$A$2:$A$201=A654),单次交易!$H$2:$H$201),0)+SUMIFS($G$2:$G$1001,$A$2:$A$1001,A654,$B$2:$B$1001,"&lt;"&amp;B654))</f>
        <v/>
      </c>
      <c r="J654" s="16" t="str">
        <f>IF(OR(A654="",B654=""),"",IFERROR(LOOKUP(2,1/(单次交易!$A$2:$A$201=A654),单次交易!$E$2:$E$201)*LOOKUP(2,1/(单次交易!$A$2:$A$201=A654),单次交易!$H$2:$H$201),0)+SUMIFS($H$2:$H$1001,$A$2:$A$1001,A654,$B$2:$B$1001,"&lt;"&amp;B654))</f>
        <v/>
      </c>
      <c r="K654" s="16" t="str">
        <f t="shared" si="91"/>
        <v/>
      </c>
      <c r="L654" s="17" t="str">
        <f t="shared" si="92"/>
        <v/>
      </c>
      <c r="M654" s="17" t="str">
        <f t="shared" si="93"/>
        <v/>
      </c>
      <c r="N654" s="17" t="str">
        <f t="shared" si="94"/>
        <v/>
      </c>
      <c r="O654" s="17" t="str">
        <f t="shared" si="95"/>
        <v/>
      </c>
      <c r="P654" s="16" t="str">
        <f t="shared" si="96"/>
        <v/>
      </c>
      <c r="Q654" s="16" t="str">
        <f t="shared" si="97"/>
        <v/>
      </c>
      <c r="R654" s="18" t="str">
        <f t="shared" si="98"/>
        <v/>
      </c>
    </row>
    <row r="655" spans="1:18">
      <c r="A655" s="12"/>
      <c r="B655" s="13"/>
      <c r="C655" s="14"/>
      <c r="D655" s="15"/>
      <c r="E655" s="15"/>
      <c r="F655" s="15"/>
      <c r="G655" s="13"/>
      <c r="H655" s="16" t="str">
        <f t="shared" si="90"/>
        <v/>
      </c>
      <c r="I655" s="17" t="str">
        <f>IF(OR(A655="",B655=""),"",IFERROR(LOOKUP(2,1/(单次交易!$A$2:$A$201=A655),单次交易!$H$2:$H$201),0)+SUMIFS($G$2:$G$1001,$A$2:$A$1001,A655,$B$2:$B$1001,"&lt;"&amp;B655))</f>
        <v/>
      </c>
      <c r="J655" s="16" t="str">
        <f>IF(OR(A655="",B655=""),"",IFERROR(LOOKUP(2,1/(单次交易!$A$2:$A$201=A655),单次交易!$E$2:$E$201)*LOOKUP(2,1/(单次交易!$A$2:$A$201=A655),单次交易!$H$2:$H$201),0)+SUMIFS($H$2:$H$1001,$A$2:$A$1001,A655,$B$2:$B$1001,"&lt;"&amp;B655))</f>
        <v/>
      </c>
      <c r="K655" s="16" t="str">
        <f t="shared" si="91"/>
        <v/>
      </c>
      <c r="L655" s="17" t="str">
        <f t="shared" si="92"/>
        <v/>
      </c>
      <c r="M655" s="17" t="str">
        <f t="shared" si="93"/>
        <v/>
      </c>
      <c r="N655" s="17" t="str">
        <f t="shared" si="94"/>
        <v/>
      </c>
      <c r="O655" s="17" t="str">
        <f t="shared" si="95"/>
        <v/>
      </c>
      <c r="P655" s="16" t="str">
        <f t="shared" si="96"/>
        <v/>
      </c>
      <c r="Q655" s="16" t="str">
        <f t="shared" si="97"/>
        <v/>
      </c>
      <c r="R655" s="18" t="str">
        <f t="shared" si="98"/>
        <v/>
      </c>
    </row>
    <row r="656" spans="1:18">
      <c r="A656" s="12"/>
      <c r="B656" s="13"/>
      <c r="C656" s="14"/>
      <c r="D656" s="15"/>
      <c r="E656" s="15"/>
      <c r="F656" s="15"/>
      <c r="G656" s="13"/>
      <c r="H656" s="16" t="str">
        <f t="shared" si="90"/>
        <v/>
      </c>
      <c r="I656" s="17" t="str">
        <f>IF(OR(A656="",B656=""),"",IFERROR(LOOKUP(2,1/(单次交易!$A$2:$A$201=A656),单次交易!$H$2:$H$201),0)+SUMIFS($G$2:$G$1001,$A$2:$A$1001,A656,$B$2:$B$1001,"&lt;"&amp;B656))</f>
        <v/>
      </c>
      <c r="J656" s="16" t="str">
        <f>IF(OR(A656="",B656=""),"",IFERROR(LOOKUP(2,1/(单次交易!$A$2:$A$201=A656),单次交易!$E$2:$E$201)*LOOKUP(2,1/(单次交易!$A$2:$A$201=A656),单次交易!$H$2:$H$201),0)+SUMIFS($H$2:$H$1001,$A$2:$A$1001,A656,$B$2:$B$1001,"&lt;"&amp;B656))</f>
        <v/>
      </c>
      <c r="K656" s="16" t="str">
        <f t="shared" si="91"/>
        <v/>
      </c>
      <c r="L656" s="17" t="str">
        <f t="shared" si="92"/>
        <v/>
      </c>
      <c r="M656" s="17" t="str">
        <f t="shared" si="93"/>
        <v/>
      </c>
      <c r="N656" s="17" t="str">
        <f t="shared" si="94"/>
        <v/>
      </c>
      <c r="O656" s="17" t="str">
        <f t="shared" si="95"/>
        <v/>
      </c>
      <c r="P656" s="16" t="str">
        <f t="shared" si="96"/>
        <v/>
      </c>
      <c r="Q656" s="16" t="str">
        <f t="shared" si="97"/>
        <v/>
      </c>
      <c r="R656" s="18" t="str">
        <f t="shared" si="98"/>
        <v/>
      </c>
    </row>
    <row r="657" spans="1:18">
      <c r="A657" s="12"/>
      <c r="B657" s="13"/>
      <c r="C657" s="14"/>
      <c r="D657" s="15"/>
      <c r="E657" s="15"/>
      <c r="F657" s="15"/>
      <c r="G657" s="13"/>
      <c r="H657" s="16" t="str">
        <f t="shared" si="90"/>
        <v/>
      </c>
      <c r="I657" s="17" t="str">
        <f>IF(OR(A657="",B657=""),"",IFERROR(LOOKUP(2,1/(单次交易!$A$2:$A$201=A657),单次交易!$H$2:$H$201),0)+SUMIFS($G$2:$G$1001,$A$2:$A$1001,A657,$B$2:$B$1001,"&lt;"&amp;B657))</f>
        <v/>
      </c>
      <c r="J657" s="16" t="str">
        <f>IF(OR(A657="",B657=""),"",IFERROR(LOOKUP(2,1/(单次交易!$A$2:$A$201=A657),单次交易!$E$2:$E$201)*LOOKUP(2,1/(单次交易!$A$2:$A$201=A657),单次交易!$H$2:$H$201),0)+SUMIFS($H$2:$H$1001,$A$2:$A$1001,A657,$B$2:$B$1001,"&lt;"&amp;B657))</f>
        <v/>
      </c>
      <c r="K657" s="16" t="str">
        <f t="shared" si="91"/>
        <v/>
      </c>
      <c r="L657" s="17" t="str">
        <f t="shared" si="92"/>
        <v/>
      </c>
      <c r="M657" s="17" t="str">
        <f t="shared" si="93"/>
        <v/>
      </c>
      <c r="N657" s="17" t="str">
        <f t="shared" si="94"/>
        <v/>
      </c>
      <c r="O657" s="17" t="str">
        <f t="shared" si="95"/>
        <v/>
      </c>
      <c r="P657" s="16" t="str">
        <f t="shared" si="96"/>
        <v/>
      </c>
      <c r="Q657" s="16" t="str">
        <f t="shared" si="97"/>
        <v/>
      </c>
      <c r="R657" s="18" t="str">
        <f t="shared" si="98"/>
        <v/>
      </c>
    </row>
    <row r="658" spans="1:18">
      <c r="A658" s="12"/>
      <c r="B658" s="13"/>
      <c r="C658" s="14"/>
      <c r="D658" s="15"/>
      <c r="E658" s="15"/>
      <c r="F658" s="15"/>
      <c r="G658" s="13"/>
      <c r="H658" s="16" t="str">
        <f t="shared" si="90"/>
        <v/>
      </c>
      <c r="I658" s="17" t="str">
        <f>IF(OR(A658="",B658=""),"",IFERROR(LOOKUP(2,1/(单次交易!$A$2:$A$201=A658),单次交易!$H$2:$H$201),0)+SUMIFS($G$2:$G$1001,$A$2:$A$1001,A658,$B$2:$B$1001,"&lt;"&amp;B658))</f>
        <v/>
      </c>
      <c r="J658" s="16" t="str">
        <f>IF(OR(A658="",B658=""),"",IFERROR(LOOKUP(2,1/(单次交易!$A$2:$A$201=A658),单次交易!$E$2:$E$201)*LOOKUP(2,1/(单次交易!$A$2:$A$201=A658),单次交易!$H$2:$H$201),0)+SUMIFS($H$2:$H$1001,$A$2:$A$1001,A658,$B$2:$B$1001,"&lt;"&amp;B658))</f>
        <v/>
      </c>
      <c r="K658" s="16" t="str">
        <f t="shared" si="91"/>
        <v/>
      </c>
      <c r="L658" s="17" t="str">
        <f t="shared" si="92"/>
        <v/>
      </c>
      <c r="M658" s="17" t="str">
        <f t="shared" si="93"/>
        <v/>
      </c>
      <c r="N658" s="17" t="str">
        <f t="shared" si="94"/>
        <v/>
      </c>
      <c r="O658" s="17" t="str">
        <f t="shared" si="95"/>
        <v/>
      </c>
      <c r="P658" s="16" t="str">
        <f t="shared" si="96"/>
        <v/>
      </c>
      <c r="Q658" s="16" t="str">
        <f t="shared" si="97"/>
        <v/>
      </c>
      <c r="R658" s="18" t="str">
        <f t="shared" si="98"/>
        <v/>
      </c>
    </row>
    <row r="659" spans="1:18">
      <c r="A659" s="12"/>
      <c r="B659" s="13"/>
      <c r="C659" s="14"/>
      <c r="D659" s="15"/>
      <c r="E659" s="15"/>
      <c r="F659" s="15"/>
      <c r="G659" s="13"/>
      <c r="H659" s="16" t="str">
        <f t="shared" si="90"/>
        <v/>
      </c>
      <c r="I659" s="17" t="str">
        <f>IF(OR(A659="",B659=""),"",IFERROR(LOOKUP(2,1/(单次交易!$A$2:$A$201=A659),单次交易!$H$2:$H$201),0)+SUMIFS($G$2:$G$1001,$A$2:$A$1001,A659,$B$2:$B$1001,"&lt;"&amp;B659))</f>
        <v/>
      </c>
      <c r="J659" s="16" t="str">
        <f>IF(OR(A659="",B659=""),"",IFERROR(LOOKUP(2,1/(单次交易!$A$2:$A$201=A659),单次交易!$E$2:$E$201)*LOOKUP(2,1/(单次交易!$A$2:$A$201=A659),单次交易!$H$2:$H$201),0)+SUMIFS($H$2:$H$1001,$A$2:$A$1001,A659,$B$2:$B$1001,"&lt;"&amp;B659))</f>
        <v/>
      </c>
      <c r="K659" s="16" t="str">
        <f t="shared" si="91"/>
        <v/>
      </c>
      <c r="L659" s="17" t="str">
        <f t="shared" si="92"/>
        <v/>
      </c>
      <c r="M659" s="17" t="str">
        <f t="shared" si="93"/>
        <v/>
      </c>
      <c r="N659" s="17" t="str">
        <f t="shared" si="94"/>
        <v/>
      </c>
      <c r="O659" s="17" t="str">
        <f t="shared" si="95"/>
        <v/>
      </c>
      <c r="P659" s="16" t="str">
        <f t="shared" si="96"/>
        <v/>
      </c>
      <c r="Q659" s="16" t="str">
        <f t="shared" si="97"/>
        <v/>
      </c>
      <c r="R659" s="18" t="str">
        <f t="shared" si="98"/>
        <v/>
      </c>
    </row>
    <row r="660" spans="1:18">
      <c r="A660" s="12"/>
      <c r="B660" s="13"/>
      <c r="C660" s="14"/>
      <c r="D660" s="15"/>
      <c r="E660" s="15"/>
      <c r="F660" s="15"/>
      <c r="G660" s="13"/>
      <c r="H660" s="16" t="str">
        <f t="shared" si="90"/>
        <v/>
      </c>
      <c r="I660" s="17" t="str">
        <f>IF(OR(A660="",B660=""),"",IFERROR(LOOKUP(2,1/(单次交易!$A$2:$A$201=A660),单次交易!$H$2:$H$201),0)+SUMIFS($G$2:$G$1001,$A$2:$A$1001,A660,$B$2:$B$1001,"&lt;"&amp;B660))</f>
        <v/>
      </c>
      <c r="J660" s="16" t="str">
        <f>IF(OR(A660="",B660=""),"",IFERROR(LOOKUP(2,1/(单次交易!$A$2:$A$201=A660),单次交易!$E$2:$E$201)*LOOKUP(2,1/(单次交易!$A$2:$A$201=A660),单次交易!$H$2:$H$201),0)+SUMIFS($H$2:$H$1001,$A$2:$A$1001,A660,$B$2:$B$1001,"&lt;"&amp;B660))</f>
        <v/>
      </c>
      <c r="K660" s="16" t="str">
        <f t="shared" si="91"/>
        <v/>
      </c>
      <c r="L660" s="17" t="str">
        <f t="shared" si="92"/>
        <v/>
      </c>
      <c r="M660" s="17" t="str">
        <f t="shared" si="93"/>
        <v/>
      </c>
      <c r="N660" s="17" t="str">
        <f t="shared" si="94"/>
        <v/>
      </c>
      <c r="O660" s="17" t="str">
        <f t="shared" si="95"/>
        <v/>
      </c>
      <c r="P660" s="16" t="str">
        <f t="shared" si="96"/>
        <v/>
      </c>
      <c r="Q660" s="16" t="str">
        <f t="shared" si="97"/>
        <v/>
      </c>
      <c r="R660" s="18" t="str">
        <f t="shared" si="98"/>
        <v/>
      </c>
    </row>
    <row r="661" spans="1:18">
      <c r="A661" s="12"/>
      <c r="B661" s="13"/>
      <c r="C661" s="14"/>
      <c r="D661" s="15"/>
      <c r="E661" s="15"/>
      <c r="F661" s="15"/>
      <c r="G661" s="13"/>
      <c r="H661" s="16" t="str">
        <f t="shared" si="90"/>
        <v/>
      </c>
      <c r="I661" s="17" t="str">
        <f>IF(OR(A661="",B661=""),"",IFERROR(LOOKUP(2,1/(单次交易!$A$2:$A$201=A661),单次交易!$H$2:$H$201),0)+SUMIFS($G$2:$G$1001,$A$2:$A$1001,A661,$B$2:$B$1001,"&lt;"&amp;B661))</f>
        <v/>
      </c>
      <c r="J661" s="16" t="str">
        <f>IF(OR(A661="",B661=""),"",IFERROR(LOOKUP(2,1/(单次交易!$A$2:$A$201=A661),单次交易!$E$2:$E$201)*LOOKUP(2,1/(单次交易!$A$2:$A$201=A661),单次交易!$H$2:$H$201),0)+SUMIFS($H$2:$H$1001,$A$2:$A$1001,A661,$B$2:$B$1001,"&lt;"&amp;B661))</f>
        <v/>
      </c>
      <c r="K661" s="16" t="str">
        <f t="shared" si="91"/>
        <v/>
      </c>
      <c r="L661" s="17" t="str">
        <f t="shared" si="92"/>
        <v/>
      </c>
      <c r="M661" s="17" t="str">
        <f t="shared" si="93"/>
        <v/>
      </c>
      <c r="N661" s="17" t="str">
        <f t="shared" si="94"/>
        <v/>
      </c>
      <c r="O661" s="17" t="str">
        <f t="shared" si="95"/>
        <v/>
      </c>
      <c r="P661" s="16" t="str">
        <f t="shared" si="96"/>
        <v/>
      </c>
      <c r="Q661" s="16" t="str">
        <f t="shared" si="97"/>
        <v/>
      </c>
      <c r="R661" s="18" t="str">
        <f t="shared" si="98"/>
        <v/>
      </c>
    </row>
    <row r="662" spans="1:18">
      <c r="A662" s="12"/>
      <c r="B662" s="13"/>
      <c r="C662" s="14"/>
      <c r="D662" s="15"/>
      <c r="E662" s="15"/>
      <c r="F662" s="15"/>
      <c r="G662" s="13"/>
      <c r="H662" s="16" t="str">
        <f t="shared" si="90"/>
        <v/>
      </c>
      <c r="I662" s="17" t="str">
        <f>IF(OR(A662="",B662=""),"",IFERROR(LOOKUP(2,1/(单次交易!$A$2:$A$201=A662),单次交易!$H$2:$H$201),0)+SUMIFS($G$2:$G$1001,$A$2:$A$1001,A662,$B$2:$B$1001,"&lt;"&amp;B662))</f>
        <v/>
      </c>
      <c r="J662" s="16" t="str">
        <f>IF(OR(A662="",B662=""),"",IFERROR(LOOKUP(2,1/(单次交易!$A$2:$A$201=A662),单次交易!$E$2:$E$201)*LOOKUP(2,1/(单次交易!$A$2:$A$201=A662),单次交易!$H$2:$H$201),0)+SUMIFS($H$2:$H$1001,$A$2:$A$1001,A662,$B$2:$B$1001,"&lt;"&amp;B662))</f>
        <v/>
      </c>
      <c r="K662" s="16" t="str">
        <f t="shared" si="91"/>
        <v/>
      </c>
      <c r="L662" s="17" t="str">
        <f t="shared" si="92"/>
        <v/>
      </c>
      <c r="M662" s="17" t="str">
        <f t="shared" si="93"/>
        <v/>
      </c>
      <c r="N662" s="17" t="str">
        <f t="shared" si="94"/>
        <v/>
      </c>
      <c r="O662" s="17" t="str">
        <f t="shared" si="95"/>
        <v/>
      </c>
      <c r="P662" s="16" t="str">
        <f t="shared" si="96"/>
        <v/>
      </c>
      <c r="Q662" s="16" t="str">
        <f t="shared" si="97"/>
        <v/>
      </c>
      <c r="R662" s="18" t="str">
        <f t="shared" si="98"/>
        <v/>
      </c>
    </row>
    <row r="663" spans="1:18">
      <c r="A663" s="12"/>
      <c r="B663" s="13"/>
      <c r="C663" s="14"/>
      <c r="D663" s="15"/>
      <c r="E663" s="15"/>
      <c r="F663" s="15"/>
      <c r="G663" s="13"/>
      <c r="H663" s="16" t="str">
        <f t="shared" si="90"/>
        <v/>
      </c>
      <c r="I663" s="17" t="str">
        <f>IF(OR(A663="",B663=""),"",IFERROR(LOOKUP(2,1/(单次交易!$A$2:$A$201=A663),单次交易!$H$2:$H$201),0)+SUMIFS($G$2:$G$1001,$A$2:$A$1001,A663,$B$2:$B$1001,"&lt;"&amp;B663))</f>
        <v/>
      </c>
      <c r="J663" s="16" t="str">
        <f>IF(OR(A663="",B663=""),"",IFERROR(LOOKUP(2,1/(单次交易!$A$2:$A$201=A663),单次交易!$E$2:$E$201)*LOOKUP(2,1/(单次交易!$A$2:$A$201=A663),单次交易!$H$2:$H$201),0)+SUMIFS($H$2:$H$1001,$A$2:$A$1001,A663,$B$2:$B$1001,"&lt;"&amp;B663))</f>
        <v/>
      </c>
      <c r="K663" s="16" t="str">
        <f t="shared" si="91"/>
        <v/>
      </c>
      <c r="L663" s="17" t="str">
        <f t="shared" si="92"/>
        <v/>
      </c>
      <c r="M663" s="17" t="str">
        <f t="shared" si="93"/>
        <v/>
      </c>
      <c r="N663" s="17" t="str">
        <f t="shared" si="94"/>
        <v/>
      </c>
      <c r="O663" s="17" t="str">
        <f t="shared" si="95"/>
        <v/>
      </c>
      <c r="P663" s="16" t="str">
        <f t="shared" si="96"/>
        <v/>
      </c>
      <c r="Q663" s="16" t="str">
        <f t="shared" si="97"/>
        <v/>
      </c>
      <c r="R663" s="18" t="str">
        <f t="shared" si="98"/>
        <v/>
      </c>
    </row>
    <row r="664" spans="1:18">
      <c r="A664" s="12"/>
      <c r="B664" s="13"/>
      <c r="C664" s="14"/>
      <c r="D664" s="15"/>
      <c r="E664" s="15"/>
      <c r="F664" s="15"/>
      <c r="G664" s="13"/>
      <c r="H664" s="16" t="str">
        <f t="shared" si="90"/>
        <v/>
      </c>
      <c r="I664" s="17" t="str">
        <f>IF(OR(A664="",B664=""),"",IFERROR(LOOKUP(2,1/(单次交易!$A$2:$A$201=A664),单次交易!$H$2:$H$201),0)+SUMIFS($G$2:$G$1001,$A$2:$A$1001,A664,$B$2:$B$1001,"&lt;"&amp;B664))</f>
        <v/>
      </c>
      <c r="J664" s="16" t="str">
        <f>IF(OR(A664="",B664=""),"",IFERROR(LOOKUP(2,1/(单次交易!$A$2:$A$201=A664),单次交易!$E$2:$E$201)*LOOKUP(2,1/(单次交易!$A$2:$A$201=A664),单次交易!$H$2:$H$201),0)+SUMIFS($H$2:$H$1001,$A$2:$A$1001,A664,$B$2:$B$1001,"&lt;"&amp;B664))</f>
        <v/>
      </c>
      <c r="K664" s="16" t="str">
        <f t="shared" si="91"/>
        <v/>
      </c>
      <c r="L664" s="17" t="str">
        <f t="shared" si="92"/>
        <v/>
      </c>
      <c r="M664" s="17" t="str">
        <f t="shared" si="93"/>
        <v/>
      </c>
      <c r="N664" s="17" t="str">
        <f t="shared" si="94"/>
        <v/>
      </c>
      <c r="O664" s="17" t="str">
        <f t="shared" si="95"/>
        <v/>
      </c>
      <c r="P664" s="16" t="str">
        <f t="shared" si="96"/>
        <v/>
      </c>
      <c r="Q664" s="16" t="str">
        <f t="shared" si="97"/>
        <v/>
      </c>
      <c r="R664" s="18" t="str">
        <f t="shared" si="98"/>
        <v/>
      </c>
    </row>
    <row r="665" spans="1:18">
      <c r="A665" s="12"/>
      <c r="B665" s="13"/>
      <c r="C665" s="14"/>
      <c r="D665" s="15"/>
      <c r="E665" s="15"/>
      <c r="F665" s="15"/>
      <c r="G665" s="13"/>
      <c r="H665" s="16" t="str">
        <f t="shared" si="90"/>
        <v/>
      </c>
      <c r="I665" s="17" t="str">
        <f>IF(OR(A665="",B665=""),"",IFERROR(LOOKUP(2,1/(单次交易!$A$2:$A$201=A665),单次交易!$H$2:$H$201),0)+SUMIFS($G$2:$G$1001,$A$2:$A$1001,A665,$B$2:$B$1001,"&lt;"&amp;B665))</f>
        <v/>
      </c>
      <c r="J665" s="16" t="str">
        <f>IF(OR(A665="",B665=""),"",IFERROR(LOOKUP(2,1/(单次交易!$A$2:$A$201=A665),单次交易!$E$2:$E$201)*LOOKUP(2,1/(单次交易!$A$2:$A$201=A665),单次交易!$H$2:$H$201),0)+SUMIFS($H$2:$H$1001,$A$2:$A$1001,A665,$B$2:$B$1001,"&lt;"&amp;B665))</f>
        <v/>
      </c>
      <c r="K665" s="16" t="str">
        <f t="shared" si="91"/>
        <v/>
      </c>
      <c r="L665" s="17" t="str">
        <f t="shared" si="92"/>
        <v/>
      </c>
      <c r="M665" s="17" t="str">
        <f t="shared" si="93"/>
        <v/>
      </c>
      <c r="N665" s="17" t="str">
        <f t="shared" si="94"/>
        <v/>
      </c>
      <c r="O665" s="17" t="str">
        <f t="shared" si="95"/>
        <v/>
      </c>
      <c r="P665" s="16" t="str">
        <f t="shared" si="96"/>
        <v/>
      </c>
      <c r="Q665" s="16" t="str">
        <f t="shared" si="97"/>
        <v/>
      </c>
      <c r="R665" s="18" t="str">
        <f t="shared" si="98"/>
        <v/>
      </c>
    </row>
    <row r="666" spans="1:18">
      <c r="A666" s="12"/>
      <c r="B666" s="13"/>
      <c r="C666" s="14"/>
      <c r="D666" s="15"/>
      <c r="E666" s="15"/>
      <c r="F666" s="15"/>
      <c r="G666" s="13"/>
      <c r="H666" s="16" t="str">
        <f t="shared" si="90"/>
        <v/>
      </c>
      <c r="I666" s="17" t="str">
        <f>IF(OR(A666="",B666=""),"",IFERROR(LOOKUP(2,1/(单次交易!$A$2:$A$201=A666),单次交易!$H$2:$H$201),0)+SUMIFS($G$2:$G$1001,$A$2:$A$1001,A666,$B$2:$B$1001,"&lt;"&amp;B666))</f>
        <v/>
      </c>
      <c r="J666" s="16" t="str">
        <f>IF(OR(A666="",B666=""),"",IFERROR(LOOKUP(2,1/(单次交易!$A$2:$A$201=A666),单次交易!$E$2:$E$201)*LOOKUP(2,1/(单次交易!$A$2:$A$201=A666),单次交易!$H$2:$H$201),0)+SUMIFS($H$2:$H$1001,$A$2:$A$1001,A666,$B$2:$B$1001,"&lt;"&amp;B666))</f>
        <v/>
      </c>
      <c r="K666" s="16" t="str">
        <f t="shared" si="91"/>
        <v/>
      </c>
      <c r="L666" s="17" t="str">
        <f t="shared" si="92"/>
        <v/>
      </c>
      <c r="M666" s="17" t="str">
        <f t="shared" si="93"/>
        <v/>
      </c>
      <c r="N666" s="17" t="str">
        <f t="shared" si="94"/>
        <v/>
      </c>
      <c r="O666" s="17" t="str">
        <f t="shared" si="95"/>
        <v/>
      </c>
      <c r="P666" s="16" t="str">
        <f t="shared" si="96"/>
        <v/>
      </c>
      <c r="Q666" s="16" t="str">
        <f t="shared" si="97"/>
        <v/>
      </c>
      <c r="R666" s="18" t="str">
        <f t="shared" si="98"/>
        <v/>
      </c>
    </row>
    <row r="667" spans="1:18">
      <c r="A667" s="12"/>
      <c r="B667" s="13"/>
      <c r="C667" s="14"/>
      <c r="D667" s="15"/>
      <c r="E667" s="15"/>
      <c r="F667" s="15"/>
      <c r="G667" s="13"/>
      <c r="H667" s="16" t="str">
        <f t="shared" si="90"/>
        <v/>
      </c>
      <c r="I667" s="17" t="str">
        <f>IF(OR(A667="",B667=""),"",IFERROR(LOOKUP(2,1/(单次交易!$A$2:$A$201=A667),单次交易!$H$2:$H$201),0)+SUMIFS($G$2:$G$1001,$A$2:$A$1001,A667,$B$2:$B$1001,"&lt;"&amp;B667))</f>
        <v/>
      </c>
      <c r="J667" s="16" t="str">
        <f>IF(OR(A667="",B667=""),"",IFERROR(LOOKUP(2,1/(单次交易!$A$2:$A$201=A667),单次交易!$E$2:$E$201)*LOOKUP(2,1/(单次交易!$A$2:$A$201=A667),单次交易!$H$2:$H$201),0)+SUMIFS($H$2:$H$1001,$A$2:$A$1001,A667,$B$2:$B$1001,"&lt;"&amp;B667))</f>
        <v/>
      </c>
      <c r="K667" s="16" t="str">
        <f t="shared" si="91"/>
        <v/>
      </c>
      <c r="L667" s="17" t="str">
        <f t="shared" si="92"/>
        <v/>
      </c>
      <c r="M667" s="17" t="str">
        <f t="shared" si="93"/>
        <v/>
      </c>
      <c r="N667" s="17" t="str">
        <f t="shared" si="94"/>
        <v/>
      </c>
      <c r="O667" s="17" t="str">
        <f t="shared" si="95"/>
        <v/>
      </c>
      <c r="P667" s="16" t="str">
        <f t="shared" si="96"/>
        <v/>
      </c>
      <c r="Q667" s="16" t="str">
        <f t="shared" si="97"/>
        <v/>
      </c>
      <c r="R667" s="18" t="str">
        <f t="shared" si="98"/>
        <v/>
      </c>
    </row>
    <row r="668" spans="1:18">
      <c r="A668" s="12"/>
      <c r="B668" s="13"/>
      <c r="C668" s="14"/>
      <c r="D668" s="15"/>
      <c r="E668" s="15"/>
      <c r="F668" s="15"/>
      <c r="G668" s="13"/>
      <c r="H668" s="16" t="str">
        <f t="shared" si="90"/>
        <v/>
      </c>
      <c r="I668" s="17" t="str">
        <f>IF(OR(A668="",B668=""),"",IFERROR(LOOKUP(2,1/(单次交易!$A$2:$A$201=A668),单次交易!$H$2:$H$201),0)+SUMIFS($G$2:$G$1001,$A$2:$A$1001,A668,$B$2:$B$1001,"&lt;"&amp;B668))</f>
        <v/>
      </c>
      <c r="J668" s="16" t="str">
        <f>IF(OR(A668="",B668=""),"",IFERROR(LOOKUP(2,1/(单次交易!$A$2:$A$201=A668),单次交易!$E$2:$E$201)*LOOKUP(2,1/(单次交易!$A$2:$A$201=A668),单次交易!$H$2:$H$201),0)+SUMIFS($H$2:$H$1001,$A$2:$A$1001,A668,$B$2:$B$1001,"&lt;"&amp;B668))</f>
        <v/>
      </c>
      <c r="K668" s="16" t="str">
        <f t="shared" si="91"/>
        <v/>
      </c>
      <c r="L668" s="17" t="str">
        <f t="shared" si="92"/>
        <v/>
      </c>
      <c r="M668" s="17" t="str">
        <f t="shared" si="93"/>
        <v/>
      </c>
      <c r="N668" s="17" t="str">
        <f t="shared" si="94"/>
        <v/>
      </c>
      <c r="O668" s="17" t="str">
        <f t="shared" si="95"/>
        <v/>
      </c>
      <c r="P668" s="16" t="str">
        <f t="shared" si="96"/>
        <v/>
      </c>
      <c r="Q668" s="16" t="str">
        <f t="shared" si="97"/>
        <v/>
      </c>
      <c r="R668" s="18" t="str">
        <f t="shared" si="98"/>
        <v/>
      </c>
    </row>
    <row r="669" spans="1:18">
      <c r="A669" s="12"/>
      <c r="B669" s="13"/>
      <c r="C669" s="14"/>
      <c r="D669" s="15"/>
      <c r="E669" s="15"/>
      <c r="F669" s="15"/>
      <c r="G669" s="13"/>
      <c r="H669" s="16" t="str">
        <f t="shared" si="90"/>
        <v/>
      </c>
      <c r="I669" s="17" t="str">
        <f>IF(OR(A669="",B669=""),"",IFERROR(LOOKUP(2,1/(单次交易!$A$2:$A$201=A669),单次交易!$H$2:$H$201),0)+SUMIFS($G$2:$G$1001,$A$2:$A$1001,A669,$B$2:$B$1001,"&lt;"&amp;B669))</f>
        <v/>
      </c>
      <c r="J669" s="16" t="str">
        <f>IF(OR(A669="",B669=""),"",IFERROR(LOOKUP(2,1/(单次交易!$A$2:$A$201=A669),单次交易!$E$2:$E$201)*LOOKUP(2,1/(单次交易!$A$2:$A$201=A669),单次交易!$H$2:$H$201),0)+SUMIFS($H$2:$H$1001,$A$2:$A$1001,A669,$B$2:$B$1001,"&lt;"&amp;B669))</f>
        <v/>
      </c>
      <c r="K669" s="16" t="str">
        <f t="shared" si="91"/>
        <v/>
      </c>
      <c r="L669" s="17" t="str">
        <f t="shared" si="92"/>
        <v/>
      </c>
      <c r="M669" s="17" t="str">
        <f t="shared" si="93"/>
        <v/>
      </c>
      <c r="N669" s="17" t="str">
        <f t="shared" si="94"/>
        <v/>
      </c>
      <c r="O669" s="17" t="str">
        <f t="shared" si="95"/>
        <v/>
      </c>
      <c r="P669" s="16" t="str">
        <f t="shared" si="96"/>
        <v/>
      </c>
      <c r="Q669" s="16" t="str">
        <f t="shared" si="97"/>
        <v/>
      </c>
      <c r="R669" s="18" t="str">
        <f t="shared" si="98"/>
        <v/>
      </c>
    </row>
    <row r="670" spans="1:18">
      <c r="A670" s="12"/>
      <c r="B670" s="13"/>
      <c r="C670" s="14"/>
      <c r="D670" s="15"/>
      <c r="E670" s="15"/>
      <c r="F670" s="15"/>
      <c r="G670" s="13"/>
      <c r="H670" s="16" t="str">
        <f t="shared" si="90"/>
        <v/>
      </c>
      <c r="I670" s="17" t="str">
        <f>IF(OR(A670="",B670=""),"",IFERROR(LOOKUP(2,1/(单次交易!$A$2:$A$201=A670),单次交易!$H$2:$H$201),0)+SUMIFS($G$2:$G$1001,$A$2:$A$1001,A670,$B$2:$B$1001,"&lt;"&amp;B670))</f>
        <v/>
      </c>
      <c r="J670" s="16" t="str">
        <f>IF(OR(A670="",B670=""),"",IFERROR(LOOKUP(2,1/(单次交易!$A$2:$A$201=A670),单次交易!$E$2:$E$201)*LOOKUP(2,1/(单次交易!$A$2:$A$201=A670),单次交易!$H$2:$H$201),0)+SUMIFS($H$2:$H$1001,$A$2:$A$1001,A670,$B$2:$B$1001,"&lt;"&amp;B670))</f>
        <v/>
      </c>
      <c r="K670" s="16" t="str">
        <f t="shared" si="91"/>
        <v/>
      </c>
      <c r="L670" s="17" t="str">
        <f t="shared" si="92"/>
        <v/>
      </c>
      <c r="M670" s="17" t="str">
        <f t="shared" si="93"/>
        <v/>
      </c>
      <c r="N670" s="17" t="str">
        <f t="shared" si="94"/>
        <v/>
      </c>
      <c r="O670" s="17" t="str">
        <f t="shared" si="95"/>
        <v/>
      </c>
      <c r="P670" s="16" t="str">
        <f t="shared" si="96"/>
        <v/>
      </c>
      <c r="Q670" s="16" t="str">
        <f t="shared" si="97"/>
        <v/>
      </c>
      <c r="R670" s="18" t="str">
        <f t="shared" si="98"/>
        <v/>
      </c>
    </row>
    <row r="671" spans="1:18">
      <c r="A671" s="12"/>
      <c r="B671" s="13"/>
      <c r="C671" s="14"/>
      <c r="D671" s="15"/>
      <c r="E671" s="15"/>
      <c r="F671" s="15"/>
      <c r="G671" s="13"/>
      <c r="H671" s="16" t="str">
        <f t="shared" si="90"/>
        <v/>
      </c>
      <c r="I671" s="17" t="str">
        <f>IF(OR(A671="",B671=""),"",IFERROR(LOOKUP(2,1/(单次交易!$A$2:$A$201=A671),单次交易!$H$2:$H$201),0)+SUMIFS($G$2:$G$1001,$A$2:$A$1001,A671,$B$2:$B$1001,"&lt;"&amp;B671))</f>
        <v/>
      </c>
      <c r="J671" s="16" t="str">
        <f>IF(OR(A671="",B671=""),"",IFERROR(LOOKUP(2,1/(单次交易!$A$2:$A$201=A671),单次交易!$E$2:$E$201)*LOOKUP(2,1/(单次交易!$A$2:$A$201=A671),单次交易!$H$2:$H$201),0)+SUMIFS($H$2:$H$1001,$A$2:$A$1001,A671,$B$2:$B$1001,"&lt;"&amp;B671))</f>
        <v/>
      </c>
      <c r="K671" s="16" t="str">
        <f t="shared" si="91"/>
        <v/>
      </c>
      <c r="L671" s="17" t="str">
        <f t="shared" si="92"/>
        <v/>
      </c>
      <c r="M671" s="17" t="str">
        <f t="shared" si="93"/>
        <v/>
      </c>
      <c r="N671" s="17" t="str">
        <f t="shared" si="94"/>
        <v/>
      </c>
      <c r="O671" s="17" t="str">
        <f t="shared" si="95"/>
        <v/>
      </c>
      <c r="P671" s="16" t="str">
        <f t="shared" si="96"/>
        <v/>
      </c>
      <c r="Q671" s="16" t="str">
        <f t="shared" si="97"/>
        <v/>
      </c>
      <c r="R671" s="18" t="str">
        <f t="shared" si="98"/>
        <v/>
      </c>
    </row>
    <row r="672" spans="1:18">
      <c r="A672" s="12"/>
      <c r="B672" s="13"/>
      <c r="C672" s="14"/>
      <c r="D672" s="15"/>
      <c r="E672" s="15"/>
      <c r="F672" s="15"/>
      <c r="G672" s="13"/>
      <c r="H672" s="16" t="str">
        <f t="shared" si="90"/>
        <v/>
      </c>
      <c r="I672" s="17" t="str">
        <f>IF(OR(A672="",B672=""),"",IFERROR(LOOKUP(2,1/(单次交易!$A$2:$A$201=A672),单次交易!$H$2:$H$201),0)+SUMIFS($G$2:$G$1001,$A$2:$A$1001,A672,$B$2:$B$1001,"&lt;"&amp;B672))</f>
        <v/>
      </c>
      <c r="J672" s="16" t="str">
        <f>IF(OR(A672="",B672=""),"",IFERROR(LOOKUP(2,1/(单次交易!$A$2:$A$201=A672),单次交易!$E$2:$E$201)*LOOKUP(2,1/(单次交易!$A$2:$A$201=A672),单次交易!$H$2:$H$201),0)+SUMIFS($H$2:$H$1001,$A$2:$A$1001,A672,$B$2:$B$1001,"&lt;"&amp;B672))</f>
        <v/>
      </c>
      <c r="K672" s="16" t="str">
        <f t="shared" si="91"/>
        <v/>
      </c>
      <c r="L672" s="17" t="str">
        <f t="shared" si="92"/>
        <v/>
      </c>
      <c r="M672" s="17" t="str">
        <f t="shared" si="93"/>
        <v/>
      </c>
      <c r="N672" s="17" t="str">
        <f t="shared" si="94"/>
        <v/>
      </c>
      <c r="O672" s="17" t="str">
        <f t="shared" si="95"/>
        <v/>
      </c>
      <c r="P672" s="16" t="str">
        <f t="shared" si="96"/>
        <v/>
      </c>
      <c r="Q672" s="16" t="str">
        <f t="shared" si="97"/>
        <v/>
      </c>
      <c r="R672" s="18" t="str">
        <f t="shared" si="98"/>
        <v/>
      </c>
    </row>
    <row r="673" spans="1:18">
      <c r="A673" s="12"/>
      <c r="B673" s="13"/>
      <c r="C673" s="14"/>
      <c r="D673" s="15"/>
      <c r="E673" s="15"/>
      <c r="F673" s="15"/>
      <c r="G673" s="13"/>
      <c r="H673" s="16" t="str">
        <f t="shared" si="90"/>
        <v/>
      </c>
      <c r="I673" s="17" t="str">
        <f>IF(OR(A673="",B673=""),"",IFERROR(LOOKUP(2,1/(单次交易!$A$2:$A$201=A673),单次交易!$H$2:$H$201),0)+SUMIFS($G$2:$G$1001,$A$2:$A$1001,A673,$B$2:$B$1001,"&lt;"&amp;B673))</f>
        <v/>
      </c>
      <c r="J673" s="16" t="str">
        <f>IF(OR(A673="",B673=""),"",IFERROR(LOOKUP(2,1/(单次交易!$A$2:$A$201=A673),单次交易!$E$2:$E$201)*LOOKUP(2,1/(单次交易!$A$2:$A$201=A673),单次交易!$H$2:$H$201),0)+SUMIFS($H$2:$H$1001,$A$2:$A$1001,A673,$B$2:$B$1001,"&lt;"&amp;B673))</f>
        <v/>
      </c>
      <c r="K673" s="16" t="str">
        <f t="shared" si="91"/>
        <v/>
      </c>
      <c r="L673" s="17" t="str">
        <f t="shared" si="92"/>
        <v/>
      </c>
      <c r="M673" s="17" t="str">
        <f t="shared" si="93"/>
        <v/>
      </c>
      <c r="N673" s="17" t="str">
        <f t="shared" si="94"/>
        <v/>
      </c>
      <c r="O673" s="17" t="str">
        <f t="shared" si="95"/>
        <v/>
      </c>
      <c r="P673" s="16" t="str">
        <f t="shared" si="96"/>
        <v/>
      </c>
      <c r="Q673" s="16" t="str">
        <f t="shared" si="97"/>
        <v/>
      </c>
      <c r="R673" s="18" t="str">
        <f t="shared" si="98"/>
        <v/>
      </c>
    </row>
    <row r="674" spans="1:18">
      <c r="A674" s="12"/>
      <c r="B674" s="13"/>
      <c r="C674" s="14"/>
      <c r="D674" s="15"/>
      <c r="E674" s="15"/>
      <c r="F674" s="15"/>
      <c r="G674" s="13"/>
      <c r="H674" s="16" t="str">
        <f t="shared" si="90"/>
        <v/>
      </c>
      <c r="I674" s="17" t="str">
        <f>IF(OR(A674="",B674=""),"",IFERROR(LOOKUP(2,1/(单次交易!$A$2:$A$201=A674),单次交易!$H$2:$H$201),0)+SUMIFS($G$2:$G$1001,$A$2:$A$1001,A674,$B$2:$B$1001,"&lt;"&amp;B674))</f>
        <v/>
      </c>
      <c r="J674" s="16" t="str">
        <f>IF(OR(A674="",B674=""),"",IFERROR(LOOKUP(2,1/(单次交易!$A$2:$A$201=A674),单次交易!$E$2:$E$201)*LOOKUP(2,1/(单次交易!$A$2:$A$201=A674),单次交易!$H$2:$H$201),0)+SUMIFS($H$2:$H$1001,$A$2:$A$1001,A674,$B$2:$B$1001,"&lt;"&amp;B674))</f>
        <v/>
      </c>
      <c r="K674" s="16" t="str">
        <f t="shared" si="91"/>
        <v/>
      </c>
      <c r="L674" s="17" t="str">
        <f t="shared" si="92"/>
        <v/>
      </c>
      <c r="M674" s="17" t="str">
        <f t="shared" si="93"/>
        <v/>
      </c>
      <c r="N674" s="17" t="str">
        <f t="shared" si="94"/>
        <v/>
      </c>
      <c r="O674" s="17" t="str">
        <f t="shared" si="95"/>
        <v/>
      </c>
      <c r="P674" s="16" t="str">
        <f t="shared" si="96"/>
        <v/>
      </c>
      <c r="Q674" s="16" t="str">
        <f t="shared" si="97"/>
        <v/>
      </c>
      <c r="R674" s="18" t="str">
        <f t="shared" si="98"/>
        <v/>
      </c>
    </row>
    <row r="675" spans="1:18">
      <c r="A675" s="12"/>
      <c r="B675" s="13"/>
      <c r="C675" s="14"/>
      <c r="D675" s="15"/>
      <c r="E675" s="15"/>
      <c r="F675" s="15"/>
      <c r="G675" s="13"/>
      <c r="H675" s="16" t="str">
        <f t="shared" si="90"/>
        <v/>
      </c>
      <c r="I675" s="17" t="str">
        <f>IF(OR(A675="",B675=""),"",IFERROR(LOOKUP(2,1/(单次交易!$A$2:$A$201=A675),单次交易!$H$2:$H$201),0)+SUMIFS($G$2:$G$1001,$A$2:$A$1001,A675,$B$2:$B$1001,"&lt;"&amp;B675))</f>
        <v/>
      </c>
      <c r="J675" s="16" t="str">
        <f>IF(OR(A675="",B675=""),"",IFERROR(LOOKUP(2,1/(单次交易!$A$2:$A$201=A675),单次交易!$E$2:$E$201)*LOOKUP(2,1/(单次交易!$A$2:$A$201=A675),单次交易!$H$2:$H$201),0)+SUMIFS($H$2:$H$1001,$A$2:$A$1001,A675,$B$2:$B$1001,"&lt;"&amp;B675))</f>
        <v/>
      </c>
      <c r="K675" s="16" t="str">
        <f t="shared" si="91"/>
        <v/>
      </c>
      <c r="L675" s="17" t="str">
        <f t="shared" si="92"/>
        <v/>
      </c>
      <c r="M675" s="17" t="str">
        <f t="shared" si="93"/>
        <v/>
      </c>
      <c r="N675" s="17" t="str">
        <f t="shared" si="94"/>
        <v/>
      </c>
      <c r="O675" s="17" t="str">
        <f t="shared" si="95"/>
        <v/>
      </c>
      <c r="P675" s="16" t="str">
        <f t="shared" si="96"/>
        <v/>
      </c>
      <c r="Q675" s="16" t="str">
        <f t="shared" si="97"/>
        <v/>
      </c>
      <c r="R675" s="18" t="str">
        <f t="shared" si="98"/>
        <v/>
      </c>
    </row>
    <row r="676" spans="1:18">
      <c r="A676" s="12"/>
      <c r="B676" s="13"/>
      <c r="C676" s="14"/>
      <c r="D676" s="15"/>
      <c r="E676" s="15"/>
      <c r="F676" s="15"/>
      <c r="G676" s="13"/>
      <c r="H676" s="16" t="str">
        <f t="shared" si="90"/>
        <v/>
      </c>
      <c r="I676" s="17" t="str">
        <f>IF(OR(A676="",B676=""),"",IFERROR(LOOKUP(2,1/(单次交易!$A$2:$A$201=A676),单次交易!$H$2:$H$201),0)+SUMIFS($G$2:$G$1001,$A$2:$A$1001,A676,$B$2:$B$1001,"&lt;"&amp;B676))</f>
        <v/>
      </c>
      <c r="J676" s="16" t="str">
        <f>IF(OR(A676="",B676=""),"",IFERROR(LOOKUP(2,1/(单次交易!$A$2:$A$201=A676),单次交易!$E$2:$E$201)*LOOKUP(2,1/(单次交易!$A$2:$A$201=A676),单次交易!$H$2:$H$201),0)+SUMIFS($H$2:$H$1001,$A$2:$A$1001,A676,$B$2:$B$1001,"&lt;"&amp;B676))</f>
        <v/>
      </c>
      <c r="K676" s="16" t="str">
        <f t="shared" si="91"/>
        <v/>
      </c>
      <c r="L676" s="17" t="str">
        <f t="shared" si="92"/>
        <v/>
      </c>
      <c r="M676" s="17" t="str">
        <f t="shared" si="93"/>
        <v/>
      </c>
      <c r="N676" s="17" t="str">
        <f t="shared" si="94"/>
        <v/>
      </c>
      <c r="O676" s="17" t="str">
        <f t="shared" si="95"/>
        <v/>
      </c>
      <c r="P676" s="16" t="str">
        <f t="shared" si="96"/>
        <v/>
      </c>
      <c r="Q676" s="16" t="str">
        <f t="shared" si="97"/>
        <v/>
      </c>
      <c r="R676" s="18" t="str">
        <f t="shared" si="98"/>
        <v/>
      </c>
    </row>
    <row r="677" spans="1:18">
      <c r="A677" s="12"/>
      <c r="B677" s="13"/>
      <c r="C677" s="14"/>
      <c r="D677" s="15"/>
      <c r="E677" s="15"/>
      <c r="F677" s="15"/>
      <c r="G677" s="13"/>
      <c r="H677" s="16" t="str">
        <f t="shared" si="90"/>
        <v/>
      </c>
      <c r="I677" s="17" t="str">
        <f>IF(OR(A677="",B677=""),"",IFERROR(LOOKUP(2,1/(单次交易!$A$2:$A$201=A677),单次交易!$H$2:$H$201),0)+SUMIFS($G$2:$G$1001,$A$2:$A$1001,A677,$B$2:$B$1001,"&lt;"&amp;B677))</f>
        <v/>
      </c>
      <c r="J677" s="16" t="str">
        <f>IF(OR(A677="",B677=""),"",IFERROR(LOOKUP(2,1/(单次交易!$A$2:$A$201=A677),单次交易!$E$2:$E$201)*LOOKUP(2,1/(单次交易!$A$2:$A$201=A677),单次交易!$H$2:$H$201),0)+SUMIFS($H$2:$H$1001,$A$2:$A$1001,A677,$B$2:$B$1001,"&lt;"&amp;B677))</f>
        <v/>
      </c>
      <c r="K677" s="16" t="str">
        <f t="shared" si="91"/>
        <v/>
      </c>
      <c r="L677" s="17" t="str">
        <f t="shared" si="92"/>
        <v/>
      </c>
      <c r="M677" s="17" t="str">
        <f t="shared" si="93"/>
        <v/>
      </c>
      <c r="N677" s="17" t="str">
        <f t="shared" si="94"/>
        <v/>
      </c>
      <c r="O677" s="17" t="str">
        <f t="shared" si="95"/>
        <v/>
      </c>
      <c r="P677" s="16" t="str">
        <f t="shared" si="96"/>
        <v/>
      </c>
      <c r="Q677" s="16" t="str">
        <f t="shared" si="97"/>
        <v/>
      </c>
      <c r="R677" s="18" t="str">
        <f t="shared" si="98"/>
        <v/>
      </c>
    </row>
    <row r="678" spans="1:18">
      <c r="A678" s="12"/>
      <c r="B678" s="13"/>
      <c r="C678" s="14"/>
      <c r="D678" s="15"/>
      <c r="E678" s="15"/>
      <c r="F678" s="15"/>
      <c r="G678" s="13"/>
      <c r="H678" s="16" t="str">
        <f t="shared" si="90"/>
        <v/>
      </c>
      <c r="I678" s="17" t="str">
        <f>IF(OR(A678="",B678=""),"",IFERROR(LOOKUP(2,1/(单次交易!$A$2:$A$201=A678),单次交易!$H$2:$H$201),0)+SUMIFS($G$2:$G$1001,$A$2:$A$1001,A678,$B$2:$B$1001,"&lt;"&amp;B678))</f>
        <v/>
      </c>
      <c r="J678" s="16" t="str">
        <f>IF(OR(A678="",B678=""),"",IFERROR(LOOKUP(2,1/(单次交易!$A$2:$A$201=A678),单次交易!$E$2:$E$201)*LOOKUP(2,1/(单次交易!$A$2:$A$201=A678),单次交易!$H$2:$H$201),0)+SUMIFS($H$2:$H$1001,$A$2:$A$1001,A678,$B$2:$B$1001,"&lt;"&amp;B678))</f>
        <v/>
      </c>
      <c r="K678" s="16" t="str">
        <f t="shared" si="91"/>
        <v/>
      </c>
      <c r="L678" s="17" t="str">
        <f t="shared" si="92"/>
        <v/>
      </c>
      <c r="M678" s="17" t="str">
        <f t="shared" si="93"/>
        <v/>
      </c>
      <c r="N678" s="17" t="str">
        <f t="shared" si="94"/>
        <v/>
      </c>
      <c r="O678" s="17" t="str">
        <f t="shared" si="95"/>
        <v/>
      </c>
      <c r="P678" s="16" t="str">
        <f t="shared" si="96"/>
        <v/>
      </c>
      <c r="Q678" s="16" t="str">
        <f t="shared" si="97"/>
        <v/>
      </c>
      <c r="R678" s="18" t="str">
        <f t="shared" si="98"/>
        <v/>
      </c>
    </row>
    <row r="679" spans="1:18">
      <c r="A679" s="12"/>
      <c r="B679" s="13"/>
      <c r="C679" s="14"/>
      <c r="D679" s="15"/>
      <c r="E679" s="15"/>
      <c r="F679" s="15"/>
      <c r="G679" s="13"/>
      <c r="H679" s="16" t="str">
        <f t="shared" si="90"/>
        <v/>
      </c>
      <c r="I679" s="17" t="str">
        <f>IF(OR(A679="",B679=""),"",IFERROR(LOOKUP(2,1/(单次交易!$A$2:$A$201=A679),单次交易!$H$2:$H$201),0)+SUMIFS($G$2:$G$1001,$A$2:$A$1001,A679,$B$2:$B$1001,"&lt;"&amp;B679))</f>
        <v/>
      </c>
      <c r="J679" s="16" t="str">
        <f>IF(OR(A679="",B679=""),"",IFERROR(LOOKUP(2,1/(单次交易!$A$2:$A$201=A679),单次交易!$E$2:$E$201)*LOOKUP(2,1/(单次交易!$A$2:$A$201=A679),单次交易!$H$2:$H$201),0)+SUMIFS($H$2:$H$1001,$A$2:$A$1001,A679,$B$2:$B$1001,"&lt;"&amp;B679))</f>
        <v/>
      </c>
      <c r="K679" s="16" t="str">
        <f t="shared" si="91"/>
        <v/>
      </c>
      <c r="L679" s="17" t="str">
        <f t="shared" si="92"/>
        <v/>
      </c>
      <c r="M679" s="17" t="str">
        <f t="shared" si="93"/>
        <v/>
      </c>
      <c r="N679" s="17" t="str">
        <f t="shared" si="94"/>
        <v/>
      </c>
      <c r="O679" s="17" t="str">
        <f t="shared" si="95"/>
        <v/>
      </c>
      <c r="P679" s="16" t="str">
        <f t="shared" si="96"/>
        <v/>
      </c>
      <c r="Q679" s="16" t="str">
        <f t="shared" si="97"/>
        <v/>
      </c>
      <c r="R679" s="18" t="str">
        <f t="shared" si="98"/>
        <v/>
      </c>
    </row>
    <row r="680" spans="1:18">
      <c r="A680" s="12"/>
      <c r="B680" s="13"/>
      <c r="C680" s="14"/>
      <c r="D680" s="15"/>
      <c r="E680" s="15"/>
      <c r="F680" s="15"/>
      <c r="G680" s="13"/>
      <c r="H680" s="16" t="str">
        <f t="shared" si="90"/>
        <v/>
      </c>
      <c r="I680" s="17" t="str">
        <f>IF(OR(A680="",B680=""),"",IFERROR(LOOKUP(2,1/(单次交易!$A$2:$A$201=A680),单次交易!$H$2:$H$201),0)+SUMIFS($G$2:$G$1001,$A$2:$A$1001,A680,$B$2:$B$1001,"&lt;"&amp;B680))</f>
        <v/>
      </c>
      <c r="J680" s="16" t="str">
        <f>IF(OR(A680="",B680=""),"",IFERROR(LOOKUP(2,1/(单次交易!$A$2:$A$201=A680),单次交易!$E$2:$E$201)*LOOKUP(2,1/(单次交易!$A$2:$A$201=A680),单次交易!$H$2:$H$201),0)+SUMIFS($H$2:$H$1001,$A$2:$A$1001,A680,$B$2:$B$1001,"&lt;"&amp;B680))</f>
        <v/>
      </c>
      <c r="K680" s="16" t="str">
        <f t="shared" si="91"/>
        <v/>
      </c>
      <c r="L680" s="17" t="str">
        <f t="shared" si="92"/>
        <v/>
      </c>
      <c r="M680" s="17" t="str">
        <f t="shared" si="93"/>
        <v/>
      </c>
      <c r="N680" s="17" t="str">
        <f t="shared" si="94"/>
        <v/>
      </c>
      <c r="O680" s="17" t="str">
        <f t="shared" si="95"/>
        <v/>
      </c>
      <c r="P680" s="16" t="str">
        <f t="shared" si="96"/>
        <v/>
      </c>
      <c r="Q680" s="16" t="str">
        <f t="shared" si="97"/>
        <v/>
      </c>
      <c r="R680" s="18" t="str">
        <f t="shared" si="98"/>
        <v/>
      </c>
    </row>
    <row r="681" spans="1:18">
      <c r="A681" s="12"/>
      <c r="B681" s="13"/>
      <c r="C681" s="14"/>
      <c r="D681" s="15"/>
      <c r="E681" s="15"/>
      <c r="F681" s="15"/>
      <c r="G681" s="13"/>
      <c r="H681" s="16" t="str">
        <f t="shared" si="90"/>
        <v/>
      </c>
      <c r="I681" s="17" t="str">
        <f>IF(OR(A681="",B681=""),"",IFERROR(LOOKUP(2,1/(单次交易!$A$2:$A$201=A681),单次交易!$H$2:$H$201),0)+SUMIFS($G$2:$G$1001,$A$2:$A$1001,A681,$B$2:$B$1001,"&lt;"&amp;B681))</f>
        <v/>
      </c>
      <c r="J681" s="16" t="str">
        <f>IF(OR(A681="",B681=""),"",IFERROR(LOOKUP(2,1/(单次交易!$A$2:$A$201=A681),单次交易!$E$2:$E$201)*LOOKUP(2,1/(单次交易!$A$2:$A$201=A681),单次交易!$H$2:$H$201),0)+SUMIFS($H$2:$H$1001,$A$2:$A$1001,A681,$B$2:$B$1001,"&lt;"&amp;B681))</f>
        <v/>
      </c>
      <c r="K681" s="16" t="str">
        <f t="shared" si="91"/>
        <v/>
      </c>
      <c r="L681" s="17" t="str">
        <f t="shared" si="92"/>
        <v/>
      </c>
      <c r="M681" s="17" t="str">
        <f t="shared" si="93"/>
        <v/>
      </c>
      <c r="N681" s="17" t="str">
        <f t="shared" si="94"/>
        <v/>
      </c>
      <c r="O681" s="17" t="str">
        <f t="shared" si="95"/>
        <v/>
      </c>
      <c r="P681" s="16" t="str">
        <f t="shared" si="96"/>
        <v/>
      </c>
      <c r="Q681" s="16" t="str">
        <f t="shared" si="97"/>
        <v/>
      </c>
      <c r="R681" s="18" t="str">
        <f t="shared" si="98"/>
        <v/>
      </c>
    </row>
    <row r="682" spans="1:18">
      <c r="A682" s="12"/>
      <c r="B682" s="13"/>
      <c r="C682" s="14"/>
      <c r="D682" s="15"/>
      <c r="E682" s="15"/>
      <c r="F682" s="15"/>
      <c r="G682" s="13"/>
      <c r="H682" s="16" t="str">
        <f t="shared" si="90"/>
        <v/>
      </c>
      <c r="I682" s="17" t="str">
        <f>IF(OR(A682="",B682=""),"",IFERROR(LOOKUP(2,1/(单次交易!$A$2:$A$201=A682),单次交易!$H$2:$H$201),0)+SUMIFS($G$2:$G$1001,$A$2:$A$1001,A682,$B$2:$B$1001,"&lt;"&amp;B682))</f>
        <v/>
      </c>
      <c r="J682" s="16" t="str">
        <f>IF(OR(A682="",B682=""),"",IFERROR(LOOKUP(2,1/(单次交易!$A$2:$A$201=A682),单次交易!$E$2:$E$201)*LOOKUP(2,1/(单次交易!$A$2:$A$201=A682),单次交易!$H$2:$H$201),0)+SUMIFS($H$2:$H$1001,$A$2:$A$1001,A682,$B$2:$B$1001,"&lt;"&amp;B682))</f>
        <v/>
      </c>
      <c r="K682" s="16" t="str">
        <f t="shared" si="91"/>
        <v/>
      </c>
      <c r="L682" s="17" t="str">
        <f t="shared" si="92"/>
        <v/>
      </c>
      <c r="M682" s="17" t="str">
        <f t="shared" si="93"/>
        <v/>
      </c>
      <c r="N682" s="17" t="str">
        <f t="shared" si="94"/>
        <v/>
      </c>
      <c r="O682" s="17" t="str">
        <f t="shared" si="95"/>
        <v/>
      </c>
      <c r="P682" s="16" t="str">
        <f t="shared" si="96"/>
        <v/>
      </c>
      <c r="Q682" s="16" t="str">
        <f t="shared" si="97"/>
        <v/>
      </c>
      <c r="R682" s="18" t="str">
        <f t="shared" si="98"/>
        <v/>
      </c>
    </row>
    <row r="683" spans="1:18">
      <c r="A683" s="12"/>
      <c r="B683" s="13"/>
      <c r="C683" s="14"/>
      <c r="D683" s="15"/>
      <c r="E683" s="15"/>
      <c r="F683" s="15"/>
      <c r="G683" s="13"/>
      <c r="H683" s="16" t="str">
        <f t="shared" si="90"/>
        <v/>
      </c>
      <c r="I683" s="17" t="str">
        <f>IF(OR(A683="",B683=""),"",IFERROR(LOOKUP(2,1/(单次交易!$A$2:$A$201=A683),单次交易!$H$2:$H$201),0)+SUMIFS($G$2:$G$1001,$A$2:$A$1001,A683,$B$2:$B$1001,"&lt;"&amp;B683))</f>
        <v/>
      </c>
      <c r="J683" s="16" t="str">
        <f>IF(OR(A683="",B683=""),"",IFERROR(LOOKUP(2,1/(单次交易!$A$2:$A$201=A683),单次交易!$E$2:$E$201)*LOOKUP(2,1/(单次交易!$A$2:$A$201=A683),单次交易!$H$2:$H$201),0)+SUMIFS($H$2:$H$1001,$A$2:$A$1001,A683,$B$2:$B$1001,"&lt;"&amp;B683))</f>
        <v/>
      </c>
      <c r="K683" s="16" t="str">
        <f t="shared" si="91"/>
        <v/>
      </c>
      <c r="L683" s="17" t="str">
        <f t="shared" si="92"/>
        <v/>
      </c>
      <c r="M683" s="17" t="str">
        <f t="shared" si="93"/>
        <v/>
      </c>
      <c r="N683" s="17" t="str">
        <f t="shared" si="94"/>
        <v/>
      </c>
      <c r="O683" s="17" t="str">
        <f t="shared" si="95"/>
        <v/>
      </c>
      <c r="P683" s="16" t="str">
        <f t="shared" si="96"/>
        <v/>
      </c>
      <c r="Q683" s="16" t="str">
        <f t="shared" si="97"/>
        <v/>
      </c>
      <c r="R683" s="18" t="str">
        <f t="shared" si="98"/>
        <v/>
      </c>
    </row>
    <row r="684" spans="1:18">
      <c r="A684" s="12"/>
      <c r="B684" s="13"/>
      <c r="C684" s="14"/>
      <c r="D684" s="15"/>
      <c r="E684" s="15"/>
      <c r="F684" s="15"/>
      <c r="G684" s="13"/>
      <c r="H684" s="16" t="str">
        <f t="shared" si="90"/>
        <v/>
      </c>
      <c r="I684" s="17" t="str">
        <f>IF(OR(A684="",B684=""),"",IFERROR(LOOKUP(2,1/(单次交易!$A$2:$A$201=A684),单次交易!$H$2:$H$201),0)+SUMIFS($G$2:$G$1001,$A$2:$A$1001,A684,$B$2:$B$1001,"&lt;"&amp;B684))</f>
        <v/>
      </c>
      <c r="J684" s="16" t="str">
        <f>IF(OR(A684="",B684=""),"",IFERROR(LOOKUP(2,1/(单次交易!$A$2:$A$201=A684),单次交易!$E$2:$E$201)*LOOKUP(2,1/(单次交易!$A$2:$A$201=A684),单次交易!$H$2:$H$201),0)+SUMIFS($H$2:$H$1001,$A$2:$A$1001,A684,$B$2:$B$1001,"&lt;"&amp;B684))</f>
        <v/>
      </c>
      <c r="K684" s="16" t="str">
        <f t="shared" si="91"/>
        <v/>
      </c>
      <c r="L684" s="17" t="str">
        <f t="shared" si="92"/>
        <v/>
      </c>
      <c r="M684" s="17" t="str">
        <f t="shared" si="93"/>
        <v/>
      </c>
      <c r="N684" s="17" t="str">
        <f t="shared" si="94"/>
        <v/>
      </c>
      <c r="O684" s="17" t="str">
        <f t="shared" si="95"/>
        <v/>
      </c>
      <c r="P684" s="16" t="str">
        <f t="shared" si="96"/>
        <v/>
      </c>
      <c r="Q684" s="16" t="str">
        <f t="shared" si="97"/>
        <v/>
      </c>
      <c r="R684" s="18" t="str">
        <f t="shared" si="98"/>
        <v/>
      </c>
    </row>
    <row r="685" spans="1:18">
      <c r="A685" s="12"/>
      <c r="B685" s="13"/>
      <c r="C685" s="14"/>
      <c r="D685" s="15"/>
      <c r="E685" s="15"/>
      <c r="F685" s="15"/>
      <c r="G685" s="13"/>
      <c r="H685" s="16" t="str">
        <f t="shared" si="90"/>
        <v/>
      </c>
      <c r="I685" s="17" t="str">
        <f>IF(OR(A685="",B685=""),"",IFERROR(LOOKUP(2,1/(单次交易!$A$2:$A$201=A685),单次交易!$H$2:$H$201),0)+SUMIFS($G$2:$G$1001,$A$2:$A$1001,A685,$B$2:$B$1001,"&lt;"&amp;B685))</f>
        <v/>
      </c>
      <c r="J685" s="16" t="str">
        <f>IF(OR(A685="",B685=""),"",IFERROR(LOOKUP(2,1/(单次交易!$A$2:$A$201=A685),单次交易!$E$2:$E$201)*LOOKUP(2,1/(单次交易!$A$2:$A$201=A685),单次交易!$H$2:$H$201),0)+SUMIFS($H$2:$H$1001,$A$2:$A$1001,A685,$B$2:$B$1001,"&lt;"&amp;B685))</f>
        <v/>
      </c>
      <c r="K685" s="16" t="str">
        <f t="shared" si="91"/>
        <v/>
      </c>
      <c r="L685" s="17" t="str">
        <f t="shared" si="92"/>
        <v/>
      </c>
      <c r="M685" s="17" t="str">
        <f t="shared" si="93"/>
        <v/>
      </c>
      <c r="N685" s="17" t="str">
        <f t="shared" si="94"/>
        <v/>
      </c>
      <c r="O685" s="17" t="str">
        <f t="shared" si="95"/>
        <v/>
      </c>
      <c r="P685" s="16" t="str">
        <f t="shared" si="96"/>
        <v/>
      </c>
      <c r="Q685" s="16" t="str">
        <f t="shared" si="97"/>
        <v/>
      </c>
      <c r="R685" s="18" t="str">
        <f t="shared" si="98"/>
        <v/>
      </c>
    </row>
    <row r="686" spans="1:18">
      <c r="A686" s="12"/>
      <c r="B686" s="13"/>
      <c r="C686" s="14"/>
      <c r="D686" s="15"/>
      <c r="E686" s="15"/>
      <c r="F686" s="15"/>
      <c r="G686" s="13"/>
      <c r="H686" s="16" t="str">
        <f t="shared" si="90"/>
        <v/>
      </c>
      <c r="I686" s="17" t="str">
        <f>IF(OR(A686="",B686=""),"",IFERROR(LOOKUP(2,1/(单次交易!$A$2:$A$201=A686),单次交易!$H$2:$H$201),0)+SUMIFS($G$2:$G$1001,$A$2:$A$1001,A686,$B$2:$B$1001,"&lt;"&amp;B686))</f>
        <v/>
      </c>
      <c r="J686" s="16" t="str">
        <f>IF(OR(A686="",B686=""),"",IFERROR(LOOKUP(2,1/(单次交易!$A$2:$A$201=A686),单次交易!$E$2:$E$201)*LOOKUP(2,1/(单次交易!$A$2:$A$201=A686),单次交易!$H$2:$H$201),0)+SUMIFS($H$2:$H$1001,$A$2:$A$1001,A686,$B$2:$B$1001,"&lt;"&amp;B686))</f>
        <v/>
      </c>
      <c r="K686" s="16" t="str">
        <f t="shared" si="91"/>
        <v/>
      </c>
      <c r="L686" s="17" t="str">
        <f t="shared" si="92"/>
        <v/>
      </c>
      <c r="M686" s="17" t="str">
        <f t="shared" si="93"/>
        <v/>
      </c>
      <c r="N686" s="17" t="str">
        <f t="shared" si="94"/>
        <v/>
      </c>
      <c r="O686" s="17" t="str">
        <f t="shared" si="95"/>
        <v/>
      </c>
      <c r="P686" s="16" t="str">
        <f t="shared" si="96"/>
        <v/>
      </c>
      <c r="Q686" s="16" t="str">
        <f t="shared" si="97"/>
        <v/>
      </c>
      <c r="R686" s="18" t="str">
        <f t="shared" si="98"/>
        <v/>
      </c>
    </row>
    <row r="687" spans="1:18">
      <c r="A687" s="12"/>
      <c r="B687" s="13"/>
      <c r="C687" s="14"/>
      <c r="D687" s="15"/>
      <c r="E687" s="15"/>
      <c r="F687" s="15"/>
      <c r="G687" s="13"/>
      <c r="H687" s="16" t="str">
        <f t="shared" si="90"/>
        <v/>
      </c>
      <c r="I687" s="17" t="str">
        <f>IF(OR(A687="",B687=""),"",IFERROR(LOOKUP(2,1/(单次交易!$A$2:$A$201=A687),单次交易!$H$2:$H$201),0)+SUMIFS($G$2:$G$1001,$A$2:$A$1001,A687,$B$2:$B$1001,"&lt;"&amp;B687))</f>
        <v/>
      </c>
      <c r="J687" s="16" t="str">
        <f>IF(OR(A687="",B687=""),"",IFERROR(LOOKUP(2,1/(单次交易!$A$2:$A$201=A687),单次交易!$E$2:$E$201)*LOOKUP(2,1/(单次交易!$A$2:$A$201=A687),单次交易!$H$2:$H$201),0)+SUMIFS($H$2:$H$1001,$A$2:$A$1001,A687,$B$2:$B$1001,"&lt;"&amp;B687))</f>
        <v/>
      </c>
      <c r="K687" s="16" t="str">
        <f t="shared" si="91"/>
        <v/>
      </c>
      <c r="L687" s="17" t="str">
        <f t="shared" si="92"/>
        <v/>
      </c>
      <c r="M687" s="17" t="str">
        <f t="shared" si="93"/>
        <v/>
      </c>
      <c r="N687" s="17" t="str">
        <f t="shared" si="94"/>
        <v/>
      </c>
      <c r="O687" s="17" t="str">
        <f t="shared" si="95"/>
        <v/>
      </c>
      <c r="P687" s="16" t="str">
        <f t="shared" si="96"/>
        <v/>
      </c>
      <c r="Q687" s="16" t="str">
        <f t="shared" si="97"/>
        <v/>
      </c>
      <c r="R687" s="18" t="str">
        <f t="shared" si="98"/>
        <v/>
      </c>
    </row>
    <row r="688" spans="1:18">
      <c r="A688" s="12"/>
      <c r="B688" s="13"/>
      <c r="C688" s="14"/>
      <c r="D688" s="15"/>
      <c r="E688" s="15"/>
      <c r="F688" s="15"/>
      <c r="G688" s="13"/>
      <c r="H688" s="16" t="str">
        <f t="shared" si="90"/>
        <v/>
      </c>
      <c r="I688" s="17" t="str">
        <f>IF(OR(A688="",B688=""),"",IFERROR(LOOKUP(2,1/(单次交易!$A$2:$A$201=A688),单次交易!$H$2:$H$201),0)+SUMIFS($G$2:$G$1001,$A$2:$A$1001,A688,$B$2:$B$1001,"&lt;"&amp;B688))</f>
        <v/>
      </c>
      <c r="J688" s="16" t="str">
        <f>IF(OR(A688="",B688=""),"",IFERROR(LOOKUP(2,1/(单次交易!$A$2:$A$201=A688),单次交易!$E$2:$E$201)*LOOKUP(2,1/(单次交易!$A$2:$A$201=A688),单次交易!$H$2:$H$201),0)+SUMIFS($H$2:$H$1001,$A$2:$A$1001,A688,$B$2:$B$1001,"&lt;"&amp;B688))</f>
        <v/>
      </c>
      <c r="K688" s="16" t="str">
        <f t="shared" si="91"/>
        <v/>
      </c>
      <c r="L688" s="17" t="str">
        <f t="shared" si="92"/>
        <v/>
      </c>
      <c r="M688" s="17" t="str">
        <f t="shared" si="93"/>
        <v/>
      </c>
      <c r="N688" s="17" t="str">
        <f t="shared" si="94"/>
        <v/>
      </c>
      <c r="O688" s="17" t="str">
        <f t="shared" si="95"/>
        <v/>
      </c>
      <c r="P688" s="16" t="str">
        <f t="shared" si="96"/>
        <v/>
      </c>
      <c r="Q688" s="16" t="str">
        <f t="shared" si="97"/>
        <v/>
      </c>
      <c r="R688" s="18" t="str">
        <f t="shared" si="98"/>
        <v/>
      </c>
    </row>
    <row r="689" spans="1:18">
      <c r="A689" s="12"/>
      <c r="B689" s="13"/>
      <c r="C689" s="14"/>
      <c r="D689" s="15"/>
      <c r="E689" s="15"/>
      <c r="F689" s="15"/>
      <c r="G689" s="13"/>
      <c r="H689" s="16" t="str">
        <f t="shared" si="90"/>
        <v/>
      </c>
      <c r="I689" s="17" t="str">
        <f>IF(OR(A689="",B689=""),"",IFERROR(LOOKUP(2,1/(单次交易!$A$2:$A$201=A689),单次交易!$H$2:$H$201),0)+SUMIFS($G$2:$G$1001,$A$2:$A$1001,A689,$B$2:$B$1001,"&lt;"&amp;B689))</f>
        <v/>
      </c>
      <c r="J689" s="16" t="str">
        <f>IF(OR(A689="",B689=""),"",IFERROR(LOOKUP(2,1/(单次交易!$A$2:$A$201=A689),单次交易!$E$2:$E$201)*LOOKUP(2,1/(单次交易!$A$2:$A$201=A689),单次交易!$H$2:$H$201),0)+SUMIFS($H$2:$H$1001,$A$2:$A$1001,A689,$B$2:$B$1001,"&lt;"&amp;B689))</f>
        <v/>
      </c>
      <c r="K689" s="16" t="str">
        <f t="shared" si="91"/>
        <v/>
      </c>
      <c r="L689" s="17" t="str">
        <f t="shared" si="92"/>
        <v/>
      </c>
      <c r="M689" s="17" t="str">
        <f t="shared" si="93"/>
        <v/>
      </c>
      <c r="N689" s="17" t="str">
        <f t="shared" si="94"/>
        <v/>
      </c>
      <c r="O689" s="17" t="str">
        <f t="shared" si="95"/>
        <v/>
      </c>
      <c r="P689" s="16" t="str">
        <f t="shared" si="96"/>
        <v/>
      </c>
      <c r="Q689" s="16" t="str">
        <f t="shared" si="97"/>
        <v/>
      </c>
      <c r="R689" s="18" t="str">
        <f t="shared" si="98"/>
        <v/>
      </c>
    </row>
    <row r="690" spans="1:18">
      <c r="A690" s="12"/>
      <c r="B690" s="13"/>
      <c r="C690" s="14"/>
      <c r="D690" s="15"/>
      <c r="E690" s="15"/>
      <c r="F690" s="15"/>
      <c r="G690" s="13"/>
      <c r="H690" s="16" t="str">
        <f t="shared" si="90"/>
        <v/>
      </c>
      <c r="I690" s="17" t="str">
        <f>IF(OR(A690="",B690=""),"",IFERROR(LOOKUP(2,1/(单次交易!$A$2:$A$201=A690),单次交易!$H$2:$H$201),0)+SUMIFS($G$2:$G$1001,$A$2:$A$1001,A690,$B$2:$B$1001,"&lt;"&amp;B690))</f>
        <v/>
      </c>
      <c r="J690" s="16" t="str">
        <f>IF(OR(A690="",B690=""),"",IFERROR(LOOKUP(2,1/(单次交易!$A$2:$A$201=A690),单次交易!$E$2:$E$201)*LOOKUP(2,1/(单次交易!$A$2:$A$201=A690),单次交易!$H$2:$H$201),0)+SUMIFS($H$2:$H$1001,$A$2:$A$1001,A690,$B$2:$B$1001,"&lt;"&amp;B690))</f>
        <v/>
      </c>
      <c r="K690" s="16" t="str">
        <f t="shared" si="91"/>
        <v/>
      </c>
      <c r="L690" s="17" t="str">
        <f t="shared" si="92"/>
        <v/>
      </c>
      <c r="M690" s="17" t="str">
        <f t="shared" si="93"/>
        <v/>
      </c>
      <c r="N690" s="17" t="str">
        <f t="shared" si="94"/>
        <v/>
      </c>
      <c r="O690" s="17" t="str">
        <f t="shared" si="95"/>
        <v/>
      </c>
      <c r="P690" s="16" t="str">
        <f t="shared" si="96"/>
        <v/>
      </c>
      <c r="Q690" s="16" t="str">
        <f t="shared" si="97"/>
        <v/>
      </c>
      <c r="R690" s="18" t="str">
        <f t="shared" si="98"/>
        <v/>
      </c>
    </row>
    <row r="691" spans="1:18">
      <c r="A691" s="12"/>
      <c r="B691" s="13"/>
      <c r="C691" s="14"/>
      <c r="D691" s="15"/>
      <c r="E691" s="15"/>
      <c r="F691" s="15"/>
      <c r="G691" s="13"/>
      <c r="H691" s="16" t="str">
        <f t="shared" si="90"/>
        <v/>
      </c>
      <c r="I691" s="17" t="str">
        <f>IF(OR(A691="",B691=""),"",IFERROR(LOOKUP(2,1/(单次交易!$A$2:$A$201=A691),单次交易!$H$2:$H$201),0)+SUMIFS($G$2:$G$1001,$A$2:$A$1001,A691,$B$2:$B$1001,"&lt;"&amp;B691))</f>
        <v/>
      </c>
      <c r="J691" s="16" t="str">
        <f>IF(OR(A691="",B691=""),"",IFERROR(LOOKUP(2,1/(单次交易!$A$2:$A$201=A691),单次交易!$E$2:$E$201)*LOOKUP(2,1/(单次交易!$A$2:$A$201=A691),单次交易!$H$2:$H$201),0)+SUMIFS($H$2:$H$1001,$A$2:$A$1001,A691,$B$2:$B$1001,"&lt;"&amp;B691))</f>
        <v/>
      </c>
      <c r="K691" s="16" t="str">
        <f t="shared" si="91"/>
        <v/>
      </c>
      <c r="L691" s="17" t="str">
        <f t="shared" si="92"/>
        <v/>
      </c>
      <c r="M691" s="17" t="str">
        <f t="shared" si="93"/>
        <v/>
      </c>
      <c r="N691" s="17" t="str">
        <f t="shared" si="94"/>
        <v/>
      </c>
      <c r="O691" s="17" t="str">
        <f t="shared" si="95"/>
        <v/>
      </c>
      <c r="P691" s="16" t="str">
        <f t="shared" si="96"/>
        <v/>
      </c>
      <c r="Q691" s="16" t="str">
        <f t="shared" si="97"/>
        <v/>
      </c>
      <c r="R691" s="18" t="str">
        <f t="shared" si="98"/>
        <v/>
      </c>
    </row>
    <row r="692" spans="1:18">
      <c r="A692" s="12"/>
      <c r="B692" s="13"/>
      <c r="C692" s="14"/>
      <c r="D692" s="15"/>
      <c r="E692" s="15"/>
      <c r="F692" s="15"/>
      <c r="G692" s="13"/>
      <c r="H692" s="16" t="str">
        <f t="shared" si="90"/>
        <v/>
      </c>
      <c r="I692" s="17" t="str">
        <f>IF(OR(A692="",B692=""),"",IFERROR(LOOKUP(2,1/(单次交易!$A$2:$A$201=A692),单次交易!$H$2:$H$201),0)+SUMIFS($G$2:$G$1001,$A$2:$A$1001,A692,$B$2:$B$1001,"&lt;"&amp;B692))</f>
        <v/>
      </c>
      <c r="J692" s="16" t="str">
        <f>IF(OR(A692="",B692=""),"",IFERROR(LOOKUP(2,1/(单次交易!$A$2:$A$201=A692),单次交易!$E$2:$E$201)*LOOKUP(2,1/(单次交易!$A$2:$A$201=A692),单次交易!$H$2:$H$201),0)+SUMIFS($H$2:$H$1001,$A$2:$A$1001,A692,$B$2:$B$1001,"&lt;"&amp;B692))</f>
        <v/>
      </c>
      <c r="K692" s="16" t="str">
        <f t="shared" si="91"/>
        <v/>
      </c>
      <c r="L692" s="17" t="str">
        <f t="shared" si="92"/>
        <v/>
      </c>
      <c r="M692" s="17" t="str">
        <f t="shared" si="93"/>
        <v/>
      </c>
      <c r="N692" s="17" t="str">
        <f t="shared" si="94"/>
        <v/>
      </c>
      <c r="O692" s="17" t="str">
        <f t="shared" si="95"/>
        <v/>
      </c>
      <c r="P692" s="16" t="str">
        <f t="shared" si="96"/>
        <v/>
      </c>
      <c r="Q692" s="16" t="str">
        <f t="shared" si="97"/>
        <v/>
      </c>
      <c r="R692" s="18" t="str">
        <f t="shared" si="98"/>
        <v/>
      </c>
    </row>
    <row r="693" spans="1:18">
      <c r="A693" s="12"/>
      <c r="B693" s="13"/>
      <c r="C693" s="14"/>
      <c r="D693" s="15"/>
      <c r="E693" s="15"/>
      <c r="F693" s="15"/>
      <c r="G693" s="13"/>
      <c r="H693" s="16" t="str">
        <f t="shared" si="90"/>
        <v/>
      </c>
      <c r="I693" s="17" t="str">
        <f>IF(OR(A693="",B693=""),"",IFERROR(LOOKUP(2,1/(单次交易!$A$2:$A$201=A693),单次交易!$H$2:$H$201),0)+SUMIFS($G$2:$G$1001,$A$2:$A$1001,A693,$B$2:$B$1001,"&lt;"&amp;B693))</f>
        <v/>
      </c>
      <c r="J693" s="16" t="str">
        <f>IF(OR(A693="",B693=""),"",IFERROR(LOOKUP(2,1/(单次交易!$A$2:$A$201=A693),单次交易!$E$2:$E$201)*LOOKUP(2,1/(单次交易!$A$2:$A$201=A693),单次交易!$H$2:$H$201),0)+SUMIFS($H$2:$H$1001,$A$2:$A$1001,A693,$B$2:$B$1001,"&lt;"&amp;B693))</f>
        <v/>
      </c>
      <c r="K693" s="16" t="str">
        <f t="shared" si="91"/>
        <v/>
      </c>
      <c r="L693" s="17" t="str">
        <f t="shared" si="92"/>
        <v/>
      </c>
      <c r="M693" s="17" t="str">
        <f t="shared" si="93"/>
        <v/>
      </c>
      <c r="N693" s="17" t="str">
        <f t="shared" si="94"/>
        <v/>
      </c>
      <c r="O693" s="17" t="str">
        <f t="shared" si="95"/>
        <v/>
      </c>
      <c r="P693" s="16" t="str">
        <f t="shared" si="96"/>
        <v/>
      </c>
      <c r="Q693" s="16" t="str">
        <f t="shared" si="97"/>
        <v/>
      </c>
      <c r="R693" s="18" t="str">
        <f t="shared" si="98"/>
        <v/>
      </c>
    </row>
    <row r="694" spans="1:18">
      <c r="A694" s="12"/>
      <c r="B694" s="13"/>
      <c r="C694" s="14"/>
      <c r="D694" s="15"/>
      <c r="E694" s="15"/>
      <c r="F694" s="15"/>
      <c r="G694" s="13"/>
      <c r="H694" s="16" t="str">
        <f t="shared" si="90"/>
        <v/>
      </c>
      <c r="I694" s="17" t="str">
        <f>IF(OR(A694="",B694=""),"",IFERROR(LOOKUP(2,1/(单次交易!$A$2:$A$201=A694),单次交易!$H$2:$H$201),0)+SUMIFS($G$2:$G$1001,$A$2:$A$1001,A694,$B$2:$B$1001,"&lt;"&amp;B694))</f>
        <v/>
      </c>
      <c r="J694" s="16" t="str">
        <f>IF(OR(A694="",B694=""),"",IFERROR(LOOKUP(2,1/(单次交易!$A$2:$A$201=A694),单次交易!$E$2:$E$201)*LOOKUP(2,1/(单次交易!$A$2:$A$201=A694),单次交易!$H$2:$H$201),0)+SUMIFS($H$2:$H$1001,$A$2:$A$1001,A694,$B$2:$B$1001,"&lt;"&amp;B694))</f>
        <v/>
      </c>
      <c r="K694" s="16" t="str">
        <f t="shared" si="91"/>
        <v/>
      </c>
      <c r="L694" s="17" t="str">
        <f t="shared" si="92"/>
        <v/>
      </c>
      <c r="M694" s="17" t="str">
        <f t="shared" si="93"/>
        <v/>
      </c>
      <c r="N694" s="17" t="str">
        <f t="shared" si="94"/>
        <v/>
      </c>
      <c r="O694" s="17" t="str">
        <f t="shared" si="95"/>
        <v/>
      </c>
      <c r="P694" s="16" t="str">
        <f t="shared" si="96"/>
        <v/>
      </c>
      <c r="Q694" s="16" t="str">
        <f t="shared" si="97"/>
        <v/>
      </c>
      <c r="R694" s="18" t="str">
        <f t="shared" si="98"/>
        <v/>
      </c>
    </row>
    <row r="695" spans="1:18">
      <c r="A695" s="12"/>
      <c r="B695" s="13"/>
      <c r="C695" s="14"/>
      <c r="D695" s="15"/>
      <c r="E695" s="15"/>
      <c r="F695" s="15"/>
      <c r="G695" s="13"/>
      <c r="H695" s="16" t="str">
        <f t="shared" si="90"/>
        <v/>
      </c>
      <c r="I695" s="17" t="str">
        <f>IF(OR(A695="",B695=""),"",IFERROR(LOOKUP(2,1/(单次交易!$A$2:$A$201=A695),单次交易!$H$2:$H$201),0)+SUMIFS($G$2:$G$1001,$A$2:$A$1001,A695,$B$2:$B$1001,"&lt;"&amp;B695))</f>
        <v/>
      </c>
      <c r="J695" s="16" t="str">
        <f>IF(OR(A695="",B695=""),"",IFERROR(LOOKUP(2,1/(单次交易!$A$2:$A$201=A695),单次交易!$E$2:$E$201)*LOOKUP(2,1/(单次交易!$A$2:$A$201=A695),单次交易!$H$2:$H$201),0)+SUMIFS($H$2:$H$1001,$A$2:$A$1001,A695,$B$2:$B$1001,"&lt;"&amp;B695))</f>
        <v/>
      </c>
      <c r="K695" s="16" t="str">
        <f t="shared" si="91"/>
        <v/>
      </c>
      <c r="L695" s="17" t="str">
        <f t="shared" si="92"/>
        <v/>
      </c>
      <c r="M695" s="17" t="str">
        <f t="shared" si="93"/>
        <v/>
      </c>
      <c r="N695" s="17" t="str">
        <f t="shared" si="94"/>
        <v/>
      </c>
      <c r="O695" s="17" t="str">
        <f t="shared" si="95"/>
        <v/>
      </c>
      <c r="P695" s="16" t="str">
        <f t="shared" si="96"/>
        <v/>
      </c>
      <c r="Q695" s="16" t="str">
        <f t="shared" si="97"/>
        <v/>
      </c>
      <c r="R695" s="18" t="str">
        <f t="shared" si="98"/>
        <v/>
      </c>
    </row>
    <row r="696" spans="1:18">
      <c r="A696" s="12"/>
      <c r="B696" s="13"/>
      <c r="C696" s="14"/>
      <c r="D696" s="15"/>
      <c r="E696" s="15"/>
      <c r="F696" s="15"/>
      <c r="G696" s="13"/>
      <c r="H696" s="16" t="str">
        <f t="shared" si="90"/>
        <v/>
      </c>
      <c r="I696" s="17" t="str">
        <f>IF(OR(A696="",B696=""),"",IFERROR(LOOKUP(2,1/(单次交易!$A$2:$A$201=A696),单次交易!$H$2:$H$201),0)+SUMIFS($G$2:$G$1001,$A$2:$A$1001,A696,$B$2:$B$1001,"&lt;"&amp;B696))</f>
        <v/>
      </c>
      <c r="J696" s="16" t="str">
        <f>IF(OR(A696="",B696=""),"",IFERROR(LOOKUP(2,1/(单次交易!$A$2:$A$201=A696),单次交易!$E$2:$E$201)*LOOKUP(2,1/(单次交易!$A$2:$A$201=A696),单次交易!$H$2:$H$201),0)+SUMIFS($H$2:$H$1001,$A$2:$A$1001,A696,$B$2:$B$1001,"&lt;"&amp;B696))</f>
        <v/>
      </c>
      <c r="K696" s="16" t="str">
        <f t="shared" si="91"/>
        <v/>
      </c>
      <c r="L696" s="17" t="str">
        <f t="shared" si="92"/>
        <v/>
      </c>
      <c r="M696" s="17" t="str">
        <f t="shared" si="93"/>
        <v/>
      </c>
      <c r="N696" s="17" t="str">
        <f t="shared" si="94"/>
        <v/>
      </c>
      <c r="O696" s="17" t="str">
        <f t="shared" si="95"/>
        <v/>
      </c>
      <c r="P696" s="16" t="str">
        <f t="shared" si="96"/>
        <v/>
      </c>
      <c r="Q696" s="16" t="str">
        <f t="shared" si="97"/>
        <v/>
      </c>
      <c r="R696" s="18" t="str">
        <f t="shared" si="98"/>
        <v/>
      </c>
    </row>
    <row r="697" spans="1:18">
      <c r="A697" s="12"/>
      <c r="B697" s="13"/>
      <c r="C697" s="14"/>
      <c r="D697" s="15"/>
      <c r="E697" s="15"/>
      <c r="F697" s="15"/>
      <c r="G697" s="13"/>
      <c r="H697" s="16" t="str">
        <f t="shared" si="90"/>
        <v/>
      </c>
      <c r="I697" s="17" t="str">
        <f>IF(OR(A697="",B697=""),"",IFERROR(LOOKUP(2,1/(单次交易!$A$2:$A$201=A697),单次交易!$H$2:$H$201),0)+SUMIFS($G$2:$G$1001,$A$2:$A$1001,A697,$B$2:$B$1001,"&lt;"&amp;B697))</f>
        <v/>
      </c>
      <c r="J697" s="16" t="str">
        <f>IF(OR(A697="",B697=""),"",IFERROR(LOOKUP(2,1/(单次交易!$A$2:$A$201=A697),单次交易!$E$2:$E$201)*LOOKUP(2,1/(单次交易!$A$2:$A$201=A697),单次交易!$H$2:$H$201),0)+SUMIFS($H$2:$H$1001,$A$2:$A$1001,A697,$B$2:$B$1001,"&lt;"&amp;B697))</f>
        <v/>
      </c>
      <c r="K697" s="16" t="str">
        <f t="shared" si="91"/>
        <v/>
      </c>
      <c r="L697" s="17" t="str">
        <f t="shared" si="92"/>
        <v/>
      </c>
      <c r="M697" s="17" t="str">
        <f t="shared" si="93"/>
        <v/>
      </c>
      <c r="N697" s="17" t="str">
        <f t="shared" si="94"/>
        <v/>
      </c>
      <c r="O697" s="17" t="str">
        <f t="shared" si="95"/>
        <v/>
      </c>
      <c r="P697" s="16" t="str">
        <f t="shared" si="96"/>
        <v/>
      </c>
      <c r="Q697" s="16" t="str">
        <f t="shared" si="97"/>
        <v/>
      </c>
      <c r="R697" s="18" t="str">
        <f t="shared" si="98"/>
        <v/>
      </c>
    </row>
    <row r="698" spans="1:18">
      <c r="A698" s="12"/>
      <c r="B698" s="13"/>
      <c r="C698" s="14"/>
      <c r="D698" s="15"/>
      <c r="E698" s="15"/>
      <c r="F698" s="15"/>
      <c r="G698" s="13"/>
      <c r="H698" s="16" t="str">
        <f t="shared" si="90"/>
        <v/>
      </c>
      <c r="I698" s="17" t="str">
        <f>IF(OR(A698="",B698=""),"",IFERROR(LOOKUP(2,1/(单次交易!$A$2:$A$201=A698),单次交易!$H$2:$H$201),0)+SUMIFS($G$2:$G$1001,$A$2:$A$1001,A698,$B$2:$B$1001,"&lt;"&amp;B698))</f>
        <v/>
      </c>
      <c r="J698" s="16" t="str">
        <f>IF(OR(A698="",B698=""),"",IFERROR(LOOKUP(2,1/(单次交易!$A$2:$A$201=A698),单次交易!$E$2:$E$201)*LOOKUP(2,1/(单次交易!$A$2:$A$201=A698),单次交易!$H$2:$H$201),0)+SUMIFS($H$2:$H$1001,$A$2:$A$1001,A698,$B$2:$B$1001,"&lt;"&amp;B698))</f>
        <v/>
      </c>
      <c r="K698" s="16" t="str">
        <f t="shared" si="91"/>
        <v/>
      </c>
      <c r="L698" s="17" t="str">
        <f t="shared" si="92"/>
        <v/>
      </c>
      <c r="M698" s="17" t="str">
        <f t="shared" si="93"/>
        <v/>
      </c>
      <c r="N698" s="17" t="str">
        <f t="shared" si="94"/>
        <v/>
      </c>
      <c r="O698" s="17" t="str">
        <f t="shared" si="95"/>
        <v/>
      </c>
      <c r="P698" s="16" t="str">
        <f t="shared" si="96"/>
        <v/>
      </c>
      <c r="Q698" s="16" t="str">
        <f t="shared" si="97"/>
        <v/>
      </c>
      <c r="R698" s="18" t="str">
        <f t="shared" si="98"/>
        <v/>
      </c>
    </row>
    <row r="699" spans="1:18">
      <c r="A699" s="12"/>
      <c r="B699" s="13"/>
      <c r="C699" s="14"/>
      <c r="D699" s="15"/>
      <c r="E699" s="15"/>
      <c r="F699" s="15"/>
      <c r="G699" s="13"/>
      <c r="H699" s="16" t="str">
        <f t="shared" si="90"/>
        <v/>
      </c>
      <c r="I699" s="17" t="str">
        <f>IF(OR(A699="",B699=""),"",IFERROR(LOOKUP(2,1/(单次交易!$A$2:$A$201=A699),单次交易!$H$2:$H$201),0)+SUMIFS($G$2:$G$1001,$A$2:$A$1001,A699,$B$2:$B$1001,"&lt;"&amp;B699))</f>
        <v/>
      </c>
      <c r="J699" s="16" t="str">
        <f>IF(OR(A699="",B699=""),"",IFERROR(LOOKUP(2,1/(单次交易!$A$2:$A$201=A699),单次交易!$E$2:$E$201)*LOOKUP(2,1/(单次交易!$A$2:$A$201=A699),单次交易!$H$2:$H$201),0)+SUMIFS($H$2:$H$1001,$A$2:$A$1001,A699,$B$2:$B$1001,"&lt;"&amp;B699))</f>
        <v/>
      </c>
      <c r="K699" s="16" t="str">
        <f t="shared" si="91"/>
        <v/>
      </c>
      <c r="L699" s="17" t="str">
        <f t="shared" si="92"/>
        <v/>
      </c>
      <c r="M699" s="17" t="str">
        <f t="shared" si="93"/>
        <v/>
      </c>
      <c r="N699" s="17" t="str">
        <f t="shared" si="94"/>
        <v/>
      </c>
      <c r="O699" s="17" t="str">
        <f t="shared" si="95"/>
        <v/>
      </c>
      <c r="P699" s="16" t="str">
        <f t="shared" si="96"/>
        <v/>
      </c>
      <c r="Q699" s="16" t="str">
        <f t="shared" si="97"/>
        <v/>
      </c>
      <c r="R699" s="18" t="str">
        <f t="shared" si="98"/>
        <v/>
      </c>
    </row>
    <row r="700" spans="1:18">
      <c r="A700" s="12"/>
      <c r="B700" s="13"/>
      <c r="C700" s="14"/>
      <c r="D700" s="15"/>
      <c r="E700" s="15"/>
      <c r="F700" s="15"/>
      <c r="G700" s="13"/>
      <c r="H700" s="16" t="str">
        <f t="shared" si="90"/>
        <v/>
      </c>
      <c r="I700" s="17" t="str">
        <f>IF(OR(A700="",B700=""),"",IFERROR(LOOKUP(2,1/(单次交易!$A$2:$A$201=A700),单次交易!$H$2:$H$201),0)+SUMIFS($G$2:$G$1001,$A$2:$A$1001,A700,$B$2:$B$1001,"&lt;"&amp;B700))</f>
        <v/>
      </c>
      <c r="J700" s="16" t="str">
        <f>IF(OR(A700="",B700=""),"",IFERROR(LOOKUP(2,1/(单次交易!$A$2:$A$201=A700),单次交易!$E$2:$E$201)*LOOKUP(2,1/(单次交易!$A$2:$A$201=A700),单次交易!$H$2:$H$201),0)+SUMIFS($H$2:$H$1001,$A$2:$A$1001,A700,$B$2:$B$1001,"&lt;"&amp;B700))</f>
        <v/>
      </c>
      <c r="K700" s="16" t="str">
        <f t="shared" si="91"/>
        <v/>
      </c>
      <c r="L700" s="17" t="str">
        <f t="shared" si="92"/>
        <v/>
      </c>
      <c r="M700" s="17" t="str">
        <f t="shared" si="93"/>
        <v/>
      </c>
      <c r="N700" s="17" t="str">
        <f t="shared" si="94"/>
        <v/>
      </c>
      <c r="O700" s="17" t="str">
        <f t="shared" si="95"/>
        <v/>
      </c>
      <c r="P700" s="16" t="str">
        <f t="shared" si="96"/>
        <v/>
      </c>
      <c r="Q700" s="16" t="str">
        <f t="shared" si="97"/>
        <v/>
      </c>
      <c r="R700" s="18" t="str">
        <f t="shared" si="98"/>
        <v/>
      </c>
    </row>
    <row r="701" spans="1:18">
      <c r="A701" s="12"/>
      <c r="B701" s="13"/>
      <c r="C701" s="14"/>
      <c r="D701" s="15"/>
      <c r="E701" s="15"/>
      <c r="F701" s="15"/>
      <c r="G701" s="13"/>
      <c r="H701" s="16" t="str">
        <f t="shared" si="90"/>
        <v/>
      </c>
      <c r="I701" s="17" t="str">
        <f>IF(OR(A701="",B701=""),"",IFERROR(LOOKUP(2,1/(单次交易!$A$2:$A$201=A701),单次交易!$H$2:$H$201),0)+SUMIFS($G$2:$G$1001,$A$2:$A$1001,A701,$B$2:$B$1001,"&lt;"&amp;B701))</f>
        <v/>
      </c>
      <c r="J701" s="16" t="str">
        <f>IF(OR(A701="",B701=""),"",IFERROR(LOOKUP(2,1/(单次交易!$A$2:$A$201=A701),单次交易!$E$2:$E$201)*LOOKUP(2,1/(单次交易!$A$2:$A$201=A701),单次交易!$H$2:$H$201),0)+SUMIFS($H$2:$H$1001,$A$2:$A$1001,A701,$B$2:$B$1001,"&lt;"&amp;B701))</f>
        <v/>
      </c>
      <c r="K701" s="16" t="str">
        <f t="shared" si="91"/>
        <v/>
      </c>
      <c r="L701" s="17" t="str">
        <f t="shared" si="92"/>
        <v/>
      </c>
      <c r="M701" s="17" t="str">
        <f t="shared" si="93"/>
        <v/>
      </c>
      <c r="N701" s="17" t="str">
        <f t="shared" si="94"/>
        <v/>
      </c>
      <c r="O701" s="17" t="str">
        <f t="shared" si="95"/>
        <v/>
      </c>
      <c r="P701" s="16" t="str">
        <f t="shared" si="96"/>
        <v/>
      </c>
      <c r="Q701" s="16" t="str">
        <f t="shared" si="97"/>
        <v/>
      </c>
      <c r="R701" s="18" t="str">
        <f t="shared" si="98"/>
        <v/>
      </c>
    </row>
    <row r="702" spans="1:18">
      <c r="A702" s="12"/>
      <c r="B702" s="13"/>
      <c r="C702" s="14"/>
      <c r="D702" s="15"/>
      <c r="E702" s="15"/>
      <c r="F702" s="15"/>
      <c r="G702" s="13"/>
      <c r="H702" s="16" t="str">
        <f t="shared" si="90"/>
        <v/>
      </c>
      <c r="I702" s="17" t="str">
        <f>IF(OR(A702="",B702=""),"",IFERROR(LOOKUP(2,1/(单次交易!$A$2:$A$201=A702),单次交易!$H$2:$H$201),0)+SUMIFS($G$2:$G$1001,$A$2:$A$1001,A702,$B$2:$B$1001,"&lt;"&amp;B702))</f>
        <v/>
      </c>
      <c r="J702" s="16" t="str">
        <f>IF(OR(A702="",B702=""),"",IFERROR(LOOKUP(2,1/(单次交易!$A$2:$A$201=A702),单次交易!$E$2:$E$201)*LOOKUP(2,1/(单次交易!$A$2:$A$201=A702),单次交易!$H$2:$H$201),0)+SUMIFS($H$2:$H$1001,$A$2:$A$1001,A702,$B$2:$B$1001,"&lt;"&amp;B702))</f>
        <v/>
      </c>
      <c r="K702" s="16" t="str">
        <f t="shared" si="91"/>
        <v/>
      </c>
      <c r="L702" s="17" t="str">
        <f t="shared" si="92"/>
        <v/>
      </c>
      <c r="M702" s="17" t="str">
        <f t="shared" si="93"/>
        <v/>
      </c>
      <c r="N702" s="17" t="str">
        <f t="shared" si="94"/>
        <v/>
      </c>
      <c r="O702" s="17" t="str">
        <f t="shared" si="95"/>
        <v/>
      </c>
      <c r="P702" s="16" t="str">
        <f t="shared" si="96"/>
        <v/>
      </c>
      <c r="Q702" s="16" t="str">
        <f t="shared" si="97"/>
        <v/>
      </c>
      <c r="R702" s="18" t="str">
        <f t="shared" si="98"/>
        <v/>
      </c>
    </row>
    <row r="703" spans="1:18">
      <c r="A703" s="12"/>
      <c r="B703" s="13"/>
      <c r="C703" s="14"/>
      <c r="D703" s="15"/>
      <c r="E703" s="15"/>
      <c r="F703" s="15"/>
      <c r="G703" s="13"/>
      <c r="H703" s="16" t="str">
        <f t="shared" si="90"/>
        <v/>
      </c>
      <c r="I703" s="17" t="str">
        <f>IF(OR(A703="",B703=""),"",IFERROR(LOOKUP(2,1/(单次交易!$A$2:$A$201=A703),单次交易!$H$2:$H$201),0)+SUMIFS($G$2:$G$1001,$A$2:$A$1001,A703,$B$2:$B$1001,"&lt;"&amp;B703))</f>
        <v/>
      </c>
      <c r="J703" s="16" t="str">
        <f>IF(OR(A703="",B703=""),"",IFERROR(LOOKUP(2,1/(单次交易!$A$2:$A$201=A703),单次交易!$E$2:$E$201)*LOOKUP(2,1/(单次交易!$A$2:$A$201=A703),单次交易!$H$2:$H$201),0)+SUMIFS($H$2:$H$1001,$A$2:$A$1001,A703,$B$2:$B$1001,"&lt;"&amp;B703))</f>
        <v/>
      </c>
      <c r="K703" s="16" t="str">
        <f t="shared" si="91"/>
        <v/>
      </c>
      <c r="L703" s="17" t="str">
        <f t="shared" si="92"/>
        <v/>
      </c>
      <c r="M703" s="17" t="str">
        <f t="shared" si="93"/>
        <v/>
      </c>
      <c r="N703" s="17" t="str">
        <f t="shared" si="94"/>
        <v/>
      </c>
      <c r="O703" s="17" t="str">
        <f t="shared" si="95"/>
        <v/>
      </c>
      <c r="P703" s="16" t="str">
        <f t="shared" si="96"/>
        <v/>
      </c>
      <c r="Q703" s="16" t="str">
        <f t="shared" si="97"/>
        <v/>
      </c>
      <c r="R703" s="18" t="str">
        <f t="shared" si="98"/>
        <v/>
      </c>
    </row>
    <row r="704" spans="1:18">
      <c r="A704" s="12"/>
      <c r="B704" s="13"/>
      <c r="C704" s="14"/>
      <c r="D704" s="15"/>
      <c r="E704" s="15"/>
      <c r="F704" s="15"/>
      <c r="G704" s="13"/>
      <c r="H704" s="16" t="str">
        <f t="shared" si="90"/>
        <v/>
      </c>
      <c r="I704" s="17" t="str">
        <f>IF(OR(A704="",B704=""),"",IFERROR(LOOKUP(2,1/(单次交易!$A$2:$A$201=A704),单次交易!$H$2:$H$201),0)+SUMIFS($G$2:$G$1001,$A$2:$A$1001,A704,$B$2:$B$1001,"&lt;"&amp;B704))</f>
        <v/>
      </c>
      <c r="J704" s="16" t="str">
        <f>IF(OR(A704="",B704=""),"",IFERROR(LOOKUP(2,1/(单次交易!$A$2:$A$201=A704),单次交易!$E$2:$E$201)*LOOKUP(2,1/(单次交易!$A$2:$A$201=A704),单次交易!$H$2:$H$201),0)+SUMIFS($H$2:$H$1001,$A$2:$A$1001,A704,$B$2:$B$1001,"&lt;"&amp;B704))</f>
        <v/>
      </c>
      <c r="K704" s="16" t="str">
        <f t="shared" si="91"/>
        <v/>
      </c>
      <c r="L704" s="17" t="str">
        <f t="shared" si="92"/>
        <v/>
      </c>
      <c r="M704" s="17" t="str">
        <f t="shared" si="93"/>
        <v/>
      </c>
      <c r="N704" s="17" t="str">
        <f t="shared" si="94"/>
        <v/>
      </c>
      <c r="O704" s="17" t="str">
        <f t="shared" si="95"/>
        <v/>
      </c>
      <c r="P704" s="16" t="str">
        <f t="shared" si="96"/>
        <v/>
      </c>
      <c r="Q704" s="16" t="str">
        <f t="shared" si="97"/>
        <v/>
      </c>
      <c r="R704" s="18" t="str">
        <f t="shared" si="98"/>
        <v/>
      </c>
    </row>
    <row r="705" spans="1:18">
      <c r="A705" s="12"/>
      <c r="B705" s="13"/>
      <c r="C705" s="14"/>
      <c r="D705" s="15"/>
      <c r="E705" s="15"/>
      <c r="F705" s="15"/>
      <c r="G705" s="13"/>
      <c r="H705" s="16" t="str">
        <f t="shared" si="90"/>
        <v/>
      </c>
      <c r="I705" s="17" t="str">
        <f>IF(OR(A705="",B705=""),"",IFERROR(LOOKUP(2,1/(单次交易!$A$2:$A$201=A705),单次交易!$H$2:$H$201),0)+SUMIFS($G$2:$G$1001,$A$2:$A$1001,A705,$B$2:$B$1001,"&lt;"&amp;B705))</f>
        <v/>
      </c>
      <c r="J705" s="16" t="str">
        <f>IF(OR(A705="",B705=""),"",IFERROR(LOOKUP(2,1/(单次交易!$A$2:$A$201=A705),单次交易!$E$2:$E$201)*LOOKUP(2,1/(单次交易!$A$2:$A$201=A705),单次交易!$H$2:$H$201),0)+SUMIFS($H$2:$H$1001,$A$2:$A$1001,A705,$B$2:$B$1001,"&lt;"&amp;B705))</f>
        <v/>
      </c>
      <c r="K705" s="16" t="str">
        <f t="shared" si="91"/>
        <v/>
      </c>
      <c r="L705" s="17" t="str">
        <f t="shared" si="92"/>
        <v/>
      </c>
      <c r="M705" s="17" t="str">
        <f t="shared" si="93"/>
        <v/>
      </c>
      <c r="N705" s="17" t="str">
        <f t="shared" si="94"/>
        <v/>
      </c>
      <c r="O705" s="17" t="str">
        <f t="shared" si="95"/>
        <v/>
      </c>
      <c r="P705" s="16" t="str">
        <f t="shared" si="96"/>
        <v/>
      </c>
      <c r="Q705" s="16" t="str">
        <f t="shared" si="97"/>
        <v/>
      </c>
      <c r="R705" s="18" t="str">
        <f t="shared" si="98"/>
        <v/>
      </c>
    </row>
    <row r="706" spans="1:18">
      <c r="A706" s="12"/>
      <c r="B706" s="13"/>
      <c r="C706" s="14"/>
      <c r="D706" s="15"/>
      <c r="E706" s="15"/>
      <c r="F706" s="15"/>
      <c r="G706" s="13"/>
      <c r="H706" s="16" t="str">
        <f t="shared" ref="H706:H769" si="99">IF(OR(A706="",D706="",G706=""),"",D706*G706)</f>
        <v/>
      </c>
      <c r="I706" s="17" t="str">
        <f>IF(OR(A706="",B706=""),"",IFERROR(LOOKUP(2,1/(单次交易!$A$2:$A$201=A706),单次交易!$H$2:$H$201),0)+SUMIFS($G$2:$G$1001,$A$2:$A$1001,A706,$B$2:$B$1001,"&lt;"&amp;B706))</f>
        <v/>
      </c>
      <c r="J706" s="16" t="str">
        <f>IF(OR(A706="",B706=""),"",IFERROR(LOOKUP(2,1/(单次交易!$A$2:$A$201=A706),单次交易!$E$2:$E$201)*LOOKUP(2,1/(单次交易!$A$2:$A$201=A706),单次交易!$H$2:$H$201),0)+SUMIFS($H$2:$H$1001,$A$2:$A$1001,A706,$B$2:$B$1001,"&lt;"&amp;B706))</f>
        <v/>
      </c>
      <c r="K706" s="16" t="str">
        <f t="shared" ref="K706:K769" si="100">IF(OR(E706="",I706="",J706=""),"",MAX(E706*I706-J706,0))</f>
        <v/>
      </c>
      <c r="L706" s="17" t="str">
        <f t="shared" ref="L706:L769" si="101">IF(OR(D706="",E706="",F706="",D706&lt;=E706),"",FLOOR((F706+K706)/(D706-E706),100))</f>
        <v/>
      </c>
      <c r="M706" s="17" t="str">
        <f t="shared" ref="M706:M769" si="102">IF(OR(A706="",B706="",L706=""),"",IF(B706=1,L706,IFERROR(SUMIFS($G$2:$G$1001,$A$2:$A$1001,A706,$B$2:$B$1001,B706-1),0)))</f>
        <v/>
      </c>
      <c r="N706" s="17" t="str">
        <f t="shared" ref="N706:N769" si="103">IF(OR(L706="",M706=""),"",MIN(L706,M706))</f>
        <v/>
      </c>
      <c r="O706" s="17" t="str">
        <f t="shared" ref="O706:O769" si="104">IF(OR(I706="",G706=""),"",I706+G706)</f>
        <v/>
      </c>
      <c r="P706" s="16" t="str">
        <f t="shared" ref="P706:P769" si="105">IF(OR(O706="",O706=0),"",(J706+H706)/O706)</f>
        <v/>
      </c>
      <c r="Q706" s="16" t="str">
        <f t="shared" ref="Q706:Q769" si="106">IF(OR(O706="",E706=""),"",MAX(J706+H706-E706*O706,0))</f>
        <v/>
      </c>
      <c r="R706" s="18" t="str">
        <f t="shared" ref="R706:R769" si="107">IF(A706="","",IF(COUNTIF(_TradeIds,A706)=0,"违规：交易编号不存在",IF(OR(B706="",B706&lt;1,B706&gt;5,B706&lt;&gt;INT(B706)),"违规：加仓序号须为1到5的整数",IF(COUNTIFS($A$2:$A$1001,A706,$B$2:$B$1001,B706)&gt;1,"违规：同一交易的加仓序号重复",IF(OR(D706="",E706="",F706=""),"计划不完整：请填写加仓价、新止损价和风险预算",IF(OR(D706&lt;=0,E706&lt;=0,F706&lt;=0,D706&lt;=E706),"违规：加仓价必须高于新止损价，金额须大于0",IF(AND(B706&gt;1,COUNTIFS($A$2:$A$1001,A706,$B$2:$B$1001,B706-1,$G$2:$G$1001,"&gt;0")=0),"违规：须先完成上一次加仓",IF(AND(B706&gt;1,E706&lt;SUMIFS($E$2:$E$1001,$A$2:$A$1001,A706,$B$2:$B$1001,B706-1)),"违规：新止损价不得低于上一次",IF(AND(B706&gt;1,F706&gt;SUMIFS($F$2:$F$1001,$A$2:$A$1001,A706,$B$2:$B$1001,B706-1)),"违规：风险预算须逐次不增加",IF(OR(_LockStatus="已锁仓",_LockStatus="解锁信息不完整"),"违规：锁仓期间禁止加仓",IF(G706="","计划可执行：建议股数见N列",IF(OR(G706&lt;=0,G706&lt;&gt;INT(G706),MOD(G706,100)&lt;&gt;0),"违规：实际股数须为100股整数倍",IF(G706&gt;N706,"违规：实际股数超过风险或金字塔上限",IF(AND(B706&gt;1,G706&gt;SUMIFS($G$2:$G$1001,$A$2:$A$1001,A706,$B$2:$B$1001,B706-1)),"违规：加仓股数须逐次不增加",IF(Q706&gt;F706,"违规：止损风险超过本次预算","通过")))))))))))))))</f>
        <v/>
      </c>
    </row>
    <row r="707" spans="1:18">
      <c r="A707" s="12"/>
      <c r="B707" s="13"/>
      <c r="C707" s="14"/>
      <c r="D707" s="15"/>
      <c r="E707" s="15"/>
      <c r="F707" s="15"/>
      <c r="G707" s="13"/>
      <c r="H707" s="16" t="str">
        <f t="shared" si="99"/>
        <v/>
      </c>
      <c r="I707" s="17" t="str">
        <f>IF(OR(A707="",B707=""),"",IFERROR(LOOKUP(2,1/(单次交易!$A$2:$A$201=A707),单次交易!$H$2:$H$201),0)+SUMIFS($G$2:$G$1001,$A$2:$A$1001,A707,$B$2:$B$1001,"&lt;"&amp;B707))</f>
        <v/>
      </c>
      <c r="J707" s="16" t="str">
        <f>IF(OR(A707="",B707=""),"",IFERROR(LOOKUP(2,1/(单次交易!$A$2:$A$201=A707),单次交易!$E$2:$E$201)*LOOKUP(2,1/(单次交易!$A$2:$A$201=A707),单次交易!$H$2:$H$201),0)+SUMIFS($H$2:$H$1001,$A$2:$A$1001,A707,$B$2:$B$1001,"&lt;"&amp;B707))</f>
        <v/>
      </c>
      <c r="K707" s="16" t="str">
        <f t="shared" si="100"/>
        <v/>
      </c>
      <c r="L707" s="17" t="str">
        <f t="shared" si="101"/>
        <v/>
      </c>
      <c r="M707" s="17" t="str">
        <f t="shared" si="102"/>
        <v/>
      </c>
      <c r="N707" s="17" t="str">
        <f t="shared" si="103"/>
        <v/>
      </c>
      <c r="O707" s="17" t="str">
        <f t="shared" si="104"/>
        <v/>
      </c>
      <c r="P707" s="16" t="str">
        <f t="shared" si="105"/>
        <v/>
      </c>
      <c r="Q707" s="16" t="str">
        <f t="shared" si="106"/>
        <v/>
      </c>
      <c r="R707" s="18" t="str">
        <f t="shared" si="107"/>
        <v/>
      </c>
    </row>
    <row r="708" spans="1:18">
      <c r="A708" s="12"/>
      <c r="B708" s="13"/>
      <c r="C708" s="14"/>
      <c r="D708" s="15"/>
      <c r="E708" s="15"/>
      <c r="F708" s="15"/>
      <c r="G708" s="13"/>
      <c r="H708" s="16" t="str">
        <f t="shared" si="99"/>
        <v/>
      </c>
      <c r="I708" s="17" t="str">
        <f>IF(OR(A708="",B708=""),"",IFERROR(LOOKUP(2,1/(单次交易!$A$2:$A$201=A708),单次交易!$H$2:$H$201),0)+SUMIFS($G$2:$G$1001,$A$2:$A$1001,A708,$B$2:$B$1001,"&lt;"&amp;B708))</f>
        <v/>
      </c>
      <c r="J708" s="16" t="str">
        <f>IF(OR(A708="",B708=""),"",IFERROR(LOOKUP(2,1/(单次交易!$A$2:$A$201=A708),单次交易!$E$2:$E$201)*LOOKUP(2,1/(单次交易!$A$2:$A$201=A708),单次交易!$H$2:$H$201),0)+SUMIFS($H$2:$H$1001,$A$2:$A$1001,A708,$B$2:$B$1001,"&lt;"&amp;B708))</f>
        <v/>
      </c>
      <c r="K708" s="16" t="str">
        <f t="shared" si="100"/>
        <v/>
      </c>
      <c r="L708" s="17" t="str">
        <f t="shared" si="101"/>
        <v/>
      </c>
      <c r="M708" s="17" t="str">
        <f t="shared" si="102"/>
        <v/>
      </c>
      <c r="N708" s="17" t="str">
        <f t="shared" si="103"/>
        <v/>
      </c>
      <c r="O708" s="17" t="str">
        <f t="shared" si="104"/>
        <v/>
      </c>
      <c r="P708" s="16" t="str">
        <f t="shared" si="105"/>
        <v/>
      </c>
      <c r="Q708" s="16" t="str">
        <f t="shared" si="106"/>
        <v/>
      </c>
      <c r="R708" s="18" t="str">
        <f t="shared" si="107"/>
        <v/>
      </c>
    </row>
    <row r="709" spans="1:18">
      <c r="A709" s="12"/>
      <c r="B709" s="13"/>
      <c r="C709" s="14"/>
      <c r="D709" s="15"/>
      <c r="E709" s="15"/>
      <c r="F709" s="15"/>
      <c r="G709" s="13"/>
      <c r="H709" s="16" t="str">
        <f t="shared" si="99"/>
        <v/>
      </c>
      <c r="I709" s="17" t="str">
        <f>IF(OR(A709="",B709=""),"",IFERROR(LOOKUP(2,1/(单次交易!$A$2:$A$201=A709),单次交易!$H$2:$H$201),0)+SUMIFS($G$2:$G$1001,$A$2:$A$1001,A709,$B$2:$B$1001,"&lt;"&amp;B709))</f>
        <v/>
      </c>
      <c r="J709" s="16" t="str">
        <f>IF(OR(A709="",B709=""),"",IFERROR(LOOKUP(2,1/(单次交易!$A$2:$A$201=A709),单次交易!$E$2:$E$201)*LOOKUP(2,1/(单次交易!$A$2:$A$201=A709),单次交易!$H$2:$H$201),0)+SUMIFS($H$2:$H$1001,$A$2:$A$1001,A709,$B$2:$B$1001,"&lt;"&amp;B709))</f>
        <v/>
      </c>
      <c r="K709" s="16" t="str">
        <f t="shared" si="100"/>
        <v/>
      </c>
      <c r="L709" s="17" t="str">
        <f t="shared" si="101"/>
        <v/>
      </c>
      <c r="M709" s="17" t="str">
        <f t="shared" si="102"/>
        <v/>
      </c>
      <c r="N709" s="17" t="str">
        <f t="shared" si="103"/>
        <v/>
      </c>
      <c r="O709" s="17" t="str">
        <f t="shared" si="104"/>
        <v/>
      </c>
      <c r="P709" s="16" t="str">
        <f t="shared" si="105"/>
        <v/>
      </c>
      <c r="Q709" s="16" t="str">
        <f t="shared" si="106"/>
        <v/>
      </c>
      <c r="R709" s="18" t="str">
        <f t="shared" si="107"/>
        <v/>
      </c>
    </row>
    <row r="710" spans="1:18">
      <c r="A710" s="12"/>
      <c r="B710" s="13"/>
      <c r="C710" s="14"/>
      <c r="D710" s="15"/>
      <c r="E710" s="15"/>
      <c r="F710" s="15"/>
      <c r="G710" s="13"/>
      <c r="H710" s="16" t="str">
        <f t="shared" si="99"/>
        <v/>
      </c>
      <c r="I710" s="17" t="str">
        <f>IF(OR(A710="",B710=""),"",IFERROR(LOOKUP(2,1/(单次交易!$A$2:$A$201=A710),单次交易!$H$2:$H$201),0)+SUMIFS($G$2:$G$1001,$A$2:$A$1001,A710,$B$2:$B$1001,"&lt;"&amp;B710))</f>
        <v/>
      </c>
      <c r="J710" s="16" t="str">
        <f>IF(OR(A710="",B710=""),"",IFERROR(LOOKUP(2,1/(单次交易!$A$2:$A$201=A710),单次交易!$E$2:$E$201)*LOOKUP(2,1/(单次交易!$A$2:$A$201=A710),单次交易!$H$2:$H$201),0)+SUMIFS($H$2:$H$1001,$A$2:$A$1001,A710,$B$2:$B$1001,"&lt;"&amp;B710))</f>
        <v/>
      </c>
      <c r="K710" s="16" t="str">
        <f t="shared" si="100"/>
        <v/>
      </c>
      <c r="L710" s="17" t="str">
        <f t="shared" si="101"/>
        <v/>
      </c>
      <c r="M710" s="17" t="str">
        <f t="shared" si="102"/>
        <v/>
      </c>
      <c r="N710" s="17" t="str">
        <f t="shared" si="103"/>
        <v/>
      </c>
      <c r="O710" s="17" t="str">
        <f t="shared" si="104"/>
        <v/>
      </c>
      <c r="P710" s="16" t="str">
        <f t="shared" si="105"/>
        <v/>
      </c>
      <c r="Q710" s="16" t="str">
        <f t="shared" si="106"/>
        <v/>
      </c>
      <c r="R710" s="18" t="str">
        <f t="shared" si="107"/>
        <v/>
      </c>
    </row>
    <row r="711" spans="1:18">
      <c r="A711" s="12"/>
      <c r="B711" s="13"/>
      <c r="C711" s="14"/>
      <c r="D711" s="15"/>
      <c r="E711" s="15"/>
      <c r="F711" s="15"/>
      <c r="G711" s="13"/>
      <c r="H711" s="16" t="str">
        <f t="shared" si="99"/>
        <v/>
      </c>
      <c r="I711" s="17" t="str">
        <f>IF(OR(A711="",B711=""),"",IFERROR(LOOKUP(2,1/(单次交易!$A$2:$A$201=A711),单次交易!$H$2:$H$201),0)+SUMIFS($G$2:$G$1001,$A$2:$A$1001,A711,$B$2:$B$1001,"&lt;"&amp;B711))</f>
        <v/>
      </c>
      <c r="J711" s="16" t="str">
        <f>IF(OR(A711="",B711=""),"",IFERROR(LOOKUP(2,1/(单次交易!$A$2:$A$201=A711),单次交易!$E$2:$E$201)*LOOKUP(2,1/(单次交易!$A$2:$A$201=A711),单次交易!$H$2:$H$201),0)+SUMIFS($H$2:$H$1001,$A$2:$A$1001,A711,$B$2:$B$1001,"&lt;"&amp;B711))</f>
        <v/>
      </c>
      <c r="K711" s="16" t="str">
        <f t="shared" si="100"/>
        <v/>
      </c>
      <c r="L711" s="17" t="str">
        <f t="shared" si="101"/>
        <v/>
      </c>
      <c r="M711" s="17" t="str">
        <f t="shared" si="102"/>
        <v/>
      </c>
      <c r="N711" s="17" t="str">
        <f t="shared" si="103"/>
        <v/>
      </c>
      <c r="O711" s="17" t="str">
        <f t="shared" si="104"/>
        <v/>
      </c>
      <c r="P711" s="16" t="str">
        <f t="shared" si="105"/>
        <v/>
      </c>
      <c r="Q711" s="16" t="str">
        <f t="shared" si="106"/>
        <v/>
      </c>
      <c r="R711" s="18" t="str">
        <f t="shared" si="107"/>
        <v/>
      </c>
    </row>
    <row r="712" spans="1:18">
      <c r="A712" s="12"/>
      <c r="B712" s="13"/>
      <c r="C712" s="14"/>
      <c r="D712" s="15"/>
      <c r="E712" s="15"/>
      <c r="F712" s="15"/>
      <c r="G712" s="13"/>
      <c r="H712" s="16" t="str">
        <f t="shared" si="99"/>
        <v/>
      </c>
      <c r="I712" s="17" t="str">
        <f>IF(OR(A712="",B712=""),"",IFERROR(LOOKUP(2,1/(单次交易!$A$2:$A$201=A712),单次交易!$H$2:$H$201),0)+SUMIFS($G$2:$G$1001,$A$2:$A$1001,A712,$B$2:$B$1001,"&lt;"&amp;B712))</f>
        <v/>
      </c>
      <c r="J712" s="16" t="str">
        <f>IF(OR(A712="",B712=""),"",IFERROR(LOOKUP(2,1/(单次交易!$A$2:$A$201=A712),单次交易!$E$2:$E$201)*LOOKUP(2,1/(单次交易!$A$2:$A$201=A712),单次交易!$H$2:$H$201),0)+SUMIFS($H$2:$H$1001,$A$2:$A$1001,A712,$B$2:$B$1001,"&lt;"&amp;B712))</f>
        <v/>
      </c>
      <c r="K712" s="16" t="str">
        <f t="shared" si="100"/>
        <v/>
      </c>
      <c r="L712" s="17" t="str">
        <f t="shared" si="101"/>
        <v/>
      </c>
      <c r="M712" s="17" t="str">
        <f t="shared" si="102"/>
        <v/>
      </c>
      <c r="N712" s="17" t="str">
        <f t="shared" si="103"/>
        <v/>
      </c>
      <c r="O712" s="17" t="str">
        <f t="shared" si="104"/>
        <v/>
      </c>
      <c r="P712" s="16" t="str">
        <f t="shared" si="105"/>
        <v/>
      </c>
      <c r="Q712" s="16" t="str">
        <f t="shared" si="106"/>
        <v/>
      </c>
      <c r="R712" s="18" t="str">
        <f t="shared" si="107"/>
        <v/>
      </c>
    </row>
    <row r="713" spans="1:18">
      <c r="A713" s="12"/>
      <c r="B713" s="13"/>
      <c r="C713" s="14"/>
      <c r="D713" s="15"/>
      <c r="E713" s="15"/>
      <c r="F713" s="15"/>
      <c r="G713" s="13"/>
      <c r="H713" s="16" t="str">
        <f t="shared" si="99"/>
        <v/>
      </c>
      <c r="I713" s="17" t="str">
        <f>IF(OR(A713="",B713=""),"",IFERROR(LOOKUP(2,1/(单次交易!$A$2:$A$201=A713),单次交易!$H$2:$H$201),0)+SUMIFS($G$2:$G$1001,$A$2:$A$1001,A713,$B$2:$B$1001,"&lt;"&amp;B713))</f>
        <v/>
      </c>
      <c r="J713" s="16" t="str">
        <f>IF(OR(A713="",B713=""),"",IFERROR(LOOKUP(2,1/(单次交易!$A$2:$A$201=A713),单次交易!$E$2:$E$201)*LOOKUP(2,1/(单次交易!$A$2:$A$201=A713),单次交易!$H$2:$H$201),0)+SUMIFS($H$2:$H$1001,$A$2:$A$1001,A713,$B$2:$B$1001,"&lt;"&amp;B713))</f>
        <v/>
      </c>
      <c r="K713" s="16" t="str">
        <f t="shared" si="100"/>
        <v/>
      </c>
      <c r="L713" s="17" t="str">
        <f t="shared" si="101"/>
        <v/>
      </c>
      <c r="M713" s="17" t="str">
        <f t="shared" si="102"/>
        <v/>
      </c>
      <c r="N713" s="17" t="str">
        <f t="shared" si="103"/>
        <v/>
      </c>
      <c r="O713" s="17" t="str">
        <f t="shared" si="104"/>
        <v/>
      </c>
      <c r="P713" s="16" t="str">
        <f t="shared" si="105"/>
        <v/>
      </c>
      <c r="Q713" s="16" t="str">
        <f t="shared" si="106"/>
        <v/>
      </c>
      <c r="R713" s="18" t="str">
        <f t="shared" si="107"/>
        <v/>
      </c>
    </row>
    <row r="714" spans="1:18">
      <c r="A714" s="12"/>
      <c r="B714" s="13"/>
      <c r="C714" s="14"/>
      <c r="D714" s="15"/>
      <c r="E714" s="15"/>
      <c r="F714" s="15"/>
      <c r="G714" s="13"/>
      <c r="H714" s="16" t="str">
        <f t="shared" si="99"/>
        <v/>
      </c>
      <c r="I714" s="17" t="str">
        <f>IF(OR(A714="",B714=""),"",IFERROR(LOOKUP(2,1/(单次交易!$A$2:$A$201=A714),单次交易!$H$2:$H$201),0)+SUMIFS($G$2:$G$1001,$A$2:$A$1001,A714,$B$2:$B$1001,"&lt;"&amp;B714))</f>
        <v/>
      </c>
      <c r="J714" s="16" t="str">
        <f>IF(OR(A714="",B714=""),"",IFERROR(LOOKUP(2,1/(单次交易!$A$2:$A$201=A714),单次交易!$E$2:$E$201)*LOOKUP(2,1/(单次交易!$A$2:$A$201=A714),单次交易!$H$2:$H$201),0)+SUMIFS($H$2:$H$1001,$A$2:$A$1001,A714,$B$2:$B$1001,"&lt;"&amp;B714))</f>
        <v/>
      </c>
      <c r="K714" s="16" t="str">
        <f t="shared" si="100"/>
        <v/>
      </c>
      <c r="L714" s="17" t="str">
        <f t="shared" si="101"/>
        <v/>
      </c>
      <c r="M714" s="17" t="str">
        <f t="shared" si="102"/>
        <v/>
      </c>
      <c r="N714" s="17" t="str">
        <f t="shared" si="103"/>
        <v/>
      </c>
      <c r="O714" s="17" t="str">
        <f t="shared" si="104"/>
        <v/>
      </c>
      <c r="P714" s="16" t="str">
        <f t="shared" si="105"/>
        <v/>
      </c>
      <c r="Q714" s="16" t="str">
        <f t="shared" si="106"/>
        <v/>
      </c>
      <c r="R714" s="18" t="str">
        <f t="shared" si="107"/>
        <v/>
      </c>
    </row>
    <row r="715" spans="1:18">
      <c r="A715" s="12"/>
      <c r="B715" s="13"/>
      <c r="C715" s="14"/>
      <c r="D715" s="15"/>
      <c r="E715" s="15"/>
      <c r="F715" s="15"/>
      <c r="G715" s="13"/>
      <c r="H715" s="16" t="str">
        <f t="shared" si="99"/>
        <v/>
      </c>
      <c r="I715" s="17" t="str">
        <f>IF(OR(A715="",B715=""),"",IFERROR(LOOKUP(2,1/(单次交易!$A$2:$A$201=A715),单次交易!$H$2:$H$201),0)+SUMIFS($G$2:$G$1001,$A$2:$A$1001,A715,$B$2:$B$1001,"&lt;"&amp;B715))</f>
        <v/>
      </c>
      <c r="J715" s="16" t="str">
        <f>IF(OR(A715="",B715=""),"",IFERROR(LOOKUP(2,1/(单次交易!$A$2:$A$201=A715),单次交易!$E$2:$E$201)*LOOKUP(2,1/(单次交易!$A$2:$A$201=A715),单次交易!$H$2:$H$201),0)+SUMIFS($H$2:$H$1001,$A$2:$A$1001,A715,$B$2:$B$1001,"&lt;"&amp;B715))</f>
        <v/>
      </c>
      <c r="K715" s="16" t="str">
        <f t="shared" si="100"/>
        <v/>
      </c>
      <c r="L715" s="17" t="str">
        <f t="shared" si="101"/>
        <v/>
      </c>
      <c r="M715" s="17" t="str">
        <f t="shared" si="102"/>
        <v/>
      </c>
      <c r="N715" s="17" t="str">
        <f t="shared" si="103"/>
        <v/>
      </c>
      <c r="O715" s="17" t="str">
        <f t="shared" si="104"/>
        <v/>
      </c>
      <c r="P715" s="16" t="str">
        <f t="shared" si="105"/>
        <v/>
      </c>
      <c r="Q715" s="16" t="str">
        <f t="shared" si="106"/>
        <v/>
      </c>
      <c r="R715" s="18" t="str">
        <f t="shared" si="107"/>
        <v/>
      </c>
    </row>
    <row r="716" spans="1:18">
      <c r="A716" s="12"/>
      <c r="B716" s="13"/>
      <c r="C716" s="14"/>
      <c r="D716" s="15"/>
      <c r="E716" s="15"/>
      <c r="F716" s="15"/>
      <c r="G716" s="13"/>
      <c r="H716" s="16" t="str">
        <f t="shared" si="99"/>
        <v/>
      </c>
      <c r="I716" s="17" t="str">
        <f>IF(OR(A716="",B716=""),"",IFERROR(LOOKUP(2,1/(单次交易!$A$2:$A$201=A716),单次交易!$H$2:$H$201),0)+SUMIFS($G$2:$G$1001,$A$2:$A$1001,A716,$B$2:$B$1001,"&lt;"&amp;B716))</f>
        <v/>
      </c>
      <c r="J716" s="16" t="str">
        <f>IF(OR(A716="",B716=""),"",IFERROR(LOOKUP(2,1/(单次交易!$A$2:$A$201=A716),单次交易!$E$2:$E$201)*LOOKUP(2,1/(单次交易!$A$2:$A$201=A716),单次交易!$H$2:$H$201),0)+SUMIFS($H$2:$H$1001,$A$2:$A$1001,A716,$B$2:$B$1001,"&lt;"&amp;B716))</f>
        <v/>
      </c>
      <c r="K716" s="16" t="str">
        <f t="shared" si="100"/>
        <v/>
      </c>
      <c r="L716" s="17" t="str">
        <f t="shared" si="101"/>
        <v/>
      </c>
      <c r="M716" s="17" t="str">
        <f t="shared" si="102"/>
        <v/>
      </c>
      <c r="N716" s="17" t="str">
        <f t="shared" si="103"/>
        <v/>
      </c>
      <c r="O716" s="17" t="str">
        <f t="shared" si="104"/>
        <v/>
      </c>
      <c r="P716" s="16" t="str">
        <f t="shared" si="105"/>
        <v/>
      </c>
      <c r="Q716" s="16" t="str">
        <f t="shared" si="106"/>
        <v/>
      </c>
      <c r="R716" s="18" t="str">
        <f t="shared" si="107"/>
        <v/>
      </c>
    </row>
    <row r="717" spans="1:18">
      <c r="A717" s="12"/>
      <c r="B717" s="13"/>
      <c r="C717" s="14"/>
      <c r="D717" s="15"/>
      <c r="E717" s="15"/>
      <c r="F717" s="15"/>
      <c r="G717" s="13"/>
      <c r="H717" s="16" t="str">
        <f t="shared" si="99"/>
        <v/>
      </c>
      <c r="I717" s="17" t="str">
        <f>IF(OR(A717="",B717=""),"",IFERROR(LOOKUP(2,1/(单次交易!$A$2:$A$201=A717),单次交易!$H$2:$H$201),0)+SUMIFS($G$2:$G$1001,$A$2:$A$1001,A717,$B$2:$B$1001,"&lt;"&amp;B717))</f>
        <v/>
      </c>
      <c r="J717" s="16" t="str">
        <f>IF(OR(A717="",B717=""),"",IFERROR(LOOKUP(2,1/(单次交易!$A$2:$A$201=A717),单次交易!$E$2:$E$201)*LOOKUP(2,1/(单次交易!$A$2:$A$201=A717),单次交易!$H$2:$H$201),0)+SUMIFS($H$2:$H$1001,$A$2:$A$1001,A717,$B$2:$B$1001,"&lt;"&amp;B717))</f>
        <v/>
      </c>
      <c r="K717" s="16" t="str">
        <f t="shared" si="100"/>
        <v/>
      </c>
      <c r="L717" s="17" t="str">
        <f t="shared" si="101"/>
        <v/>
      </c>
      <c r="M717" s="17" t="str">
        <f t="shared" si="102"/>
        <v/>
      </c>
      <c r="N717" s="17" t="str">
        <f t="shared" si="103"/>
        <v/>
      </c>
      <c r="O717" s="17" t="str">
        <f t="shared" si="104"/>
        <v/>
      </c>
      <c r="P717" s="16" t="str">
        <f t="shared" si="105"/>
        <v/>
      </c>
      <c r="Q717" s="16" t="str">
        <f t="shared" si="106"/>
        <v/>
      </c>
      <c r="R717" s="18" t="str">
        <f t="shared" si="107"/>
        <v/>
      </c>
    </row>
    <row r="718" spans="1:18">
      <c r="A718" s="12"/>
      <c r="B718" s="13"/>
      <c r="C718" s="14"/>
      <c r="D718" s="15"/>
      <c r="E718" s="15"/>
      <c r="F718" s="15"/>
      <c r="G718" s="13"/>
      <c r="H718" s="16" t="str">
        <f t="shared" si="99"/>
        <v/>
      </c>
      <c r="I718" s="17" t="str">
        <f>IF(OR(A718="",B718=""),"",IFERROR(LOOKUP(2,1/(单次交易!$A$2:$A$201=A718),单次交易!$H$2:$H$201),0)+SUMIFS($G$2:$G$1001,$A$2:$A$1001,A718,$B$2:$B$1001,"&lt;"&amp;B718))</f>
        <v/>
      </c>
      <c r="J718" s="16" t="str">
        <f>IF(OR(A718="",B718=""),"",IFERROR(LOOKUP(2,1/(单次交易!$A$2:$A$201=A718),单次交易!$E$2:$E$201)*LOOKUP(2,1/(单次交易!$A$2:$A$201=A718),单次交易!$H$2:$H$201),0)+SUMIFS($H$2:$H$1001,$A$2:$A$1001,A718,$B$2:$B$1001,"&lt;"&amp;B718))</f>
        <v/>
      </c>
      <c r="K718" s="16" t="str">
        <f t="shared" si="100"/>
        <v/>
      </c>
      <c r="L718" s="17" t="str">
        <f t="shared" si="101"/>
        <v/>
      </c>
      <c r="M718" s="17" t="str">
        <f t="shared" si="102"/>
        <v/>
      </c>
      <c r="N718" s="17" t="str">
        <f t="shared" si="103"/>
        <v/>
      </c>
      <c r="O718" s="17" t="str">
        <f t="shared" si="104"/>
        <v/>
      </c>
      <c r="P718" s="16" t="str">
        <f t="shared" si="105"/>
        <v/>
      </c>
      <c r="Q718" s="16" t="str">
        <f t="shared" si="106"/>
        <v/>
      </c>
      <c r="R718" s="18" t="str">
        <f t="shared" si="107"/>
        <v/>
      </c>
    </row>
    <row r="719" spans="1:18">
      <c r="A719" s="12"/>
      <c r="B719" s="13"/>
      <c r="C719" s="14"/>
      <c r="D719" s="15"/>
      <c r="E719" s="15"/>
      <c r="F719" s="15"/>
      <c r="G719" s="13"/>
      <c r="H719" s="16" t="str">
        <f t="shared" si="99"/>
        <v/>
      </c>
      <c r="I719" s="17" t="str">
        <f>IF(OR(A719="",B719=""),"",IFERROR(LOOKUP(2,1/(单次交易!$A$2:$A$201=A719),单次交易!$H$2:$H$201),0)+SUMIFS($G$2:$G$1001,$A$2:$A$1001,A719,$B$2:$B$1001,"&lt;"&amp;B719))</f>
        <v/>
      </c>
      <c r="J719" s="16" t="str">
        <f>IF(OR(A719="",B719=""),"",IFERROR(LOOKUP(2,1/(单次交易!$A$2:$A$201=A719),单次交易!$E$2:$E$201)*LOOKUP(2,1/(单次交易!$A$2:$A$201=A719),单次交易!$H$2:$H$201),0)+SUMIFS($H$2:$H$1001,$A$2:$A$1001,A719,$B$2:$B$1001,"&lt;"&amp;B719))</f>
        <v/>
      </c>
      <c r="K719" s="16" t="str">
        <f t="shared" si="100"/>
        <v/>
      </c>
      <c r="L719" s="17" t="str">
        <f t="shared" si="101"/>
        <v/>
      </c>
      <c r="M719" s="17" t="str">
        <f t="shared" si="102"/>
        <v/>
      </c>
      <c r="N719" s="17" t="str">
        <f t="shared" si="103"/>
        <v/>
      </c>
      <c r="O719" s="17" t="str">
        <f t="shared" si="104"/>
        <v/>
      </c>
      <c r="P719" s="16" t="str">
        <f t="shared" si="105"/>
        <v/>
      </c>
      <c r="Q719" s="16" t="str">
        <f t="shared" si="106"/>
        <v/>
      </c>
      <c r="R719" s="18" t="str">
        <f t="shared" si="107"/>
        <v/>
      </c>
    </row>
    <row r="720" spans="1:18">
      <c r="A720" s="12"/>
      <c r="B720" s="13"/>
      <c r="C720" s="14"/>
      <c r="D720" s="15"/>
      <c r="E720" s="15"/>
      <c r="F720" s="15"/>
      <c r="G720" s="13"/>
      <c r="H720" s="16" t="str">
        <f t="shared" si="99"/>
        <v/>
      </c>
      <c r="I720" s="17" t="str">
        <f>IF(OR(A720="",B720=""),"",IFERROR(LOOKUP(2,1/(单次交易!$A$2:$A$201=A720),单次交易!$H$2:$H$201),0)+SUMIFS($G$2:$G$1001,$A$2:$A$1001,A720,$B$2:$B$1001,"&lt;"&amp;B720))</f>
        <v/>
      </c>
      <c r="J720" s="16" t="str">
        <f>IF(OR(A720="",B720=""),"",IFERROR(LOOKUP(2,1/(单次交易!$A$2:$A$201=A720),单次交易!$E$2:$E$201)*LOOKUP(2,1/(单次交易!$A$2:$A$201=A720),单次交易!$H$2:$H$201),0)+SUMIFS($H$2:$H$1001,$A$2:$A$1001,A720,$B$2:$B$1001,"&lt;"&amp;B720))</f>
        <v/>
      </c>
      <c r="K720" s="16" t="str">
        <f t="shared" si="100"/>
        <v/>
      </c>
      <c r="L720" s="17" t="str">
        <f t="shared" si="101"/>
        <v/>
      </c>
      <c r="M720" s="17" t="str">
        <f t="shared" si="102"/>
        <v/>
      </c>
      <c r="N720" s="17" t="str">
        <f t="shared" si="103"/>
        <v/>
      </c>
      <c r="O720" s="17" t="str">
        <f t="shared" si="104"/>
        <v/>
      </c>
      <c r="P720" s="16" t="str">
        <f t="shared" si="105"/>
        <v/>
      </c>
      <c r="Q720" s="16" t="str">
        <f t="shared" si="106"/>
        <v/>
      </c>
      <c r="R720" s="18" t="str">
        <f t="shared" si="107"/>
        <v/>
      </c>
    </row>
    <row r="721" spans="1:18">
      <c r="A721" s="12"/>
      <c r="B721" s="13"/>
      <c r="C721" s="14"/>
      <c r="D721" s="15"/>
      <c r="E721" s="15"/>
      <c r="F721" s="15"/>
      <c r="G721" s="13"/>
      <c r="H721" s="16" t="str">
        <f t="shared" si="99"/>
        <v/>
      </c>
      <c r="I721" s="17" t="str">
        <f>IF(OR(A721="",B721=""),"",IFERROR(LOOKUP(2,1/(单次交易!$A$2:$A$201=A721),单次交易!$H$2:$H$201),0)+SUMIFS($G$2:$G$1001,$A$2:$A$1001,A721,$B$2:$B$1001,"&lt;"&amp;B721))</f>
        <v/>
      </c>
      <c r="J721" s="16" t="str">
        <f>IF(OR(A721="",B721=""),"",IFERROR(LOOKUP(2,1/(单次交易!$A$2:$A$201=A721),单次交易!$E$2:$E$201)*LOOKUP(2,1/(单次交易!$A$2:$A$201=A721),单次交易!$H$2:$H$201),0)+SUMIFS($H$2:$H$1001,$A$2:$A$1001,A721,$B$2:$B$1001,"&lt;"&amp;B721))</f>
        <v/>
      </c>
      <c r="K721" s="16" t="str">
        <f t="shared" si="100"/>
        <v/>
      </c>
      <c r="L721" s="17" t="str">
        <f t="shared" si="101"/>
        <v/>
      </c>
      <c r="M721" s="17" t="str">
        <f t="shared" si="102"/>
        <v/>
      </c>
      <c r="N721" s="17" t="str">
        <f t="shared" si="103"/>
        <v/>
      </c>
      <c r="O721" s="17" t="str">
        <f t="shared" si="104"/>
        <v/>
      </c>
      <c r="P721" s="16" t="str">
        <f t="shared" si="105"/>
        <v/>
      </c>
      <c r="Q721" s="16" t="str">
        <f t="shared" si="106"/>
        <v/>
      </c>
      <c r="R721" s="18" t="str">
        <f t="shared" si="107"/>
        <v/>
      </c>
    </row>
    <row r="722" spans="1:18">
      <c r="A722" s="12"/>
      <c r="B722" s="13"/>
      <c r="C722" s="14"/>
      <c r="D722" s="15"/>
      <c r="E722" s="15"/>
      <c r="F722" s="15"/>
      <c r="G722" s="13"/>
      <c r="H722" s="16" t="str">
        <f t="shared" si="99"/>
        <v/>
      </c>
      <c r="I722" s="17" t="str">
        <f>IF(OR(A722="",B722=""),"",IFERROR(LOOKUP(2,1/(单次交易!$A$2:$A$201=A722),单次交易!$H$2:$H$201),0)+SUMIFS($G$2:$G$1001,$A$2:$A$1001,A722,$B$2:$B$1001,"&lt;"&amp;B722))</f>
        <v/>
      </c>
      <c r="J722" s="16" t="str">
        <f>IF(OR(A722="",B722=""),"",IFERROR(LOOKUP(2,1/(单次交易!$A$2:$A$201=A722),单次交易!$E$2:$E$201)*LOOKUP(2,1/(单次交易!$A$2:$A$201=A722),单次交易!$H$2:$H$201),0)+SUMIFS($H$2:$H$1001,$A$2:$A$1001,A722,$B$2:$B$1001,"&lt;"&amp;B722))</f>
        <v/>
      </c>
      <c r="K722" s="16" t="str">
        <f t="shared" si="100"/>
        <v/>
      </c>
      <c r="L722" s="17" t="str">
        <f t="shared" si="101"/>
        <v/>
      </c>
      <c r="M722" s="17" t="str">
        <f t="shared" si="102"/>
        <v/>
      </c>
      <c r="N722" s="17" t="str">
        <f t="shared" si="103"/>
        <v/>
      </c>
      <c r="O722" s="17" t="str">
        <f t="shared" si="104"/>
        <v/>
      </c>
      <c r="P722" s="16" t="str">
        <f t="shared" si="105"/>
        <v/>
      </c>
      <c r="Q722" s="16" t="str">
        <f t="shared" si="106"/>
        <v/>
      </c>
      <c r="R722" s="18" t="str">
        <f t="shared" si="107"/>
        <v/>
      </c>
    </row>
    <row r="723" spans="1:18">
      <c r="A723" s="12"/>
      <c r="B723" s="13"/>
      <c r="C723" s="14"/>
      <c r="D723" s="15"/>
      <c r="E723" s="15"/>
      <c r="F723" s="15"/>
      <c r="G723" s="13"/>
      <c r="H723" s="16" t="str">
        <f t="shared" si="99"/>
        <v/>
      </c>
      <c r="I723" s="17" t="str">
        <f>IF(OR(A723="",B723=""),"",IFERROR(LOOKUP(2,1/(单次交易!$A$2:$A$201=A723),单次交易!$H$2:$H$201),0)+SUMIFS($G$2:$G$1001,$A$2:$A$1001,A723,$B$2:$B$1001,"&lt;"&amp;B723))</f>
        <v/>
      </c>
      <c r="J723" s="16" t="str">
        <f>IF(OR(A723="",B723=""),"",IFERROR(LOOKUP(2,1/(单次交易!$A$2:$A$201=A723),单次交易!$E$2:$E$201)*LOOKUP(2,1/(单次交易!$A$2:$A$201=A723),单次交易!$H$2:$H$201),0)+SUMIFS($H$2:$H$1001,$A$2:$A$1001,A723,$B$2:$B$1001,"&lt;"&amp;B723))</f>
        <v/>
      </c>
      <c r="K723" s="16" t="str">
        <f t="shared" si="100"/>
        <v/>
      </c>
      <c r="L723" s="17" t="str">
        <f t="shared" si="101"/>
        <v/>
      </c>
      <c r="M723" s="17" t="str">
        <f t="shared" si="102"/>
        <v/>
      </c>
      <c r="N723" s="17" t="str">
        <f t="shared" si="103"/>
        <v/>
      </c>
      <c r="O723" s="17" t="str">
        <f t="shared" si="104"/>
        <v/>
      </c>
      <c r="P723" s="16" t="str">
        <f t="shared" si="105"/>
        <v/>
      </c>
      <c r="Q723" s="16" t="str">
        <f t="shared" si="106"/>
        <v/>
      </c>
      <c r="R723" s="18" t="str">
        <f t="shared" si="107"/>
        <v/>
      </c>
    </row>
    <row r="724" spans="1:18">
      <c r="A724" s="12"/>
      <c r="B724" s="13"/>
      <c r="C724" s="14"/>
      <c r="D724" s="15"/>
      <c r="E724" s="15"/>
      <c r="F724" s="15"/>
      <c r="G724" s="13"/>
      <c r="H724" s="16" t="str">
        <f t="shared" si="99"/>
        <v/>
      </c>
      <c r="I724" s="17" t="str">
        <f>IF(OR(A724="",B724=""),"",IFERROR(LOOKUP(2,1/(单次交易!$A$2:$A$201=A724),单次交易!$H$2:$H$201),0)+SUMIFS($G$2:$G$1001,$A$2:$A$1001,A724,$B$2:$B$1001,"&lt;"&amp;B724))</f>
        <v/>
      </c>
      <c r="J724" s="16" t="str">
        <f>IF(OR(A724="",B724=""),"",IFERROR(LOOKUP(2,1/(单次交易!$A$2:$A$201=A724),单次交易!$E$2:$E$201)*LOOKUP(2,1/(单次交易!$A$2:$A$201=A724),单次交易!$H$2:$H$201),0)+SUMIFS($H$2:$H$1001,$A$2:$A$1001,A724,$B$2:$B$1001,"&lt;"&amp;B724))</f>
        <v/>
      </c>
      <c r="K724" s="16" t="str">
        <f t="shared" si="100"/>
        <v/>
      </c>
      <c r="L724" s="17" t="str">
        <f t="shared" si="101"/>
        <v/>
      </c>
      <c r="M724" s="17" t="str">
        <f t="shared" si="102"/>
        <v/>
      </c>
      <c r="N724" s="17" t="str">
        <f t="shared" si="103"/>
        <v/>
      </c>
      <c r="O724" s="17" t="str">
        <f t="shared" si="104"/>
        <v/>
      </c>
      <c r="P724" s="16" t="str">
        <f t="shared" si="105"/>
        <v/>
      </c>
      <c r="Q724" s="16" t="str">
        <f t="shared" si="106"/>
        <v/>
      </c>
      <c r="R724" s="18" t="str">
        <f t="shared" si="107"/>
        <v/>
      </c>
    </row>
    <row r="725" spans="1:18">
      <c r="A725" s="12"/>
      <c r="B725" s="13"/>
      <c r="C725" s="14"/>
      <c r="D725" s="15"/>
      <c r="E725" s="15"/>
      <c r="F725" s="15"/>
      <c r="G725" s="13"/>
      <c r="H725" s="16" t="str">
        <f t="shared" si="99"/>
        <v/>
      </c>
      <c r="I725" s="17" t="str">
        <f>IF(OR(A725="",B725=""),"",IFERROR(LOOKUP(2,1/(单次交易!$A$2:$A$201=A725),单次交易!$H$2:$H$201),0)+SUMIFS($G$2:$G$1001,$A$2:$A$1001,A725,$B$2:$B$1001,"&lt;"&amp;B725))</f>
        <v/>
      </c>
      <c r="J725" s="16" t="str">
        <f>IF(OR(A725="",B725=""),"",IFERROR(LOOKUP(2,1/(单次交易!$A$2:$A$201=A725),单次交易!$E$2:$E$201)*LOOKUP(2,1/(单次交易!$A$2:$A$201=A725),单次交易!$H$2:$H$201),0)+SUMIFS($H$2:$H$1001,$A$2:$A$1001,A725,$B$2:$B$1001,"&lt;"&amp;B725))</f>
        <v/>
      </c>
      <c r="K725" s="16" t="str">
        <f t="shared" si="100"/>
        <v/>
      </c>
      <c r="L725" s="17" t="str">
        <f t="shared" si="101"/>
        <v/>
      </c>
      <c r="M725" s="17" t="str">
        <f t="shared" si="102"/>
        <v/>
      </c>
      <c r="N725" s="17" t="str">
        <f t="shared" si="103"/>
        <v/>
      </c>
      <c r="O725" s="17" t="str">
        <f t="shared" si="104"/>
        <v/>
      </c>
      <c r="P725" s="16" t="str">
        <f t="shared" si="105"/>
        <v/>
      </c>
      <c r="Q725" s="16" t="str">
        <f t="shared" si="106"/>
        <v/>
      </c>
      <c r="R725" s="18" t="str">
        <f t="shared" si="107"/>
        <v/>
      </c>
    </row>
    <row r="726" spans="1:18">
      <c r="A726" s="12"/>
      <c r="B726" s="13"/>
      <c r="C726" s="14"/>
      <c r="D726" s="15"/>
      <c r="E726" s="15"/>
      <c r="F726" s="15"/>
      <c r="G726" s="13"/>
      <c r="H726" s="16" t="str">
        <f t="shared" si="99"/>
        <v/>
      </c>
      <c r="I726" s="17" t="str">
        <f>IF(OR(A726="",B726=""),"",IFERROR(LOOKUP(2,1/(单次交易!$A$2:$A$201=A726),单次交易!$H$2:$H$201),0)+SUMIFS($G$2:$G$1001,$A$2:$A$1001,A726,$B$2:$B$1001,"&lt;"&amp;B726))</f>
        <v/>
      </c>
      <c r="J726" s="16" t="str">
        <f>IF(OR(A726="",B726=""),"",IFERROR(LOOKUP(2,1/(单次交易!$A$2:$A$201=A726),单次交易!$E$2:$E$201)*LOOKUP(2,1/(单次交易!$A$2:$A$201=A726),单次交易!$H$2:$H$201),0)+SUMIFS($H$2:$H$1001,$A$2:$A$1001,A726,$B$2:$B$1001,"&lt;"&amp;B726))</f>
        <v/>
      </c>
      <c r="K726" s="16" t="str">
        <f t="shared" si="100"/>
        <v/>
      </c>
      <c r="L726" s="17" t="str">
        <f t="shared" si="101"/>
        <v/>
      </c>
      <c r="M726" s="17" t="str">
        <f t="shared" si="102"/>
        <v/>
      </c>
      <c r="N726" s="17" t="str">
        <f t="shared" si="103"/>
        <v/>
      </c>
      <c r="O726" s="17" t="str">
        <f t="shared" si="104"/>
        <v/>
      </c>
      <c r="P726" s="16" t="str">
        <f t="shared" si="105"/>
        <v/>
      </c>
      <c r="Q726" s="16" t="str">
        <f t="shared" si="106"/>
        <v/>
      </c>
      <c r="R726" s="18" t="str">
        <f t="shared" si="107"/>
        <v/>
      </c>
    </row>
    <row r="727" spans="1:18">
      <c r="A727" s="12"/>
      <c r="B727" s="13"/>
      <c r="C727" s="14"/>
      <c r="D727" s="15"/>
      <c r="E727" s="15"/>
      <c r="F727" s="15"/>
      <c r="G727" s="13"/>
      <c r="H727" s="16" t="str">
        <f t="shared" si="99"/>
        <v/>
      </c>
      <c r="I727" s="17" t="str">
        <f>IF(OR(A727="",B727=""),"",IFERROR(LOOKUP(2,1/(单次交易!$A$2:$A$201=A727),单次交易!$H$2:$H$201),0)+SUMIFS($G$2:$G$1001,$A$2:$A$1001,A727,$B$2:$B$1001,"&lt;"&amp;B727))</f>
        <v/>
      </c>
      <c r="J727" s="16" t="str">
        <f>IF(OR(A727="",B727=""),"",IFERROR(LOOKUP(2,1/(单次交易!$A$2:$A$201=A727),单次交易!$E$2:$E$201)*LOOKUP(2,1/(单次交易!$A$2:$A$201=A727),单次交易!$H$2:$H$201),0)+SUMIFS($H$2:$H$1001,$A$2:$A$1001,A727,$B$2:$B$1001,"&lt;"&amp;B727))</f>
        <v/>
      </c>
      <c r="K727" s="16" t="str">
        <f t="shared" si="100"/>
        <v/>
      </c>
      <c r="L727" s="17" t="str">
        <f t="shared" si="101"/>
        <v/>
      </c>
      <c r="M727" s="17" t="str">
        <f t="shared" si="102"/>
        <v/>
      </c>
      <c r="N727" s="17" t="str">
        <f t="shared" si="103"/>
        <v/>
      </c>
      <c r="O727" s="17" t="str">
        <f t="shared" si="104"/>
        <v/>
      </c>
      <c r="P727" s="16" t="str">
        <f t="shared" si="105"/>
        <v/>
      </c>
      <c r="Q727" s="16" t="str">
        <f t="shared" si="106"/>
        <v/>
      </c>
      <c r="R727" s="18" t="str">
        <f t="shared" si="107"/>
        <v/>
      </c>
    </row>
    <row r="728" spans="1:18">
      <c r="A728" s="12"/>
      <c r="B728" s="13"/>
      <c r="C728" s="14"/>
      <c r="D728" s="15"/>
      <c r="E728" s="15"/>
      <c r="F728" s="15"/>
      <c r="G728" s="13"/>
      <c r="H728" s="16" t="str">
        <f t="shared" si="99"/>
        <v/>
      </c>
      <c r="I728" s="17" t="str">
        <f>IF(OR(A728="",B728=""),"",IFERROR(LOOKUP(2,1/(单次交易!$A$2:$A$201=A728),单次交易!$H$2:$H$201),0)+SUMIFS($G$2:$G$1001,$A$2:$A$1001,A728,$B$2:$B$1001,"&lt;"&amp;B728))</f>
        <v/>
      </c>
      <c r="J728" s="16" t="str">
        <f>IF(OR(A728="",B728=""),"",IFERROR(LOOKUP(2,1/(单次交易!$A$2:$A$201=A728),单次交易!$E$2:$E$201)*LOOKUP(2,1/(单次交易!$A$2:$A$201=A728),单次交易!$H$2:$H$201),0)+SUMIFS($H$2:$H$1001,$A$2:$A$1001,A728,$B$2:$B$1001,"&lt;"&amp;B728))</f>
        <v/>
      </c>
      <c r="K728" s="16" t="str">
        <f t="shared" si="100"/>
        <v/>
      </c>
      <c r="L728" s="17" t="str">
        <f t="shared" si="101"/>
        <v/>
      </c>
      <c r="M728" s="17" t="str">
        <f t="shared" si="102"/>
        <v/>
      </c>
      <c r="N728" s="17" t="str">
        <f t="shared" si="103"/>
        <v/>
      </c>
      <c r="O728" s="17" t="str">
        <f t="shared" si="104"/>
        <v/>
      </c>
      <c r="P728" s="16" t="str">
        <f t="shared" si="105"/>
        <v/>
      </c>
      <c r="Q728" s="16" t="str">
        <f t="shared" si="106"/>
        <v/>
      </c>
      <c r="R728" s="18" t="str">
        <f t="shared" si="107"/>
        <v/>
      </c>
    </row>
    <row r="729" spans="1:18">
      <c r="A729" s="12"/>
      <c r="B729" s="13"/>
      <c r="C729" s="14"/>
      <c r="D729" s="15"/>
      <c r="E729" s="15"/>
      <c r="F729" s="15"/>
      <c r="G729" s="13"/>
      <c r="H729" s="16" t="str">
        <f t="shared" si="99"/>
        <v/>
      </c>
      <c r="I729" s="17" t="str">
        <f>IF(OR(A729="",B729=""),"",IFERROR(LOOKUP(2,1/(单次交易!$A$2:$A$201=A729),单次交易!$H$2:$H$201),0)+SUMIFS($G$2:$G$1001,$A$2:$A$1001,A729,$B$2:$B$1001,"&lt;"&amp;B729))</f>
        <v/>
      </c>
      <c r="J729" s="16" t="str">
        <f>IF(OR(A729="",B729=""),"",IFERROR(LOOKUP(2,1/(单次交易!$A$2:$A$201=A729),单次交易!$E$2:$E$201)*LOOKUP(2,1/(单次交易!$A$2:$A$201=A729),单次交易!$H$2:$H$201),0)+SUMIFS($H$2:$H$1001,$A$2:$A$1001,A729,$B$2:$B$1001,"&lt;"&amp;B729))</f>
        <v/>
      </c>
      <c r="K729" s="16" t="str">
        <f t="shared" si="100"/>
        <v/>
      </c>
      <c r="L729" s="17" t="str">
        <f t="shared" si="101"/>
        <v/>
      </c>
      <c r="M729" s="17" t="str">
        <f t="shared" si="102"/>
        <v/>
      </c>
      <c r="N729" s="17" t="str">
        <f t="shared" si="103"/>
        <v/>
      </c>
      <c r="O729" s="17" t="str">
        <f t="shared" si="104"/>
        <v/>
      </c>
      <c r="P729" s="16" t="str">
        <f t="shared" si="105"/>
        <v/>
      </c>
      <c r="Q729" s="16" t="str">
        <f t="shared" si="106"/>
        <v/>
      </c>
      <c r="R729" s="18" t="str">
        <f t="shared" si="107"/>
        <v/>
      </c>
    </row>
    <row r="730" spans="1:18">
      <c r="A730" s="12"/>
      <c r="B730" s="13"/>
      <c r="C730" s="14"/>
      <c r="D730" s="15"/>
      <c r="E730" s="15"/>
      <c r="F730" s="15"/>
      <c r="G730" s="13"/>
      <c r="H730" s="16" t="str">
        <f t="shared" si="99"/>
        <v/>
      </c>
      <c r="I730" s="17" t="str">
        <f>IF(OR(A730="",B730=""),"",IFERROR(LOOKUP(2,1/(单次交易!$A$2:$A$201=A730),单次交易!$H$2:$H$201),0)+SUMIFS($G$2:$G$1001,$A$2:$A$1001,A730,$B$2:$B$1001,"&lt;"&amp;B730))</f>
        <v/>
      </c>
      <c r="J730" s="16" t="str">
        <f>IF(OR(A730="",B730=""),"",IFERROR(LOOKUP(2,1/(单次交易!$A$2:$A$201=A730),单次交易!$E$2:$E$201)*LOOKUP(2,1/(单次交易!$A$2:$A$201=A730),单次交易!$H$2:$H$201),0)+SUMIFS($H$2:$H$1001,$A$2:$A$1001,A730,$B$2:$B$1001,"&lt;"&amp;B730))</f>
        <v/>
      </c>
      <c r="K730" s="16" t="str">
        <f t="shared" si="100"/>
        <v/>
      </c>
      <c r="L730" s="17" t="str">
        <f t="shared" si="101"/>
        <v/>
      </c>
      <c r="M730" s="17" t="str">
        <f t="shared" si="102"/>
        <v/>
      </c>
      <c r="N730" s="17" t="str">
        <f t="shared" si="103"/>
        <v/>
      </c>
      <c r="O730" s="17" t="str">
        <f t="shared" si="104"/>
        <v/>
      </c>
      <c r="P730" s="16" t="str">
        <f t="shared" si="105"/>
        <v/>
      </c>
      <c r="Q730" s="16" t="str">
        <f t="shared" si="106"/>
        <v/>
      </c>
      <c r="R730" s="18" t="str">
        <f t="shared" si="107"/>
        <v/>
      </c>
    </row>
    <row r="731" spans="1:18">
      <c r="A731" s="12"/>
      <c r="B731" s="13"/>
      <c r="C731" s="14"/>
      <c r="D731" s="15"/>
      <c r="E731" s="15"/>
      <c r="F731" s="15"/>
      <c r="G731" s="13"/>
      <c r="H731" s="16" t="str">
        <f t="shared" si="99"/>
        <v/>
      </c>
      <c r="I731" s="17" t="str">
        <f>IF(OR(A731="",B731=""),"",IFERROR(LOOKUP(2,1/(单次交易!$A$2:$A$201=A731),单次交易!$H$2:$H$201),0)+SUMIFS($G$2:$G$1001,$A$2:$A$1001,A731,$B$2:$B$1001,"&lt;"&amp;B731))</f>
        <v/>
      </c>
      <c r="J731" s="16" t="str">
        <f>IF(OR(A731="",B731=""),"",IFERROR(LOOKUP(2,1/(单次交易!$A$2:$A$201=A731),单次交易!$E$2:$E$201)*LOOKUP(2,1/(单次交易!$A$2:$A$201=A731),单次交易!$H$2:$H$201),0)+SUMIFS($H$2:$H$1001,$A$2:$A$1001,A731,$B$2:$B$1001,"&lt;"&amp;B731))</f>
        <v/>
      </c>
      <c r="K731" s="16" t="str">
        <f t="shared" si="100"/>
        <v/>
      </c>
      <c r="L731" s="17" t="str">
        <f t="shared" si="101"/>
        <v/>
      </c>
      <c r="M731" s="17" t="str">
        <f t="shared" si="102"/>
        <v/>
      </c>
      <c r="N731" s="17" t="str">
        <f t="shared" si="103"/>
        <v/>
      </c>
      <c r="O731" s="17" t="str">
        <f t="shared" si="104"/>
        <v/>
      </c>
      <c r="P731" s="16" t="str">
        <f t="shared" si="105"/>
        <v/>
      </c>
      <c r="Q731" s="16" t="str">
        <f t="shared" si="106"/>
        <v/>
      </c>
      <c r="R731" s="18" t="str">
        <f t="shared" si="107"/>
        <v/>
      </c>
    </row>
    <row r="732" spans="1:18">
      <c r="A732" s="12"/>
      <c r="B732" s="13"/>
      <c r="C732" s="14"/>
      <c r="D732" s="15"/>
      <c r="E732" s="15"/>
      <c r="F732" s="15"/>
      <c r="G732" s="13"/>
      <c r="H732" s="16" t="str">
        <f t="shared" si="99"/>
        <v/>
      </c>
      <c r="I732" s="17" t="str">
        <f>IF(OR(A732="",B732=""),"",IFERROR(LOOKUP(2,1/(单次交易!$A$2:$A$201=A732),单次交易!$H$2:$H$201),0)+SUMIFS($G$2:$G$1001,$A$2:$A$1001,A732,$B$2:$B$1001,"&lt;"&amp;B732))</f>
        <v/>
      </c>
      <c r="J732" s="16" t="str">
        <f>IF(OR(A732="",B732=""),"",IFERROR(LOOKUP(2,1/(单次交易!$A$2:$A$201=A732),单次交易!$E$2:$E$201)*LOOKUP(2,1/(单次交易!$A$2:$A$201=A732),单次交易!$H$2:$H$201),0)+SUMIFS($H$2:$H$1001,$A$2:$A$1001,A732,$B$2:$B$1001,"&lt;"&amp;B732))</f>
        <v/>
      </c>
      <c r="K732" s="16" t="str">
        <f t="shared" si="100"/>
        <v/>
      </c>
      <c r="L732" s="17" t="str">
        <f t="shared" si="101"/>
        <v/>
      </c>
      <c r="M732" s="17" t="str">
        <f t="shared" si="102"/>
        <v/>
      </c>
      <c r="N732" s="17" t="str">
        <f t="shared" si="103"/>
        <v/>
      </c>
      <c r="O732" s="17" t="str">
        <f t="shared" si="104"/>
        <v/>
      </c>
      <c r="P732" s="16" t="str">
        <f t="shared" si="105"/>
        <v/>
      </c>
      <c r="Q732" s="16" t="str">
        <f t="shared" si="106"/>
        <v/>
      </c>
      <c r="R732" s="18" t="str">
        <f t="shared" si="107"/>
        <v/>
      </c>
    </row>
    <row r="733" spans="1:18">
      <c r="A733" s="12"/>
      <c r="B733" s="13"/>
      <c r="C733" s="14"/>
      <c r="D733" s="15"/>
      <c r="E733" s="15"/>
      <c r="F733" s="15"/>
      <c r="G733" s="13"/>
      <c r="H733" s="16" t="str">
        <f t="shared" si="99"/>
        <v/>
      </c>
      <c r="I733" s="17" t="str">
        <f>IF(OR(A733="",B733=""),"",IFERROR(LOOKUP(2,1/(单次交易!$A$2:$A$201=A733),单次交易!$H$2:$H$201),0)+SUMIFS($G$2:$G$1001,$A$2:$A$1001,A733,$B$2:$B$1001,"&lt;"&amp;B733))</f>
        <v/>
      </c>
      <c r="J733" s="16" t="str">
        <f>IF(OR(A733="",B733=""),"",IFERROR(LOOKUP(2,1/(单次交易!$A$2:$A$201=A733),单次交易!$E$2:$E$201)*LOOKUP(2,1/(单次交易!$A$2:$A$201=A733),单次交易!$H$2:$H$201),0)+SUMIFS($H$2:$H$1001,$A$2:$A$1001,A733,$B$2:$B$1001,"&lt;"&amp;B733))</f>
        <v/>
      </c>
      <c r="K733" s="16" t="str">
        <f t="shared" si="100"/>
        <v/>
      </c>
      <c r="L733" s="17" t="str">
        <f t="shared" si="101"/>
        <v/>
      </c>
      <c r="M733" s="17" t="str">
        <f t="shared" si="102"/>
        <v/>
      </c>
      <c r="N733" s="17" t="str">
        <f t="shared" si="103"/>
        <v/>
      </c>
      <c r="O733" s="17" t="str">
        <f t="shared" si="104"/>
        <v/>
      </c>
      <c r="P733" s="16" t="str">
        <f t="shared" si="105"/>
        <v/>
      </c>
      <c r="Q733" s="16" t="str">
        <f t="shared" si="106"/>
        <v/>
      </c>
      <c r="R733" s="18" t="str">
        <f t="shared" si="107"/>
        <v/>
      </c>
    </row>
    <row r="734" spans="1:18">
      <c r="A734" s="12"/>
      <c r="B734" s="13"/>
      <c r="C734" s="14"/>
      <c r="D734" s="15"/>
      <c r="E734" s="15"/>
      <c r="F734" s="15"/>
      <c r="G734" s="13"/>
      <c r="H734" s="16" t="str">
        <f t="shared" si="99"/>
        <v/>
      </c>
      <c r="I734" s="17" t="str">
        <f>IF(OR(A734="",B734=""),"",IFERROR(LOOKUP(2,1/(单次交易!$A$2:$A$201=A734),单次交易!$H$2:$H$201),0)+SUMIFS($G$2:$G$1001,$A$2:$A$1001,A734,$B$2:$B$1001,"&lt;"&amp;B734))</f>
        <v/>
      </c>
      <c r="J734" s="16" t="str">
        <f>IF(OR(A734="",B734=""),"",IFERROR(LOOKUP(2,1/(单次交易!$A$2:$A$201=A734),单次交易!$E$2:$E$201)*LOOKUP(2,1/(单次交易!$A$2:$A$201=A734),单次交易!$H$2:$H$201),0)+SUMIFS($H$2:$H$1001,$A$2:$A$1001,A734,$B$2:$B$1001,"&lt;"&amp;B734))</f>
        <v/>
      </c>
      <c r="K734" s="16" t="str">
        <f t="shared" si="100"/>
        <v/>
      </c>
      <c r="L734" s="17" t="str">
        <f t="shared" si="101"/>
        <v/>
      </c>
      <c r="M734" s="17" t="str">
        <f t="shared" si="102"/>
        <v/>
      </c>
      <c r="N734" s="17" t="str">
        <f t="shared" si="103"/>
        <v/>
      </c>
      <c r="O734" s="17" t="str">
        <f t="shared" si="104"/>
        <v/>
      </c>
      <c r="P734" s="16" t="str">
        <f t="shared" si="105"/>
        <v/>
      </c>
      <c r="Q734" s="16" t="str">
        <f t="shared" si="106"/>
        <v/>
      </c>
      <c r="R734" s="18" t="str">
        <f t="shared" si="107"/>
        <v/>
      </c>
    </row>
    <row r="735" spans="1:18">
      <c r="A735" s="12"/>
      <c r="B735" s="13"/>
      <c r="C735" s="14"/>
      <c r="D735" s="15"/>
      <c r="E735" s="15"/>
      <c r="F735" s="15"/>
      <c r="G735" s="13"/>
      <c r="H735" s="16" t="str">
        <f t="shared" si="99"/>
        <v/>
      </c>
      <c r="I735" s="17" t="str">
        <f>IF(OR(A735="",B735=""),"",IFERROR(LOOKUP(2,1/(单次交易!$A$2:$A$201=A735),单次交易!$H$2:$H$201),0)+SUMIFS($G$2:$G$1001,$A$2:$A$1001,A735,$B$2:$B$1001,"&lt;"&amp;B735))</f>
        <v/>
      </c>
      <c r="J735" s="16" t="str">
        <f>IF(OR(A735="",B735=""),"",IFERROR(LOOKUP(2,1/(单次交易!$A$2:$A$201=A735),单次交易!$E$2:$E$201)*LOOKUP(2,1/(单次交易!$A$2:$A$201=A735),单次交易!$H$2:$H$201),0)+SUMIFS($H$2:$H$1001,$A$2:$A$1001,A735,$B$2:$B$1001,"&lt;"&amp;B735))</f>
        <v/>
      </c>
      <c r="K735" s="16" t="str">
        <f t="shared" si="100"/>
        <v/>
      </c>
      <c r="L735" s="17" t="str">
        <f t="shared" si="101"/>
        <v/>
      </c>
      <c r="M735" s="17" t="str">
        <f t="shared" si="102"/>
        <v/>
      </c>
      <c r="N735" s="17" t="str">
        <f t="shared" si="103"/>
        <v/>
      </c>
      <c r="O735" s="17" t="str">
        <f t="shared" si="104"/>
        <v/>
      </c>
      <c r="P735" s="16" t="str">
        <f t="shared" si="105"/>
        <v/>
      </c>
      <c r="Q735" s="16" t="str">
        <f t="shared" si="106"/>
        <v/>
      </c>
      <c r="R735" s="18" t="str">
        <f t="shared" si="107"/>
        <v/>
      </c>
    </row>
    <row r="736" spans="1:18">
      <c r="A736" s="12"/>
      <c r="B736" s="13"/>
      <c r="C736" s="14"/>
      <c r="D736" s="15"/>
      <c r="E736" s="15"/>
      <c r="F736" s="15"/>
      <c r="G736" s="13"/>
      <c r="H736" s="16" t="str">
        <f t="shared" si="99"/>
        <v/>
      </c>
      <c r="I736" s="17" t="str">
        <f>IF(OR(A736="",B736=""),"",IFERROR(LOOKUP(2,1/(单次交易!$A$2:$A$201=A736),单次交易!$H$2:$H$201),0)+SUMIFS($G$2:$G$1001,$A$2:$A$1001,A736,$B$2:$B$1001,"&lt;"&amp;B736))</f>
        <v/>
      </c>
      <c r="J736" s="16" t="str">
        <f>IF(OR(A736="",B736=""),"",IFERROR(LOOKUP(2,1/(单次交易!$A$2:$A$201=A736),单次交易!$E$2:$E$201)*LOOKUP(2,1/(单次交易!$A$2:$A$201=A736),单次交易!$H$2:$H$201),0)+SUMIFS($H$2:$H$1001,$A$2:$A$1001,A736,$B$2:$B$1001,"&lt;"&amp;B736))</f>
        <v/>
      </c>
      <c r="K736" s="16" t="str">
        <f t="shared" si="100"/>
        <v/>
      </c>
      <c r="L736" s="17" t="str">
        <f t="shared" si="101"/>
        <v/>
      </c>
      <c r="M736" s="17" t="str">
        <f t="shared" si="102"/>
        <v/>
      </c>
      <c r="N736" s="17" t="str">
        <f t="shared" si="103"/>
        <v/>
      </c>
      <c r="O736" s="17" t="str">
        <f t="shared" si="104"/>
        <v/>
      </c>
      <c r="P736" s="16" t="str">
        <f t="shared" si="105"/>
        <v/>
      </c>
      <c r="Q736" s="16" t="str">
        <f t="shared" si="106"/>
        <v/>
      </c>
      <c r="R736" s="18" t="str">
        <f t="shared" si="107"/>
        <v/>
      </c>
    </row>
    <row r="737" spans="1:18">
      <c r="A737" s="12"/>
      <c r="B737" s="13"/>
      <c r="C737" s="14"/>
      <c r="D737" s="15"/>
      <c r="E737" s="15"/>
      <c r="F737" s="15"/>
      <c r="G737" s="13"/>
      <c r="H737" s="16" t="str">
        <f t="shared" si="99"/>
        <v/>
      </c>
      <c r="I737" s="17" t="str">
        <f>IF(OR(A737="",B737=""),"",IFERROR(LOOKUP(2,1/(单次交易!$A$2:$A$201=A737),单次交易!$H$2:$H$201),0)+SUMIFS($G$2:$G$1001,$A$2:$A$1001,A737,$B$2:$B$1001,"&lt;"&amp;B737))</f>
        <v/>
      </c>
      <c r="J737" s="16" t="str">
        <f>IF(OR(A737="",B737=""),"",IFERROR(LOOKUP(2,1/(单次交易!$A$2:$A$201=A737),单次交易!$E$2:$E$201)*LOOKUP(2,1/(单次交易!$A$2:$A$201=A737),单次交易!$H$2:$H$201),0)+SUMIFS($H$2:$H$1001,$A$2:$A$1001,A737,$B$2:$B$1001,"&lt;"&amp;B737))</f>
        <v/>
      </c>
      <c r="K737" s="16" t="str">
        <f t="shared" si="100"/>
        <v/>
      </c>
      <c r="L737" s="17" t="str">
        <f t="shared" si="101"/>
        <v/>
      </c>
      <c r="M737" s="17" t="str">
        <f t="shared" si="102"/>
        <v/>
      </c>
      <c r="N737" s="17" t="str">
        <f t="shared" si="103"/>
        <v/>
      </c>
      <c r="O737" s="17" t="str">
        <f t="shared" si="104"/>
        <v/>
      </c>
      <c r="P737" s="16" t="str">
        <f t="shared" si="105"/>
        <v/>
      </c>
      <c r="Q737" s="16" t="str">
        <f t="shared" si="106"/>
        <v/>
      </c>
      <c r="R737" s="18" t="str">
        <f t="shared" si="107"/>
        <v/>
      </c>
    </row>
    <row r="738" spans="1:18">
      <c r="A738" s="12"/>
      <c r="B738" s="13"/>
      <c r="C738" s="14"/>
      <c r="D738" s="15"/>
      <c r="E738" s="15"/>
      <c r="F738" s="15"/>
      <c r="G738" s="13"/>
      <c r="H738" s="16" t="str">
        <f t="shared" si="99"/>
        <v/>
      </c>
      <c r="I738" s="17" t="str">
        <f>IF(OR(A738="",B738=""),"",IFERROR(LOOKUP(2,1/(单次交易!$A$2:$A$201=A738),单次交易!$H$2:$H$201),0)+SUMIFS($G$2:$G$1001,$A$2:$A$1001,A738,$B$2:$B$1001,"&lt;"&amp;B738))</f>
        <v/>
      </c>
      <c r="J738" s="16" t="str">
        <f>IF(OR(A738="",B738=""),"",IFERROR(LOOKUP(2,1/(单次交易!$A$2:$A$201=A738),单次交易!$E$2:$E$201)*LOOKUP(2,1/(单次交易!$A$2:$A$201=A738),单次交易!$H$2:$H$201),0)+SUMIFS($H$2:$H$1001,$A$2:$A$1001,A738,$B$2:$B$1001,"&lt;"&amp;B738))</f>
        <v/>
      </c>
      <c r="K738" s="16" t="str">
        <f t="shared" si="100"/>
        <v/>
      </c>
      <c r="L738" s="17" t="str">
        <f t="shared" si="101"/>
        <v/>
      </c>
      <c r="M738" s="17" t="str">
        <f t="shared" si="102"/>
        <v/>
      </c>
      <c r="N738" s="17" t="str">
        <f t="shared" si="103"/>
        <v/>
      </c>
      <c r="O738" s="17" t="str">
        <f t="shared" si="104"/>
        <v/>
      </c>
      <c r="P738" s="16" t="str">
        <f t="shared" si="105"/>
        <v/>
      </c>
      <c r="Q738" s="16" t="str">
        <f t="shared" si="106"/>
        <v/>
      </c>
      <c r="R738" s="18" t="str">
        <f t="shared" si="107"/>
        <v/>
      </c>
    </row>
    <row r="739" spans="1:18">
      <c r="A739" s="12"/>
      <c r="B739" s="13"/>
      <c r="C739" s="14"/>
      <c r="D739" s="15"/>
      <c r="E739" s="15"/>
      <c r="F739" s="15"/>
      <c r="G739" s="13"/>
      <c r="H739" s="16" t="str">
        <f t="shared" si="99"/>
        <v/>
      </c>
      <c r="I739" s="17" t="str">
        <f>IF(OR(A739="",B739=""),"",IFERROR(LOOKUP(2,1/(单次交易!$A$2:$A$201=A739),单次交易!$H$2:$H$201),0)+SUMIFS($G$2:$G$1001,$A$2:$A$1001,A739,$B$2:$B$1001,"&lt;"&amp;B739))</f>
        <v/>
      </c>
      <c r="J739" s="16" t="str">
        <f>IF(OR(A739="",B739=""),"",IFERROR(LOOKUP(2,1/(单次交易!$A$2:$A$201=A739),单次交易!$E$2:$E$201)*LOOKUP(2,1/(单次交易!$A$2:$A$201=A739),单次交易!$H$2:$H$201),0)+SUMIFS($H$2:$H$1001,$A$2:$A$1001,A739,$B$2:$B$1001,"&lt;"&amp;B739))</f>
        <v/>
      </c>
      <c r="K739" s="16" t="str">
        <f t="shared" si="100"/>
        <v/>
      </c>
      <c r="L739" s="17" t="str">
        <f t="shared" si="101"/>
        <v/>
      </c>
      <c r="M739" s="17" t="str">
        <f t="shared" si="102"/>
        <v/>
      </c>
      <c r="N739" s="17" t="str">
        <f t="shared" si="103"/>
        <v/>
      </c>
      <c r="O739" s="17" t="str">
        <f t="shared" si="104"/>
        <v/>
      </c>
      <c r="P739" s="16" t="str">
        <f t="shared" si="105"/>
        <v/>
      </c>
      <c r="Q739" s="16" t="str">
        <f t="shared" si="106"/>
        <v/>
      </c>
      <c r="R739" s="18" t="str">
        <f t="shared" si="107"/>
        <v/>
      </c>
    </row>
    <row r="740" spans="1:18">
      <c r="A740" s="12"/>
      <c r="B740" s="13"/>
      <c r="C740" s="14"/>
      <c r="D740" s="15"/>
      <c r="E740" s="15"/>
      <c r="F740" s="15"/>
      <c r="G740" s="13"/>
      <c r="H740" s="16" t="str">
        <f t="shared" si="99"/>
        <v/>
      </c>
      <c r="I740" s="17" t="str">
        <f>IF(OR(A740="",B740=""),"",IFERROR(LOOKUP(2,1/(单次交易!$A$2:$A$201=A740),单次交易!$H$2:$H$201),0)+SUMIFS($G$2:$G$1001,$A$2:$A$1001,A740,$B$2:$B$1001,"&lt;"&amp;B740))</f>
        <v/>
      </c>
      <c r="J740" s="16" t="str">
        <f>IF(OR(A740="",B740=""),"",IFERROR(LOOKUP(2,1/(单次交易!$A$2:$A$201=A740),单次交易!$E$2:$E$201)*LOOKUP(2,1/(单次交易!$A$2:$A$201=A740),单次交易!$H$2:$H$201),0)+SUMIFS($H$2:$H$1001,$A$2:$A$1001,A740,$B$2:$B$1001,"&lt;"&amp;B740))</f>
        <v/>
      </c>
      <c r="K740" s="16" t="str">
        <f t="shared" si="100"/>
        <v/>
      </c>
      <c r="L740" s="17" t="str">
        <f t="shared" si="101"/>
        <v/>
      </c>
      <c r="M740" s="17" t="str">
        <f t="shared" si="102"/>
        <v/>
      </c>
      <c r="N740" s="17" t="str">
        <f t="shared" si="103"/>
        <v/>
      </c>
      <c r="O740" s="17" t="str">
        <f t="shared" si="104"/>
        <v/>
      </c>
      <c r="P740" s="16" t="str">
        <f t="shared" si="105"/>
        <v/>
      </c>
      <c r="Q740" s="16" t="str">
        <f t="shared" si="106"/>
        <v/>
      </c>
      <c r="R740" s="18" t="str">
        <f t="shared" si="107"/>
        <v/>
      </c>
    </row>
    <row r="741" spans="1:18">
      <c r="A741" s="12"/>
      <c r="B741" s="13"/>
      <c r="C741" s="14"/>
      <c r="D741" s="15"/>
      <c r="E741" s="15"/>
      <c r="F741" s="15"/>
      <c r="G741" s="13"/>
      <c r="H741" s="16" t="str">
        <f t="shared" si="99"/>
        <v/>
      </c>
      <c r="I741" s="17" t="str">
        <f>IF(OR(A741="",B741=""),"",IFERROR(LOOKUP(2,1/(单次交易!$A$2:$A$201=A741),单次交易!$H$2:$H$201),0)+SUMIFS($G$2:$G$1001,$A$2:$A$1001,A741,$B$2:$B$1001,"&lt;"&amp;B741))</f>
        <v/>
      </c>
      <c r="J741" s="16" t="str">
        <f>IF(OR(A741="",B741=""),"",IFERROR(LOOKUP(2,1/(单次交易!$A$2:$A$201=A741),单次交易!$E$2:$E$201)*LOOKUP(2,1/(单次交易!$A$2:$A$201=A741),单次交易!$H$2:$H$201),0)+SUMIFS($H$2:$H$1001,$A$2:$A$1001,A741,$B$2:$B$1001,"&lt;"&amp;B741))</f>
        <v/>
      </c>
      <c r="K741" s="16" t="str">
        <f t="shared" si="100"/>
        <v/>
      </c>
      <c r="L741" s="17" t="str">
        <f t="shared" si="101"/>
        <v/>
      </c>
      <c r="M741" s="17" t="str">
        <f t="shared" si="102"/>
        <v/>
      </c>
      <c r="N741" s="17" t="str">
        <f t="shared" si="103"/>
        <v/>
      </c>
      <c r="O741" s="17" t="str">
        <f t="shared" si="104"/>
        <v/>
      </c>
      <c r="P741" s="16" t="str">
        <f t="shared" si="105"/>
        <v/>
      </c>
      <c r="Q741" s="16" t="str">
        <f t="shared" si="106"/>
        <v/>
      </c>
      <c r="R741" s="18" t="str">
        <f t="shared" si="107"/>
        <v/>
      </c>
    </row>
    <row r="742" spans="1:18">
      <c r="A742" s="12"/>
      <c r="B742" s="13"/>
      <c r="C742" s="14"/>
      <c r="D742" s="15"/>
      <c r="E742" s="15"/>
      <c r="F742" s="15"/>
      <c r="G742" s="13"/>
      <c r="H742" s="16" t="str">
        <f t="shared" si="99"/>
        <v/>
      </c>
      <c r="I742" s="17" t="str">
        <f>IF(OR(A742="",B742=""),"",IFERROR(LOOKUP(2,1/(单次交易!$A$2:$A$201=A742),单次交易!$H$2:$H$201),0)+SUMIFS($G$2:$G$1001,$A$2:$A$1001,A742,$B$2:$B$1001,"&lt;"&amp;B742))</f>
        <v/>
      </c>
      <c r="J742" s="16" t="str">
        <f>IF(OR(A742="",B742=""),"",IFERROR(LOOKUP(2,1/(单次交易!$A$2:$A$201=A742),单次交易!$E$2:$E$201)*LOOKUP(2,1/(单次交易!$A$2:$A$201=A742),单次交易!$H$2:$H$201),0)+SUMIFS($H$2:$H$1001,$A$2:$A$1001,A742,$B$2:$B$1001,"&lt;"&amp;B742))</f>
        <v/>
      </c>
      <c r="K742" s="16" t="str">
        <f t="shared" si="100"/>
        <v/>
      </c>
      <c r="L742" s="17" t="str">
        <f t="shared" si="101"/>
        <v/>
      </c>
      <c r="M742" s="17" t="str">
        <f t="shared" si="102"/>
        <v/>
      </c>
      <c r="N742" s="17" t="str">
        <f t="shared" si="103"/>
        <v/>
      </c>
      <c r="O742" s="17" t="str">
        <f t="shared" si="104"/>
        <v/>
      </c>
      <c r="P742" s="16" t="str">
        <f t="shared" si="105"/>
        <v/>
      </c>
      <c r="Q742" s="16" t="str">
        <f t="shared" si="106"/>
        <v/>
      </c>
      <c r="R742" s="18" t="str">
        <f t="shared" si="107"/>
        <v/>
      </c>
    </row>
    <row r="743" spans="1:18">
      <c r="A743" s="12"/>
      <c r="B743" s="13"/>
      <c r="C743" s="14"/>
      <c r="D743" s="15"/>
      <c r="E743" s="15"/>
      <c r="F743" s="15"/>
      <c r="G743" s="13"/>
      <c r="H743" s="16" t="str">
        <f t="shared" si="99"/>
        <v/>
      </c>
      <c r="I743" s="17" t="str">
        <f>IF(OR(A743="",B743=""),"",IFERROR(LOOKUP(2,1/(单次交易!$A$2:$A$201=A743),单次交易!$H$2:$H$201),0)+SUMIFS($G$2:$G$1001,$A$2:$A$1001,A743,$B$2:$B$1001,"&lt;"&amp;B743))</f>
        <v/>
      </c>
      <c r="J743" s="16" t="str">
        <f>IF(OR(A743="",B743=""),"",IFERROR(LOOKUP(2,1/(单次交易!$A$2:$A$201=A743),单次交易!$E$2:$E$201)*LOOKUP(2,1/(单次交易!$A$2:$A$201=A743),单次交易!$H$2:$H$201),0)+SUMIFS($H$2:$H$1001,$A$2:$A$1001,A743,$B$2:$B$1001,"&lt;"&amp;B743))</f>
        <v/>
      </c>
      <c r="K743" s="16" t="str">
        <f t="shared" si="100"/>
        <v/>
      </c>
      <c r="L743" s="17" t="str">
        <f t="shared" si="101"/>
        <v/>
      </c>
      <c r="M743" s="17" t="str">
        <f t="shared" si="102"/>
        <v/>
      </c>
      <c r="N743" s="17" t="str">
        <f t="shared" si="103"/>
        <v/>
      </c>
      <c r="O743" s="17" t="str">
        <f t="shared" si="104"/>
        <v/>
      </c>
      <c r="P743" s="16" t="str">
        <f t="shared" si="105"/>
        <v/>
      </c>
      <c r="Q743" s="16" t="str">
        <f t="shared" si="106"/>
        <v/>
      </c>
      <c r="R743" s="18" t="str">
        <f t="shared" si="107"/>
        <v/>
      </c>
    </row>
    <row r="744" spans="1:18">
      <c r="A744" s="12"/>
      <c r="B744" s="13"/>
      <c r="C744" s="14"/>
      <c r="D744" s="15"/>
      <c r="E744" s="15"/>
      <c r="F744" s="15"/>
      <c r="G744" s="13"/>
      <c r="H744" s="16" t="str">
        <f t="shared" si="99"/>
        <v/>
      </c>
      <c r="I744" s="17" t="str">
        <f>IF(OR(A744="",B744=""),"",IFERROR(LOOKUP(2,1/(单次交易!$A$2:$A$201=A744),单次交易!$H$2:$H$201),0)+SUMIFS($G$2:$G$1001,$A$2:$A$1001,A744,$B$2:$B$1001,"&lt;"&amp;B744))</f>
        <v/>
      </c>
      <c r="J744" s="16" t="str">
        <f>IF(OR(A744="",B744=""),"",IFERROR(LOOKUP(2,1/(单次交易!$A$2:$A$201=A744),单次交易!$E$2:$E$201)*LOOKUP(2,1/(单次交易!$A$2:$A$201=A744),单次交易!$H$2:$H$201),0)+SUMIFS($H$2:$H$1001,$A$2:$A$1001,A744,$B$2:$B$1001,"&lt;"&amp;B744))</f>
        <v/>
      </c>
      <c r="K744" s="16" t="str">
        <f t="shared" si="100"/>
        <v/>
      </c>
      <c r="L744" s="17" t="str">
        <f t="shared" si="101"/>
        <v/>
      </c>
      <c r="M744" s="17" t="str">
        <f t="shared" si="102"/>
        <v/>
      </c>
      <c r="N744" s="17" t="str">
        <f t="shared" si="103"/>
        <v/>
      </c>
      <c r="O744" s="17" t="str">
        <f t="shared" si="104"/>
        <v/>
      </c>
      <c r="P744" s="16" t="str">
        <f t="shared" si="105"/>
        <v/>
      </c>
      <c r="Q744" s="16" t="str">
        <f t="shared" si="106"/>
        <v/>
      </c>
      <c r="R744" s="18" t="str">
        <f t="shared" si="107"/>
        <v/>
      </c>
    </row>
    <row r="745" spans="1:18">
      <c r="A745" s="12"/>
      <c r="B745" s="13"/>
      <c r="C745" s="14"/>
      <c r="D745" s="15"/>
      <c r="E745" s="15"/>
      <c r="F745" s="15"/>
      <c r="G745" s="13"/>
      <c r="H745" s="16" t="str">
        <f t="shared" si="99"/>
        <v/>
      </c>
      <c r="I745" s="17" t="str">
        <f>IF(OR(A745="",B745=""),"",IFERROR(LOOKUP(2,1/(单次交易!$A$2:$A$201=A745),单次交易!$H$2:$H$201),0)+SUMIFS($G$2:$G$1001,$A$2:$A$1001,A745,$B$2:$B$1001,"&lt;"&amp;B745))</f>
        <v/>
      </c>
      <c r="J745" s="16" t="str">
        <f>IF(OR(A745="",B745=""),"",IFERROR(LOOKUP(2,1/(单次交易!$A$2:$A$201=A745),单次交易!$E$2:$E$201)*LOOKUP(2,1/(单次交易!$A$2:$A$201=A745),单次交易!$H$2:$H$201),0)+SUMIFS($H$2:$H$1001,$A$2:$A$1001,A745,$B$2:$B$1001,"&lt;"&amp;B745))</f>
        <v/>
      </c>
      <c r="K745" s="16" t="str">
        <f t="shared" si="100"/>
        <v/>
      </c>
      <c r="L745" s="17" t="str">
        <f t="shared" si="101"/>
        <v/>
      </c>
      <c r="M745" s="17" t="str">
        <f t="shared" si="102"/>
        <v/>
      </c>
      <c r="N745" s="17" t="str">
        <f t="shared" si="103"/>
        <v/>
      </c>
      <c r="O745" s="17" t="str">
        <f t="shared" si="104"/>
        <v/>
      </c>
      <c r="P745" s="16" t="str">
        <f t="shared" si="105"/>
        <v/>
      </c>
      <c r="Q745" s="16" t="str">
        <f t="shared" si="106"/>
        <v/>
      </c>
      <c r="R745" s="18" t="str">
        <f t="shared" si="107"/>
        <v/>
      </c>
    </row>
    <row r="746" spans="1:18">
      <c r="A746" s="12"/>
      <c r="B746" s="13"/>
      <c r="C746" s="14"/>
      <c r="D746" s="15"/>
      <c r="E746" s="15"/>
      <c r="F746" s="15"/>
      <c r="G746" s="13"/>
      <c r="H746" s="16" t="str">
        <f t="shared" si="99"/>
        <v/>
      </c>
      <c r="I746" s="17" t="str">
        <f>IF(OR(A746="",B746=""),"",IFERROR(LOOKUP(2,1/(单次交易!$A$2:$A$201=A746),单次交易!$H$2:$H$201),0)+SUMIFS($G$2:$G$1001,$A$2:$A$1001,A746,$B$2:$B$1001,"&lt;"&amp;B746))</f>
        <v/>
      </c>
      <c r="J746" s="16" t="str">
        <f>IF(OR(A746="",B746=""),"",IFERROR(LOOKUP(2,1/(单次交易!$A$2:$A$201=A746),单次交易!$E$2:$E$201)*LOOKUP(2,1/(单次交易!$A$2:$A$201=A746),单次交易!$H$2:$H$201),0)+SUMIFS($H$2:$H$1001,$A$2:$A$1001,A746,$B$2:$B$1001,"&lt;"&amp;B746))</f>
        <v/>
      </c>
      <c r="K746" s="16" t="str">
        <f t="shared" si="100"/>
        <v/>
      </c>
      <c r="L746" s="17" t="str">
        <f t="shared" si="101"/>
        <v/>
      </c>
      <c r="M746" s="17" t="str">
        <f t="shared" si="102"/>
        <v/>
      </c>
      <c r="N746" s="17" t="str">
        <f t="shared" si="103"/>
        <v/>
      </c>
      <c r="O746" s="17" t="str">
        <f t="shared" si="104"/>
        <v/>
      </c>
      <c r="P746" s="16" t="str">
        <f t="shared" si="105"/>
        <v/>
      </c>
      <c r="Q746" s="16" t="str">
        <f t="shared" si="106"/>
        <v/>
      </c>
      <c r="R746" s="18" t="str">
        <f t="shared" si="107"/>
        <v/>
      </c>
    </row>
    <row r="747" spans="1:18">
      <c r="A747" s="12"/>
      <c r="B747" s="13"/>
      <c r="C747" s="14"/>
      <c r="D747" s="15"/>
      <c r="E747" s="15"/>
      <c r="F747" s="15"/>
      <c r="G747" s="13"/>
      <c r="H747" s="16" t="str">
        <f t="shared" si="99"/>
        <v/>
      </c>
      <c r="I747" s="17" t="str">
        <f>IF(OR(A747="",B747=""),"",IFERROR(LOOKUP(2,1/(单次交易!$A$2:$A$201=A747),单次交易!$H$2:$H$201),0)+SUMIFS($G$2:$G$1001,$A$2:$A$1001,A747,$B$2:$B$1001,"&lt;"&amp;B747))</f>
        <v/>
      </c>
      <c r="J747" s="16" t="str">
        <f>IF(OR(A747="",B747=""),"",IFERROR(LOOKUP(2,1/(单次交易!$A$2:$A$201=A747),单次交易!$E$2:$E$201)*LOOKUP(2,1/(单次交易!$A$2:$A$201=A747),单次交易!$H$2:$H$201),0)+SUMIFS($H$2:$H$1001,$A$2:$A$1001,A747,$B$2:$B$1001,"&lt;"&amp;B747))</f>
        <v/>
      </c>
      <c r="K747" s="16" t="str">
        <f t="shared" si="100"/>
        <v/>
      </c>
      <c r="L747" s="17" t="str">
        <f t="shared" si="101"/>
        <v/>
      </c>
      <c r="M747" s="17" t="str">
        <f t="shared" si="102"/>
        <v/>
      </c>
      <c r="N747" s="17" t="str">
        <f t="shared" si="103"/>
        <v/>
      </c>
      <c r="O747" s="17" t="str">
        <f t="shared" si="104"/>
        <v/>
      </c>
      <c r="P747" s="16" t="str">
        <f t="shared" si="105"/>
        <v/>
      </c>
      <c r="Q747" s="16" t="str">
        <f t="shared" si="106"/>
        <v/>
      </c>
      <c r="R747" s="18" t="str">
        <f t="shared" si="107"/>
        <v/>
      </c>
    </row>
    <row r="748" spans="1:18">
      <c r="A748" s="12"/>
      <c r="B748" s="13"/>
      <c r="C748" s="14"/>
      <c r="D748" s="15"/>
      <c r="E748" s="15"/>
      <c r="F748" s="15"/>
      <c r="G748" s="13"/>
      <c r="H748" s="16" t="str">
        <f t="shared" si="99"/>
        <v/>
      </c>
      <c r="I748" s="17" t="str">
        <f>IF(OR(A748="",B748=""),"",IFERROR(LOOKUP(2,1/(单次交易!$A$2:$A$201=A748),单次交易!$H$2:$H$201),0)+SUMIFS($G$2:$G$1001,$A$2:$A$1001,A748,$B$2:$B$1001,"&lt;"&amp;B748))</f>
        <v/>
      </c>
      <c r="J748" s="16" t="str">
        <f>IF(OR(A748="",B748=""),"",IFERROR(LOOKUP(2,1/(单次交易!$A$2:$A$201=A748),单次交易!$E$2:$E$201)*LOOKUP(2,1/(单次交易!$A$2:$A$201=A748),单次交易!$H$2:$H$201),0)+SUMIFS($H$2:$H$1001,$A$2:$A$1001,A748,$B$2:$B$1001,"&lt;"&amp;B748))</f>
        <v/>
      </c>
      <c r="K748" s="16" t="str">
        <f t="shared" si="100"/>
        <v/>
      </c>
      <c r="L748" s="17" t="str">
        <f t="shared" si="101"/>
        <v/>
      </c>
      <c r="M748" s="17" t="str">
        <f t="shared" si="102"/>
        <v/>
      </c>
      <c r="N748" s="17" t="str">
        <f t="shared" si="103"/>
        <v/>
      </c>
      <c r="O748" s="17" t="str">
        <f t="shared" si="104"/>
        <v/>
      </c>
      <c r="P748" s="16" t="str">
        <f t="shared" si="105"/>
        <v/>
      </c>
      <c r="Q748" s="16" t="str">
        <f t="shared" si="106"/>
        <v/>
      </c>
      <c r="R748" s="18" t="str">
        <f t="shared" si="107"/>
        <v/>
      </c>
    </row>
    <row r="749" spans="1:18">
      <c r="A749" s="12"/>
      <c r="B749" s="13"/>
      <c r="C749" s="14"/>
      <c r="D749" s="15"/>
      <c r="E749" s="15"/>
      <c r="F749" s="15"/>
      <c r="G749" s="13"/>
      <c r="H749" s="16" t="str">
        <f t="shared" si="99"/>
        <v/>
      </c>
      <c r="I749" s="17" t="str">
        <f>IF(OR(A749="",B749=""),"",IFERROR(LOOKUP(2,1/(单次交易!$A$2:$A$201=A749),单次交易!$H$2:$H$201),0)+SUMIFS($G$2:$G$1001,$A$2:$A$1001,A749,$B$2:$B$1001,"&lt;"&amp;B749))</f>
        <v/>
      </c>
      <c r="J749" s="16" t="str">
        <f>IF(OR(A749="",B749=""),"",IFERROR(LOOKUP(2,1/(单次交易!$A$2:$A$201=A749),单次交易!$E$2:$E$201)*LOOKUP(2,1/(单次交易!$A$2:$A$201=A749),单次交易!$H$2:$H$201),0)+SUMIFS($H$2:$H$1001,$A$2:$A$1001,A749,$B$2:$B$1001,"&lt;"&amp;B749))</f>
        <v/>
      </c>
      <c r="K749" s="16" t="str">
        <f t="shared" si="100"/>
        <v/>
      </c>
      <c r="L749" s="17" t="str">
        <f t="shared" si="101"/>
        <v/>
      </c>
      <c r="M749" s="17" t="str">
        <f t="shared" si="102"/>
        <v/>
      </c>
      <c r="N749" s="17" t="str">
        <f t="shared" si="103"/>
        <v/>
      </c>
      <c r="O749" s="17" t="str">
        <f t="shared" si="104"/>
        <v/>
      </c>
      <c r="P749" s="16" t="str">
        <f t="shared" si="105"/>
        <v/>
      </c>
      <c r="Q749" s="16" t="str">
        <f t="shared" si="106"/>
        <v/>
      </c>
      <c r="R749" s="18" t="str">
        <f t="shared" si="107"/>
        <v/>
      </c>
    </row>
    <row r="750" spans="1:18">
      <c r="A750" s="12"/>
      <c r="B750" s="13"/>
      <c r="C750" s="14"/>
      <c r="D750" s="15"/>
      <c r="E750" s="15"/>
      <c r="F750" s="15"/>
      <c r="G750" s="13"/>
      <c r="H750" s="16" t="str">
        <f t="shared" si="99"/>
        <v/>
      </c>
      <c r="I750" s="17" t="str">
        <f>IF(OR(A750="",B750=""),"",IFERROR(LOOKUP(2,1/(单次交易!$A$2:$A$201=A750),单次交易!$H$2:$H$201),0)+SUMIFS($G$2:$G$1001,$A$2:$A$1001,A750,$B$2:$B$1001,"&lt;"&amp;B750))</f>
        <v/>
      </c>
      <c r="J750" s="16" t="str">
        <f>IF(OR(A750="",B750=""),"",IFERROR(LOOKUP(2,1/(单次交易!$A$2:$A$201=A750),单次交易!$E$2:$E$201)*LOOKUP(2,1/(单次交易!$A$2:$A$201=A750),单次交易!$H$2:$H$201),0)+SUMIFS($H$2:$H$1001,$A$2:$A$1001,A750,$B$2:$B$1001,"&lt;"&amp;B750))</f>
        <v/>
      </c>
      <c r="K750" s="16" t="str">
        <f t="shared" si="100"/>
        <v/>
      </c>
      <c r="L750" s="17" t="str">
        <f t="shared" si="101"/>
        <v/>
      </c>
      <c r="M750" s="17" t="str">
        <f t="shared" si="102"/>
        <v/>
      </c>
      <c r="N750" s="17" t="str">
        <f t="shared" si="103"/>
        <v/>
      </c>
      <c r="O750" s="17" t="str">
        <f t="shared" si="104"/>
        <v/>
      </c>
      <c r="P750" s="16" t="str">
        <f t="shared" si="105"/>
        <v/>
      </c>
      <c r="Q750" s="16" t="str">
        <f t="shared" si="106"/>
        <v/>
      </c>
      <c r="R750" s="18" t="str">
        <f t="shared" si="107"/>
        <v/>
      </c>
    </row>
    <row r="751" spans="1:18">
      <c r="A751" s="12"/>
      <c r="B751" s="13"/>
      <c r="C751" s="14"/>
      <c r="D751" s="15"/>
      <c r="E751" s="15"/>
      <c r="F751" s="15"/>
      <c r="G751" s="13"/>
      <c r="H751" s="16" t="str">
        <f t="shared" si="99"/>
        <v/>
      </c>
      <c r="I751" s="17" t="str">
        <f>IF(OR(A751="",B751=""),"",IFERROR(LOOKUP(2,1/(单次交易!$A$2:$A$201=A751),单次交易!$H$2:$H$201),0)+SUMIFS($G$2:$G$1001,$A$2:$A$1001,A751,$B$2:$B$1001,"&lt;"&amp;B751))</f>
        <v/>
      </c>
      <c r="J751" s="16" t="str">
        <f>IF(OR(A751="",B751=""),"",IFERROR(LOOKUP(2,1/(单次交易!$A$2:$A$201=A751),单次交易!$E$2:$E$201)*LOOKUP(2,1/(单次交易!$A$2:$A$201=A751),单次交易!$H$2:$H$201),0)+SUMIFS($H$2:$H$1001,$A$2:$A$1001,A751,$B$2:$B$1001,"&lt;"&amp;B751))</f>
        <v/>
      </c>
      <c r="K751" s="16" t="str">
        <f t="shared" si="100"/>
        <v/>
      </c>
      <c r="L751" s="17" t="str">
        <f t="shared" si="101"/>
        <v/>
      </c>
      <c r="M751" s="17" t="str">
        <f t="shared" si="102"/>
        <v/>
      </c>
      <c r="N751" s="17" t="str">
        <f t="shared" si="103"/>
        <v/>
      </c>
      <c r="O751" s="17" t="str">
        <f t="shared" si="104"/>
        <v/>
      </c>
      <c r="P751" s="16" t="str">
        <f t="shared" si="105"/>
        <v/>
      </c>
      <c r="Q751" s="16" t="str">
        <f t="shared" si="106"/>
        <v/>
      </c>
      <c r="R751" s="18" t="str">
        <f t="shared" si="107"/>
        <v/>
      </c>
    </row>
    <row r="752" spans="1:18">
      <c r="A752" s="12"/>
      <c r="B752" s="13"/>
      <c r="C752" s="14"/>
      <c r="D752" s="15"/>
      <c r="E752" s="15"/>
      <c r="F752" s="15"/>
      <c r="G752" s="13"/>
      <c r="H752" s="16" t="str">
        <f t="shared" si="99"/>
        <v/>
      </c>
      <c r="I752" s="17" t="str">
        <f>IF(OR(A752="",B752=""),"",IFERROR(LOOKUP(2,1/(单次交易!$A$2:$A$201=A752),单次交易!$H$2:$H$201),0)+SUMIFS($G$2:$G$1001,$A$2:$A$1001,A752,$B$2:$B$1001,"&lt;"&amp;B752))</f>
        <v/>
      </c>
      <c r="J752" s="16" t="str">
        <f>IF(OR(A752="",B752=""),"",IFERROR(LOOKUP(2,1/(单次交易!$A$2:$A$201=A752),单次交易!$E$2:$E$201)*LOOKUP(2,1/(单次交易!$A$2:$A$201=A752),单次交易!$H$2:$H$201),0)+SUMIFS($H$2:$H$1001,$A$2:$A$1001,A752,$B$2:$B$1001,"&lt;"&amp;B752))</f>
        <v/>
      </c>
      <c r="K752" s="16" t="str">
        <f t="shared" si="100"/>
        <v/>
      </c>
      <c r="L752" s="17" t="str">
        <f t="shared" si="101"/>
        <v/>
      </c>
      <c r="M752" s="17" t="str">
        <f t="shared" si="102"/>
        <v/>
      </c>
      <c r="N752" s="17" t="str">
        <f t="shared" si="103"/>
        <v/>
      </c>
      <c r="O752" s="17" t="str">
        <f t="shared" si="104"/>
        <v/>
      </c>
      <c r="P752" s="16" t="str">
        <f t="shared" si="105"/>
        <v/>
      </c>
      <c r="Q752" s="16" t="str">
        <f t="shared" si="106"/>
        <v/>
      </c>
      <c r="R752" s="18" t="str">
        <f t="shared" si="107"/>
        <v/>
      </c>
    </row>
    <row r="753" spans="1:18">
      <c r="A753" s="12"/>
      <c r="B753" s="13"/>
      <c r="C753" s="14"/>
      <c r="D753" s="15"/>
      <c r="E753" s="15"/>
      <c r="F753" s="15"/>
      <c r="G753" s="13"/>
      <c r="H753" s="16" t="str">
        <f t="shared" si="99"/>
        <v/>
      </c>
      <c r="I753" s="17" t="str">
        <f>IF(OR(A753="",B753=""),"",IFERROR(LOOKUP(2,1/(单次交易!$A$2:$A$201=A753),单次交易!$H$2:$H$201),0)+SUMIFS($G$2:$G$1001,$A$2:$A$1001,A753,$B$2:$B$1001,"&lt;"&amp;B753))</f>
        <v/>
      </c>
      <c r="J753" s="16" t="str">
        <f>IF(OR(A753="",B753=""),"",IFERROR(LOOKUP(2,1/(单次交易!$A$2:$A$201=A753),单次交易!$E$2:$E$201)*LOOKUP(2,1/(单次交易!$A$2:$A$201=A753),单次交易!$H$2:$H$201),0)+SUMIFS($H$2:$H$1001,$A$2:$A$1001,A753,$B$2:$B$1001,"&lt;"&amp;B753))</f>
        <v/>
      </c>
      <c r="K753" s="16" t="str">
        <f t="shared" si="100"/>
        <v/>
      </c>
      <c r="L753" s="17" t="str">
        <f t="shared" si="101"/>
        <v/>
      </c>
      <c r="M753" s="17" t="str">
        <f t="shared" si="102"/>
        <v/>
      </c>
      <c r="N753" s="17" t="str">
        <f t="shared" si="103"/>
        <v/>
      </c>
      <c r="O753" s="17" t="str">
        <f t="shared" si="104"/>
        <v/>
      </c>
      <c r="P753" s="16" t="str">
        <f t="shared" si="105"/>
        <v/>
      </c>
      <c r="Q753" s="16" t="str">
        <f t="shared" si="106"/>
        <v/>
      </c>
      <c r="R753" s="18" t="str">
        <f t="shared" si="107"/>
        <v/>
      </c>
    </row>
    <row r="754" spans="1:18">
      <c r="A754" s="12"/>
      <c r="B754" s="13"/>
      <c r="C754" s="14"/>
      <c r="D754" s="15"/>
      <c r="E754" s="15"/>
      <c r="F754" s="15"/>
      <c r="G754" s="13"/>
      <c r="H754" s="16" t="str">
        <f t="shared" si="99"/>
        <v/>
      </c>
      <c r="I754" s="17" t="str">
        <f>IF(OR(A754="",B754=""),"",IFERROR(LOOKUP(2,1/(单次交易!$A$2:$A$201=A754),单次交易!$H$2:$H$201),0)+SUMIFS($G$2:$G$1001,$A$2:$A$1001,A754,$B$2:$B$1001,"&lt;"&amp;B754))</f>
        <v/>
      </c>
      <c r="J754" s="16" t="str">
        <f>IF(OR(A754="",B754=""),"",IFERROR(LOOKUP(2,1/(单次交易!$A$2:$A$201=A754),单次交易!$E$2:$E$201)*LOOKUP(2,1/(单次交易!$A$2:$A$201=A754),单次交易!$H$2:$H$201),0)+SUMIFS($H$2:$H$1001,$A$2:$A$1001,A754,$B$2:$B$1001,"&lt;"&amp;B754))</f>
        <v/>
      </c>
      <c r="K754" s="16" t="str">
        <f t="shared" si="100"/>
        <v/>
      </c>
      <c r="L754" s="17" t="str">
        <f t="shared" si="101"/>
        <v/>
      </c>
      <c r="M754" s="17" t="str">
        <f t="shared" si="102"/>
        <v/>
      </c>
      <c r="N754" s="17" t="str">
        <f t="shared" si="103"/>
        <v/>
      </c>
      <c r="O754" s="17" t="str">
        <f t="shared" si="104"/>
        <v/>
      </c>
      <c r="P754" s="16" t="str">
        <f t="shared" si="105"/>
        <v/>
      </c>
      <c r="Q754" s="16" t="str">
        <f t="shared" si="106"/>
        <v/>
      </c>
      <c r="R754" s="18" t="str">
        <f t="shared" si="107"/>
        <v/>
      </c>
    </row>
    <row r="755" spans="1:18">
      <c r="A755" s="12"/>
      <c r="B755" s="13"/>
      <c r="C755" s="14"/>
      <c r="D755" s="15"/>
      <c r="E755" s="15"/>
      <c r="F755" s="15"/>
      <c r="G755" s="13"/>
      <c r="H755" s="16" t="str">
        <f t="shared" si="99"/>
        <v/>
      </c>
      <c r="I755" s="17" t="str">
        <f>IF(OR(A755="",B755=""),"",IFERROR(LOOKUP(2,1/(单次交易!$A$2:$A$201=A755),单次交易!$H$2:$H$201),0)+SUMIFS($G$2:$G$1001,$A$2:$A$1001,A755,$B$2:$B$1001,"&lt;"&amp;B755))</f>
        <v/>
      </c>
      <c r="J755" s="16" t="str">
        <f>IF(OR(A755="",B755=""),"",IFERROR(LOOKUP(2,1/(单次交易!$A$2:$A$201=A755),单次交易!$E$2:$E$201)*LOOKUP(2,1/(单次交易!$A$2:$A$201=A755),单次交易!$H$2:$H$201),0)+SUMIFS($H$2:$H$1001,$A$2:$A$1001,A755,$B$2:$B$1001,"&lt;"&amp;B755))</f>
        <v/>
      </c>
      <c r="K755" s="16" t="str">
        <f t="shared" si="100"/>
        <v/>
      </c>
      <c r="L755" s="17" t="str">
        <f t="shared" si="101"/>
        <v/>
      </c>
      <c r="M755" s="17" t="str">
        <f t="shared" si="102"/>
        <v/>
      </c>
      <c r="N755" s="17" t="str">
        <f t="shared" si="103"/>
        <v/>
      </c>
      <c r="O755" s="17" t="str">
        <f t="shared" si="104"/>
        <v/>
      </c>
      <c r="P755" s="16" t="str">
        <f t="shared" si="105"/>
        <v/>
      </c>
      <c r="Q755" s="16" t="str">
        <f t="shared" si="106"/>
        <v/>
      </c>
      <c r="R755" s="18" t="str">
        <f t="shared" si="107"/>
        <v/>
      </c>
    </row>
    <row r="756" spans="1:18">
      <c r="A756" s="12"/>
      <c r="B756" s="13"/>
      <c r="C756" s="14"/>
      <c r="D756" s="15"/>
      <c r="E756" s="15"/>
      <c r="F756" s="15"/>
      <c r="G756" s="13"/>
      <c r="H756" s="16" t="str">
        <f t="shared" si="99"/>
        <v/>
      </c>
      <c r="I756" s="17" t="str">
        <f>IF(OR(A756="",B756=""),"",IFERROR(LOOKUP(2,1/(单次交易!$A$2:$A$201=A756),单次交易!$H$2:$H$201),0)+SUMIFS($G$2:$G$1001,$A$2:$A$1001,A756,$B$2:$B$1001,"&lt;"&amp;B756))</f>
        <v/>
      </c>
      <c r="J756" s="16" t="str">
        <f>IF(OR(A756="",B756=""),"",IFERROR(LOOKUP(2,1/(单次交易!$A$2:$A$201=A756),单次交易!$E$2:$E$201)*LOOKUP(2,1/(单次交易!$A$2:$A$201=A756),单次交易!$H$2:$H$201),0)+SUMIFS($H$2:$H$1001,$A$2:$A$1001,A756,$B$2:$B$1001,"&lt;"&amp;B756))</f>
        <v/>
      </c>
      <c r="K756" s="16" t="str">
        <f t="shared" si="100"/>
        <v/>
      </c>
      <c r="L756" s="17" t="str">
        <f t="shared" si="101"/>
        <v/>
      </c>
      <c r="M756" s="17" t="str">
        <f t="shared" si="102"/>
        <v/>
      </c>
      <c r="N756" s="17" t="str">
        <f t="shared" si="103"/>
        <v/>
      </c>
      <c r="O756" s="17" t="str">
        <f t="shared" si="104"/>
        <v/>
      </c>
      <c r="P756" s="16" t="str">
        <f t="shared" si="105"/>
        <v/>
      </c>
      <c r="Q756" s="16" t="str">
        <f t="shared" si="106"/>
        <v/>
      </c>
      <c r="R756" s="18" t="str">
        <f t="shared" si="107"/>
        <v/>
      </c>
    </row>
    <row r="757" spans="1:18">
      <c r="A757" s="12"/>
      <c r="B757" s="13"/>
      <c r="C757" s="14"/>
      <c r="D757" s="15"/>
      <c r="E757" s="15"/>
      <c r="F757" s="15"/>
      <c r="G757" s="13"/>
      <c r="H757" s="16" t="str">
        <f t="shared" si="99"/>
        <v/>
      </c>
      <c r="I757" s="17" t="str">
        <f>IF(OR(A757="",B757=""),"",IFERROR(LOOKUP(2,1/(单次交易!$A$2:$A$201=A757),单次交易!$H$2:$H$201),0)+SUMIFS($G$2:$G$1001,$A$2:$A$1001,A757,$B$2:$B$1001,"&lt;"&amp;B757))</f>
        <v/>
      </c>
      <c r="J757" s="16" t="str">
        <f>IF(OR(A757="",B757=""),"",IFERROR(LOOKUP(2,1/(单次交易!$A$2:$A$201=A757),单次交易!$E$2:$E$201)*LOOKUP(2,1/(单次交易!$A$2:$A$201=A757),单次交易!$H$2:$H$201),0)+SUMIFS($H$2:$H$1001,$A$2:$A$1001,A757,$B$2:$B$1001,"&lt;"&amp;B757))</f>
        <v/>
      </c>
      <c r="K757" s="16" t="str">
        <f t="shared" si="100"/>
        <v/>
      </c>
      <c r="L757" s="17" t="str">
        <f t="shared" si="101"/>
        <v/>
      </c>
      <c r="M757" s="17" t="str">
        <f t="shared" si="102"/>
        <v/>
      </c>
      <c r="N757" s="17" t="str">
        <f t="shared" si="103"/>
        <v/>
      </c>
      <c r="O757" s="17" t="str">
        <f t="shared" si="104"/>
        <v/>
      </c>
      <c r="P757" s="16" t="str">
        <f t="shared" si="105"/>
        <v/>
      </c>
      <c r="Q757" s="16" t="str">
        <f t="shared" si="106"/>
        <v/>
      </c>
      <c r="R757" s="18" t="str">
        <f t="shared" si="107"/>
        <v/>
      </c>
    </row>
    <row r="758" spans="1:18">
      <c r="A758" s="12"/>
      <c r="B758" s="13"/>
      <c r="C758" s="14"/>
      <c r="D758" s="15"/>
      <c r="E758" s="15"/>
      <c r="F758" s="15"/>
      <c r="G758" s="13"/>
      <c r="H758" s="16" t="str">
        <f t="shared" si="99"/>
        <v/>
      </c>
      <c r="I758" s="17" t="str">
        <f>IF(OR(A758="",B758=""),"",IFERROR(LOOKUP(2,1/(单次交易!$A$2:$A$201=A758),单次交易!$H$2:$H$201),0)+SUMIFS($G$2:$G$1001,$A$2:$A$1001,A758,$B$2:$B$1001,"&lt;"&amp;B758))</f>
        <v/>
      </c>
      <c r="J758" s="16" t="str">
        <f>IF(OR(A758="",B758=""),"",IFERROR(LOOKUP(2,1/(单次交易!$A$2:$A$201=A758),单次交易!$E$2:$E$201)*LOOKUP(2,1/(单次交易!$A$2:$A$201=A758),单次交易!$H$2:$H$201),0)+SUMIFS($H$2:$H$1001,$A$2:$A$1001,A758,$B$2:$B$1001,"&lt;"&amp;B758))</f>
        <v/>
      </c>
      <c r="K758" s="16" t="str">
        <f t="shared" si="100"/>
        <v/>
      </c>
      <c r="L758" s="17" t="str">
        <f t="shared" si="101"/>
        <v/>
      </c>
      <c r="M758" s="17" t="str">
        <f t="shared" si="102"/>
        <v/>
      </c>
      <c r="N758" s="17" t="str">
        <f t="shared" si="103"/>
        <v/>
      </c>
      <c r="O758" s="17" t="str">
        <f t="shared" si="104"/>
        <v/>
      </c>
      <c r="P758" s="16" t="str">
        <f t="shared" si="105"/>
        <v/>
      </c>
      <c r="Q758" s="16" t="str">
        <f t="shared" si="106"/>
        <v/>
      </c>
      <c r="R758" s="18" t="str">
        <f t="shared" si="107"/>
        <v/>
      </c>
    </row>
    <row r="759" spans="1:18">
      <c r="A759" s="12"/>
      <c r="B759" s="13"/>
      <c r="C759" s="14"/>
      <c r="D759" s="15"/>
      <c r="E759" s="15"/>
      <c r="F759" s="15"/>
      <c r="G759" s="13"/>
      <c r="H759" s="16" t="str">
        <f t="shared" si="99"/>
        <v/>
      </c>
      <c r="I759" s="17" t="str">
        <f>IF(OR(A759="",B759=""),"",IFERROR(LOOKUP(2,1/(单次交易!$A$2:$A$201=A759),单次交易!$H$2:$H$201),0)+SUMIFS($G$2:$G$1001,$A$2:$A$1001,A759,$B$2:$B$1001,"&lt;"&amp;B759))</f>
        <v/>
      </c>
      <c r="J759" s="16" t="str">
        <f>IF(OR(A759="",B759=""),"",IFERROR(LOOKUP(2,1/(单次交易!$A$2:$A$201=A759),单次交易!$E$2:$E$201)*LOOKUP(2,1/(单次交易!$A$2:$A$201=A759),单次交易!$H$2:$H$201),0)+SUMIFS($H$2:$H$1001,$A$2:$A$1001,A759,$B$2:$B$1001,"&lt;"&amp;B759))</f>
        <v/>
      </c>
      <c r="K759" s="16" t="str">
        <f t="shared" si="100"/>
        <v/>
      </c>
      <c r="L759" s="17" t="str">
        <f t="shared" si="101"/>
        <v/>
      </c>
      <c r="M759" s="17" t="str">
        <f t="shared" si="102"/>
        <v/>
      </c>
      <c r="N759" s="17" t="str">
        <f t="shared" si="103"/>
        <v/>
      </c>
      <c r="O759" s="17" t="str">
        <f t="shared" si="104"/>
        <v/>
      </c>
      <c r="P759" s="16" t="str">
        <f t="shared" si="105"/>
        <v/>
      </c>
      <c r="Q759" s="16" t="str">
        <f t="shared" si="106"/>
        <v/>
      </c>
      <c r="R759" s="18" t="str">
        <f t="shared" si="107"/>
        <v/>
      </c>
    </row>
    <row r="760" spans="1:18">
      <c r="A760" s="12"/>
      <c r="B760" s="13"/>
      <c r="C760" s="14"/>
      <c r="D760" s="15"/>
      <c r="E760" s="15"/>
      <c r="F760" s="15"/>
      <c r="G760" s="13"/>
      <c r="H760" s="16" t="str">
        <f t="shared" si="99"/>
        <v/>
      </c>
      <c r="I760" s="17" t="str">
        <f>IF(OR(A760="",B760=""),"",IFERROR(LOOKUP(2,1/(单次交易!$A$2:$A$201=A760),单次交易!$H$2:$H$201),0)+SUMIFS($G$2:$G$1001,$A$2:$A$1001,A760,$B$2:$B$1001,"&lt;"&amp;B760))</f>
        <v/>
      </c>
      <c r="J760" s="16" t="str">
        <f>IF(OR(A760="",B760=""),"",IFERROR(LOOKUP(2,1/(单次交易!$A$2:$A$201=A760),单次交易!$E$2:$E$201)*LOOKUP(2,1/(单次交易!$A$2:$A$201=A760),单次交易!$H$2:$H$201),0)+SUMIFS($H$2:$H$1001,$A$2:$A$1001,A760,$B$2:$B$1001,"&lt;"&amp;B760))</f>
        <v/>
      </c>
      <c r="K760" s="16" t="str">
        <f t="shared" si="100"/>
        <v/>
      </c>
      <c r="L760" s="17" t="str">
        <f t="shared" si="101"/>
        <v/>
      </c>
      <c r="M760" s="17" t="str">
        <f t="shared" si="102"/>
        <v/>
      </c>
      <c r="N760" s="17" t="str">
        <f t="shared" si="103"/>
        <v/>
      </c>
      <c r="O760" s="17" t="str">
        <f t="shared" si="104"/>
        <v/>
      </c>
      <c r="P760" s="16" t="str">
        <f t="shared" si="105"/>
        <v/>
      </c>
      <c r="Q760" s="16" t="str">
        <f t="shared" si="106"/>
        <v/>
      </c>
      <c r="R760" s="18" t="str">
        <f t="shared" si="107"/>
        <v/>
      </c>
    </row>
    <row r="761" spans="1:18">
      <c r="A761" s="12"/>
      <c r="B761" s="13"/>
      <c r="C761" s="14"/>
      <c r="D761" s="15"/>
      <c r="E761" s="15"/>
      <c r="F761" s="15"/>
      <c r="G761" s="13"/>
      <c r="H761" s="16" t="str">
        <f t="shared" si="99"/>
        <v/>
      </c>
      <c r="I761" s="17" t="str">
        <f>IF(OR(A761="",B761=""),"",IFERROR(LOOKUP(2,1/(单次交易!$A$2:$A$201=A761),单次交易!$H$2:$H$201),0)+SUMIFS($G$2:$G$1001,$A$2:$A$1001,A761,$B$2:$B$1001,"&lt;"&amp;B761))</f>
        <v/>
      </c>
      <c r="J761" s="16" t="str">
        <f>IF(OR(A761="",B761=""),"",IFERROR(LOOKUP(2,1/(单次交易!$A$2:$A$201=A761),单次交易!$E$2:$E$201)*LOOKUP(2,1/(单次交易!$A$2:$A$201=A761),单次交易!$H$2:$H$201),0)+SUMIFS($H$2:$H$1001,$A$2:$A$1001,A761,$B$2:$B$1001,"&lt;"&amp;B761))</f>
        <v/>
      </c>
      <c r="K761" s="16" t="str">
        <f t="shared" si="100"/>
        <v/>
      </c>
      <c r="L761" s="17" t="str">
        <f t="shared" si="101"/>
        <v/>
      </c>
      <c r="M761" s="17" t="str">
        <f t="shared" si="102"/>
        <v/>
      </c>
      <c r="N761" s="17" t="str">
        <f t="shared" si="103"/>
        <v/>
      </c>
      <c r="O761" s="17" t="str">
        <f t="shared" si="104"/>
        <v/>
      </c>
      <c r="P761" s="16" t="str">
        <f t="shared" si="105"/>
        <v/>
      </c>
      <c r="Q761" s="16" t="str">
        <f t="shared" si="106"/>
        <v/>
      </c>
      <c r="R761" s="18" t="str">
        <f t="shared" si="107"/>
        <v/>
      </c>
    </row>
    <row r="762" spans="1:18">
      <c r="A762" s="12"/>
      <c r="B762" s="13"/>
      <c r="C762" s="14"/>
      <c r="D762" s="15"/>
      <c r="E762" s="15"/>
      <c r="F762" s="15"/>
      <c r="G762" s="13"/>
      <c r="H762" s="16" t="str">
        <f t="shared" si="99"/>
        <v/>
      </c>
      <c r="I762" s="17" t="str">
        <f>IF(OR(A762="",B762=""),"",IFERROR(LOOKUP(2,1/(单次交易!$A$2:$A$201=A762),单次交易!$H$2:$H$201),0)+SUMIFS($G$2:$G$1001,$A$2:$A$1001,A762,$B$2:$B$1001,"&lt;"&amp;B762))</f>
        <v/>
      </c>
      <c r="J762" s="16" t="str">
        <f>IF(OR(A762="",B762=""),"",IFERROR(LOOKUP(2,1/(单次交易!$A$2:$A$201=A762),单次交易!$E$2:$E$201)*LOOKUP(2,1/(单次交易!$A$2:$A$201=A762),单次交易!$H$2:$H$201),0)+SUMIFS($H$2:$H$1001,$A$2:$A$1001,A762,$B$2:$B$1001,"&lt;"&amp;B762))</f>
        <v/>
      </c>
      <c r="K762" s="16" t="str">
        <f t="shared" si="100"/>
        <v/>
      </c>
      <c r="L762" s="17" t="str">
        <f t="shared" si="101"/>
        <v/>
      </c>
      <c r="M762" s="17" t="str">
        <f t="shared" si="102"/>
        <v/>
      </c>
      <c r="N762" s="17" t="str">
        <f t="shared" si="103"/>
        <v/>
      </c>
      <c r="O762" s="17" t="str">
        <f t="shared" si="104"/>
        <v/>
      </c>
      <c r="P762" s="16" t="str">
        <f t="shared" si="105"/>
        <v/>
      </c>
      <c r="Q762" s="16" t="str">
        <f t="shared" si="106"/>
        <v/>
      </c>
      <c r="R762" s="18" t="str">
        <f t="shared" si="107"/>
        <v/>
      </c>
    </row>
    <row r="763" spans="1:18">
      <c r="A763" s="12"/>
      <c r="B763" s="13"/>
      <c r="C763" s="14"/>
      <c r="D763" s="15"/>
      <c r="E763" s="15"/>
      <c r="F763" s="15"/>
      <c r="G763" s="13"/>
      <c r="H763" s="16" t="str">
        <f t="shared" si="99"/>
        <v/>
      </c>
      <c r="I763" s="17" t="str">
        <f>IF(OR(A763="",B763=""),"",IFERROR(LOOKUP(2,1/(单次交易!$A$2:$A$201=A763),单次交易!$H$2:$H$201),0)+SUMIFS($G$2:$G$1001,$A$2:$A$1001,A763,$B$2:$B$1001,"&lt;"&amp;B763))</f>
        <v/>
      </c>
      <c r="J763" s="16" t="str">
        <f>IF(OR(A763="",B763=""),"",IFERROR(LOOKUP(2,1/(单次交易!$A$2:$A$201=A763),单次交易!$E$2:$E$201)*LOOKUP(2,1/(单次交易!$A$2:$A$201=A763),单次交易!$H$2:$H$201),0)+SUMIFS($H$2:$H$1001,$A$2:$A$1001,A763,$B$2:$B$1001,"&lt;"&amp;B763))</f>
        <v/>
      </c>
      <c r="K763" s="16" t="str">
        <f t="shared" si="100"/>
        <v/>
      </c>
      <c r="L763" s="17" t="str">
        <f t="shared" si="101"/>
        <v/>
      </c>
      <c r="M763" s="17" t="str">
        <f t="shared" si="102"/>
        <v/>
      </c>
      <c r="N763" s="17" t="str">
        <f t="shared" si="103"/>
        <v/>
      </c>
      <c r="O763" s="17" t="str">
        <f t="shared" si="104"/>
        <v/>
      </c>
      <c r="P763" s="16" t="str">
        <f t="shared" si="105"/>
        <v/>
      </c>
      <c r="Q763" s="16" t="str">
        <f t="shared" si="106"/>
        <v/>
      </c>
      <c r="R763" s="18" t="str">
        <f t="shared" si="107"/>
        <v/>
      </c>
    </row>
    <row r="764" spans="1:18">
      <c r="A764" s="12"/>
      <c r="B764" s="13"/>
      <c r="C764" s="14"/>
      <c r="D764" s="15"/>
      <c r="E764" s="15"/>
      <c r="F764" s="15"/>
      <c r="G764" s="13"/>
      <c r="H764" s="16" t="str">
        <f t="shared" si="99"/>
        <v/>
      </c>
      <c r="I764" s="17" t="str">
        <f>IF(OR(A764="",B764=""),"",IFERROR(LOOKUP(2,1/(单次交易!$A$2:$A$201=A764),单次交易!$H$2:$H$201),0)+SUMIFS($G$2:$G$1001,$A$2:$A$1001,A764,$B$2:$B$1001,"&lt;"&amp;B764))</f>
        <v/>
      </c>
      <c r="J764" s="16" t="str">
        <f>IF(OR(A764="",B764=""),"",IFERROR(LOOKUP(2,1/(单次交易!$A$2:$A$201=A764),单次交易!$E$2:$E$201)*LOOKUP(2,1/(单次交易!$A$2:$A$201=A764),单次交易!$H$2:$H$201),0)+SUMIFS($H$2:$H$1001,$A$2:$A$1001,A764,$B$2:$B$1001,"&lt;"&amp;B764))</f>
        <v/>
      </c>
      <c r="K764" s="16" t="str">
        <f t="shared" si="100"/>
        <v/>
      </c>
      <c r="L764" s="17" t="str">
        <f t="shared" si="101"/>
        <v/>
      </c>
      <c r="M764" s="17" t="str">
        <f t="shared" si="102"/>
        <v/>
      </c>
      <c r="N764" s="17" t="str">
        <f t="shared" si="103"/>
        <v/>
      </c>
      <c r="O764" s="17" t="str">
        <f t="shared" si="104"/>
        <v/>
      </c>
      <c r="P764" s="16" t="str">
        <f t="shared" si="105"/>
        <v/>
      </c>
      <c r="Q764" s="16" t="str">
        <f t="shared" si="106"/>
        <v/>
      </c>
      <c r="R764" s="18" t="str">
        <f t="shared" si="107"/>
        <v/>
      </c>
    </row>
    <row r="765" spans="1:18">
      <c r="A765" s="12"/>
      <c r="B765" s="13"/>
      <c r="C765" s="14"/>
      <c r="D765" s="15"/>
      <c r="E765" s="15"/>
      <c r="F765" s="15"/>
      <c r="G765" s="13"/>
      <c r="H765" s="16" t="str">
        <f t="shared" si="99"/>
        <v/>
      </c>
      <c r="I765" s="17" t="str">
        <f>IF(OR(A765="",B765=""),"",IFERROR(LOOKUP(2,1/(单次交易!$A$2:$A$201=A765),单次交易!$H$2:$H$201),0)+SUMIFS($G$2:$G$1001,$A$2:$A$1001,A765,$B$2:$B$1001,"&lt;"&amp;B765))</f>
        <v/>
      </c>
      <c r="J765" s="16" t="str">
        <f>IF(OR(A765="",B765=""),"",IFERROR(LOOKUP(2,1/(单次交易!$A$2:$A$201=A765),单次交易!$E$2:$E$201)*LOOKUP(2,1/(单次交易!$A$2:$A$201=A765),单次交易!$H$2:$H$201),0)+SUMIFS($H$2:$H$1001,$A$2:$A$1001,A765,$B$2:$B$1001,"&lt;"&amp;B765))</f>
        <v/>
      </c>
      <c r="K765" s="16" t="str">
        <f t="shared" si="100"/>
        <v/>
      </c>
      <c r="L765" s="17" t="str">
        <f t="shared" si="101"/>
        <v/>
      </c>
      <c r="M765" s="17" t="str">
        <f t="shared" si="102"/>
        <v/>
      </c>
      <c r="N765" s="17" t="str">
        <f t="shared" si="103"/>
        <v/>
      </c>
      <c r="O765" s="17" t="str">
        <f t="shared" si="104"/>
        <v/>
      </c>
      <c r="P765" s="16" t="str">
        <f t="shared" si="105"/>
        <v/>
      </c>
      <c r="Q765" s="16" t="str">
        <f t="shared" si="106"/>
        <v/>
      </c>
      <c r="R765" s="18" t="str">
        <f t="shared" si="107"/>
        <v/>
      </c>
    </row>
    <row r="766" spans="1:18">
      <c r="A766" s="12"/>
      <c r="B766" s="13"/>
      <c r="C766" s="14"/>
      <c r="D766" s="15"/>
      <c r="E766" s="15"/>
      <c r="F766" s="15"/>
      <c r="G766" s="13"/>
      <c r="H766" s="16" t="str">
        <f t="shared" si="99"/>
        <v/>
      </c>
      <c r="I766" s="17" t="str">
        <f>IF(OR(A766="",B766=""),"",IFERROR(LOOKUP(2,1/(单次交易!$A$2:$A$201=A766),单次交易!$H$2:$H$201),0)+SUMIFS($G$2:$G$1001,$A$2:$A$1001,A766,$B$2:$B$1001,"&lt;"&amp;B766))</f>
        <v/>
      </c>
      <c r="J766" s="16" t="str">
        <f>IF(OR(A766="",B766=""),"",IFERROR(LOOKUP(2,1/(单次交易!$A$2:$A$201=A766),单次交易!$E$2:$E$201)*LOOKUP(2,1/(单次交易!$A$2:$A$201=A766),单次交易!$H$2:$H$201),0)+SUMIFS($H$2:$H$1001,$A$2:$A$1001,A766,$B$2:$B$1001,"&lt;"&amp;B766))</f>
        <v/>
      </c>
      <c r="K766" s="16" t="str">
        <f t="shared" si="100"/>
        <v/>
      </c>
      <c r="L766" s="17" t="str">
        <f t="shared" si="101"/>
        <v/>
      </c>
      <c r="M766" s="17" t="str">
        <f t="shared" si="102"/>
        <v/>
      </c>
      <c r="N766" s="17" t="str">
        <f t="shared" si="103"/>
        <v/>
      </c>
      <c r="O766" s="17" t="str">
        <f t="shared" si="104"/>
        <v/>
      </c>
      <c r="P766" s="16" t="str">
        <f t="shared" si="105"/>
        <v/>
      </c>
      <c r="Q766" s="16" t="str">
        <f t="shared" si="106"/>
        <v/>
      </c>
      <c r="R766" s="18" t="str">
        <f t="shared" si="107"/>
        <v/>
      </c>
    </row>
    <row r="767" spans="1:18">
      <c r="A767" s="12"/>
      <c r="B767" s="13"/>
      <c r="C767" s="14"/>
      <c r="D767" s="15"/>
      <c r="E767" s="15"/>
      <c r="F767" s="15"/>
      <c r="G767" s="13"/>
      <c r="H767" s="16" t="str">
        <f t="shared" si="99"/>
        <v/>
      </c>
      <c r="I767" s="17" t="str">
        <f>IF(OR(A767="",B767=""),"",IFERROR(LOOKUP(2,1/(单次交易!$A$2:$A$201=A767),单次交易!$H$2:$H$201),0)+SUMIFS($G$2:$G$1001,$A$2:$A$1001,A767,$B$2:$B$1001,"&lt;"&amp;B767))</f>
        <v/>
      </c>
      <c r="J767" s="16" t="str">
        <f>IF(OR(A767="",B767=""),"",IFERROR(LOOKUP(2,1/(单次交易!$A$2:$A$201=A767),单次交易!$E$2:$E$201)*LOOKUP(2,1/(单次交易!$A$2:$A$201=A767),单次交易!$H$2:$H$201),0)+SUMIFS($H$2:$H$1001,$A$2:$A$1001,A767,$B$2:$B$1001,"&lt;"&amp;B767))</f>
        <v/>
      </c>
      <c r="K767" s="16" t="str">
        <f t="shared" si="100"/>
        <v/>
      </c>
      <c r="L767" s="17" t="str">
        <f t="shared" si="101"/>
        <v/>
      </c>
      <c r="M767" s="17" t="str">
        <f t="shared" si="102"/>
        <v/>
      </c>
      <c r="N767" s="17" t="str">
        <f t="shared" si="103"/>
        <v/>
      </c>
      <c r="O767" s="17" t="str">
        <f t="shared" si="104"/>
        <v/>
      </c>
      <c r="P767" s="16" t="str">
        <f t="shared" si="105"/>
        <v/>
      </c>
      <c r="Q767" s="16" t="str">
        <f t="shared" si="106"/>
        <v/>
      </c>
      <c r="R767" s="18" t="str">
        <f t="shared" si="107"/>
        <v/>
      </c>
    </row>
    <row r="768" spans="1:18">
      <c r="A768" s="12"/>
      <c r="B768" s="13"/>
      <c r="C768" s="14"/>
      <c r="D768" s="15"/>
      <c r="E768" s="15"/>
      <c r="F768" s="15"/>
      <c r="G768" s="13"/>
      <c r="H768" s="16" t="str">
        <f t="shared" si="99"/>
        <v/>
      </c>
      <c r="I768" s="17" t="str">
        <f>IF(OR(A768="",B768=""),"",IFERROR(LOOKUP(2,1/(单次交易!$A$2:$A$201=A768),单次交易!$H$2:$H$201),0)+SUMIFS($G$2:$G$1001,$A$2:$A$1001,A768,$B$2:$B$1001,"&lt;"&amp;B768))</f>
        <v/>
      </c>
      <c r="J768" s="16" t="str">
        <f>IF(OR(A768="",B768=""),"",IFERROR(LOOKUP(2,1/(单次交易!$A$2:$A$201=A768),单次交易!$E$2:$E$201)*LOOKUP(2,1/(单次交易!$A$2:$A$201=A768),单次交易!$H$2:$H$201),0)+SUMIFS($H$2:$H$1001,$A$2:$A$1001,A768,$B$2:$B$1001,"&lt;"&amp;B768))</f>
        <v/>
      </c>
      <c r="K768" s="16" t="str">
        <f t="shared" si="100"/>
        <v/>
      </c>
      <c r="L768" s="17" t="str">
        <f t="shared" si="101"/>
        <v/>
      </c>
      <c r="M768" s="17" t="str">
        <f t="shared" si="102"/>
        <v/>
      </c>
      <c r="N768" s="17" t="str">
        <f t="shared" si="103"/>
        <v/>
      </c>
      <c r="O768" s="17" t="str">
        <f t="shared" si="104"/>
        <v/>
      </c>
      <c r="P768" s="16" t="str">
        <f t="shared" si="105"/>
        <v/>
      </c>
      <c r="Q768" s="16" t="str">
        <f t="shared" si="106"/>
        <v/>
      </c>
      <c r="R768" s="18" t="str">
        <f t="shared" si="107"/>
        <v/>
      </c>
    </row>
    <row r="769" spans="1:18">
      <c r="A769" s="12"/>
      <c r="B769" s="13"/>
      <c r="C769" s="14"/>
      <c r="D769" s="15"/>
      <c r="E769" s="15"/>
      <c r="F769" s="15"/>
      <c r="G769" s="13"/>
      <c r="H769" s="16" t="str">
        <f t="shared" si="99"/>
        <v/>
      </c>
      <c r="I769" s="17" t="str">
        <f>IF(OR(A769="",B769=""),"",IFERROR(LOOKUP(2,1/(单次交易!$A$2:$A$201=A769),单次交易!$H$2:$H$201),0)+SUMIFS($G$2:$G$1001,$A$2:$A$1001,A769,$B$2:$B$1001,"&lt;"&amp;B769))</f>
        <v/>
      </c>
      <c r="J769" s="16" t="str">
        <f>IF(OR(A769="",B769=""),"",IFERROR(LOOKUP(2,1/(单次交易!$A$2:$A$201=A769),单次交易!$E$2:$E$201)*LOOKUP(2,1/(单次交易!$A$2:$A$201=A769),单次交易!$H$2:$H$201),0)+SUMIFS($H$2:$H$1001,$A$2:$A$1001,A769,$B$2:$B$1001,"&lt;"&amp;B769))</f>
        <v/>
      </c>
      <c r="K769" s="16" t="str">
        <f t="shared" si="100"/>
        <v/>
      </c>
      <c r="L769" s="17" t="str">
        <f t="shared" si="101"/>
        <v/>
      </c>
      <c r="M769" s="17" t="str">
        <f t="shared" si="102"/>
        <v/>
      </c>
      <c r="N769" s="17" t="str">
        <f t="shared" si="103"/>
        <v/>
      </c>
      <c r="O769" s="17" t="str">
        <f t="shared" si="104"/>
        <v/>
      </c>
      <c r="P769" s="16" t="str">
        <f t="shared" si="105"/>
        <v/>
      </c>
      <c r="Q769" s="16" t="str">
        <f t="shared" si="106"/>
        <v/>
      </c>
      <c r="R769" s="18" t="str">
        <f t="shared" si="107"/>
        <v/>
      </c>
    </row>
    <row r="770" spans="1:18">
      <c r="A770" s="12"/>
      <c r="B770" s="13"/>
      <c r="C770" s="14"/>
      <c r="D770" s="15"/>
      <c r="E770" s="15"/>
      <c r="F770" s="15"/>
      <c r="G770" s="13"/>
      <c r="H770" s="16" t="str">
        <f t="shared" ref="H770:H833" si="108">IF(OR(A770="",D770="",G770=""),"",D770*G770)</f>
        <v/>
      </c>
      <c r="I770" s="17" t="str">
        <f>IF(OR(A770="",B770=""),"",IFERROR(LOOKUP(2,1/(单次交易!$A$2:$A$201=A770),单次交易!$H$2:$H$201),0)+SUMIFS($G$2:$G$1001,$A$2:$A$1001,A770,$B$2:$B$1001,"&lt;"&amp;B770))</f>
        <v/>
      </c>
      <c r="J770" s="16" t="str">
        <f>IF(OR(A770="",B770=""),"",IFERROR(LOOKUP(2,1/(单次交易!$A$2:$A$201=A770),单次交易!$E$2:$E$201)*LOOKUP(2,1/(单次交易!$A$2:$A$201=A770),单次交易!$H$2:$H$201),0)+SUMIFS($H$2:$H$1001,$A$2:$A$1001,A770,$B$2:$B$1001,"&lt;"&amp;B770))</f>
        <v/>
      </c>
      <c r="K770" s="16" t="str">
        <f t="shared" ref="K770:K833" si="109">IF(OR(E770="",I770="",J770=""),"",MAX(E770*I770-J770,0))</f>
        <v/>
      </c>
      <c r="L770" s="17" t="str">
        <f t="shared" ref="L770:L833" si="110">IF(OR(D770="",E770="",F770="",D770&lt;=E770),"",FLOOR((F770+K770)/(D770-E770),100))</f>
        <v/>
      </c>
      <c r="M770" s="17" t="str">
        <f t="shared" ref="M770:M833" si="111">IF(OR(A770="",B770="",L770=""),"",IF(B770=1,L770,IFERROR(SUMIFS($G$2:$G$1001,$A$2:$A$1001,A770,$B$2:$B$1001,B770-1),0)))</f>
        <v/>
      </c>
      <c r="N770" s="17" t="str">
        <f t="shared" ref="N770:N833" si="112">IF(OR(L770="",M770=""),"",MIN(L770,M770))</f>
        <v/>
      </c>
      <c r="O770" s="17" t="str">
        <f t="shared" ref="O770:O833" si="113">IF(OR(I770="",G770=""),"",I770+G770)</f>
        <v/>
      </c>
      <c r="P770" s="16" t="str">
        <f t="shared" ref="P770:P833" si="114">IF(OR(O770="",O770=0),"",(J770+H770)/O770)</f>
        <v/>
      </c>
      <c r="Q770" s="16" t="str">
        <f t="shared" ref="Q770:Q833" si="115">IF(OR(O770="",E770=""),"",MAX(J770+H770-E770*O770,0))</f>
        <v/>
      </c>
      <c r="R770" s="18" t="str">
        <f t="shared" ref="R770:R833" si="116">IF(A770="","",IF(COUNTIF(_TradeIds,A770)=0,"违规：交易编号不存在",IF(OR(B770="",B770&lt;1,B770&gt;5,B770&lt;&gt;INT(B770)),"违规：加仓序号须为1到5的整数",IF(COUNTIFS($A$2:$A$1001,A770,$B$2:$B$1001,B770)&gt;1,"违规：同一交易的加仓序号重复",IF(OR(D770="",E770="",F770=""),"计划不完整：请填写加仓价、新止损价和风险预算",IF(OR(D770&lt;=0,E770&lt;=0,F770&lt;=0,D770&lt;=E770),"违规：加仓价必须高于新止损价，金额须大于0",IF(AND(B770&gt;1,COUNTIFS($A$2:$A$1001,A770,$B$2:$B$1001,B770-1,$G$2:$G$1001,"&gt;0")=0),"违规：须先完成上一次加仓",IF(AND(B770&gt;1,E770&lt;SUMIFS($E$2:$E$1001,$A$2:$A$1001,A770,$B$2:$B$1001,B770-1)),"违规：新止损价不得低于上一次",IF(AND(B770&gt;1,F770&gt;SUMIFS($F$2:$F$1001,$A$2:$A$1001,A770,$B$2:$B$1001,B770-1)),"违规：风险预算须逐次不增加",IF(OR(_LockStatus="已锁仓",_LockStatus="解锁信息不完整"),"违规：锁仓期间禁止加仓",IF(G770="","计划可执行：建议股数见N列",IF(OR(G770&lt;=0,G770&lt;&gt;INT(G770),MOD(G770,100)&lt;&gt;0),"违规：实际股数须为100股整数倍",IF(G770&gt;N770,"违规：实际股数超过风险或金字塔上限",IF(AND(B770&gt;1,G770&gt;SUMIFS($G$2:$G$1001,$A$2:$A$1001,A770,$B$2:$B$1001,B770-1)),"违规：加仓股数须逐次不增加",IF(Q770&gt;F770,"违规：止损风险超过本次预算","通过")))))))))))))))</f>
        <v/>
      </c>
    </row>
    <row r="771" spans="1:18">
      <c r="A771" s="12"/>
      <c r="B771" s="13"/>
      <c r="C771" s="14"/>
      <c r="D771" s="15"/>
      <c r="E771" s="15"/>
      <c r="F771" s="15"/>
      <c r="G771" s="13"/>
      <c r="H771" s="16" t="str">
        <f t="shared" si="108"/>
        <v/>
      </c>
      <c r="I771" s="17" t="str">
        <f>IF(OR(A771="",B771=""),"",IFERROR(LOOKUP(2,1/(单次交易!$A$2:$A$201=A771),单次交易!$H$2:$H$201),0)+SUMIFS($G$2:$G$1001,$A$2:$A$1001,A771,$B$2:$B$1001,"&lt;"&amp;B771))</f>
        <v/>
      </c>
      <c r="J771" s="16" t="str">
        <f>IF(OR(A771="",B771=""),"",IFERROR(LOOKUP(2,1/(单次交易!$A$2:$A$201=A771),单次交易!$E$2:$E$201)*LOOKUP(2,1/(单次交易!$A$2:$A$201=A771),单次交易!$H$2:$H$201),0)+SUMIFS($H$2:$H$1001,$A$2:$A$1001,A771,$B$2:$B$1001,"&lt;"&amp;B771))</f>
        <v/>
      </c>
      <c r="K771" s="16" t="str">
        <f t="shared" si="109"/>
        <v/>
      </c>
      <c r="L771" s="17" t="str">
        <f t="shared" si="110"/>
        <v/>
      </c>
      <c r="M771" s="17" t="str">
        <f t="shared" si="111"/>
        <v/>
      </c>
      <c r="N771" s="17" t="str">
        <f t="shared" si="112"/>
        <v/>
      </c>
      <c r="O771" s="17" t="str">
        <f t="shared" si="113"/>
        <v/>
      </c>
      <c r="P771" s="16" t="str">
        <f t="shared" si="114"/>
        <v/>
      </c>
      <c r="Q771" s="16" t="str">
        <f t="shared" si="115"/>
        <v/>
      </c>
      <c r="R771" s="18" t="str">
        <f t="shared" si="116"/>
        <v/>
      </c>
    </row>
    <row r="772" spans="1:18">
      <c r="A772" s="12"/>
      <c r="B772" s="13"/>
      <c r="C772" s="14"/>
      <c r="D772" s="15"/>
      <c r="E772" s="15"/>
      <c r="F772" s="15"/>
      <c r="G772" s="13"/>
      <c r="H772" s="16" t="str">
        <f t="shared" si="108"/>
        <v/>
      </c>
      <c r="I772" s="17" t="str">
        <f>IF(OR(A772="",B772=""),"",IFERROR(LOOKUP(2,1/(单次交易!$A$2:$A$201=A772),单次交易!$H$2:$H$201),0)+SUMIFS($G$2:$G$1001,$A$2:$A$1001,A772,$B$2:$B$1001,"&lt;"&amp;B772))</f>
        <v/>
      </c>
      <c r="J772" s="16" t="str">
        <f>IF(OR(A772="",B772=""),"",IFERROR(LOOKUP(2,1/(单次交易!$A$2:$A$201=A772),单次交易!$E$2:$E$201)*LOOKUP(2,1/(单次交易!$A$2:$A$201=A772),单次交易!$H$2:$H$201),0)+SUMIFS($H$2:$H$1001,$A$2:$A$1001,A772,$B$2:$B$1001,"&lt;"&amp;B772))</f>
        <v/>
      </c>
      <c r="K772" s="16" t="str">
        <f t="shared" si="109"/>
        <v/>
      </c>
      <c r="L772" s="17" t="str">
        <f t="shared" si="110"/>
        <v/>
      </c>
      <c r="M772" s="17" t="str">
        <f t="shared" si="111"/>
        <v/>
      </c>
      <c r="N772" s="17" t="str">
        <f t="shared" si="112"/>
        <v/>
      </c>
      <c r="O772" s="17" t="str">
        <f t="shared" si="113"/>
        <v/>
      </c>
      <c r="P772" s="16" t="str">
        <f t="shared" si="114"/>
        <v/>
      </c>
      <c r="Q772" s="16" t="str">
        <f t="shared" si="115"/>
        <v/>
      </c>
      <c r="R772" s="18" t="str">
        <f t="shared" si="116"/>
        <v/>
      </c>
    </row>
    <row r="773" spans="1:18">
      <c r="A773" s="12"/>
      <c r="B773" s="13"/>
      <c r="C773" s="14"/>
      <c r="D773" s="15"/>
      <c r="E773" s="15"/>
      <c r="F773" s="15"/>
      <c r="G773" s="13"/>
      <c r="H773" s="16" t="str">
        <f t="shared" si="108"/>
        <v/>
      </c>
      <c r="I773" s="17" t="str">
        <f>IF(OR(A773="",B773=""),"",IFERROR(LOOKUP(2,1/(单次交易!$A$2:$A$201=A773),单次交易!$H$2:$H$201),0)+SUMIFS($G$2:$G$1001,$A$2:$A$1001,A773,$B$2:$B$1001,"&lt;"&amp;B773))</f>
        <v/>
      </c>
      <c r="J773" s="16" t="str">
        <f>IF(OR(A773="",B773=""),"",IFERROR(LOOKUP(2,1/(单次交易!$A$2:$A$201=A773),单次交易!$E$2:$E$201)*LOOKUP(2,1/(单次交易!$A$2:$A$201=A773),单次交易!$H$2:$H$201),0)+SUMIFS($H$2:$H$1001,$A$2:$A$1001,A773,$B$2:$B$1001,"&lt;"&amp;B773))</f>
        <v/>
      </c>
      <c r="K773" s="16" t="str">
        <f t="shared" si="109"/>
        <v/>
      </c>
      <c r="L773" s="17" t="str">
        <f t="shared" si="110"/>
        <v/>
      </c>
      <c r="M773" s="17" t="str">
        <f t="shared" si="111"/>
        <v/>
      </c>
      <c r="N773" s="17" t="str">
        <f t="shared" si="112"/>
        <v/>
      </c>
      <c r="O773" s="17" t="str">
        <f t="shared" si="113"/>
        <v/>
      </c>
      <c r="P773" s="16" t="str">
        <f t="shared" si="114"/>
        <v/>
      </c>
      <c r="Q773" s="16" t="str">
        <f t="shared" si="115"/>
        <v/>
      </c>
      <c r="R773" s="18" t="str">
        <f t="shared" si="116"/>
        <v/>
      </c>
    </row>
    <row r="774" spans="1:18">
      <c r="A774" s="12"/>
      <c r="B774" s="13"/>
      <c r="C774" s="14"/>
      <c r="D774" s="15"/>
      <c r="E774" s="15"/>
      <c r="F774" s="15"/>
      <c r="G774" s="13"/>
      <c r="H774" s="16" t="str">
        <f t="shared" si="108"/>
        <v/>
      </c>
      <c r="I774" s="17" t="str">
        <f>IF(OR(A774="",B774=""),"",IFERROR(LOOKUP(2,1/(单次交易!$A$2:$A$201=A774),单次交易!$H$2:$H$201),0)+SUMIFS($G$2:$G$1001,$A$2:$A$1001,A774,$B$2:$B$1001,"&lt;"&amp;B774))</f>
        <v/>
      </c>
      <c r="J774" s="16" t="str">
        <f>IF(OR(A774="",B774=""),"",IFERROR(LOOKUP(2,1/(单次交易!$A$2:$A$201=A774),单次交易!$E$2:$E$201)*LOOKUP(2,1/(单次交易!$A$2:$A$201=A774),单次交易!$H$2:$H$201),0)+SUMIFS($H$2:$H$1001,$A$2:$A$1001,A774,$B$2:$B$1001,"&lt;"&amp;B774))</f>
        <v/>
      </c>
      <c r="K774" s="16" t="str">
        <f t="shared" si="109"/>
        <v/>
      </c>
      <c r="L774" s="17" t="str">
        <f t="shared" si="110"/>
        <v/>
      </c>
      <c r="M774" s="17" t="str">
        <f t="shared" si="111"/>
        <v/>
      </c>
      <c r="N774" s="17" t="str">
        <f t="shared" si="112"/>
        <v/>
      </c>
      <c r="O774" s="17" t="str">
        <f t="shared" si="113"/>
        <v/>
      </c>
      <c r="P774" s="16" t="str">
        <f t="shared" si="114"/>
        <v/>
      </c>
      <c r="Q774" s="16" t="str">
        <f t="shared" si="115"/>
        <v/>
      </c>
      <c r="R774" s="18" t="str">
        <f t="shared" si="116"/>
        <v/>
      </c>
    </row>
    <row r="775" spans="1:18">
      <c r="A775" s="12"/>
      <c r="B775" s="13"/>
      <c r="C775" s="14"/>
      <c r="D775" s="15"/>
      <c r="E775" s="15"/>
      <c r="F775" s="15"/>
      <c r="G775" s="13"/>
      <c r="H775" s="16" t="str">
        <f t="shared" si="108"/>
        <v/>
      </c>
      <c r="I775" s="17" t="str">
        <f>IF(OR(A775="",B775=""),"",IFERROR(LOOKUP(2,1/(单次交易!$A$2:$A$201=A775),单次交易!$H$2:$H$201),0)+SUMIFS($G$2:$G$1001,$A$2:$A$1001,A775,$B$2:$B$1001,"&lt;"&amp;B775))</f>
        <v/>
      </c>
      <c r="J775" s="16" t="str">
        <f>IF(OR(A775="",B775=""),"",IFERROR(LOOKUP(2,1/(单次交易!$A$2:$A$201=A775),单次交易!$E$2:$E$201)*LOOKUP(2,1/(单次交易!$A$2:$A$201=A775),单次交易!$H$2:$H$201),0)+SUMIFS($H$2:$H$1001,$A$2:$A$1001,A775,$B$2:$B$1001,"&lt;"&amp;B775))</f>
        <v/>
      </c>
      <c r="K775" s="16" t="str">
        <f t="shared" si="109"/>
        <v/>
      </c>
      <c r="L775" s="17" t="str">
        <f t="shared" si="110"/>
        <v/>
      </c>
      <c r="M775" s="17" t="str">
        <f t="shared" si="111"/>
        <v/>
      </c>
      <c r="N775" s="17" t="str">
        <f t="shared" si="112"/>
        <v/>
      </c>
      <c r="O775" s="17" t="str">
        <f t="shared" si="113"/>
        <v/>
      </c>
      <c r="P775" s="16" t="str">
        <f t="shared" si="114"/>
        <v/>
      </c>
      <c r="Q775" s="16" t="str">
        <f t="shared" si="115"/>
        <v/>
      </c>
      <c r="R775" s="18" t="str">
        <f t="shared" si="116"/>
        <v/>
      </c>
    </row>
    <row r="776" spans="1:18">
      <c r="A776" s="12"/>
      <c r="B776" s="13"/>
      <c r="C776" s="14"/>
      <c r="D776" s="15"/>
      <c r="E776" s="15"/>
      <c r="F776" s="15"/>
      <c r="G776" s="13"/>
      <c r="H776" s="16" t="str">
        <f t="shared" si="108"/>
        <v/>
      </c>
      <c r="I776" s="17" t="str">
        <f>IF(OR(A776="",B776=""),"",IFERROR(LOOKUP(2,1/(单次交易!$A$2:$A$201=A776),单次交易!$H$2:$H$201),0)+SUMIFS($G$2:$G$1001,$A$2:$A$1001,A776,$B$2:$B$1001,"&lt;"&amp;B776))</f>
        <v/>
      </c>
      <c r="J776" s="16" t="str">
        <f>IF(OR(A776="",B776=""),"",IFERROR(LOOKUP(2,1/(单次交易!$A$2:$A$201=A776),单次交易!$E$2:$E$201)*LOOKUP(2,1/(单次交易!$A$2:$A$201=A776),单次交易!$H$2:$H$201),0)+SUMIFS($H$2:$H$1001,$A$2:$A$1001,A776,$B$2:$B$1001,"&lt;"&amp;B776))</f>
        <v/>
      </c>
      <c r="K776" s="16" t="str">
        <f t="shared" si="109"/>
        <v/>
      </c>
      <c r="L776" s="17" t="str">
        <f t="shared" si="110"/>
        <v/>
      </c>
      <c r="M776" s="17" t="str">
        <f t="shared" si="111"/>
        <v/>
      </c>
      <c r="N776" s="17" t="str">
        <f t="shared" si="112"/>
        <v/>
      </c>
      <c r="O776" s="17" t="str">
        <f t="shared" si="113"/>
        <v/>
      </c>
      <c r="P776" s="16" t="str">
        <f t="shared" si="114"/>
        <v/>
      </c>
      <c r="Q776" s="16" t="str">
        <f t="shared" si="115"/>
        <v/>
      </c>
      <c r="R776" s="18" t="str">
        <f t="shared" si="116"/>
        <v/>
      </c>
    </row>
    <row r="777" spans="1:18">
      <c r="A777" s="12"/>
      <c r="B777" s="13"/>
      <c r="C777" s="14"/>
      <c r="D777" s="15"/>
      <c r="E777" s="15"/>
      <c r="F777" s="15"/>
      <c r="G777" s="13"/>
      <c r="H777" s="16" t="str">
        <f t="shared" si="108"/>
        <v/>
      </c>
      <c r="I777" s="17" t="str">
        <f>IF(OR(A777="",B777=""),"",IFERROR(LOOKUP(2,1/(单次交易!$A$2:$A$201=A777),单次交易!$H$2:$H$201),0)+SUMIFS($G$2:$G$1001,$A$2:$A$1001,A777,$B$2:$B$1001,"&lt;"&amp;B777))</f>
        <v/>
      </c>
      <c r="J777" s="16" t="str">
        <f>IF(OR(A777="",B777=""),"",IFERROR(LOOKUP(2,1/(单次交易!$A$2:$A$201=A777),单次交易!$E$2:$E$201)*LOOKUP(2,1/(单次交易!$A$2:$A$201=A777),单次交易!$H$2:$H$201),0)+SUMIFS($H$2:$H$1001,$A$2:$A$1001,A777,$B$2:$B$1001,"&lt;"&amp;B777))</f>
        <v/>
      </c>
      <c r="K777" s="16" t="str">
        <f t="shared" si="109"/>
        <v/>
      </c>
      <c r="L777" s="17" t="str">
        <f t="shared" si="110"/>
        <v/>
      </c>
      <c r="M777" s="17" t="str">
        <f t="shared" si="111"/>
        <v/>
      </c>
      <c r="N777" s="17" t="str">
        <f t="shared" si="112"/>
        <v/>
      </c>
      <c r="O777" s="17" t="str">
        <f t="shared" si="113"/>
        <v/>
      </c>
      <c r="P777" s="16" t="str">
        <f t="shared" si="114"/>
        <v/>
      </c>
      <c r="Q777" s="16" t="str">
        <f t="shared" si="115"/>
        <v/>
      </c>
      <c r="R777" s="18" t="str">
        <f t="shared" si="116"/>
        <v/>
      </c>
    </row>
    <row r="778" spans="1:18">
      <c r="A778" s="12"/>
      <c r="B778" s="13"/>
      <c r="C778" s="14"/>
      <c r="D778" s="15"/>
      <c r="E778" s="15"/>
      <c r="F778" s="15"/>
      <c r="G778" s="13"/>
      <c r="H778" s="16" t="str">
        <f t="shared" si="108"/>
        <v/>
      </c>
      <c r="I778" s="17" t="str">
        <f>IF(OR(A778="",B778=""),"",IFERROR(LOOKUP(2,1/(单次交易!$A$2:$A$201=A778),单次交易!$H$2:$H$201),0)+SUMIFS($G$2:$G$1001,$A$2:$A$1001,A778,$B$2:$B$1001,"&lt;"&amp;B778))</f>
        <v/>
      </c>
      <c r="J778" s="16" t="str">
        <f>IF(OR(A778="",B778=""),"",IFERROR(LOOKUP(2,1/(单次交易!$A$2:$A$201=A778),单次交易!$E$2:$E$201)*LOOKUP(2,1/(单次交易!$A$2:$A$201=A778),单次交易!$H$2:$H$201),0)+SUMIFS($H$2:$H$1001,$A$2:$A$1001,A778,$B$2:$B$1001,"&lt;"&amp;B778))</f>
        <v/>
      </c>
      <c r="K778" s="16" t="str">
        <f t="shared" si="109"/>
        <v/>
      </c>
      <c r="L778" s="17" t="str">
        <f t="shared" si="110"/>
        <v/>
      </c>
      <c r="M778" s="17" t="str">
        <f t="shared" si="111"/>
        <v/>
      </c>
      <c r="N778" s="17" t="str">
        <f t="shared" si="112"/>
        <v/>
      </c>
      <c r="O778" s="17" t="str">
        <f t="shared" si="113"/>
        <v/>
      </c>
      <c r="P778" s="16" t="str">
        <f t="shared" si="114"/>
        <v/>
      </c>
      <c r="Q778" s="16" t="str">
        <f t="shared" si="115"/>
        <v/>
      </c>
      <c r="R778" s="18" t="str">
        <f t="shared" si="116"/>
        <v/>
      </c>
    </row>
    <row r="779" spans="1:18">
      <c r="A779" s="12"/>
      <c r="B779" s="13"/>
      <c r="C779" s="14"/>
      <c r="D779" s="15"/>
      <c r="E779" s="15"/>
      <c r="F779" s="15"/>
      <c r="G779" s="13"/>
      <c r="H779" s="16" t="str">
        <f t="shared" si="108"/>
        <v/>
      </c>
      <c r="I779" s="17" t="str">
        <f>IF(OR(A779="",B779=""),"",IFERROR(LOOKUP(2,1/(单次交易!$A$2:$A$201=A779),单次交易!$H$2:$H$201),0)+SUMIFS($G$2:$G$1001,$A$2:$A$1001,A779,$B$2:$B$1001,"&lt;"&amp;B779))</f>
        <v/>
      </c>
      <c r="J779" s="16" t="str">
        <f>IF(OR(A779="",B779=""),"",IFERROR(LOOKUP(2,1/(单次交易!$A$2:$A$201=A779),单次交易!$E$2:$E$201)*LOOKUP(2,1/(单次交易!$A$2:$A$201=A779),单次交易!$H$2:$H$201),0)+SUMIFS($H$2:$H$1001,$A$2:$A$1001,A779,$B$2:$B$1001,"&lt;"&amp;B779))</f>
        <v/>
      </c>
      <c r="K779" s="16" t="str">
        <f t="shared" si="109"/>
        <v/>
      </c>
      <c r="L779" s="17" t="str">
        <f t="shared" si="110"/>
        <v/>
      </c>
      <c r="M779" s="17" t="str">
        <f t="shared" si="111"/>
        <v/>
      </c>
      <c r="N779" s="17" t="str">
        <f t="shared" si="112"/>
        <v/>
      </c>
      <c r="O779" s="17" t="str">
        <f t="shared" si="113"/>
        <v/>
      </c>
      <c r="P779" s="16" t="str">
        <f t="shared" si="114"/>
        <v/>
      </c>
      <c r="Q779" s="16" t="str">
        <f t="shared" si="115"/>
        <v/>
      </c>
      <c r="R779" s="18" t="str">
        <f t="shared" si="116"/>
        <v/>
      </c>
    </row>
    <row r="780" spans="1:18">
      <c r="A780" s="12"/>
      <c r="B780" s="13"/>
      <c r="C780" s="14"/>
      <c r="D780" s="15"/>
      <c r="E780" s="15"/>
      <c r="F780" s="15"/>
      <c r="G780" s="13"/>
      <c r="H780" s="16" t="str">
        <f t="shared" si="108"/>
        <v/>
      </c>
      <c r="I780" s="17" t="str">
        <f>IF(OR(A780="",B780=""),"",IFERROR(LOOKUP(2,1/(单次交易!$A$2:$A$201=A780),单次交易!$H$2:$H$201),0)+SUMIFS($G$2:$G$1001,$A$2:$A$1001,A780,$B$2:$B$1001,"&lt;"&amp;B780))</f>
        <v/>
      </c>
      <c r="J780" s="16" t="str">
        <f>IF(OR(A780="",B780=""),"",IFERROR(LOOKUP(2,1/(单次交易!$A$2:$A$201=A780),单次交易!$E$2:$E$201)*LOOKUP(2,1/(单次交易!$A$2:$A$201=A780),单次交易!$H$2:$H$201),0)+SUMIFS($H$2:$H$1001,$A$2:$A$1001,A780,$B$2:$B$1001,"&lt;"&amp;B780))</f>
        <v/>
      </c>
      <c r="K780" s="16" t="str">
        <f t="shared" si="109"/>
        <v/>
      </c>
      <c r="L780" s="17" t="str">
        <f t="shared" si="110"/>
        <v/>
      </c>
      <c r="M780" s="17" t="str">
        <f t="shared" si="111"/>
        <v/>
      </c>
      <c r="N780" s="17" t="str">
        <f t="shared" si="112"/>
        <v/>
      </c>
      <c r="O780" s="17" t="str">
        <f t="shared" si="113"/>
        <v/>
      </c>
      <c r="P780" s="16" t="str">
        <f t="shared" si="114"/>
        <v/>
      </c>
      <c r="Q780" s="16" t="str">
        <f t="shared" si="115"/>
        <v/>
      </c>
      <c r="R780" s="18" t="str">
        <f t="shared" si="116"/>
        <v/>
      </c>
    </row>
    <row r="781" spans="1:18">
      <c r="A781" s="12"/>
      <c r="B781" s="13"/>
      <c r="C781" s="14"/>
      <c r="D781" s="15"/>
      <c r="E781" s="15"/>
      <c r="F781" s="15"/>
      <c r="G781" s="13"/>
      <c r="H781" s="16" t="str">
        <f t="shared" si="108"/>
        <v/>
      </c>
      <c r="I781" s="17" t="str">
        <f>IF(OR(A781="",B781=""),"",IFERROR(LOOKUP(2,1/(单次交易!$A$2:$A$201=A781),单次交易!$H$2:$H$201),0)+SUMIFS($G$2:$G$1001,$A$2:$A$1001,A781,$B$2:$B$1001,"&lt;"&amp;B781))</f>
        <v/>
      </c>
      <c r="J781" s="16" t="str">
        <f>IF(OR(A781="",B781=""),"",IFERROR(LOOKUP(2,1/(单次交易!$A$2:$A$201=A781),单次交易!$E$2:$E$201)*LOOKUP(2,1/(单次交易!$A$2:$A$201=A781),单次交易!$H$2:$H$201),0)+SUMIFS($H$2:$H$1001,$A$2:$A$1001,A781,$B$2:$B$1001,"&lt;"&amp;B781))</f>
        <v/>
      </c>
      <c r="K781" s="16" t="str">
        <f t="shared" si="109"/>
        <v/>
      </c>
      <c r="L781" s="17" t="str">
        <f t="shared" si="110"/>
        <v/>
      </c>
      <c r="M781" s="17" t="str">
        <f t="shared" si="111"/>
        <v/>
      </c>
      <c r="N781" s="17" t="str">
        <f t="shared" si="112"/>
        <v/>
      </c>
      <c r="O781" s="17" t="str">
        <f t="shared" si="113"/>
        <v/>
      </c>
      <c r="P781" s="16" t="str">
        <f t="shared" si="114"/>
        <v/>
      </c>
      <c r="Q781" s="16" t="str">
        <f t="shared" si="115"/>
        <v/>
      </c>
      <c r="R781" s="18" t="str">
        <f t="shared" si="116"/>
        <v/>
      </c>
    </row>
    <row r="782" spans="1:18">
      <c r="A782" s="12"/>
      <c r="B782" s="13"/>
      <c r="C782" s="14"/>
      <c r="D782" s="15"/>
      <c r="E782" s="15"/>
      <c r="F782" s="15"/>
      <c r="G782" s="13"/>
      <c r="H782" s="16" t="str">
        <f t="shared" si="108"/>
        <v/>
      </c>
      <c r="I782" s="17" t="str">
        <f>IF(OR(A782="",B782=""),"",IFERROR(LOOKUP(2,1/(单次交易!$A$2:$A$201=A782),单次交易!$H$2:$H$201),0)+SUMIFS($G$2:$G$1001,$A$2:$A$1001,A782,$B$2:$B$1001,"&lt;"&amp;B782))</f>
        <v/>
      </c>
      <c r="J782" s="16" t="str">
        <f>IF(OR(A782="",B782=""),"",IFERROR(LOOKUP(2,1/(单次交易!$A$2:$A$201=A782),单次交易!$E$2:$E$201)*LOOKUP(2,1/(单次交易!$A$2:$A$201=A782),单次交易!$H$2:$H$201),0)+SUMIFS($H$2:$H$1001,$A$2:$A$1001,A782,$B$2:$B$1001,"&lt;"&amp;B782))</f>
        <v/>
      </c>
      <c r="K782" s="16" t="str">
        <f t="shared" si="109"/>
        <v/>
      </c>
      <c r="L782" s="17" t="str">
        <f t="shared" si="110"/>
        <v/>
      </c>
      <c r="M782" s="17" t="str">
        <f t="shared" si="111"/>
        <v/>
      </c>
      <c r="N782" s="17" t="str">
        <f t="shared" si="112"/>
        <v/>
      </c>
      <c r="O782" s="17" t="str">
        <f t="shared" si="113"/>
        <v/>
      </c>
      <c r="P782" s="16" t="str">
        <f t="shared" si="114"/>
        <v/>
      </c>
      <c r="Q782" s="16" t="str">
        <f t="shared" si="115"/>
        <v/>
      </c>
      <c r="R782" s="18" t="str">
        <f t="shared" si="116"/>
        <v/>
      </c>
    </row>
    <row r="783" spans="1:18">
      <c r="A783" s="12"/>
      <c r="B783" s="13"/>
      <c r="C783" s="14"/>
      <c r="D783" s="15"/>
      <c r="E783" s="15"/>
      <c r="F783" s="15"/>
      <c r="G783" s="13"/>
      <c r="H783" s="16" t="str">
        <f t="shared" si="108"/>
        <v/>
      </c>
      <c r="I783" s="17" t="str">
        <f>IF(OR(A783="",B783=""),"",IFERROR(LOOKUP(2,1/(单次交易!$A$2:$A$201=A783),单次交易!$H$2:$H$201),0)+SUMIFS($G$2:$G$1001,$A$2:$A$1001,A783,$B$2:$B$1001,"&lt;"&amp;B783))</f>
        <v/>
      </c>
      <c r="J783" s="16" t="str">
        <f>IF(OR(A783="",B783=""),"",IFERROR(LOOKUP(2,1/(单次交易!$A$2:$A$201=A783),单次交易!$E$2:$E$201)*LOOKUP(2,1/(单次交易!$A$2:$A$201=A783),单次交易!$H$2:$H$201),0)+SUMIFS($H$2:$H$1001,$A$2:$A$1001,A783,$B$2:$B$1001,"&lt;"&amp;B783))</f>
        <v/>
      </c>
      <c r="K783" s="16" t="str">
        <f t="shared" si="109"/>
        <v/>
      </c>
      <c r="L783" s="17" t="str">
        <f t="shared" si="110"/>
        <v/>
      </c>
      <c r="M783" s="17" t="str">
        <f t="shared" si="111"/>
        <v/>
      </c>
      <c r="N783" s="17" t="str">
        <f t="shared" si="112"/>
        <v/>
      </c>
      <c r="O783" s="17" t="str">
        <f t="shared" si="113"/>
        <v/>
      </c>
      <c r="P783" s="16" t="str">
        <f t="shared" si="114"/>
        <v/>
      </c>
      <c r="Q783" s="16" t="str">
        <f t="shared" si="115"/>
        <v/>
      </c>
      <c r="R783" s="18" t="str">
        <f t="shared" si="116"/>
        <v/>
      </c>
    </row>
    <row r="784" spans="1:18">
      <c r="A784" s="12"/>
      <c r="B784" s="13"/>
      <c r="C784" s="14"/>
      <c r="D784" s="15"/>
      <c r="E784" s="15"/>
      <c r="F784" s="15"/>
      <c r="G784" s="13"/>
      <c r="H784" s="16" t="str">
        <f t="shared" si="108"/>
        <v/>
      </c>
      <c r="I784" s="17" t="str">
        <f>IF(OR(A784="",B784=""),"",IFERROR(LOOKUP(2,1/(单次交易!$A$2:$A$201=A784),单次交易!$H$2:$H$201),0)+SUMIFS($G$2:$G$1001,$A$2:$A$1001,A784,$B$2:$B$1001,"&lt;"&amp;B784))</f>
        <v/>
      </c>
      <c r="J784" s="16" t="str">
        <f>IF(OR(A784="",B784=""),"",IFERROR(LOOKUP(2,1/(单次交易!$A$2:$A$201=A784),单次交易!$E$2:$E$201)*LOOKUP(2,1/(单次交易!$A$2:$A$201=A784),单次交易!$H$2:$H$201),0)+SUMIFS($H$2:$H$1001,$A$2:$A$1001,A784,$B$2:$B$1001,"&lt;"&amp;B784))</f>
        <v/>
      </c>
      <c r="K784" s="16" t="str">
        <f t="shared" si="109"/>
        <v/>
      </c>
      <c r="L784" s="17" t="str">
        <f t="shared" si="110"/>
        <v/>
      </c>
      <c r="M784" s="17" t="str">
        <f t="shared" si="111"/>
        <v/>
      </c>
      <c r="N784" s="17" t="str">
        <f t="shared" si="112"/>
        <v/>
      </c>
      <c r="O784" s="17" t="str">
        <f t="shared" si="113"/>
        <v/>
      </c>
      <c r="P784" s="16" t="str">
        <f t="shared" si="114"/>
        <v/>
      </c>
      <c r="Q784" s="16" t="str">
        <f t="shared" si="115"/>
        <v/>
      </c>
      <c r="R784" s="18" t="str">
        <f t="shared" si="116"/>
        <v/>
      </c>
    </row>
    <row r="785" spans="1:18">
      <c r="A785" s="12"/>
      <c r="B785" s="13"/>
      <c r="C785" s="14"/>
      <c r="D785" s="15"/>
      <c r="E785" s="15"/>
      <c r="F785" s="15"/>
      <c r="G785" s="13"/>
      <c r="H785" s="16" t="str">
        <f t="shared" si="108"/>
        <v/>
      </c>
      <c r="I785" s="17" t="str">
        <f>IF(OR(A785="",B785=""),"",IFERROR(LOOKUP(2,1/(单次交易!$A$2:$A$201=A785),单次交易!$H$2:$H$201),0)+SUMIFS($G$2:$G$1001,$A$2:$A$1001,A785,$B$2:$B$1001,"&lt;"&amp;B785))</f>
        <v/>
      </c>
      <c r="J785" s="16" t="str">
        <f>IF(OR(A785="",B785=""),"",IFERROR(LOOKUP(2,1/(单次交易!$A$2:$A$201=A785),单次交易!$E$2:$E$201)*LOOKUP(2,1/(单次交易!$A$2:$A$201=A785),单次交易!$H$2:$H$201),0)+SUMIFS($H$2:$H$1001,$A$2:$A$1001,A785,$B$2:$B$1001,"&lt;"&amp;B785))</f>
        <v/>
      </c>
      <c r="K785" s="16" t="str">
        <f t="shared" si="109"/>
        <v/>
      </c>
      <c r="L785" s="17" t="str">
        <f t="shared" si="110"/>
        <v/>
      </c>
      <c r="M785" s="17" t="str">
        <f t="shared" si="111"/>
        <v/>
      </c>
      <c r="N785" s="17" t="str">
        <f t="shared" si="112"/>
        <v/>
      </c>
      <c r="O785" s="17" t="str">
        <f t="shared" si="113"/>
        <v/>
      </c>
      <c r="P785" s="16" t="str">
        <f t="shared" si="114"/>
        <v/>
      </c>
      <c r="Q785" s="16" t="str">
        <f t="shared" si="115"/>
        <v/>
      </c>
      <c r="R785" s="18" t="str">
        <f t="shared" si="116"/>
        <v/>
      </c>
    </row>
    <row r="786" spans="1:18">
      <c r="A786" s="12"/>
      <c r="B786" s="13"/>
      <c r="C786" s="14"/>
      <c r="D786" s="15"/>
      <c r="E786" s="15"/>
      <c r="F786" s="15"/>
      <c r="G786" s="13"/>
      <c r="H786" s="16" t="str">
        <f t="shared" si="108"/>
        <v/>
      </c>
      <c r="I786" s="17" t="str">
        <f>IF(OR(A786="",B786=""),"",IFERROR(LOOKUP(2,1/(单次交易!$A$2:$A$201=A786),单次交易!$H$2:$H$201),0)+SUMIFS($G$2:$G$1001,$A$2:$A$1001,A786,$B$2:$B$1001,"&lt;"&amp;B786))</f>
        <v/>
      </c>
      <c r="J786" s="16" t="str">
        <f>IF(OR(A786="",B786=""),"",IFERROR(LOOKUP(2,1/(单次交易!$A$2:$A$201=A786),单次交易!$E$2:$E$201)*LOOKUP(2,1/(单次交易!$A$2:$A$201=A786),单次交易!$H$2:$H$201),0)+SUMIFS($H$2:$H$1001,$A$2:$A$1001,A786,$B$2:$B$1001,"&lt;"&amp;B786))</f>
        <v/>
      </c>
      <c r="K786" s="16" t="str">
        <f t="shared" si="109"/>
        <v/>
      </c>
      <c r="L786" s="17" t="str">
        <f t="shared" si="110"/>
        <v/>
      </c>
      <c r="M786" s="17" t="str">
        <f t="shared" si="111"/>
        <v/>
      </c>
      <c r="N786" s="17" t="str">
        <f t="shared" si="112"/>
        <v/>
      </c>
      <c r="O786" s="17" t="str">
        <f t="shared" si="113"/>
        <v/>
      </c>
      <c r="P786" s="16" t="str">
        <f t="shared" si="114"/>
        <v/>
      </c>
      <c r="Q786" s="16" t="str">
        <f t="shared" si="115"/>
        <v/>
      </c>
      <c r="R786" s="18" t="str">
        <f t="shared" si="116"/>
        <v/>
      </c>
    </row>
    <row r="787" spans="1:18">
      <c r="A787" s="12"/>
      <c r="B787" s="13"/>
      <c r="C787" s="14"/>
      <c r="D787" s="15"/>
      <c r="E787" s="15"/>
      <c r="F787" s="15"/>
      <c r="G787" s="13"/>
      <c r="H787" s="16" t="str">
        <f t="shared" si="108"/>
        <v/>
      </c>
      <c r="I787" s="17" t="str">
        <f>IF(OR(A787="",B787=""),"",IFERROR(LOOKUP(2,1/(单次交易!$A$2:$A$201=A787),单次交易!$H$2:$H$201),0)+SUMIFS($G$2:$G$1001,$A$2:$A$1001,A787,$B$2:$B$1001,"&lt;"&amp;B787))</f>
        <v/>
      </c>
      <c r="J787" s="16" t="str">
        <f>IF(OR(A787="",B787=""),"",IFERROR(LOOKUP(2,1/(单次交易!$A$2:$A$201=A787),单次交易!$E$2:$E$201)*LOOKUP(2,1/(单次交易!$A$2:$A$201=A787),单次交易!$H$2:$H$201),0)+SUMIFS($H$2:$H$1001,$A$2:$A$1001,A787,$B$2:$B$1001,"&lt;"&amp;B787))</f>
        <v/>
      </c>
      <c r="K787" s="16" t="str">
        <f t="shared" si="109"/>
        <v/>
      </c>
      <c r="L787" s="17" t="str">
        <f t="shared" si="110"/>
        <v/>
      </c>
      <c r="M787" s="17" t="str">
        <f t="shared" si="111"/>
        <v/>
      </c>
      <c r="N787" s="17" t="str">
        <f t="shared" si="112"/>
        <v/>
      </c>
      <c r="O787" s="17" t="str">
        <f t="shared" si="113"/>
        <v/>
      </c>
      <c r="P787" s="16" t="str">
        <f t="shared" si="114"/>
        <v/>
      </c>
      <c r="Q787" s="16" t="str">
        <f t="shared" si="115"/>
        <v/>
      </c>
      <c r="R787" s="18" t="str">
        <f t="shared" si="116"/>
        <v/>
      </c>
    </row>
    <row r="788" spans="1:18">
      <c r="A788" s="12"/>
      <c r="B788" s="13"/>
      <c r="C788" s="14"/>
      <c r="D788" s="15"/>
      <c r="E788" s="15"/>
      <c r="F788" s="15"/>
      <c r="G788" s="13"/>
      <c r="H788" s="16" t="str">
        <f t="shared" si="108"/>
        <v/>
      </c>
      <c r="I788" s="17" t="str">
        <f>IF(OR(A788="",B788=""),"",IFERROR(LOOKUP(2,1/(单次交易!$A$2:$A$201=A788),单次交易!$H$2:$H$201),0)+SUMIFS($G$2:$G$1001,$A$2:$A$1001,A788,$B$2:$B$1001,"&lt;"&amp;B788))</f>
        <v/>
      </c>
      <c r="J788" s="16" t="str">
        <f>IF(OR(A788="",B788=""),"",IFERROR(LOOKUP(2,1/(单次交易!$A$2:$A$201=A788),单次交易!$E$2:$E$201)*LOOKUP(2,1/(单次交易!$A$2:$A$201=A788),单次交易!$H$2:$H$201),0)+SUMIFS($H$2:$H$1001,$A$2:$A$1001,A788,$B$2:$B$1001,"&lt;"&amp;B788))</f>
        <v/>
      </c>
      <c r="K788" s="16" t="str">
        <f t="shared" si="109"/>
        <v/>
      </c>
      <c r="L788" s="17" t="str">
        <f t="shared" si="110"/>
        <v/>
      </c>
      <c r="M788" s="17" t="str">
        <f t="shared" si="111"/>
        <v/>
      </c>
      <c r="N788" s="17" t="str">
        <f t="shared" si="112"/>
        <v/>
      </c>
      <c r="O788" s="17" t="str">
        <f t="shared" si="113"/>
        <v/>
      </c>
      <c r="P788" s="16" t="str">
        <f t="shared" si="114"/>
        <v/>
      </c>
      <c r="Q788" s="16" t="str">
        <f t="shared" si="115"/>
        <v/>
      </c>
      <c r="R788" s="18" t="str">
        <f t="shared" si="116"/>
        <v/>
      </c>
    </row>
    <row r="789" spans="1:18">
      <c r="A789" s="12"/>
      <c r="B789" s="13"/>
      <c r="C789" s="14"/>
      <c r="D789" s="15"/>
      <c r="E789" s="15"/>
      <c r="F789" s="15"/>
      <c r="G789" s="13"/>
      <c r="H789" s="16" t="str">
        <f t="shared" si="108"/>
        <v/>
      </c>
      <c r="I789" s="17" t="str">
        <f>IF(OR(A789="",B789=""),"",IFERROR(LOOKUP(2,1/(单次交易!$A$2:$A$201=A789),单次交易!$H$2:$H$201),0)+SUMIFS($G$2:$G$1001,$A$2:$A$1001,A789,$B$2:$B$1001,"&lt;"&amp;B789))</f>
        <v/>
      </c>
      <c r="J789" s="16" t="str">
        <f>IF(OR(A789="",B789=""),"",IFERROR(LOOKUP(2,1/(单次交易!$A$2:$A$201=A789),单次交易!$E$2:$E$201)*LOOKUP(2,1/(单次交易!$A$2:$A$201=A789),单次交易!$H$2:$H$201),0)+SUMIFS($H$2:$H$1001,$A$2:$A$1001,A789,$B$2:$B$1001,"&lt;"&amp;B789))</f>
        <v/>
      </c>
      <c r="K789" s="16" t="str">
        <f t="shared" si="109"/>
        <v/>
      </c>
      <c r="L789" s="17" t="str">
        <f t="shared" si="110"/>
        <v/>
      </c>
      <c r="M789" s="17" t="str">
        <f t="shared" si="111"/>
        <v/>
      </c>
      <c r="N789" s="17" t="str">
        <f t="shared" si="112"/>
        <v/>
      </c>
      <c r="O789" s="17" t="str">
        <f t="shared" si="113"/>
        <v/>
      </c>
      <c r="P789" s="16" t="str">
        <f t="shared" si="114"/>
        <v/>
      </c>
      <c r="Q789" s="16" t="str">
        <f t="shared" si="115"/>
        <v/>
      </c>
      <c r="R789" s="18" t="str">
        <f t="shared" si="116"/>
        <v/>
      </c>
    </row>
    <row r="790" spans="1:18">
      <c r="A790" s="12"/>
      <c r="B790" s="13"/>
      <c r="C790" s="14"/>
      <c r="D790" s="15"/>
      <c r="E790" s="15"/>
      <c r="F790" s="15"/>
      <c r="G790" s="13"/>
      <c r="H790" s="16" t="str">
        <f t="shared" si="108"/>
        <v/>
      </c>
      <c r="I790" s="17" t="str">
        <f>IF(OR(A790="",B790=""),"",IFERROR(LOOKUP(2,1/(单次交易!$A$2:$A$201=A790),单次交易!$H$2:$H$201),0)+SUMIFS($G$2:$G$1001,$A$2:$A$1001,A790,$B$2:$B$1001,"&lt;"&amp;B790))</f>
        <v/>
      </c>
      <c r="J790" s="16" t="str">
        <f>IF(OR(A790="",B790=""),"",IFERROR(LOOKUP(2,1/(单次交易!$A$2:$A$201=A790),单次交易!$E$2:$E$201)*LOOKUP(2,1/(单次交易!$A$2:$A$201=A790),单次交易!$H$2:$H$201),0)+SUMIFS($H$2:$H$1001,$A$2:$A$1001,A790,$B$2:$B$1001,"&lt;"&amp;B790))</f>
        <v/>
      </c>
      <c r="K790" s="16" t="str">
        <f t="shared" si="109"/>
        <v/>
      </c>
      <c r="L790" s="17" t="str">
        <f t="shared" si="110"/>
        <v/>
      </c>
      <c r="M790" s="17" t="str">
        <f t="shared" si="111"/>
        <v/>
      </c>
      <c r="N790" s="17" t="str">
        <f t="shared" si="112"/>
        <v/>
      </c>
      <c r="O790" s="17" t="str">
        <f t="shared" si="113"/>
        <v/>
      </c>
      <c r="P790" s="16" t="str">
        <f t="shared" si="114"/>
        <v/>
      </c>
      <c r="Q790" s="16" t="str">
        <f t="shared" si="115"/>
        <v/>
      </c>
      <c r="R790" s="18" t="str">
        <f t="shared" si="116"/>
        <v/>
      </c>
    </row>
    <row r="791" spans="1:18">
      <c r="A791" s="12"/>
      <c r="B791" s="13"/>
      <c r="C791" s="14"/>
      <c r="D791" s="15"/>
      <c r="E791" s="15"/>
      <c r="F791" s="15"/>
      <c r="G791" s="13"/>
      <c r="H791" s="16" t="str">
        <f t="shared" si="108"/>
        <v/>
      </c>
      <c r="I791" s="17" t="str">
        <f>IF(OR(A791="",B791=""),"",IFERROR(LOOKUP(2,1/(单次交易!$A$2:$A$201=A791),单次交易!$H$2:$H$201),0)+SUMIFS($G$2:$G$1001,$A$2:$A$1001,A791,$B$2:$B$1001,"&lt;"&amp;B791))</f>
        <v/>
      </c>
      <c r="J791" s="16" t="str">
        <f>IF(OR(A791="",B791=""),"",IFERROR(LOOKUP(2,1/(单次交易!$A$2:$A$201=A791),单次交易!$E$2:$E$201)*LOOKUP(2,1/(单次交易!$A$2:$A$201=A791),单次交易!$H$2:$H$201),0)+SUMIFS($H$2:$H$1001,$A$2:$A$1001,A791,$B$2:$B$1001,"&lt;"&amp;B791))</f>
        <v/>
      </c>
      <c r="K791" s="16" t="str">
        <f t="shared" si="109"/>
        <v/>
      </c>
      <c r="L791" s="17" t="str">
        <f t="shared" si="110"/>
        <v/>
      </c>
      <c r="M791" s="17" t="str">
        <f t="shared" si="111"/>
        <v/>
      </c>
      <c r="N791" s="17" t="str">
        <f t="shared" si="112"/>
        <v/>
      </c>
      <c r="O791" s="17" t="str">
        <f t="shared" si="113"/>
        <v/>
      </c>
      <c r="P791" s="16" t="str">
        <f t="shared" si="114"/>
        <v/>
      </c>
      <c r="Q791" s="16" t="str">
        <f t="shared" si="115"/>
        <v/>
      </c>
      <c r="R791" s="18" t="str">
        <f t="shared" si="116"/>
        <v/>
      </c>
    </row>
    <row r="792" spans="1:18">
      <c r="A792" s="12"/>
      <c r="B792" s="13"/>
      <c r="C792" s="14"/>
      <c r="D792" s="15"/>
      <c r="E792" s="15"/>
      <c r="F792" s="15"/>
      <c r="G792" s="13"/>
      <c r="H792" s="16" t="str">
        <f t="shared" si="108"/>
        <v/>
      </c>
      <c r="I792" s="17" t="str">
        <f>IF(OR(A792="",B792=""),"",IFERROR(LOOKUP(2,1/(单次交易!$A$2:$A$201=A792),单次交易!$H$2:$H$201),0)+SUMIFS($G$2:$G$1001,$A$2:$A$1001,A792,$B$2:$B$1001,"&lt;"&amp;B792))</f>
        <v/>
      </c>
      <c r="J792" s="16" t="str">
        <f>IF(OR(A792="",B792=""),"",IFERROR(LOOKUP(2,1/(单次交易!$A$2:$A$201=A792),单次交易!$E$2:$E$201)*LOOKUP(2,1/(单次交易!$A$2:$A$201=A792),单次交易!$H$2:$H$201),0)+SUMIFS($H$2:$H$1001,$A$2:$A$1001,A792,$B$2:$B$1001,"&lt;"&amp;B792))</f>
        <v/>
      </c>
      <c r="K792" s="16" t="str">
        <f t="shared" si="109"/>
        <v/>
      </c>
      <c r="L792" s="17" t="str">
        <f t="shared" si="110"/>
        <v/>
      </c>
      <c r="M792" s="17" t="str">
        <f t="shared" si="111"/>
        <v/>
      </c>
      <c r="N792" s="17" t="str">
        <f t="shared" si="112"/>
        <v/>
      </c>
      <c r="O792" s="17" t="str">
        <f t="shared" si="113"/>
        <v/>
      </c>
      <c r="P792" s="16" t="str">
        <f t="shared" si="114"/>
        <v/>
      </c>
      <c r="Q792" s="16" t="str">
        <f t="shared" si="115"/>
        <v/>
      </c>
      <c r="R792" s="18" t="str">
        <f t="shared" si="116"/>
        <v/>
      </c>
    </row>
    <row r="793" spans="1:18">
      <c r="A793" s="12"/>
      <c r="B793" s="13"/>
      <c r="C793" s="14"/>
      <c r="D793" s="15"/>
      <c r="E793" s="15"/>
      <c r="F793" s="15"/>
      <c r="G793" s="13"/>
      <c r="H793" s="16" t="str">
        <f t="shared" si="108"/>
        <v/>
      </c>
      <c r="I793" s="17" t="str">
        <f>IF(OR(A793="",B793=""),"",IFERROR(LOOKUP(2,1/(单次交易!$A$2:$A$201=A793),单次交易!$H$2:$H$201),0)+SUMIFS($G$2:$G$1001,$A$2:$A$1001,A793,$B$2:$B$1001,"&lt;"&amp;B793))</f>
        <v/>
      </c>
      <c r="J793" s="16" t="str">
        <f>IF(OR(A793="",B793=""),"",IFERROR(LOOKUP(2,1/(单次交易!$A$2:$A$201=A793),单次交易!$E$2:$E$201)*LOOKUP(2,1/(单次交易!$A$2:$A$201=A793),单次交易!$H$2:$H$201),0)+SUMIFS($H$2:$H$1001,$A$2:$A$1001,A793,$B$2:$B$1001,"&lt;"&amp;B793))</f>
        <v/>
      </c>
      <c r="K793" s="16" t="str">
        <f t="shared" si="109"/>
        <v/>
      </c>
      <c r="L793" s="17" t="str">
        <f t="shared" si="110"/>
        <v/>
      </c>
      <c r="M793" s="17" t="str">
        <f t="shared" si="111"/>
        <v/>
      </c>
      <c r="N793" s="17" t="str">
        <f t="shared" si="112"/>
        <v/>
      </c>
      <c r="O793" s="17" t="str">
        <f t="shared" si="113"/>
        <v/>
      </c>
      <c r="P793" s="16" t="str">
        <f t="shared" si="114"/>
        <v/>
      </c>
      <c r="Q793" s="16" t="str">
        <f t="shared" si="115"/>
        <v/>
      </c>
      <c r="R793" s="18" t="str">
        <f t="shared" si="116"/>
        <v/>
      </c>
    </row>
    <row r="794" spans="1:18">
      <c r="A794" s="12"/>
      <c r="B794" s="13"/>
      <c r="C794" s="14"/>
      <c r="D794" s="15"/>
      <c r="E794" s="15"/>
      <c r="F794" s="15"/>
      <c r="G794" s="13"/>
      <c r="H794" s="16" t="str">
        <f t="shared" si="108"/>
        <v/>
      </c>
      <c r="I794" s="17" t="str">
        <f>IF(OR(A794="",B794=""),"",IFERROR(LOOKUP(2,1/(单次交易!$A$2:$A$201=A794),单次交易!$H$2:$H$201),0)+SUMIFS($G$2:$G$1001,$A$2:$A$1001,A794,$B$2:$B$1001,"&lt;"&amp;B794))</f>
        <v/>
      </c>
      <c r="J794" s="16" t="str">
        <f>IF(OR(A794="",B794=""),"",IFERROR(LOOKUP(2,1/(单次交易!$A$2:$A$201=A794),单次交易!$E$2:$E$201)*LOOKUP(2,1/(单次交易!$A$2:$A$201=A794),单次交易!$H$2:$H$201),0)+SUMIFS($H$2:$H$1001,$A$2:$A$1001,A794,$B$2:$B$1001,"&lt;"&amp;B794))</f>
        <v/>
      </c>
      <c r="K794" s="16" t="str">
        <f t="shared" si="109"/>
        <v/>
      </c>
      <c r="L794" s="17" t="str">
        <f t="shared" si="110"/>
        <v/>
      </c>
      <c r="M794" s="17" t="str">
        <f t="shared" si="111"/>
        <v/>
      </c>
      <c r="N794" s="17" t="str">
        <f t="shared" si="112"/>
        <v/>
      </c>
      <c r="O794" s="17" t="str">
        <f t="shared" si="113"/>
        <v/>
      </c>
      <c r="P794" s="16" t="str">
        <f t="shared" si="114"/>
        <v/>
      </c>
      <c r="Q794" s="16" t="str">
        <f t="shared" si="115"/>
        <v/>
      </c>
      <c r="R794" s="18" t="str">
        <f t="shared" si="116"/>
        <v/>
      </c>
    </row>
    <row r="795" spans="1:18">
      <c r="A795" s="12"/>
      <c r="B795" s="13"/>
      <c r="C795" s="14"/>
      <c r="D795" s="15"/>
      <c r="E795" s="15"/>
      <c r="F795" s="15"/>
      <c r="G795" s="13"/>
      <c r="H795" s="16" t="str">
        <f t="shared" si="108"/>
        <v/>
      </c>
      <c r="I795" s="17" t="str">
        <f>IF(OR(A795="",B795=""),"",IFERROR(LOOKUP(2,1/(单次交易!$A$2:$A$201=A795),单次交易!$H$2:$H$201),0)+SUMIFS($G$2:$G$1001,$A$2:$A$1001,A795,$B$2:$B$1001,"&lt;"&amp;B795))</f>
        <v/>
      </c>
      <c r="J795" s="16" t="str">
        <f>IF(OR(A795="",B795=""),"",IFERROR(LOOKUP(2,1/(单次交易!$A$2:$A$201=A795),单次交易!$E$2:$E$201)*LOOKUP(2,1/(单次交易!$A$2:$A$201=A795),单次交易!$H$2:$H$201),0)+SUMIFS($H$2:$H$1001,$A$2:$A$1001,A795,$B$2:$B$1001,"&lt;"&amp;B795))</f>
        <v/>
      </c>
      <c r="K795" s="16" t="str">
        <f t="shared" si="109"/>
        <v/>
      </c>
      <c r="L795" s="17" t="str">
        <f t="shared" si="110"/>
        <v/>
      </c>
      <c r="M795" s="17" t="str">
        <f t="shared" si="111"/>
        <v/>
      </c>
      <c r="N795" s="17" t="str">
        <f t="shared" si="112"/>
        <v/>
      </c>
      <c r="O795" s="17" t="str">
        <f t="shared" si="113"/>
        <v/>
      </c>
      <c r="P795" s="16" t="str">
        <f t="shared" si="114"/>
        <v/>
      </c>
      <c r="Q795" s="16" t="str">
        <f t="shared" si="115"/>
        <v/>
      </c>
      <c r="R795" s="18" t="str">
        <f t="shared" si="116"/>
        <v/>
      </c>
    </row>
    <row r="796" spans="1:18">
      <c r="A796" s="12"/>
      <c r="B796" s="13"/>
      <c r="C796" s="14"/>
      <c r="D796" s="15"/>
      <c r="E796" s="15"/>
      <c r="F796" s="15"/>
      <c r="G796" s="13"/>
      <c r="H796" s="16" t="str">
        <f t="shared" si="108"/>
        <v/>
      </c>
      <c r="I796" s="17" t="str">
        <f>IF(OR(A796="",B796=""),"",IFERROR(LOOKUP(2,1/(单次交易!$A$2:$A$201=A796),单次交易!$H$2:$H$201),0)+SUMIFS($G$2:$G$1001,$A$2:$A$1001,A796,$B$2:$B$1001,"&lt;"&amp;B796))</f>
        <v/>
      </c>
      <c r="J796" s="16" t="str">
        <f>IF(OR(A796="",B796=""),"",IFERROR(LOOKUP(2,1/(单次交易!$A$2:$A$201=A796),单次交易!$E$2:$E$201)*LOOKUP(2,1/(单次交易!$A$2:$A$201=A796),单次交易!$H$2:$H$201),0)+SUMIFS($H$2:$H$1001,$A$2:$A$1001,A796,$B$2:$B$1001,"&lt;"&amp;B796))</f>
        <v/>
      </c>
      <c r="K796" s="16" t="str">
        <f t="shared" si="109"/>
        <v/>
      </c>
      <c r="L796" s="17" t="str">
        <f t="shared" si="110"/>
        <v/>
      </c>
      <c r="M796" s="17" t="str">
        <f t="shared" si="111"/>
        <v/>
      </c>
      <c r="N796" s="17" t="str">
        <f t="shared" si="112"/>
        <v/>
      </c>
      <c r="O796" s="17" t="str">
        <f t="shared" si="113"/>
        <v/>
      </c>
      <c r="P796" s="16" t="str">
        <f t="shared" si="114"/>
        <v/>
      </c>
      <c r="Q796" s="16" t="str">
        <f t="shared" si="115"/>
        <v/>
      </c>
      <c r="R796" s="18" t="str">
        <f t="shared" si="116"/>
        <v/>
      </c>
    </row>
    <row r="797" spans="1:18">
      <c r="A797" s="12"/>
      <c r="B797" s="13"/>
      <c r="C797" s="14"/>
      <c r="D797" s="15"/>
      <c r="E797" s="15"/>
      <c r="F797" s="15"/>
      <c r="G797" s="13"/>
      <c r="H797" s="16" t="str">
        <f t="shared" si="108"/>
        <v/>
      </c>
      <c r="I797" s="17" t="str">
        <f>IF(OR(A797="",B797=""),"",IFERROR(LOOKUP(2,1/(单次交易!$A$2:$A$201=A797),单次交易!$H$2:$H$201),0)+SUMIFS($G$2:$G$1001,$A$2:$A$1001,A797,$B$2:$B$1001,"&lt;"&amp;B797))</f>
        <v/>
      </c>
      <c r="J797" s="16" t="str">
        <f>IF(OR(A797="",B797=""),"",IFERROR(LOOKUP(2,1/(单次交易!$A$2:$A$201=A797),单次交易!$E$2:$E$201)*LOOKUP(2,1/(单次交易!$A$2:$A$201=A797),单次交易!$H$2:$H$201),0)+SUMIFS($H$2:$H$1001,$A$2:$A$1001,A797,$B$2:$B$1001,"&lt;"&amp;B797))</f>
        <v/>
      </c>
      <c r="K797" s="16" t="str">
        <f t="shared" si="109"/>
        <v/>
      </c>
      <c r="L797" s="17" t="str">
        <f t="shared" si="110"/>
        <v/>
      </c>
      <c r="M797" s="17" t="str">
        <f t="shared" si="111"/>
        <v/>
      </c>
      <c r="N797" s="17" t="str">
        <f t="shared" si="112"/>
        <v/>
      </c>
      <c r="O797" s="17" t="str">
        <f t="shared" si="113"/>
        <v/>
      </c>
      <c r="P797" s="16" t="str">
        <f t="shared" si="114"/>
        <v/>
      </c>
      <c r="Q797" s="16" t="str">
        <f t="shared" si="115"/>
        <v/>
      </c>
      <c r="R797" s="18" t="str">
        <f t="shared" si="116"/>
        <v/>
      </c>
    </row>
    <row r="798" spans="1:18">
      <c r="A798" s="12"/>
      <c r="B798" s="13"/>
      <c r="C798" s="14"/>
      <c r="D798" s="15"/>
      <c r="E798" s="15"/>
      <c r="F798" s="15"/>
      <c r="G798" s="13"/>
      <c r="H798" s="16" t="str">
        <f t="shared" si="108"/>
        <v/>
      </c>
      <c r="I798" s="17" t="str">
        <f>IF(OR(A798="",B798=""),"",IFERROR(LOOKUP(2,1/(单次交易!$A$2:$A$201=A798),单次交易!$H$2:$H$201),0)+SUMIFS($G$2:$G$1001,$A$2:$A$1001,A798,$B$2:$B$1001,"&lt;"&amp;B798))</f>
        <v/>
      </c>
      <c r="J798" s="16" t="str">
        <f>IF(OR(A798="",B798=""),"",IFERROR(LOOKUP(2,1/(单次交易!$A$2:$A$201=A798),单次交易!$E$2:$E$201)*LOOKUP(2,1/(单次交易!$A$2:$A$201=A798),单次交易!$H$2:$H$201),0)+SUMIFS($H$2:$H$1001,$A$2:$A$1001,A798,$B$2:$B$1001,"&lt;"&amp;B798))</f>
        <v/>
      </c>
      <c r="K798" s="16" t="str">
        <f t="shared" si="109"/>
        <v/>
      </c>
      <c r="L798" s="17" t="str">
        <f t="shared" si="110"/>
        <v/>
      </c>
      <c r="M798" s="17" t="str">
        <f t="shared" si="111"/>
        <v/>
      </c>
      <c r="N798" s="17" t="str">
        <f t="shared" si="112"/>
        <v/>
      </c>
      <c r="O798" s="17" t="str">
        <f t="shared" si="113"/>
        <v/>
      </c>
      <c r="P798" s="16" t="str">
        <f t="shared" si="114"/>
        <v/>
      </c>
      <c r="Q798" s="16" t="str">
        <f t="shared" si="115"/>
        <v/>
      </c>
      <c r="R798" s="18" t="str">
        <f t="shared" si="116"/>
        <v/>
      </c>
    </row>
    <row r="799" spans="1:18">
      <c r="A799" s="12"/>
      <c r="B799" s="13"/>
      <c r="C799" s="14"/>
      <c r="D799" s="15"/>
      <c r="E799" s="15"/>
      <c r="F799" s="15"/>
      <c r="G799" s="13"/>
      <c r="H799" s="16" t="str">
        <f t="shared" si="108"/>
        <v/>
      </c>
      <c r="I799" s="17" t="str">
        <f>IF(OR(A799="",B799=""),"",IFERROR(LOOKUP(2,1/(单次交易!$A$2:$A$201=A799),单次交易!$H$2:$H$201),0)+SUMIFS($G$2:$G$1001,$A$2:$A$1001,A799,$B$2:$B$1001,"&lt;"&amp;B799))</f>
        <v/>
      </c>
      <c r="J799" s="16" t="str">
        <f>IF(OR(A799="",B799=""),"",IFERROR(LOOKUP(2,1/(单次交易!$A$2:$A$201=A799),单次交易!$E$2:$E$201)*LOOKUP(2,1/(单次交易!$A$2:$A$201=A799),单次交易!$H$2:$H$201),0)+SUMIFS($H$2:$H$1001,$A$2:$A$1001,A799,$B$2:$B$1001,"&lt;"&amp;B799))</f>
        <v/>
      </c>
      <c r="K799" s="16" t="str">
        <f t="shared" si="109"/>
        <v/>
      </c>
      <c r="L799" s="17" t="str">
        <f t="shared" si="110"/>
        <v/>
      </c>
      <c r="M799" s="17" t="str">
        <f t="shared" si="111"/>
        <v/>
      </c>
      <c r="N799" s="17" t="str">
        <f t="shared" si="112"/>
        <v/>
      </c>
      <c r="O799" s="17" t="str">
        <f t="shared" si="113"/>
        <v/>
      </c>
      <c r="P799" s="16" t="str">
        <f t="shared" si="114"/>
        <v/>
      </c>
      <c r="Q799" s="16" t="str">
        <f t="shared" si="115"/>
        <v/>
      </c>
      <c r="R799" s="18" t="str">
        <f t="shared" si="116"/>
        <v/>
      </c>
    </row>
    <row r="800" spans="1:18">
      <c r="A800" s="12"/>
      <c r="B800" s="13"/>
      <c r="C800" s="14"/>
      <c r="D800" s="15"/>
      <c r="E800" s="15"/>
      <c r="F800" s="15"/>
      <c r="G800" s="13"/>
      <c r="H800" s="16" t="str">
        <f t="shared" si="108"/>
        <v/>
      </c>
      <c r="I800" s="17" t="str">
        <f>IF(OR(A800="",B800=""),"",IFERROR(LOOKUP(2,1/(单次交易!$A$2:$A$201=A800),单次交易!$H$2:$H$201),0)+SUMIFS($G$2:$G$1001,$A$2:$A$1001,A800,$B$2:$B$1001,"&lt;"&amp;B800))</f>
        <v/>
      </c>
      <c r="J800" s="16" t="str">
        <f>IF(OR(A800="",B800=""),"",IFERROR(LOOKUP(2,1/(单次交易!$A$2:$A$201=A800),单次交易!$E$2:$E$201)*LOOKUP(2,1/(单次交易!$A$2:$A$201=A800),单次交易!$H$2:$H$201),0)+SUMIFS($H$2:$H$1001,$A$2:$A$1001,A800,$B$2:$B$1001,"&lt;"&amp;B800))</f>
        <v/>
      </c>
      <c r="K800" s="16" t="str">
        <f t="shared" si="109"/>
        <v/>
      </c>
      <c r="L800" s="17" t="str">
        <f t="shared" si="110"/>
        <v/>
      </c>
      <c r="M800" s="17" t="str">
        <f t="shared" si="111"/>
        <v/>
      </c>
      <c r="N800" s="17" t="str">
        <f t="shared" si="112"/>
        <v/>
      </c>
      <c r="O800" s="17" t="str">
        <f t="shared" si="113"/>
        <v/>
      </c>
      <c r="P800" s="16" t="str">
        <f t="shared" si="114"/>
        <v/>
      </c>
      <c r="Q800" s="16" t="str">
        <f t="shared" si="115"/>
        <v/>
      </c>
      <c r="R800" s="18" t="str">
        <f t="shared" si="116"/>
        <v/>
      </c>
    </row>
    <row r="801" spans="1:18">
      <c r="A801" s="12"/>
      <c r="B801" s="13"/>
      <c r="C801" s="14"/>
      <c r="D801" s="15"/>
      <c r="E801" s="15"/>
      <c r="F801" s="15"/>
      <c r="G801" s="13"/>
      <c r="H801" s="16" t="str">
        <f t="shared" si="108"/>
        <v/>
      </c>
      <c r="I801" s="17" t="str">
        <f>IF(OR(A801="",B801=""),"",IFERROR(LOOKUP(2,1/(单次交易!$A$2:$A$201=A801),单次交易!$H$2:$H$201),0)+SUMIFS($G$2:$G$1001,$A$2:$A$1001,A801,$B$2:$B$1001,"&lt;"&amp;B801))</f>
        <v/>
      </c>
      <c r="J801" s="16" t="str">
        <f>IF(OR(A801="",B801=""),"",IFERROR(LOOKUP(2,1/(单次交易!$A$2:$A$201=A801),单次交易!$E$2:$E$201)*LOOKUP(2,1/(单次交易!$A$2:$A$201=A801),单次交易!$H$2:$H$201),0)+SUMIFS($H$2:$H$1001,$A$2:$A$1001,A801,$B$2:$B$1001,"&lt;"&amp;B801))</f>
        <v/>
      </c>
      <c r="K801" s="16" t="str">
        <f t="shared" si="109"/>
        <v/>
      </c>
      <c r="L801" s="17" t="str">
        <f t="shared" si="110"/>
        <v/>
      </c>
      <c r="M801" s="17" t="str">
        <f t="shared" si="111"/>
        <v/>
      </c>
      <c r="N801" s="17" t="str">
        <f t="shared" si="112"/>
        <v/>
      </c>
      <c r="O801" s="17" t="str">
        <f t="shared" si="113"/>
        <v/>
      </c>
      <c r="P801" s="16" t="str">
        <f t="shared" si="114"/>
        <v/>
      </c>
      <c r="Q801" s="16" t="str">
        <f t="shared" si="115"/>
        <v/>
      </c>
      <c r="R801" s="18" t="str">
        <f t="shared" si="116"/>
        <v/>
      </c>
    </row>
    <row r="802" spans="1:18">
      <c r="A802" s="12"/>
      <c r="B802" s="13"/>
      <c r="C802" s="14"/>
      <c r="D802" s="15"/>
      <c r="E802" s="15"/>
      <c r="F802" s="15"/>
      <c r="G802" s="13"/>
      <c r="H802" s="16" t="str">
        <f t="shared" si="108"/>
        <v/>
      </c>
      <c r="I802" s="17" t="str">
        <f>IF(OR(A802="",B802=""),"",IFERROR(LOOKUP(2,1/(单次交易!$A$2:$A$201=A802),单次交易!$H$2:$H$201),0)+SUMIFS($G$2:$G$1001,$A$2:$A$1001,A802,$B$2:$B$1001,"&lt;"&amp;B802))</f>
        <v/>
      </c>
      <c r="J802" s="16" t="str">
        <f>IF(OR(A802="",B802=""),"",IFERROR(LOOKUP(2,1/(单次交易!$A$2:$A$201=A802),单次交易!$E$2:$E$201)*LOOKUP(2,1/(单次交易!$A$2:$A$201=A802),单次交易!$H$2:$H$201),0)+SUMIFS($H$2:$H$1001,$A$2:$A$1001,A802,$B$2:$B$1001,"&lt;"&amp;B802))</f>
        <v/>
      </c>
      <c r="K802" s="16" t="str">
        <f t="shared" si="109"/>
        <v/>
      </c>
      <c r="L802" s="17" t="str">
        <f t="shared" si="110"/>
        <v/>
      </c>
      <c r="M802" s="17" t="str">
        <f t="shared" si="111"/>
        <v/>
      </c>
      <c r="N802" s="17" t="str">
        <f t="shared" si="112"/>
        <v/>
      </c>
      <c r="O802" s="17" t="str">
        <f t="shared" si="113"/>
        <v/>
      </c>
      <c r="P802" s="16" t="str">
        <f t="shared" si="114"/>
        <v/>
      </c>
      <c r="Q802" s="16" t="str">
        <f t="shared" si="115"/>
        <v/>
      </c>
      <c r="R802" s="18" t="str">
        <f t="shared" si="116"/>
        <v/>
      </c>
    </row>
    <row r="803" spans="1:18">
      <c r="A803" s="12"/>
      <c r="B803" s="13"/>
      <c r="C803" s="14"/>
      <c r="D803" s="15"/>
      <c r="E803" s="15"/>
      <c r="F803" s="15"/>
      <c r="G803" s="13"/>
      <c r="H803" s="16" t="str">
        <f t="shared" si="108"/>
        <v/>
      </c>
      <c r="I803" s="17" t="str">
        <f>IF(OR(A803="",B803=""),"",IFERROR(LOOKUP(2,1/(单次交易!$A$2:$A$201=A803),单次交易!$H$2:$H$201),0)+SUMIFS($G$2:$G$1001,$A$2:$A$1001,A803,$B$2:$B$1001,"&lt;"&amp;B803))</f>
        <v/>
      </c>
      <c r="J803" s="16" t="str">
        <f>IF(OR(A803="",B803=""),"",IFERROR(LOOKUP(2,1/(单次交易!$A$2:$A$201=A803),单次交易!$E$2:$E$201)*LOOKUP(2,1/(单次交易!$A$2:$A$201=A803),单次交易!$H$2:$H$201),0)+SUMIFS($H$2:$H$1001,$A$2:$A$1001,A803,$B$2:$B$1001,"&lt;"&amp;B803))</f>
        <v/>
      </c>
      <c r="K803" s="16" t="str">
        <f t="shared" si="109"/>
        <v/>
      </c>
      <c r="L803" s="17" t="str">
        <f t="shared" si="110"/>
        <v/>
      </c>
      <c r="M803" s="17" t="str">
        <f t="shared" si="111"/>
        <v/>
      </c>
      <c r="N803" s="17" t="str">
        <f t="shared" si="112"/>
        <v/>
      </c>
      <c r="O803" s="17" t="str">
        <f t="shared" si="113"/>
        <v/>
      </c>
      <c r="P803" s="16" t="str">
        <f t="shared" si="114"/>
        <v/>
      </c>
      <c r="Q803" s="16" t="str">
        <f t="shared" si="115"/>
        <v/>
      </c>
      <c r="R803" s="18" t="str">
        <f t="shared" si="116"/>
        <v/>
      </c>
    </row>
    <row r="804" spans="1:18">
      <c r="A804" s="12"/>
      <c r="B804" s="13"/>
      <c r="C804" s="14"/>
      <c r="D804" s="15"/>
      <c r="E804" s="15"/>
      <c r="F804" s="15"/>
      <c r="G804" s="13"/>
      <c r="H804" s="16" t="str">
        <f t="shared" si="108"/>
        <v/>
      </c>
      <c r="I804" s="17" t="str">
        <f>IF(OR(A804="",B804=""),"",IFERROR(LOOKUP(2,1/(单次交易!$A$2:$A$201=A804),单次交易!$H$2:$H$201),0)+SUMIFS($G$2:$G$1001,$A$2:$A$1001,A804,$B$2:$B$1001,"&lt;"&amp;B804))</f>
        <v/>
      </c>
      <c r="J804" s="16" t="str">
        <f>IF(OR(A804="",B804=""),"",IFERROR(LOOKUP(2,1/(单次交易!$A$2:$A$201=A804),单次交易!$E$2:$E$201)*LOOKUP(2,1/(单次交易!$A$2:$A$201=A804),单次交易!$H$2:$H$201),0)+SUMIFS($H$2:$H$1001,$A$2:$A$1001,A804,$B$2:$B$1001,"&lt;"&amp;B804))</f>
        <v/>
      </c>
      <c r="K804" s="16" t="str">
        <f t="shared" si="109"/>
        <v/>
      </c>
      <c r="L804" s="17" t="str">
        <f t="shared" si="110"/>
        <v/>
      </c>
      <c r="M804" s="17" t="str">
        <f t="shared" si="111"/>
        <v/>
      </c>
      <c r="N804" s="17" t="str">
        <f t="shared" si="112"/>
        <v/>
      </c>
      <c r="O804" s="17" t="str">
        <f t="shared" si="113"/>
        <v/>
      </c>
      <c r="P804" s="16" t="str">
        <f t="shared" si="114"/>
        <v/>
      </c>
      <c r="Q804" s="16" t="str">
        <f t="shared" si="115"/>
        <v/>
      </c>
      <c r="R804" s="18" t="str">
        <f t="shared" si="116"/>
        <v/>
      </c>
    </row>
    <row r="805" spans="1:18">
      <c r="A805" s="12"/>
      <c r="B805" s="13"/>
      <c r="C805" s="14"/>
      <c r="D805" s="15"/>
      <c r="E805" s="15"/>
      <c r="F805" s="15"/>
      <c r="G805" s="13"/>
      <c r="H805" s="16" t="str">
        <f t="shared" si="108"/>
        <v/>
      </c>
      <c r="I805" s="17" t="str">
        <f>IF(OR(A805="",B805=""),"",IFERROR(LOOKUP(2,1/(单次交易!$A$2:$A$201=A805),单次交易!$H$2:$H$201),0)+SUMIFS($G$2:$G$1001,$A$2:$A$1001,A805,$B$2:$B$1001,"&lt;"&amp;B805))</f>
        <v/>
      </c>
      <c r="J805" s="16" t="str">
        <f>IF(OR(A805="",B805=""),"",IFERROR(LOOKUP(2,1/(单次交易!$A$2:$A$201=A805),单次交易!$E$2:$E$201)*LOOKUP(2,1/(单次交易!$A$2:$A$201=A805),单次交易!$H$2:$H$201),0)+SUMIFS($H$2:$H$1001,$A$2:$A$1001,A805,$B$2:$B$1001,"&lt;"&amp;B805))</f>
        <v/>
      </c>
      <c r="K805" s="16" t="str">
        <f t="shared" si="109"/>
        <v/>
      </c>
      <c r="L805" s="17" t="str">
        <f t="shared" si="110"/>
        <v/>
      </c>
      <c r="M805" s="17" t="str">
        <f t="shared" si="111"/>
        <v/>
      </c>
      <c r="N805" s="17" t="str">
        <f t="shared" si="112"/>
        <v/>
      </c>
      <c r="O805" s="17" t="str">
        <f t="shared" si="113"/>
        <v/>
      </c>
      <c r="P805" s="16" t="str">
        <f t="shared" si="114"/>
        <v/>
      </c>
      <c r="Q805" s="16" t="str">
        <f t="shared" si="115"/>
        <v/>
      </c>
      <c r="R805" s="18" t="str">
        <f t="shared" si="116"/>
        <v/>
      </c>
    </row>
    <row r="806" spans="1:18">
      <c r="A806" s="12"/>
      <c r="B806" s="13"/>
      <c r="C806" s="14"/>
      <c r="D806" s="15"/>
      <c r="E806" s="15"/>
      <c r="F806" s="15"/>
      <c r="G806" s="13"/>
      <c r="H806" s="16" t="str">
        <f t="shared" si="108"/>
        <v/>
      </c>
      <c r="I806" s="17" t="str">
        <f>IF(OR(A806="",B806=""),"",IFERROR(LOOKUP(2,1/(单次交易!$A$2:$A$201=A806),单次交易!$H$2:$H$201),0)+SUMIFS($G$2:$G$1001,$A$2:$A$1001,A806,$B$2:$B$1001,"&lt;"&amp;B806))</f>
        <v/>
      </c>
      <c r="J806" s="16" t="str">
        <f>IF(OR(A806="",B806=""),"",IFERROR(LOOKUP(2,1/(单次交易!$A$2:$A$201=A806),单次交易!$E$2:$E$201)*LOOKUP(2,1/(单次交易!$A$2:$A$201=A806),单次交易!$H$2:$H$201),0)+SUMIFS($H$2:$H$1001,$A$2:$A$1001,A806,$B$2:$B$1001,"&lt;"&amp;B806))</f>
        <v/>
      </c>
      <c r="K806" s="16" t="str">
        <f t="shared" si="109"/>
        <v/>
      </c>
      <c r="L806" s="17" t="str">
        <f t="shared" si="110"/>
        <v/>
      </c>
      <c r="M806" s="17" t="str">
        <f t="shared" si="111"/>
        <v/>
      </c>
      <c r="N806" s="17" t="str">
        <f t="shared" si="112"/>
        <v/>
      </c>
      <c r="O806" s="17" t="str">
        <f t="shared" si="113"/>
        <v/>
      </c>
      <c r="P806" s="16" t="str">
        <f t="shared" si="114"/>
        <v/>
      </c>
      <c r="Q806" s="16" t="str">
        <f t="shared" si="115"/>
        <v/>
      </c>
      <c r="R806" s="18" t="str">
        <f t="shared" si="116"/>
        <v/>
      </c>
    </row>
    <row r="807" spans="1:18">
      <c r="A807" s="12"/>
      <c r="B807" s="13"/>
      <c r="C807" s="14"/>
      <c r="D807" s="15"/>
      <c r="E807" s="15"/>
      <c r="F807" s="15"/>
      <c r="G807" s="13"/>
      <c r="H807" s="16" t="str">
        <f t="shared" si="108"/>
        <v/>
      </c>
      <c r="I807" s="17" t="str">
        <f>IF(OR(A807="",B807=""),"",IFERROR(LOOKUP(2,1/(单次交易!$A$2:$A$201=A807),单次交易!$H$2:$H$201),0)+SUMIFS($G$2:$G$1001,$A$2:$A$1001,A807,$B$2:$B$1001,"&lt;"&amp;B807))</f>
        <v/>
      </c>
      <c r="J807" s="16" t="str">
        <f>IF(OR(A807="",B807=""),"",IFERROR(LOOKUP(2,1/(单次交易!$A$2:$A$201=A807),单次交易!$E$2:$E$201)*LOOKUP(2,1/(单次交易!$A$2:$A$201=A807),单次交易!$H$2:$H$201),0)+SUMIFS($H$2:$H$1001,$A$2:$A$1001,A807,$B$2:$B$1001,"&lt;"&amp;B807))</f>
        <v/>
      </c>
      <c r="K807" s="16" t="str">
        <f t="shared" si="109"/>
        <v/>
      </c>
      <c r="L807" s="17" t="str">
        <f t="shared" si="110"/>
        <v/>
      </c>
      <c r="M807" s="17" t="str">
        <f t="shared" si="111"/>
        <v/>
      </c>
      <c r="N807" s="17" t="str">
        <f t="shared" si="112"/>
        <v/>
      </c>
      <c r="O807" s="17" t="str">
        <f t="shared" si="113"/>
        <v/>
      </c>
      <c r="P807" s="16" t="str">
        <f t="shared" si="114"/>
        <v/>
      </c>
      <c r="Q807" s="16" t="str">
        <f t="shared" si="115"/>
        <v/>
      </c>
      <c r="R807" s="18" t="str">
        <f t="shared" si="116"/>
        <v/>
      </c>
    </row>
    <row r="808" spans="1:18">
      <c r="A808" s="12"/>
      <c r="B808" s="13"/>
      <c r="C808" s="14"/>
      <c r="D808" s="15"/>
      <c r="E808" s="15"/>
      <c r="F808" s="15"/>
      <c r="G808" s="13"/>
      <c r="H808" s="16" t="str">
        <f t="shared" si="108"/>
        <v/>
      </c>
      <c r="I808" s="17" t="str">
        <f>IF(OR(A808="",B808=""),"",IFERROR(LOOKUP(2,1/(单次交易!$A$2:$A$201=A808),单次交易!$H$2:$H$201),0)+SUMIFS($G$2:$G$1001,$A$2:$A$1001,A808,$B$2:$B$1001,"&lt;"&amp;B808))</f>
        <v/>
      </c>
      <c r="J808" s="16" t="str">
        <f>IF(OR(A808="",B808=""),"",IFERROR(LOOKUP(2,1/(单次交易!$A$2:$A$201=A808),单次交易!$E$2:$E$201)*LOOKUP(2,1/(单次交易!$A$2:$A$201=A808),单次交易!$H$2:$H$201),0)+SUMIFS($H$2:$H$1001,$A$2:$A$1001,A808,$B$2:$B$1001,"&lt;"&amp;B808))</f>
        <v/>
      </c>
      <c r="K808" s="16" t="str">
        <f t="shared" si="109"/>
        <v/>
      </c>
      <c r="L808" s="17" t="str">
        <f t="shared" si="110"/>
        <v/>
      </c>
      <c r="M808" s="17" t="str">
        <f t="shared" si="111"/>
        <v/>
      </c>
      <c r="N808" s="17" t="str">
        <f t="shared" si="112"/>
        <v/>
      </c>
      <c r="O808" s="17" t="str">
        <f t="shared" si="113"/>
        <v/>
      </c>
      <c r="P808" s="16" t="str">
        <f t="shared" si="114"/>
        <v/>
      </c>
      <c r="Q808" s="16" t="str">
        <f t="shared" si="115"/>
        <v/>
      </c>
      <c r="R808" s="18" t="str">
        <f t="shared" si="116"/>
        <v/>
      </c>
    </row>
    <row r="809" spans="1:18">
      <c r="A809" s="12"/>
      <c r="B809" s="13"/>
      <c r="C809" s="14"/>
      <c r="D809" s="15"/>
      <c r="E809" s="15"/>
      <c r="F809" s="15"/>
      <c r="G809" s="13"/>
      <c r="H809" s="16" t="str">
        <f t="shared" si="108"/>
        <v/>
      </c>
      <c r="I809" s="17" t="str">
        <f>IF(OR(A809="",B809=""),"",IFERROR(LOOKUP(2,1/(单次交易!$A$2:$A$201=A809),单次交易!$H$2:$H$201),0)+SUMIFS($G$2:$G$1001,$A$2:$A$1001,A809,$B$2:$B$1001,"&lt;"&amp;B809))</f>
        <v/>
      </c>
      <c r="J809" s="16" t="str">
        <f>IF(OR(A809="",B809=""),"",IFERROR(LOOKUP(2,1/(单次交易!$A$2:$A$201=A809),单次交易!$E$2:$E$201)*LOOKUP(2,1/(单次交易!$A$2:$A$201=A809),单次交易!$H$2:$H$201),0)+SUMIFS($H$2:$H$1001,$A$2:$A$1001,A809,$B$2:$B$1001,"&lt;"&amp;B809))</f>
        <v/>
      </c>
      <c r="K809" s="16" t="str">
        <f t="shared" si="109"/>
        <v/>
      </c>
      <c r="L809" s="17" t="str">
        <f t="shared" si="110"/>
        <v/>
      </c>
      <c r="M809" s="17" t="str">
        <f t="shared" si="111"/>
        <v/>
      </c>
      <c r="N809" s="17" t="str">
        <f t="shared" si="112"/>
        <v/>
      </c>
      <c r="O809" s="17" t="str">
        <f t="shared" si="113"/>
        <v/>
      </c>
      <c r="P809" s="16" t="str">
        <f t="shared" si="114"/>
        <v/>
      </c>
      <c r="Q809" s="16" t="str">
        <f t="shared" si="115"/>
        <v/>
      </c>
      <c r="R809" s="18" t="str">
        <f t="shared" si="116"/>
        <v/>
      </c>
    </row>
    <row r="810" spans="1:18">
      <c r="A810" s="12"/>
      <c r="B810" s="13"/>
      <c r="C810" s="14"/>
      <c r="D810" s="15"/>
      <c r="E810" s="15"/>
      <c r="F810" s="15"/>
      <c r="G810" s="13"/>
      <c r="H810" s="16" t="str">
        <f t="shared" si="108"/>
        <v/>
      </c>
      <c r="I810" s="17" t="str">
        <f>IF(OR(A810="",B810=""),"",IFERROR(LOOKUP(2,1/(单次交易!$A$2:$A$201=A810),单次交易!$H$2:$H$201),0)+SUMIFS($G$2:$G$1001,$A$2:$A$1001,A810,$B$2:$B$1001,"&lt;"&amp;B810))</f>
        <v/>
      </c>
      <c r="J810" s="16" t="str">
        <f>IF(OR(A810="",B810=""),"",IFERROR(LOOKUP(2,1/(单次交易!$A$2:$A$201=A810),单次交易!$E$2:$E$201)*LOOKUP(2,1/(单次交易!$A$2:$A$201=A810),单次交易!$H$2:$H$201),0)+SUMIFS($H$2:$H$1001,$A$2:$A$1001,A810,$B$2:$B$1001,"&lt;"&amp;B810))</f>
        <v/>
      </c>
      <c r="K810" s="16" t="str">
        <f t="shared" si="109"/>
        <v/>
      </c>
      <c r="L810" s="17" t="str">
        <f t="shared" si="110"/>
        <v/>
      </c>
      <c r="M810" s="17" t="str">
        <f t="shared" si="111"/>
        <v/>
      </c>
      <c r="N810" s="17" t="str">
        <f t="shared" si="112"/>
        <v/>
      </c>
      <c r="O810" s="17" t="str">
        <f t="shared" si="113"/>
        <v/>
      </c>
      <c r="P810" s="16" t="str">
        <f t="shared" si="114"/>
        <v/>
      </c>
      <c r="Q810" s="16" t="str">
        <f t="shared" si="115"/>
        <v/>
      </c>
      <c r="R810" s="18" t="str">
        <f t="shared" si="116"/>
        <v/>
      </c>
    </row>
    <row r="811" spans="1:18">
      <c r="A811" s="12"/>
      <c r="B811" s="13"/>
      <c r="C811" s="14"/>
      <c r="D811" s="15"/>
      <c r="E811" s="15"/>
      <c r="F811" s="15"/>
      <c r="G811" s="13"/>
      <c r="H811" s="16" t="str">
        <f t="shared" si="108"/>
        <v/>
      </c>
      <c r="I811" s="17" t="str">
        <f>IF(OR(A811="",B811=""),"",IFERROR(LOOKUP(2,1/(单次交易!$A$2:$A$201=A811),单次交易!$H$2:$H$201),0)+SUMIFS($G$2:$G$1001,$A$2:$A$1001,A811,$B$2:$B$1001,"&lt;"&amp;B811))</f>
        <v/>
      </c>
      <c r="J811" s="16" t="str">
        <f>IF(OR(A811="",B811=""),"",IFERROR(LOOKUP(2,1/(单次交易!$A$2:$A$201=A811),单次交易!$E$2:$E$201)*LOOKUP(2,1/(单次交易!$A$2:$A$201=A811),单次交易!$H$2:$H$201),0)+SUMIFS($H$2:$H$1001,$A$2:$A$1001,A811,$B$2:$B$1001,"&lt;"&amp;B811))</f>
        <v/>
      </c>
      <c r="K811" s="16" t="str">
        <f t="shared" si="109"/>
        <v/>
      </c>
      <c r="L811" s="17" t="str">
        <f t="shared" si="110"/>
        <v/>
      </c>
      <c r="M811" s="17" t="str">
        <f t="shared" si="111"/>
        <v/>
      </c>
      <c r="N811" s="17" t="str">
        <f t="shared" si="112"/>
        <v/>
      </c>
      <c r="O811" s="17" t="str">
        <f t="shared" si="113"/>
        <v/>
      </c>
      <c r="P811" s="16" t="str">
        <f t="shared" si="114"/>
        <v/>
      </c>
      <c r="Q811" s="16" t="str">
        <f t="shared" si="115"/>
        <v/>
      </c>
      <c r="R811" s="18" t="str">
        <f t="shared" si="116"/>
        <v/>
      </c>
    </row>
    <row r="812" spans="1:18">
      <c r="A812" s="12"/>
      <c r="B812" s="13"/>
      <c r="C812" s="14"/>
      <c r="D812" s="15"/>
      <c r="E812" s="15"/>
      <c r="F812" s="15"/>
      <c r="G812" s="13"/>
      <c r="H812" s="16" t="str">
        <f t="shared" si="108"/>
        <v/>
      </c>
      <c r="I812" s="17" t="str">
        <f>IF(OR(A812="",B812=""),"",IFERROR(LOOKUP(2,1/(单次交易!$A$2:$A$201=A812),单次交易!$H$2:$H$201),0)+SUMIFS($G$2:$G$1001,$A$2:$A$1001,A812,$B$2:$B$1001,"&lt;"&amp;B812))</f>
        <v/>
      </c>
      <c r="J812" s="16" t="str">
        <f>IF(OR(A812="",B812=""),"",IFERROR(LOOKUP(2,1/(单次交易!$A$2:$A$201=A812),单次交易!$E$2:$E$201)*LOOKUP(2,1/(单次交易!$A$2:$A$201=A812),单次交易!$H$2:$H$201),0)+SUMIFS($H$2:$H$1001,$A$2:$A$1001,A812,$B$2:$B$1001,"&lt;"&amp;B812))</f>
        <v/>
      </c>
      <c r="K812" s="16" t="str">
        <f t="shared" si="109"/>
        <v/>
      </c>
      <c r="L812" s="17" t="str">
        <f t="shared" si="110"/>
        <v/>
      </c>
      <c r="M812" s="17" t="str">
        <f t="shared" si="111"/>
        <v/>
      </c>
      <c r="N812" s="17" t="str">
        <f t="shared" si="112"/>
        <v/>
      </c>
      <c r="O812" s="17" t="str">
        <f t="shared" si="113"/>
        <v/>
      </c>
      <c r="P812" s="16" t="str">
        <f t="shared" si="114"/>
        <v/>
      </c>
      <c r="Q812" s="16" t="str">
        <f t="shared" si="115"/>
        <v/>
      </c>
      <c r="R812" s="18" t="str">
        <f t="shared" si="116"/>
        <v/>
      </c>
    </row>
    <row r="813" spans="1:18">
      <c r="A813" s="12"/>
      <c r="B813" s="13"/>
      <c r="C813" s="14"/>
      <c r="D813" s="15"/>
      <c r="E813" s="15"/>
      <c r="F813" s="15"/>
      <c r="G813" s="13"/>
      <c r="H813" s="16" t="str">
        <f t="shared" si="108"/>
        <v/>
      </c>
      <c r="I813" s="17" t="str">
        <f>IF(OR(A813="",B813=""),"",IFERROR(LOOKUP(2,1/(单次交易!$A$2:$A$201=A813),单次交易!$H$2:$H$201),0)+SUMIFS($G$2:$G$1001,$A$2:$A$1001,A813,$B$2:$B$1001,"&lt;"&amp;B813))</f>
        <v/>
      </c>
      <c r="J813" s="16" t="str">
        <f>IF(OR(A813="",B813=""),"",IFERROR(LOOKUP(2,1/(单次交易!$A$2:$A$201=A813),单次交易!$E$2:$E$201)*LOOKUP(2,1/(单次交易!$A$2:$A$201=A813),单次交易!$H$2:$H$201),0)+SUMIFS($H$2:$H$1001,$A$2:$A$1001,A813,$B$2:$B$1001,"&lt;"&amp;B813))</f>
        <v/>
      </c>
      <c r="K813" s="16" t="str">
        <f t="shared" si="109"/>
        <v/>
      </c>
      <c r="L813" s="17" t="str">
        <f t="shared" si="110"/>
        <v/>
      </c>
      <c r="M813" s="17" t="str">
        <f t="shared" si="111"/>
        <v/>
      </c>
      <c r="N813" s="17" t="str">
        <f t="shared" si="112"/>
        <v/>
      </c>
      <c r="O813" s="17" t="str">
        <f t="shared" si="113"/>
        <v/>
      </c>
      <c r="P813" s="16" t="str">
        <f t="shared" si="114"/>
        <v/>
      </c>
      <c r="Q813" s="16" t="str">
        <f t="shared" si="115"/>
        <v/>
      </c>
      <c r="R813" s="18" t="str">
        <f t="shared" si="116"/>
        <v/>
      </c>
    </row>
    <row r="814" spans="1:18">
      <c r="A814" s="12"/>
      <c r="B814" s="13"/>
      <c r="C814" s="14"/>
      <c r="D814" s="15"/>
      <c r="E814" s="15"/>
      <c r="F814" s="15"/>
      <c r="G814" s="13"/>
      <c r="H814" s="16" t="str">
        <f t="shared" si="108"/>
        <v/>
      </c>
      <c r="I814" s="17" t="str">
        <f>IF(OR(A814="",B814=""),"",IFERROR(LOOKUP(2,1/(单次交易!$A$2:$A$201=A814),单次交易!$H$2:$H$201),0)+SUMIFS($G$2:$G$1001,$A$2:$A$1001,A814,$B$2:$B$1001,"&lt;"&amp;B814))</f>
        <v/>
      </c>
      <c r="J814" s="16" t="str">
        <f>IF(OR(A814="",B814=""),"",IFERROR(LOOKUP(2,1/(单次交易!$A$2:$A$201=A814),单次交易!$E$2:$E$201)*LOOKUP(2,1/(单次交易!$A$2:$A$201=A814),单次交易!$H$2:$H$201),0)+SUMIFS($H$2:$H$1001,$A$2:$A$1001,A814,$B$2:$B$1001,"&lt;"&amp;B814))</f>
        <v/>
      </c>
      <c r="K814" s="16" t="str">
        <f t="shared" si="109"/>
        <v/>
      </c>
      <c r="L814" s="17" t="str">
        <f t="shared" si="110"/>
        <v/>
      </c>
      <c r="M814" s="17" t="str">
        <f t="shared" si="111"/>
        <v/>
      </c>
      <c r="N814" s="17" t="str">
        <f t="shared" si="112"/>
        <v/>
      </c>
      <c r="O814" s="17" t="str">
        <f t="shared" si="113"/>
        <v/>
      </c>
      <c r="P814" s="16" t="str">
        <f t="shared" si="114"/>
        <v/>
      </c>
      <c r="Q814" s="16" t="str">
        <f t="shared" si="115"/>
        <v/>
      </c>
      <c r="R814" s="18" t="str">
        <f t="shared" si="116"/>
        <v/>
      </c>
    </row>
    <row r="815" spans="1:18">
      <c r="A815" s="12"/>
      <c r="B815" s="13"/>
      <c r="C815" s="14"/>
      <c r="D815" s="15"/>
      <c r="E815" s="15"/>
      <c r="F815" s="15"/>
      <c r="G815" s="13"/>
      <c r="H815" s="16" t="str">
        <f t="shared" si="108"/>
        <v/>
      </c>
      <c r="I815" s="17" t="str">
        <f>IF(OR(A815="",B815=""),"",IFERROR(LOOKUP(2,1/(单次交易!$A$2:$A$201=A815),单次交易!$H$2:$H$201),0)+SUMIFS($G$2:$G$1001,$A$2:$A$1001,A815,$B$2:$B$1001,"&lt;"&amp;B815))</f>
        <v/>
      </c>
      <c r="J815" s="16" t="str">
        <f>IF(OR(A815="",B815=""),"",IFERROR(LOOKUP(2,1/(单次交易!$A$2:$A$201=A815),单次交易!$E$2:$E$201)*LOOKUP(2,1/(单次交易!$A$2:$A$201=A815),单次交易!$H$2:$H$201),0)+SUMIFS($H$2:$H$1001,$A$2:$A$1001,A815,$B$2:$B$1001,"&lt;"&amp;B815))</f>
        <v/>
      </c>
      <c r="K815" s="16" t="str">
        <f t="shared" si="109"/>
        <v/>
      </c>
      <c r="L815" s="17" t="str">
        <f t="shared" si="110"/>
        <v/>
      </c>
      <c r="M815" s="17" t="str">
        <f t="shared" si="111"/>
        <v/>
      </c>
      <c r="N815" s="17" t="str">
        <f t="shared" si="112"/>
        <v/>
      </c>
      <c r="O815" s="17" t="str">
        <f t="shared" si="113"/>
        <v/>
      </c>
      <c r="P815" s="16" t="str">
        <f t="shared" si="114"/>
        <v/>
      </c>
      <c r="Q815" s="16" t="str">
        <f t="shared" si="115"/>
        <v/>
      </c>
      <c r="R815" s="18" t="str">
        <f t="shared" si="116"/>
        <v/>
      </c>
    </row>
    <row r="816" spans="1:18">
      <c r="A816" s="12"/>
      <c r="B816" s="13"/>
      <c r="C816" s="14"/>
      <c r="D816" s="15"/>
      <c r="E816" s="15"/>
      <c r="F816" s="15"/>
      <c r="G816" s="13"/>
      <c r="H816" s="16" t="str">
        <f t="shared" si="108"/>
        <v/>
      </c>
      <c r="I816" s="17" t="str">
        <f>IF(OR(A816="",B816=""),"",IFERROR(LOOKUP(2,1/(单次交易!$A$2:$A$201=A816),单次交易!$H$2:$H$201),0)+SUMIFS($G$2:$G$1001,$A$2:$A$1001,A816,$B$2:$B$1001,"&lt;"&amp;B816))</f>
        <v/>
      </c>
      <c r="J816" s="16" t="str">
        <f>IF(OR(A816="",B816=""),"",IFERROR(LOOKUP(2,1/(单次交易!$A$2:$A$201=A816),单次交易!$E$2:$E$201)*LOOKUP(2,1/(单次交易!$A$2:$A$201=A816),单次交易!$H$2:$H$201),0)+SUMIFS($H$2:$H$1001,$A$2:$A$1001,A816,$B$2:$B$1001,"&lt;"&amp;B816))</f>
        <v/>
      </c>
      <c r="K816" s="16" t="str">
        <f t="shared" si="109"/>
        <v/>
      </c>
      <c r="L816" s="17" t="str">
        <f t="shared" si="110"/>
        <v/>
      </c>
      <c r="M816" s="17" t="str">
        <f t="shared" si="111"/>
        <v/>
      </c>
      <c r="N816" s="17" t="str">
        <f t="shared" si="112"/>
        <v/>
      </c>
      <c r="O816" s="17" t="str">
        <f t="shared" si="113"/>
        <v/>
      </c>
      <c r="P816" s="16" t="str">
        <f t="shared" si="114"/>
        <v/>
      </c>
      <c r="Q816" s="16" t="str">
        <f t="shared" si="115"/>
        <v/>
      </c>
      <c r="R816" s="18" t="str">
        <f t="shared" si="116"/>
        <v/>
      </c>
    </row>
    <row r="817" spans="1:18">
      <c r="A817" s="12"/>
      <c r="B817" s="13"/>
      <c r="C817" s="14"/>
      <c r="D817" s="15"/>
      <c r="E817" s="15"/>
      <c r="F817" s="15"/>
      <c r="G817" s="13"/>
      <c r="H817" s="16" t="str">
        <f t="shared" si="108"/>
        <v/>
      </c>
      <c r="I817" s="17" t="str">
        <f>IF(OR(A817="",B817=""),"",IFERROR(LOOKUP(2,1/(单次交易!$A$2:$A$201=A817),单次交易!$H$2:$H$201),0)+SUMIFS($G$2:$G$1001,$A$2:$A$1001,A817,$B$2:$B$1001,"&lt;"&amp;B817))</f>
        <v/>
      </c>
      <c r="J817" s="16" t="str">
        <f>IF(OR(A817="",B817=""),"",IFERROR(LOOKUP(2,1/(单次交易!$A$2:$A$201=A817),单次交易!$E$2:$E$201)*LOOKUP(2,1/(单次交易!$A$2:$A$201=A817),单次交易!$H$2:$H$201),0)+SUMIFS($H$2:$H$1001,$A$2:$A$1001,A817,$B$2:$B$1001,"&lt;"&amp;B817))</f>
        <v/>
      </c>
      <c r="K817" s="16" t="str">
        <f t="shared" si="109"/>
        <v/>
      </c>
      <c r="L817" s="17" t="str">
        <f t="shared" si="110"/>
        <v/>
      </c>
      <c r="M817" s="17" t="str">
        <f t="shared" si="111"/>
        <v/>
      </c>
      <c r="N817" s="17" t="str">
        <f t="shared" si="112"/>
        <v/>
      </c>
      <c r="O817" s="17" t="str">
        <f t="shared" si="113"/>
        <v/>
      </c>
      <c r="P817" s="16" t="str">
        <f t="shared" si="114"/>
        <v/>
      </c>
      <c r="Q817" s="16" t="str">
        <f t="shared" si="115"/>
        <v/>
      </c>
      <c r="R817" s="18" t="str">
        <f t="shared" si="116"/>
        <v/>
      </c>
    </row>
    <row r="818" spans="1:18">
      <c r="A818" s="12"/>
      <c r="B818" s="13"/>
      <c r="C818" s="14"/>
      <c r="D818" s="15"/>
      <c r="E818" s="15"/>
      <c r="F818" s="15"/>
      <c r="G818" s="13"/>
      <c r="H818" s="16" t="str">
        <f t="shared" si="108"/>
        <v/>
      </c>
      <c r="I818" s="17" t="str">
        <f>IF(OR(A818="",B818=""),"",IFERROR(LOOKUP(2,1/(单次交易!$A$2:$A$201=A818),单次交易!$H$2:$H$201),0)+SUMIFS($G$2:$G$1001,$A$2:$A$1001,A818,$B$2:$B$1001,"&lt;"&amp;B818))</f>
        <v/>
      </c>
      <c r="J818" s="16" t="str">
        <f>IF(OR(A818="",B818=""),"",IFERROR(LOOKUP(2,1/(单次交易!$A$2:$A$201=A818),单次交易!$E$2:$E$201)*LOOKUP(2,1/(单次交易!$A$2:$A$201=A818),单次交易!$H$2:$H$201),0)+SUMIFS($H$2:$H$1001,$A$2:$A$1001,A818,$B$2:$B$1001,"&lt;"&amp;B818))</f>
        <v/>
      </c>
      <c r="K818" s="16" t="str">
        <f t="shared" si="109"/>
        <v/>
      </c>
      <c r="L818" s="17" t="str">
        <f t="shared" si="110"/>
        <v/>
      </c>
      <c r="M818" s="17" t="str">
        <f t="shared" si="111"/>
        <v/>
      </c>
      <c r="N818" s="17" t="str">
        <f t="shared" si="112"/>
        <v/>
      </c>
      <c r="O818" s="17" t="str">
        <f t="shared" si="113"/>
        <v/>
      </c>
      <c r="P818" s="16" t="str">
        <f t="shared" si="114"/>
        <v/>
      </c>
      <c r="Q818" s="16" t="str">
        <f t="shared" si="115"/>
        <v/>
      </c>
      <c r="R818" s="18" t="str">
        <f t="shared" si="116"/>
        <v/>
      </c>
    </row>
    <row r="819" spans="1:18">
      <c r="A819" s="12"/>
      <c r="B819" s="13"/>
      <c r="C819" s="14"/>
      <c r="D819" s="15"/>
      <c r="E819" s="15"/>
      <c r="F819" s="15"/>
      <c r="G819" s="13"/>
      <c r="H819" s="16" t="str">
        <f t="shared" si="108"/>
        <v/>
      </c>
      <c r="I819" s="17" t="str">
        <f>IF(OR(A819="",B819=""),"",IFERROR(LOOKUP(2,1/(单次交易!$A$2:$A$201=A819),单次交易!$H$2:$H$201),0)+SUMIFS($G$2:$G$1001,$A$2:$A$1001,A819,$B$2:$B$1001,"&lt;"&amp;B819))</f>
        <v/>
      </c>
      <c r="J819" s="16" t="str">
        <f>IF(OR(A819="",B819=""),"",IFERROR(LOOKUP(2,1/(单次交易!$A$2:$A$201=A819),单次交易!$E$2:$E$201)*LOOKUP(2,1/(单次交易!$A$2:$A$201=A819),单次交易!$H$2:$H$201),0)+SUMIFS($H$2:$H$1001,$A$2:$A$1001,A819,$B$2:$B$1001,"&lt;"&amp;B819))</f>
        <v/>
      </c>
      <c r="K819" s="16" t="str">
        <f t="shared" si="109"/>
        <v/>
      </c>
      <c r="L819" s="17" t="str">
        <f t="shared" si="110"/>
        <v/>
      </c>
      <c r="M819" s="17" t="str">
        <f t="shared" si="111"/>
        <v/>
      </c>
      <c r="N819" s="17" t="str">
        <f t="shared" si="112"/>
        <v/>
      </c>
      <c r="O819" s="17" t="str">
        <f t="shared" si="113"/>
        <v/>
      </c>
      <c r="P819" s="16" t="str">
        <f t="shared" si="114"/>
        <v/>
      </c>
      <c r="Q819" s="16" t="str">
        <f t="shared" si="115"/>
        <v/>
      </c>
      <c r="R819" s="18" t="str">
        <f t="shared" si="116"/>
        <v/>
      </c>
    </row>
    <row r="820" spans="1:18">
      <c r="A820" s="12"/>
      <c r="B820" s="13"/>
      <c r="C820" s="14"/>
      <c r="D820" s="15"/>
      <c r="E820" s="15"/>
      <c r="F820" s="15"/>
      <c r="G820" s="13"/>
      <c r="H820" s="16" t="str">
        <f t="shared" si="108"/>
        <v/>
      </c>
      <c r="I820" s="17" t="str">
        <f>IF(OR(A820="",B820=""),"",IFERROR(LOOKUP(2,1/(单次交易!$A$2:$A$201=A820),单次交易!$H$2:$H$201),0)+SUMIFS($G$2:$G$1001,$A$2:$A$1001,A820,$B$2:$B$1001,"&lt;"&amp;B820))</f>
        <v/>
      </c>
      <c r="J820" s="16" t="str">
        <f>IF(OR(A820="",B820=""),"",IFERROR(LOOKUP(2,1/(单次交易!$A$2:$A$201=A820),单次交易!$E$2:$E$201)*LOOKUP(2,1/(单次交易!$A$2:$A$201=A820),单次交易!$H$2:$H$201),0)+SUMIFS($H$2:$H$1001,$A$2:$A$1001,A820,$B$2:$B$1001,"&lt;"&amp;B820))</f>
        <v/>
      </c>
      <c r="K820" s="16" t="str">
        <f t="shared" si="109"/>
        <v/>
      </c>
      <c r="L820" s="17" t="str">
        <f t="shared" si="110"/>
        <v/>
      </c>
      <c r="M820" s="17" t="str">
        <f t="shared" si="111"/>
        <v/>
      </c>
      <c r="N820" s="17" t="str">
        <f t="shared" si="112"/>
        <v/>
      </c>
      <c r="O820" s="17" t="str">
        <f t="shared" si="113"/>
        <v/>
      </c>
      <c r="P820" s="16" t="str">
        <f t="shared" si="114"/>
        <v/>
      </c>
      <c r="Q820" s="16" t="str">
        <f t="shared" si="115"/>
        <v/>
      </c>
      <c r="R820" s="18" t="str">
        <f t="shared" si="116"/>
        <v/>
      </c>
    </row>
    <row r="821" spans="1:18">
      <c r="A821" s="12"/>
      <c r="B821" s="13"/>
      <c r="C821" s="14"/>
      <c r="D821" s="15"/>
      <c r="E821" s="15"/>
      <c r="F821" s="15"/>
      <c r="G821" s="13"/>
      <c r="H821" s="16" t="str">
        <f t="shared" si="108"/>
        <v/>
      </c>
      <c r="I821" s="17" t="str">
        <f>IF(OR(A821="",B821=""),"",IFERROR(LOOKUP(2,1/(单次交易!$A$2:$A$201=A821),单次交易!$H$2:$H$201),0)+SUMIFS($G$2:$G$1001,$A$2:$A$1001,A821,$B$2:$B$1001,"&lt;"&amp;B821))</f>
        <v/>
      </c>
      <c r="J821" s="16" t="str">
        <f>IF(OR(A821="",B821=""),"",IFERROR(LOOKUP(2,1/(单次交易!$A$2:$A$201=A821),单次交易!$E$2:$E$201)*LOOKUP(2,1/(单次交易!$A$2:$A$201=A821),单次交易!$H$2:$H$201),0)+SUMIFS($H$2:$H$1001,$A$2:$A$1001,A821,$B$2:$B$1001,"&lt;"&amp;B821))</f>
        <v/>
      </c>
      <c r="K821" s="16" t="str">
        <f t="shared" si="109"/>
        <v/>
      </c>
      <c r="L821" s="17" t="str">
        <f t="shared" si="110"/>
        <v/>
      </c>
      <c r="M821" s="17" t="str">
        <f t="shared" si="111"/>
        <v/>
      </c>
      <c r="N821" s="17" t="str">
        <f t="shared" si="112"/>
        <v/>
      </c>
      <c r="O821" s="17" t="str">
        <f t="shared" si="113"/>
        <v/>
      </c>
      <c r="P821" s="16" t="str">
        <f t="shared" si="114"/>
        <v/>
      </c>
      <c r="Q821" s="16" t="str">
        <f t="shared" si="115"/>
        <v/>
      </c>
      <c r="R821" s="18" t="str">
        <f t="shared" si="116"/>
        <v/>
      </c>
    </row>
    <row r="822" spans="1:18">
      <c r="A822" s="12"/>
      <c r="B822" s="13"/>
      <c r="C822" s="14"/>
      <c r="D822" s="15"/>
      <c r="E822" s="15"/>
      <c r="F822" s="15"/>
      <c r="G822" s="13"/>
      <c r="H822" s="16" t="str">
        <f t="shared" si="108"/>
        <v/>
      </c>
      <c r="I822" s="17" t="str">
        <f>IF(OR(A822="",B822=""),"",IFERROR(LOOKUP(2,1/(单次交易!$A$2:$A$201=A822),单次交易!$H$2:$H$201),0)+SUMIFS($G$2:$G$1001,$A$2:$A$1001,A822,$B$2:$B$1001,"&lt;"&amp;B822))</f>
        <v/>
      </c>
      <c r="J822" s="16" t="str">
        <f>IF(OR(A822="",B822=""),"",IFERROR(LOOKUP(2,1/(单次交易!$A$2:$A$201=A822),单次交易!$E$2:$E$201)*LOOKUP(2,1/(单次交易!$A$2:$A$201=A822),单次交易!$H$2:$H$201),0)+SUMIFS($H$2:$H$1001,$A$2:$A$1001,A822,$B$2:$B$1001,"&lt;"&amp;B822))</f>
        <v/>
      </c>
      <c r="K822" s="16" t="str">
        <f t="shared" si="109"/>
        <v/>
      </c>
      <c r="L822" s="17" t="str">
        <f t="shared" si="110"/>
        <v/>
      </c>
      <c r="M822" s="17" t="str">
        <f t="shared" si="111"/>
        <v/>
      </c>
      <c r="N822" s="17" t="str">
        <f t="shared" si="112"/>
        <v/>
      </c>
      <c r="O822" s="17" t="str">
        <f t="shared" si="113"/>
        <v/>
      </c>
      <c r="P822" s="16" t="str">
        <f t="shared" si="114"/>
        <v/>
      </c>
      <c r="Q822" s="16" t="str">
        <f t="shared" si="115"/>
        <v/>
      </c>
      <c r="R822" s="18" t="str">
        <f t="shared" si="116"/>
        <v/>
      </c>
    </row>
    <row r="823" spans="1:18">
      <c r="A823" s="12"/>
      <c r="B823" s="13"/>
      <c r="C823" s="14"/>
      <c r="D823" s="15"/>
      <c r="E823" s="15"/>
      <c r="F823" s="15"/>
      <c r="G823" s="13"/>
      <c r="H823" s="16" t="str">
        <f t="shared" si="108"/>
        <v/>
      </c>
      <c r="I823" s="17" t="str">
        <f>IF(OR(A823="",B823=""),"",IFERROR(LOOKUP(2,1/(单次交易!$A$2:$A$201=A823),单次交易!$H$2:$H$201),0)+SUMIFS($G$2:$G$1001,$A$2:$A$1001,A823,$B$2:$B$1001,"&lt;"&amp;B823))</f>
        <v/>
      </c>
      <c r="J823" s="16" t="str">
        <f>IF(OR(A823="",B823=""),"",IFERROR(LOOKUP(2,1/(单次交易!$A$2:$A$201=A823),单次交易!$E$2:$E$201)*LOOKUP(2,1/(单次交易!$A$2:$A$201=A823),单次交易!$H$2:$H$201),0)+SUMIFS($H$2:$H$1001,$A$2:$A$1001,A823,$B$2:$B$1001,"&lt;"&amp;B823))</f>
        <v/>
      </c>
      <c r="K823" s="16" t="str">
        <f t="shared" si="109"/>
        <v/>
      </c>
      <c r="L823" s="17" t="str">
        <f t="shared" si="110"/>
        <v/>
      </c>
      <c r="M823" s="17" t="str">
        <f t="shared" si="111"/>
        <v/>
      </c>
      <c r="N823" s="17" t="str">
        <f t="shared" si="112"/>
        <v/>
      </c>
      <c r="O823" s="17" t="str">
        <f t="shared" si="113"/>
        <v/>
      </c>
      <c r="P823" s="16" t="str">
        <f t="shared" si="114"/>
        <v/>
      </c>
      <c r="Q823" s="16" t="str">
        <f t="shared" si="115"/>
        <v/>
      </c>
      <c r="R823" s="18" t="str">
        <f t="shared" si="116"/>
        <v/>
      </c>
    </row>
    <row r="824" spans="1:18">
      <c r="A824" s="12"/>
      <c r="B824" s="13"/>
      <c r="C824" s="14"/>
      <c r="D824" s="15"/>
      <c r="E824" s="15"/>
      <c r="F824" s="15"/>
      <c r="G824" s="13"/>
      <c r="H824" s="16" t="str">
        <f t="shared" si="108"/>
        <v/>
      </c>
      <c r="I824" s="17" t="str">
        <f>IF(OR(A824="",B824=""),"",IFERROR(LOOKUP(2,1/(单次交易!$A$2:$A$201=A824),单次交易!$H$2:$H$201),0)+SUMIFS($G$2:$G$1001,$A$2:$A$1001,A824,$B$2:$B$1001,"&lt;"&amp;B824))</f>
        <v/>
      </c>
      <c r="J824" s="16" t="str">
        <f>IF(OR(A824="",B824=""),"",IFERROR(LOOKUP(2,1/(单次交易!$A$2:$A$201=A824),单次交易!$E$2:$E$201)*LOOKUP(2,1/(单次交易!$A$2:$A$201=A824),单次交易!$H$2:$H$201),0)+SUMIFS($H$2:$H$1001,$A$2:$A$1001,A824,$B$2:$B$1001,"&lt;"&amp;B824))</f>
        <v/>
      </c>
      <c r="K824" s="16" t="str">
        <f t="shared" si="109"/>
        <v/>
      </c>
      <c r="L824" s="17" t="str">
        <f t="shared" si="110"/>
        <v/>
      </c>
      <c r="M824" s="17" t="str">
        <f t="shared" si="111"/>
        <v/>
      </c>
      <c r="N824" s="17" t="str">
        <f t="shared" si="112"/>
        <v/>
      </c>
      <c r="O824" s="17" t="str">
        <f t="shared" si="113"/>
        <v/>
      </c>
      <c r="P824" s="16" t="str">
        <f t="shared" si="114"/>
        <v/>
      </c>
      <c r="Q824" s="16" t="str">
        <f t="shared" si="115"/>
        <v/>
      </c>
      <c r="R824" s="18" t="str">
        <f t="shared" si="116"/>
        <v/>
      </c>
    </row>
    <row r="825" spans="1:18">
      <c r="A825" s="12"/>
      <c r="B825" s="13"/>
      <c r="C825" s="14"/>
      <c r="D825" s="15"/>
      <c r="E825" s="15"/>
      <c r="F825" s="15"/>
      <c r="G825" s="13"/>
      <c r="H825" s="16" t="str">
        <f t="shared" si="108"/>
        <v/>
      </c>
      <c r="I825" s="17" t="str">
        <f>IF(OR(A825="",B825=""),"",IFERROR(LOOKUP(2,1/(单次交易!$A$2:$A$201=A825),单次交易!$H$2:$H$201),0)+SUMIFS($G$2:$G$1001,$A$2:$A$1001,A825,$B$2:$B$1001,"&lt;"&amp;B825))</f>
        <v/>
      </c>
      <c r="J825" s="16" t="str">
        <f>IF(OR(A825="",B825=""),"",IFERROR(LOOKUP(2,1/(单次交易!$A$2:$A$201=A825),单次交易!$E$2:$E$201)*LOOKUP(2,1/(单次交易!$A$2:$A$201=A825),单次交易!$H$2:$H$201),0)+SUMIFS($H$2:$H$1001,$A$2:$A$1001,A825,$B$2:$B$1001,"&lt;"&amp;B825))</f>
        <v/>
      </c>
      <c r="K825" s="16" t="str">
        <f t="shared" si="109"/>
        <v/>
      </c>
      <c r="L825" s="17" t="str">
        <f t="shared" si="110"/>
        <v/>
      </c>
      <c r="M825" s="17" t="str">
        <f t="shared" si="111"/>
        <v/>
      </c>
      <c r="N825" s="17" t="str">
        <f t="shared" si="112"/>
        <v/>
      </c>
      <c r="O825" s="17" t="str">
        <f t="shared" si="113"/>
        <v/>
      </c>
      <c r="P825" s="16" t="str">
        <f t="shared" si="114"/>
        <v/>
      </c>
      <c r="Q825" s="16" t="str">
        <f t="shared" si="115"/>
        <v/>
      </c>
      <c r="R825" s="18" t="str">
        <f t="shared" si="116"/>
        <v/>
      </c>
    </row>
    <row r="826" spans="1:18">
      <c r="A826" s="12"/>
      <c r="B826" s="13"/>
      <c r="C826" s="14"/>
      <c r="D826" s="15"/>
      <c r="E826" s="15"/>
      <c r="F826" s="15"/>
      <c r="G826" s="13"/>
      <c r="H826" s="16" t="str">
        <f t="shared" si="108"/>
        <v/>
      </c>
      <c r="I826" s="17" t="str">
        <f>IF(OR(A826="",B826=""),"",IFERROR(LOOKUP(2,1/(单次交易!$A$2:$A$201=A826),单次交易!$H$2:$H$201),0)+SUMIFS($G$2:$G$1001,$A$2:$A$1001,A826,$B$2:$B$1001,"&lt;"&amp;B826))</f>
        <v/>
      </c>
      <c r="J826" s="16" t="str">
        <f>IF(OR(A826="",B826=""),"",IFERROR(LOOKUP(2,1/(单次交易!$A$2:$A$201=A826),单次交易!$E$2:$E$201)*LOOKUP(2,1/(单次交易!$A$2:$A$201=A826),单次交易!$H$2:$H$201),0)+SUMIFS($H$2:$H$1001,$A$2:$A$1001,A826,$B$2:$B$1001,"&lt;"&amp;B826))</f>
        <v/>
      </c>
      <c r="K826" s="16" t="str">
        <f t="shared" si="109"/>
        <v/>
      </c>
      <c r="L826" s="17" t="str">
        <f t="shared" si="110"/>
        <v/>
      </c>
      <c r="M826" s="17" t="str">
        <f t="shared" si="111"/>
        <v/>
      </c>
      <c r="N826" s="17" t="str">
        <f t="shared" si="112"/>
        <v/>
      </c>
      <c r="O826" s="17" t="str">
        <f t="shared" si="113"/>
        <v/>
      </c>
      <c r="P826" s="16" t="str">
        <f t="shared" si="114"/>
        <v/>
      </c>
      <c r="Q826" s="16" t="str">
        <f t="shared" si="115"/>
        <v/>
      </c>
      <c r="R826" s="18" t="str">
        <f t="shared" si="116"/>
        <v/>
      </c>
    </row>
    <row r="827" spans="1:18">
      <c r="A827" s="12"/>
      <c r="B827" s="13"/>
      <c r="C827" s="14"/>
      <c r="D827" s="15"/>
      <c r="E827" s="15"/>
      <c r="F827" s="15"/>
      <c r="G827" s="13"/>
      <c r="H827" s="16" t="str">
        <f t="shared" si="108"/>
        <v/>
      </c>
      <c r="I827" s="17" t="str">
        <f>IF(OR(A827="",B827=""),"",IFERROR(LOOKUP(2,1/(单次交易!$A$2:$A$201=A827),单次交易!$H$2:$H$201),0)+SUMIFS($G$2:$G$1001,$A$2:$A$1001,A827,$B$2:$B$1001,"&lt;"&amp;B827))</f>
        <v/>
      </c>
      <c r="J827" s="16" t="str">
        <f>IF(OR(A827="",B827=""),"",IFERROR(LOOKUP(2,1/(单次交易!$A$2:$A$201=A827),单次交易!$E$2:$E$201)*LOOKUP(2,1/(单次交易!$A$2:$A$201=A827),单次交易!$H$2:$H$201),0)+SUMIFS($H$2:$H$1001,$A$2:$A$1001,A827,$B$2:$B$1001,"&lt;"&amp;B827))</f>
        <v/>
      </c>
      <c r="K827" s="16" t="str">
        <f t="shared" si="109"/>
        <v/>
      </c>
      <c r="L827" s="17" t="str">
        <f t="shared" si="110"/>
        <v/>
      </c>
      <c r="M827" s="17" t="str">
        <f t="shared" si="111"/>
        <v/>
      </c>
      <c r="N827" s="17" t="str">
        <f t="shared" si="112"/>
        <v/>
      </c>
      <c r="O827" s="17" t="str">
        <f t="shared" si="113"/>
        <v/>
      </c>
      <c r="P827" s="16" t="str">
        <f t="shared" si="114"/>
        <v/>
      </c>
      <c r="Q827" s="16" t="str">
        <f t="shared" si="115"/>
        <v/>
      </c>
      <c r="R827" s="18" t="str">
        <f t="shared" si="116"/>
        <v/>
      </c>
    </row>
    <row r="828" spans="1:18">
      <c r="A828" s="12"/>
      <c r="B828" s="13"/>
      <c r="C828" s="14"/>
      <c r="D828" s="15"/>
      <c r="E828" s="15"/>
      <c r="F828" s="15"/>
      <c r="G828" s="13"/>
      <c r="H828" s="16" t="str">
        <f t="shared" si="108"/>
        <v/>
      </c>
      <c r="I828" s="17" t="str">
        <f>IF(OR(A828="",B828=""),"",IFERROR(LOOKUP(2,1/(单次交易!$A$2:$A$201=A828),单次交易!$H$2:$H$201),0)+SUMIFS($G$2:$G$1001,$A$2:$A$1001,A828,$B$2:$B$1001,"&lt;"&amp;B828))</f>
        <v/>
      </c>
      <c r="J828" s="16" t="str">
        <f>IF(OR(A828="",B828=""),"",IFERROR(LOOKUP(2,1/(单次交易!$A$2:$A$201=A828),单次交易!$E$2:$E$201)*LOOKUP(2,1/(单次交易!$A$2:$A$201=A828),单次交易!$H$2:$H$201),0)+SUMIFS($H$2:$H$1001,$A$2:$A$1001,A828,$B$2:$B$1001,"&lt;"&amp;B828))</f>
        <v/>
      </c>
      <c r="K828" s="16" t="str">
        <f t="shared" si="109"/>
        <v/>
      </c>
      <c r="L828" s="17" t="str">
        <f t="shared" si="110"/>
        <v/>
      </c>
      <c r="M828" s="17" t="str">
        <f t="shared" si="111"/>
        <v/>
      </c>
      <c r="N828" s="17" t="str">
        <f t="shared" si="112"/>
        <v/>
      </c>
      <c r="O828" s="17" t="str">
        <f t="shared" si="113"/>
        <v/>
      </c>
      <c r="P828" s="16" t="str">
        <f t="shared" si="114"/>
        <v/>
      </c>
      <c r="Q828" s="16" t="str">
        <f t="shared" si="115"/>
        <v/>
      </c>
      <c r="R828" s="18" t="str">
        <f t="shared" si="116"/>
        <v/>
      </c>
    </row>
    <row r="829" spans="1:18">
      <c r="A829" s="12"/>
      <c r="B829" s="13"/>
      <c r="C829" s="14"/>
      <c r="D829" s="15"/>
      <c r="E829" s="15"/>
      <c r="F829" s="15"/>
      <c r="G829" s="13"/>
      <c r="H829" s="16" t="str">
        <f t="shared" si="108"/>
        <v/>
      </c>
      <c r="I829" s="17" t="str">
        <f>IF(OR(A829="",B829=""),"",IFERROR(LOOKUP(2,1/(单次交易!$A$2:$A$201=A829),单次交易!$H$2:$H$201),0)+SUMIFS($G$2:$G$1001,$A$2:$A$1001,A829,$B$2:$B$1001,"&lt;"&amp;B829))</f>
        <v/>
      </c>
      <c r="J829" s="16" t="str">
        <f>IF(OR(A829="",B829=""),"",IFERROR(LOOKUP(2,1/(单次交易!$A$2:$A$201=A829),单次交易!$E$2:$E$201)*LOOKUP(2,1/(单次交易!$A$2:$A$201=A829),单次交易!$H$2:$H$201),0)+SUMIFS($H$2:$H$1001,$A$2:$A$1001,A829,$B$2:$B$1001,"&lt;"&amp;B829))</f>
        <v/>
      </c>
      <c r="K829" s="16" t="str">
        <f t="shared" si="109"/>
        <v/>
      </c>
      <c r="L829" s="17" t="str">
        <f t="shared" si="110"/>
        <v/>
      </c>
      <c r="M829" s="17" t="str">
        <f t="shared" si="111"/>
        <v/>
      </c>
      <c r="N829" s="17" t="str">
        <f t="shared" si="112"/>
        <v/>
      </c>
      <c r="O829" s="17" t="str">
        <f t="shared" si="113"/>
        <v/>
      </c>
      <c r="P829" s="16" t="str">
        <f t="shared" si="114"/>
        <v/>
      </c>
      <c r="Q829" s="16" t="str">
        <f t="shared" si="115"/>
        <v/>
      </c>
      <c r="R829" s="18" t="str">
        <f t="shared" si="116"/>
        <v/>
      </c>
    </row>
    <row r="830" spans="1:18">
      <c r="A830" s="12"/>
      <c r="B830" s="13"/>
      <c r="C830" s="14"/>
      <c r="D830" s="15"/>
      <c r="E830" s="15"/>
      <c r="F830" s="15"/>
      <c r="G830" s="13"/>
      <c r="H830" s="16" t="str">
        <f t="shared" si="108"/>
        <v/>
      </c>
      <c r="I830" s="17" t="str">
        <f>IF(OR(A830="",B830=""),"",IFERROR(LOOKUP(2,1/(单次交易!$A$2:$A$201=A830),单次交易!$H$2:$H$201),0)+SUMIFS($G$2:$G$1001,$A$2:$A$1001,A830,$B$2:$B$1001,"&lt;"&amp;B830))</f>
        <v/>
      </c>
      <c r="J830" s="16" t="str">
        <f>IF(OR(A830="",B830=""),"",IFERROR(LOOKUP(2,1/(单次交易!$A$2:$A$201=A830),单次交易!$E$2:$E$201)*LOOKUP(2,1/(单次交易!$A$2:$A$201=A830),单次交易!$H$2:$H$201),0)+SUMIFS($H$2:$H$1001,$A$2:$A$1001,A830,$B$2:$B$1001,"&lt;"&amp;B830))</f>
        <v/>
      </c>
      <c r="K830" s="16" t="str">
        <f t="shared" si="109"/>
        <v/>
      </c>
      <c r="L830" s="17" t="str">
        <f t="shared" si="110"/>
        <v/>
      </c>
      <c r="M830" s="17" t="str">
        <f t="shared" si="111"/>
        <v/>
      </c>
      <c r="N830" s="17" t="str">
        <f t="shared" si="112"/>
        <v/>
      </c>
      <c r="O830" s="17" t="str">
        <f t="shared" si="113"/>
        <v/>
      </c>
      <c r="P830" s="16" t="str">
        <f t="shared" si="114"/>
        <v/>
      </c>
      <c r="Q830" s="16" t="str">
        <f t="shared" si="115"/>
        <v/>
      </c>
      <c r="R830" s="18" t="str">
        <f t="shared" si="116"/>
        <v/>
      </c>
    </row>
    <row r="831" spans="1:18">
      <c r="A831" s="12"/>
      <c r="B831" s="13"/>
      <c r="C831" s="14"/>
      <c r="D831" s="15"/>
      <c r="E831" s="15"/>
      <c r="F831" s="15"/>
      <c r="G831" s="13"/>
      <c r="H831" s="16" t="str">
        <f t="shared" si="108"/>
        <v/>
      </c>
      <c r="I831" s="17" t="str">
        <f>IF(OR(A831="",B831=""),"",IFERROR(LOOKUP(2,1/(单次交易!$A$2:$A$201=A831),单次交易!$H$2:$H$201),0)+SUMIFS($G$2:$G$1001,$A$2:$A$1001,A831,$B$2:$B$1001,"&lt;"&amp;B831))</f>
        <v/>
      </c>
      <c r="J831" s="16" t="str">
        <f>IF(OR(A831="",B831=""),"",IFERROR(LOOKUP(2,1/(单次交易!$A$2:$A$201=A831),单次交易!$E$2:$E$201)*LOOKUP(2,1/(单次交易!$A$2:$A$201=A831),单次交易!$H$2:$H$201),0)+SUMIFS($H$2:$H$1001,$A$2:$A$1001,A831,$B$2:$B$1001,"&lt;"&amp;B831))</f>
        <v/>
      </c>
      <c r="K831" s="16" t="str">
        <f t="shared" si="109"/>
        <v/>
      </c>
      <c r="L831" s="17" t="str">
        <f t="shared" si="110"/>
        <v/>
      </c>
      <c r="M831" s="17" t="str">
        <f t="shared" si="111"/>
        <v/>
      </c>
      <c r="N831" s="17" t="str">
        <f t="shared" si="112"/>
        <v/>
      </c>
      <c r="O831" s="17" t="str">
        <f t="shared" si="113"/>
        <v/>
      </c>
      <c r="P831" s="16" t="str">
        <f t="shared" si="114"/>
        <v/>
      </c>
      <c r="Q831" s="16" t="str">
        <f t="shared" si="115"/>
        <v/>
      </c>
      <c r="R831" s="18" t="str">
        <f t="shared" si="116"/>
        <v/>
      </c>
    </row>
    <row r="832" spans="1:18">
      <c r="A832" s="12"/>
      <c r="B832" s="13"/>
      <c r="C832" s="14"/>
      <c r="D832" s="15"/>
      <c r="E832" s="15"/>
      <c r="F832" s="15"/>
      <c r="G832" s="13"/>
      <c r="H832" s="16" t="str">
        <f t="shared" si="108"/>
        <v/>
      </c>
      <c r="I832" s="17" t="str">
        <f>IF(OR(A832="",B832=""),"",IFERROR(LOOKUP(2,1/(单次交易!$A$2:$A$201=A832),单次交易!$H$2:$H$201),0)+SUMIFS($G$2:$G$1001,$A$2:$A$1001,A832,$B$2:$B$1001,"&lt;"&amp;B832))</f>
        <v/>
      </c>
      <c r="J832" s="16" t="str">
        <f>IF(OR(A832="",B832=""),"",IFERROR(LOOKUP(2,1/(单次交易!$A$2:$A$201=A832),单次交易!$E$2:$E$201)*LOOKUP(2,1/(单次交易!$A$2:$A$201=A832),单次交易!$H$2:$H$201),0)+SUMIFS($H$2:$H$1001,$A$2:$A$1001,A832,$B$2:$B$1001,"&lt;"&amp;B832))</f>
        <v/>
      </c>
      <c r="K832" s="16" t="str">
        <f t="shared" si="109"/>
        <v/>
      </c>
      <c r="L832" s="17" t="str">
        <f t="shared" si="110"/>
        <v/>
      </c>
      <c r="M832" s="17" t="str">
        <f t="shared" si="111"/>
        <v/>
      </c>
      <c r="N832" s="17" t="str">
        <f t="shared" si="112"/>
        <v/>
      </c>
      <c r="O832" s="17" t="str">
        <f t="shared" si="113"/>
        <v/>
      </c>
      <c r="P832" s="16" t="str">
        <f t="shared" si="114"/>
        <v/>
      </c>
      <c r="Q832" s="16" t="str">
        <f t="shared" si="115"/>
        <v/>
      </c>
      <c r="R832" s="18" t="str">
        <f t="shared" si="116"/>
        <v/>
      </c>
    </row>
    <row r="833" spans="1:18">
      <c r="A833" s="12"/>
      <c r="B833" s="13"/>
      <c r="C833" s="14"/>
      <c r="D833" s="15"/>
      <c r="E833" s="15"/>
      <c r="F833" s="15"/>
      <c r="G833" s="13"/>
      <c r="H833" s="16" t="str">
        <f t="shared" si="108"/>
        <v/>
      </c>
      <c r="I833" s="17" t="str">
        <f>IF(OR(A833="",B833=""),"",IFERROR(LOOKUP(2,1/(单次交易!$A$2:$A$201=A833),单次交易!$H$2:$H$201),0)+SUMIFS($G$2:$G$1001,$A$2:$A$1001,A833,$B$2:$B$1001,"&lt;"&amp;B833))</f>
        <v/>
      </c>
      <c r="J833" s="16" t="str">
        <f>IF(OR(A833="",B833=""),"",IFERROR(LOOKUP(2,1/(单次交易!$A$2:$A$201=A833),单次交易!$E$2:$E$201)*LOOKUP(2,1/(单次交易!$A$2:$A$201=A833),单次交易!$H$2:$H$201),0)+SUMIFS($H$2:$H$1001,$A$2:$A$1001,A833,$B$2:$B$1001,"&lt;"&amp;B833))</f>
        <v/>
      </c>
      <c r="K833" s="16" t="str">
        <f t="shared" si="109"/>
        <v/>
      </c>
      <c r="L833" s="17" t="str">
        <f t="shared" si="110"/>
        <v/>
      </c>
      <c r="M833" s="17" t="str">
        <f t="shared" si="111"/>
        <v/>
      </c>
      <c r="N833" s="17" t="str">
        <f t="shared" si="112"/>
        <v/>
      </c>
      <c r="O833" s="17" t="str">
        <f t="shared" si="113"/>
        <v/>
      </c>
      <c r="P833" s="16" t="str">
        <f t="shared" si="114"/>
        <v/>
      </c>
      <c r="Q833" s="16" t="str">
        <f t="shared" si="115"/>
        <v/>
      </c>
      <c r="R833" s="18" t="str">
        <f t="shared" si="116"/>
        <v/>
      </c>
    </row>
    <row r="834" spans="1:18">
      <c r="A834" s="12"/>
      <c r="B834" s="13"/>
      <c r="C834" s="14"/>
      <c r="D834" s="15"/>
      <c r="E834" s="15"/>
      <c r="F834" s="15"/>
      <c r="G834" s="13"/>
      <c r="H834" s="16" t="str">
        <f t="shared" ref="H834:H897" si="117">IF(OR(A834="",D834="",G834=""),"",D834*G834)</f>
        <v/>
      </c>
      <c r="I834" s="17" t="str">
        <f>IF(OR(A834="",B834=""),"",IFERROR(LOOKUP(2,1/(单次交易!$A$2:$A$201=A834),单次交易!$H$2:$H$201),0)+SUMIFS($G$2:$G$1001,$A$2:$A$1001,A834,$B$2:$B$1001,"&lt;"&amp;B834))</f>
        <v/>
      </c>
      <c r="J834" s="16" t="str">
        <f>IF(OR(A834="",B834=""),"",IFERROR(LOOKUP(2,1/(单次交易!$A$2:$A$201=A834),单次交易!$E$2:$E$201)*LOOKUP(2,1/(单次交易!$A$2:$A$201=A834),单次交易!$H$2:$H$201),0)+SUMIFS($H$2:$H$1001,$A$2:$A$1001,A834,$B$2:$B$1001,"&lt;"&amp;B834))</f>
        <v/>
      </c>
      <c r="K834" s="16" t="str">
        <f t="shared" ref="K834:K897" si="118">IF(OR(E834="",I834="",J834=""),"",MAX(E834*I834-J834,0))</f>
        <v/>
      </c>
      <c r="L834" s="17" t="str">
        <f t="shared" ref="L834:L897" si="119">IF(OR(D834="",E834="",F834="",D834&lt;=E834),"",FLOOR((F834+K834)/(D834-E834),100))</f>
        <v/>
      </c>
      <c r="M834" s="17" t="str">
        <f t="shared" ref="M834:M897" si="120">IF(OR(A834="",B834="",L834=""),"",IF(B834=1,L834,IFERROR(SUMIFS($G$2:$G$1001,$A$2:$A$1001,A834,$B$2:$B$1001,B834-1),0)))</f>
        <v/>
      </c>
      <c r="N834" s="17" t="str">
        <f t="shared" ref="N834:N897" si="121">IF(OR(L834="",M834=""),"",MIN(L834,M834))</f>
        <v/>
      </c>
      <c r="O834" s="17" t="str">
        <f t="shared" ref="O834:O897" si="122">IF(OR(I834="",G834=""),"",I834+G834)</f>
        <v/>
      </c>
      <c r="P834" s="16" t="str">
        <f t="shared" ref="P834:P897" si="123">IF(OR(O834="",O834=0),"",(J834+H834)/O834)</f>
        <v/>
      </c>
      <c r="Q834" s="16" t="str">
        <f t="shared" ref="Q834:Q897" si="124">IF(OR(O834="",E834=""),"",MAX(J834+H834-E834*O834,0))</f>
        <v/>
      </c>
      <c r="R834" s="18" t="str">
        <f t="shared" ref="R834:R897" si="125">IF(A834="","",IF(COUNTIF(_TradeIds,A834)=0,"违规：交易编号不存在",IF(OR(B834="",B834&lt;1,B834&gt;5,B834&lt;&gt;INT(B834)),"违规：加仓序号须为1到5的整数",IF(COUNTIFS($A$2:$A$1001,A834,$B$2:$B$1001,B834)&gt;1,"违规：同一交易的加仓序号重复",IF(OR(D834="",E834="",F834=""),"计划不完整：请填写加仓价、新止损价和风险预算",IF(OR(D834&lt;=0,E834&lt;=0,F834&lt;=0,D834&lt;=E834),"违规：加仓价必须高于新止损价，金额须大于0",IF(AND(B834&gt;1,COUNTIFS($A$2:$A$1001,A834,$B$2:$B$1001,B834-1,$G$2:$G$1001,"&gt;0")=0),"违规：须先完成上一次加仓",IF(AND(B834&gt;1,E834&lt;SUMIFS($E$2:$E$1001,$A$2:$A$1001,A834,$B$2:$B$1001,B834-1)),"违规：新止损价不得低于上一次",IF(AND(B834&gt;1,F834&gt;SUMIFS($F$2:$F$1001,$A$2:$A$1001,A834,$B$2:$B$1001,B834-1)),"违规：风险预算须逐次不增加",IF(OR(_LockStatus="已锁仓",_LockStatus="解锁信息不完整"),"违规：锁仓期间禁止加仓",IF(G834="","计划可执行：建议股数见N列",IF(OR(G834&lt;=0,G834&lt;&gt;INT(G834),MOD(G834,100)&lt;&gt;0),"违规：实际股数须为100股整数倍",IF(G834&gt;N834,"违规：实际股数超过风险或金字塔上限",IF(AND(B834&gt;1,G834&gt;SUMIFS($G$2:$G$1001,$A$2:$A$1001,A834,$B$2:$B$1001,B834-1)),"违规：加仓股数须逐次不增加",IF(Q834&gt;F834,"违规：止损风险超过本次预算","通过")))))))))))))))</f>
        <v/>
      </c>
    </row>
    <row r="835" spans="1:18">
      <c r="A835" s="12"/>
      <c r="B835" s="13"/>
      <c r="C835" s="14"/>
      <c r="D835" s="15"/>
      <c r="E835" s="15"/>
      <c r="F835" s="15"/>
      <c r="G835" s="13"/>
      <c r="H835" s="16" t="str">
        <f t="shared" si="117"/>
        <v/>
      </c>
      <c r="I835" s="17" t="str">
        <f>IF(OR(A835="",B835=""),"",IFERROR(LOOKUP(2,1/(单次交易!$A$2:$A$201=A835),单次交易!$H$2:$H$201),0)+SUMIFS($G$2:$G$1001,$A$2:$A$1001,A835,$B$2:$B$1001,"&lt;"&amp;B835))</f>
        <v/>
      </c>
      <c r="J835" s="16" t="str">
        <f>IF(OR(A835="",B835=""),"",IFERROR(LOOKUP(2,1/(单次交易!$A$2:$A$201=A835),单次交易!$E$2:$E$201)*LOOKUP(2,1/(单次交易!$A$2:$A$201=A835),单次交易!$H$2:$H$201),0)+SUMIFS($H$2:$H$1001,$A$2:$A$1001,A835,$B$2:$B$1001,"&lt;"&amp;B835))</f>
        <v/>
      </c>
      <c r="K835" s="16" t="str">
        <f t="shared" si="118"/>
        <v/>
      </c>
      <c r="L835" s="17" t="str">
        <f t="shared" si="119"/>
        <v/>
      </c>
      <c r="M835" s="17" t="str">
        <f t="shared" si="120"/>
        <v/>
      </c>
      <c r="N835" s="17" t="str">
        <f t="shared" si="121"/>
        <v/>
      </c>
      <c r="O835" s="17" t="str">
        <f t="shared" si="122"/>
        <v/>
      </c>
      <c r="P835" s="16" t="str">
        <f t="shared" si="123"/>
        <v/>
      </c>
      <c r="Q835" s="16" t="str">
        <f t="shared" si="124"/>
        <v/>
      </c>
      <c r="R835" s="18" t="str">
        <f t="shared" si="125"/>
        <v/>
      </c>
    </row>
    <row r="836" spans="1:18">
      <c r="A836" s="12"/>
      <c r="B836" s="13"/>
      <c r="C836" s="14"/>
      <c r="D836" s="15"/>
      <c r="E836" s="15"/>
      <c r="F836" s="15"/>
      <c r="G836" s="13"/>
      <c r="H836" s="16" t="str">
        <f t="shared" si="117"/>
        <v/>
      </c>
      <c r="I836" s="17" t="str">
        <f>IF(OR(A836="",B836=""),"",IFERROR(LOOKUP(2,1/(单次交易!$A$2:$A$201=A836),单次交易!$H$2:$H$201),0)+SUMIFS($G$2:$G$1001,$A$2:$A$1001,A836,$B$2:$B$1001,"&lt;"&amp;B836))</f>
        <v/>
      </c>
      <c r="J836" s="16" t="str">
        <f>IF(OR(A836="",B836=""),"",IFERROR(LOOKUP(2,1/(单次交易!$A$2:$A$201=A836),单次交易!$E$2:$E$201)*LOOKUP(2,1/(单次交易!$A$2:$A$201=A836),单次交易!$H$2:$H$201),0)+SUMIFS($H$2:$H$1001,$A$2:$A$1001,A836,$B$2:$B$1001,"&lt;"&amp;B836))</f>
        <v/>
      </c>
      <c r="K836" s="16" t="str">
        <f t="shared" si="118"/>
        <v/>
      </c>
      <c r="L836" s="17" t="str">
        <f t="shared" si="119"/>
        <v/>
      </c>
      <c r="M836" s="17" t="str">
        <f t="shared" si="120"/>
        <v/>
      </c>
      <c r="N836" s="17" t="str">
        <f t="shared" si="121"/>
        <v/>
      </c>
      <c r="O836" s="17" t="str">
        <f t="shared" si="122"/>
        <v/>
      </c>
      <c r="P836" s="16" t="str">
        <f t="shared" si="123"/>
        <v/>
      </c>
      <c r="Q836" s="16" t="str">
        <f t="shared" si="124"/>
        <v/>
      </c>
      <c r="R836" s="18" t="str">
        <f t="shared" si="125"/>
        <v/>
      </c>
    </row>
    <row r="837" spans="1:18">
      <c r="A837" s="12"/>
      <c r="B837" s="13"/>
      <c r="C837" s="14"/>
      <c r="D837" s="15"/>
      <c r="E837" s="15"/>
      <c r="F837" s="15"/>
      <c r="G837" s="13"/>
      <c r="H837" s="16" t="str">
        <f t="shared" si="117"/>
        <v/>
      </c>
      <c r="I837" s="17" t="str">
        <f>IF(OR(A837="",B837=""),"",IFERROR(LOOKUP(2,1/(单次交易!$A$2:$A$201=A837),单次交易!$H$2:$H$201),0)+SUMIFS($G$2:$G$1001,$A$2:$A$1001,A837,$B$2:$B$1001,"&lt;"&amp;B837))</f>
        <v/>
      </c>
      <c r="J837" s="16" t="str">
        <f>IF(OR(A837="",B837=""),"",IFERROR(LOOKUP(2,1/(单次交易!$A$2:$A$201=A837),单次交易!$E$2:$E$201)*LOOKUP(2,1/(单次交易!$A$2:$A$201=A837),单次交易!$H$2:$H$201),0)+SUMIFS($H$2:$H$1001,$A$2:$A$1001,A837,$B$2:$B$1001,"&lt;"&amp;B837))</f>
        <v/>
      </c>
      <c r="K837" s="16" t="str">
        <f t="shared" si="118"/>
        <v/>
      </c>
      <c r="L837" s="17" t="str">
        <f t="shared" si="119"/>
        <v/>
      </c>
      <c r="M837" s="17" t="str">
        <f t="shared" si="120"/>
        <v/>
      </c>
      <c r="N837" s="17" t="str">
        <f t="shared" si="121"/>
        <v/>
      </c>
      <c r="O837" s="17" t="str">
        <f t="shared" si="122"/>
        <v/>
      </c>
      <c r="P837" s="16" t="str">
        <f t="shared" si="123"/>
        <v/>
      </c>
      <c r="Q837" s="16" t="str">
        <f t="shared" si="124"/>
        <v/>
      </c>
      <c r="R837" s="18" t="str">
        <f t="shared" si="125"/>
        <v/>
      </c>
    </row>
    <row r="838" spans="1:18">
      <c r="A838" s="12"/>
      <c r="B838" s="13"/>
      <c r="C838" s="14"/>
      <c r="D838" s="15"/>
      <c r="E838" s="15"/>
      <c r="F838" s="15"/>
      <c r="G838" s="13"/>
      <c r="H838" s="16" t="str">
        <f t="shared" si="117"/>
        <v/>
      </c>
      <c r="I838" s="17" t="str">
        <f>IF(OR(A838="",B838=""),"",IFERROR(LOOKUP(2,1/(单次交易!$A$2:$A$201=A838),单次交易!$H$2:$H$201),0)+SUMIFS($G$2:$G$1001,$A$2:$A$1001,A838,$B$2:$B$1001,"&lt;"&amp;B838))</f>
        <v/>
      </c>
      <c r="J838" s="16" t="str">
        <f>IF(OR(A838="",B838=""),"",IFERROR(LOOKUP(2,1/(单次交易!$A$2:$A$201=A838),单次交易!$E$2:$E$201)*LOOKUP(2,1/(单次交易!$A$2:$A$201=A838),单次交易!$H$2:$H$201),0)+SUMIFS($H$2:$H$1001,$A$2:$A$1001,A838,$B$2:$B$1001,"&lt;"&amp;B838))</f>
        <v/>
      </c>
      <c r="K838" s="16" t="str">
        <f t="shared" si="118"/>
        <v/>
      </c>
      <c r="L838" s="17" t="str">
        <f t="shared" si="119"/>
        <v/>
      </c>
      <c r="M838" s="17" t="str">
        <f t="shared" si="120"/>
        <v/>
      </c>
      <c r="N838" s="17" t="str">
        <f t="shared" si="121"/>
        <v/>
      </c>
      <c r="O838" s="17" t="str">
        <f t="shared" si="122"/>
        <v/>
      </c>
      <c r="P838" s="16" t="str">
        <f t="shared" si="123"/>
        <v/>
      </c>
      <c r="Q838" s="16" t="str">
        <f t="shared" si="124"/>
        <v/>
      </c>
      <c r="R838" s="18" t="str">
        <f t="shared" si="125"/>
        <v/>
      </c>
    </row>
    <row r="839" spans="1:18">
      <c r="A839" s="12"/>
      <c r="B839" s="13"/>
      <c r="C839" s="14"/>
      <c r="D839" s="15"/>
      <c r="E839" s="15"/>
      <c r="F839" s="15"/>
      <c r="G839" s="13"/>
      <c r="H839" s="16" t="str">
        <f t="shared" si="117"/>
        <v/>
      </c>
      <c r="I839" s="17" t="str">
        <f>IF(OR(A839="",B839=""),"",IFERROR(LOOKUP(2,1/(单次交易!$A$2:$A$201=A839),单次交易!$H$2:$H$201),0)+SUMIFS($G$2:$G$1001,$A$2:$A$1001,A839,$B$2:$B$1001,"&lt;"&amp;B839))</f>
        <v/>
      </c>
      <c r="J839" s="16" t="str">
        <f>IF(OR(A839="",B839=""),"",IFERROR(LOOKUP(2,1/(单次交易!$A$2:$A$201=A839),单次交易!$E$2:$E$201)*LOOKUP(2,1/(单次交易!$A$2:$A$201=A839),单次交易!$H$2:$H$201),0)+SUMIFS($H$2:$H$1001,$A$2:$A$1001,A839,$B$2:$B$1001,"&lt;"&amp;B839))</f>
        <v/>
      </c>
      <c r="K839" s="16" t="str">
        <f t="shared" si="118"/>
        <v/>
      </c>
      <c r="L839" s="17" t="str">
        <f t="shared" si="119"/>
        <v/>
      </c>
      <c r="M839" s="17" t="str">
        <f t="shared" si="120"/>
        <v/>
      </c>
      <c r="N839" s="17" t="str">
        <f t="shared" si="121"/>
        <v/>
      </c>
      <c r="O839" s="17" t="str">
        <f t="shared" si="122"/>
        <v/>
      </c>
      <c r="P839" s="16" t="str">
        <f t="shared" si="123"/>
        <v/>
      </c>
      <c r="Q839" s="16" t="str">
        <f t="shared" si="124"/>
        <v/>
      </c>
      <c r="R839" s="18" t="str">
        <f t="shared" si="125"/>
        <v/>
      </c>
    </row>
    <row r="840" spans="1:18">
      <c r="A840" s="12"/>
      <c r="B840" s="13"/>
      <c r="C840" s="14"/>
      <c r="D840" s="15"/>
      <c r="E840" s="15"/>
      <c r="F840" s="15"/>
      <c r="G840" s="13"/>
      <c r="H840" s="16" t="str">
        <f t="shared" si="117"/>
        <v/>
      </c>
      <c r="I840" s="17" t="str">
        <f>IF(OR(A840="",B840=""),"",IFERROR(LOOKUP(2,1/(单次交易!$A$2:$A$201=A840),单次交易!$H$2:$H$201),0)+SUMIFS($G$2:$G$1001,$A$2:$A$1001,A840,$B$2:$B$1001,"&lt;"&amp;B840))</f>
        <v/>
      </c>
      <c r="J840" s="16" t="str">
        <f>IF(OR(A840="",B840=""),"",IFERROR(LOOKUP(2,1/(单次交易!$A$2:$A$201=A840),单次交易!$E$2:$E$201)*LOOKUP(2,1/(单次交易!$A$2:$A$201=A840),单次交易!$H$2:$H$201),0)+SUMIFS($H$2:$H$1001,$A$2:$A$1001,A840,$B$2:$B$1001,"&lt;"&amp;B840))</f>
        <v/>
      </c>
      <c r="K840" s="16" t="str">
        <f t="shared" si="118"/>
        <v/>
      </c>
      <c r="L840" s="17" t="str">
        <f t="shared" si="119"/>
        <v/>
      </c>
      <c r="M840" s="17" t="str">
        <f t="shared" si="120"/>
        <v/>
      </c>
      <c r="N840" s="17" t="str">
        <f t="shared" si="121"/>
        <v/>
      </c>
      <c r="O840" s="17" t="str">
        <f t="shared" si="122"/>
        <v/>
      </c>
      <c r="P840" s="16" t="str">
        <f t="shared" si="123"/>
        <v/>
      </c>
      <c r="Q840" s="16" t="str">
        <f t="shared" si="124"/>
        <v/>
      </c>
      <c r="R840" s="18" t="str">
        <f t="shared" si="125"/>
        <v/>
      </c>
    </row>
    <row r="841" spans="1:18">
      <c r="A841" s="12"/>
      <c r="B841" s="13"/>
      <c r="C841" s="14"/>
      <c r="D841" s="15"/>
      <c r="E841" s="15"/>
      <c r="F841" s="15"/>
      <c r="G841" s="13"/>
      <c r="H841" s="16" t="str">
        <f t="shared" si="117"/>
        <v/>
      </c>
      <c r="I841" s="17" t="str">
        <f>IF(OR(A841="",B841=""),"",IFERROR(LOOKUP(2,1/(单次交易!$A$2:$A$201=A841),单次交易!$H$2:$H$201),0)+SUMIFS($G$2:$G$1001,$A$2:$A$1001,A841,$B$2:$B$1001,"&lt;"&amp;B841))</f>
        <v/>
      </c>
      <c r="J841" s="16" t="str">
        <f>IF(OR(A841="",B841=""),"",IFERROR(LOOKUP(2,1/(单次交易!$A$2:$A$201=A841),单次交易!$E$2:$E$201)*LOOKUP(2,1/(单次交易!$A$2:$A$201=A841),单次交易!$H$2:$H$201),0)+SUMIFS($H$2:$H$1001,$A$2:$A$1001,A841,$B$2:$B$1001,"&lt;"&amp;B841))</f>
        <v/>
      </c>
      <c r="K841" s="16" t="str">
        <f t="shared" si="118"/>
        <v/>
      </c>
      <c r="L841" s="17" t="str">
        <f t="shared" si="119"/>
        <v/>
      </c>
      <c r="M841" s="17" t="str">
        <f t="shared" si="120"/>
        <v/>
      </c>
      <c r="N841" s="17" t="str">
        <f t="shared" si="121"/>
        <v/>
      </c>
      <c r="O841" s="17" t="str">
        <f t="shared" si="122"/>
        <v/>
      </c>
      <c r="P841" s="16" t="str">
        <f t="shared" si="123"/>
        <v/>
      </c>
      <c r="Q841" s="16" t="str">
        <f t="shared" si="124"/>
        <v/>
      </c>
      <c r="R841" s="18" t="str">
        <f t="shared" si="125"/>
        <v/>
      </c>
    </row>
    <row r="842" spans="1:18">
      <c r="A842" s="12"/>
      <c r="B842" s="13"/>
      <c r="C842" s="14"/>
      <c r="D842" s="15"/>
      <c r="E842" s="15"/>
      <c r="F842" s="15"/>
      <c r="G842" s="13"/>
      <c r="H842" s="16" t="str">
        <f t="shared" si="117"/>
        <v/>
      </c>
      <c r="I842" s="17" t="str">
        <f>IF(OR(A842="",B842=""),"",IFERROR(LOOKUP(2,1/(单次交易!$A$2:$A$201=A842),单次交易!$H$2:$H$201),0)+SUMIFS($G$2:$G$1001,$A$2:$A$1001,A842,$B$2:$B$1001,"&lt;"&amp;B842))</f>
        <v/>
      </c>
      <c r="J842" s="16" t="str">
        <f>IF(OR(A842="",B842=""),"",IFERROR(LOOKUP(2,1/(单次交易!$A$2:$A$201=A842),单次交易!$E$2:$E$201)*LOOKUP(2,1/(单次交易!$A$2:$A$201=A842),单次交易!$H$2:$H$201),0)+SUMIFS($H$2:$H$1001,$A$2:$A$1001,A842,$B$2:$B$1001,"&lt;"&amp;B842))</f>
        <v/>
      </c>
      <c r="K842" s="16" t="str">
        <f t="shared" si="118"/>
        <v/>
      </c>
      <c r="L842" s="17" t="str">
        <f t="shared" si="119"/>
        <v/>
      </c>
      <c r="M842" s="17" t="str">
        <f t="shared" si="120"/>
        <v/>
      </c>
      <c r="N842" s="17" t="str">
        <f t="shared" si="121"/>
        <v/>
      </c>
      <c r="O842" s="17" t="str">
        <f t="shared" si="122"/>
        <v/>
      </c>
      <c r="P842" s="16" t="str">
        <f t="shared" si="123"/>
        <v/>
      </c>
      <c r="Q842" s="16" t="str">
        <f t="shared" si="124"/>
        <v/>
      </c>
      <c r="R842" s="18" t="str">
        <f t="shared" si="125"/>
        <v/>
      </c>
    </row>
    <row r="843" spans="1:18">
      <c r="A843" s="12"/>
      <c r="B843" s="13"/>
      <c r="C843" s="14"/>
      <c r="D843" s="15"/>
      <c r="E843" s="15"/>
      <c r="F843" s="15"/>
      <c r="G843" s="13"/>
      <c r="H843" s="16" t="str">
        <f t="shared" si="117"/>
        <v/>
      </c>
      <c r="I843" s="17" t="str">
        <f>IF(OR(A843="",B843=""),"",IFERROR(LOOKUP(2,1/(单次交易!$A$2:$A$201=A843),单次交易!$H$2:$H$201),0)+SUMIFS($G$2:$G$1001,$A$2:$A$1001,A843,$B$2:$B$1001,"&lt;"&amp;B843))</f>
        <v/>
      </c>
      <c r="J843" s="16" t="str">
        <f>IF(OR(A843="",B843=""),"",IFERROR(LOOKUP(2,1/(单次交易!$A$2:$A$201=A843),单次交易!$E$2:$E$201)*LOOKUP(2,1/(单次交易!$A$2:$A$201=A843),单次交易!$H$2:$H$201),0)+SUMIFS($H$2:$H$1001,$A$2:$A$1001,A843,$B$2:$B$1001,"&lt;"&amp;B843))</f>
        <v/>
      </c>
      <c r="K843" s="16" t="str">
        <f t="shared" si="118"/>
        <v/>
      </c>
      <c r="L843" s="17" t="str">
        <f t="shared" si="119"/>
        <v/>
      </c>
      <c r="M843" s="17" t="str">
        <f t="shared" si="120"/>
        <v/>
      </c>
      <c r="N843" s="17" t="str">
        <f t="shared" si="121"/>
        <v/>
      </c>
      <c r="O843" s="17" t="str">
        <f t="shared" si="122"/>
        <v/>
      </c>
      <c r="P843" s="16" t="str">
        <f t="shared" si="123"/>
        <v/>
      </c>
      <c r="Q843" s="16" t="str">
        <f t="shared" si="124"/>
        <v/>
      </c>
      <c r="R843" s="18" t="str">
        <f t="shared" si="125"/>
        <v/>
      </c>
    </row>
    <row r="844" spans="1:18">
      <c r="A844" s="12"/>
      <c r="B844" s="13"/>
      <c r="C844" s="14"/>
      <c r="D844" s="15"/>
      <c r="E844" s="15"/>
      <c r="F844" s="15"/>
      <c r="G844" s="13"/>
      <c r="H844" s="16" t="str">
        <f t="shared" si="117"/>
        <v/>
      </c>
      <c r="I844" s="17" t="str">
        <f>IF(OR(A844="",B844=""),"",IFERROR(LOOKUP(2,1/(单次交易!$A$2:$A$201=A844),单次交易!$H$2:$H$201),0)+SUMIFS($G$2:$G$1001,$A$2:$A$1001,A844,$B$2:$B$1001,"&lt;"&amp;B844))</f>
        <v/>
      </c>
      <c r="J844" s="16" t="str">
        <f>IF(OR(A844="",B844=""),"",IFERROR(LOOKUP(2,1/(单次交易!$A$2:$A$201=A844),单次交易!$E$2:$E$201)*LOOKUP(2,1/(单次交易!$A$2:$A$201=A844),单次交易!$H$2:$H$201),0)+SUMIFS($H$2:$H$1001,$A$2:$A$1001,A844,$B$2:$B$1001,"&lt;"&amp;B844))</f>
        <v/>
      </c>
      <c r="K844" s="16" t="str">
        <f t="shared" si="118"/>
        <v/>
      </c>
      <c r="L844" s="17" t="str">
        <f t="shared" si="119"/>
        <v/>
      </c>
      <c r="M844" s="17" t="str">
        <f t="shared" si="120"/>
        <v/>
      </c>
      <c r="N844" s="17" t="str">
        <f t="shared" si="121"/>
        <v/>
      </c>
      <c r="O844" s="17" t="str">
        <f t="shared" si="122"/>
        <v/>
      </c>
      <c r="P844" s="16" t="str">
        <f t="shared" si="123"/>
        <v/>
      </c>
      <c r="Q844" s="16" t="str">
        <f t="shared" si="124"/>
        <v/>
      </c>
      <c r="R844" s="18" t="str">
        <f t="shared" si="125"/>
        <v/>
      </c>
    </row>
    <row r="845" spans="1:18">
      <c r="A845" s="12"/>
      <c r="B845" s="13"/>
      <c r="C845" s="14"/>
      <c r="D845" s="15"/>
      <c r="E845" s="15"/>
      <c r="F845" s="15"/>
      <c r="G845" s="13"/>
      <c r="H845" s="16" t="str">
        <f t="shared" si="117"/>
        <v/>
      </c>
      <c r="I845" s="17" t="str">
        <f>IF(OR(A845="",B845=""),"",IFERROR(LOOKUP(2,1/(单次交易!$A$2:$A$201=A845),单次交易!$H$2:$H$201),0)+SUMIFS($G$2:$G$1001,$A$2:$A$1001,A845,$B$2:$B$1001,"&lt;"&amp;B845))</f>
        <v/>
      </c>
      <c r="J845" s="16" t="str">
        <f>IF(OR(A845="",B845=""),"",IFERROR(LOOKUP(2,1/(单次交易!$A$2:$A$201=A845),单次交易!$E$2:$E$201)*LOOKUP(2,1/(单次交易!$A$2:$A$201=A845),单次交易!$H$2:$H$201),0)+SUMIFS($H$2:$H$1001,$A$2:$A$1001,A845,$B$2:$B$1001,"&lt;"&amp;B845))</f>
        <v/>
      </c>
      <c r="K845" s="16" t="str">
        <f t="shared" si="118"/>
        <v/>
      </c>
      <c r="L845" s="17" t="str">
        <f t="shared" si="119"/>
        <v/>
      </c>
      <c r="M845" s="17" t="str">
        <f t="shared" si="120"/>
        <v/>
      </c>
      <c r="N845" s="17" t="str">
        <f t="shared" si="121"/>
        <v/>
      </c>
      <c r="O845" s="17" t="str">
        <f t="shared" si="122"/>
        <v/>
      </c>
      <c r="P845" s="16" t="str">
        <f t="shared" si="123"/>
        <v/>
      </c>
      <c r="Q845" s="16" t="str">
        <f t="shared" si="124"/>
        <v/>
      </c>
      <c r="R845" s="18" t="str">
        <f t="shared" si="125"/>
        <v/>
      </c>
    </row>
    <row r="846" spans="1:18">
      <c r="A846" s="12"/>
      <c r="B846" s="13"/>
      <c r="C846" s="14"/>
      <c r="D846" s="15"/>
      <c r="E846" s="15"/>
      <c r="F846" s="15"/>
      <c r="G846" s="13"/>
      <c r="H846" s="16" t="str">
        <f t="shared" si="117"/>
        <v/>
      </c>
      <c r="I846" s="17" t="str">
        <f>IF(OR(A846="",B846=""),"",IFERROR(LOOKUP(2,1/(单次交易!$A$2:$A$201=A846),单次交易!$H$2:$H$201),0)+SUMIFS($G$2:$G$1001,$A$2:$A$1001,A846,$B$2:$B$1001,"&lt;"&amp;B846))</f>
        <v/>
      </c>
      <c r="J846" s="16" t="str">
        <f>IF(OR(A846="",B846=""),"",IFERROR(LOOKUP(2,1/(单次交易!$A$2:$A$201=A846),单次交易!$E$2:$E$201)*LOOKUP(2,1/(单次交易!$A$2:$A$201=A846),单次交易!$H$2:$H$201),0)+SUMIFS($H$2:$H$1001,$A$2:$A$1001,A846,$B$2:$B$1001,"&lt;"&amp;B846))</f>
        <v/>
      </c>
      <c r="K846" s="16" t="str">
        <f t="shared" si="118"/>
        <v/>
      </c>
      <c r="L846" s="17" t="str">
        <f t="shared" si="119"/>
        <v/>
      </c>
      <c r="M846" s="17" t="str">
        <f t="shared" si="120"/>
        <v/>
      </c>
      <c r="N846" s="17" t="str">
        <f t="shared" si="121"/>
        <v/>
      </c>
      <c r="O846" s="17" t="str">
        <f t="shared" si="122"/>
        <v/>
      </c>
      <c r="P846" s="16" t="str">
        <f t="shared" si="123"/>
        <v/>
      </c>
      <c r="Q846" s="16" t="str">
        <f t="shared" si="124"/>
        <v/>
      </c>
      <c r="R846" s="18" t="str">
        <f t="shared" si="125"/>
        <v/>
      </c>
    </row>
    <row r="847" spans="1:18">
      <c r="A847" s="12"/>
      <c r="B847" s="13"/>
      <c r="C847" s="14"/>
      <c r="D847" s="15"/>
      <c r="E847" s="15"/>
      <c r="F847" s="15"/>
      <c r="G847" s="13"/>
      <c r="H847" s="16" t="str">
        <f t="shared" si="117"/>
        <v/>
      </c>
      <c r="I847" s="17" t="str">
        <f>IF(OR(A847="",B847=""),"",IFERROR(LOOKUP(2,1/(单次交易!$A$2:$A$201=A847),单次交易!$H$2:$H$201),0)+SUMIFS($G$2:$G$1001,$A$2:$A$1001,A847,$B$2:$B$1001,"&lt;"&amp;B847))</f>
        <v/>
      </c>
      <c r="J847" s="16" t="str">
        <f>IF(OR(A847="",B847=""),"",IFERROR(LOOKUP(2,1/(单次交易!$A$2:$A$201=A847),单次交易!$E$2:$E$201)*LOOKUP(2,1/(单次交易!$A$2:$A$201=A847),单次交易!$H$2:$H$201),0)+SUMIFS($H$2:$H$1001,$A$2:$A$1001,A847,$B$2:$B$1001,"&lt;"&amp;B847))</f>
        <v/>
      </c>
      <c r="K847" s="16" t="str">
        <f t="shared" si="118"/>
        <v/>
      </c>
      <c r="L847" s="17" t="str">
        <f t="shared" si="119"/>
        <v/>
      </c>
      <c r="M847" s="17" t="str">
        <f t="shared" si="120"/>
        <v/>
      </c>
      <c r="N847" s="17" t="str">
        <f t="shared" si="121"/>
        <v/>
      </c>
      <c r="O847" s="17" t="str">
        <f t="shared" si="122"/>
        <v/>
      </c>
      <c r="P847" s="16" t="str">
        <f t="shared" si="123"/>
        <v/>
      </c>
      <c r="Q847" s="16" t="str">
        <f t="shared" si="124"/>
        <v/>
      </c>
      <c r="R847" s="18" t="str">
        <f t="shared" si="125"/>
        <v/>
      </c>
    </row>
    <row r="848" spans="1:18">
      <c r="A848" s="12"/>
      <c r="B848" s="13"/>
      <c r="C848" s="14"/>
      <c r="D848" s="15"/>
      <c r="E848" s="15"/>
      <c r="F848" s="15"/>
      <c r="G848" s="13"/>
      <c r="H848" s="16" t="str">
        <f t="shared" si="117"/>
        <v/>
      </c>
      <c r="I848" s="17" t="str">
        <f>IF(OR(A848="",B848=""),"",IFERROR(LOOKUP(2,1/(单次交易!$A$2:$A$201=A848),单次交易!$H$2:$H$201),0)+SUMIFS($G$2:$G$1001,$A$2:$A$1001,A848,$B$2:$B$1001,"&lt;"&amp;B848))</f>
        <v/>
      </c>
      <c r="J848" s="16" t="str">
        <f>IF(OR(A848="",B848=""),"",IFERROR(LOOKUP(2,1/(单次交易!$A$2:$A$201=A848),单次交易!$E$2:$E$201)*LOOKUP(2,1/(单次交易!$A$2:$A$201=A848),单次交易!$H$2:$H$201),0)+SUMIFS($H$2:$H$1001,$A$2:$A$1001,A848,$B$2:$B$1001,"&lt;"&amp;B848))</f>
        <v/>
      </c>
      <c r="K848" s="16" t="str">
        <f t="shared" si="118"/>
        <v/>
      </c>
      <c r="L848" s="17" t="str">
        <f t="shared" si="119"/>
        <v/>
      </c>
      <c r="M848" s="17" t="str">
        <f t="shared" si="120"/>
        <v/>
      </c>
      <c r="N848" s="17" t="str">
        <f t="shared" si="121"/>
        <v/>
      </c>
      <c r="O848" s="17" t="str">
        <f t="shared" si="122"/>
        <v/>
      </c>
      <c r="P848" s="16" t="str">
        <f t="shared" si="123"/>
        <v/>
      </c>
      <c r="Q848" s="16" t="str">
        <f t="shared" si="124"/>
        <v/>
      </c>
      <c r="R848" s="18" t="str">
        <f t="shared" si="125"/>
        <v/>
      </c>
    </row>
    <row r="849" spans="1:18">
      <c r="A849" s="12"/>
      <c r="B849" s="13"/>
      <c r="C849" s="14"/>
      <c r="D849" s="15"/>
      <c r="E849" s="15"/>
      <c r="F849" s="15"/>
      <c r="G849" s="13"/>
      <c r="H849" s="16" t="str">
        <f t="shared" si="117"/>
        <v/>
      </c>
      <c r="I849" s="17" t="str">
        <f>IF(OR(A849="",B849=""),"",IFERROR(LOOKUP(2,1/(单次交易!$A$2:$A$201=A849),单次交易!$H$2:$H$201),0)+SUMIFS($G$2:$G$1001,$A$2:$A$1001,A849,$B$2:$B$1001,"&lt;"&amp;B849))</f>
        <v/>
      </c>
      <c r="J849" s="16" t="str">
        <f>IF(OR(A849="",B849=""),"",IFERROR(LOOKUP(2,1/(单次交易!$A$2:$A$201=A849),单次交易!$E$2:$E$201)*LOOKUP(2,1/(单次交易!$A$2:$A$201=A849),单次交易!$H$2:$H$201),0)+SUMIFS($H$2:$H$1001,$A$2:$A$1001,A849,$B$2:$B$1001,"&lt;"&amp;B849))</f>
        <v/>
      </c>
      <c r="K849" s="16" t="str">
        <f t="shared" si="118"/>
        <v/>
      </c>
      <c r="L849" s="17" t="str">
        <f t="shared" si="119"/>
        <v/>
      </c>
      <c r="M849" s="17" t="str">
        <f t="shared" si="120"/>
        <v/>
      </c>
      <c r="N849" s="17" t="str">
        <f t="shared" si="121"/>
        <v/>
      </c>
      <c r="O849" s="17" t="str">
        <f t="shared" si="122"/>
        <v/>
      </c>
      <c r="P849" s="16" t="str">
        <f t="shared" si="123"/>
        <v/>
      </c>
      <c r="Q849" s="16" t="str">
        <f t="shared" si="124"/>
        <v/>
      </c>
      <c r="R849" s="18" t="str">
        <f t="shared" si="125"/>
        <v/>
      </c>
    </row>
    <row r="850" spans="1:18">
      <c r="A850" s="12"/>
      <c r="B850" s="13"/>
      <c r="C850" s="14"/>
      <c r="D850" s="15"/>
      <c r="E850" s="15"/>
      <c r="F850" s="15"/>
      <c r="G850" s="13"/>
      <c r="H850" s="16" t="str">
        <f t="shared" si="117"/>
        <v/>
      </c>
      <c r="I850" s="17" t="str">
        <f>IF(OR(A850="",B850=""),"",IFERROR(LOOKUP(2,1/(单次交易!$A$2:$A$201=A850),单次交易!$H$2:$H$201),0)+SUMIFS($G$2:$G$1001,$A$2:$A$1001,A850,$B$2:$B$1001,"&lt;"&amp;B850))</f>
        <v/>
      </c>
      <c r="J850" s="16" t="str">
        <f>IF(OR(A850="",B850=""),"",IFERROR(LOOKUP(2,1/(单次交易!$A$2:$A$201=A850),单次交易!$E$2:$E$201)*LOOKUP(2,1/(单次交易!$A$2:$A$201=A850),单次交易!$H$2:$H$201),0)+SUMIFS($H$2:$H$1001,$A$2:$A$1001,A850,$B$2:$B$1001,"&lt;"&amp;B850))</f>
        <v/>
      </c>
      <c r="K850" s="16" t="str">
        <f t="shared" si="118"/>
        <v/>
      </c>
      <c r="L850" s="17" t="str">
        <f t="shared" si="119"/>
        <v/>
      </c>
      <c r="M850" s="17" t="str">
        <f t="shared" si="120"/>
        <v/>
      </c>
      <c r="N850" s="17" t="str">
        <f t="shared" si="121"/>
        <v/>
      </c>
      <c r="O850" s="17" t="str">
        <f t="shared" si="122"/>
        <v/>
      </c>
      <c r="P850" s="16" t="str">
        <f t="shared" si="123"/>
        <v/>
      </c>
      <c r="Q850" s="16" t="str">
        <f t="shared" si="124"/>
        <v/>
      </c>
      <c r="R850" s="18" t="str">
        <f t="shared" si="125"/>
        <v/>
      </c>
    </row>
    <row r="851" spans="1:18">
      <c r="A851" s="12"/>
      <c r="B851" s="13"/>
      <c r="C851" s="14"/>
      <c r="D851" s="15"/>
      <c r="E851" s="15"/>
      <c r="F851" s="15"/>
      <c r="G851" s="13"/>
      <c r="H851" s="16" t="str">
        <f t="shared" si="117"/>
        <v/>
      </c>
      <c r="I851" s="17" t="str">
        <f>IF(OR(A851="",B851=""),"",IFERROR(LOOKUP(2,1/(单次交易!$A$2:$A$201=A851),单次交易!$H$2:$H$201),0)+SUMIFS($G$2:$G$1001,$A$2:$A$1001,A851,$B$2:$B$1001,"&lt;"&amp;B851))</f>
        <v/>
      </c>
      <c r="J851" s="16" t="str">
        <f>IF(OR(A851="",B851=""),"",IFERROR(LOOKUP(2,1/(单次交易!$A$2:$A$201=A851),单次交易!$E$2:$E$201)*LOOKUP(2,1/(单次交易!$A$2:$A$201=A851),单次交易!$H$2:$H$201),0)+SUMIFS($H$2:$H$1001,$A$2:$A$1001,A851,$B$2:$B$1001,"&lt;"&amp;B851))</f>
        <v/>
      </c>
      <c r="K851" s="16" t="str">
        <f t="shared" si="118"/>
        <v/>
      </c>
      <c r="L851" s="17" t="str">
        <f t="shared" si="119"/>
        <v/>
      </c>
      <c r="M851" s="17" t="str">
        <f t="shared" si="120"/>
        <v/>
      </c>
      <c r="N851" s="17" t="str">
        <f t="shared" si="121"/>
        <v/>
      </c>
      <c r="O851" s="17" t="str">
        <f t="shared" si="122"/>
        <v/>
      </c>
      <c r="P851" s="16" t="str">
        <f t="shared" si="123"/>
        <v/>
      </c>
      <c r="Q851" s="16" t="str">
        <f t="shared" si="124"/>
        <v/>
      </c>
      <c r="R851" s="18" t="str">
        <f t="shared" si="125"/>
        <v/>
      </c>
    </row>
    <row r="852" spans="1:18">
      <c r="A852" s="12"/>
      <c r="B852" s="13"/>
      <c r="C852" s="14"/>
      <c r="D852" s="15"/>
      <c r="E852" s="15"/>
      <c r="F852" s="15"/>
      <c r="G852" s="13"/>
      <c r="H852" s="16" t="str">
        <f t="shared" si="117"/>
        <v/>
      </c>
      <c r="I852" s="17" t="str">
        <f>IF(OR(A852="",B852=""),"",IFERROR(LOOKUP(2,1/(单次交易!$A$2:$A$201=A852),单次交易!$H$2:$H$201),0)+SUMIFS($G$2:$G$1001,$A$2:$A$1001,A852,$B$2:$B$1001,"&lt;"&amp;B852))</f>
        <v/>
      </c>
      <c r="J852" s="16" t="str">
        <f>IF(OR(A852="",B852=""),"",IFERROR(LOOKUP(2,1/(单次交易!$A$2:$A$201=A852),单次交易!$E$2:$E$201)*LOOKUP(2,1/(单次交易!$A$2:$A$201=A852),单次交易!$H$2:$H$201),0)+SUMIFS($H$2:$H$1001,$A$2:$A$1001,A852,$B$2:$B$1001,"&lt;"&amp;B852))</f>
        <v/>
      </c>
      <c r="K852" s="16" t="str">
        <f t="shared" si="118"/>
        <v/>
      </c>
      <c r="L852" s="17" t="str">
        <f t="shared" si="119"/>
        <v/>
      </c>
      <c r="M852" s="17" t="str">
        <f t="shared" si="120"/>
        <v/>
      </c>
      <c r="N852" s="17" t="str">
        <f t="shared" si="121"/>
        <v/>
      </c>
      <c r="O852" s="17" t="str">
        <f t="shared" si="122"/>
        <v/>
      </c>
      <c r="P852" s="16" t="str">
        <f t="shared" si="123"/>
        <v/>
      </c>
      <c r="Q852" s="16" t="str">
        <f t="shared" si="124"/>
        <v/>
      </c>
      <c r="R852" s="18" t="str">
        <f t="shared" si="125"/>
        <v/>
      </c>
    </row>
    <row r="853" spans="1:18">
      <c r="A853" s="12"/>
      <c r="B853" s="13"/>
      <c r="C853" s="14"/>
      <c r="D853" s="15"/>
      <c r="E853" s="15"/>
      <c r="F853" s="15"/>
      <c r="G853" s="13"/>
      <c r="H853" s="16" t="str">
        <f t="shared" si="117"/>
        <v/>
      </c>
      <c r="I853" s="17" t="str">
        <f>IF(OR(A853="",B853=""),"",IFERROR(LOOKUP(2,1/(单次交易!$A$2:$A$201=A853),单次交易!$H$2:$H$201),0)+SUMIFS($G$2:$G$1001,$A$2:$A$1001,A853,$B$2:$B$1001,"&lt;"&amp;B853))</f>
        <v/>
      </c>
      <c r="J853" s="16" t="str">
        <f>IF(OR(A853="",B853=""),"",IFERROR(LOOKUP(2,1/(单次交易!$A$2:$A$201=A853),单次交易!$E$2:$E$201)*LOOKUP(2,1/(单次交易!$A$2:$A$201=A853),单次交易!$H$2:$H$201),0)+SUMIFS($H$2:$H$1001,$A$2:$A$1001,A853,$B$2:$B$1001,"&lt;"&amp;B853))</f>
        <v/>
      </c>
      <c r="K853" s="16" t="str">
        <f t="shared" si="118"/>
        <v/>
      </c>
      <c r="L853" s="17" t="str">
        <f t="shared" si="119"/>
        <v/>
      </c>
      <c r="M853" s="17" t="str">
        <f t="shared" si="120"/>
        <v/>
      </c>
      <c r="N853" s="17" t="str">
        <f t="shared" si="121"/>
        <v/>
      </c>
      <c r="O853" s="17" t="str">
        <f t="shared" si="122"/>
        <v/>
      </c>
      <c r="P853" s="16" t="str">
        <f t="shared" si="123"/>
        <v/>
      </c>
      <c r="Q853" s="16" t="str">
        <f t="shared" si="124"/>
        <v/>
      </c>
      <c r="R853" s="18" t="str">
        <f t="shared" si="125"/>
        <v/>
      </c>
    </row>
    <row r="854" spans="1:18">
      <c r="A854" s="12"/>
      <c r="B854" s="13"/>
      <c r="C854" s="14"/>
      <c r="D854" s="15"/>
      <c r="E854" s="15"/>
      <c r="F854" s="15"/>
      <c r="G854" s="13"/>
      <c r="H854" s="16" t="str">
        <f t="shared" si="117"/>
        <v/>
      </c>
      <c r="I854" s="17" t="str">
        <f>IF(OR(A854="",B854=""),"",IFERROR(LOOKUP(2,1/(单次交易!$A$2:$A$201=A854),单次交易!$H$2:$H$201),0)+SUMIFS($G$2:$G$1001,$A$2:$A$1001,A854,$B$2:$B$1001,"&lt;"&amp;B854))</f>
        <v/>
      </c>
      <c r="J854" s="16" t="str">
        <f>IF(OR(A854="",B854=""),"",IFERROR(LOOKUP(2,1/(单次交易!$A$2:$A$201=A854),单次交易!$E$2:$E$201)*LOOKUP(2,1/(单次交易!$A$2:$A$201=A854),单次交易!$H$2:$H$201),0)+SUMIFS($H$2:$H$1001,$A$2:$A$1001,A854,$B$2:$B$1001,"&lt;"&amp;B854))</f>
        <v/>
      </c>
      <c r="K854" s="16" t="str">
        <f t="shared" si="118"/>
        <v/>
      </c>
      <c r="L854" s="17" t="str">
        <f t="shared" si="119"/>
        <v/>
      </c>
      <c r="M854" s="17" t="str">
        <f t="shared" si="120"/>
        <v/>
      </c>
      <c r="N854" s="17" t="str">
        <f t="shared" si="121"/>
        <v/>
      </c>
      <c r="O854" s="17" t="str">
        <f t="shared" si="122"/>
        <v/>
      </c>
      <c r="P854" s="16" t="str">
        <f t="shared" si="123"/>
        <v/>
      </c>
      <c r="Q854" s="16" t="str">
        <f t="shared" si="124"/>
        <v/>
      </c>
      <c r="R854" s="18" t="str">
        <f t="shared" si="125"/>
        <v/>
      </c>
    </row>
    <row r="855" spans="1:18">
      <c r="A855" s="12"/>
      <c r="B855" s="13"/>
      <c r="C855" s="14"/>
      <c r="D855" s="15"/>
      <c r="E855" s="15"/>
      <c r="F855" s="15"/>
      <c r="G855" s="13"/>
      <c r="H855" s="16" t="str">
        <f t="shared" si="117"/>
        <v/>
      </c>
      <c r="I855" s="17" t="str">
        <f>IF(OR(A855="",B855=""),"",IFERROR(LOOKUP(2,1/(单次交易!$A$2:$A$201=A855),单次交易!$H$2:$H$201),0)+SUMIFS($G$2:$G$1001,$A$2:$A$1001,A855,$B$2:$B$1001,"&lt;"&amp;B855))</f>
        <v/>
      </c>
      <c r="J855" s="16" t="str">
        <f>IF(OR(A855="",B855=""),"",IFERROR(LOOKUP(2,1/(单次交易!$A$2:$A$201=A855),单次交易!$E$2:$E$201)*LOOKUP(2,1/(单次交易!$A$2:$A$201=A855),单次交易!$H$2:$H$201),0)+SUMIFS($H$2:$H$1001,$A$2:$A$1001,A855,$B$2:$B$1001,"&lt;"&amp;B855))</f>
        <v/>
      </c>
      <c r="K855" s="16" t="str">
        <f t="shared" si="118"/>
        <v/>
      </c>
      <c r="L855" s="17" t="str">
        <f t="shared" si="119"/>
        <v/>
      </c>
      <c r="M855" s="17" t="str">
        <f t="shared" si="120"/>
        <v/>
      </c>
      <c r="N855" s="17" t="str">
        <f t="shared" si="121"/>
        <v/>
      </c>
      <c r="O855" s="17" t="str">
        <f t="shared" si="122"/>
        <v/>
      </c>
      <c r="P855" s="16" t="str">
        <f t="shared" si="123"/>
        <v/>
      </c>
      <c r="Q855" s="16" t="str">
        <f t="shared" si="124"/>
        <v/>
      </c>
      <c r="R855" s="18" t="str">
        <f t="shared" si="125"/>
        <v/>
      </c>
    </row>
    <row r="856" spans="1:18">
      <c r="A856" s="12"/>
      <c r="B856" s="13"/>
      <c r="C856" s="14"/>
      <c r="D856" s="15"/>
      <c r="E856" s="15"/>
      <c r="F856" s="15"/>
      <c r="G856" s="13"/>
      <c r="H856" s="16" t="str">
        <f t="shared" si="117"/>
        <v/>
      </c>
      <c r="I856" s="17" t="str">
        <f>IF(OR(A856="",B856=""),"",IFERROR(LOOKUP(2,1/(单次交易!$A$2:$A$201=A856),单次交易!$H$2:$H$201),0)+SUMIFS($G$2:$G$1001,$A$2:$A$1001,A856,$B$2:$B$1001,"&lt;"&amp;B856))</f>
        <v/>
      </c>
      <c r="J856" s="16" t="str">
        <f>IF(OR(A856="",B856=""),"",IFERROR(LOOKUP(2,1/(单次交易!$A$2:$A$201=A856),单次交易!$E$2:$E$201)*LOOKUP(2,1/(单次交易!$A$2:$A$201=A856),单次交易!$H$2:$H$201),0)+SUMIFS($H$2:$H$1001,$A$2:$A$1001,A856,$B$2:$B$1001,"&lt;"&amp;B856))</f>
        <v/>
      </c>
      <c r="K856" s="16" t="str">
        <f t="shared" si="118"/>
        <v/>
      </c>
      <c r="L856" s="17" t="str">
        <f t="shared" si="119"/>
        <v/>
      </c>
      <c r="M856" s="17" t="str">
        <f t="shared" si="120"/>
        <v/>
      </c>
      <c r="N856" s="17" t="str">
        <f t="shared" si="121"/>
        <v/>
      </c>
      <c r="O856" s="17" t="str">
        <f t="shared" si="122"/>
        <v/>
      </c>
      <c r="P856" s="16" t="str">
        <f t="shared" si="123"/>
        <v/>
      </c>
      <c r="Q856" s="16" t="str">
        <f t="shared" si="124"/>
        <v/>
      </c>
      <c r="R856" s="18" t="str">
        <f t="shared" si="125"/>
        <v/>
      </c>
    </row>
    <row r="857" spans="1:18">
      <c r="A857" s="12"/>
      <c r="B857" s="13"/>
      <c r="C857" s="14"/>
      <c r="D857" s="15"/>
      <c r="E857" s="15"/>
      <c r="F857" s="15"/>
      <c r="G857" s="13"/>
      <c r="H857" s="16" t="str">
        <f t="shared" si="117"/>
        <v/>
      </c>
      <c r="I857" s="17" t="str">
        <f>IF(OR(A857="",B857=""),"",IFERROR(LOOKUP(2,1/(单次交易!$A$2:$A$201=A857),单次交易!$H$2:$H$201),0)+SUMIFS($G$2:$G$1001,$A$2:$A$1001,A857,$B$2:$B$1001,"&lt;"&amp;B857))</f>
        <v/>
      </c>
      <c r="J857" s="16" t="str">
        <f>IF(OR(A857="",B857=""),"",IFERROR(LOOKUP(2,1/(单次交易!$A$2:$A$201=A857),单次交易!$E$2:$E$201)*LOOKUP(2,1/(单次交易!$A$2:$A$201=A857),单次交易!$H$2:$H$201),0)+SUMIFS($H$2:$H$1001,$A$2:$A$1001,A857,$B$2:$B$1001,"&lt;"&amp;B857))</f>
        <v/>
      </c>
      <c r="K857" s="16" t="str">
        <f t="shared" si="118"/>
        <v/>
      </c>
      <c r="L857" s="17" t="str">
        <f t="shared" si="119"/>
        <v/>
      </c>
      <c r="M857" s="17" t="str">
        <f t="shared" si="120"/>
        <v/>
      </c>
      <c r="N857" s="17" t="str">
        <f t="shared" si="121"/>
        <v/>
      </c>
      <c r="O857" s="17" t="str">
        <f t="shared" si="122"/>
        <v/>
      </c>
      <c r="P857" s="16" t="str">
        <f t="shared" si="123"/>
        <v/>
      </c>
      <c r="Q857" s="16" t="str">
        <f t="shared" si="124"/>
        <v/>
      </c>
      <c r="R857" s="18" t="str">
        <f t="shared" si="125"/>
        <v/>
      </c>
    </row>
    <row r="858" spans="1:18">
      <c r="A858" s="12"/>
      <c r="B858" s="13"/>
      <c r="C858" s="14"/>
      <c r="D858" s="15"/>
      <c r="E858" s="15"/>
      <c r="F858" s="15"/>
      <c r="G858" s="13"/>
      <c r="H858" s="16" t="str">
        <f t="shared" si="117"/>
        <v/>
      </c>
      <c r="I858" s="17" t="str">
        <f>IF(OR(A858="",B858=""),"",IFERROR(LOOKUP(2,1/(单次交易!$A$2:$A$201=A858),单次交易!$H$2:$H$201),0)+SUMIFS($G$2:$G$1001,$A$2:$A$1001,A858,$B$2:$B$1001,"&lt;"&amp;B858))</f>
        <v/>
      </c>
      <c r="J858" s="16" t="str">
        <f>IF(OR(A858="",B858=""),"",IFERROR(LOOKUP(2,1/(单次交易!$A$2:$A$201=A858),单次交易!$E$2:$E$201)*LOOKUP(2,1/(单次交易!$A$2:$A$201=A858),单次交易!$H$2:$H$201),0)+SUMIFS($H$2:$H$1001,$A$2:$A$1001,A858,$B$2:$B$1001,"&lt;"&amp;B858))</f>
        <v/>
      </c>
      <c r="K858" s="16" t="str">
        <f t="shared" si="118"/>
        <v/>
      </c>
      <c r="L858" s="17" t="str">
        <f t="shared" si="119"/>
        <v/>
      </c>
      <c r="M858" s="17" t="str">
        <f t="shared" si="120"/>
        <v/>
      </c>
      <c r="N858" s="17" t="str">
        <f t="shared" si="121"/>
        <v/>
      </c>
      <c r="O858" s="17" t="str">
        <f t="shared" si="122"/>
        <v/>
      </c>
      <c r="P858" s="16" t="str">
        <f t="shared" si="123"/>
        <v/>
      </c>
      <c r="Q858" s="16" t="str">
        <f t="shared" si="124"/>
        <v/>
      </c>
      <c r="R858" s="18" t="str">
        <f t="shared" si="125"/>
        <v/>
      </c>
    </row>
    <row r="859" spans="1:18">
      <c r="A859" s="12"/>
      <c r="B859" s="13"/>
      <c r="C859" s="14"/>
      <c r="D859" s="15"/>
      <c r="E859" s="15"/>
      <c r="F859" s="15"/>
      <c r="G859" s="13"/>
      <c r="H859" s="16" t="str">
        <f t="shared" si="117"/>
        <v/>
      </c>
      <c r="I859" s="17" t="str">
        <f>IF(OR(A859="",B859=""),"",IFERROR(LOOKUP(2,1/(单次交易!$A$2:$A$201=A859),单次交易!$H$2:$H$201),0)+SUMIFS($G$2:$G$1001,$A$2:$A$1001,A859,$B$2:$B$1001,"&lt;"&amp;B859))</f>
        <v/>
      </c>
      <c r="J859" s="16" t="str">
        <f>IF(OR(A859="",B859=""),"",IFERROR(LOOKUP(2,1/(单次交易!$A$2:$A$201=A859),单次交易!$E$2:$E$201)*LOOKUP(2,1/(单次交易!$A$2:$A$201=A859),单次交易!$H$2:$H$201),0)+SUMIFS($H$2:$H$1001,$A$2:$A$1001,A859,$B$2:$B$1001,"&lt;"&amp;B859))</f>
        <v/>
      </c>
      <c r="K859" s="16" t="str">
        <f t="shared" si="118"/>
        <v/>
      </c>
      <c r="L859" s="17" t="str">
        <f t="shared" si="119"/>
        <v/>
      </c>
      <c r="M859" s="17" t="str">
        <f t="shared" si="120"/>
        <v/>
      </c>
      <c r="N859" s="17" t="str">
        <f t="shared" si="121"/>
        <v/>
      </c>
      <c r="O859" s="17" t="str">
        <f t="shared" si="122"/>
        <v/>
      </c>
      <c r="P859" s="16" t="str">
        <f t="shared" si="123"/>
        <v/>
      </c>
      <c r="Q859" s="16" t="str">
        <f t="shared" si="124"/>
        <v/>
      </c>
      <c r="R859" s="18" t="str">
        <f t="shared" si="125"/>
        <v/>
      </c>
    </row>
    <row r="860" spans="1:18">
      <c r="A860" s="12"/>
      <c r="B860" s="13"/>
      <c r="C860" s="14"/>
      <c r="D860" s="15"/>
      <c r="E860" s="15"/>
      <c r="F860" s="15"/>
      <c r="G860" s="13"/>
      <c r="H860" s="16" t="str">
        <f t="shared" si="117"/>
        <v/>
      </c>
      <c r="I860" s="17" t="str">
        <f>IF(OR(A860="",B860=""),"",IFERROR(LOOKUP(2,1/(单次交易!$A$2:$A$201=A860),单次交易!$H$2:$H$201),0)+SUMIFS($G$2:$G$1001,$A$2:$A$1001,A860,$B$2:$B$1001,"&lt;"&amp;B860))</f>
        <v/>
      </c>
      <c r="J860" s="16" t="str">
        <f>IF(OR(A860="",B860=""),"",IFERROR(LOOKUP(2,1/(单次交易!$A$2:$A$201=A860),单次交易!$E$2:$E$201)*LOOKUP(2,1/(单次交易!$A$2:$A$201=A860),单次交易!$H$2:$H$201),0)+SUMIFS($H$2:$H$1001,$A$2:$A$1001,A860,$B$2:$B$1001,"&lt;"&amp;B860))</f>
        <v/>
      </c>
      <c r="K860" s="16" t="str">
        <f t="shared" si="118"/>
        <v/>
      </c>
      <c r="L860" s="17" t="str">
        <f t="shared" si="119"/>
        <v/>
      </c>
      <c r="M860" s="17" t="str">
        <f t="shared" si="120"/>
        <v/>
      </c>
      <c r="N860" s="17" t="str">
        <f t="shared" si="121"/>
        <v/>
      </c>
      <c r="O860" s="17" t="str">
        <f t="shared" si="122"/>
        <v/>
      </c>
      <c r="P860" s="16" t="str">
        <f t="shared" si="123"/>
        <v/>
      </c>
      <c r="Q860" s="16" t="str">
        <f t="shared" si="124"/>
        <v/>
      </c>
      <c r="R860" s="18" t="str">
        <f t="shared" si="125"/>
        <v/>
      </c>
    </row>
    <row r="861" spans="1:18">
      <c r="A861" s="12"/>
      <c r="B861" s="13"/>
      <c r="C861" s="14"/>
      <c r="D861" s="15"/>
      <c r="E861" s="15"/>
      <c r="F861" s="15"/>
      <c r="G861" s="13"/>
      <c r="H861" s="16" t="str">
        <f t="shared" si="117"/>
        <v/>
      </c>
      <c r="I861" s="17" t="str">
        <f>IF(OR(A861="",B861=""),"",IFERROR(LOOKUP(2,1/(单次交易!$A$2:$A$201=A861),单次交易!$H$2:$H$201),0)+SUMIFS($G$2:$G$1001,$A$2:$A$1001,A861,$B$2:$B$1001,"&lt;"&amp;B861))</f>
        <v/>
      </c>
      <c r="J861" s="16" t="str">
        <f>IF(OR(A861="",B861=""),"",IFERROR(LOOKUP(2,1/(单次交易!$A$2:$A$201=A861),单次交易!$E$2:$E$201)*LOOKUP(2,1/(单次交易!$A$2:$A$201=A861),单次交易!$H$2:$H$201),0)+SUMIFS($H$2:$H$1001,$A$2:$A$1001,A861,$B$2:$B$1001,"&lt;"&amp;B861))</f>
        <v/>
      </c>
      <c r="K861" s="16" t="str">
        <f t="shared" si="118"/>
        <v/>
      </c>
      <c r="L861" s="17" t="str">
        <f t="shared" si="119"/>
        <v/>
      </c>
      <c r="M861" s="17" t="str">
        <f t="shared" si="120"/>
        <v/>
      </c>
      <c r="N861" s="17" t="str">
        <f t="shared" si="121"/>
        <v/>
      </c>
      <c r="O861" s="17" t="str">
        <f t="shared" si="122"/>
        <v/>
      </c>
      <c r="P861" s="16" t="str">
        <f t="shared" si="123"/>
        <v/>
      </c>
      <c r="Q861" s="16" t="str">
        <f t="shared" si="124"/>
        <v/>
      </c>
      <c r="R861" s="18" t="str">
        <f t="shared" si="125"/>
        <v/>
      </c>
    </row>
    <row r="862" spans="1:18">
      <c r="A862" s="12"/>
      <c r="B862" s="13"/>
      <c r="C862" s="14"/>
      <c r="D862" s="15"/>
      <c r="E862" s="15"/>
      <c r="F862" s="15"/>
      <c r="G862" s="13"/>
      <c r="H862" s="16" t="str">
        <f t="shared" si="117"/>
        <v/>
      </c>
      <c r="I862" s="17" t="str">
        <f>IF(OR(A862="",B862=""),"",IFERROR(LOOKUP(2,1/(单次交易!$A$2:$A$201=A862),单次交易!$H$2:$H$201),0)+SUMIFS($G$2:$G$1001,$A$2:$A$1001,A862,$B$2:$B$1001,"&lt;"&amp;B862))</f>
        <v/>
      </c>
      <c r="J862" s="16" t="str">
        <f>IF(OR(A862="",B862=""),"",IFERROR(LOOKUP(2,1/(单次交易!$A$2:$A$201=A862),单次交易!$E$2:$E$201)*LOOKUP(2,1/(单次交易!$A$2:$A$201=A862),单次交易!$H$2:$H$201),0)+SUMIFS($H$2:$H$1001,$A$2:$A$1001,A862,$B$2:$B$1001,"&lt;"&amp;B862))</f>
        <v/>
      </c>
      <c r="K862" s="16" t="str">
        <f t="shared" si="118"/>
        <v/>
      </c>
      <c r="L862" s="17" t="str">
        <f t="shared" si="119"/>
        <v/>
      </c>
      <c r="M862" s="17" t="str">
        <f t="shared" si="120"/>
        <v/>
      </c>
      <c r="N862" s="17" t="str">
        <f t="shared" si="121"/>
        <v/>
      </c>
      <c r="O862" s="17" t="str">
        <f t="shared" si="122"/>
        <v/>
      </c>
      <c r="P862" s="16" t="str">
        <f t="shared" si="123"/>
        <v/>
      </c>
      <c r="Q862" s="16" t="str">
        <f t="shared" si="124"/>
        <v/>
      </c>
      <c r="R862" s="18" t="str">
        <f t="shared" si="125"/>
        <v/>
      </c>
    </row>
    <row r="863" spans="1:18">
      <c r="A863" s="12"/>
      <c r="B863" s="13"/>
      <c r="C863" s="14"/>
      <c r="D863" s="15"/>
      <c r="E863" s="15"/>
      <c r="F863" s="15"/>
      <c r="G863" s="13"/>
      <c r="H863" s="16" t="str">
        <f t="shared" si="117"/>
        <v/>
      </c>
      <c r="I863" s="17" t="str">
        <f>IF(OR(A863="",B863=""),"",IFERROR(LOOKUP(2,1/(单次交易!$A$2:$A$201=A863),单次交易!$H$2:$H$201),0)+SUMIFS($G$2:$G$1001,$A$2:$A$1001,A863,$B$2:$B$1001,"&lt;"&amp;B863))</f>
        <v/>
      </c>
      <c r="J863" s="16" t="str">
        <f>IF(OR(A863="",B863=""),"",IFERROR(LOOKUP(2,1/(单次交易!$A$2:$A$201=A863),单次交易!$E$2:$E$201)*LOOKUP(2,1/(单次交易!$A$2:$A$201=A863),单次交易!$H$2:$H$201),0)+SUMIFS($H$2:$H$1001,$A$2:$A$1001,A863,$B$2:$B$1001,"&lt;"&amp;B863))</f>
        <v/>
      </c>
      <c r="K863" s="16" t="str">
        <f t="shared" si="118"/>
        <v/>
      </c>
      <c r="L863" s="17" t="str">
        <f t="shared" si="119"/>
        <v/>
      </c>
      <c r="M863" s="17" t="str">
        <f t="shared" si="120"/>
        <v/>
      </c>
      <c r="N863" s="17" t="str">
        <f t="shared" si="121"/>
        <v/>
      </c>
      <c r="O863" s="17" t="str">
        <f t="shared" si="122"/>
        <v/>
      </c>
      <c r="P863" s="16" t="str">
        <f t="shared" si="123"/>
        <v/>
      </c>
      <c r="Q863" s="16" t="str">
        <f t="shared" si="124"/>
        <v/>
      </c>
      <c r="R863" s="18" t="str">
        <f t="shared" si="125"/>
        <v/>
      </c>
    </row>
    <row r="864" spans="1:18">
      <c r="A864" s="12"/>
      <c r="B864" s="13"/>
      <c r="C864" s="14"/>
      <c r="D864" s="15"/>
      <c r="E864" s="15"/>
      <c r="F864" s="15"/>
      <c r="G864" s="13"/>
      <c r="H864" s="16" t="str">
        <f t="shared" si="117"/>
        <v/>
      </c>
      <c r="I864" s="17" t="str">
        <f>IF(OR(A864="",B864=""),"",IFERROR(LOOKUP(2,1/(单次交易!$A$2:$A$201=A864),单次交易!$H$2:$H$201),0)+SUMIFS($G$2:$G$1001,$A$2:$A$1001,A864,$B$2:$B$1001,"&lt;"&amp;B864))</f>
        <v/>
      </c>
      <c r="J864" s="16" t="str">
        <f>IF(OR(A864="",B864=""),"",IFERROR(LOOKUP(2,1/(单次交易!$A$2:$A$201=A864),单次交易!$E$2:$E$201)*LOOKUP(2,1/(单次交易!$A$2:$A$201=A864),单次交易!$H$2:$H$201),0)+SUMIFS($H$2:$H$1001,$A$2:$A$1001,A864,$B$2:$B$1001,"&lt;"&amp;B864))</f>
        <v/>
      </c>
      <c r="K864" s="16" t="str">
        <f t="shared" si="118"/>
        <v/>
      </c>
      <c r="L864" s="17" t="str">
        <f t="shared" si="119"/>
        <v/>
      </c>
      <c r="M864" s="17" t="str">
        <f t="shared" si="120"/>
        <v/>
      </c>
      <c r="N864" s="17" t="str">
        <f t="shared" si="121"/>
        <v/>
      </c>
      <c r="O864" s="17" t="str">
        <f t="shared" si="122"/>
        <v/>
      </c>
      <c r="P864" s="16" t="str">
        <f t="shared" si="123"/>
        <v/>
      </c>
      <c r="Q864" s="16" t="str">
        <f t="shared" si="124"/>
        <v/>
      </c>
      <c r="R864" s="18" t="str">
        <f t="shared" si="125"/>
        <v/>
      </c>
    </row>
    <row r="865" spans="1:18">
      <c r="A865" s="12"/>
      <c r="B865" s="13"/>
      <c r="C865" s="14"/>
      <c r="D865" s="15"/>
      <c r="E865" s="15"/>
      <c r="F865" s="15"/>
      <c r="G865" s="13"/>
      <c r="H865" s="16" t="str">
        <f t="shared" si="117"/>
        <v/>
      </c>
      <c r="I865" s="17" t="str">
        <f>IF(OR(A865="",B865=""),"",IFERROR(LOOKUP(2,1/(单次交易!$A$2:$A$201=A865),单次交易!$H$2:$H$201),0)+SUMIFS($G$2:$G$1001,$A$2:$A$1001,A865,$B$2:$B$1001,"&lt;"&amp;B865))</f>
        <v/>
      </c>
      <c r="J865" s="16" t="str">
        <f>IF(OR(A865="",B865=""),"",IFERROR(LOOKUP(2,1/(单次交易!$A$2:$A$201=A865),单次交易!$E$2:$E$201)*LOOKUP(2,1/(单次交易!$A$2:$A$201=A865),单次交易!$H$2:$H$201),0)+SUMIFS($H$2:$H$1001,$A$2:$A$1001,A865,$B$2:$B$1001,"&lt;"&amp;B865))</f>
        <v/>
      </c>
      <c r="K865" s="16" t="str">
        <f t="shared" si="118"/>
        <v/>
      </c>
      <c r="L865" s="17" t="str">
        <f t="shared" si="119"/>
        <v/>
      </c>
      <c r="M865" s="17" t="str">
        <f t="shared" si="120"/>
        <v/>
      </c>
      <c r="N865" s="17" t="str">
        <f t="shared" si="121"/>
        <v/>
      </c>
      <c r="O865" s="17" t="str">
        <f t="shared" si="122"/>
        <v/>
      </c>
      <c r="P865" s="16" t="str">
        <f t="shared" si="123"/>
        <v/>
      </c>
      <c r="Q865" s="16" t="str">
        <f t="shared" si="124"/>
        <v/>
      </c>
      <c r="R865" s="18" t="str">
        <f t="shared" si="125"/>
        <v/>
      </c>
    </row>
    <row r="866" spans="1:18">
      <c r="A866" s="12"/>
      <c r="B866" s="13"/>
      <c r="C866" s="14"/>
      <c r="D866" s="15"/>
      <c r="E866" s="15"/>
      <c r="F866" s="15"/>
      <c r="G866" s="13"/>
      <c r="H866" s="16" t="str">
        <f t="shared" si="117"/>
        <v/>
      </c>
      <c r="I866" s="17" t="str">
        <f>IF(OR(A866="",B866=""),"",IFERROR(LOOKUP(2,1/(单次交易!$A$2:$A$201=A866),单次交易!$H$2:$H$201),0)+SUMIFS($G$2:$G$1001,$A$2:$A$1001,A866,$B$2:$B$1001,"&lt;"&amp;B866))</f>
        <v/>
      </c>
      <c r="J866" s="16" t="str">
        <f>IF(OR(A866="",B866=""),"",IFERROR(LOOKUP(2,1/(单次交易!$A$2:$A$201=A866),单次交易!$E$2:$E$201)*LOOKUP(2,1/(单次交易!$A$2:$A$201=A866),单次交易!$H$2:$H$201),0)+SUMIFS($H$2:$H$1001,$A$2:$A$1001,A866,$B$2:$B$1001,"&lt;"&amp;B866))</f>
        <v/>
      </c>
      <c r="K866" s="16" t="str">
        <f t="shared" si="118"/>
        <v/>
      </c>
      <c r="L866" s="17" t="str">
        <f t="shared" si="119"/>
        <v/>
      </c>
      <c r="M866" s="17" t="str">
        <f t="shared" si="120"/>
        <v/>
      </c>
      <c r="N866" s="17" t="str">
        <f t="shared" si="121"/>
        <v/>
      </c>
      <c r="O866" s="17" t="str">
        <f t="shared" si="122"/>
        <v/>
      </c>
      <c r="P866" s="16" t="str">
        <f t="shared" si="123"/>
        <v/>
      </c>
      <c r="Q866" s="16" t="str">
        <f t="shared" si="124"/>
        <v/>
      </c>
      <c r="R866" s="18" t="str">
        <f t="shared" si="125"/>
        <v/>
      </c>
    </row>
    <row r="867" spans="1:18">
      <c r="A867" s="12"/>
      <c r="B867" s="13"/>
      <c r="C867" s="14"/>
      <c r="D867" s="15"/>
      <c r="E867" s="15"/>
      <c r="F867" s="15"/>
      <c r="G867" s="13"/>
      <c r="H867" s="16" t="str">
        <f t="shared" si="117"/>
        <v/>
      </c>
      <c r="I867" s="17" t="str">
        <f>IF(OR(A867="",B867=""),"",IFERROR(LOOKUP(2,1/(单次交易!$A$2:$A$201=A867),单次交易!$H$2:$H$201),0)+SUMIFS($G$2:$G$1001,$A$2:$A$1001,A867,$B$2:$B$1001,"&lt;"&amp;B867))</f>
        <v/>
      </c>
      <c r="J867" s="16" t="str">
        <f>IF(OR(A867="",B867=""),"",IFERROR(LOOKUP(2,1/(单次交易!$A$2:$A$201=A867),单次交易!$E$2:$E$201)*LOOKUP(2,1/(单次交易!$A$2:$A$201=A867),单次交易!$H$2:$H$201),0)+SUMIFS($H$2:$H$1001,$A$2:$A$1001,A867,$B$2:$B$1001,"&lt;"&amp;B867))</f>
        <v/>
      </c>
      <c r="K867" s="16" t="str">
        <f t="shared" si="118"/>
        <v/>
      </c>
      <c r="L867" s="17" t="str">
        <f t="shared" si="119"/>
        <v/>
      </c>
      <c r="M867" s="17" t="str">
        <f t="shared" si="120"/>
        <v/>
      </c>
      <c r="N867" s="17" t="str">
        <f t="shared" si="121"/>
        <v/>
      </c>
      <c r="O867" s="17" t="str">
        <f t="shared" si="122"/>
        <v/>
      </c>
      <c r="P867" s="16" t="str">
        <f t="shared" si="123"/>
        <v/>
      </c>
      <c r="Q867" s="16" t="str">
        <f t="shared" si="124"/>
        <v/>
      </c>
      <c r="R867" s="18" t="str">
        <f t="shared" si="125"/>
        <v/>
      </c>
    </row>
    <row r="868" spans="1:18">
      <c r="A868" s="12"/>
      <c r="B868" s="13"/>
      <c r="C868" s="14"/>
      <c r="D868" s="15"/>
      <c r="E868" s="15"/>
      <c r="F868" s="15"/>
      <c r="G868" s="13"/>
      <c r="H868" s="16" t="str">
        <f t="shared" si="117"/>
        <v/>
      </c>
      <c r="I868" s="17" t="str">
        <f>IF(OR(A868="",B868=""),"",IFERROR(LOOKUP(2,1/(单次交易!$A$2:$A$201=A868),单次交易!$H$2:$H$201),0)+SUMIFS($G$2:$G$1001,$A$2:$A$1001,A868,$B$2:$B$1001,"&lt;"&amp;B868))</f>
        <v/>
      </c>
      <c r="J868" s="16" t="str">
        <f>IF(OR(A868="",B868=""),"",IFERROR(LOOKUP(2,1/(单次交易!$A$2:$A$201=A868),单次交易!$E$2:$E$201)*LOOKUP(2,1/(单次交易!$A$2:$A$201=A868),单次交易!$H$2:$H$201),0)+SUMIFS($H$2:$H$1001,$A$2:$A$1001,A868,$B$2:$B$1001,"&lt;"&amp;B868))</f>
        <v/>
      </c>
      <c r="K868" s="16" t="str">
        <f t="shared" si="118"/>
        <v/>
      </c>
      <c r="L868" s="17" t="str">
        <f t="shared" si="119"/>
        <v/>
      </c>
      <c r="M868" s="17" t="str">
        <f t="shared" si="120"/>
        <v/>
      </c>
      <c r="N868" s="17" t="str">
        <f t="shared" si="121"/>
        <v/>
      </c>
      <c r="O868" s="17" t="str">
        <f t="shared" si="122"/>
        <v/>
      </c>
      <c r="P868" s="16" t="str">
        <f t="shared" si="123"/>
        <v/>
      </c>
      <c r="Q868" s="16" t="str">
        <f t="shared" si="124"/>
        <v/>
      </c>
      <c r="R868" s="18" t="str">
        <f t="shared" si="125"/>
        <v/>
      </c>
    </row>
    <row r="869" spans="1:18">
      <c r="A869" s="12"/>
      <c r="B869" s="13"/>
      <c r="C869" s="14"/>
      <c r="D869" s="15"/>
      <c r="E869" s="15"/>
      <c r="F869" s="15"/>
      <c r="G869" s="13"/>
      <c r="H869" s="16" t="str">
        <f t="shared" si="117"/>
        <v/>
      </c>
      <c r="I869" s="17" t="str">
        <f>IF(OR(A869="",B869=""),"",IFERROR(LOOKUP(2,1/(单次交易!$A$2:$A$201=A869),单次交易!$H$2:$H$201),0)+SUMIFS($G$2:$G$1001,$A$2:$A$1001,A869,$B$2:$B$1001,"&lt;"&amp;B869))</f>
        <v/>
      </c>
      <c r="J869" s="16" t="str">
        <f>IF(OR(A869="",B869=""),"",IFERROR(LOOKUP(2,1/(单次交易!$A$2:$A$201=A869),单次交易!$E$2:$E$201)*LOOKUP(2,1/(单次交易!$A$2:$A$201=A869),单次交易!$H$2:$H$201),0)+SUMIFS($H$2:$H$1001,$A$2:$A$1001,A869,$B$2:$B$1001,"&lt;"&amp;B869))</f>
        <v/>
      </c>
      <c r="K869" s="16" t="str">
        <f t="shared" si="118"/>
        <v/>
      </c>
      <c r="L869" s="17" t="str">
        <f t="shared" si="119"/>
        <v/>
      </c>
      <c r="M869" s="17" t="str">
        <f t="shared" si="120"/>
        <v/>
      </c>
      <c r="N869" s="17" t="str">
        <f t="shared" si="121"/>
        <v/>
      </c>
      <c r="O869" s="17" t="str">
        <f t="shared" si="122"/>
        <v/>
      </c>
      <c r="P869" s="16" t="str">
        <f t="shared" si="123"/>
        <v/>
      </c>
      <c r="Q869" s="16" t="str">
        <f t="shared" si="124"/>
        <v/>
      </c>
      <c r="R869" s="18" t="str">
        <f t="shared" si="125"/>
        <v/>
      </c>
    </row>
    <row r="870" spans="1:18">
      <c r="A870" s="12"/>
      <c r="B870" s="13"/>
      <c r="C870" s="14"/>
      <c r="D870" s="15"/>
      <c r="E870" s="15"/>
      <c r="F870" s="15"/>
      <c r="G870" s="13"/>
      <c r="H870" s="16" t="str">
        <f t="shared" si="117"/>
        <v/>
      </c>
      <c r="I870" s="17" t="str">
        <f>IF(OR(A870="",B870=""),"",IFERROR(LOOKUP(2,1/(单次交易!$A$2:$A$201=A870),单次交易!$H$2:$H$201),0)+SUMIFS($G$2:$G$1001,$A$2:$A$1001,A870,$B$2:$B$1001,"&lt;"&amp;B870))</f>
        <v/>
      </c>
      <c r="J870" s="16" t="str">
        <f>IF(OR(A870="",B870=""),"",IFERROR(LOOKUP(2,1/(单次交易!$A$2:$A$201=A870),单次交易!$E$2:$E$201)*LOOKUP(2,1/(单次交易!$A$2:$A$201=A870),单次交易!$H$2:$H$201),0)+SUMIFS($H$2:$H$1001,$A$2:$A$1001,A870,$B$2:$B$1001,"&lt;"&amp;B870))</f>
        <v/>
      </c>
      <c r="K870" s="16" t="str">
        <f t="shared" si="118"/>
        <v/>
      </c>
      <c r="L870" s="17" t="str">
        <f t="shared" si="119"/>
        <v/>
      </c>
      <c r="M870" s="17" t="str">
        <f t="shared" si="120"/>
        <v/>
      </c>
      <c r="N870" s="17" t="str">
        <f t="shared" si="121"/>
        <v/>
      </c>
      <c r="O870" s="17" t="str">
        <f t="shared" si="122"/>
        <v/>
      </c>
      <c r="P870" s="16" t="str">
        <f t="shared" si="123"/>
        <v/>
      </c>
      <c r="Q870" s="16" t="str">
        <f t="shared" si="124"/>
        <v/>
      </c>
      <c r="R870" s="18" t="str">
        <f t="shared" si="125"/>
        <v/>
      </c>
    </row>
    <row r="871" spans="1:18">
      <c r="A871" s="12"/>
      <c r="B871" s="13"/>
      <c r="C871" s="14"/>
      <c r="D871" s="15"/>
      <c r="E871" s="15"/>
      <c r="F871" s="15"/>
      <c r="G871" s="13"/>
      <c r="H871" s="16" t="str">
        <f t="shared" si="117"/>
        <v/>
      </c>
      <c r="I871" s="17" t="str">
        <f>IF(OR(A871="",B871=""),"",IFERROR(LOOKUP(2,1/(单次交易!$A$2:$A$201=A871),单次交易!$H$2:$H$201),0)+SUMIFS($G$2:$G$1001,$A$2:$A$1001,A871,$B$2:$B$1001,"&lt;"&amp;B871))</f>
        <v/>
      </c>
      <c r="J871" s="16" t="str">
        <f>IF(OR(A871="",B871=""),"",IFERROR(LOOKUP(2,1/(单次交易!$A$2:$A$201=A871),单次交易!$E$2:$E$201)*LOOKUP(2,1/(单次交易!$A$2:$A$201=A871),单次交易!$H$2:$H$201),0)+SUMIFS($H$2:$H$1001,$A$2:$A$1001,A871,$B$2:$B$1001,"&lt;"&amp;B871))</f>
        <v/>
      </c>
      <c r="K871" s="16" t="str">
        <f t="shared" si="118"/>
        <v/>
      </c>
      <c r="L871" s="17" t="str">
        <f t="shared" si="119"/>
        <v/>
      </c>
      <c r="M871" s="17" t="str">
        <f t="shared" si="120"/>
        <v/>
      </c>
      <c r="N871" s="17" t="str">
        <f t="shared" si="121"/>
        <v/>
      </c>
      <c r="O871" s="17" t="str">
        <f t="shared" si="122"/>
        <v/>
      </c>
      <c r="P871" s="16" t="str">
        <f t="shared" si="123"/>
        <v/>
      </c>
      <c r="Q871" s="16" t="str">
        <f t="shared" si="124"/>
        <v/>
      </c>
      <c r="R871" s="18" t="str">
        <f t="shared" si="125"/>
        <v/>
      </c>
    </row>
    <row r="872" spans="1:18">
      <c r="A872" s="12"/>
      <c r="B872" s="13"/>
      <c r="C872" s="14"/>
      <c r="D872" s="15"/>
      <c r="E872" s="15"/>
      <c r="F872" s="15"/>
      <c r="G872" s="13"/>
      <c r="H872" s="16" t="str">
        <f t="shared" si="117"/>
        <v/>
      </c>
      <c r="I872" s="17" t="str">
        <f>IF(OR(A872="",B872=""),"",IFERROR(LOOKUP(2,1/(单次交易!$A$2:$A$201=A872),单次交易!$H$2:$H$201),0)+SUMIFS($G$2:$G$1001,$A$2:$A$1001,A872,$B$2:$B$1001,"&lt;"&amp;B872))</f>
        <v/>
      </c>
      <c r="J872" s="16" t="str">
        <f>IF(OR(A872="",B872=""),"",IFERROR(LOOKUP(2,1/(单次交易!$A$2:$A$201=A872),单次交易!$E$2:$E$201)*LOOKUP(2,1/(单次交易!$A$2:$A$201=A872),单次交易!$H$2:$H$201),0)+SUMIFS($H$2:$H$1001,$A$2:$A$1001,A872,$B$2:$B$1001,"&lt;"&amp;B872))</f>
        <v/>
      </c>
      <c r="K872" s="16" t="str">
        <f t="shared" si="118"/>
        <v/>
      </c>
      <c r="L872" s="17" t="str">
        <f t="shared" si="119"/>
        <v/>
      </c>
      <c r="M872" s="17" t="str">
        <f t="shared" si="120"/>
        <v/>
      </c>
      <c r="N872" s="17" t="str">
        <f t="shared" si="121"/>
        <v/>
      </c>
      <c r="O872" s="17" t="str">
        <f t="shared" si="122"/>
        <v/>
      </c>
      <c r="P872" s="16" t="str">
        <f t="shared" si="123"/>
        <v/>
      </c>
      <c r="Q872" s="16" t="str">
        <f t="shared" si="124"/>
        <v/>
      </c>
      <c r="R872" s="18" t="str">
        <f t="shared" si="125"/>
        <v/>
      </c>
    </row>
    <row r="873" spans="1:18">
      <c r="A873" s="12"/>
      <c r="B873" s="13"/>
      <c r="C873" s="14"/>
      <c r="D873" s="15"/>
      <c r="E873" s="15"/>
      <c r="F873" s="15"/>
      <c r="G873" s="13"/>
      <c r="H873" s="16" t="str">
        <f t="shared" si="117"/>
        <v/>
      </c>
      <c r="I873" s="17" t="str">
        <f>IF(OR(A873="",B873=""),"",IFERROR(LOOKUP(2,1/(单次交易!$A$2:$A$201=A873),单次交易!$H$2:$H$201),0)+SUMIFS($G$2:$G$1001,$A$2:$A$1001,A873,$B$2:$B$1001,"&lt;"&amp;B873))</f>
        <v/>
      </c>
      <c r="J873" s="16" t="str">
        <f>IF(OR(A873="",B873=""),"",IFERROR(LOOKUP(2,1/(单次交易!$A$2:$A$201=A873),单次交易!$E$2:$E$201)*LOOKUP(2,1/(单次交易!$A$2:$A$201=A873),单次交易!$H$2:$H$201),0)+SUMIFS($H$2:$H$1001,$A$2:$A$1001,A873,$B$2:$B$1001,"&lt;"&amp;B873))</f>
        <v/>
      </c>
      <c r="K873" s="16" t="str">
        <f t="shared" si="118"/>
        <v/>
      </c>
      <c r="L873" s="17" t="str">
        <f t="shared" si="119"/>
        <v/>
      </c>
      <c r="M873" s="17" t="str">
        <f t="shared" si="120"/>
        <v/>
      </c>
      <c r="N873" s="17" t="str">
        <f t="shared" si="121"/>
        <v/>
      </c>
      <c r="O873" s="17" t="str">
        <f t="shared" si="122"/>
        <v/>
      </c>
      <c r="P873" s="16" t="str">
        <f t="shared" si="123"/>
        <v/>
      </c>
      <c r="Q873" s="16" t="str">
        <f t="shared" si="124"/>
        <v/>
      </c>
      <c r="R873" s="18" t="str">
        <f t="shared" si="125"/>
        <v/>
      </c>
    </row>
    <row r="874" spans="1:18">
      <c r="A874" s="12"/>
      <c r="B874" s="13"/>
      <c r="C874" s="14"/>
      <c r="D874" s="15"/>
      <c r="E874" s="15"/>
      <c r="F874" s="15"/>
      <c r="G874" s="13"/>
      <c r="H874" s="16" t="str">
        <f t="shared" si="117"/>
        <v/>
      </c>
      <c r="I874" s="17" t="str">
        <f>IF(OR(A874="",B874=""),"",IFERROR(LOOKUP(2,1/(单次交易!$A$2:$A$201=A874),单次交易!$H$2:$H$201),0)+SUMIFS($G$2:$G$1001,$A$2:$A$1001,A874,$B$2:$B$1001,"&lt;"&amp;B874))</f>
        <v/>
      </c>
      <c r="J874" s="16" t="str">
        <f>IF(OR(A874="",B874=""),"",IFERROR(LOOKUP(2,1/(单次交易!$A$2:$A$201=A874),单次交易!$E$2:$E$201)*LOOKUP(2,1/(单次交易!$A$2:$A$201=A874),单次交易!$H$2:$H$201),0)+SUMIFS($H$2:$H$1001,$A$2:$A$1001,A874,$B$2:$B$1001,"&lt;"&amp;B874))</f>
        <v/>
      </c>
      <c r="K874" s="16" t="str">
        <f t="shared" si="118"/>
        <v/>
      </c>
      <c r="L874" s="17" t="str">
        <f t="shared" si="119"/>
        <v/>
      </c>
      <c r="M874" s="17" t="str">
        <f t="shared" si="120"/>
        <v/>
      </c>
      <c r="N874" s="17" t="str">
        <f t="shared" si="121"/>
        <v/>
      </c>
      <c r="O874" s="17" t="str">
        <f t="shared" si="122"/>
        <v/>
      </c>
      <c r="P874" s="16" t="str">
        <f t="shared" si="123"/>
        <v/>
      </c>
      <c r="Q874" s="16" t="str">
        <f t="shared" si="124"/>
        <v/>
      </c>
      <c r="R874" s="18" t="str">
        <f t="shared" si="125"/>
        <v/>
      </c>
    </row>
    <row r="875" spans="1:18">
      <c r="A875" s="12"/>
      <c r="B875" s="13"/>
      <c r="C875" s="14"/>
      <c r="D875" s="15"/>
      <c r="E875" s="15"/>
      <c r="F875" s="15"/>
      <c r="G875" s="13"/>
      <c r="H875" s="16" t="str">
        <f t="shared" si="117"/>
        <v/>
      </c>
      <c r="I875" s="17" t="str">
        <f>IF(OR(A875="",B875=""),"",IFERROR(LOOKUP(2,1/(单次交易!$A$2:$A$201=A875),单次交易!$H$2:$H$201),0)+SUMIFS($G$2:$G$1001,$A$2:$A$1001,A875,$B$2:$B$1001,"&lt;"&amp;B875))</f>
        <v/>
      </c>
      <c r="J875" s="16" t="str">
        <f>IF(OR(A875="",B875=""),"",IFERROR(LOOKUP(2,1/(单次交易!$A$2:$A$201=A875),单次交易!$E$2:$E$201)*LOOKUP(2,1/(单次交易!$A$2:$A$201=A875),单次交易!$H$2:$H$201),0)+SUMIFS($H$2:$H$1001,$A$2:$A$1001,A875,$B$2:$B$1001,"&lt;"&amp;B875))</f>
        <v/>
      </c>
      <c r="K875" s="16" t="str">
        <f t="shared" si="118"/>
        <v/>
      </c>
      <c r="L875" s="17" t="str">
        <f t="shared" si="119"/>
        <v/>
      </c>
      <c r="M875" s="17" t="str">
        <f t="shared" si="120"/>
        <v/>
      </c>
      <c r="N875" s="17" t="str">
        <f t="shared" si="121"/>
        <v/>
      </c>
      <c r="O875" s="17" t="str">
        <f t="shared" si="122"/>
        <v/>
      </c>
      <c r="P875" s="16" t="str">
        <f t="shared" si="123"/>
        <v/>
      </c>
      <c r="Q875" s="16" t="str">
        <f t="shared" si="124"/>
        <v/>
      </c>
      <c r="R875" s="18" t="str">
        <f t="shared" si="125"/>
        <v/>
      </c>
    </row>
    <row r="876" spans="1:18">
      <c r="A876" s="12"/>
      <c r="B876" s="13"/>
      <c r="C876" s="14"/>
      <c r="D876" s="15"/>
      <c r="E876" s="15"/>
      <c r="F876" s="15"/>
      <c r="G876" s="13"/>
      <c r="H876" s="16" t="str">
        <f t="shared" si="117"/>
        <v/>
      </c>
      <c r="I876" s="17" t="str">
        <f>IF(OR(A876="",B876=""),"",IFERROR(LOOKUP(2,1/(单次交易!$A$2:$A$201=A876),单次交易!$H$2:$H$201),0)+SUMIFS($G$2:$G$1001,$A$2:$A$1001,A876,$B$2:$B$1001,"&lt;"&amp;B876))</f>
        <v/>
      </c>
      <c r="J876" s="16" t="str">
        <f>IF(OR(A876="",B876=""),"",IFERROR(LOOKUP(2,1/(单次交易!$A$2:$A$201=A876),单次交易!$E$2:$E$201)*LOOKUP(2,1/(单次交易!$A$2:$A$201=A876),单次交易!$H$2:$H$201),0)+SUMIFS($H$2:$H$1001,$A$2:$A$1001,A876,$B$2:$B$1001,"&lt;"&amp;B876))</f>
        <v/>
      </c>
      <c r="K876" s="16" t="str">
        <f t="shared" si="118"/>
        <v/>
      </c>
      <c r="L876" s="17" t="str">
        <f t="shared" si="119"/>
        <v/>
      </c>
      <c r="M876" s="17" t="str">
        <f t="shared" si="120"/>
        <v/>
      </c>
      <c r="N876" s="17" t="str">
        <f t="shared" si="121"/>
        <v/>
      </c>
      <c r="O876" s="17" t="str">
        <f t="shared" si="122"/>
        <v/>
      </c>
      <c r="P876" s="16" t="str">
        <f t="shared" si="123"/>
        <v/>
      </c>
      <c r="Q876" s="16" t="str">
        <f t="shared" si="124"/>
        <v/>
      </c>
      <c r="R876" s="18" t="str">
        <f t="shared" si="125"/>
        <v/>
      </c>
    </row>
    <row r="877" spans="1:18">
      <c r="A877" s="12"/>
      <c r="B877" s="13"/>
      <c r="C877" s="14"/>
      <c r="D877" s="15"/>
      <c r="E877" s="15"/>
      <c r="F877" s="15"/>
      <c r="G877" s="13"/>
      <c r="H877" s="16" t="str">
        <f t="shared" si="117"/>
        <v/>
      </c>
      <c r="I877" s="17" t="str">
        <f>IF(OR(A877="",B877=""),"",IFERROR(LOOKUP(2,1/(单次交易!$A$2:$A$201=A877),单次交易!$H$2:$H$201),0)+SUMIFS($G$2:$G$1001,$A$2:$A$1001,A877,$B$2:$B$1001,"&lt;"&amp;B877))</f>
        <v/>
      </c>
      <c r="J877" s="16" t="str">
        <f>IF(OR(A877="",B877=""),"",IFERROR(LOOKUP(2,1/(单次交易!$A$2:$A$201=A877),单次交易!$E$2:$E$201)*LOOKUP(2,1/(单次交易!$A$2:$A$201=A877),单次交易!$H$2:$H$201),0)+SUMIFS($H$2:$H$1001,$A$2:$A$1001,A877,$B$2:$B$1001,"&lt;"&amp;B877))</f>
        <v/>
      </c>
      <c r="K877" s="16" t="str">
        <f t="shared" si="118"/>
        <v/>
      </c>
      <c r="L877" s="17" t="str">
        <f t="shared" si="119"/>
        <v/>
      </c>
      <c r="M877" s="17" t="str">
        <f t="shared" si="120"/>
        <v/>
      </c>
      <c r="N877" s="17" t="str">
        <f t="shared" si="121"/>
        <v/>
      </c>
      <c r="O877" s="17" t="str">
        <f t="shared" si="122"/>
        <v/>
      </c>
      <c r="P877" s="16" t="str">
        <f t="shared" si="123"/>
        <v/>
      </c>
      <c r="Q877" s="16" t="str">
        <f t="shared" si="124"/>
        <v/>
      </c>
      <c r="R877" s="18" t="str">
        <f t="shared" si="125"/>
        <v/>
      </c>
    </row>
    <row r="878" spans="1:18">
      <c r="A878" s="12"/>
      <c r="B878" s="13"/>
      <c r="C878" s="14"/>
      <c r="D878" s="15"/>
      <c r="E878" s="15"/>
      <c r="F878" s="15"/>
      <c r="G878" s="13"/>
      <c r="H878" s="16" t="str">
        <f t="shared" si="117"/>
        <v/>
      </c>
      <c r="I878" s="17" t="str">
        <f>IF(OR(A878="",B878=""),"",IFERROR(LOOKUP(2,1/(单次交易!$A$2:$A$201=A878),单次交易!$H$2:$H$201),0)+SUMIFS($G$2:$G$1001,$A$2:$A$1001,A878,$B$2:$B$1001,"&lt;"&amp;B878))</f>
        <v/>
      </c>
      <c r="J878" s="16" t="str">
        <f>IF(OR(A878="",B878=""),"",IFERROR(LOOKUP(2,1/(单次交易!$A$2:$A$201=A878),单次交易!$E$2:$E$201)*LOOKUP(2,1/(单次交易!$A$2:$A$201=A878),单次交易!$H$2:$H$201),0)+SUMIFS($H$2:$H$1001,$A$2:$A$1001,A878,$B$2:$B$1001,"&lt;"&amp;B878))</f>
        <v/>
      </c>
      <c r="K878" s="16" t="str">
        <f t="shared" si="118"/>
        <v/>
      </c>
      <c r="L878" s="17" t="str">
        <f t="shared" si="119"/>
        <v/>
      </c>
      <c r="M878" s="17" t="str">
        <f t="shared" si="120"/>
        <v/>
      </c>
      <c r="N878" s="17" t="str">
        <f t="shared" si="121"/>
        <v/>
      </c>
      <c r="O878" s="17" t="str">
        <f t="shared" si="122"/>
        <v/>
      </c>
      <c r="P878" s="16" t="str">
        <f t="shared" si="123"/>
        <v/>
      </c>
      <c r="Q878" s="16" t="str">
        <f t="shared" si="124"/>
        <v/>
      </c>
      <c r="R878" s="18" t="str">
        <f t="shared" si="125"/>
        <v/>
      </c>
    </row>
    <row r="879" spans="1:18">
      <c r="A879" s="12"/>
      <c r="B879" s="13"/>
      <c r="C879" s="14"/>
      <c r="D879" s="15"/>
      <c r="E879" s="15"/>
      <c r="F879" s="15"/>
      <c r="G879" s="13"/>
      <c r="H879" s="16" t="str">
        <f t="shared" si="117"/>
        <v/>
      </c>
      <c r="I879" s="17" t="str">
        <f>IF(OR(A879="",B879=""),"",IFERROR(LOOKUP(2,1/(单次交易!$A$2:$A$201=A879),单次交易!$H$2:$H$201),0)+SUMIFS($G$2:$G$1001,$A$2:$A$1001,A879,$B$2:$B$1001,"&lt;"&amp;B879))</f>
        <v/>
      </c>
      <c r="J879" s="16" t="str">
        <f>IF(OR(A879="",B879=""),"",IFERROR(LOOKUP(2,1/(单次交易!$A$2:$A$201=A879),单次交易!$E$2:$E$201)*LOOKUP(2,1/(单次交易!$A$2:$A$201=A879),单次交易!$H$2:$H$201),0)+SUMIFS($H$2:$H$1001,$A$2:$A$1001,A879,$B$2:$B$1001,"&lt;"&amp;B879))</f>
        <v/>
      </c>
      <c r="K879" s="16" t="str">
        <f t="shared" si="118"/>
        <v/>
      </c>
      <c r="L879" s="17" t="str">
        <f t="shared" si="119"/>
        <v/>
      </c>
      <c r="M879" s="17" t="str">
        <f t="shared" si="120"/>
        <v/>
      </c>
      <c r="N879" s="17" t="str">
        <f t="shared" si="121"/>
        <v/>
      </c>
      <c r="O879" s="17" t="str">
        <f t="shared" si="122"/>
        <v/>
      </c>
      <c r="P879" s="16" t="str">
        <f t="shared" si="123"/>
        <v/>
      </c>
      <c r="Q879" s="16" t="str">
        <f t="shared" si="124"/>
        <v/>
      </c>
      <c r="R879" s="18" t="str">
        <f t="shared" si="125"/>
        <v/>
      </c>
    </row>
    <row r="880" spans="1:18">
      <c r="A880" s="12"/>
      <c r="B880" s="13"/>
      <c r="C880" s="14"/>
      <c r="D880" s="15"/>
      <c r="E880" s="15"/>
      <c r="F880" s="15"/>
      <c r="G880" s="13"/>
      <c r="H880" s="16" t="str">
        <f t="shared" si="117"/>
        <v/>
      </c>
      <c r="I880" s="17" t="str">
        <f>IF(OR(A880="",B880=""),"",IFERROR(LOOKUP(2,1/(单次交易!$A$2:$A$201=A880),单次交易!$H$2:$H$201),0)+SUMIFS($G$2:$G$1001,$A$2:$A$1001,A880,$B$2:$B$1001,"&lt;"&amp;B880))</f>
        <v/>
      </c>
      <c r="J880" s="16" t="str">
        <f>IF(OR(A880="",B880=""),"",IFERROR(LOOKUP(2,1/(单次交易!$A$2:$A$201=A880),单次交易!$E$2:$E$201)*LOOKUP(2,1/(单次交易!$A$2:$A$201=A880),单次交易!$H$2:$H$201),0)+SUMIFS($H$2:$H$1001,$A$2:$A$1001,A880,$B$2:$B$1001,"&lt;"&amp;B880))</f>
        <v/>
      </c>
      <c r="K880" s="16" t="str">
        <f t="shared" si="118"/>
        <v/>
      </c>
      <c r="L880" s="17" t="str">
        <f t="shared" si="119"/>
        <v/>
      </c>
      <c r="M880" s="17" t="str">
        <f t="shared" si="120"/>
        <v/>
      </c>
      <c r="N880" s="17" t="str">
        <f t="shared" si="121"/>
        <v/>
      </c>
      <c r="O880" s="17" t="str">
        <f t="shared" si="122"/>
        <v/>
      </c>
      <c r="P880" s="16" t="str">
        <f t="shared" si="123"/>
        <v/>
      </c>
      <c r="Q880" s="16" t="str">
        <f t="shared" si="124"/>
        <v/>
      </c>
      <c r="R880" s="18" t="str">
        <f t="shared" si="125"/>
        <v/>
      </c>
    </row>
    <row r="881" spans="1:18">
      <c r="A881" s="12"/>
      <c r="B881" s="13"/>
      <c r="C881" s="14"/>
      <c r="D881" s="15"/>
      <c r="E881" s="15"/>
      <c r="F881" s="15"/>
      <c r="G881" s="13"/>
      <c r="H881" s="16" t="str">
        <f t="shared" si="117"/>
        <v/>
      </c>
      <c r="I881" s="17" t="str">
        <f>IF(OR(A881="",B881=""),"",IFERROR(LOOKUP(2,1/(单次交易!$A$2:$A$201=A881),单次交易!$H$2:$H$201),0)+SUMIFS($G$2:$G$1001,$A$2:$A$1001,A881,$B$2:$B$1001,"&lt;"&amp;B881))</f>
        <v/>
      </c>
      <c r="J881" s="16" t="str">
        <f>IF(OR(A881="",B881=""),"",IFERROR(LOOKUP(2,1/(单次交易!$A$2:$A$201=A881),单次交易!$E$2:$E$201)*LOOKUP(2,1/(单次交易!$A$2:$A$201=A881),单次交易!$H$2:$H$201),0)+SUMIFS($H$2:$H$1001,$A$2:$A$1001,A881,$B$2:$B$1001,"&lt;"&amp;B881))</f>
        <v/>
      </c>
      <c r="K881" s="16" t="str">
        <f t="shared" si="118"/>
        <v/>
      </c>
      <c r="L881" s="17" t="str">
        <f t="shared" si="119"/>
        <v/>
      </c>
      <c r="M881" s="17" t="str">
        <f t="shared" si="120"/>
        <v/>
      </c>
      <c r="N881" s="17" t="str">
        <f t="shared" si="121"/>
        <v/>
      </c>
      <c r="O881" s="17" t="str">
        <f t="shared" si="122"/>
        <v/>
      </c>
      <c r="P881" s="16" t="str">
        <f t="shared" si="123"/>
        <v/>
      </c>
      <c r="Q881" s="16" t="str">
        <f t="shared" si="124"/>
        <v/>
      </c>
      <c r="R881" s="18" t="str">
        <f t="shared" si="125"/>
        <v/>
      </c>
    </row>
    <row r="882" spans="1:18">
      <c r="A882" s="12"/>
      <c r="B882" s="13"/>
      <c r="C882" s="14"/>
      <c r="D882" s="15"/>
      <c r="E882" s="15"/>
      <c r="F882" s="15"/>
      <c r="G882" s="13"/>
      <c r="H882" s="16" t="str">
        <f t="shared" si="117"/>
        <v/>
      </c>
      <c r="I882" s="17" t="str">
        <f>IF(OR(A882="",B882=""),"",IFERROR(LOOKUP(2,1/(单次交易!$A$2:$A$201=A882),单次交易!$H$2:$H$201),0)+SUMIFS($G$2:$G$1001,$A$2:$A$1001,A882,$B$2:$B$1001,"&lt;"&amp;B882))</f>
        <v/>
      </c>
      <c r="J882" s="16" t="str">
        <f>IF(OR(A882="",B882=""),"",IFERROR(LOOKUP(2,1/(单次交易!$A$2:$A$201=A882),单次交易!$E$2:$E$201)*LOOKUP(2,1/(单次交易!$A$2:$A$201=A882),单次交易!$H$2:$H$201),0)+SUMIFS($H$2:$H$1001,$A$2:$A$1001,A882,$B$2:$B$1001,"&lt;"&amp;B882))</f>
        <v/>
      </c>
      <c r="K882" s="16" t="str">
        <f t="shared" si="118"/>
        <v/>
      </c>
      <c r="L882" s="17" t="str">
        <f t="shared" si="119"/>
        <v/>
      </c>
      <c r="M882" s="17" t="str">
        <f t="shared" si="120"/>
        <v/>
      </c>
      <c r="N882" s="17" t="str">
        <f t="shared" si="121"/>
        <v/>
      </c>
      <c r="O882" s="17" t="str">
        <f t="shared" si="122"/>
        <v/>
      </c>
      <c r="P882" s="16" t="str">
        <f t="shared" si="123"/>
        <v/>
      </c>
      <c r="Q882" s="16" t="str">
        <f t="shared" si="124"/>
        <v/>
      </c>
      <c r="R882" s="18" t="str">
        <f t="shared" si="125"/>
        <v/>
      </c>
    </row>
    <row r="883" spans="1:18">
      <c r="A883" s="12"/>
      <c r="B883" s="13"/>
      <c r="C883" s="14"/>
      <c r="D883" s="15"/>
      <c r="E883" s="15"/>
      <c r="F883" s="15"/>
      <c r="G883" s="13"/>
      <c r="H883" s="16" t="str">
        <f t="shared" si="117"/>
        <v/>
      </c>
      <c r="I883" s="17" t="str">
        <f>IF(OR(A883="",B883=""),"",IFERROR(LOOKUP(2,1/(单次交易!$A$2:$A$201=A883),单次交易!$H$2:$H$201),0)+SUMIFS($G$2:$G$1001,$A$2:$A$1001,A883,$B$2:$B$1001,"&lt;"&amp;B883))</f>
        <v/>
      </c>
      <c r="J883" s="16" t="str">
        <f>IF(OR(A883="",B883=""),"",IFERROR(LOOKUP(2,1/(单次交易!$A$2:$A$201=A883),单次交易!$E$2:$E$201)*LOOKUP(2,1/(单次交易!$A$2:$A$201=A883),单次交易!$H$2:$H$201),0)+SUMIFS($H$2:$H$1001,$A$2:$A$1001,A883,$B$2:$B$1001,"&lt;"&amp;B883))</f>
        <v/>
      </c>
      <c r="K883" s="16" t="str">
        <f t="shared" si="118"/>
        <v/>
      </c>
      <c r="L883" s="17" t="str">
        <f t="shared" si="119"/>
        <v/>
      </c>
      <c r="M883" s="17" t="str">
        <f t="shared" si="120"/>
        <v/>
      </c>
      <c r="N883" s="17" t="str">
        <f t="shared" si="121"/>
        <v/>
      </c>
      <c r="O883" s="17" t="str">
        <f t="shared" si="122"/>
        <v/>
      </c>
      <c r="P883" s="16" t="str">
        <f t="shared" si="123"/>
        <v/>
      </c>
      <c r="Q883" s="16" t="str">
        <f t="shared" si="124"/>
        <v/>
      </c>
      <c r="R883" s="18" t="str">
        <f t="shared" si="125"/>
        <v/>
      </c>
    </row>
    <row r="884" spans="1:18">
      <c r="A884" s="12"/>
      <c r="B884" s="13"/>
      <c r="C884" s="14"/>
      <c r="D884" s="15"/>
      <c r="E884" s="15"/>
      <c r="F884" s="15"/>
      <c r="G884" s="13"/>
      <c r="H884" s="16" t="str">
        <f t="shared" si="117"/>
        <v/>
      </c>
      <c r="I884" s="17" t="str">
        <f>IF(OR(A884="",B884=""),"",IFERROR(LOOKUP(2,1/(单次交易!$A$2:$A$201=A884),单次交易!$H$2:$H$201),0)+SUMIFS($G$2:$G$1001,$A$2:$A$1001,A884,$B$2:$B$1001,"&lt;"&amp;B884))</f>
        <v/>
      </c>
      <c r="J884" s="16" t="str">
        <f>IF(OR(A884="",B884=""),"",IFERROR(LOOKUP(2,1/(单次交易!$A$2:$A$201=A884),单次交易!$E$2:$E$201)*LOOKUP(2,1/(单次交易!$A$2:$A$201=A884),单次交易!$H$2:$H$201),0)+SUMIFS($H$2:$H$1001,$A$2:$A$1001,A884,$B$2:$B$1001,"&lt;"&amp;B884))</f>
        <v/>
      </c>
      <c r="K884" s="16" t="str">
        <f t="shared" si="118"/>
        <v/>
      </c>
      <c r="L884" s="17" t="str">
        <f t="shared" si="119"/>
        <v/>
      </c>
      <c r="M884" s="17" t="str">
        <f t="shared" si="120"/>
        <v/>
      </c>
      <c r="N884" s="17" t="str">
        <f t="shared" si="121"/>
        <v/>
      </c>
      <c r="O884" s="17" t="str">
        <f t="shared" si="122"/>
        <v/>
      </c>
      <c r="P884" s="16" t="str">
        <f t="shared" si="123"/>
        <v/>
      </c>
      <c r="Q884" s="16" t="str">
        <f t="shared" si="124"/>
        <v/>
      </c>
      <c r="R884" s="18" t="str">
        <f t="shared" si="125"/>
        <v/>
      </c>
    </row>
    <row r="885" spans="1:18">
      <c r="A885" s="12"/>
      <c r="B885" s="13"/>
      <c r="C885" s="14"/>
      <c r="D885" s="15"/>
      <c r="E885" s="15"/>
      <c r="F885" s="15"/>
      <c r="G885" s="13"/>
      <c r="H885" s="16" t="str">
        <f t="shared" si="117"/>
        <v/>
      </c>
      <c r="I885" s="17" t="str">
        <f>IF(OR(A885="",B885=""),"",IFERROR(LOOKUP(2,1/(单次交易!$A$2:$A$201=A885),单次交易!$H$2:$H$201),0)+SUMIFS($G$2:$G$1001,$A$2:$A$1001,A885,$B$2:$B$1001,"&lt;"&amp;B885))</f>
        <v/>
      </c>
      <c r="J885" s="16" t="str">
        <f>IF(OR(A885="",B885=""),"",IFERROR(LOOKUP(2,1/(单次交易!$A$2:$A$201=A885),单次交易!$E$2:$E$201)*LOOKUP(2,1/(单次交易!$A$2:$A$201=A885),单次交易!$H$2:$H$201),0)+SUMIFS($H$2:$H$1001,$A$2:$A$1001,A885,$B$2:$B$1001,"&lt;"&amp;B885))</f>
        <v/>
      </c>
      <c r="K885" s="16" t="str">
        <f t="shared" si="118"/>
        <v/>
      </c>
      <c r="L885" s="17" t="str">
        <f t="shared" si="119"/>
        <v/>
      </c>
      <c r="M885" s="17" t="str">
        <f t="shared" si="120"/>
        <v/>
      </c>
      <c r="N885" s="17" t="str">
        <f t="shared" si="121"/>
        <v/>
      </c>
      <c r="O885" s="17" t="str">
        <f t="shared" si="122"/>
        <v/>
      </c>
      <c r="P885" s="16" t="str">
        <f t="shared" si="123"/>
        <v/>
      </c>
      <c r="Q885" s="16" t="str">
        <f t="shared" si="124"/>
        <v/>
      </c>
      <c r="R885" s="18" t="str">
        <f t="shared" si="125"/>
        <v/>
      </c>
    </row>
    <row r="886" spans="1:18">
      <c r="A886" s="12"/>
      <c r="B886" s="13"/>
      <c r="C886" s="14"/>
      <c r="D886" s="15"/>
      <c r="E886" s="15"/>
      <c r="F886" s="15"/>
      <c r="G886" s="13"/>
      <c r="H886" s="16" t="str">
        <f t="shared" si="117"/>
        <v/>
      </c>
      <c r="I886" s="17" t="str">
        <f>IF(OR(A886="",B886=""),"",IFERROR(LOOKUP(2,1/(单次交易!$A$2:$A$201=A886),单次交易!$H$2:$H$201),0)+SUMIFS($G$2:$G$1001,$A$2:$A$1001,A886,$B$2:$B$1001,"&lt;"&amp;B886))</f>
        <v/>
      </c>
      <c r="J886" s="16" t="str">
        <f>IF(OR(A886="",B886=""),"",IFERROR(LOOKUP(2,1/(单次交易!$A$2:$A$201=A886),单次交易!$E$2:$E$201)*LOOKUP(2,1/(单次交易!$A$2:$A$201=A886),单次交易!$H$2:$H$201),0)+SUMIFS($H$2:$H$1001,$A$2:$A$1001,A886,$B$2:$B$1001,"&lt;"&amp;B886))</f>
        <v/>
      </c>
      <c r="K886" s="16" t="str">
        <f t="shared" si="118"/>
        <v/>
      </c>
      <c r="L886" s="17" t="str">
        <f t="shared" si="119"/>
        <v/>
      </c>
      <c r="M886" s="17" t="str">
        <f t="shared" si="120"/>
        <v/>
      </c>
      <c r="N886" s="17" t="str">
        <f t="shared" si="121"/>
        <v/>
      </c>
      <c r="O886" s="17" t="str">
        <f t="shared" si="122"/>
        <v/>
      </c>
      <c r="P886" s="16" t="str">
        <f t="shared" si="123"/>
        <v/>
      </c>
      <c r="Q886" s="16" t="str">
        <f t="shared" si="124"/>
        <v/>
      </c>
      <c r="R886" s="18" t="str">
        <f t="shared" si="125"/>
        <v/>
      </c>
    </row>
    <row r="887" spans="1:18">
      <c r="A887" s="12"/>
      <c r="B887" s="13"/>
      <c r="C887" s="14"/>
      <c r="D887" s="15"/>
      <c r="E887" s="15"/>
      <c r="F887" s="15"/>
      <c r="G887" s="13"/>
      <c r="H887" s="16" t="str">
        <f t="shared" si="117"/>
        <v/>
      </c>
      <c r="I887" s="17" t="str">
        <f>IF(OR(A887="",B887=""),"",IFERROR(LOOKUP(2,1/(单次交易!$A$2:$A$201=A887),单次交易!$H$2:$H$201),0)+SUMIFS($G$2:$G$1001,$A$2:$A$1001,A887,$B$2:$B$1001,"&lt;"&amp;B887))</f>
        <v/>
      </c>
      <c r="J887" s="16" t="str">
        <f>IF(OR(A887="",B887=""),"",IFERROR(LOOKUP(2,1/(单次交易!$A$2:$A$201=A887),单次交易!$E$2:$E$201)*LOOKUP(2,1/(单次交易!$A$2:$A$201=A887),单次交易!$H$2:$H$201),0)+SUMIFS($H$2:$H$1001,$A$2:$A$1001,A887,$B$2:$B$1001,"&lt;"&amp;B887))</f>
        <v/>
      </c>
      <c r="K887" s="16" t="str">
        <f t="shared" si="118"/>
        <v/>
      </c>
      <c r="L887" s="17" t="str">
        <f t="shared" si="119"/>
        <v/>
      </c>
      <c r="M887" s="17" t="str">
        <f t="shared" si="120"/>
        <v/>
      </c>
      <c r="N887" s="17" t="str">
        <f t="shared" si="121"/>
        <v/>
      </c>
      <c r="O887" s="17" t="str">
        <f t="shared" si="122"/>
        <v/>
      </c>
      <c r="P887" s="16" t="str">
        <f t="shared" si="123"/>
        <v/>
      </c>
      <c r="Q887" s="16" t="str">
        <f t="shared" si="124"/>
        <v/>
      </c>
      <c r="R887" s="18" t="str">
        <f t="shared" si="125"/>
        <v/>
      </c>
    </row>
    <row r="888" spans="1:18">
      <c r="A888" s="12"/>
      <c r="B888" s="13"/>
      <c r="C888" s="14"/>
      <c r="D888" s="15"/>
      <c r="E888" s="15"/>
      <c r="F888" s="15"/>
      <c r="G888" s="13"/>
      <c r="H888" s="16" t="str">
        <f t="shared" si="117"/>
        <v/>
      </c>
      <c r="I888" s="17" t="str">
        <f>IF(OR(A888="",B888=""),"",IFERROR(LOOKUP(2,1/(单次交易!$A$2:$A$201=A888),单次交易!$H$2:$H$201),0)+SUMIFS($G$2:$G$1001,$A$2:$A$1001,A888,$B$2:$B$1001,"&lt;"&amp;B888))</f>
        <v/>
      </c>
      <c r="J888" s="16" t="str">
        <f>IF(OR(A888="",B888=""),"",IFERROR(LOOKUP(2,1/(单次交易!$A$2:$A$201=A888),单次交易!$E$2:$E$201)*LOOKUP(2,1/(单次交易!$A$2:$A$201=A888),单次交易!$H$2:$H$201),0)+SUMIFS($H$2:$H$1001,$A$2:$A$1001,A888,$B$2:$B$1001,"&lt;"&amp;B888))</f>
        <v/>
      </c>
      <c r="K888" s="16" t="str">
        <f t="shared" si="118"/>
        <v/>
      </c>
      <c r="L888" s="17" t="str">
        <f t="shared" si="119"/>
        <v/>
      </c>
      <c r="M888" s="17" t="str">
        <f t="shared" si="120"/>
        <v/>
      </c>
      <c r="N888" s="17" t="str">
        <f t="shared" si="121"/>
        <v/>
      </c>
      <c r="O888" s="17" t="str">
        <f t="shared" si="122"/>
        <v/>
      </c>
      <c r="P888" s="16" t="str">
        <f t="shared" si="123"/>
        <v/>
      </c>
      <c r="Q888" s="16" t="str">
        <f t="shared" si="124"/>
        <v/>
      </c>
      <c r="R888" s="18" t="str">
        <f t="shared" si="125"/>
        <v/>
      </c>
    </row>
    <row r="889" spans="1:18">
      <c r="A889" s="12"/>
      <c r="B889" s="13"/>
      <c r="C889" s="14"/>
      <c r="D889" s="15"/>
      <c r="E889" s="15"/>
      <c r="F889" s="15"/>
      <c r="G889" s="13"/>
      <c r="H889" s="16" t="str">
        <f t="shared" si="117"/>
        <v/>
      </c>
      <c r="I889" s="17" t="str">
        <f>IF(OR(A889="",B889=""),"",IFERROR(LOOKUP(2,1/(单次交易!$A$2:$A$201=A889),单次交易!$H$2:$H$201),0)+SUMIFS($G$2:$G$1001,$A$2:$A$1001,A889,$B$2:$B$1001,"&lt;"&amp;B889))</f>
        <v/>
      </c>
      <c r="J889" s="16" t="str">
        <f>IF(OR(A889="",B889=""),"",IFERROR(LOOKUP(2,1/(单次交易!$A$2:$A$201=A889),单次交易!$E$2:$E$201)*LOOKUP(2,1/(单次交易!$A$2:$A$201=A889),单次交易!$H$2:$H$201),0)+SUMIFS($H$2:$H$1001,$A$2:$A$1001,A889,$B$2:$B$1001,"&lt;"&amp;B889))</f>
        <v/>
      </c>
      <c r="K889" s="16" t="str">
        <f t="shared" si="118"/>
        <v/>
      </c>
      <c r="L889" s="17" t="str">
        <f t="shared" si="119"/>
        <v/>
      </c>
      <c r="M889" s="17" t="str">
        <f t="shared" si="120"/>
        <v/>
      </c>
      <c r="N889" s="17" t="str">
        <f t="shared" si="121"/>
        <v/>
      </c>
      <c r="O889" s="17" t="str">
        <f t="shared" si="122"/>
        <v/>
      </c>
      <c r="P889" s="16" t="str">
        <f t="shared" si="123"/>
        <v/>
      </c>
      <c r="Q889" s="16" t="str">
        <f t="shared" si="124"/>
        <v/>
      </c>
      <c r="R889" s="18" t="str">
        <f t="shared" si="125"/>
        <v/>
      </c>
    </row>
    <row r="890" spans="1:18">
      <c r="A890" s="12"/>
      <c r="B890" s="13"/>
      <c r="C890" s="14"/>
      <c r="D890" s="15"/>
      <c r="E890" s="15"/>
      <c r="F890" s="15"/>
      <c r="G890" s="13"/>
      <c r="H890" s="16" t="str">
        <f t="shared" si="117"/>
        <v/>
      </c>
      <c r="I890" s="17" t="str">
        <f>IF(OR(A890="",B890=""),"",IFERROR(LOOKUP(2,1/(单次交易!$A$2:$A$201=A890),单次交易!$H$2:$H$201),0)+SUMIFS($G$2:$G$1001,$A$2:$A$1001,A890,$B$2:$B$1001,"&lt;"&amp;B890))</f>
        <v/>
      </c>
      <c r="J890" s="16" t="str">
        <f>IF(OR(A890="",B890=""),"",IFERROR(LOOKUP(2,1/(单次交易!$A$2:$A$201=A890),单次交易!$E$2:$E$201)*LOOKUP(2,1/(单次交易!$A$2:$A$201=A890),单次交易!$H$2:$H$201),0)+SUMIFS($H$2:$H$1001,$A$2:$A$1001,A890,$B$2:$B$1001,"&lt;"&amp;B890))</f>
        <v/>
      </c>
      <c r="K890" s="16" t="str">
        <f t="shared" si="118"/>
        <v/>
      </c>
      <c r="L890" s="17" t="str">
        <f t="shared" si="119"/>
        <v/>
      </c>
      <c r="M890" s="17" t="str">
        <f t="shared" si="120"/>
        <v/>
      </c>
      <c r="N890" s="17" t="str">
        <f t="shared" si="121"/>
        <v/>
      </c>
      <c r="O890" s="17" t="str">
        <f t="shared" si="122"/>
        <v/>
      </c>
      <c r="P890" s="16" t="str">
        <f t="shared" si="123"/>
        <v/>
      </c>
      <c r="Q890" s="16" t="str">
        <f t="shared" si="124"/>
        <v/>
      </c>
      <c r="R890" s="18" t="str">
        <f t="shared" si="125"/>
        <v/>
      </c>
    </row>
    <row r="891" spans="1:18">
      <c r="A891" s="12"/>
      <c r="B891" s="13"/>
      <c r="C891" s="14"/>
      <c r="D891" s="15"/>
      <c r="E891" s="15"/>
      <c r="F891" s="15"/>
      <c r="G891" s="13"/>
      <c r="H891" s="16" t="str">
        <f t="shared" si="117"/>
        <v/>
      </c>
      <c r="I891" s="17" t="str">
        <f>IF(OR(A891="",B891=""),"",IFERROR(LOOKUP(2,1/(单次交易!$A$2:$A$201=A891),单次交易!$H$2:$H$201),0)+SUMIFS($G$2:$G$1001,$A$2:$A$1001,A891,$B$2:$B$1001,"&lt;"&amp;B891))</f>
        <v/>
      </c>
      <c r="J891" s="16" t="str">
        <f>IF(OR(A891="",B891=""),"",IFERROR(LOOKUP(2,1/(单次交易!$A$2:$A$201=A891),单次交易!$E$2:$E$201)*LOOKUP(2,1/(单次交易!$A$2:$A$201=A891),单次交易!$H$2:$H$201),0)+SUMIFS($H$2:$H$1001,$A$2:$A$1001,A891,$B$2:$B$1001,"&lt;"&amp;B891))</f>
        <v/>
      </c>
      <c r="K891" s="16" t="str">
        <f t="shared" si="118"/>
        <v/>
      </c>
      <c r="L891" s="17" t="str">
        <f t="shared" si="119"/>
        <v/>
      </c>
      <c r="M891" s="17" t="str">
        <f t="shared" si="120"/>
        <v/>
      </c>
      <c r="N891" s="17" t="str">
        <f t="shared" si="121"/>
        <v/>
      </c>
      <c r="O891" s="17" t="str">
        <f t="shared" si="122"/>
        <v/>
      </c>
      <c r="P891" s="16" t="str">
        <f t="shared" si="123"/>
        <v/>
      </c>
      <c r="Q891" s="16" t="str">
        <f t="shared" si="124"/>
        <v/>
      </c>
      <c r="R891" s="18" t="str">
        <f t="shared" si="125"/>
        <v/>
      </c>
    </row>
    <row r="892" spans="1:18">
      <c r="A892" s="12"/>
      <c r="B892" s="13"/>
      <c r="C892" s="14"/>
      <c r="D892" s="15"/>
      <c r="E892" s="15"/>
      <c r="F892" s="15"/>
      <c r="G892" s="13"/>
      <c r="H892" s="16" t="str">
        <f t="shared" si="117"/>
        <v/>
      </c>
      <c r="I892" s="17" t="str">
        <f>IF(OR(A892="",B892=""),"",IFERROR(LOOKUP(2,1/(单次交易!$A$2:$A$201=A892),单次交易!$H$2:$H$201),0)+SUMIFS($G$2:$G$1001,$A$2:$A$1001,A892,$B$2:$B$1001,"&lt;"&amp;B892))</f>
        <v/>
      </c>
      <c r="J892" s="16" t="str">
        <f>IF(OR(A892="",B892=""),"",IFERROR(LOOKUP(2,1/(单次交易!$A$2:$A$201=A892),单次交易!$E$2:$E$201)*LOOKUP(2,1/(单次交易!$A$2:$A$201=A892),单次交易!$H$2:$H$201),0)+SUMIFS($H$2:$H$1001,$A$2:$A$1001,A892,$B$2:$B$1001,"&lt;"&amp;B892))</f>
        <v/>
      </c>
      <c r="K892" s="16" t="str">
        <f t="shared" si="118"/>
        <v/>
      </c>
      <c r="L892" s="17" t="str">
        <f t="shared" si="119"/>
        <v/>
      </c>
      <c r="M892" s="17" t="str">
        <f t="shared" si="120"/>
        <v/>
      </c>
      <c r="N892" s="17" t="str">
        <f t="shared" si="121"/>
        <v/>
      </c>
      <c r="O892" s="17" t="str">
        <f t="shared" si="122"/>
        <v/>
      </c>
      <c r="P892" s="16" t="str">
        <f t="shared" si="123"/>
        <v/>
      </c>
      <c r="Q892" s="16" t="str">
        <f t="shared" si="124"/>
        <v/>
      </c>
      <c r="R892" s="18" t="str">
        <f t="shared" si="125"/>
        <v/>
      </c>
    </row>
    <row r="893" spans="1:18">
      <c r="A893" s="12"/>
      <c r="B893" s="13"/>
      <c r="C893" s="14"/>
      <c r="D893" s="15"/>
      <c r="E893" s="15"/>
      <c r="F893" s="15"/>
      <c r="G893" s="13"/>
      <c r="H893" s="16" t="str">
        <f t="shared" si="117"/>
        <v/>
      </c>
      <c r="I893" s="17" t="str">
        <f>IF(OR(A893="",B893=""),"",IFERROR(LOOKUP(2,1/(单次交易!$A$2:$A$201=A893),单次交易!$H$2:$H$201),0)+SUMIFS($G$2:$G$1001,$A$2:$A$1001,A893,$B$2:$B$1001,"&lt;"&amp;B893))</f>
        <v/>
      </c>
      <c r="J893" s="16" t="str">
        <f>IF(OR(A893="",B893=""),"",IFERROR(LOOKUP(2,1/(单次交易!$A$2:$A$201=A893),单次交易!$E$2:$E$201)*LOOKUP(2,1/(单次交易!$A$2:$A$201=A893),单次交易!$H$2:$H$201),0)+SUMIFS($H$2:$H$1001,$A$2:$A$1001,A893,$B$2:$B$1001,"&lt;"&amp;B893))</f>
        <v/>
      </c>
      <c r="K893" s="16" t="str">
        <f t="shared" si="118"/>
        <v/>
      </c>
      <c r="L893" s="17" t="str">
        <f t="shared" si="119"/>
        <v/>
      </c>
      <c r="M893" s="17" t="str">
        <f t="shared" si="120"/>
        <v/>
      </c>
      <c r="N893" s="17" t="str">
        <f t="shared" si="121"/>
        <v/>
      </c>
      <c r="O893" s="17" t="str">
        <f t="shared" si="122"/>
        <v/>
      </c>
      <c r="P893" s="16" t="str">
        <f t="shared" si="123"/>
        <v/>
      </c>
      <c r="Q893" s="16" t="str">
        <f t="shared" si="124"/>
        <v/>
      </c>
      <c r="R893" s="18" t="str">
        <f t="shared" si="125"/>
        <v/>
      </c>
    </row>
    <row r="894" spans="1:18">
      <c r="A894" s="12"/>
      <c r="B894" s="13"/>
      <c r="C894" s="14"/>
      <c r="D894" s="15"/>
      <c r="E894" s="15"/>
      <c r="F894" s="15"/>
      <c r="G894" s="13"/>
      <c r="H894" s="16" t="str">
        <f t="shared" si="117"/>
        <v/>
      </c>
      <c r="I894" s="17" t="str">
        <f>IF(OR(A894="",B894=""),"",IFERROR(LOOKUP(2,1/(单次交易!$A$2:$A$201=A894),单次交易!$H$2:$H$201),0)+SUMIFS($G$2:$G$1001,$A$2:$A$1001,A894,$B$2:$B$1001,"&lt;"&amp;B894))</f>
        <v/>
      </c>
      <c r="J894" s="16" t="str">
        <f>IF(OR(A894="",B894=""),"",IFERROR(LOOKUP(2,1/(单次交易!$A$2:$A$201=A894),单次交易!$E$2:$E$201)*LOOKUP(2,1/(单次交易!$A$2:$A$201=A894),单次交易!$H$2:$H$201),0)+SUMIFS($H$2:$H$1001,$A$2:$A$1001,A894,$B$2:$B$1001,"&lt;"&amp;B894))</f>
        <v/>
      </c>
      <c r="K894" s="16" t="str">
        <f t="shared" si="118"/>
        <v/>
      </c>
      <c r="L894" s="17" t="str">
        <f t="shared" si="119"/>
        <v/>
      </c>
      <c r="M894" s="17" t="str">
        <f t="shared" si="120"/>
        <v/>
      </c>
      <c r="N894" s="17" t="str">
        <f t="shared" si="121"/>
        <v/>
      </c>
      <c r="O894" s="17" t="str">
        <f t="shared" si="122"/>
        <v/>
      </c>
      <c r="P894" s="16" t="str">
        <f t="shared" si="123"/>
        <v/>
      </c>
      <c r="Q894" s="16" t="str">
        <f t="shared" si="124"/>
        <v/>
      </c>
      <c r="R894" s="18" t="str">
        <f t="shared" si="125"/>
        <v/>
      </c>
    </row>
    <row r="895" spans="1:18">
      <c r="A895" s="12"/>
      <c r="B895" s="13"/>
      <c r="C895" s="14"/>
      <c r="D895" s="15"/>
      <c r="E895" s="15"/>
      <c r="F895" s="15"/>
      <c r="G895" s="13"/>
      <c r="H895" s="16" t="str">
        <f t="shared" si="117"/>
        <v/>
      </c>
      <c r="I895" s="17" t="str">
        <f>IF(OR(A895="",B895=""),"",IFERROR(LOOKUP(2,1/(单次交易!$A$2:$A$201=A895),单次交易!$H$2:$H$201),0)+SUMIFS($G$2:$G$1001,$A$2:$A$1001,A895,$B$2:$B$1001,"&lt;"&amp;B895))</f>
        <v/>
      </c>
      <c r="J895" s="16" t="str">
        <f>IF(OR(A895="",B895=""),"",IFERROR(LOOKUP(2,1/(单次交易!$A$2:$A$201=A895),单次交易!$E$2:$E$201)*LOOKUP(2,1/(单次交易!$A$2:$A$201=A895),单次交易!$H$2:$H$201),0)+SUMIFS($H$2:$H$1001,$A$2:$A$1001,A895,$B$2:$B$1001,"&lt;"&amp;B895))</f>
        <v/>
      </c>
      <c r="K895" s="16" t="str">
        <f t="shared" si="118"/>
        <v/>
      </c>
      <c r="L895" s="17" t="str">
        <f t="shared" si="119"/>
        <v/>
      </c>
      <c r="M895" s="17" t="str">
        <f t="shared" si="120"/>
        <v/>
      </c>
      <c r="N895" s="17" t="str">
        <f t="shared" si="121"/>
        <v/>
      </c>
      <c r="O895" s="17" t="str">
        <f t="shared" si="122"/>
        <v/>
      </c>
      <c r="P895" s="16" t="str">
        <f t="shared" si="123"/>
        <v/>
      </c>
      <c r="Q895" s="16" t="str">
        <f t="shared" si="124"/>
        <v/>
      </c>
      <c r="R895" s="18" t="str">
        <f t="shared" si="125"/>
        <v/>
      </c>
    </row>
    <row r="896" spans="1:18">
      <c r="A896" s="12"/>
      <c r="B896" s="13"/>
      <c r="C896" s="14"/>
      <c r="D896" s="15"/>
      <c r="E896" s="15"/>
      <c r="F896" s="15"/>
      <c r="G896" s="13"/>
      <c r="H896" s="16" t="str">
        <f t="shared" si="117"/>
        <v/>
      </c>
      <c r="I896" s="17" t="str">
        <f>IF(OR(A896="",B896=""),"",IFERROR(LOOKUP(2,1/(单次交易!$A$2:$A$201=A896),单次交易!$H$2:$H$201),0)+SUMIFS($G$2:$G$1001,$A$2:$A$1001,A896,$B$2:$B$1001,"&lt;"&amp;B896))</f>
        <v/>
      </c>
      <c r="J896" s="16" t="str">
        <f>IF(OR(A896="",B896=""),"",IFERROR(LOOKUP(2,1/(单次交易!$A$2:$A$201=A896),单次交易!$E$2:$E$201)*LOOKUP(2,1/(单次交易!$A$2:$A$201=A896),单次交易!$H$2:$H$201),0)+SUMIFS($H$2:$H$1001,$A$2:$A$1001,A896,$B$2:$B$1001,"&lt;"&amp;B896))</f>
        <v/>
      </c>
      <c r="K896" s="16" t="str">
        <f t="shared" si="118"/>
        <v/>
      </c>
      <c r="L896" s="17" t="str">
        <f t="shared" si="119"/>
        <v/>
      </c>
      <c r="M896" s="17" t="str">
        <f t="shared" si="120"/>
        <v/>
      </c>
      <c r="N896" s="17" t="str">
        <f t="shared" si="121"/>
        <v/>
      </c>
      <c r="O896" s="17" t="str">
        <f t="shared" si="122"/>
        <v/>
      </c>
      <c r="P896" s="16" t="str">
        <f t="shared" si="123"/>
        <v/>
      </c>
      <c r="Q896" s="16" t="str">
        <f t="shared" si="124"/>
        <v/>
      </c>
      <c r="R896" s="18" t="str">
        <f t="shared" si="125"/>
        <v/>
      </c>
    </row>
    <row r="897" spans="1:18">
      <c r="A897" s="12"/>
      <c r="B897" s="13"/>
      <c r="C897" s="14"/>
      <c r="D897" s="15"/>
      <c r="E897" s="15"/>
      <c r="F897" s="15"/>
      <c r="G897" s="13"/>
      <c r="H897" s="16" t="str">
        <f t="shared" si="117"/>
        <v/>
      </c>
      <c r="I897" s="17" t="str">
        <f>IF(OR(A897="",B897=""),"",IFERROR(LOOKUP(2,1/(单次交易!$A$2:$A$201=A897),单次交易!$H$2:$H$201),0)+SUMIFS($G$2:$G$1001,$A$2:$A$1001,A897,$B$2:$B$1001,"&lt;"&amp;B897))</f>
        <v/>
      </c>
      <c r="J897" s="16" t="str">
        <f>IF(OR(A897="",B897=""),"",IFERROR(LOOKUP(2,1/(单次交易!$A$2:$A$201=A897),单次交易!$E$2:$E$201)*LOOKUP(2,1/(单次交易!$A$2:$A$201=A897),单次交易!$H$2:$H$201),0)+SUMIFS($H$2:$H$1001,$A$2:$A$1001,A897,$B$2:$B$1001,"&lt;"&amp;B897))</f>
        <v/>
      </c>
      <c r="K897" s="16" t="str">
        <f t="shared" si="118"/>
        <v/>
      </c>
      <c r="L897" s="17" t="str">
        <f t="shared" si="119"/>
        <v/>
      </c>
      <c r="M897" s="17" t="str">
        <f t="shared" si="120"/>
        <v/>
      </c>
      <c r="N897" s="17" t="str">
        <f t="shared" si="121"/>
        <v/>
      </c>
      <c r="O897" s="17" t="str">
        <f t="shared" si="122"/>
        <v/>
      </c>
      <c r="P897" s="16" t="str">
        <f t="shared" si="123"/>
        <v/>
      </c>
      <c r="Q897" s="16" t="str">
        <f t="shared" si="124"/>
        <v/>
      </c>
      <c r="R897" s="18" t="str">
        <f t="shared" si="125"/>
        <v/>
      </c>
    </row>
    <row r="898" spans="1:18">
      <c r="A898" s="12"/>
      <c r="B898" s="13"/>
      <c r="C898" s="14"/>
      <c r="D898" s="15"/>
      <c r="E898" s="15"/>
      <c r="F898" s="15"/>
      <c r="G898" s="13"/>
      <c r="H898" s="16" t="str">
        <f t="shared" ref="H898:H961" si="126">IF(OR(A898="",D898="",G898=""),"",D898*G898)</f>
        <v/>
      </c>
      <c r="I898" s="17" t="str">
        <f>IF(OR(A898="",B898=""),"",IFERROR(LOOKUP(2,1/(单次交易!$A$2:$A$201=A898),单次交易!$H$2:$H$201),0)+SUMIFS($G$2:$G$1001,$A$2:$A$1001,A898,$B$2:$B$1001,"&lt;"&amp;B898))</f>
        <v/>
      </c>
      <c r="J898" s="16" t="str">
        <f>IF(OR(A898="",B898=""),"",IFERROR(LOOKUP(2,1/(单次交易!$A$2:$A$201=A898),单次交易!$E$2:$E$201)*LOOKUP(2,1/(单次交易!$A$2:$A$201=A898),单次交易!$H$2:$H$201),0)+SUMIFS($H$2:$H$1001,$A$2:$A$1001,A898,$B$2:$B$1001,"&lt;"&amp;B898))</f>
        <v/>
      </c>
      <c r="K898" s="16" t="str">
        <f t="shared" ref="K898:K961" si="127">IF(OR(E898="",I898="",J898=""),"",MAX(E898*I898-J898,0))</f>
        <v/>
      </c>
      <c r="L898" s="17" t="str">
        <f t="shared" ref="L898:L961" si="128">IF(OR(D898="",E898="",F898="",D898&lt;=E898),"",FLOOR((F898+K898)/(D898-E898),100))</f>
        <v/>
      </c>
      <c r="M898" s="17" t="str">
        <f t="shared" ref="M898:M961" si="129">IF(OR(A898="",B898="",L898=""),"",IF(B898=1,L898,IFERROR(SUMIFS($G$2:$G$1001,$A$2:$A$1001,A898,$B$2:$B$1001,B898-1),0)))</f>
        <v/>
      </c>
      <c r="N898" s="17" t="str">
        <f t="shared" ref="N898:N961" si="130">IF(OR(L898="",M898=""),"",MIN(L898,M898))</f>
        <v/>
      </c>
      <c r="O898" s="17" t="str">
        <f t="shared" ref="O898:O961" si="131">IF(OR(I898="",G898=""),"",I898+G898)</f>
        <v/>
      </c>
      <c r="P898" s="16" t="str">
        <f t="shared" ref="P898:P961" si="132">IF(OR(O898="",O898=0),"",(J898+H898)/O898)</f>
        <v/>
      </c>
      <c r="Q898" s="16" t="str">
        <f t="shared" ref="Q898:Q961" si="133">IF(OR(O898="",E898=""),"",MAX(J898+H898-E898*O898,0))</f>
        <v/>
      </c>
      <c r="R898" s="18" t="str">
        <f t="shared" ref="R898:R961" si="134">IF(A898="","",IF(COUNTIF(_TradeIds,A898)=0,"违规：交易编号不存在",IF(OR(B898="",B898&lt;1,B898&gt;5,B898&lt;&gt;INT(B898)),"违规：加仓序号须为1到5的整数",IF(COUNTIFS($A$2:$A$1001,A898,$B$2:$B$1001,B898)&gt;1,"违规：同一交易的加仓序号重复",IF(OR(D898="",E898="",F898=""),"计划不完整：请填写加仓价、新止损价和风险预算",IF(OR(D898&lt;=0,E898&lt;=0,F898&lt;=0,D898&lt;=E898),"违规：加仓价必须高于新止损价，金额须大于0",IF(AND(B898&gt;1,COUNTIFS($A$2:$A$1001,A898,$B$2:$B$1001,B898-1,$G$2:$G$1001,"&gt;0")=0),"违规：须先完成上一次加仓",IF(AND(B898&gt;1,E898&lt;SUMIFS($E$2:$E$1001,$A$2:$A$1001,A898,$B$2:$B$1001,B898-1)),"违规：新止损价不得低于上一次",IF(AND(B898&gt;1,F898&gt;SUMIFS($F$2:$F$1001,$A$2:$A$1001,A898,$B$2:$B$1001,B898-1)),"违规：风险预算须逐次不增加",IF(OR(_LockStatus="已锁仓",_LockStatus="解锁信息不完整"),"违规：锁仓期间禁止加仓",IF(G898="","计划可执行：建议股数见N列",IF(OR(G898&lt;=0,G898&lt;&gt;INT(G898),MOD(G898,100)&lt;&gt;0),"违规：实际股数须为100股整数倍",IF(G898&gt;N898,"违规：实际股数超过风险或金字塔上限",IF(AND(B898&gt;1,G898&gt;SUMIFS($G$2:$G$1001,$A$2:$A$1001,A898,$B$2:$B$1001,B898-1)),"违规：加仓股数须逐次不增加",IF(Q898&gt;F898,"违规：止损风险超过本次预算","通过")))))))))))))))</f>
        <v/>
      </c>
    </row>
    <row r="899" spans="1:18">
      <c r="A899" s="12"/>
      <c r="B899" s="13"/>
      <c r="C899" s="14"/>
      <c r="D899" s="15"/>
      <c r="E899" s="15"/>
      <c r="F899" s="15"/>
      <c r="G899" s="13"/>
      <c r="H899" s="16" t="str">
        <f t="shared" si="126"/>
        <v/>
      </c>
      <c r="I899" s="17" t="str">
        <f>IF(OR(A899="",B899=""),"",IFERROR(LOOKUP(2,1/(单次交易!$A$2:$A$201=A899),单次交易!$H$2:$H$201),0)+SUMIFS($G$2:$G$1001,$A$2:$A$1001,A899,$B$2:$B$1001,"&lt;"&amp;B899))</f>
        <v/>
      </c>
      <c r="J899" s="16" t="str">
        <f>IF(OR(A899="",B899=""),"",IFERROR(LOOKUP(2,1/(单次交易!$A$2:$A$201=A899),单次交易!$E$2:$E$201)*LOOKUP(2,1/(单次交易!$A$2:$A$201=A899),单次交易!$H$2:$H$201),0)+SUMIFS($H$2:$H$1001,$A$2:$A$1001,A899,$B$2:$B$1001,"&lt;"&amp;B899))</f>
        <v/>
      </c>
      <c r="K899" s="16" t="str">
        <f t="shared" si="127"/>
        <v/>
      </c>
      <c r="L899" s="17" t="str">
        <f t="shared" si="128"/>
        <v/>
      </c>
      <c r="M899" s="17" t="str">
        <f t="shared" si="129"/>
        <v/>
      </c>
      <c r="N899" s="17" t="str">
        <f t="shared" si="130"/>
        <v/>
      </c>
      <c r="O899" s="17" t="str">
        <f t="shared" si="131"/>
        <v/>
      </c>
      <c r="P899" s="16" t="str">
        <f t="shared" si="132"/>
        <v/>
      </c>
      <c r="Q899" s="16" t="str">
        <f t="shared" si="133"/>
        <v/>
      </c>
      <c r="R899" s="18" t="str">
        <f t="shared" si="134"/>
        <v/>
      </c>
    </row>
    <row r="900" spans="1:18">
      <c r="A900" s="12"/>
      <c r="B900" s="13"/>
      <c r="C900" s="14"/>
      <c r="D900" s="15"/>
      <c r="E900" s="15"/>
      <c r="F900" s="15"/>
      <c r="G900" s="13"/>
      <c r="H900" s="16" t="str">
        <f t="shared" si="126"/>
        <v/>
      </c>
      <c r="I900" s="17" t="str">
        <f>IF(OR(A900="",B900=""),"",IFERROR(LOOKUP(2,1/(单次交易!$A$2:$A$201=A900),单次交易!$H$2:$H$201),0)+SUMIFS($G$2:$G$1001,$A$2:$A$1001,A900,$B$2:$B$1001,"&lt;"&amp;B900))</f>
        <v/>
      </c>
      <c r="J900" s="16" t="str">
        <f>IF(OR(A900="",B900=""),"",IFERROR(LOOKUP(2,1/(单次交易!$A$2:$A$201=A900),单次交易!$E$2:$E$201)*LOOKUP(2,1/(单次交易!$A$2:$A$201=A900),单次交易!$H$2:$H$201),0)+SUMIFS($H$2:$H$1001,$A$2:$A$1001,A900,$B$2:$B$1001,"&lt;"&amp;B900))</f>
        <v/>
      </c>
      <c r="K900" s="16" t="str">
        <f t="shared" si="127"/>
        <v/>
      </c>
      <c r="L900" s="17" t="str">
        <f t="shared" si="128"/>
        <v/>
      </c>
      <c r="M900" s="17" t="str">
        <f t="shared" si="129"/>
        <v/>
      </c>
      <c r="N900" s="17" t="str">
        <f t="shared" si="130"/>
        <v/>
      </c>
      <c r="O900" s="17" t="str">
        <f t="shared" si="131"/>
        <v/>
      </c>
      <c r="P900" s="16" t="str">
        <f t="shared" si="132"/>
        <v/>
      </c>
      <c r="Q900" s="16" t="str">
        <f t="shared" si="133"/>
        <v/>
      </c>
      <c r="R900" s="18" t="str">
        <f t="shared" si="134"/>
        <v/>
      </c>
    </row>
    <row r="901" spans="1:18">
      <c r="A901" s="12"/>
      <c r="B901" s="13"/>
      <c r="C901" s="14"/>
      <c r="D901" s="15"/>
      <c r="E901" s="15"/>
      <c r="F901" s="15"/>
      <c r="G901" s="13"/>
      <c r="H901" s="16" t="str">
        <f t="shared" si="126"/>
        <v/>
      </c>
      <c r="I901" s="17" t="str">
        <f>IF(OR(A901="",B901=""),"",IFERROR(LOOKUP(2,1/(单次交易!$A$2:$A$201=A901),单次交易!$H$2:$H$201),0)+SUMIFS($G$2:$G$1001,$A$2:$A$1001,A901,$B$2:$B$1001,"&lt;"&amp;B901))</f>
        <v/>
      </c>
      <c r="J901" s="16" t="str">
        <f>IF(OR(A901="",B901=""),"",IFERROR(LOOKUP(2,1/(单次交易!$A$2:$A$201=A901),单次交易!$E$2:$E$201)*LOOKUP(2,1/(单次交易!$A$2:$A$201=A901),单次交易!$H$2:$H$201),0)+SUMIFS($H$2:$H$1001,$A$2:$A$1001,A901,$B$2:$B$1001,"&lt;"&amp;B901))</f>
        <v/>
      </c>
      <c r="K901" s="16" t="str">
        <f t="shared" si="127"/>
        <v/>
      </c>
      <c r="L901" s="17" t="str">
        <f t="shared" si="128"/>
        <v/>
      </c>
      <c r="M901" s="17" t="str">
        <f t="shared" si="129"/>
        <v/>
      </c>
      <c r="N901" s="17" t="str">
        <f t="shared" si="130"/>
        <v/>
      </c>
      <c r="O901" s="17" t="str">
        <f t="shared" si="131"/>
        <v/>
      </c>
      <c r="P901" s="16" t="str">
        <f t="shared" si="132"/>
        <v/>
      </c>
      <c r="Q901" s="16" t="str">
        <f t="shared" si="133"/>
        <v/>
      </c>
      <c r="R901" s="18" t="str">
        <f t="shared" si="134"/>
        <v/>
      </c>
    </row>
    <row r="902" spans="1:18">
      <c r="A902" s="12"/>
      <c r="B902" s="13"/>
      <c r="C902" s="14"/>
      <c r="D902" s="15"/>
      <c r="E902" s="15"/>
      <c r="F902" s="15"/>
      <c r="G902" s="13"/>
      <c r="H902" s="16" t="str">
        <f t="shared" si="126"/>
        <v/>
      </c>
      <c r="I902" s="17" t="str">
        <f>IF(OR(A902="",B902=""),"",IFERROR(LOOKUP(2,1/(单次交易!$A$2:$A$201=A902),单次交易!$H$2:$H$201),0)+SUMIFS($G$2:$G$1001,$A$2:$A$1001,A902,$B$2:$B$1001,"&lt;"&amp;B902))</f>
        <v/>
      </c>
      <c r="J902" s="16" t="str">
        <f>IF(OR(A902="",B902=""),"",IFERROR(LOOKUP(2,1/(单次交易!$A$2:$A$201=A902),单次交易!$E$2:$E$201)*LOOKUP(2,1/(单次交易!$A$2:$A$201=A902),单次交易!$H$2:$H$201),0)+SUMIFS($H$2:$H$1001,$A$2:$A$1001,A902,$B$2:$B$1001,"&lt;"&amp;B902))</f>
        <v/>
      </c>
      <c r="K902" s="16" t="str">
        <f t="shared" si="127"/>
        <v/>
      </c>
      <c r="L902" s="17" t="str">
        <f t="shared" si="128"/>
        <v/>
      </c>
      <c r="M902" s="17" t="str">
        <f t="shared" si="129"/>
        <v/>
      </c>
      <c r="N902" s="17" t="str">
        <f t="shared" si="130"/>
        <v/>
      </c>
      <c r="O902" s="17" t="str">
        <f t="shared" si="131"/>
        <v/>
      </c>
      <c r="P902" s="16" t="str">
        <f t="shared" si="132"/>
        <v/>
      </c>
      <c r="Q902" s="16" t="str">
        <f t="shared" si="133"/>
        <v/>
      </c>
      <c r="R902" s="18" t="str">
        <f t="shared" si="134"/>
        <v/>
      </c>
    </row>
    <row r="903" spans="1:18">
      <c r="A903" s="12"/>
      <c r="B903" s="13"/>
      <c r="C903" s="14"/>
      <c r="D903" s="15"/>
      <c r="E903" s="15"/>
      <c r="F903" s="15"/>
      <c r="G903" s="13"/>
      <c r="H903" s="16" t="str">
        <f t="shared" si="126"/>
        <v/>
      </c>
      <c r="I903" s="17" t="str">
        <f>IF(OR(A903="",B903=""),"",IFERROR(LOOKUP(2,1/(单次交易!$A$2:$A$201=A903),单次交易!$H$2:$H$201),0)+SUMIFS($G$2:$G$1001,$A$2:$A$1001,A903,$B$2:$B$1001,"&lt;"&amp;B903))</f>
        <v/>
      </c>
      <c r="J903" s="16" t="str">
        <f>IF(OR(A903="",B903=""),"",IFERROR(LOOKUP(2,1/(单次交易!$A$2:$A$201=A903),单次交易!$E$2:$E$201)*LOOKUP(2,1/(单次交易!$A$2:$A$201=A903),单次交易!$H$2:$H$201),0)+SUMIFS($H$2:$H$1001,$A$2:$A$1001,A903,$B$2:$B$1001,"&lt;"&amp;B903))</f>
        <v/>
      </c>
      <c r="K903" s="16" t="str">
        <f t="shared" si="127"/>
        <v/>
      </c>
      <c r="L903" s="17" t="str">
        <f t="shared" si="128"/>
        <v/>
      </c>
      <c r="M903" s="17" t="str">
        <f t="shared" si="129"/>
        <v/>
      </c>
      <c r="N903" s="17" t="str">
        <f t="shared" si="130"/>
        <v/>
      </c>
      <c r="O903" s="17" t="str">
        <f t="shared" si="131"/>
        <v/>
      </c>
      <c r="P903" s="16" t="str">
        <f t="shared" si="132"/>
        <v/>
      </c>
      <c r="Q903" s="16" t="str">
        <f t="shared" si="133"/>
        <v/>
      </c>
      <c r="R903" s="18" t="str">
        <f t="shared" si="134"/>
        <v/>
      </c>
    </row>
    <row r="904" spans="1:18">
      <c r="A904" s="12"/>
      <c r="B904" s="13"/>
      <c r="C904" s="14"/>
      <c r="D904" s="15"/>
      <c r="E904" s="15"/>
      <c r="F904" s="15"/>
      <c r="G904" s="13"/>
      <c r="H904" s="16" t="str">
        <f t="shared" si="126"/>
        <v/>
      </c>
      <c r="I904" s="17" t="str">
        <f>IF(OR(A904="",B904=""),"",IFERROR(LOOKUP(2,1/(单次交易!$A$2:$A$201=A904),单次交易!$H$2:$H$201),0)+SUMIFS($G$2:$G$1001,$A$2:$A$1001,A904,$B$2:$B$1001,"&lt;"&amp;B904))</f>
        <v/>
      </c>
      <c r="J904" s="16" t="str">
        <f>IF(OR(A904="",B904=""),"",IFERROR(LOOKUP(2,1/(单次交易!$A$2:$A$201=A904),单次交易!$E$2:$E$201)*LOOKUP(2,1/(单次交易!$A$2:$A$201=A904),单次交易!$H$2:$H$201),0)+SUMIFS($H$2:$H$1001,$A$2:$A$1001,A904,$B$2:$B$1001,"&lt;"&amp;B904))</f>
        <v/>
      </c>
      <c r="K904" s="16" t="str">
        <f t="shared" si="127"/>
        <v/>
      </c>
      <c r="L904" s="17" t="str">
        <f t="shared" si="128"/>
        <v/>
      </c>
      <c r="M904" s="17" t="str">
        <f t="shared" si="129"/>
        <v/>
      </c>
      <c r="N904" s="17" t="str">
        <f t="shared" si="130"/>
        <v/>
      </c>
      <c r="O904" s="17" t="str">
        <f t="shared" si="131"/>
        <v/>
      </c>
      <c r="P904" s="16" t="str">
        <f t="shared" si="132"/>
        <v/>
      </c>
      <c r="Q904" s="16" t="str">
        <f t="shared" si="133"/>
        <v/>
      </c>
      <c r="R904" s="18" t="str">
        <f t="shared" si="134"/>
        <v/>
      </c>
    </row>
    <row r="905" spans="1:18">
      <c r="A905" s="12"/>
      <c r="B905" s="13"/>
      <c r="C905" s="14"/>
      <c r="D905" s="15"/>
      <c r="E905" s="15"/>
      <c r="F905" s="15"/>
      <c r="G905" s="13"/>
      <c r="H905" s="16" t="str">
        <f t="shared" si="126"/>
        <v/>
      </c>
      <c r="I905" s="17" t="str">
        <f>IF(OR(A905="",B905=""),"",IFERROR(LOOKUP(2,1/(单次交易!$A$2:$A$201=A905),单次交易!$H$2:$H$201),0)+SUMIFS($G$2:$G$1001,$A$2:$A$1001,A905,$B$2:$B$1001,"&lt;"&amp;B905))</f>
        <v/>
      </c>
      <c r="J905" s="16" t="str">
        <f>IF(OR(A905="",B905=""),"",IFERROR(LOOKUP(2,1/(单次交易!$A$2:$A$201=A905),单次交易!$E$2:$E$201)*LOOKUP(2,1/(单次交易!$A$2:$A$201=A905),单次交易!$H$2:$H$201),0)+SUMIFS($H$2:$H$1001,$A$2:$A$1001,A905,$B$2:$B$1001,"&lt;"&amp;B905))</f>
        <v/>
      </c>
      <c r="K905" s="16" t="str">
        <f t="shared" si="127"/>
        <v/>
      </c>
      <c r="L905" s="17" t="str">
        <f t="shared" si="128"/>
        <v/>
      </c>
      <c r="M905" s="17" t="str">
        <f t="shared" si="129"/>
        <v/>
      </c>
      <c r="N905" s="17" t="str">
        <f t="shared" si="130"/>
        <v/>
      </c>
      <c r="O905" s="17" t="str">
        <f t="shared" si="131"/>
        <v/>
      </c>
      <c r="P905" s="16" t="str">
        <f t="shared" si="132"/>
        <v/>
      </c>
      <c r="Q905" s="16" t="str">
        <f t="shared" si="133"/>
        <v/>
      </c>
      <c r="R905" s="18" t="str">
        <f t="shared" si="134"/>
        <v/>
      </c>
    </row>
    <row r="906" spans="1:18">
      <c r="A906" s="12"/>
      <c r="B906" s="13"/>
      <c r="C906" s="14"/>
      <c r="D906" s="15"/>
      <c r="E906" s="15"/>
      <c r="F906" s="15"/>
      <c r="G906" s="13"/>
      <c r="H906" s="16" t="str">
        <f t="shared" si="126"/>
        <v/>
      </c>
      <c r="I906" s="17" t="str">
        <f>IF(OR(A906="",B906=""),"",IFERROR(LOOKUP(2,1/(单次交易!$A$2:$A$201=A906),单次交易!$H$2:$H$201),0)+SUMIFS($G$2:$G$1001,$A$2:$A$1001,A906,$B$2:$B$1001,"&lt;"&amp;B906))</f>
        <v/>
      </c>
      <c r="J906" s="16" t="str">
        <f>IF(OR(A906="",B906=""),"",IFERROR(LOOKUP(2,1/(单次交易!$A$2:$A$201=A906),单次交易!$E$2:$E$201)*LOOKUP(2,1/(单次交易!$A$2:$A$201=A906),单次交易!$H$2:$H$201),0)+SUMIFS($H$2:$H$1001,$A$2:$A$1001,A906,$B$2:$B$1001,"&lt;"&amp;B906))</f>
        <v/>
      </c>
      <c r="K906" s="16" t="str">
        <f t="shared" si="127"/>
        <v/>
      </c>
      <c r="L906" s="17" t="str">
        <f t="shared" si="128"/>
        <v/>
      </c>
      <c r="M906" s="17" t="str">
        <f t="shared" si="129"/>
        <v/>
      </c>
      <c r="N906" s="17" t="str">
        <f t="shared" si="130"/>
        <v/>
      </c>
      <c r="O906" s="17" t="str">
        <f t="shared" si="131"/>
        <v/>
      </c>
      <c r="P906" s="16" t="str">
        <f t="shared" si="132"/>
        <v/>
      </c>
      <c r="Q906" s="16" t="str">
        <f t="shared" si="133"/>
        <v/>
      </c>
      <c r="R906" s="18" t="str">
        <f t="shared" si="134"/>
        <v/>
      </c>
    </row>
    <row r="907" spans="1:18">
      <c r="A907" s="12"/>
      <c r="B907" s="13"/>
      <c r="C907" s="14"/>
      <c r="D907" s="15"/>
      <c r="E907" s="15"/>
      <c r="F907" s="15"/>
      <c r="G907" s="13"/>
      <c r="H907" s="16" t="str">
        <f t="shared" si="126"/>
        <v/>
      </c>
      <c r="I907" s="17" t="str">
        <f>IF(OR(A907="",B907=""),"",IFERROR(LOOKUP(2,1/(单次交易!$A$2:$A$201=A907),单次交易!$H$2:$H$201),0)+SUMIFS($G$2:$G$1001,$A$2:$A$1001,A907,$B$2:$B$1001,"&lt;"&amp;B907))</f>
        <v/>
      </c>
      <c r="J907" s="16" t="str">
        <f>IF(OR(A907="",B907=""),"",IFERROR(LOOKUP(2,1/(单次交易!$A$2:$A$201=A907),单次交易!$E$2:$E$201)*LOOKUP(2,1/(单次交易!$A$2:$A$201=A907),单次交易!$H$2:$H$201),0)+SUMIFS($H$2:$H$1001,$A$2:$A$1001,A907,$B$2:$B$1001,"&lt;"&amp;B907))</f>
        <v/>
      </c>
      <c r="K907" s="16" t="str">
        <f t="shared" si="127"/>
        <v/>
      </c>
      <c r="L907" s="17" t="str">
        <f t="shared" si="128"/>
        <v/>
      </c>
      <c r="M907" s="17" t="str">
        <f t="shared" si="129"/>
        <v/>
      </c>
      <c r="N907" s="17" t="str">
        <f t="shared" si="130"/>
        <v/>
      </c>
      <c r="O907" s="17" t="str">
        <f t="shared" si="131"/>
        <v/>
      </c>
      <c r="P907" s="16" t="str">
        <f t="shared" si="132"/>
        <v/>
      </c>
      <c r="Q907" s="16" t="str">
        <f t="shared" si="133"/>
        <v/>
      </c>
      <c r="R907" s="18" t="str">
        <f t="shared" si="134"/>
        <v/>
      </c>
    </row>
    <row r="908" spans="1:18">
      <c r="A908" s="12"/>
      <c r="B908" s="13"/>
      <c r="C908" s="14"/>
      <c r="D908" s="15"/>
      <c r="E908" s="15"/>
      <c r="F908" s="15"/>
      <c r="G908" s="13"/>
      <c r="H908" s="16" t="str">
        <f t="shared" si="126"/>
        <v/>
      </c>
      <c r="I908" s="17" t="str">
        <f>IF(OR(A908="",B908=""),"",IFERROR(LOOKUP(2,1/(单次交易!$A$2:$A$201=A908),单次交易!$H$2:$H$201),0)+SUMIFS($G$2:$G$1001,$A$2:$A$1001,A908,$B$2:$B$1001,"&lt;"&amp;B908))</f>
        <v/>
      </c>
      <c r="J908" s="16" t="str">
        <f>IF(OR(A908="",B908=""),"",IFERROR(LOOKUP(2,1/(单次交易!$A$2:$A$201=A908),单次交易!$E$2:$E$201)*LOOKUP(2,1/(单次交易!$A$2:$A$201=A908),单次交易!$H$2:$H$201),0)+SUMIFS($H$2:$H$1001,$A$2:$A$1001,A908,$B$2:$B$1001,"&lt;"&amp;B908))</f>
        <v/>
      </c>
      <c r="K908" s="16" t="str">
        <f t="shared" si="127"/>
        <v/>
      </c>
      <c r="L908" s="17" t="str">
        <f t="shared" si="128"/>
        <v/>
      </c>
      <c r="M908" s="17" t="str">
        <f t="shared" si="129"/>
        <v/>
      </c>
      <c r="N908" s="17" t="str">
        <f t="shared" si="130"/>
        <v/>
      </c>
      <c r="O908" s="17" t="str">
        <f t="shared" si="131"/>
        <v/>
      </c>
      <c r="P908" s="16" t="str">
        <f t="shared" si="132"/>
        <v/>
      </c>
      <c r="Q908" s="16" t="str">
        <f t="shared" si="133"/>
        <v/>
      </c>
      <c r="R908" s="18" t="str">
        <f t="shared" si="134"/>
        <v/>
      </c>
    </row>
    <row r="909" spans="1:18">
      <c r="A909" s="12"/>
      <c r="B909" s="13"/>
      <c r="C909" s="14"/>
      <c r="D909" s="15"/>
      <c r="E909" s="15"/>
      <c r="F909" s="15"/>
      <c r="G909" s="13"/>
      <c r="H909" s="16" t="str">
        <f t="shared" si="126"/>
        <v/>
      </c>
      <c r="I909" s="17" t="str">
        <f>IF(OR(A909="",B909=""),"",IFERROR(LOOKUP(2,1/(单次交易!$A$2:$A$201=A909),单次交易!$H$2:$H$201),0)+SUMIFS($G$2:$G$1001,$A$2:$A$1001,A909,$B$2:$B$1001,"&lt;"&amp;B909))</f>
        <v/>
      </c>
      <c r="J909" s="16" t="str">
        <f>IF(OR(A909="",B909=""),"",IFERROR(LOOKUP(2,1/(单次交易!$A$2:$A$201=A909),单次交易!$E$2:$E$201)*LOOKUP(2,1/(单次交易!$A$2:$A$201=A909),单次交易!$H$2:$H$201),0)+SUMIFS($H$2:$H$1001,$A$2:$A$1001,A909,$B$2:$B$1001,"&lt;"&amp;B909))</f>
        <v/>
      </c>
      <c r="K909" s="16" t="str">
        <f t="shared" si="127"/>
        <v/>
      </c>
      <c r="L909" s="17" t="str">
        <f t="shared" si="128"/>
        <v/>
      </c>
      <c r="M909" s="17" t="str">
        <f t="shared" si="129"/>
        <v/>
      </c>
      <c r="N909" s="17" t="str">
        <f t="shared" si="130"/>
        <v/>
      </c>
      <c r="O909" s="17" t="str">
        <f t="shared" si="131"/>
        <v/>
      </c>
      <c r="P909" s="16" t="str">
        <f t="shared" si="132"/>
        <v/>
      </c>
      <c r="Q909" s="16" t="str">
        <f t="shared" si="133"/>
        <v/>
      </c>
      <c r="R909" s="18" t="str">
        <f t="shared" si="134"/>
        <v/>
      </c>
    </row>
    <row r="910" spans="1:18">
      <c r="A910" s="12"/>
      <c r="B910" s="13"/>
      <c r="C910" s="14"/>
      <c r="D910" s="15"/>
      <c r="E910" s="15"/>
      <c r="F910" s="15"/>
      <c r="G910" s="13"/>
      <c r="H910" s="16" t="str">
        <f t="shared" si="126"/>
        <v/>
      </c>
      <c r="I910" s="17" t="str">
        <f>IF(OR(A910="",B910=""),"",IFERROR(LOOKUP(2,1/(单次交易!$A$2:$A$201=A910),单次交易!$H$2:$H$201),0)+SUMIFS($G$2:$G$1001,$A$2:$A$1001,A910,$B$2:$B$1001,"&lt;"&amp;B910))</f>
        <v/>
      </c>
      <c r="J910" s="16" t="str">
        <f>IF(OR(A910="",B910=""),"",IFERROR(LOOKUP(2,1/(单次交易!$A$2:$A$201=A910),单次交易!$E$2:$E$201)*LOOKUP(2,1/(单次交易!$A$2:$A$201=A910),单次交易!$H$2:$H$201),0)+SUMIFS($H$2:$H$1001,$A$2:$A$1001,A910,$B$2:$B$1001,"&lt;"&amp;B910))</f>
        <v/>
      </c>
      <c r="K910" s="16" t="str">
        <f t="shared" si="127"/>
        <v/>
      </c>
      <c r="L910" s="17" t="str">
        <f t="shared" si="128"/>
        <v/>
      </c>
      <c r="M910" s="17" t="str">
        <f t="shared" si="129"/>
        <v/>
      </c>
      <c r="N910" s="17" t="str">
        <f t="shared" si="130"/>
        <v/>
      </c>
      <c r="O910" s="17" t="str">
        <f t="shared" si="131"/>
        <v/>
      </c>
      <c r="P910" s="16" t="str">
        <f t="shared" si="132"/>
        <v/>
      </c>
      <c r="Q910" s="16" t="str">
        <f t="shared" si="133"/>
        <v/>
      </c>
      <c r="R910" s="18" t="str">
        <f t="shared" si="134"/>
        <v/>
      </c>
    </row>
    <row r="911" spans="1:18">
      <c r="A911" s="12"/>
      <c r="B911" s="13"/>
      <c r="C911" s="14"/>
      <c r="D911" s="15"/>
      <c r="E911" s="15"/>
      <c r="F911" s="15"/>
      <c r="G911" s="13"/>
      <c r="H911" s="16" t="str">
        <f t="shared" si="126"/>
        <v/>
      </c>
      <c r="I911" s="17" t="str">
        <f>IF(OR(A911="",B911=""),"",IFERROR(LOOKUP(2,1/(单次交易!$A$2:$A$201=A911),单次交易!$H$2:$H$201),0)+SUMIFS($G$2:$G$1001,$A$2:$A$1001,A911,$B$2:$B$1001,"&lt;"&amp;B911))</f>
        <v/>
      </c>
      <c r="J911" s="16" t="str">
        <f>IF(OR(A911="",B911=""),"",IFERROR(LOOKUP(2,1/(单次交易!$A$2:$A$201=A911),单次交易!$E$2:$E$201)*LOOKUP(2,1/(单次交易!$A$2:$A$201=A911),单次交易!$H$2:$H$201),0)+SUMIFS($H$2:$H$1001,$A$2:$A$1001,A911,$B$2:$B$1001,"&lt;"&amp;B911))</f>
        <v/>
      </c>
      <c r="K911" s="16" t="str">
        <f t="shared" si="127"/>
        <v/>
      </c>
      <c r="L911" s="17" t="str">
        <f t="shared" si="128"/>
        <v/>
      </c>
      <c r="M911" s="17" t="str">
        <f t="shared" si="129"/>
        <v/>
      </c>
      <c r="N911" s="17" t="str">
        <f t="shared" si="130"/>
        <v/>
      </c>
      <c r="O911" s="17" t="str">
        <f t="shared" si="131"/>
        <v/>
      </c>
      <c r="P911" s="16" t="str">
        <f t="shared" si="132"/>
        <v/>
      </c>
      <c r="Q911" s="16" t="str">
        <f t="shared" si="133"/>
        <v/>
      </c>
      <c r="R911" s="18" t="str">
        <f t="shared" si="134"/>
        <v/>
      </c>
    </row>
    <row r="912" spans="1:18">
      <c r="A912" s="12"/>
      <c r="B912" s="13"/>
      <c r="C912" s="14"/>
      <c r="D912" s="15"/>
      <c r="E912" s="15"/>
      <c r="F912" s="15"/>
      <c r="G912" s="13"/>
      <c r="H912" s="16" t="str">
        <f t="shared" si="126"/>
        <v/>
      </c>
      <c r="I912" s="17" t="str">
        <f>IF(OR(A912="",B912=""),"",IFERROR(LOOKUP(2,1/(单次交易!$A$2:$A$201=A912),单次交易!$H$2:$H$201),0)+SUMIFS($G$2:$G$1001,$A$2:$A$1001,A912,$B$2:$B$1001,"&lt;"&amp;B912))</f>
        <v/>
      </c>
      <c r="J912" s="16" t="str">
        <f>IF(OR(A912="",B912=""),"",IFERROR(LOOKUP(2,1/(单次交易!$A$2:$A$201=A912),单次交易!$E$2:$E$201)*LOOKUP(2,1/(单次交易!$A$2:$A$201=A912),单次交易!$H$2:$H$201),0)+SUMIFS($H$2:$H$1001,$A$2:$A$1001,A912,$B$2:$B$1001,"&lt;"&amp;B912))</f>
        <v/>
      </c>
      <c r="K912" s="16" t="str">
        <f t="shared" si="127"/>
        <v/>
      </c>
      <c r="L912" s="17" t="str">
        <f t="shared" si="128"/>
        <v/>
      </c>
      <c r="M912" s="17" t="str">
        <f t="shared" si="129"/>
        <v/>
      </c>
      <c r="N912" s="17" t="str">
        <f t="shared" si="130"/>
        <v/>
      </c>
      <c r="O912" s="17" t="str">
        <f t="shared" si="131"/>
        <v/>
      </c>
      <c r="P912" s="16" t="str">
        <f t="shared" si="132"/>
        <v/>
      </c>
      <c r="Q912" s="16" t="str">
        <f t="shared" si="133"/>
        <v/>
      </c>
      <c r="R912" s="18" t="str">
        <f t="shared" si="134"/>
        <v/>
      </c>
    </row>
    <row r="913" spans="1:18">
      <c r="A913" s="12"/>
      <c r="B913" s="13"/>
      <c r="C913" s="14"/>
      <c r="D913" s="15"/>
      <c r="E913" s="15"/>
      <c r="F913" s="15"/>
      <c r="G913" s="13"/>
      <c r="H913" s="16" t="str">
        <f t="shared" si="126"/>
        <v/>
      </c>
      <c r="I913" s="17" t="str">
        <f>IF(OR(A913="",B913=""),"",IFERROR(LOOKUP(2,1/(单次交易!$A$2:$A$201=A913),单次交易!$H$2:$H$201),0)+SUMIFS($G$2:$G$1001,$A$2:$A$1001,A913,$B$2:$B$1001,"&lt;"&amp;B913))</f>
        <v/>
      </c>
      <c r="J913" s="16" t="str">
        <f>IF(OR(A913="",B913=""),"",IFERROR(LOOKUP(2,1/(单次交易!$A$2:$A$201=A913),单次交易!$E$2:$E$201)*LOOKUP(2,1/(单次交易!$A$2:$A$201=A913),单次交易!$H$2:$H$201),0)+SUMIFS($H$2:$H$1001,$A$2:$A$1001,A913,$B$2:$B$1001,"&lt;"&amp;B913))</f>
        <v/>
      </c>
      <c r="K913" s="16" t="str">
        <f t="shared" si="127"/>
        <v/>
      </c>
      <c r="L913" s="17" t="str">
        <f t="shared" si="128"/>
        <v/>
      </c>
      <c r="M913" s="17" t="str">
        <f t="shared" si="129"/>
        <v/>
      </c>
      <c r="N913" s="17" t="str">
        <f t="shared" si="130"/>
        <v/>
      </c>
      <c r="O913" s="17" t="str">
        <f t="shared" si="131"/>
        <v/>
      </c>
      <c r="P913" s="16" t="str">
        <f t="shared" si="132"/>
        <v/>
      </c>
      <c r="Q913" s="16" t="str">
        <f t="shared" si="133"/>
        <v/>
      </c>
      <c r="R913" s="18" t="str">
        <f t="shared" si="134"/>
        <v/>
      </c>
    </row>
    <row r="914" spans="1:18">
      <c r="A914" s="12"/>
      <c r="B914" s="13"/>
      <c r="C914" s="14"/>
      <c r="D914" s="15"/>
      <c r="E914" s="15"/>
      <c r="F914" s="15"/>
      <c r="G914" s="13"/>
      <c r="H914" s="16" t="str">
        <f t="shared" si="126"/>
        <v/>
      </c>
      <c r="I914" s="17" t="str">
        <f>IF(OR(A914="",B914=""),"",IFERROR(LOOKUP(2,1/(单次交易!$A$2:$A$201=A914),单次交易!$H$2:$H$201),0)+SUMIFS($G$2:$G$1001,$A$2:$A$1001,A914,$B$2:$B$1001,"&lt;"&amp;B914))</f>
        <v/>
      </c>
      <c r="J914" s="16" t="str">
        <f>IF(OR(A914="",B914=""),"",IFERROR(LOOKUP(2,1/(单次交易!$A$2:$A$201=A914),单次交易!$E$2:$E$201)*LOOKUP(2,1/(单次交易!$A$2:$A$201=A914),单次交易!$H$2:$H$201),0)+SUMIFS($H$2:$H$1001,$A$2:$A$1001,A914,$B$2:$B$1001,"&lt;"&amp;B914))</f>
        <v/>
      </c>
      <c r="K914" s="16" t="str">
        <f t="shared" si="127"/>
        <v/>
      </c>
      <c r="L914" s="17" t="str">
        <f t="shared" si="128"/>
        <v/>
      </c>
      <c r="M914" s="17" t="str">
        <f t="shared" si="129"/>
        <v/>
      </c>
      <c r="N914" s="17" t="str">
        <f t="shared" si="130"/>
        <v/>
      </c>
      <c r="O914" s="17" t="str">
        <f t="shared" si="131"/>
        <v/>
      </c>
      <c r="P914" s="16" t="str">
        <f t="shared" si="132"/>
        <v/>
      </c>
      <c r="Q914" s="16" t="str">
        <f t="shared" si="133"/>
        <v/>
      </c>
      <c r="R914" s="18" t="str">
        <f t="shared" si="134"/>
        <v/>
      </c>
    </row>
    <row r="915" spans="1:18">
      <c r="A915" s="12"/>
      <c r="B915" s="13"/>
      <c r="C915" s="14"/>
      <c r="D915" s="15"/>
      <c r="E915" s="15"/>
      <c r="F915" s="15"/>
      <c r="G915" s="13"/>
      <c r="H915" s="16" t="str">
        <f t="shared" si="126"/>
        <v/>
      </c>
      <c r="I915" s="17" t="str">
        <f>IF(OR(A915="",B915=""),"",IFERROR(LOOKUP(2,1/(单次交易!$A$2:$A$201=A915),单次交易!$H$2:$H$201),0)+SUMIFS($G$2:$G$1001,$A$2:$A$1001,A915,$B$2:$B$1001,"&lt;"&amp;B915))</f>
        <v/>
      </c>
      <c r="J915" s="16" t="str">
        <f>IF(OR(A915="",B915=""),"",IFERROR(LOOKUP(2,1/(单次交易!$A$2:$A$201=A915),单次交易!$E$2:$E$201)*LOOKUP(2,1/(单次交易!$A$2:$A$201=A915),单次交易!$H$2:$H$201),0)+SUMIFS($H$2:$H$1001,$A$2:$A$1001,A915,$B$2:$B$1001,"&lt;"&amp;B915))</f>
        <v/>
      </c>
      <c r="K915" s="16" t="str">
        <f t="shared" si="127"/>
        <v/>
      </c>
      <c r="L915" s="17" t="str">
        <f t="shared" si="128"/>
        <v/>
      </c>
      <c r="M915" s="17" t="str">
        <f t="shared" si="129"/>
        <v/>
      </c>
      <c r="N915" s="17" t="str">
        <f t="shared" si="130"/>
        <v/>
      </c>
      <c r="O915" s="17" t="str">
        <f t="shared" si="131"/>
        <v/>
      </c>
      <c r="P915" s="16" t="str">
        <f t="shared" si="132"/>
        <v/>
      </c>
      <c r="Q915" s="16" t="str">
        <f t="shared" si="133"/>
        <v/>
      </c>
      <c r="R915" s="18" t="str">
        <f t="shared" si="134"/>
        <v/>
      </c>
    </row>
    <row r="916" spans="1:18">
      <c r="A916" s="12"/>
      <c r="B916" s="13"/>
      <c r="C916" s="14"/>
      <c r="D916" s="15"/>
      <c r="E916" s="15"/>
      <c r="F916" s="15"/>
      <c r="G916" s="13"/>
      <c r="H916" s="16" t="str">
        <f t="shared" si="126"/>
        <v/>
      </c>
      <c r="I916" s="17" t="str">
        <f>IF(OR(A916="",B916=""),"",IFERROR(LOOKUP(2,1/(单次交易!$A$2:$A$201=A916),单次交易!$H$2:$H$201),0)+SUMIFS($G$2:$G$1001,$A$2:$A$1001,A916,$B$2:$B$1001,"&lt;"&amp;B916))</f>
        <v/>
      </c>
      <c r="J916" s="16" t="str">
        <f>IF(OR(A916="",B916=""),"",IFERROR(LOOKUP(2,1/(单次交易!$A$2:$A$201=A916),单次交易!$E$2:$E$201)*LOOKUP(2,1/(单次交易!$A$2:$A$201=A916),单次交易!$H$2:$H$201),0)+SUMIFS($H$2:$H$1001,$A$2:$A$1001,A916,$B$2:$B$1001,"&lt;"&amp;B916))</f>
        <v/>
      </c>
      <c r="K916" s="16" t="str">
        <f t="shared" si="127"/>
        <v/>
      </c>
      <c r="L916" s="17" t="str">
        <f t="shared" si="128"/>
        <v/>
      </c>
      <c r="M916" s="17" t="str">
        <f t="shared" si="129"/>
        <v/>
      </c>
      <c r="N916" s="17" t="str">
        <f t="shared" si="130"/>
        <v/>
      </c>
      <c r="O916" s="17" t="str">
        <f t="shared" si="131"/>
        <v/>
      </c>
      <c r="P916" s="16" t="str">
        <f t="shared" si="132"/>
        <v/>
      </c>
      <c r="Q916" s="16" t="str">
        <f t="shared" si="133"/>
        <v/>
      </c>
      <c r="R916" s="18" t="str">
        <f t="shared" si="134"/>
        <v/>
      </c>
    </row>
    <row r="917" spans="1:18">
      <c r="A917" s="12"/>
      <c r="B917" s="13"/>
      <c r="C917" s="14"/>
      <c r="D917" s="15"/>
      <c r="E917" s="15"/>
      <c r="F917" s="15"/>
      <c r="G917" s="13"/>
      <c r="H917" s="16" t="str">
        <f t="shared" si="126"/>
        <v/>
      </c>
      <c r="I917" s="17" t="str">
        <f>IF(OR(A917="",B917=""),"",IFERROR(LOOKUP(2,1/(单次交易!$A$2:$A$201=A917),单次交易!$H$2:$H$201),0)+SUMIFS($G$2:$G$1001,$A$2:$A$1001,A917,$B$2:$B$1001,"&lt;"&amp;B917))</f>
        <v/>
      </c>
      <c r="J917" s="16" t="str">
        <f>IF(OR(A917="",B917=""),"",IFERROR(LOOKUP(2,1/(单次交易!$A$2:$A$201=A917),单次交易!$E$2:$E$201)*LOOKUP(2,1/(单次交易!$A$2:$A$201=A917),单次交易!$H$2:$H$201),0)+SUMIFS($H$2:$H$1001,$A$2:$A$1001,A917,$B$2:$B$1001,"&lt;"&amp;B917))</f>
        <v/>
      </c>
      <c r="K917" s="16" t="str">
        <f t="shared" si="127"/>
        <v/>
      </c>
      <c r="L917" s="17" t="str">
        <f t="shared" si="128"/>
        <v/>
      </c>
      <c r="M917" s="17" t="str">
        <f t="shared" si="129"/>
        <v/>
      </c>
      <c r="N917" s="17" t="str">
        <f t="shared" si="130"/>
        <v/>
      </c>
      <c r="O917" s="17" t="str">
        <f t="shared" si="131"/>
        <v/>
      </c>
      <c r="P917" s="16" t="str">
        <f t="shared" si="132"/>
        <v/>
      </c>
      <c r="Q917" s="16" t="str">
        <f t="shared" si="133"/>
        <v/>
      </c>
      <c r="R917" s="18" t="str">
        <f t="shared" si="134"/>
        <v/>
      </c>
    </row>
    <row r="918" spans="1:18">
      <c r="A918" s="12"/>
      <c r="B918" s="13"/>
      <c r="C918" s="14"/>
      <c r="D918" s="15"/>
      <c r="E918" s="15"/>
      <c r="F918" s="15"/>
      <c r="G918" s="13"/>
      <c r="H918" s="16" t="str">
        <f t="shared" si="126"/>
        <v/>
      </c>
      <c r="I918" s="17" t="str">
        <f>IF(OR(A918="",B918=""),"",IFERROR(LOOKUP(2,1/(单次交易!$A$2:$A$201=A918),单次交易!$H$2:$H$201),0)+SUMIFS($G$2:$G$1001,$A$2:$A$1001,A918,$B$2:$B$1001,"&lt;"&amp;B918))</f>
        <v/>
      </c>
      <c r="J918" s="16" t="str">
        <f>IF(OR(A918="",B918=""),"",IFERROR(LOOKUP(2,1/(单次交易!$A$2:$A$201=A918),单次交易!$E$2:$E$201)*LOOKUP(2,1/(单次交易!$A$2:$A$201=A918),单次交易!$H$2:$H$201),0)+SUMIFS($H$2:$H$1001,$A$2:$A$1001,A918,$B$2:$B$1001,"&lt;"&amp;B918))</f>
        <v/>
      </c>
      <c r="K918" s="16" t="str">
        <f t="shared" si="127"/>
        <v/>
      </c>
      <c r="L918" s="17" t="str">
        <f t="shared" si="128"/>
        <v/>
      </c>
      <c r="M918" s="17" t="str">
        <f t="shared" si="129"/>
        <v/>
      </c>
      <c r="N918" s="17" t="str">
        <f t="shared" si="130"/>
        <v/>
      </c>
      <c r="O918" s="17" t="str">
        <f t="shared" si="131"/>
        <v/>
      </c>
      <c r="P918" s="16" t="str">
        <f t="shared" si="132"/>
        <v/>
      </c>
      <c r="Q918" s="16" t="str">
        <f t="shared" si="133"/>
        <v/>
      </c>
      <c r="R918" s="18" t="str">
        <f t="shared" si="134"/>
        <v/>
      </c>
    </row>
    <row r="919" spans="1:18">
      <c r="A919" s="12"/>
      <c r="B919" s="13"/>
      <c r="C919" s="14"/>
      <c r="D919" s="15"/>
      <c r="E919" s="15"/>
      <c r="F919" s="15"/>
      <c r="G919" s="13"/>
      <c r="H919" s="16" t="str">
        <f t="shared" si="126"/>
        <v/>
      </c>
      <c r="I919" s="17" t="str">
        <f>IF(OR(A919="",B919=""),"",IFERROR(LOOKUP(2,1/(单次交易!$A$2:$A$201=A919),单次交易!$H$2:$H$201),0)+SUMIFS($G$2:$G$1001,$A$2:$A$1001,A919,$B$2:$B$1001,"&lt;"&amp;B919))</f>
        <v/>
      </c>
      <c r="J919" s="16" t="str">
        <f>IF(OR(A919="",B919=""),"",IFERROR(LOOKUP(2,1/(单次交易!$A$2:$A$201=A919),单次交易!$E$2:$E$201)*LOOKUP(2,1/(单次交易!$A$2:$A$201=A919),单次交易!$H$2:$H$201),0)+SUMIFS($H$2:$H$1001,$A$2:$A$1001,A919,$B$2:$B$1001,"&lt;"&amp;B919))</f>
        <v/>
      </c>
      <c r="K919" s="16" t="str">
        <f t="shared" si="127"/>
        <v/>
      </c>
      <c r="L919" s="17" t="str">
        <f t="shared" si="128"/>
        <v/>
      </c>
      <c r="M919" s="17" t="str">
        <f t="shared" si="129"/>
        <v/>
      </c>
      <c r="N919" s="17" t="str">
        <f t="shared" si="130"/>
        <v/>
      </c>
      <c r="O919" s="17" t="str">
        <f t="shared" si="131"/>
        <v/>
      </c>
      <c r="P919" s="16" t="str">
        <f t="shared" si="132"/>
        <v/>
      </c>
      <c r="Q919" s="16" t="str">
        <f t="shared" si="133"/>
        <v/>
      </c>
      <c r="R919" s="18" t="str">
        <f t="shared" si="134"/>
        <v/>
      </c>
    </row>
    <row r="920" spans="1:18">
      <c r="A920" s="12"/>
      <c r="B920" s="13"/>
      <c r="C920" s="14"/>
      <c r="D920" s="15"/>
      <c r="E920" s="15"/>
      <c r="F920" s="15"/>
      <c r="G920" s="13"/>
      <c r="H920" s="16" t="str">
        <f t="shared" si="126"/>
        <v/>
      </c>
      <c r="I920" s="17" t="str">
        <f>IF(OR(A920="",B920=""),"",IFERROR(LOOKUP(2,1/(单次交易!$A$2:$A$201=A920),单次交易!$H$2:$H$201),0)+SUMIFS($G$2:$G$1001,$A$2:$A$1001,A920,$B$2:$B$1001,"&lt;"&amp;B920))</f>
        <v/>
      </c>
      <c r="J920" s="16" t="str">
        <f>IF(OR(A920="",B920=""),"",IFERROR(LOOKUP(2,1/(单次交易!$A$2:$A$201=A920),单次交易!$E$2:$E$201)*LOOKUP(2,1/(单次交易!$A$2:$A$201=A920),单次交易!$H$2:$H$201),0)+SUMIFS($H$2:$H$1001,$A$2:$A$1001,A920,$B$2:$B$1001,"&lt;"&amp;B920))</f>
        <v/>
      </c>
      <c r="K920" s="16" t="str">
        <f t="shared" si="127"/>
        <v/>
      </c>
      <c r="L920" s="17" t="str">
        <f t="shared" si="128"/>
        <v/>
      </c>
      <c r="M920" s="17" t="str">
        <f t="shared" si="129"/>
        <v/>
      </c>
      <c r="N920" s="17" t="str">
        <f t="shared" si="130"/>
        <v/>
      </c>
      <c r="O920" s="17" t="str">
        <f t="shared" si="131"/>
        <v/>
      </c>
      <c r="P920" s="16" t="str">
        <f t="shared" si="132"/>
        <v/>
      </c>
      <c r="Q920" s="16" t="str">
        <f t="shared" si="133"/>
        <v/>
      </c>
      <c r="R920" s="18" t="str">
        <f t="shared" si="134"/>
        <v/>
      </c>
    </row>
    <row r="921" spans="1:18">
      <c r="A921" s="12"/>
      <c r="B921" s="13"/>
      <c r="C921" s="14"/>
      <c r="D921" s="15"/>
      <c r="E921" s="15"/>
      <c r="F921" s="15"/>
      <c r="G921" s="13"/>
      <c r="H921" s="16" t="str">
        <f t="shared" si="126"/>
        <v/>
      </c>
      <c r="I921" s="17" t="str">
        <f>IF(OR(A921="",B921=""),"",IFERROR(LOOKUP(2,1/(单次交易!$A$2:$A$201=A921),单次交易!$H$2:$H$201),0)+SUMIFS($G$2:$G$1001,$A$2:$A$1001,A921,$B$2:$B$1001,"&lt;"&amp;B921))</f>
        <v/>
      </c>
      <c r="J921" s="16" t="str">
        <f>IF(OR(A921="",B921=""),"",IFERROR(LOOKUP(2,1/(单次交易!$A$2:$A$201=A921),单次交易!$E$2:$E$201)*LOOKUP(2,1/(单次交易!$A$2:$A$201=A921),单次交易!$H$2:$H$201),0)+SUMIFS($H$2:$H$1001,$A$2:$A$1001,A921,$B$2:$B$1001,"&lt;"&amp;B921))</f>
        <v/>
      </c>
      <c r="K921" s="16" t="str">
        <f t="shared" si="127"/>
        <v/>
      </c>
      <c r="L921" s="17" t="str">
        <f t="shared" si="128"/>
        <v/>
      </c>
      <c r="M921" s="17" t="str">
        <f t="shared" si="129"/>
        <v/>
      </c>
      <c r="N921" s="17" t="str">
        <f t="shared" si="130"/>
        <v/>
      </c>
      <c r="O921" s="17" t="str">
        <f t="shared" si="131"/>
        <v/>
      </c>
      <c r="P921" s="16" t="str">
        <f t="shared" si="132"/>
        <v/>
      </c>
      <c r="Q921" s="16" t="str">
        <f t="shared" si="133"/>
        <v/>
      </c>
      <c r="R921" s="18" t="str">
        <f t="shared" si="134"/>
        <v/>
      </c>
    </row>
    <row r="922" spans="1:18">
      <c r="A922" s="12"/>
      <c r="B922" s="13"/>
      <c r="C922" s="14"/>
      <c r="D922" s="15"/>
      <c r="E922" s="15"/>
      <c r="F922" s="15"/>
      <c r="G922" s="13"/>
      <c r="H922" s="16" t="str">
        <f t="shared" si="126"/>
        <v/>
      </c>
      <c r="I922" s="17" t="str">
        <f>IF(OR(A922="",B922=""),"",IFERROR(LOOKUP(2,1/(单次交易!$A$2:$A$201=A922),单次交易!$H$2:$H$201),0)+SUMIFS($G$2:$G$1001,$A$2:$A$1001,A922,$B$2:$B$1001,"&lt;"&amp;B922))</f>
        <v/>
      </c>
      <c r="J922" s="16" t="str">
        <f>IF(OR(A922="",B922=""),"",IFERROR(LOOKUP(2,1/(单次交易!$A$2:$A$201=A922),单次交易!$E$2:$E$201)*LOOKUP(2,1/(单次交易!$A$2:$A$201=A922),单次交易!$H$2:$H$201),0)+SUMIFS($H$2:$H$1001,$A$2:$A$1001,A922,$B$2:$B$1001,"&lt;"&amp;B922))</f>
        <v/>
      </c>
      <c r="K922" s="16" t="str">
        <f t="shared" si="127"/>
        <v/>
      </c>
      <c r="L922" s="17" t="str">
        <f t="shared" si="128"/>
        <v/>
      </c>
      <c r="M922" s="17" t="str">
        <f t="shared" si="129"/>
        <v/>
      </c>
      <c r="N922" s="17" t="str">
        <f t="shared" si="130"/>
        <v/>
      </c>
      <c r="O922" s="17" t="str">
        <f t="shared" si="131"/>
        <v/>
      </c>
      <c r="P922" s="16" t="str">
        <f t="shared" si="132"/>
        <v/>
      </c>
      <c r="Q922" s="16" t="str">
        <f t="shared" si="133"/>
        <v/>
      </c>
      <c r="R922" s="18" t="str">
        <f t="shared" si="134"/>
        <v/>
      </c>
    </row>
    <row r="923" spans="1:18">
      <c r="A923" s="12"/>
      <c r="B923" s="13"/>
      <c r="C923" s="14"/>
      <c r="D923" s="15"/>
      <c r="E923" s="15"/>
      <c r="F923" s="15"/>
      <c r="G923" s="13"/>
      <c r="H923" s="16" t="str">
        <f t="shared" si="126"/>
        <v/>
      </c>
      <c r="I923" s="17" t="str">
        <f>IF(OR(A923="",B923=""),"",IFERROR(LOOKUP(2,1/(单次交易!$A$2:$A$201=A923),单次交易!$H$2:$H$201),0)+SUMIFS($G$2:$G$1001,$A$2:$A$1001,A923,$B$2:$B$1001,"&lt;"&amp;B923))</f>
        <v/>
      </c>
      <c r="J923" s="16" t="str">
        <f>IF(OR(A923="",B923=""),"",IFERROR(LOOKUP(2,1/(单次交易!$A$2:$A$201=A923),单次交易!$E$2:$E$201)*LOOKUP(2,1/(单次交易!$A$2:$A$201=A923),单次交易!$H$2:$H$201),0)+SUMIFS($H$2:$H$1001,$A$2:$A$1001,A923,$B$2:$B$1001,"&lt;"&amp;B923))</f>
        <v/>
      </c>
      <c r="K923" s="16" t="str">
        <f t="shared" si="127"/>
        <v/>
      </c>
      <c r="L923" s="17" t="str">
        <f t="shared" si="128"/>
        <v/>
      </c>
      <c r="M923" s="17" t="str">
        <f t="shared" si="129"/>
        <v/>
      </c>
      <c r="N923" s="17" t="str">
        <f t="shared" si="130"/>
        <v/>
      </c>
      <c r="O923" s="17" t="str">
        <f t="shared" si="131"/>
        <v/>
      </c>
      <c r="P923" s="16" t="str">
        <f t="shared" si="132"/>
        <v/>
      </c>
      <c r="Q923" s="16" t="str">
        <f t="shared" si="133"/>
        <v/>
      </c>
      <c r="R923" s="18" t="str">
        <f t="shared" si="134"/>
        <v/>
      </c>
    </row>
    <row r="924" spans="1:18">
      <c r="A924" s="12"/>
      <c r="B924" s="13"/>
      <c r="C924" s="14"/>
      <c r="D924" s="15"/>
      <c r="E924" s="15"/>
      <c r="F924" s="15"/>
      <c r="G924" s="13"/>
      <c r="H924" s="16" t="str">
        <f t="shared" si="126"/>
        <v/>
      </c>
      <c r="I924" s="17" t="str">
        <f>IF(OR(A924="",B924=""),"",IFERROR(LOOKUP(2,1/(单次交易!$A$2:$A$201=A924),单次交易!$H$2:$H$201),0)+SUMIFS($G$2:$G$1001,$A$2:$A$1001,A924,$B$2:$B$1001,"&lt;"&amp;B924))</f>
        <v/>
      </c>
      <c r="J924" s="16" t="str">
        <f>IF(OR(A924="",B924=""),"",IFERROR(LOOKUP(2,1/(单次交易!$A$2:$A$201=A924),单次交易!$E$2:$E$201)*LOOKUP(2,1/(单次交易!$A$2:$A$201=A924),单次交易!$H$2:$H$201),0)+SUMIFS($H$2:$H$1001,$A$2:$A$1001,A924,$B$2:$B$1001,"&lt;"&amp;B924))</f>
        <v/>
      </c>
      <c r="K924" s="16" t="str">
        <f t="shared" si="127"/>
        <v/>
      </c>
      <c r="L924" s="17" t="str">
        <f t="shared" si="128"/>
        <v/>
      </c>
      <c r="M924" s="17" t="str">
        <f t="shared" si="129"/>
        <v/>
      </c>
      <c r="N924" s="17" t="str">
        <f t="shared" si="130"/>
        <v/>
      </c>
      <c r="O924" s="17" t="str">
        <f t="shared" si="131"/>
        <v/>
      </c>
      <c r="P924" s="16" t="str">
        <f t="shared" si="132"/>
        <v/>
      </c>
      <c r="Q924" s="16" t="str">
        <f t="shared" si="133"/>
        <v/>
      </c>
      <c r="R924" s="18" t="str">
        <f t="shared" si="134"/>
        <v/>
      </c>
    </row>
    <row r="925" spans="1:18">
      <c r="A925" s="12"/>
      <c r="B925" s="13"/>
      <c r="C925" s="14"/>
      <c r="D925" s="15"/>
      <c r="E925" s="15"/>
      <c r="F925" s="15"/>
      <c r="G925" s="13"/>
      <c r="H925" s="16" t="str">
        <f t="shared" si="126"/>
        <v/>
      </c>
      <c r="I925" s="17" t="str">
        <f>IF(OR(A925="",B925=""),"",IFERROR(LOOKUP(2,1/(单次交易!$A$2:$A$201=A925),单次交易!$H$2:$H$201),0)+SUMIFS($G$2:$G$1001,$A$2:$A$1001,A925,$B$2:$B$1001,"&lt;"&amp;B925))</f>
        <v/>
      </c>
      <c r="J925" s="16" t="str">
        <f>IF(OR(A925="",B925=""),"",IFERROR(LOOKUP(2,1/(单次交易!$A$2:$A$201=A925),单次交易!$E$2:$E$201)*LOOKUP(2,1/(单次交易!$A$2:$A$201=A925),单次交易!$H$2:$H$201),0)+SUMIFS($H$2:$H$1001,$A$2:$A$1001,A925,$B$2:$B$1001,"&lt;"&amp;B925))</f>
        <v/>
      </c>
      <c r="K925" s="16" t="str">
        <f t="shared" si="127"/>
        <v/>
      </c>
      <c r="L925" s="17" t="str">
        <f t="shared" si="128"/>
        <v/>
      </c>
      <c r="M925" s="17" t="str">
        <f t="shared" si="129"/>
        <v/>
      </c>
      <c r="N925" s="17" t="str">
        <f t="shared" si="130"/>
        <v/>
      </c>
      <c r="O925" s="17" t="str">
        <f t="shared" si="131"/>
        <v/>
      </c>
      <c r="P925" s="16" t="str">
        <f t="shared" si="132"/>
        <v/>
      </c>
      <c r="Q925" s="16" t="str">
        <f t="shared" si="133"/>
        <v/>
      </c>
      <c r="R925" s="18" t="str">
        <f t="shared" si="134"/>
        <v/>
      </c>
    </row>
    <row r="926" spans="1:18">
      <c r="A926" s="12"/>
      <c r="B926" s="13"/>
      <c r="C926" s="14"/>
      <c r="D926" s="15"/>
      <c r="E926" s="15"/>
      <c r="F926" s="15"/>
      <c r="G926" s="13"/>
      <c r="H926" s="16" t="str">
        <f t="shared" si="126"/>
        <v/>
      </c>
      <c r="I926" s="17" t="str">
        <f>IF(OR(A926="",B926=""),"",IFERROR(LOOKUP(2,1/(单次交易!$A$2:$A$201=A926),单次交易!$H$2:$H$201),0)+SUMIFS($G$2:$G$1001,$A$2:$A$1001,A926,$B$2:$B$1001,"&lt;"&amp;B926))</f>
        <v/>
      </c>
      <c r="J926" s="16" t="str">
        <f>IF(OR(A926="",B926=""),"",IFERROR(LOOKUP(2,1/(单次交易!$A$2:$A$201=A926),单次交易!$E$2:$E$201)*LOOKUP(2,1/(单次交易!$A$2:$A$201=A926),单次交易!$H$2:$H$201),0)+SUMIFS($H$2:$H$1001,$A$2:$A$1001,A926,$B$2:$B$1001,"&lt;"&amp;B926))</f>
        <v/>
      </c>
      <c r="K926" s="16" t="str">
        <f t="shared" si="127"/>
        <v/>
      </c>
      <c r="L926" s="17" t="str">
        <f t="shared" si="128"/>
        <v/>
      </c>
      <c r="M926" s="17" t="str">
        <f t="shared" si="129"/>
        <v/>
      </c>
      <c r="N926" s="17" t="str">
        <f t="shared" si="130"/>
        <v/>
      </c>
      <c r="O926" s="17" t="str">
        <f t="shared" si="131"/>
        <v/>
      </c>
      <c r="P926" s="16" t="str">
        <f t="shared" si="132"/>
        <v/>
      </c>
      <c r="Q926" s="16" t="str">
        <f t="shared" si="133"/>
        <v/>
      </c>
      <c r="R926" s="18" t="str">
        <f t="shared" si="134"/>
        <v/>
      </c>
    </row>
    <row r="927" spans="1:18">
      <c r="A927" s="12"/>
      <c r="B927" s="13"/>
      <c r="C927" s="14"/>
      <c r="D927" s="15"/>
      <c r="E927" s="15"/>
      <c r="F927" s="15"/>
      <c r="G927" s="13"/>
      <c r="H927" s="16" t="str">
        <f t="shared" si="126"/>
        <v/>
      </c>
      <c r="I927" s="17" t="str">
        <f>IF(OR(A927="",B927=""),"",IFERROR(LOOKUP(2,1/(单次交易!$A$2:$A$201=A927),单次交易!$H$2:$H$201),0)+SUMIFS($G$2:$G$1001,$A$2:$A$1001,A927,$B$2:$B$1001,"&lt;"&amp;B927))</f>
        <v/>
      </c>
      <c r="J927" s="16" t="str">
        <f>IF(OR(A927="",B927=""),"",IFERROR(LOOKUP(2,1/(单次交易!$A$2:$A$201=A927),单次交易!$E$2:$E$201)*LOOKUP(2,1/(单次交易!$A$2:$A$201=A927),单次交易!$H$2:$H$201),0)+SUMIFS($H$2:$H$1001,$A$2:$A$1001,A927,$B$2:$B$1001,"&lt;"&amp;B927))</f>
        <v/>
      </c>
      <c r="K927" s="16" t="str">
        <f t="shared" si="127"/>
        <v/>
      </c>
      <c r="L927" s="17" t="str">
        <f t="shared" si="128"/>
        <v/>
      </c>
      <c r="M927" s="17" t="str">
        <f t="shared" si="129"/>
        <v/>
      </c>
      <c r="N927" s="17" t="str">
        <f t="shared" si="130"/>
        <v/>
      </c>
      <c r="O927" s="17" t="str">
        <f t="shared" si="131"/>
        <v/>
      </c>
      <c r="P927" s="16" t="str">
        <f t="shared" si="132"/>
        <v/>
      </c>
      <c r="Q927" s="16" t="str">
        <f t="shared" si="133"/>
        <v/>
      </c>
      <c r="R927" s="18" t="str">
        <f t="shared" si="134"/>
        <v/>
      </c>
    </row>
    <row r="928" spans="1:18">
      <c r="A928" s="12"/>
      <c r="B928" s="13"/>
      <c r="C928" s="14"/>
      <c r="D928" s="15"/>
      <c r="E928" s="15"/>
      <c r="F928" s="15"/>
      <c r="G928" s="13"/>
      <c r="H928" s="16" t="str">
        <f t="shared" si="126"/>
        <v/>
      </c>
      <c r="I928" s="17" t="str">
        <f>IF(OR(A928="",B928=""),"",IFERROR(LOOKUP(2,1/(单次交易!$A$2:$A$201=A928),单次交易!$H$2:$H$201),0)+SUMIFS($G$2:$G$1001,$A$2:$A$1001,A928,$B$2:$B$1001,"&lt;"&amp;B928))</f>
        <v/>
      </c>
      <c r="J928" s="16" t="str">
        <f>IF(OR(A928="",B928=""),"",IFERROR(LOOKUP(2,1/(单次交易!$A$2:$A$201=A928),单次交易!$E$2:$E$201)*LOOKUP(2,1/(单次交易!$A$2:$A$201=A928),单次交易!$H$2:$H$201),0)+SUMIFS($H$2:$H$1001,$A$2:$A$1001,A928,$B$2:$B$1001,"&lt;"&amp;B928))</f>
        <v/>
      </c>
      <c r="K928" s="16" t="str">
        <f t="shared" si="127"/>
        <v/>
      </c>
      <c r="L928" s="17" t="str">
        <f t="shared" si="128"/>
        <v/>
      </c>
      <c r="M928" s="17" t="str">
        <f t="shared" si="129"/>
        <v/>
      </c>
      <c r="N928" s="17" t="str">
        <f t="shared" si="130"/>
        <v/>
      </c>
      <c r="O928" s="17" t="str">
        <f t="shared" si="131"/>
        <v/>
      </c>
      <c r="P928" s="16" t="str">
        <f t="shared" si="132"/>
        <v/>
      </c>
      <c r="Q928" s="16" t="str">
        <f t="shared" si="133"/>
        <v/>
      </c>
      <c r="R928" s="18" t="str">
        <f t="shared" si="134"/>
        <v/>
      </c>
    </row>
    <row r="929" spans="1:18">
      <c r="A929" s="12"/>
      <c r="B929" s="13"/>
      <c r="C929" s="14"/>
      <c r="D929" s="15"/>
      <c r="E929" s="15"/>
      <c r="F929" s="15"/>
      <c r="G929" s="13"/>
      <c r="H929" s="16" t="str">
        <f t="shared" si="126"/>
        <v/>
      </c>
      <c r="I929" s="17" t="str">
        <f>IF(OR(A929="",B929=""),"",IFERROR(LOOKUP(2,1/(单次交易!$A$2:$A$201=A929),单次交易!$H$2:$H$201),0)+SUMIFS($G$2:$G$1001,$A$2:$A$1001,A929,$B$2:$B$1001,"&lt;"&amp;B929))</f>
        <v/>
      </c>
      <c r="J929" s="16" t="str">
        <f>IF(OR(A929="",B929=""),"",IFERROR(LOOKUP(2,1/(单次交易!$A$2:$A$201=A929),单次交易!$E$2:$E$201)*LOOKUP(2,1/(单次交易!$A$2:$A$201=A929),单次交易!$H$2:$H$201),0)+SUMIFS($H$2:$H$1001,$A$2:$A$1001,A929,$B$2:$B$1001,"&lt;"&amp;B929))</f>
        <v/>
      </c>
      <c r="K929" s="16" t="str">
        <f t="shared" si="127"/>
        <v/>
      </c>
      <c r="L929" s="17" t="str">
        <f t="shared" si="128"/>
        <v/>
      </c>
      <c r="M929" s="17" t="str">
        <f t="shared" si="129"/>
        <v/>
      </c>
      <c r="N929" s="17" t="str">
        <f t="shared" si="130"/>
        <v/>
      </c>
      <c r="O929" s="17" t="str">
        <f t="shared" si="131"/>
        <v/>
      </c>
      <c r="P929" s="16" t="str">
        <f t="shared" si="132"/>
        <v/>
      </c>
      <c r="Q929" s="16" t="str">
        <f t="shared" si="133"/>
        <v/>
      </c>
      <c r="R929" s="18" t="str">
        <f t="shared" si="134"/>
        <v/>
      </c>
    </row>
    <row r="930" spans="1:18">
      <c r="A930" s="12"/>
      <c r="B930" s="13"/>
      <c r="C930" s="14"/>
      <c r="D930" s="15"/>
      <c r="E930" s="15"/>
      <c r="F930" s="15"/>
      <c r="G930" s="13"/>
      <c r="H930" s="16" t="str">
        <f t="shared" si="126"/>
        <v/>
      </c>
      <c r="I930" s="17" t="str">
        <f>IF(OR(A930="",B930=""),"",IFERROR(LOOKUP(2,1/(单次交易!$A$2:$A$201=A930),单次交易!$H$2:$H$201),0)+SUMIFS($G$2:$G$1001,$A$2:$A$1001,A930,$B$2:$B$1001,"&lt;"&amp;B930))</f>
        <v/>
      </c>
      <c r="J930" s="16" t="str">
        <f>IF(OR(A930="",B930=""),"",IFERROR(LOOKUP(2,1/(单次交易!$A$2:$A$201=A930),单次交易!$E$2:$E$201)*LOOKUP(2,1/(单次交易!$A$2:$A$201=A930),单次交易!$H$2:$H$201),0)+SUMIFS($H$2:$H$1001,$A$2:$A$1001,A930,$B$2:$B$1001,"&lt;"&amp;B930))</f>
        <v/>
      </c>
      <c r="K930" s="16" t="str">
        <f t="shared" si="127"/>
        <v/>
      </c>
      <c r="L930" s="17" t="str">
        <f t="shared" si="128"/>
        <v/>
      </c>
      <c r="M930" s="17" t="str">
        <f t="shared" si="129"/>
        <v/>
      </c>
      <c r="N930" s="17" t="str">
        <f t="shared" si="130"/>
        <v/>
      </c>
      <c r="O930" s="17" t="str">
        <f t="shared" si="131"/>
        <v/>
      </c>
      <c r="P930" s="16" t="str">
        <f t="shared" si="132"/>
        <v/>
      </c>
      <c r="Q930" s="16" t="str">
        <f t="shared" si="133"/>
        <v/>
      </c>
      <c r="R930" s="18" t="str">
        <f t="shared" si="134"/>
        <v/>
      </c>
    </row>
    <row r="931" spans="1:18">
      <c r="A931" s="12"/>
      <c r="B931" s="13"/>
      <c r="C931" s="14"/>
      <c r="D931" s="15"/>
      <c r="E931" s="15"/>
      <c r="F931" s="15"/>
      <c r="G931" s="13"/>
      <c r="H931" s="16" t="str">
        <f t="shared" si="126"/>
        <v/>
      </c>
      <c r="I931" s="17" t="str">
        <f>IF(OR(A931="",B931=""),"",IFERROR(LOOKUP(2,1/(单次交易!$A$2:$A$201=A931),单次交易!$H$2:$H$201),0)+SUMIFS($G$2:$G$1001,$A$2:$A$1001,A931,$B$2:$B$1001,"&lt;"&amp;B931))</f>
        <v/>
      </c>
      <c r="J931" s="16" t="str">
        <f>IF(OR(A931="",B931=""),"",IFERROR(LOOKUP(2,1/(单次交易!$A$2:$A$201=A931),单次交易!$E$2:$E$201)*LOOKUP(2,1/(单次交易!$A$2:$A$201=A931),单次交易!$H$2:$H$201),0)+SUMIFS($H$2:$H$1001,$A$2:$A$1001,A931,$B$2:$B$1001,"&lt;"&amp;B931))</f>
        <v/>
      </c>
      <c r="K931" s="16" t="str">
        <f t="shared" si="127"/>
        <v/>
      </c>
      <c r="L931" s="17" t="str">
        <f t="shared" si="128"/>
        <v/>
      </c>
      <c r="M931" s="17" t="str">
        <f t="shared" si="129"/>
        <v/>
      </c>
      <c r="N931" s="17" t="str">
        <f t="shared" si="130"/>
        <v/>
      </c>
      <c r="O931" s="17" t="str">
        <f t="shared" si="131"/>
        <v/>
      </c>
      <c r="P931" s="16" t="str">
        <f t="shared" si="132"/>
        <v/>
      </c>
      <c r="Q931" s="16" t="str">
        <f t="shared" si="133"/>
        <v/>
      </c>
      <c r="R931" s="18" t="str">
        <f t="shared" si="134"/>
        <v/>
      </c>
    </row>
    <row r="932" spans="1:18">
      <c r="A932" s="12"/>
      <c r="B932" s="13"/>
      <c r="C932" s="14"/>
      <c r="D932" s="15"/>
      <c r="E932" s="15"/>
      <c r="F932" s="15"/>
      <c r="G932" s="13"/>
      <c r="H932" s="16" t="str">
        <f t="shared" si="126"/>
        <v/>
      </c>
      <c r="I932" s="17" t="str">
        <f>IF(OR(A932="",B932=""),"",IFERROR(LOOKUP(2,1/(单次交易!$A$2:$A$201=A932),单次交易!$H$2:$H$201),0)+SUMIFS($G$2:$G$1001,$A$2:$A$1001,A932,$B$2:$B$1001,"&lt;"&amp;B932))</f>
        <v/>
      </c>
      <c r="J932" s="16" t="str">
        <f>IF(OR(A932="",B932=""),"",IFERROR(LOOKUP(2,1/(单次交易!$A$2:$A$201=A932),单次交易!$E$2:$E$201)*LOOKUP(2,1/(单次交易!$A$2:$A$201=A932),单次交易!$H$2:$H$201),0)+SUMIFS($H$2:$H$1001,$A$2:$A$1001,A932,$B$2:$B$1001,"&lt;"&amp;B932))</f>
        <v/>
      </c>
      <c r="K932" s="16" t="str">
        <f t="shared" si="127"/>
        <v/>
      </c>
      <c r="L932" s="17" t="str">
        <f t="shared" si="128"/>
        <v/>
      </c>
      <c r="M932" s="17" t="str">
        <f t="shared" si="129"/>
        <v/>
      </c>
      <c r="N932" s="17" t="str">
        <f t="shared" si="130"/>
        <v/>
      </c>
      <c r="O932" s="17" t="str">
        <f t="shared" si="131"/>
        <v/>
      </c>
      <c r="P932" s="16" t="str">
        <f t="shared" si="132"/>
        <v/>
      </c>
      <c r="Q932" s="16" t="str">
        <f t="shared" si="133"/>
        <v/>
      </c>
      <c r="R932" s="18" t="str">
        <f t="shared" si="134"/>
        <v/>
      </c>
    </row>
    <row r="933" spans="1:18">
      <c r="A933" s="12"/>
      <c r="B933" s="13"/>
      <c r="C933" s="14"/>
      <c r="D933" s="15"/>
      <c r="E933" s="15"/>
      <c r="F933" s="15"/>
      <c r="G933" s="13"/>
      <c r="H933" s="16" t="str">
        <f t="shared" si="126"/>
        <v/>
      </c>
      <c r="I933" s="17" t="str">
        <f>IF(OR(A933="",B933=""),"",IFERROR(LOOKUP(2,1/(单次交易!$A$2:$A$201=A933),单次交易!$H$2:$H$201),0)+SUMIFS($G$2:$G$1001,$A$2:$A$1001,A933,$B$2:$B$1001,"&lt;"&amp;B933))</f>
        <v/>
      </c>
      <c r="J933" s="16" t="str">
        <f>IF(OR(A933="",B933=""),"",IFERROR(LOOKUP(2,1/(单次交易!$A$2:$A$201=A933),单次交易!$E$2:$E$201)*LOOKUP(2,1/(单次交易!$A$2:$A$201=A933),单次交易!$H$2:$H$201),0)+SUMIFS($H$2:$H$1001,$A$2:$A$1001,A933,$B$2:$B$1001,"&lt;"&amp;B933))</f>
        <v/>
      </c>
      <c r="K933" s="16" t="str">
        <f t="shared" si="127"/>
        <v/>
      </c>
      <c r="L933" s="17" t="str">
        <f t="shared" si="128"/>
        <v/>
      </c>
      <c r="M933" s="17" t="str">
        <f t="shared" si="129"/>
        <v/>
      </c>
      <c r="N933" s="17" t="str">
        <f t="shared" si="130"/>
        <v/>
      </c>
      <c r="O933" s="17" t="str">
        <f t="shared" si="131"/>
        <v/>
      </c>
      <c r="P933" s="16" t="str">
        <f t="shared" si="132"/>
        <v/>
      </c>
      <c r="Q933" s="16" t="str">
        <f t="shared" si="133"/>
        <v/>
      </c>
      <c r="R933" s="18" t="str">
        <f t="shared" si="134"/>
        <v/>
      </c>
    </row>
    <row r="934" spans="1:18">
      <c r="A934" s="12"/>
      <c r="B934" s="13"/>
      <c r="C934" s="14"/>
      <c r="D934" s="15"/>
      <c r="E934" s="15"/>
      <c r="F934" s="15"/>
      <c r="G934" s="13"/>
      <c r="H934" s="16" t="str">
        <f t="shared" si="126"/>
        <v/>
      </c>
      <c r="I934" s="17" t="str">
        <f>IF(OR(A934="",B934=""),"",IFERROR(LOOKUP(2,1/(单次交易!$A$2:$A$201=A934),单次交易!$H$2:$H$201),0)+SUMIFS($G$2:$G$1001,$A$2:$A$1001,A934,$B$2:$B$1001,"&lt;"&amp;B934))</f>
        <v/>
      </c>
      <c r="J934" s="16" t="str">
        <f>IF(OR(A934="",B934=""),"",IFERROR(LOOKUP(2,1/(单次交易!$A$2:$A$201=A934),单次交易!$E$2:$E$201)*LOOKUP(2,1/(单次交易!$A$2:$A$201=A934),单次交易!$H$2:$H$201),0)+SUMIFS($H$2:$H$1001,$A$2:$A$1001,A934,$B$2:$B$1001,"&lt;"&amp;B934))</f>
        <v/>
      </c>
      <c r="K934" s="16" t="str">
        <f t="shared" si="127"/>
        <v/>
      </c>
      <c r="L934" s="17" t="str">
        <f t="shared" si="128"/>
        <v/>
      </c>
      <c r="M934" s="17" t="str">
        <f t="shared" si="129"/>
        <v/>
      </c>
      <c r="N934" s="17" t="str">
        <f t="shared" si="130"/>
        <v/>
      </c>
      <c r="O934" s="17" t="str">
        <f t="shared" si="131"/>
        <v/>
      </c>
      <c r="P934" s="16" t="str">
        <f t="shared" si="132"/>
        <v/>
      </c>
      <c r="Q934" s="16" t="str">
        <f t="shared" si="133"/>
        <v/>
      </c>
      <c r="R934" s="18" t="str">
        <f t="shared" si="134"/>
        <v/>
      </c>
    </row>
    <row r="935" spans="1:18">
      <c r="A935" s="12"/>
      <c r="B935" s="13"/>
      <c r="C935" s="14"/>
      <c r="D935" s="15"/>
      <c r="E935" s="15"/>
      <c r="F935" s="15"/>
      <c r="G935" s="13"/>
      <c r="H935" s="16" t="str">
        <f t="shared" si="126"/>
        <v/>
      </c>
      <c r="I935" s="17" t="str">
        <f>IF(OR(A935="",B935=""),"",IFERROR(LOOKUP(2,1/(单次交易!$A$2:$A$201=A935),单次交易!$H$2:$H$201),0)+SUMIFS($G$2:$G$1001,$A$2:$A$1001,A935,$B$2:$B$1001,"&lt;"&amp;B935))</f>
        <v/>
      </c>
      <c r="J935" s="16" t="str">
        <f>IF(OR(A935="",B935=""),"",IFERROR(LOOKUP(2,1/(单次交易!$A$2:$A$201=A935),单次交易!$E$2:$E$201)*LOOKUP(2,1/(单次交易!$A$2:$A$201=A935),单次交易!$H$2:$H$201),0)+SUMIFS($H$2:$H$1001,$A$2:$A$1001,A935,$B$2:$B$1001,"&lt;"&amp;B935))</f>
        <v/>
      </c>
      <c r="K935" s="16" t="str">
        <f t="shared" si="127"/>
        <v/>
      </c>
      <c r="L935" s="17" t="str">
        <f t="shared" si="128"/>
        <v/>
      </c>
      <c r="M935" s="17" t="str">
        <f t="shared" si="129"/>
        <v/>
      </c>
      <c r="N935" s="17" t="str">
        <f t="shared" si="130"/>
        <v/>
      </c>
      <c r="O935" s="17" t="str">
        <f t="shared" si="131"/>
        <v/>
      </c>
      <c r="P935" s="16" t="str">
        <f t="shared" si="132"/>
        <v/>
      </c>
      <c r="Q935" s="16" t="str">
        <f t="shared" si="133"/>
        <v/>
      </c>
      <c r="R935" s="18" t="str">
        <f t="shared" si="134"/>
        <v/>
      </c>
    </row>
    <row r="936" spans="1:18">
      <c r="A936" s="12"/>
      <c r="B936" s="13"/>
      <c r="C936" s="14"/>
      <c r="D936" s="15"/>
      <c r="E936" s="15"/>
      <c r="F936" s="15"/>
      <c r="G936" s="13"/>
      <c r="H936" s="16" t="str">
        <f t="shared" si="126"/>
        <v/>
      </c>
      <c r="I936" s="17" t="str">
        <f>IF(OR(A936="",B936=""),"",IFERROR(LOOKUP(2,1/(单次交易!$A$2:$A$201=A936),单次交易!$H$2:$H$201),0)+SUMIFS($G$2:$G$1001,$A$2:$A$1001,A936,$B$2:$B$1001,"&lt;"&amp;B936))</f>
        <v/>
      </c>
      <c r="J936" s="16" t="str">
        <f>IF(OR(A936="",B936=""),"",IFERROR(LOOKUP(2,1/(单次交易!$A$2:$A$201=A936),单次交易!$E$2:$E$201)*LOOKUP(2,1/(单次交易!$A$2:$A$201=A936),单次交易!$H$2:$H$201),0)+SUMIFS($H$2:$H$1001,$A$2:$A$1001,A936,$B$2:$B$1001,"&lt;"&amp;B936))</f>
        <v/>
      </c>
      <c r="K936" s="16" t="str">
        <f t="shared" si="127"/>
        <v/>
      </c>
      <c r="L936" s="17" t="str">
        <f t="shared" si="128"/>
        <v/>
      </c>
      <c r="M936" s="17" t="str">
        <f t="shared" si="129"/>
        <v/>
      </c>
      <c r="N936" s="17" t="str">
        <f t="shared" si="130"/>
        <v/>
      </c>
      <c r="O936" s="17" t="str">
        <f t="shared" si="131"/>
        <v/>
      </c>
      <c r="P936" s="16" t="str">
        <f t="shared" si="132"/>
        <v/>
      </c>
      <c r="Q936" s="16" t="str">
        <f t="shared" si="133"/>
        <v/>
      </c>
      <c r="R936" s="18" t="str">
        <f t="shared" si="134"/>
        <v/>
      </c>
    </row>
    <row r="937" spans="1:18">
      <c r="A937" s="12"/>
      <c r="B937" s="13"/>
      <c r="C937" s="14"/>
      <c r="D937" s="15"/>
      <c r="E937" s="15"/>
      <c r="F937" s="15"/>
      <c r="G937" s="13"/>
      <c r="H937" s="16" t="str">
        <f t="shared" si="126"/>
        <v/>
      </c>
      <c r="I937" s="17" t="str">
        <f>IF(OR(A937="",B937=""),"",IFERROR(LOOKUP(2,1/(单次交易!$A$2:$A$201=A937),单次交易!$H$2:$H$201),0)+SUMIFS($G$2:$G$1001,$A$2:$A$1001,A937,$B$2:$B$1001,"&lt;"&amp;B937))</f>
        <v/>
      </c>
      <c r="J937" s="16" t="str">
        <f>IF(OR(A937="",B937=""),"",IFERROR(LOOKUP(2,1/(单次交易!$A$2:$A$201=A937),单次交易!$E$2:$E$201)*LOOKUP(2,1/(单次交易!$A$2:$A$201=A937),单次交易!$H$2:$H$201),0)+SUMIFS($H$2:$H$1001,$A$2:$A$1001,A937,$B$2:$B$1001,"&lt;"&amp;B937))</f>
        <v/>
      </c>
      <c r="K937" s="16" t="str">
        <f t="shared" si="127"/>
        <v/>
      </c>
      <c r="L937" s="17" t="str">
        <f t="shared" si="128"/>
        <v/>
      </c>
      <c r="M937" s="17" t="str">
        <f t="shared" si="129"/>
        <v/>
      </c>
      <c r="N937" s="17" t="str">
        <f t="shared" si="130"/>
        <v/>
      </c>
      <c r="O937" s="17" t="str">
        <f t="shared" si="131"/>
        <v/>
      </c>
      <c r="P937" s="16" t="str">
        <f t="shared" si="132"/>
        <v/>
      </c>
      <c r="Q937" s="16" t="str">
        <f t="shared" si="133"/>
        <v/>
      </c>
      <c r="R937" s="18" t="str">
        <f t="shared" si="134"/>
        <v/>
      </c>
    </row>
    <row r="938" spans="1:18">
      <c r="A938" s="12"/>
      <c r="B938" s="13"/>
      <c r="C938" s="14"/>
      <c r="D938" s="15"/>
      <c r="E938" s="15"/>
      <c r="F938" s="15"/>
      <c r="G938" s="13"/>
      <c r="H938" s="16" t="str">
        <f t="shared" si="126"/>
        <v/>
      </c>
      <c r="I938" s="17" t="str">
        <f>IF(OR(A938="",B938=""),"",IFERROR(LOOKUP(2,1/(单次交易!$A$2:$A$201=A938),单次交易!$H$2:$H$201),0)+SUMIFS($G$2:$G$1001,$A$2:$A$1001,A938,$B$2:$B$1001,"&lt;"&amp;B938))</f>
        <v/>
      </c>
      <c r="J938" s="16" t="str">
        <f>IF(OR(A938="",B938=""),"",IFERROR(LOOKUP(2,1/(单次交易!$A$2:$A$201=A938),单次交易!$E$2:$E$201)*LOOKUP(2,1/(单次交易!$A$2:$A$201=A938),单次交易!$H$2:$H$201),0)+SUMIFS($H$2:$H$1001,$A$2:$A$1001,A938,$B$2:$B$1001,"&lt;"&amp;B938))</f>
        <v/>
      </c>
      <c r="K938" s="16" t="str">
        <f t="shared" si="127"/>
        <v/>
      </c>
      <c r="L938" s="17" t="str">
        <f t="shared" si="128"/>
        <v/>
      </c>
      <c r="M938" s="17" t="str">
        <f t="shared" si="129"/>
        <v/>
      </c>
      <c r="N938" s="17" t="str">
        <f t="shared" si="130"/>
        <v/>
      </c>
      <c r="O938" s="17" t="str">
        <f t="shared" si="131"/>
        <v/>
      </c>
      <c r="P938" s="16" t="str">
        <f t="shared" si="132"/>
        <v/>
      </c>
      <c r="Q938" s="16" t="str">
        <f t="shared" si="133"/>
        <v/>
      </c>
      <c r="R938" s="18" t="str">
        <f t="shared" si="134"/>
        <v/>
      </c>
    </row>
    <row r="939" spans="1:18">
      <c r="A939" s="12"/>
      <c r="B939" s="13"/>
      <c r="C939" s="14"/>
      <c r="D939" s="15"/>
      <c r="E939" s="15"/>
      <c r="F939" s="15"/>
      <c r="G939" s="13"/>
      <c r="H939" s="16" t="str">
        <f t="shared" si="126"/>
        <v/>
      </c>
      <c r="I939" s="17" t="str">
        <f>IF(OR(A939="",B939=""),"",IFERROR(LOOKUP(2,1/(单次交易!$A$2:$A$201=A939),单次交易!$H$2:$H$201),0)+SUMIFS($G$2:$G$1001,$A$2:$A$1001,A939,$B$2:$B$1001,"&lt;"&amp;B939))</f>
        <v/>
      </c>
      <c r="J939" s="16" t="str">
        <f>IF(OR(A939="",B939=""),"",IFERROR(LOOKUP(2,1/(单次交易!$A$2:$A$201=A939),单次交易!$E$2:$E$201)*LOOKUP(2,1/(单次交易!$A$2:$A$201=A939),单次交易!$H$2:$H$201),0)+SUMIFS($H$2:$H$1001,$A$2:$A$1001,A939,$B$2:$B$1001,"&lt;"&amp;B939))</f>
        <v/>
      </c>
      <c r="K939" s="16" t="str">
        <f t="shared" si="127"/>
        <v/>
      </c>
      <c r="L939" s="17" t="str">
        <f t="shared" si="128"/>
        <v/>
      </c>
      <c r="M939" s="17" t="str">
        <f t="shared" si="129"/>
        <v/>
      </c>
      <c r="N939" s="17" t="str">
        <f t="shared" si="130"/>
        <v/>
      </c>
      <c r="O939" s="17" t="str">
        <f t="shared" si="131"/>
        <v/>
      </c>
      <c r="P939" s="16" t="str">
        <f t="shared" si="132"/>
        <v/>
      </c>
      <c r="Q939" s="16" t="str">
        <f t="shared" si="133"/>
        <v/>
      </c>
      <c r="R939" s="18" t="str">
        <f t="shared" si="134"/>
        <v/>
      </c>
    </row>
    <row r="940" spans="1:18">
      <c r="A940" s="12"/>
      <c r="B940" s="13"/>
      <c r="C940" s="14"/>
      <c r="D940" s="15"/>
      <c r="E940" s="15"/>
      <c r="F940" s="15"/>
      <c r="G940" s="13"/>
      <c r="H940" s="16" t="str">
        <f t="shared" si="126"/>
        <v/>
      </c>
      <c r="I940" s="17" t="str">
        <f>IF(OR(A940="",B940=""),"",IFERROR(LOOKUP(2,1/(单次交易!$A$2:$A$201=A940),单次交易!$H$2:$H$201),0)+SUMIFS($G$2:$G$1001,$A$2:$A$1001,A940,$B$2:$B$1001,"&lt;"&amp;B940))</f>
        <v/>
      </c>
      <c r="J940" s="16" t="str">
        <f>IF(OR(A940="",B940=""),"",IFERROR(LOOKUP(2,1/(单次交易!$A$2:$A$201=A940),单次交易!$E$2:$E$201)*LOOKUP(2,1/(单次交易!$A$2:$A$201=A940),单次交易!$H$2:$H$201),0)+SUMIFS($H$2:$H$1001,$A$2:$A$1001,A940,$B$2:$B$1001,"&lt;"&amp;B940))</f>
        <v/>
      </c>
      <c r="K940" s="16" t="str">
        <f t="shared" si="127"/>
        <v/>
      </c>
      <c r="L940" s="17" t="str">
        <f t="shared" si="128"/>
        <v/>
      </c>
      <c r="M940" s="17" t="str">
        <f t="shared" si="129"/>
        <v/>
      </c>
      <c r="N940" s="17" t="str">
        <f t="shared" si="130"/>
        <v/>
      </c>
      <c r="O940" s="17" t="str">
        <f t="shared" si="131"/>
        <v/>
      </c>
      <c r="P940" s="16" t="str">
        <f t="shared" si="132"/>
        <v/>
      </c>
      <c r="Q940" s="16" t="str">
        <f t="shared" si="133"/>
        <v/>
      </c>
      <c r="R940" s="18" t="str">
        <f t="shared" si="134"/>
        <v/>
      </c>
    </row>
    <row r="941" spans="1:18">
      <c r="A941" s="12"/>
      <c r="B941" s="13"/>
      <c r="C941" s="14"/>
      <c r="D941" s="15"/>
      <c r="E941" s="15"/>
      <c r="F941" s="15"/>
      <c r="G941" s="13"/>
      <c r="H941" s="16" t="str">
        <f t="shared" si="126"/>
        <v/>
      </c>
      <c r="I941" s="17" t="str">
        <f>IF(OR(A941="",B941=""),"",IFERROR(LOOKUP(2,1/(单次交易!$A$2:$A$201=A941),单次交易!$H$2:$H$201),0)+SUMIFS($G$2:$G$1001,$A$2:$A$1001,A941,$B$2:$B$1001,"&lt;"&amp;B941))</f>
        <v/>
      </c>
      <c r="J941" s="16" t="str">
        <f>IF(OR(A941="",B941=""),"",IFERROR(LOOKUP(2,1/(单次交易!$A$2:$A$201=A941),单次交易!$E$2:$E$201)*LOOKUP(2,1/(单次交易!$A$2:$A$201=A941),单次交易!$H$2:$H$201),0)+SUMIFS($H$2:$H$1001,$A$2:$A$1001,A941,$B$2:$B$1001,"&lt;"&amp;B941))</f>
        <v/>
      </c>
      <c r="K941" s="16" t="str">
        <f t="shared" si="127"/>
        <v/>
      </c>
      <c r="L941" s="17" t="str">
        <f t="shared" si="128"/>
        <v/>
      </c>
      <c r="M941" s="17" t="str">
        <f t="shared" si="129"/>
        <v/>
      </c>
      <c r="N941" s="17" t="str">
        <f t="shared" si="130"/>
        <v/>
      </c>
      <c r="O941" s="17" t="str">
        <f t="shared" si="131"/>
        <v/>
      </c>
      <c r="P941" s="16" t="str">
        <f t="shared" si="132"/>
        <v/>
      </c>
      <c r="Q941" s="16" t="str">
        <f t="shared" si="133"/>
        <v/>
      </c>
      <c r="R941" s="18" t="str">
        <f t="shared" si="134"/>
        <v/>
      </c>
    </row>
    <row r="942" spans="1:18">
      <c r="A942" s="12"/>
      <c r="B942" s="13"/>
      <c r="C942" s="14"/>
      <c r="D942" s="15"/>
      <c r="E942" s="15"/>
      <c r="F942" s="15"/>
      <c r="G942" s="13"/>
      <c r="H942" s="16" t="str">
        <f t="shared" si="126"/>
        <v/>
      </c>
      <c r="I942" s="17" t="str">
        <f>IF(OR(A942="",B942=""),"",IFERROR(LOOKUP(2,1/(单次交易!$A$2:$A$201=A942),单次交易!$H$2:$H$201),0)+SUMIFS($G$2:$G$1001,$A$2:$A$1001,A942,$B$2:$B$1001,"&lt;"&amp;B942))</f>
        <v/>
      </c>
      <c r="J942" s="16" t="str">
        <f>IF(OR(A942="",B942=""),"",IFERROR(LOOKUP(2,1/(单次交易!$A$2:$A$201=A942),单次交易!$E$2:$E$201)*LOOKUP(2,1/(单次交易!$A$2:$A$201=A942),单次交易!$H$2:$H$201),0)+SUMIFS($H$2:$H$1001,$A$2:$A$1001,A942,$B$2:$B$1001,"&lt;"&amp;B942))</f>
        <v/>
      </c>
      <c r="K942" s="16" t="str">
        <f t="shared" si="127"/>
        <v/>
      </c>
      <c r="L942" s="17" t="str">
        <f t="shared" si="128"/>
        <v/>
      </c>
      <c r="M942" s="17" t="str">
        <f t="shared" si="129"/>
        <v/>
      </c>
      <c r="N942" s="17" t="str">
        <f t="shared" si="130"/>
        <v/>
      </c>
      <c r="O942" s="17" t="str">
        <f t="shared" si="131"/>
        <v/>
      </c>
      <c r="P942" s="16" t="str">
        <f t="shared" si="132"/>
        <v/>
      </c>
      <c r="Q942" s="16" t="str">
        <f t="shared" si="133"/>
        <v/>
      </c>
      <c r="R942" s="18" t="str">
        <f t="shared" si="134"/>
        <v/>
      </c>
    </row>
    <row r="943" spans="1:18">
      <c r="A943" s="12"/>
      <c r="B943" s="13"/>
      <c r="C943" s="14"/>
      <c r="D943" s="15"/>
      <c r="E943" s="15"/>
      <c r="F943" s="15"/>
      <c r="G943" s="13"/>
      <c r="H943" s="16" t="str">
        <f t="shared" si="126"/>
        <v/>
      </c>
      <c r="I943" s="17" t="str">
        <f>IF(OR(A943="",B943=""),"",IFERROR(LOOKUP(2,1/(单次交易!$A$2:$A$201=A943),单次交易!$H$2:$H$201),0)+SUMIFS($G$2:$G$1001,$A$2:$A$1001,A943,$B$2:$B$1001,"&lt;"&amp;B943))</f>
        <v/>
      </c>
      <c r="J943" s="16" t="str">
        <f>IF(OR(A943="",B943=""),"",IFERROR(LOOKUP(2,1/(单次交易!$A$2:$A$201=A943),单次交易!$E$2:$E$201)*LOOKUP(2,1/(单次交易!$A$2:$A$201=A943),单次交易!$H$2:$H$201),0)+SUMIFS($H$2:$H$1001,$A$2:$A$1001,A943,$B$2:$B$1001,"&lt;"&amp;B943))</f>
        <v/>
      </c>
      <c r="K943" s="16" t="str">
        <f t="shared" si="127"/>
        <v/>
      </c>
      <c r="L943" s="17" t="str">
        <f t="shared" si="128"/>
        <v/>
      </c>
      <c r="M943" s="17" t="str">
        <f t="shared" si="129"/>
        <v/>
      </c>
      <c r="N943" s="17" t="str">
        <f t="shared" si="130"/>
        <v/>
      </c>
      <c r="O943" s="17" t="str">
        <f t="shared" si="131"/>
        <v/>
      </c>
      <c r="P943" s="16" t="str">
        <f t="shared" si="132"/>
        <v/>
      </c>
      <c r="Q943" s="16" t="str">
        <f t="shared" si="133"/>
        <v/>
      </c>
      <c r="R943" s="18" t="str">
        <f t="shared" si="134"/>
        <v/>
      </c>
    </row>
    <row r="944" spans="1:18">
      <c r="A944" s="12"/>
      <c r="B944" s="13"/>
      <c r="C944" s="14"/>
      <c r="D944" s="15"/>
      <c r="E944" s="15"/>
      <c r="F944" s="15"/>
      <c r="G944" s="13"/>
      <c r="H944" s="16" t="str">
        <f t="shared" si="126"/>
        <v/>
      </c>
      <c r="I944" s="17" t="str">
        <f>IF(OR(A944="",B944=""),"",IFERROR(LOOKUP(2,1/(单次交易!$A$2:$A$201=A944),单次交易!$H$2:$H$201),0)+SUMIFS($G$2:$G$1001,$A$2:$A$1001,A944,$B$2:$B$1001,"&lt;"&amp;B944))</f>
        <v/>
      </c>
      <c r="J944" s="16" t="str">
        <f>IF(OR(A944="",B944=""),"",IFERROR(LOOKUP(2,1/(单次交易!$A$2:$A$201=A944),单次交易!$E$2:$E$201)*LOOKUP(2,1/(单次交易!$A$2:$A$201=A944),单次交易!$H$2:$H$201),0)+SUMIFS($H$2:$H$1001,$A$2:$A$1001,A944,$B$2:$B$1001,"&lt;"&amp;B944))</f>
        <v/>
      </c>
      <c r="K944" s="16" t="str">
        <f t="shared" si="127"/>
        <v/>
      </c>
      <c r="L944" s="17" t="str">
        <f t="shared" si="128"/>
        <v/>
      </c>
      <c r="M944" s="17" t="str">
        <f t="shared" si="129"/>
        <v/>
      </c>
      <c r="N944" s="17" t="str">
        <f t="shared" si="130"/>
        <v/>
      </c>
      <c r="O944" s="17" t="str">
        <f t="shared" si="131"/>
        <v/>
      </c>
      <c r="P944" s="16" t="str">
        <f t="shared" si="132"/>
        <v/>
      </c>
      <c r="Q944" s="16" t="str">
        <f t="shared" si="133"/>
        <v/>
      </c>
      <c r="R944" s="18" t="str">
        <f t="shared" si="134"/>
        <v/>
      </c>
    </row>
    <row r="945" spans="1:18">
      <c r="A945" s="12"/>
      <c r="B945" s="13"/>
      <c r="C945" s="14"/>
      <c r="D945" s="15"/>
      <c r="E945" s="15"/>
      <c r="F945" s="15"/>
      <c r="G945" s="13"/>
      <c r="H945" s="16" t="str">
        <f t="shared" si="126"/>
        <v/>
      </c>
      <c r="I945" s="17" t="str">
        <f>IF(OR(A945="",B945=""),"",IFERROR(LOOKUP(2,1/(单次交易!$A$2:$A$201=A945),单次交易!$H$2:$H$201),0)+SUMIFS($G$2:$G$1001,$A$2:$A$1001,A945,$B$2:$B$1001,"&lt;"&amp;B945))</f>
        <v/>
      </c>
      <c r="J945" s="16" t="str">
        <f>IF(OR(A945="",B945=""),"",IFERROR(LOOKUP(2,1/(单次交易!$A$2:$A$201=A945),单次交易!$E$2:$E$201)*LOOKUP(2,1/(单次交易!$A$2:$A$201=A945),单次交易!$H$2:$H$201),0)+SUMIFS($H$2:$H$1001,$A$2:$A$1001,A945,$B$2:$B$1001,"&lt;"&amp;B945))</f>
        <v/>
      </c>
      <c r="K945" s="16" t="str">
        <f t="shared" si="127"/>
        <v/>
      </c>
      <c r="L945" s="17" t="str">
        <f t="shared" si="128"/>
        <v/>
      </c>
      <c r="M945" s="17" t="str">
        <f t="shared" si="129"/>
        <v/>
      </c>
      <c r="N945" s="17" t="str">
        <f t="shared" si="130"/>
        <v/>
      </c>
      <c r="O945" s="17" t="str">
        <f t="shared" si="131"/>
        <v/>
      </c>
      <c r="P945" s="16" t="str">
        <f t="shared" si="132"/>
        <v/>
      </c>
      <c r="Q945" s="16" t="str">
        <f t="shared" si="133"/>
        <v/>
      </c>
      <c r="R945" s="18" t="str">
        <f t="shared" si="134"/>
        <v/>
      </c>
    </row>
    <row r="946" spans="1:18">
      <c r="A946" s="12"/>
      <c r="B946" s="13"/>
      <c r="C946" s="14"/>
      <c r="D946" s="15"/>
      <c r="E946" s="15"/>
      <c r="F946" s="15"/>
      <c r="G946" s="13"/>
      <c r="H946" s="16" t="str">
        <f t="shared" si="126"/>
        <v/>
      </c>
      <c r="I946" s="17" t="str">
        <f>IF(OR(A946="",B946=""),"",IFERROR(LOOKUP(2,1/(单次交易!$A$2:$A$201=A946),单次交易!$H$2:$H$201),0)+SUMIFS($G$2:$G$1001,$A$2:$A$1001,A946,$B$2:$B$1001,"&lt;"&amp;B946))</f>
        <v/>
      </c>
      <c r="J946" s="16" t="str">
        <f>IF(OR(A946="",B946=""),"",IFERROR(LOOKUP(2,1/(单次交易!$A$2:$A$201=A946),单次交易!$E$2:$E$201)*LOOKUP(2,1/(单次交易!$A$2:$A$201=A946),单次交易!$H$2:$H$201),0)+SUMIFS($H$2:$H$1001,$A$2:$A$1001,A946,$B$2:$B$1001,"&lt;"&amp;B946))</f>
        <v/>
      </c>
      <c r="K946" s="16" t="str">
        <f t="shared" si="127"/>
        <v/>
      </c>
      <c r="L946" s="17" t="str">
        <f t="shared" si="128"/>
        <v/>
      </c>
      <c r="M946" s="17" t="str">
        <f t="shared" si="129"/>
        <v/>
      </c>
      <c r="N946" s="17" t="str">
        <f t="shared" si="130"/>
        <v/>
      </c>
      <c r="O946" s="17" t="str">
        <f t="shared" si="131"/>
        <v/>
      </c>
      <c r="P946" s="16" t="str">
        <f t="shared" si="132"/>
        <v/>
      </c>
      <c r="Q946" s="16" t="str">
        <f t="shared" si="133"/>
        <v/>
      </c>
      <c r="R946" s="18" t="str">
        <f t="shared" si="134"/>
        <v/>
      </c>
    </row>
    <row r="947" spans="1:18">
      <c r="A947" s="12"/>
      <c r="B947" s="13"/>
      <c r="C947" s="14"/>
      <c r="D947" s="15"/>
      <c r="E947" s="15"/>
      <c r="F947" s="15"/>
      <c r="G947" s="13"/>
      <c r="H947" s="16" t="str">
        <f t="shared" si="126"/>
        <v/>
      </c>
      <c r="I947" s="17" t="str">
        <f>IF(OR(A947="",B947=""),"",IFERROR(LOOKUP(2,1/(单次交易!$A$2:$A$201=A947),单次交易!$H$2:$H$201),0)+SUMIFS($G$2:$G$1001,$A$2:$A$1001,A947,$B$2:$B$1001,"&lt;"&amp;B947))</f>
        <v/>
      </c>
      <c r="J947" s="16" t="str">
        <f>IF(OR(A947="",B947=""),"",IFERROR(LOOKUP(2,1/(单次交易!$A$2:$A$201=A947),单次交易!$E$2:$E$201)*LOOKUP(2,1/(单次交易!$A$2:$A$201=A947),单次交易!$H$2:$H$201),0)+SUMIFS($H$2:$H$1001,$A$2:$A$1001,A947,$B$2:$B$1001,"&lt;"&amp;B947))</f>
        <v/>
      </c>
      <c r="K947" s="16" t="str">
        <f t="shared" si="127"/>
        <v/>
      </c>
      <c r="L947" s="17" t="str">
        <f t="shared" si="128"/>
        <v/>
      </c>
      <c r="M947" s="17" t="str">
        <f t="shared" si="129"/>
        <v/>
      </c>
      <c r="N947" s="17" t="str">
        <f t="shared" si="130"/>
        <v/>
      </c>
      <c r="O947" s="17" t="str">
        <f t="shared" si="131"/>
        <v/>
      </c>
      <c r="P947" s="16" t="str">
        <f t="shared" si="132"/>
        <v/>
      </c>
      <c r="Q947" s="16" t="str">
        <f t="shared" si="133"/>
        <v/>
      </c>
      <c r="R947" s="18" t="str">
        <f t="shared" si="134"/>
        <v/>
      </c>
    </row>
    <row r="948" spans="1:18">
      <c r="A948" s="12"/>
      <c r="B948" s="13"/>
      <c r="C948" s="14"/>
      <c r="D948" s="15"/>
      <c r="E948" s="15"/>
      <c r="F948" s="15"/>
      <c r="G948" s="13"/>
      <c r="H948" s="16" t="str">
        <f t="shared" si="126"/>
        <v/>
      </c>
      <c r="I948" s="17" t="str">
        <f>IF(OR(A948="",B948=""),"",IFERROR(LOOKUP(2,1/(单次交易!$A$2:$A$201=A948),单次交易!$H$2:$H$201),0)+SUMIFS($G$2:$G$1001,$A$2:$A$1001,A948,$B$2:$B$1001,"&lt;"&amp;B948))</f>
        <v/>
      </c>
      <c r="J948" s="16" t="str">
        <f>IF(OR(A948="",B948=""),"",IFERROR(LOOKUP(2,1/(单次交易!$A$2:$A$201=A948),单次交易!$E$2:$E$201)*LOOKUP(2,1/(单次交易!$A$2:$A$201=A948),单次交易!$H$2:$H$201),0)+SUMIFS($H$2:$H$1001,$A$2:$A$1001,A948,$B$2:$B$1001,"&lt;"&amp;B948))</f>
        <v/>
      </c>
      <c r="K948" s="16" t="str">
        <f t="shared" si="127"/>
        <v/>
      </c>
      <c r="L948" s="17" t="str">
        <f t="shared" si="128"/>
        <v/>
      </c>
      <c r="M948" s="17" t="str">
        <f t="shared" si="129"/>
        <v/>
      </c>
      <c r="N948" s="17" t="str">
        <f t="shared" si="130"/>
        <v/>
      </c>
      <c r="O948" s="17" t="str">
        <f t="shared" si="131"/>
        <v/>
      </c>
      <c r="P948" s="16" t="str">
        <f t="shared" si="132"/>
        <v/>
      </c>
      <c r="Q948" s="16" t="str">
        <f t="shared" si="133"/>
        <v/>
      </c>
      <c r="R948" s="18" t="str">
        <f t="shared" si="134"/>
        <v/>
      </c>
    </row>
    <row r="949" spans="1:18">
      <c r="A949" s="12"/>
      <c r="B949" s="13"/>
      <c r="C949" s="14"/>
      <c r="D949" s="15"/>
      <c r="E949" s="15"/>
      <c r="F949" s="15"/>
      <c r="G949" s="13"/>
      <c r="H949" s="16" t="str">
        <f t="shared" si="126"/>
        <v/>
      </c>
      <c r="I949" s="17" t="str">
        <f>IF(OR(A949="",B949=""),"",IFERROR(LOOKUP(2,1/(单次交易!$A$2:$A$201=A949),单次交易!$H$2:$H$201),0)+SUMIFS($G$2:$G$1001,$A$2:$A$1001,A949,$B$2:$B$1001,"&lt;"&amp;B949))</f>
        <v/>
      </c>
      <c r="J949" s="16" t="str">
        <f>IF(OR(A949="",B949=""),"",IFERROR(LOOKUP(2,1/(单次交易!$A$2:$A$201=A949),单次交易!$E$2:$E$201)*LOOKUP(2,1/(单次交易!$A$2:$A$201=A949),单次交易!$H$2:$H$201),0)+SUMIFS($H$2:$H$1001,$A$2:$A$1001,A949,$B$2:$B$1001,"&lt;"&amp;B949))</f>
        <v/>
      </c>
      <c r="K949" s="16" t="str">
        <f t="shared" si="127"/>
        <v/>
      </c>
      <c r="L949" s="17" t="str">
        <f t="shared" si="128"/>
        <v/>
      </c>
      <c r="M949" s="17" t="str">
        <f t="shared" si="129"/>
        <v/>
      </c>
      <c r="N949" s="17" t="str">
        <f t="shared" si="130"/>
        <v/>
      </c>
      <c r="O949" s="17" t="str">
        <f t="shared" si="131"/>
        <v/>
      </c>
      <c r="P949" s="16" t="str">
        <f t="shared" si="132"/>
        <v/>
      </c>
      <c r="Q949" s="16" t="str">
        <f t="shared" si="133"/>
        <v/>
      </c>
      <c r="R949" s="18" t="str">
        <f t="shared" si="134"/>
        <v/>
      </c>
    </row>
    <row r="950" spans="1:18">
      <c r="A950" s="12"/>
      <c r="B950" s="13"/>
      <c r="C950" s="14"/>
      <c r="D950" s="15"/>
      <c r="E950" s="15"/>
      <c r="F950" s="15"/>
      <c r="G950" s="13"/>
      <c r="H950" s="16" t="str">
        <f t="shared" si="126"/>
        <v/>
      </c>
      <c r="I950" s="17" t="str">
        <f>IF(OR(A950="",B950=""),"",IFERROR(LOOKUP(2,1/(单次交易!$A$2:$A$201=A950),单次交易!$H$2:$H$201),0)+SUMIFS($G$2:$G$1001,$A$2:$A$1001,A950,$B$2:$B$1001,"&lt;"&amp;B950))</f>
        <v/>
      </c>
      <c r="J950" s="16" t="str">
        <f>IF(OR(A950="",B950=""),"",IFERROR(LOOKUP(2,1/(单次交易!$A$2:$A$201=A950),单次交易!$E$2:$E$201)*LOOKUP(2,1/(单次交易!$A$2:$A$201=A950),单次交易!$H$2:$H$201),0)+SUMIFS($H$2:$H$1001,$A$2:$A$1001,A950,$B$2:$B$1001,"&lt;"&amp;B950))</f>
        <v/>
      </c>
      <c r="K950" s="16" t="str">
        <f t="shared" si="127"/>
        <v/>
      </c>
      <c r="L950" s="17" t="str">
        <f t="shared" si="128"/>
        <v/>
      </c>
      <c r="M950" s="17" t="str">
        <f t="shared" si="129"/>
        <v/>
      </c>
      <c r="N950" s="17" t="str">
        <f t="shared" si="130"/>
        <v/>
      </c>
      <c r="O950" s="17" t="str">
        <f t="shared" si="131"/>
        <v/>
      </c>
      <c r="P950" s="16" t="str">
        <f t="shared" si="132"/>
        <v/>
      </c>
      <c r="Q950" s="16" t="str">
        <f t="shared" si="133"/>
        <v/>
      </c>
      <c r="R950" s="18" t="str">
        <f t="shared" si="134"/>
        <v/>
      </c>
    </row>
    <row r="951" spans="1:18">
      <c r="A951" s="12"/>
      <c r="B951" s="13"/>
      <c r="C951" s="14"/>
      <c r="D951" s="15"/>
      <c r="E951" s="15"/>
      <c r="F951" s="15"/>
      <c r="G951" s="13"/>
      <c r="H951" s="16" t="str">
        <f t="shared" si="126"/>
        <v/>
      </c>
      <c r="I951" s="17" t="str">
        <f>IF(OR(A951="",B951=""),"",IFERROR(LOOKUP(2,1/(单次交易!$A$2:$A$201=A951),单次交易!$H$2:$H$201),0)+SUMIFS($G$2:$G$1001,$A$2:$A$1001,A951,$B$2:$B$1001,"&lt;"&amp;B951))</f>
        <v/>
      </c>
      <c r="J951" s="16" t="str">
        <f>IF(OR(A951="",B951=""),"",IFERROR(LOOKUP(2,1/(单次交易!$A$2:$A$201=A951),单次交易!$E$2:$E$201)*LOOKUP(2,1/(单次交易!$A$2:$A$201=A951),单次交易!$H$2:$H$201),0)+SUMIFS($H$2:$H$1001,$A$2:$A$1001,A951,$B$2:$B$1001,"&lt;"&amp;B951))</f>
        <v/>
      </c>
      <c r="K951" s="16" t="str">
        <f t="shared" si="127"/>
        <v/>
      </c>
      <c r="L951" s="17" t="str">
        <f t="shared" si="128"/>
        <v/>
      </c>
      <c r="M951" s="17" t="str">
        <f t="shared" si="129"/>
        <v/>
      </c>
      <c r="N951" s="17" t="str">
        <f t="shared" si="130"/>
        <v/>
      </c>
      <c r="O951" s="17" t="str">
        <f t="shared" si="131"/>
        <v/>
      </c>
      <c r="P951" s="16" t="str">
        <f t="shared" si="132"/>
        <v/>
      </c>
      <c r="Q951" s="16" t="str">
        <f t="shared" si="133"/>
        <v/>
      </c>
      <c r="R951" s="18" t="str">
        <f t="shared" si="134"/>
        <v/>
      </c>
    </row>
    <row r="952" spans="1:18">
      <c r="A952" s="12"/>
      <c r="B952" s="13"/>
      <c r="C952" s="14"/>
      <c r="D952" s="15"/>
      <c r="E952" s="15"/>
      <c r="F952" s="15"/>
      <c r="G952" s="13"/>
      <c r="H952" s="16" t="str">
        <f t="shared" si="126"/>
        <v/>
      </c>
      <c r="I952" s="17" t="str">
        <f>IF(OR(A952="",B952=""),"",IFERROR(LOOKUP(2,1/(单次交易!$A$2:$A$201=A952),单次交易!$H$2:$H$201),0)+SUMIFS($G$2:$G$1001,$A$2:$A$1001,A952,$B$2:$B$1001,"&lt;"&amp;B952))</f>
        <v/>
      </c>
      <c r="J952" s="16" t="str">
        <f>IF(OR(A952="",B952=""),"",IFERROR(LOOKUP(2,1/(单次交易!$A$2:$A$201=A952),单次交易!$E$2:$E$201)*LOOKUP(2,1/(单次交易!$A$2:$A$201=A952),单次交易!$H$2:$H$201),0)+SUMIFS($H$2:$H$1001,$A$2:$A$1001,A952,$B$2:$B$1001,"&lt;"&amp;B952))</f>
        <v/>
      </c>
      <c r="K952" s="16" t="str">
        <f t="shared" si="127"/>
        <v/>
      </c>
      <c r="L952" s="17" t="str">
        <f t="shared" si="128"/>
        <v/>
      </c>
      <c r="M952" s="17" t="str">
        <f t="shared" si="129"/>
        <v/>
      </c>
      <c r="N952" s="17" t="str">
        <f t="shared" si="130"/>
        <v/>
      </c>
      <c r="O952" s="17" t="str">
        <f t="shared" si="131"/>
        <v/>
      </c>
      <c r="P952" s="16" t="str">
        <f t="shared" si="132"/>
        <v/>
      </c>
      <c r="Q952" s="16" t="str">
        <f t="shared" si="133"/>
        <v/>
      </c>
      <c r="R952" s="18" t="str">
        <f t="shared" si="134"/>
        <v/>
      </c>
    </row>
    <row r="953" spans="1:18">
      <c r="A953" s="12"/>
      <c r="B953" s="13"/>
      <c r="C953" s="14"/>
      <c r="D953" s="15"/>
      <c r="E953" s="15"/>
      <c r="F953" s="15"/>
      <c r="G953" s="13"/>
      <c r="H953" s="16" t="str">
        <f t="shared" si="126"/>
        <v/>
      </c>
      <c r="I953" s="17" t="str">
        <f>IF(OR(A953="",B953=""),"",IFERROR(LOOKUP(2,1/(单次交易!$A$2:$A$201=A953),单次交易!$H$2:$H$201),0)+SUMIFS($G$2:$G$1001,$A$2:$A$1001,A953,$B$2:$B$1001,"&lt;"&amp;B953))</f>
        <v/>
      </c>
      <c r="J953" s="16" t="str">
        <f>IF(OR(A953="",B953=""),"",IFERROR(LOOKUP(2,1/(单次交易!$A$2:$A$201=A953),单次交易!$E$2:$E$201)*LOOKUP(2,1/(单次交易!$A$2:$A$201=A953),单次交易!$H$2:$H$201),0)+SUMIFS($H$2:$H$1001,$A$2:$A$1001,A953,$B$2:$B$1001,"&lt;"&amp;B953))</f>
        <v/>
      </c>
      <c r="K953" s="16" t="str">
        <f t="shared" si="127"/>
        <v/>
      </c>
      <c r="L953" s="17" t="str">
        <f t="shared" si="128"/>
        <v/>
      </c>
      <c r="M953" s="17" t="str">
        <f t="shared" si="129"/>
        <v/>
      </c>
      <c r="N953" s="17" t="str">
        <f t="shared" si="130"/>
        <v/>
      </c>
      <c r="O953" s="17" t="str">
        <f t="shared" si="131"/>
        <v/>
      </c>
      <c r="P953" s="16" t="str">
        <f t="shared" si="132"/>
        <v/>
      </c>
      <c r="Q953" s="16" t="str">
        <f t="shared" si="133"/>
        <v/>
      </c>
      <c r="R953" s="18" t="str">
        <f t="shared" si="134"/>
        <v/>
      </c>
    </row>
    <row r="954" spans="1:18">
      <c r="A954" s="12"/>
      <c r="B954" s="13"/>
      <c r="C954" s="14"/>
      <c r="D954" s="15"/>
      <c r="E954" s="15"/>
      <c r="F954" s="15"/>
      <c r="G954" s="13"/>
      <c r="H954" s="16" t="str">
        <f t="shared" si="126"/>
        <v/>
      </c>
      <c r="I954" s="17" t="str">
        <f>IF(OR(A954="",B954=""),"",IFERROR(LOOKUP(2,1/(单次交易!$A$2:$A$201=A954),单次交易!$H$2:$H$201),0)+SUMIFS($G$2:$G$1001,$A$2:$A$1001,A954,$B$2:$B$1001,"&lt;"&amp;B954))</f>
        <v/>
      </c>
      <c r="J954" s="16" t="str">
        <f>IF(OR(A954="",B954=""),"",IFERROR(LOOKUP(2,1/(单次交易!$A$2:$A$201=A954),单次交易!$E$2:$E$201)*LOOKUP(2,1/(单次交易!$A$2:$A$201=A954),单次交易!$H$2:$H$201),0)+SUMIFS($H$2:$H$1001,$A$2:$A$1001,A954,$B$2:$B$1001,"&lt;"&amp;B954))</f>
        <v/>
      </c>
      <c r="K954" s="16" t="str">
        <f t="shared" si="127"/>
        <v/>
      </c>
      <c r="L954" s="17" t="str">
        <f t="shared" si="128"/>
        <v/>
      </c>
      <c r="M954" s="17" t="str">
        <f t="shared" si="129"/>
        <v/>
      </c>
      <c r="N954" s="17" t="str">
        <f t="shared" si="130"/>
        <v/>
      </c>
      <c r="O954" s="17" t="str">
        <f t="shared" si="131"/>
        <v/>
      </c>
      <c r="P954" s="16" t="str">
        <f t="shared" si="132"/>
        <v/>
      </c>
      <c r="Q954" s="16" t="str">
        <f t="shared" si="133"/>
        <v/>
      </c>
      <c r="R954" s="18" t="str">
        <f t="shared" si="134"/>
        <v/>
      </c>
    </row>
    <row r="955" spans="1:18">
      <c r="A955" s="12"/>
      <c r="B955" s="13"/>
      <c r="C955" s="14"/>
      <c r="D955" s="15"/>
      <c r="E955" s="15"/>
      <c r="F955" s="15"/>
      <c r="G955" s="13"/>
      <c r="H955" s="16" t="str">
        <f t="shared" si="126"/>
        <v/>
      </c>
      <c r="I955" s="17" t="str">
        <f>IF(OR(A955="",B955=""),"",IFERROR(LOOKUP(2,1/(单次交易!$A$2:$A$201=A955),单次交易!$H$2:$H$201),0)+SUMIFS($G$2:$G$1001,$A$2:$A$1001,A955,$B$2:$B$1001,"&lt;"&amp;B955))</f>
        <v/>
      </c>
      <c r="J955" s="16" t="str">
        <f>IF(OR(A955="",B955=""),"",IFERROR(LOOKUP(2,1/(单次交易!$A$2:$A$201=A955),单次交易!$E$2:$E$201)*LOOKUP(2,1/(单次交易!$A$2:$A$201=A955),单次交易!$H$2:$H$201),0)+SUMIFS($H$2:$H$1001,$A$2:$A$1001,A955,$B$2:$B$1001,"&lt;"&amp;B955))</f>
        <v/>
      </c>
      <c r="K955" s="16" t="str">
        <f t="shared" si="127"/>
        <v/>
      </c>
      <c r="L955" s="17" t="str">
        <f t="shared" si="128"/>
        <v/>
      </c>
      <c r="M955" s="17" t="str">
        <f t="shared" si="129"/>
        <v/>
      </c>
      <c r="N955" s="17" t="str">
        <f t="shared" si="130"/>
        <v/>
      </c>
      <c r="O955" s="17" t="str">
        <f t="shared" si="131"/>
        <v/>
      </c>
      <c r="P955" s="16" t="str">
        <f t="shared" si="132"/>
        <v/>
      </c>
      <c r="Q955" s="16" t="str">
        <f t="shared" si="133"/>
        <v/>
      </c>
      <c r="R955" s="18" t="str">
        <f t="shared" si="134"/>
        <v/>
      </c>
    </row>
    <row r="956" spans="1:18">
      <c r="A956" s="12"/>
      <c r="B956" s="13"/>
      <c r="C956" s="14"/>
      <c r="D956" s="15"/>
      <c r="E956" s="15"/>
      <c r="F956" s="15"/>
      <c r="G956" s="13"/>
      <c r="H956" s="16" t="str">
        <f t="shared" si="126"/>
        <v/>
      </c>
      <c r="I956" s="17" t="str">
        <f>IF(OR(A956="",B956=""),"",IFERROR(LOOKUP(2,1/(单次交易!$A$2:$A$201=A956),单次交易!$H$2:$H$201),0)+SUMIFS($G$2:$G$1001,$A$2:$A$1001,A956,$B$2:$B$1001,"&lt;"&amp;B956))</f>
        <v/>
      </c>
      <c r="J956" s="16" t="str">
        <f>IF(OR(A956="",B956=""),"",IFERROR(LOOKUP(2,1/(单次交易!$A$2:$A$201=A956),单次交易!$E$2:$E$201)*LOOKUP(2,1/(单次交易!$A$2:$A$201=A956),单次交易!$H$2:$H$201),0)+SUMIFS($H$2:$H$1001,$A$2:$A$1001,A956,$B$2:$B$1001,"&lt;"&amp;B956))</f>
        <v/>
      </c>
      <c r="K956" s="16" t="str">
        <f t="shared" si="127"/>
        <v/>
      </c>
      <c r="L956" s="17" t="str">
        <f t="shared" si="128"/>
        <v/>
      </c>
      <c r="M956" s="17" t="str">
        <f t="shared" si="129"/>
        <v/>
      </c>
      <c r="N956" s="17" t="str">
        <f t="shared" si="130"/>
        <v/>
      </c>
      <c r="O956" s="17" t="str">
        <f t="shared" si="131"/>
        <v/>
      </c>
      <c r="P956" s="16" t="str">
        <f t="shared" si="132"/>
        <v/>
      </c>
      <c r="Q956" s="16" t="str">
        <f t="shared" si="133"/>
        <v/>
      </c>
      <c r="R956" s="18" t="str">
        <f t="shared" si="134"/>
        <v/>
      </c>
    </row>
    <row r="957" spans="1:18">
      <c r="A957" s="12"/>
      <c r="B957" s="13"/>
      <c r="C957" s="14"/>
      <c r="D957" s="15"/>
      <c r="E957" s="15"/>
      <c r="F957" s="15"/>
      <c r="G957" s="13"/>
      <c r="H957" s="16" t="str">
        <f t="shared" si="126"/>
        <v/>
      </c>
      <c r="I957" s="17" t="str">
        <f>IF(OR(A957="",B957=""),"",IFERROR(LOOKUP(2,1/(单次交易!$A$2:$A$201=A957),单次交易!$H$2:$H$201),0)+SUMIFS($G$2:$G$1001,$A$2:$A$1001,A957,$B$2:$B$1001,"&lt;"&amp;B957))</f>
        <v/>
      </c>
      <c r="J957" s="16" t="str">
        <f>IF(OR(A957="",B957=""),"",IFERROR(LOOKUP(2,1/(单次交易!$A$2:$A$201=A957),单次交易!$E$2:$E$201)*LOOKUP(2,1/(单次交易!$A$2:$A$201=A957),单次交易!$H$2:$H$201),0)+SUMIFS($H$2:$H$1001,$A$2:$A$1001,A957,$B$2:$B$1001,"&lt;"&amp;B957))</f>
        <v/>
      </c>
      <c r="K957" s="16" t="str">
        <f t="shared" si="127"/>
        <v/>
      </c>
      <c r="L957" s="17" t="str">
        <f t="shared" si="128"/>
        <v/>
      </c>
      <c r="M957" s="17" t="str">
        <f t="shared" si="129"/>
        <v/>
      </c>
      <c r="N957" s="17" t="str">
        <f t="shared" si="130"/>
        <v/>
      </c>
      <c r="O957" s="17" t="str">
        <f t="shared" si="131"/>
        <v/>
      </c>
      <c r="P957" s="16" t="str">
        <f t="shared" si="132"/>
        <v/>
      </c>
      <c r="Q957" s="16" t="str">
        <f t="shared" si="133"/>
        <v/>
      </c>
      <c r="R957" s="18" t="str">
        <f t="shared" si="134"/>
        <v/>
      </c>
    </row>
    <row r="958" spans="1:18">
      <c r="A958" s="12"/>
      <c r="B958" s="13"/>
      <c r="C958" s="14"/>
      <c r="D958" s="15"/>
      <c r="E958" s="15"/>
      <c r="F958" s="15"/>
      <c r="G958" s="13"/>
      <c r="H958" s="16" t="str">
        <f t="shared" si="126"/>
        <v/>
      </c>
      <c r="I958" s="17" t="str">
        <f>IF(OR(A958="",B958=""),"",IFERROR(LOOKUP(2,1/(单次交易!$A$2:$A$201=A958),单次交易!$H$2:$H$201),0)+SUMIFS($G$2:$G$1001,$A$2:$A$1001,A958,$B$2:$B$1001,"&lt;"&amp;B958))</f>
        <v/>
      </c>
      <c r="J958" s="16" t="str">
        <f>IF(OR(A958="",B958=""),"",IFERROR(LOOKUP(2,1/(单次交易!$A$2:$A$201=A958),单次交易!$E$2:$E$201)*LOOKUP(2,1/(单次交易!$A$2:$A$201=A958),单次交易!$H$2:$H$201),0)+SUMIFS($H$2:$H$1001,$A$2:$A$1001,A958,$B$2:$B$1001,"&lt;"&amp;B958))</f>
        <v/>
      </c>
      <c r="K958" s="16" t="str">
        <f t="shared" si="127"/>
        <v/>
      </c>
      <c r="L958" s="17" t="str">
        <f t="shared" si="128"/>
        <v/>
      </c>
      <c r="M958" s="17" t="str">
        <f t="shared" si="129"/>
        <v/>
      </c>
      <c r="N958" s="17" t="str">
        <f t="shared" si="130"/>
        <v/>
      </c>
      <c r="O958" s="17" t="str">
        <f t="shared" si="131"/>
        <v/>
      </c>
      <c r="P958" s="16" t="str">
        <f t="shared" si="132"/>
        <v/>
      </c>
      <c r="Q958" s="16" t="str">
        <f t="shared" si="133"/>
        <v/>
      </c>
      <c r="R958" s="18" t="str">
        <f t="shared" si="134"/>
        <v/>
      </c>
    </row>
    <row r="959" spans="1:18">
      <c r="A959" s="12"/>
      <c r="B959" s="13"/>
      <c r="C959" s="14"/>
      <c r="D959" s="15"/>
      <c r="E959" s="15"/>
      <c r="F959" s="15"/>
      <c r="G959" s="13"/>
      <c r="H959" s="16" t="str">
        <f t="shared" si="126"/>
        <v/>
      </c>
      <c r="I959" s="17" t="str">
        <f>IF(OR(A959="",B959=""),"",IFERROR(LOOKUP(2,1/(单次交易!$A$2:$A$201=A959),单次交易!$H$2:$H$201),0)+SUMIFS($G$2:$G$1001,$A$2:$A$1001,A959,$B$2:$B$1001,"&lt;"&amp;B959))</f>
        <v/>
      </c>
      <c r="J959" s="16" t="str">
        <f>IF(OR(A959="",B959=""),"",IFERROR(LOOKUP(2,1/(单次交易!$A$2:$A$201=A959),单次交易!$E$2:$E$201)*LOOKUP(2,1/(单次交易!$A$2:$A$201=A959),单次交易!$H$2:$H$201),0)+SUMIFS($H$2:$H$1001,$A$2:$A$1001,A959,$B$2:$B$1001,"&lt;"&amp;B959))</f>
        <v/>
      </c>
      <c r="K959" s="16" t="str">
        <f t="shared" si="127"/>
        <v/>
      </c>
      <c r="L959" s="17" t="str">
        <f t="shared" si="128"/>
        <v/>
      </c>
      <c r="M959" s="17" t="str">
        <f t="shared" si="129"/>
        <v/>
      </c>
      <c r="N959" s="17" t="str">
        <f t="shared" si="130"/>
        <v/>
      </c>
      <c r="O959" s="17" t="str">
        <f t="shared" si="131"/>
        <v/>
      </c>
      <c r="P959" s="16" t="str">
        <f t="shared" si="132"/>
        <v/>
      </c>
      <c r="Q959" s="16" t="str">
        <f t="shared" si="133"/>
        <v/>
      </c>
      <c r="R959" s="18" t="str">
        <f t="shared" si="134"/>
        <v/>
      </c>
    </row>
    <row r="960" spans="1:18">
      <c r="A960" s="12"/>
      <c r="B960" s="13"/>
      <c r="C960" s="14"/>
      <c r="D960" s="15"/>
      <c r="E960" s="15"/>
      <c r="F960" s="15"/>
      <c r="G960" s="13"/>
      <c r="H960" s="16" t="str">
        <f t="shared" si="126"/>
        <v/>
      </c>
      <c r="I960" s="17" t="str">
        <f>IF(OR(A960="",B960=""),"",IFERROR(LOOKUP(2,1/(单次交易!$A$2:$A$201=A960),单次交易!$H$2:$H$201),0)+SUMIFS($G$2:$G$1001,$A$2:$A$1001,A960,$B$2:$B$1001,"&lt;"&amp;B960))</f>
        <v/>
      </c>
      <c r="J960" s="16" t="str">
        <f>IF(OR(A960="",B960=""),"",IFERROR(LOOKUP(2,1/(单次交易!$A$2:$A$201=A960),单次交易!$E$2:$E$201)*LOOKUP(2,1/(单次交易!$A$2:$A$201=A960),单次交易!$H$2:$H$201),0)+SUMIFS($H$2:$H$1001,$A$2:$A$1001,A960,$B$2:$B$1001,"&lt;"&amp;B960))</f>
        <v/>
      </c>
      <c r="K960" s="16" t="str">
        <f t="shared" si="127"/>
        <v/>
      </c>
      <c r="L960" s="17" t="str">
        <f t="shared" si="128"/>
        <v/>
      </c>
      <c r="M960" s="17" t="str">
        <f t="shared" si="129"/>
        <v/>
      </c>
      <c r="N960" s="17" t="str">
        <f t="shared" si="130"/>
        <v/>
      </c>
      <c r="O960" s="17" t="str">
        <f t="shared" si="131"/>
        <v/>
      </c>
      <c r="P960" s="16" t="str">
        <f t="shared" si="132"/>
        <v/>
      </c>
      <c r="Q960" s="16" t="str">
        <f t="shared" si="133"/>
        <v/>
      </c>
      <c r="R960" s="18" t="str">
        <f t="shared" si="134"/>
        <v/>
      </c>
    </row>
    <row r="961" spans="1:18">
      <c r="A961" s="12"/>
      <c r="B961" s="13"/>
      <c r="C961" s="14"/>
      <c r="D961" s="15"/>
      <c r="E961" s="15"/>
      <c r="F961" s="15"/>
      <c r="G961" s="13"/>
      <c r="H961" s="16" t="str">
        <f t="shared" si="126"/>
        <v/>
      </c>
      <c r="I961" s="17" t="str">
        <f>IF(OR(A961="",B961=""),"",IFERROR(LOOKUP(2,1/(单次交易!$A$2:$A$201=A961),单次交易!$H$2:$H$201),0)+SUMIFS($G$2:$G$1001,$A$2:$A$1001,A961,$B$2:$B$1001,"&lt;"&amp;B961))</f>
        <v/>
      </c>
      <c r="J961" s="16" t="str">
        <f>IF(OR(A961="",B961=""),"",IFERROR(LOOKUP(2,1/(单次交易!$A$2:$A$201=A961),单次交易!$E$2:$E$201)*LOOKUP(2,1/(单次交易!$A$2:$A$201=A961),单次交易!$H$2:$H$201),0)+SUMIFS($H$2:$H$1001,$A$2:$A$1001,A961,$B$2:$B$1001,"&lt;"&amp;B961))</f>
        <v/>
      </c>
      <c r="K961" s="16" t="str">
        <f t="shared" si="127"/>
        <v/>
      </c>
      <c r="L961" s="17" t="str">
        <f t="shared" si="128"/>
        <v/>
      </c>
      <c r="M961" s="17" t="str">
        <f t="shared" si="129"/>
        <v/>
      </c>
      <c r="N961" s="17" t="str">
        <f t="shared" si="130"/>
        <v/>
      </c>
      <c r="O961" s="17" t="str">
        <f t="shared" si="131"/>
        <v/>
      </c>
      <c r="P961" s="16" t="str">
        <f t="shared" si="132"/>
        <v/>
      </c>
      <c r="Q961" s="16" t="str">
        <f t="shared" si="133"/>
        <v/>
      </c>
      <c r="R961" s="18" t="str">
        <f t="shared" si="134"/>
        <v/>
      </c>
    </row>
    <row r="962" spans="1:18">
      <c r="A962" s="12"/>
      <c r="B962" s="13"/>
      <c r="C962" s="14"/>
      <c r="D962" s="15"/>
      <c r="E962" s="15"/>
      <c r="F962" s="15"/>
      <c r="G962" s="13"/>
      <c r="H962" s="16" t="str">
        <f t="shared" ref="H962:H1001" si="135">IF(OR(A962="",D962="",G962=""),"",D962*G962)</f>
        <v/>
      </c>
      <c r="I962" s="17" t="str">
        <f>IF(OR(A962="",B962=""),"",IFERROR(LOOKUP(2,1/(单次交易!$A$2:$A$201=A962),单次交易!$H$2:$H$201),0)+SUMIFS($G$2:$G$1001,$A$2:$A$1001,A962,$B$2:$B$1001,"&lt;"&amp;B962))</f>
        <v/>
      </c>
      <c r="J962" s="16" t="str">
        <f>IF(OR(A962="",B962=""),"",IFERROR(LOOKUP(2,1/(单次交易!$A$2:$A$201=A962),单次交易!$E$2:$E$201)*LOOKUP(2,1/(单次交易!$A$2:$A$201=A962),单次交易!$H$2:$H$201),0)+SUMIFS($H$2:$H$1001,$A$2:$A$1001,A962,$B$2:$B$1001,"&lt;"&amp;B962))</f>
        <v/>
      </c>
      <c r="K962" s="16" t="str">
        <f t="shared" ref="K962:K1001" si="136">IF(OR(E962="",I962="",J962=""),"",MAX(E962*I962-J962,0))</f>
        <v/>
      </c>
      <c r="L962" s="17" t="str">
        <f t="shared" ref="L962:L1001" si="137">IF(OR(D962="",E962="",F962="",D962&lt;=E962),"",FLOOR((F962+K962)/(D962-E962),100))</f>
        <v/>
      </c>
      <c r="M962" s="17" t="str">
        <f t="shared" ref="M962:M1001" si="138">IF(OR(A962="",B962="",L962=""),"",IF(B962=1,L962,IFERROR(SUMIFS($G$2:$G$1001,$A$2:$A$1001,A962,$B$2:$B$1001,B962-1),0)))</f>
        <v/>
      </c>
      <c r="N962" s="17" t="str">
        <f t="shared" ref="N962:N1001" si="139">IF(OR(L962="",M962=""),"",MIN(L962,M962))</f>
        <v/>
      </c>
      <c r="O962" s="17" t="str">
        <f t="shared" ref="O962:O1001" si="140">IF(OR(I962="",G962=""),"",I962+G962)</f>
        <v/>
      </c>
      <c r="P962" s="16" t="str">
        <f t="shared" ref="P962:P1001" si="141">IF(OR(O962="",O962=0),"",(J962+H962)/O962)</f>
        <v/>
      </c>
      <c r="Q962" s="16" t="str">
        <f t="shared" ref="Q962:Q1001" si="142">IF(OR(O962="",E962=""),"",MAX(J962+H962-E962*O962,0))</f>
        <v/>
      </c>
      <c r="R962" s="18" t="str">
        <f t="shared" ref="R962:R1001" si="143">IF(A962="","",IF(COUNTIF(_TradeIds,A962)=0,"违规：交易编号不存在",IF(OR(B962="",B962&lt;1,B962&gt;5,B962&lt;&gt;INT(B962)),"违规：加仓序号须为1到5的整数",IF(COUNTIFS($A$2:$A$1001,A962,$B$2:$B$1001,B962)&gt;1,"违规：同一交易的加仓序号重复",IF(OR(D962="",E962="",F962=""),"计划不完整：请填写加仓价、新止损价和风险预算",IF(OR(D962&lt;=0,E962&lt;=0,F962&lt;=0,D962&lt;=E962),"违规：加仓价必须高于新止损价，金额须大于0",IF(AND(B962&gt;1,COUNTIFS($A$2:$A$1001,A962,$B$2:$B$1001,B962-1,$G$2:$G$1001,"&gt;0")=0),"违规：须先完成上一次加仓",IF(AND(B962&gt;1,E962&lt;SUMIFS($E$2:$E$1001,$A$2:$A$1001,A962,$B$2:$B$1001,B962-1)),"违规：新止损价不得低于上一次",IF(AND(B962&gt;1,F962&gt;SUMIFS($F$2:$F$1001,$A$2:$A$1001,A962,$B$2:$B$1001,B962-1)),"违规：风险预算须逐次不增加",IF(OR(_LockStatus="已锁仓",_LockStatus="解锁信息不完整"),"违规：锁仓期间禁止加仓",IF(G962="","计划可执行：建议股数见N列",IF(OR(G962&lt;=0,G962&lt;&gt;INT(G962),MOD(G962,100)&lt;&gt;0),"违规：实际股数须为100股整数倍",IF(G962&gt;N962,"违规：实际股数超过风险或金字塔上限",IF(AND(B962&gt;1,G962&gt;SUMIFS($G$2:$G$1001,$A$2:$A$1001,A962,$B$2:$B$1001,B962-1)),"违规：加仓股数须逐次不增加",IF(Q962&gt;F962,"违规：止损风险超过本次预算","通过")))))))))))))))</f>
        <v/>
      </c>
    </row>
    <row r="963" spans="1:18">
      <c r="A963" s="12"/>
      <c r="B963" s="13"/>
      <c r="C963" s="14"/>
      <c r="D963" s="15"/>
      <c r="E963" s="15"/>
      <c r="F963" s="15"/>
      <c r="G963" s="13"/>
      <c r="H963" s="16" t="str">
        <f t="shared" si="135"/>
        <v/>
      </c>
      <c r="I963" s="17" t="str">
        <f>IF(OR(A963="",B963=""),"",IFERROR(LOOKUP(2,1/(单次交易!$A$2:$A$201=A963),单次交易!$H$2:$H$201),0)+SUMIFS($G$2:$G$1001,$A$2:$A$1001,A963,$B$2:$B$1001,"&lt;"&amp;B963))</f>
        <v/>
      </c>
      <c r="J963" s="16" t="str">
        <f>IF(OR(A963="",B963=""),"",IFERROR(LOOKUP(2,1/(单次交易!$A$2:$A$201=A963),单次交易!$E$2:$E$201)*LOOKUP(2,1/(单次交易!$A$2:$A$201=A963),单次交易!$H$2:$H$201),0)+SUMIFS($H$2:$H$1001,$A$2:$A$1001,A963,$B$2:$B$1001,"&lt;"&amp;B963))</f>
        <v/>
      </c>
      <c r="K963" s="16" t="str">
        <f t="shared" si="136"/>
        <v/>
      </c>
      <c r="L963" s="17" t="str">
        <f t="shared" si="137"/>
        <v/>
      </c>
      <c r="M963" s="17" t="str">
        <f t="shared" si="138"/>
        <v/>
      </c>
      <c r="N963" s="17" t="str">
        <f t="shared" si="139"/>
        <v/>
      </c>
      <c r="O963" s="17" t="str">
        <f t="shared" si="140"/>
        <v/>
      </c>
      <c r="P963" s="16" t="str">
        <f t="shared" si="141"/>
        <v/>
      </c>
      <c r="Q963" s="16" t="str">
        <f t="shared" si="142"/>
        <v/>
      </c>
      <c r="R963" s="18" t="str">
        <f t="shared" si="143"/>
        <v/>
      </c>
    </row>
    <row r="964" spans="1:18">
      <c r="A964" s="12"/>
      <c r="B964" s="13"/>
      <c r="C964" s="14"/>
      <c r="D964" s="15"/>
      <c r="E964" s="15"/>
      <c r="F964" s="15"/>
      <c r="G964" s="13"/>
      <c r="H964" s="16" t="str">
        <f t="shared" si="135"/>
        <v/>
      </c>
      <c r="I964" s="17" t="str">
        <f>IF(OR(A964="",B964=""),"",IFERROR(LOOKUP(2,1/(单次交易!$A$2:$A$201=A964),单次交易!$H$2:$H$201),0)+SUMIFS($G$2:$G$1001,$A$2:$A$1001,A964,$B$2:$B$1001,"&lt;"&amp;B964))</f>
        <v/>
      </c>
      <c r="J964" s="16" t="str">
        <f>IF(OR(A964="",B964=""),"",IFERROR(LOOKUP(2,1/(单次交易!$A$2:$A$201=A964),单次交易!$E$2:$E$201)*LOOKUP(2,1/(单次交易!$A$2:$A$201=A964),单次交易!$H$2:$H$201),0)+SUMIFS($H$2:$H$1001,$A$2:$A$1001,A964,$B$2:$B$1001,"&lt;"&amp;B964))</f>
        <v/>
      </c>
      <c r="K964" s="16" t="str">
        <f t="shared" si="136"/>
        <v/>
      </c>
      <c r="L964" s="17" t="str">
        <f t="shared" si="137"/>
        <v/>
      </c>
      <c r="M964" s="17" t="str">
        <f t="shared" si="138"/>
        <v/>
      </c>
      <c r="N964" s="17" t="str">
        <f t="shared" si="139"/>
        <v/>
      </c>
      <c r="O964" s="17" t="str">
        <f t="shared" si="140"/>
        <v/>
      </c>
      <c r="P964" s="16" t="str">
        <f t="shared" si="141"/>
        <v/>
      </c>
      <c r="Q964" s="16" t="str">
        <f t="shared" si="142"/>
        <v/>
      </c>
      <c r="R964" s="18" t="str">
        <f t="shared" si="143"/>
        <v/>
      </c>
    </row>
    <row r="965" spans="1:18">
      <c r="A965" s="12"/>
      <c r="B965" s="13"/>
      <c r="C965" s="14"/>
      <c r="D965" s="15"/>
      <c r="E965" s="15"/>
      <c r="F965" s="15"/>
      <c r="G965" s="13"/>
      <c r="H965" s="16" t="str">
        <f t="shared" si="135"/>
        <v/>
      </c>
      <c r="I965" s="17" t="str">
        <f>IF(OR(A965="",B965=""),"",IFERROR(LOOKUP(2,1/(单次交易!$A$2:$A$201=A965),单次交易!$H$2:$H$201),0)+SUMIFS($G$2:$G$1001,$A$2:$A$1001,A965,$B$2:$B$1001,"&lt;"&amp;B965))</f>
        <v/>
      </c>
      <c r="J965" s="16" t="str">
        <f>IF(OR(A965="",B965=""),"",IFERROR(LOOKUP(2,1/(单次交易!$A$2:$A$201=A965),单次交易!$E$2:$E$201)*LOOKUP(2,1/(单次交易!$A$2:$A$201=A965),单次交易!$H$2:$H$201),0)+SUMIFS($H$2:$H$1001,$A$2:$A$1001,A965,$B$2:$B$1001,"&lt;"&amp;B965))</f>
        <v/>
      </c>
      <c r="K965" s="16" t="str">
        <f t="shared" si="136"/>
        <v/>
      </c>
      <c r="L965" s="17" t="str">
        <f t="shared" si="137"/>
        <v/>
      </c>
      <c r="M965" s="17" t="str">
        <f t="shared" si="138"/>
        <v/>
      </c>
      <c r="N965" s="17" t="str">
        <f t="shared" si="139"/>
        <v/>
      </c>
      <c r="O965" s="17" t="str">
        <f t="shared" si="140"/>
        <v/>
      </c>
      <c r="P965" s="16" t="str">
        <f t="shared" si="141"/>
        <v/>
      </c>
      <c r="Q965" s="16" t="str">
        <f t="shared" si="142"/>
        <v/>
      </c>
      <c r="R965" s="18" t="str">
        <f t="shared" si="143"/>
        <v/>
      </c>
    </row>
    <row r="966" spans="1:18">
      <c r="A966" s="12"/>
      <c r="B966" s="13"/>
      <c r="C966" s="14"/>
      <c r="D966" s="15"/>
      <c r="E966" s="15"/>
      <c r="F966" s="15"/>
      <c r="G966" s="13"/>
      <c r="H966" s="16" t="str">
        <f t="shared" si="135"/>
        <v/>
      </c>
      <c r="I966" s="17" t="str">
        <f>IF(OR(A966="",B966=""),"",IFERROR(LOOKUP(2,1/(单次交易!$A$2:$A$201=A966),单次交易!$H$2:$H$201),0)+SUMIFS($G$2:$G$1001,$A$2:$A$1001,A966,$B$2:$B$1001,"&lt;"&amp;B966))</f>
        <v/>
      </c>
      <c r="J966" s="16" t="str">
        <f>IF(OR(A966="",B966=""),"",IFERROR(LOOKUP(2,1/(单次交易!$A$2:$A$201=A966),单次交易!$E$2:$E$201)*LOOKUP(2,1/(单次交易!$A$2:$A$201=A966),单次交易!$H$2:$H$201),0)+SUMIFS($H$2:$H$1001,$A$2:$A$1001,A966,$B$2:$B$1001,"&lt;"&amp;B966))</f>
        <v/>
      </c>
      <c r="K966" s="16" t="str">
        <f t="shared" si="136"/>
        <v/>
      </c>
      <c r="L966" s="17" t="str">
        <f t="shared" si="137"/>
        <v/>
      </c>
      <c r="M966" s="17" t="str">
        <f t="shared" si="138"/>
        <v/>
      </c>
      <c r="N966" s="17" t="str">
        <f t="shared" si="139"/>
        <v/>
      </c>
      <c r="O966" s="17" t="str">
        <f t="shared" si="140"/>
        <v/>
      </c>
      <c r="P966" s="16" t="str">
        <f t="shared" si="141"/>
        <v/>
      </c>
      <c r="Q966" s="16" t="str">
        <f t="shared" si="142"/>
        <v/>
      </c>
      <c r="R966" s="18" t="str">
        <f t="shared" si="143"/>
        <v/>
      </c>
    </row>
    <row r="967" spans="1:18">
      <c r="A967" s="12"/>
      <c r="B967" s="13"/>
      <c r="C967" s="14"/>
      <c r="D967" s="15"/>
      <c r="E967" s="15"/>
      <c r="F967" s="15"/>
      <c r="G967" s="13"/>
      <c r="H967" s="16" t="str">
        <f t="shared" si="135"/>
        <v/>
      </c>
      <c r="I967" s="17" t="str">
        <f>IF(OR(A967="",B967=""),"",IFERROR(LOOKUP(2,1/(单次交易!$A$2:$A$201=A967),单次交易!$H$2:$H$201),0)+SUMIFS($G$2:$G$1001,$A$2:$A$1001,A967,$B$2:$B$1001,"&lt;"&amp;B967))</f>
        <v/>
      </c>
      <c r="J967" s="16" t="str">
        <f>IF(OR(A967="",B967=""),"",IFERROR(LOOKUP(2,1/(单次交易!$A$2:$A$201=A967),单次交易!$E$2:$E$201)*LOOKUP(2,1/(单次交易!$A$2:$A$201=A967),单次交易!$H$2:$H$201),0)+SUMIFS($H$2:$H$1001,$A$2:$A$1001,A967,$B$2:$B$1001,"&lt;"&amp;B967))</f>
        <v/>
      </c>
      <c r="K967" s="16" t="str">
        <f t="shared" si="136"/>
        <v/>
      </c>
      <c r="L967" s="17" t="str">
        <f t="shared" si="137"/>
        <v/>
      </c>
      <c r="M967" s="17" t="str">
        <f t="shared" si="138"/>
        <v/>
      </c>
      <c r="N967" s="17" t="str">
        <f t="shared" si="139"/>
        <v/>
      </c>
      <c r="O967" s="17" t="str">
        <f t="shared" si="140"/>
        <v/>
      </c>
      <c r="P967" s="16" t="str">
        <f t="shared" si="141"/>
        <v/>
      </c>
      <c r="Q967" s="16" t="str">
        <f t="shared" si="142"/>
        <v/>
      </c>
      <c r="R967" s="18" t="str">
        <f t="shared" si="143"/>
        <v/>
      </c>
    </row>
    <row r="968" spans="1:18">
      <c r="A968" s="12"/>
      <c r="B968" s="13"/>
      <c r="C968" s="14"/>
      <c r="D968" s="15"/>
      <c r="E968" s="15"/>
      <c r="F968" s="15"/>
      <c r="G968" s="13"/>
      <c r="H968" s="16" t="str">
        <f t="shared" si="135"/>
        <v/>
      </c>
      <c r="I968" s="17" t="str">
        <f>IF(OR(A968="",B968=""),"",IFERROR(LOOKUP(2,1/(单次交易!$A$2:$A$201=A968),单次交易!$H$2:$H$201),0)+SUMIFS($G$2:$G$1001,$A$2:$A$1001,A968,$B$2:$B$1001,"&lt;"&amp;B968))</f>
        <v/>
      </c>
      <c r="J968" s="16" t="str">
        <f>IF(OR(A968="",B968=""),"",IFERROR(LOOKUP(2,1/(单次交易!$A$2:$A$201=A968),单次交易!$E$2:$E$201)*LOOKUP(2,1/(单次交易!$A$2:$A$201=A968),单次交易!$H$2:$H$201),0)+SUMIFS($H$2:$H$1001,$A$2:$A$1001,A968,$B$2:$B$1001,"&lt;"&amp;B968))</f>
        <v/>
      </c>
      <c r="K968" s="16" t="str">
        <f t="shared" si="136"/>
        <v/>
      </c>
      <c r="L968" s="17" t="str">
        <f t="shared" si="137"/>
        <v/>
      </c>
      <c r="M968" s="17" t="str">
        <f t="shared" si="138"/>
        <v/>
      </c>
      <c r="N968" s="17" t="str">
        <f t="shared" si="139"/>
        <v/>
      </c>
      <c r="O968" s="17" t="str">
        <f t="shared" si="140"/>
        <v/>
      </c>
      <c r="P968" s="16" t="str">
        <f t="shared" si="141"/>
        <v/>
      </c>
      <c r="Q968" s="16" t="str">
        <f t="shared" si="142"/>
        <v/>
      </c>
      <c r="R968" s="18" t="str">
        <f t="shared" si="143"/>
        <v/>
      </c>
    </row>
    <row r="969" spans="1:18">
      <c r="A969" s="12"/>
      <c r="B969" s="13"/>
      <c r="C969" s="14"/>
      <c r="D969" s="15"/>
      <c r="E969" s="15"/>
      <c r="F969" s="15"/>
      <c r="G969" s="13"/>
      <c r="H969" s="16" t="str">
        <f t="shared" si="135"/>
        <v/>
      </c>
      <c r="I969" s="17" t="str">
        <f>IF(OR(A969="",B969=""),"",IFERROR(LOOKUP(2,1/(单次交易!$A$2:$A$201=A969),单次交易!$H$2:$H$201),0)+SUMIFS($G$2:$G$1001,$A$2:$A$1001,A969,$B$2:$B$1001,"&lt;"&amp;B969))</f>
        <v/>
      </c>
      <c r="J969" s="16" t="str">
        <f>IF(OR(A969="",B969=""),"",IFERROR(LOOKUP(2,1/(单次交易!$A$2:$A$201=A969),单次交易!$E$2:$E$201)*LOOKUP(2,1/(单次交易!$A$2:$A$201=A969),单次交易!$H$2:$H$201),0)+SUMIFS($H$2:$H$1001,$A$2:$A$1001,A969,$B$2:$B$1001,"&lt;"&amp;B969))</f>
        <v/>
      </c>
      <c r="K969" s="16" t="str">
        <f t="shared" si="136"/>
        <v/>
      </c>
      <c r="L969" s="17" t="str">
        <f t="shared" si="137"/>
        <v/>
      </c>
      <c r="M969" s="17" t="str">
        <f t="shared" si="138"/>
        <v/>
      </c>
      <c r="N969" s="17" t="str">
        <f t="shared" si="139"/>
        <v/>
      </c>
      <c r="O969" s="17" t="str">
        <f t="shared" si="140"/>
        <v/>
      </c>
      <c r="P969" s="16" t="str">
        <f t="shared" si="141"/>
        <v/>
      </c>
      <c r="Q969" s="16" t="str">
        <f t="shared" si="142"/>
        <v/>
      </c>
      <c r="R969" s="18" t="str">
        <f t="shared" si="143"/>
        <v/>
      </c>
    </row>
    <row r="970" spans="1:18">
      <c r="A970" s="12"/>
      <c r="B970" s="13"/>
      <c r="C970" s="14"/>
      <c r="D970" s="15"/>
      <c r="E970" s="15"/>
      <c r="F970" s="15"/>
      <c r="G970" s="13"/>
      <c r="H970" s="16" t="str">
        <f t="shared" si="135"/>
        <v/>
      </c>
      <c r="I970" s="17" t="str">
        <f>IF(OR(A970="",B970=""),"",IFERROR(LOOKUP(2,1/(单次交易!$A$2:$A$201=A970),单次交易!$H$2:$H$201),0)+SUMIFS($G$2:$G$1001,$A$2:$A$1001,A970,$B$2:$B$1001,"&lt;"&amp;B970))</f>
        <v/>
      </c>
      <c r="J970" s="16" t="str">
        <f>IF(OR(A970="",B970=""),"",IFERROR(LOOKUP(2,1/(单次交易!$A$2:$A$201=A970),单次交易!$E$2:$E$201)*LOOKUP(2,1/(单次交易!$A$2:$A$201=A970),单次交易!$H$2:$H$201),0)+SUMIFS($H$2:$H$1001,$A$2:$A$1001,A970,$B$2:$B$1001,"&lt;"&amp;B970))</f>
        <v/>
      </c>
      <c r="K970" s="16" t="str">
        <f t="shared" si="136"/>
        <v/>
      </c>
      <c r="L970" s="17" t="str">
        <f t="shared" si="137"/>
        <v/>
      </c>
      <c r="M970" s="17" t="str">
        <f t="shared" si="138"/>
        <v/>
      </c>
      <c r="N970" s="17" t="str">
        <f t="shared" si="139"/>
        <v/>
      </c>
      <c r="O970" s="17" t="str">
        <f t="shared" si="140"/>
        <v/>
      </c>
      <c r="P970" s="16" t="str">
        <f t="shared" si="141"/>
        <v/>
      </c>
      <c r="Q970" s="16" t="str">
        <f t="shared" si="142"/>
        <v/>
      </c>
      <c r="R970" s="18" t="str">
        <f t="shared" si="143"/>
        <v/>
      </c>
    </row>
    <row r="971" spans="1:18">
      <c r="A971" s="12"/>
      <c r="B971" s="13"/>
      <c r="C971" s="14"/>
      <c r="D971" s="15"/>
      <c r="E971" s="15"/>
      <c r="F971" s="15"/>
      <c r="G971" s="13"/>
      <c r="H971" s="16" t="str">
        <f t="shared" si="135"/>
        <v/>
      </c>
      <c r="I971" s="17" t="str">
        <f>IF(OR(A971="",B971=""),"",IFERROR(LOOKUP(2,1/(单次交易!$A$2:$A$201=A971),单次交易!$H$2:$H$201),0)+SUMIFS($G$2:$G$1001,$A$2:$A$1001,A971,$B$2:$B$1001,"&lt;"&amp;B971))</f>
        <v/>
      </c>
      <c r="J971" s="16" t="str">
        <f>IF(OR(A971="",B971=""),"",IFERROR(LOOKUP(2,1/(单次交易!$A$2:$A$201=A971),单次交易!$E$2:$E$201)*LOOKUP(2,1/(单次交易!$A$2:$A$201=A971),单次交易!$H$2:$H$201),0)+SUMIFS($H$2:$H$1001,$A$2:$A$1001,A971,$B$2:$B$1001,"&lt;"&amp;B971))</f>
        <v/>
      </c>
      <c r="K971" s="16" t="str">
        <f t="shared" si="136"/>
        <v/>
      </c>
      <c r="L971" s="17" t="str">
        <f t="shared" si="137"/>
        <v/>
      </c>
      <c r="M971" s="17" t="str">
        <f t="shared" si="138"/>
        <v/>
      </c>
      <c r="N971" s="17" t="str">
        <f t="shared" si="139"/>
        <v/>
      </c>
      <c r="O971" s="17" t="str">
        <f t="shared" si="140"/>
        <v/>
      </c>
      <c r="P971" s="16" t="str">
        <f t="shared" si="141"/>
        <v/>
      </c>
      <c r="Q971" s="16" t="str">
        <f t="shared" si="142"/>
        <v/>
      </c>
      <c r="R971" s="18" t="str">
        <f t="shared" si="143"/>
        <v/>
      </c>
    </row>
    <row r="972" spans="1:18">
      <c r="A972" s="12"/>
      <c r="B972" s="13"/>
      <c r="C972" s="14"/>
      <c r="D972" s="15"/>
      <c r="E972" s="15"/>
      <c r="F972" s="15"/>
      <c r="G972" s="13"/>
      <c r="H972" s="16" t="str">
        <f t="shared" si="135"/>
        <v/>
      </c>
      <c r="I972" s="17" t="str">
        <f>IF(OR(A972="",B972=""),"",IFERROR(LOOKUP(2,1/(单次交易!$A$2:$A$201=A972),单次交易!$H$2:$H$201),0)+SUMIFS($G$2:$G$1001,$A$2:$A$1001,A972,$B$2:$B$1001,"&lt;"&amp;B972))</f>
        <v/>
      </c>
      <c r="J972" s="16" t="str">
        <f>IF(OR(A972="",B972=""),"",IFERROR(LOOKUP(2,1/(单次交易!$A$2:$A$201=A972),单次交易!$E$2:$E$201)*LOOKUP(2,1/(单次交易!$A$2:$A$201=A972),单次交易!$H$2:$H$201),0)+SUMIFS($H$2:$H$1001,$A$2:$A$1001,A972,$B$2:$B$1001,"&lt;"&amp;B972))</f>
        <v/>
      </c>
      <c r="K972" s="16" t="str">
        <f t="shared" si="136"/>
        <v/>
      </c>
      <c r="L972" s="17" t="str">
        <f t="shared" si="137"/>
        <v/>
      </c>
      <c r="M972" s="17" t="str">
        <f t="shared" si="138"/>
        <v/>
      </c>
      <c r="N972" s="17" t="str">
        <f t="shared" si="139"/>
        <v/>
      </c>
      <c r="O972" s="17" t="str">
        <f t="shared" si="140"/>
        <v/>
      </c>
      <c r="P972" s="16" t="str">
        <f t="shared" si="141"/>
        <v/>
      </c>
      <c r="Q972" s="16" t="str">
        <f t="shared" si="142"/>
        <v/>
      </c>
      <c r="R972" s="18" t="str">
        <f t="shared" si="143"/>
        <v/>
      </c>
    </row>
    <row r="973" spans="1:18">
      <c r="A973" s="12"/>
      <c r="B973" s="13"/>
      <c r="C973" s="14"/>
      <c r="D973" s="15"/>
      <c r="E973" s="15"/>
      <c r="F973" s="15"/>
      <c r="G973" s="13"/>
      <c r="H973" s="16" t="str">
        <f t="shared" si="135"/>
        <v/>
      </c>
      <c r="I973" s="17" t="str">
        <f>IF(OR(A973="",B973=""),"",IFERROR(LOOKUP(2,1/(单次交易!$A$2:$A$201=A973),单次交易!$H$2:$H$201),0)+SUMIFS($G$2:$G$1001,$A$2:$A$1001,A973,$B$2:$B$1001,"&lt;"&amp;B973))</f>
        <v/>
      </c>
      <c r="J973" s="16" t="str">
        <f>IF(OR(A973="",B973=""),"",IFERROR(LOOKUP(2,1/(单次交易!$A$2:$A$201=A973),单次交易!$E$2:$E$201)*LOOKUP(2,1/(单次交易!$A$2:$A$201=A973),单次交易!$H$2:$H$201),0)+SUMIFS($H$2:$H$1001,$A$2:$A$1001,A973,$B$2:$B$1001,"&lt;"&amp;B973))</f>
        <v/>
      </c>
      <c r="K973" s="16" t="str">
        <f t="shared" si="136"/>
        <v/>
      </c>
      <c r="L973" s="17" t="str">
        <f t="shared" si="137"/>
        <v/>
      </c>
      <c r="M973" s="17" t="str">
        <f t="shared" si="138"/>
        <v/>
      </c>
      <c r="N973" s="17" t="str">
        <f t="shared" si="139"/>
        <v/>
      </c>
      <c r="O973" s="17" t="str">
        <f t="shared" si="140"/>
        <v/>
      </c>
      <c r="P973" s="16" t="str">
        <f t="shared" si="141"/>
        <v/>
      </c>
      <c r="Q973" s="16" t="str">
        <f t="shared" si="142"/>
        <v/>
      </c>
      <c r="R973" s="18" t="str">
        <f t="shared" si="143"/>
        <v/>
      </c>
    </row>
    <row r="974" spans="1:18">
      <c r="A974" s="12"/>
      <c r="B974" s="13"/>
      <c r="C974" s="14"/>
      <c r="D974" s="15"/>
      <c r="E974" s="15"/>
      <c r="F974" s="15"/>
      <c r="G974" s="13"/>
      <c r="H974" s="16" t="str">
        <f t="shared" si="135"/>
        <v/>
      </c>
      <c r="I974" s="17" t="str">
        <f>IF(OR(A974="",B974=""),"",IFERROR(LOOKUP(2,1/(单次交易!$A$2:$A$201=A974),单次交易!$H$2:$H$201),0)+SUMIFS($G$2:$G$1001,$A$2:$A$1001,A974,$B$2:$B$1001,"&lt;"&amp;B974))</f>
        <v/>
      </c>
      <c r="J974" s="16" t="str">
        <f>IF(OR(A974="",B974=""),"",IFERROR(LOOKUP(2,1/(单次交易!$A$2:$A$201=A974),单次交易!$E$2:$E$201)*LOOKUP(2,1/(单次交易!$A$2:$A$201=A974),单次交易!$H$2:$H$201),0)+SUMIFS($H$2:$H$1001,$A$2:$A$1001,A974,$B$2:$B$1001,"&lt;"&amp;B974))</f>
        <v/>
      </c>
      <c r="K974" s="16" t="str">
        <f t="shared" si="136"/>
        <v/>
      </c>
      <c r="L974" s="17" t="str">
        <f t="shared" si="137"/>
        <v/>
      </c>
      <c r="M974" s="17" t="str">
        <f t="shared" si="138"/>
        <v/>
      </c>
      <c r="N974" s="17" t="str">
        <f t="shared" si="139"/>
        <v/>
      </c>
      <c r="O974" s="17" t="str">
        <f t="shared" si="140"/>
        <v/>
      </c>
      <c r="P974" s="16" t="str">
        <f t="shared" si="141"/>
        <v/>
      </c>
      <c r="Q974" s="16" t="str">
        <f t="shared" si="142"/>
        <v/>
      </c>
      <c r="R974" s="18" t="str">
        <f t="shared" si="143"/>
        <v/>
      </c>
    </row>
    <row r="975" spans="1:18">
      <c r="A975" s="12"/>
      <c r="B975" s="13"/>
      <c r="C975" s="14"/>
      <c r="D975" s="15"/>
      <c r="E975" s="15"/>
      <c r="F975" s="15"/>
      <c r="G975" s="13"/>
      <c r="H975" s="16" t="str">
        <f t="shared" si="135"/>
        <v/>
      </c>
      <c r="I975" s="17" t="str">
        <f>IF(OR(A975="",B975=""),"",IFERROR(LOOKUP(2,1/(单次交易!$A$2:$A$201=A975),单次交易!$H$2:$H$201),0)+SUMIFS($G$2:$G$1001,$A$2:$A$1001,A975,$B$2:$B$1001,"&lt;"&amp;B975))</f>
        <v/>
      </c>
      <c r="J975" s="16" t="str">
        <f>IF(OR(A975="",B975=""),"",IFERROR(LOOKUP(2,1/(单次交易!$A$2:$A$201=A975),单次交易!$E$2:$E$201)*LOOKUP(2,1/(单次交易!$A$2:$A$201=A975),单次交易!$H$2:$H$201),0)+SUMIFS($H$2:$H$1001,$A$2:$A$1001,A975,$B$2:$B$1001,"&lt;"&amp;B975))</f>
        <v/>
      </c>
      <c r="K975" s="16" t="str">
        <f t="shared" si="136"/>
        <v/>
      </c>
      <c r="L975" s="17" t="str">
        <f t="shared" si="137"/>
        <v/>
      </c>
      <c r="M975" s="17" t="str">
        <f t="shared" si="138"/>
        <v/>
      </c>
      <c r="N975" s="17" t="str">
        <f t="shared" si="139"/>
        <v/>
      </c>
      <c r="O975" s="17" t="str">
        <f t="shared" si="140"/>
        <v/>
      </c>
      <c r="P975" s="16" t="str">
        <f t="shared" si="141"/>
        <v/>
      </c>
      <c r="Q975" s="16" t="str">
        <f t="shared" si="142"/>
        <v/>
      </c>
      <c r="R975" s="18" t="str">
        <f t="shared" si="143"/>
        <v/>
      </c>
    </row>
    <row r="976" spans="1:18">
      <c r="A976" s="12"/>
      <c r="B976" s="13"/>
      <c r="C976" s="14"/>
      <c r="D976" s="15"/>
      <c r="E976" s="15"/>
      <c r="F976" s="15"/>
      <c r="G976" s="13"/>
      <c r="H976" s="16" t="str">
        <f t="shared" si="135"/>
        <v/>
      </c>
      <c r="I976" s="17" t="str">
        <f>IF(OR(A976="",B976=""),"",IFERROR(LOOKUP(2,1/(单次交易!$A$2:$A$201=A976),单次交易!$H$2:$H$201),0)+SUMIFS($G$2:$G$1001,$A$2:$A$1001,A976,$B$2:$B$1001,"&lt;"&amp;B976))</f>
        <v/>
      </c>
      <c r="J976" s="16" t="str">
        <f>IF(OR(A976="",B976=""),"",IFERROR(LOOKUP(2,1/(单次交易!$A$2:$A$201=A976),单次交易!$E$2:$E$201)*LOOKUP(2,1/(单次交易!$A$2:$A$201=A976),单次交易!$H$2:$H$201),0)+SUMIFS($H$2:$H$1001,$A$2:$A$1001,A976,$B$2:$B$1001,"&lt;"&amp;B976))</f>
        <v/>
      </c>
      <c r="K976" s="16" t="str">
        <f t="shared" si="136"/>
        <v/>
      </c>
      <c r="L976" s="17" t="str">
        <f t="shared" si="137"/>
        <v/>
      </c>
      <c r="M976" s="17" t="str">
        <f t="shared" si="138"/>
        <v/>
      </c>
      <c r="N976" s="17" t="str">
        <f t="shared" si="139"/>
        <v/>
      </c>
      <c r="O976" s="17" t="str">
        <f t="shared" si="140"/>
        <v/>
      </c>
      <c r="P976" s="16" t="str">
        <f t="shared" si="141"/>
        <v/>
      </c>
      <c r="Q976" s="16" t="str">
        <f t="shared" si="142"/>
        <v/>
      </c>
      <c r="R976" s="18" t="str">
        <f t="shared" si="143"/>
        <v/>
      </c>
    </row>
    <row r="977" spans="1:18">
      <c r="A977" s="12"/>
      <c r="B977" s="13"/>
      <c r="C977" s="14"/>
      <c r="D977" s="15"/>
      <c r="E977" s="15"/>
      <c r="F977" s="15"/>
      <c r="G977" s="13"/>
      <c r="H977" s="16" t="str">
        <f t="shared" si="135"/>
        <v/>
      </c>
      <c r="I977" s="17" t="str">
        <f>IF(OR(A977="",B977=""),"",IFERROR(LOOKUP(2,1/(单次交易!$A$2:$A$201=A977),单次交易!$H$2:$H$201),0)+SUMIFS($G$2:$G$1001,$A$2:$A$1001,A977,$B$2:$B$1001,"&lt;"&amp;B977))</f>
        <v/>
      </c>
      <c r="J977" s="16" t="str">
        <f>IF(OR(A977="",B977=""),"",IFERROR(LOOKUP(2,1/(单次交易!$A$2:$A$201=A977),单次交易!$E$2:$E$201)*LOOKUP(2,1/(单次交易!$A$2:$A$201=A977),单次交易!$H$2:$H$201),0)+SUMIFS($H$2:$H$1001,$A$2:$A$1001,A977,$B$2:$B$1001,"&lt;"&amp;B977))</f>
        <v/>
      </c>
      <c r="K977" s="16" t="str">
        <f t="shared" si="136"/>
        <v/>
      </c>
      <c r="L977" s="17" t="str">
        <f t="shared" si="137"/>
        <v/>
      </c>
      <c r="M977" s="17" t="str">
        <f t="shared" si="138"/>
        <v/>
      </c>
      <c r="N977" s="17" t="str">
        <f t="shared" si="139"/>
        <v/>
      </c>
      <c r="O977" s="17" t="str">
        <f t="shared" si="140"/>
        <v/>
      </c>
      <c r="P977" s="16" t="str">
        <f t="shared" si="141"/>
        <v/>
      </c>
      <c r="Q977" s="16" t="str">
        <f t="shared" si="142"/>
        <v/>
      </c>
      <c r="R977" s="18" t="str">
        <f t="shared" si="143"/>
        <v/>
      </c>
    </row>
    <row r="978" spans="1:18">
      <c r="A978" s="12"/>
      <c r="B978" s="13"/>
      <c r="C978" s="14"/>
      <c r="D978" s="15"/>
      <c r="E978" s="15"/>
      <c r="F978" s="15"/>
      <c r="G978" s="13"/>
      <c r="H978" s="16" t="str">
        <f t="shared" si="135"/>
        <v/>
      </c>
      <c r="I978" s="17" t="str">
        <f>IF(OR(A978="",B978=""),"",IFERROR(LOOKUP(2,1/(单次交易!$A$2:$A$201=A978),单次交易!$H$2:$H$201),0)+SUMIFS($G$2:$G$1001,$A$2:$A$1001,A978,$B$2:$B$1001,"&lt;"&amp;B978))</f>
        <v/>
      </c>
      <c r="J978" s="16" t="str">
        <f>IF(OR(A978="",B978=""),"",IFERROR(LOOKUP(2,1/(单次交易!$A$2:$A$201=A978),单次交易!$E$2:$E$201)*LOOKUP(2,1/(单次交易!$A$2:$A$201=A978),单次交易!$H$2:$H$201),0)+SUMIFS($H$2:$H$1001,$A$2:$A$1001,A978,$B$2:$B$1001,"&lt;"&amp;B978))</f>
        <v/>
      </c>
      <c r="K978" s="16" t="str">
        <f t="shared" si="136"/>
        <v/>
      </c>
      <c r="L978" s="17" t="str">
        <f t="shared" si="137"/>
        <v/>
      </c>
      <c r="M978" s="17" t="str">
        <f t="shared" si="138"/>
        <v/>
      </c>
      <c r="N978" s="17" t="str">
        <f t="shared" si="139"/>
        <v/>
      </c>
      <c r="O978" s="17" t="str">
        <f t="shared" si="140"/>
        <v/>
      </c>
      <c r="P978" s="16" t="str">
        <f t="shared" si="141"/>
        <v/>
      </c>
      <c r="Q978" s="16" t="str">
        <f t="shared" si="142"/>
        <v/>
      </c>
      <c r="R978" s="18" t="str">
        <f t="shared" si="143"/>
        <v/>
      </c>
    </row>
    <row r="979" spans="1:18">
      <c r="A979" s="12"/>
      <c r="B979" s="13"/>
      <c r="C979" s="14"/>
      <c r="D979" s="15"/>
      <c r="E979" s="15"/>
      <c r="F979" s="15"/>
      <c r="G979" s="13"/>
      <c r="H979" s="16" t="str">
        <f t="shared" si="135"/>
        <v/>
      </c>
      <c r="I979" s="17" t="str">
        <f>IF(OR(A979="",B979=""),"",IFERROR(LOOKUP(2,1/(单次交易!$A$2:$A$201=A979),单次交易!$H$2:$H$201),0)+SUMIFS($G$2:$G$1001,$A$2:$A$1001,A979,$B$2:$B$1001,"&lt;"&amp;B979))</f>
        <v/>
      </c>
      <c r="J979" s="16" t="str">
        <f>IF(OR(A979="",B979=""),"",IFERROR(LOOKUP(2,1/(单次交易!$A$2:$A$201=A979),单次交易!$E$2:$E$201)*LOOKUP(2,1/(单次交易!$A$2:$A$201=A979),单次交易!$H$2:$H$201),0)+SUMIFS($H$2:$H$1001,$A$2:$A$1001,A979,$B$2:$B$1001,"&lt;"&amp;B979))</f>
        <v/>
      </c>
      <c r="K979" s="16" t="str">
        <f t="shared" si="136"/>
        <v/>
      </c>
      <c r="L979" s="17" t="str">
        <f t="shared" si="137"/>
        <v/>
      </c>
      <c r="M979" s="17" t="str">
        <f t="shared" si="138"/>
        <v/>
      </c>
      <c r="N979" s="17" t="str">
        <f t="shared" si="139"/>
        <v/>
      </c>
      <c r="O979" s="17" t="str">
        <f t="shared" si="140"/>
        <v/>
      </c>
      <c r="P979" s="16" t="str">
        <f t="shared" si="141"/>
        <v/>
      </c>
      <c r="Q979" s="16" t="str">
        <f t="shared" si="142"/>
        <v/>
      </c>
      <c r="R979" s="18" t="str">
        <f t="shared" si="143"/>
        <v/>
      </c>
    </row>
    <row r="980" spans="1:18">
      <c r="A980" s="12"/>
      <c r="B980" s="13"/>
      <c r="C980" s="14"/>
      <c r="D980" s="15"/>
      <c r="E980" s="15"/>
      <c r="F980" s="15"/>
      <c r="G980" s="13"/>
      <c r="H980" s="16" t="str">
        <f t="shared" si="135"/>
        <v/>
      </c>
      <c r="I980" s="17" t="str">
        <f>IF(OR(A980="",B980=""),"",IFERROR(LOOKUP(2,1/(单次交易!$A$2:$A$201=A980),单次交易!$H$2:$H$201),0)+SUMIFS($G$2:$G$1001,$A$2:$A$1001,A980,$B$2:$B$1001,"&lt;"&amp;B980))</f>
        <v/>
      </c>
      <c r="J980" s="16" t="str">
        <f>IF(OR(A980="",B980=""),"",IFERROR(LOOKUP(2,1/(单次交易!$A$2:$A$201=A980),单次交易!$E$2:$E$201)*LOOKUP(2,1/(单次交易!$A$2:$A$201=A980),单次交易!$H$2:$H$201),0)+SUMIFS($H$2:$H$1001,$A$2:$A$1001,A980,$B$2:$B$1001,"&lt;"&amp;B980))</f>
        <v/>
      </c>
      <c r="K980" s="16" t="str">
        <f t="shared" si="136"/>
        <v/>
      </c>
      <c r="L980" s="17" t="str">
        <f t="shared" si="137"/>
        <v/>
      </c>
      <c r="M980" s="17" t="str">
        <f t="shared" si="138"/>
        <v/>
      </c>
      <c r="N980" s="17" t="str">
        <f t="shared" si="139"/>
        <v/>
      </c>
      <c r="O980" s="17" t="str">
        <f t="shared" si="140"/>
        <v/>
      </c>
      <c r="P980" s="16" t="str">
        <f t="shared" si="141"/>
        <v/>
      </c>
      <c r="Q980" s="16" t="str">
        <f t="shared" si="142"/>
        <v/>
      </c>
      <c r="R980" s="18" t="str">
        <f t="shared" si="143"/>
        <v/>
      </c>
    </row>
    <row r="981" spans="1:18">
      <c r="A981" s="12"/>
      <c r="B981" s="13"/>
      <c r="C981" s="14"/>
      <c r="D981" s="15"/>
      <c r="E981" s="15"/>
      <c r="F981" s="15"/>
      <c r="G981" s="13"/>
      <c r="H981" s="16" t="str">
        <f t="shared" si="135"/>
        <v/>
      </c>
      <c r="I981" s="17" t="str">
        <f>IF(OR(A981="",B981=""),"",IFERROR(LOOKUP(2,1/(单次交易!$A$2:$A$201=A981),单次交易!$H$2:$H$201),0)+SUMIFS($G$2:$G$1001,$A$2:$A$1001,A981,$B$2:$B$1001,"&lt;"&amp;B981))</f>
        <v/>
      </c>
      <c r="J981" s="16" t="str">
        <f>IF(OR(A981="",B981=""),"",IFERROR(LOOKUP(2,1/(单次交易!$A$2:$A$201=A981),单次交易!$E$2:$E$201)*LOOKUP(2,1/(单次交易!$A$2:$A$201=A981),单次交易!$H$2:$H$201),0)+SUMIFS($H$2:$H$1001,$A$2:$A$1001,A981,$B$2:$B$1001,"&lt;"&amp;B981))</f>
        <v/>
      </c>
      <c r="K981" s="16" t="str">
        <f t="shared" si="136"/>
        <v/>
      </c>
      <c r="L981" s="17" t="str">
        <f t="shared" si="137"/>
        <v/>
      </c>
      <c r="M981" s="17" t="str">
        <f t="shared" si="138"/>
        <v/>
      </c>
      <c r="N981" s="17" t="str">
        <f t="shared" si="139"/>
        <v/>
      </c>
      <c r="O981" s="17" t="str">
        <f t="shared" si="140"/>
        <v/>
      </c>
      <c r="P981" s="16" t="str">
        <f t="shared" si="141"/>
        <v/>
      </c>
      <c r="Q981" s="16" t="str">
        <f t="shared" si="142"/>
        <v/>
      </c>
      <c r="R981" s="18" t="str">
        <f t="shared" si="143"/>
        <v/>
      </c>
    </row>
    <row r="982" spans="1:18">
      <c r="A982" s="12"/>
      <c r="B982" s="13"/>
      <c r="C982" s="14"/>
      <c r="D982" s="15"/>
      <c r="E982" s="15"/>
      <c r="F982" s="15"/>
      <c r="G982" s="13"/>
      <c r="H982" s="16" t="str">
        <f t="shared" si="135"/>
        <v/>
      </c>
      <c r="I982" s="17" t="str">
        <f>IF(OR(A982="",B982=""),"",IFERROR(LOOKUP(2,1/(单次交易!$A$2:$A$201=A982),单次交易!$H$2:$H$201),0)+SUMIFS($G$2:$G$1001,$A$2:$A$1001,A982,$B$2:$B$1001,"&lt;"&amp;B982))</f>
        <v/>
      </c>
      <c r="J982" s="16" t="str">
        <f>IF(OR(A982="",B982=""),"",IFERROR(LOOKUP(2,1/(单次交易!$A$2:$A$201=A982),单次交易!$E$2:$E$201)*LOOKUP(2,1/(单次交易!$A$2:$A$201=A982),单次交易!$H$2:$H$201),0)+SUMIFS($H$2:$H$1001,$A$2:$A$1001,A982,$B$2:$B$1001,"&lt;"&amp;B982))</f>
        <v/>
      </c>
      <c r="K982" s="16" t="str">
        <f t="shared" si="136"/>
        <v/>
      </c>
      <c r="L982" s="17" t="str">
        <f t="shared" si="137"/>
        <v/>
      </c>
      <c r="M982" s="17" t="str">
        <f t="shared" si="138"/>
        <v/>
      </c>
      <c r="N982" s="17" t="str">
        <f t="shared" si="139"/>
        <v/>
      </c>
      <c r="O982" s="17" t="str">
        <f t="shared" si="140"/>
        <v/>
      </c>
      <c r="P982" s="16" t="str">
        <f t="shared" si="141"/>
        <v/>
      </c>
      <c r="Q982" s="16" t="str">
        <f t="shared" si="142"/>
        <v/>
      </c>
      <c r="R982" s="18" t="str">
        <f t="shared" si="143"/>
        <v/>
      </c>
    </row>
    <row r="983" spans="1:18">
      <c r="A983" s="12"/>
      <c r="B983" s="13"/>
      <c r="C983" s="14"/>
      <c r="D983" s="15"/>
      <c r="E983" s="15"/>
      <c r="F983" s="15"/>
      <c r="G983" s="13"/>
      <c r="H983" s="16" t="str">
        <f t="shared" si="135"/>
        <v/>
      </c>
      <c r="I983" s="17" t="str">
        <f>IF(OR(A983="",B983=""),"",IFERROR(LOOKUP(2,1/(单次交易!$A$2:$A$201=A983),单次交易!$H$2:$H$201),0)+SUMIFS($G$2:$G$1001,$A$2:$A$1001,A983,$B$2:$B$1001,"&lt;"&amp;B983))</f>
        <v/>
      </c>
      <c r="J983" s="16" t="str">
        <f>IF(OR(A983="",B983=""),"",IFERROR(LOOKUP(2,1/(单次交易!$A$2:$A$201=A983),单次交易!$E$2:$E$201)*LOOKUP(2,1/(单次交易!$A$2:$A$201=A983),单次交易!$H$2:$H$201),0)+SUMIFS($H$2:$H$1001,$A$2:$A$1001,A983,$B$2:$B$1001,"&lt;"&amp;B983))</f>
        <v/>
      </c>
      <c r="K983" s="16" t="str">
        <f t="shared" si="136"/>
        <v/>
      </c>
      <c r="L983" s="17" t="str">
        <f t="shared" si="137"/>
        <v/>
      </c>
      <c r="M983" s="17" t="str">
        <f t="shared" si="138"/>
        <v/>
      </c>
      <c r="N983" s="17" t="str">
        <f t="shared" si="139"/>
        <v/>
      </c>
      <c r="O983" s="17" t="str">
        <f t="shared" si="140"/>
        <v/>
      </c>
      <c r="P983" s="16" t="str">
        <f t="shared" si="141"/>
        <v/>
      </c>
      <c r="Q983" s="16" t="str">
        <f t="shared" si="142"/>
        <v/>
      </c>
      <c r="R983" s="18" t="str">
        <f t="shared" si="143"/>
        <v/>
      </c>
    </row>
    <row r="984" spans="1:18">
      <c r="A984" s="12"/>
      <c r="B984" s="13"/>
      <c r="C984" s="14"/>
      <c r="D984" s="15"/>
      <c r="E984" s="15"/>
      <c r="F984" s="15"/>
      <c r="G984" s="13"/>
      <c r="H984" s="16" t="str">
        <f t="shared" si="135"/>
        <v/>
      </c>
      <c r="I984" s="17" t="str">
        <f>IF(OR(A984="",B984=""),"",IFERROR(LOOKUP(2,1/(单次交易!$A$2:$A$201=A984),单次交易!$H$2:$H$201),0)+SUMIFS($G$2:$G$1001,$A$2:$A$1001,A984,$B$2:$B$1001,"&lt;"&amp;B984))</f>
        <v/>
      </c>
      <c r="J984" s="16" t="str">
        <f>IF(OR(A984="",B984=""),"",IFERROR(LOOKUP(2,1/(单次交易!$A$2:$A$201=A984),单次交易!$E$2:$E$201)*LOOKUP(2,1/(单次交易!$A$2:$A$201=A984),单次交易!$H$2:$H$201),0)+SUMIFS($H$2:$H$1001,$A$2:$A$1001,A984,$B$2:$B$1001,"&lt;"&amp;B984))</f>
        <v/>
      </c>
      <c r="K984" s="16" t="str">
        <f t="shared" si="136"/>
        <v/>
      </c>
      <c r="L984" s="17" t="str">
        <f t="shared" si="137"/>
        <v/>
      </c>
      <c r="M984" s="17" t="str">
        <f t="shared" si="138"/>
        <v/>
      </c>
      <c r="N984" s="17" t="str">
        <f t="shared" si="139"/>
        <v/>
      </c>
      <c r="O984" s="17" t="str">
        <f t="shared" si="140"/>
        <v/>
      </c>
      <c r="P984" s="16" t="str">
        <f t="shared" si="141"/>
        <v/>
      </c>
      <c r="Q984" s="16" t="str">
        <f t="shared" si="142"/>
        <v/>
      </c>
      <c r="R984" s="18" t="str">
        <f t="shared" si="143"/>
        <v/>
      </c>
    </row>
    <row r="985" spans="1:18">
      <c r="A985" s="12"/>
      <c r="B985" s="13"/>
      <c r="C985" s="14"/>
      <c r="D985" s="15"/>
      <c r="E985" s="15"/>
      <c r="F985" s="15"/>
      <c r="G985" s="13"/>
      <c r="H985" s="16" t="str">
        <f t="shared" si="135"/>
        <v/>
      </c>
      <c r="I985" s="17" t="str">
        <f>IF(OR(A985="",B985=""),"",IFERROR(LOOKUP(2,1/(单次交易!$A$2:$A$201=A985),单次交易!$H$2:$H$201),0)+SUMIFS($G$2:$G$1001,$A$2:$A$1001,A985,$B$2:$B$1001,"&lt;"&amp;B985))</f>
        <v/>
      </c>
      <c r="J985" s="16" t="str">
        <f>IF(OR(A985="",B985=""),"",IFERROR(LOOKUP(2,1/(单次交易!$A$2:$A$201=A985),单次交易!$E$2:$E$201)*LOOKUP(2,1/(单次交易!$A$2:$A$201=A985),单次交易!$H$2:$H$201),0)+SUMIFS($H$2:$H$1001,$A$2:$A$1001,A985,$B$2:$B$1001,"&lt;"&amp;B985))</f>
        <v/>
      </c>
      <c r="K985" s="16" t="str">
        <f t="shared" si="136"/>
        <v/>
      </c>
      <c r="L985" s="17" t="str">
        <f t="shared" si="137"/>
        <v/>
      </c>
      <c r="M985" s="17" t="str">
        <f t="shared" si="138"/>
        <v/>
      </c>
      <c r="N985" s="17" t="str">
        <f t="shared" si="139"/>
        <v/>
      </c>
      <c r="O985" s="17" t="str">
        <f t="shared" si="140"/>
        <v/>
      </c>
      <c r="P985" s="16" t="str">
        <f t="shared" si="141"/>
        <v/>
      </c>
      <c r="Q985" s="16" t="str">
        <f t="shared" si="142"/>
        <v/>
      </c>
      <c r="R985" s="18" t="str">
        <f t="shared" si="143"/>
        <v/>
      </c>
    </row>
    <row r="986" spans="1:18">
      <c r="A986" s="12"/>
      <c r="B986" s="13"/>
      <c r="C986" s="14"/>
      <c r="D986" s="15"/>
      <c r="E986" s="15"/>
      <c r="F986" s="15"/>
      <c r="G986" s="13"/>
      <c r="H986" s="16" t="str">
        <f t="shared" si="135"/>
        <v/>
      </c>
      <c r="I986" s="17" t="str">
        <f>IF(OR(A986="",B986=""),"",IFERROR(LOOKUP(2,1/(单次交易!$A$2:$A$201=A986),单次交易!$H$2:$H$201),0)+SUMIFS($G$2:$G$1001,$A$2:$A$1001,A986,$B$2:$B$1001,"&lt;"&amp;B986))</f>
        <v/>
      </c>
      <c r="J986" s="16" t="str">
        <f>IF(OR(A986="",B986=""),"",IFERROR(LOOKUP(2,1/(单次交易!$A$2:$A$201=A986),单次交易!$E$2:$E$201)*LOOKUP(2,1/(单次交易!$A$2:$A$201=A986),单次交易!$H$2:$H$201),0)+SUMIFS($H$2:$H$1001,$A$2:$A$1001,A986,$B$2:$B$1001,"&lt;"&amp;B986))</f>
        <v/>
      </c>
      <c r="K986" s="16" t="str">
        <f t="shared" si="136"/>
        <v/>
      </c>
      <c r="L986" s="17" t="str">
        <f t="shared" si="137"/>
        <v/>
      </c>
      <c r="M986" s="17" t="str">
        <f t="shared" si="138"/>
        <v/>
      </c>
      <c r="N986" s="17" t="str">
        <f t="shared" si="139"/>
        <v/>
      </c>
      <c r="O986" s="17" t="str">
        <f t="shared" si="140"/>
        <v/>
      </c>
      <c r="P986" s="16" t="str">
        <f t="shared" si="141"/>
        <v/>
      </c>
      <c r="Q986" s="16" t="str">
        <f t="shared" si="142"/>
        <v/>
      </c>
      <c r="R986" s="18" t="str">
        <f t="shared" si="143"/>
        <v/>
      </c>
    </row>
    <row r="987" spans="1:18">
      <c r="A987" s="12"/>
      <c r="B987" s="13"/>
      <c r="C987" s="14"/>
      <c r="D987" s="15"/>
      <c r="E987" s="15"/>
      <c r="F987" s="15"/>
      <c r="G987" s="13"/>
      <c r="H987" s="16" t="str">
        <f t="shared" si="135"/>
        <v/>
      </c>
      <c r="I987" s="17" t="str">
        <f>IF(OR(A987="",B987=""),"",IFERROR(LOOKUP(2,1/(单次交易!$A$2:$A$201=A987),单次交易!$H$2:$H$201),0)+SUMIFS($G$2:$G$1001,$A$2:$A$1001,A987,$B$2:$B$1001,"&lt;"&amp;B987))</f>
        <v/>
      </c>
      <c r="J987" s="16" t="str">
        <f>IF(OR(A987="",B987=""),"",IFERROR(LOOKUP(2,1/(单次交易!$A$2:$A$201=A987),单次交易!$E$2:$E$201)*LOOKUP(2,1/(单次交易!$A$2:$A$201=A987),单次交易!$H$2:$H$201),0)+SUMIFS($H$2:$H$1001,$A$2:$A$1001,A987,$B$2:$B$1001,"&lt;"&amp;B987))</f>
        <v/>
      </c>
      <c r="K987" s="16" t="str">
        <f t="shared" si="136"/>
        <v/>
      </c>
      <c r="L987" s="17" t="str">
        <f t="shared" si="137"/>
        <v/>
      </c>
      <c r="M987" s="17" t="str">
        <f t="shared" si="138"/>
        <v/>
      </c>
      <c r="N987" s="17" t="str">
        <f t="shared" si="139"/>
        <v/>
      </c>
      <c r="O987" s="17" t="str">
        <f t="shared" si="140"/>
        <v/>
      </c>
      <c r="P987" s="16" t="str">
        <f t="shared" si="141"/>
        <v/>
      </c>
      <c r="Q987" s="16" t="str">
        <f t="shared" si="142"/>
        <v/>
      </c>
      <c r="R987" s="18" t="str">
        <f t="shared" si="143"/>
        <v/>
      </c>
    </row>
    <row r="988" spans="1:18">
      <c r="A988" s="12"/>
      <c r="B988" s="13"/>
      <c r="C988" s="14"/>
      <c r="D988" s="15"/>
      <c r="E988" s="15"/>
      <c r="F988" s="15"/>
      <c r="G988" s="13"/>
      <c r="H988" s="16" t="str">
        <f t="shared" si="135"/>
        <v/>
      </c>
      <c r="I988" s="17" t="str">
        <f>IF(OR(A988="",B988=""),"",IFERROR(LOOKUP(2,1/(单次交易!$A$2:$A$201=A988),单次交易!$H$2:$H$201),0)+SUMIFS($G$2:$G$1001,$A$2:$A$1001,A988,$B$2:$B$1001,"&lt;"&amp;B988))</f>
        <v/>
      </c>
      <c r="J988" s="16" t="str">
        <f>IF(OR(A988="",B988=""),"",IFERROR(LOOKUP(2,1/(单次交易!$A$2:$A$201=A988),单次交易!$E$2:$E$201)*LOOKUP(2,1/(单次交易!$A$2:$A$201=A988),单次交易!$H$2:$H$201),0)+SUMIFS($H$2:$H$1001,$A$2:$A$1001,A988,$B$2:$B$1001,"&lt;"&amp;B988))</f>
        <v/>
      </c>
      <c r="K988" s="16" t="str">
        <f t="shared" si="136"/>
        <v/>
      </c>
      <c r="L988" s="17" t="str">
        <f t="shared" si="137"/>
        <v/>
      </c>
      <c r="M988" s="17" t="str">
        <f t="shared" si="138"/>
        <v/>
      </c>
      <c r="N988" s="17" t="str">
        <f t="shared" si="139"/>
        <v/>
      </c>
      <c r="O988" s="17" t="str">
        <f t="shared" si="140"/>
        <v/>
      </c>
      <c r="P988" s="16" t="str">
        <f t="shared" si="141"/>
        <v/>
      </c>
      <c r="Q988" s="16" t="str">
        <f t="shared" si="142"/>
        <v/>
      </c>
      <c r="R988" s="18" t="str">
        <f t="shared" si="143"/>
        <v/>
      </c>
    </row>
    <row r="989" spans="1:18">
      <c r="A989" s="12"/>
      <c r="B989" s="13"/>
      <c r="C989" s="14"/>
      <c r="D989" s="15"/>
      <c r="E989" s="15"/>
      <c r="F989" s="15"/>
      <c r="G989" s="13"/>
      <c r="H989" s="16" t="str">
        <f t="shared" si="135"/>
        <v/>
      </c>
      <c r="I989" s="17" t="str">
        <f>IF(OR(A989="",B989=""),"",IFERROR(LOOKUP(2,1/(单次交易!$A$2:$A$201=A989),单次交易!$H$2:$H$201),0)+SUMIFS($G$2:$G$1001,$A$2:$A$1001,A989,$B$2:$B$1001,"&lt;"&amp;B989))</f>
        <v/>
      </c>
      <c r="J989" s="16" t="str">
        <f>IF(OR(A989="",B989=""),"",IFERROR(LOOKUP(2,1/(单次交易!$A$2:$A$201=A989),单次交易!$E$2:$E$201)*LOOKUP(2,1/(单次交易!$A$2:$A$201=A989),单次交易!$H$2:$H$201),0)+SUMIFS($H$2:$H$1001,$A$2:$A$1001,A989,$B$2:$B$1001,"&lt;"&amp;B989))</f>
        <v/>
      </c>
      <c r="K989" s="16" t="str">
        <f t="shared" si="136"/>
        <v/>
      </c>
      <c r="L989" s="17" t="str">
        <f t="shared" si="137"/>
        <v/>
      </c>
      <c r="M989" s="17" t="str">
        <f t="shared" si="138"/>
        <v/>
      </c>
      <c r="N989" s="17" t="str">
        <f t="shared" si="139"/>
        <v/>
      </c>
      <c r="O989" s="17" t="str">
        <f t="shared" si="140"/>
        <v/>
      </c>
      <c r="P989" s="16" t="str">
        <f t="shared" si="141"/>
        <v/>
      </c>
      <c r="Q989" s="16" t="str">
        <f t="shared" si="142"/>
        <v/>
      </c>
      <c r="R989" s="18" t="str">
        <f t="shared" si="143"/>
        <v/>
      </c>
    </row>
    <row r="990" spans="1:18">
      <c r="A990" s="12"/>
      <c r="B990" s="13"/>
      <c r="C990" s="14"/>
      <c r="D990" s="15"/>
      <c r="E990" s="15"/>
      <c r="F990" s="15"/>
      <c r="G990" s="13"/>
      <c r="H990" s="16" t="str">
        <f t="shared" si="135"/>
        <v/>
      </c>
      <c r="I990" s="17" t="str">
        <f>IF(OR(A990="",B990=""),"",IFERROR(LOOKUP(2,1/(单次交易!$A$2:$A$201=A990),单次交易!$H$2:$H$201),0)+SUMIFS($G$2:$G$1001,$A$2:$A$1001,A990,$B$2:$B$1001,"&lt;"&amp;B990))</f>
        <v/>
      </c>
      <c r="J990" s="16" t="str">
        <f>IF(OR(A990="",B990=""),"",IFERROR(LOOKUP(2,1/(单次交易!$A$2:$A$201=A990),单次交易!$E$2:$E$201)*LOOKUP(2,1/(单次交易!$A$2:$A$201=A990),单次交易!$H$2:$H$201),0)+SUMIFS($H$2:$H$1001,$A$2:$A$1001,A990,$B$2:$B$1001,"&lt;"&amp;B990))</f>
        <v/>
      </c>
      <c r="K990" s="16" t="str">
        <f t="shared" si="136"/>
        <v/>
      </c>
      <c r="L990" s="17" t="str">
        <f t="shared" si="137"/>
        <v/>
      </c>
      <c r="M990" s="17" t="str">
        <f t="shared" si="138"/>
        <v/>
      </c>
      <c r="N990" s="17" t="str">
        <f t="shared" si="139"/>
        <v/>
      </c>
      <c r="O990" s="17" t="str">
        <f t="shared" si="140"/>
        <v/>
      </c>
      <c r="P990" s="16" t="str">
        <f t="shared" si="141"/>
        <v/>
      </c>
      <c r="Q990" s="16" t="str">
        <f t="shared" si="142"/>
        <v/>
      </c>
      <c r="R990" s="18" t="str">
        <f t="shared" si="143"/>
        <v/>
      </c>
    </row>
    <row r="991" spans="1:18">
      <c r="A991" s="12"/>
      <c r="B991" s="13"/>
      <c r="C991" s="14"/>
      <c r="D991" s="15"/>
      <c r="E991" s="15"/>
      <c r="F991" s="15"/>
      <c r="G991" s="13"/>
      <c r="H991" s="16" t="str">
        <f t="shared" si="135"/>
        <v/>
      </c>
      <c r="I991" s="17" t="str">
        <f>IF(OR(A991="",B991=""),"",IFERROR(LOOKUP(2,1/(单次交易!$A$2:$A$201=A991),单次交易!$H$2:$H$201),0)+SUMIFS($G$2:$G$1001,$A$2:$A$1001,A991,$B$2:$B$1001,"&lt;"&amp;B991))</f>
        <v/>
      </c>
      <c r="J991" s="16" t="str">
        <f>IF(OR(A991="",B991=""),"",IFERROR(LOOKUP(2,1/(单次交易!$A$2:$A$201=A991),单次交易!$E$2:$E$201)*LOOKUP(2,1/(单次交易!$A$2:$A$201=A991),单次交易!$H$2:$H$201),0)+SUMIFS($H$2:$H$1001,$A$2:$A$1001,A991,$B$2:$B$1001,"&lt;"&amp;B991))</f>
        <v/>
      </c>
      <c r="K991" s="16" t="str">
        <f t="shared" si="136"/>
        <v/>
      </c>
      <c r="L991" s="17" t="str">
        <f t="shared" si="137"/>
        <v/>
      </c>
      <c r="M991" s="17" t="str">
        <f t="shared" si="138"/>
        <v/>
      </c>
      <c r="N991" s="17" t="str">
        <f t="shared" si="139"/>
        <v/>
      </c>
      <c r="O991" s="17" t="str">
        <f t="shared" si="140"/>
        <v/>
      </c>
      <c r="P991" s="16" t="str">
        <f t="shared" si="141"/>
        <v/>
      </c>
      <c r="Q991" s="16" t="str">
        <f t="shared" si="142"/>
        <v/>
      </c>
      <c r="R991" s="18" t="str">
        <f t="shared" si="143"/>
        <v/>
      </c>
    </row>
    <row r="992" spans="1:18">
      <c r="A992" s="12"/>
      <c r="B992" s="13"/>
      <c r="C992" s="14"/>
      <c r="D992" s="15"/>
      <c r="E992" s="15"/>
      <c r="F992" s="15"/>
      <c r="G992" s="13"/>
      <c r="H992" s="16" t="str">
        <f t="shared" si="135"/>
        <v/>
      </c>
      <c r="I992" s="17" t="str">
        <f>IF(OR(A992="",B992=""),"",IFERROR(LOOKUP(2,1/(单次交易!$A$2:$A$201=A992),单次交易!$H$2:$H$201),0)+SUMIFS($G$2:$G$1001,$A$2:$A$1001,A992,$B$2:$B$1001,"&lt;"&amp;B992))</f>
        <v/>
      </c>
      <c r="J992" s="16" t="str">
        <f>IF(OR(A992="",B992=""),"",IFERROR(LOOKUP(2,1/(单次交易!$A$2:$A$201=A992),单次交易!$E$2:$E$201)*LOOKUP(2,1/(单次交易!$A$2:$A$201=A992),单次交易!$H$2:$H$201),0)+SUMIFS($H$2:$H$1001,$A$2:$A$1001,A992,$B$2:$B$1001,"&lt;"&amp;B992))</f>
        <v/>
      </c>
      <c r="K992" s="16" t="str">
        <f t="shared" si="136"/>
        <v/>
      </c>
      <c r="L992" s="17" t="str">
        <f t="shared" si="137"/>
        <v/>
      </c>
      <c r="M992" s="17" t="str">
        <f t="shared" si="138"/>
        <v/>
      </c>
      <c r="N992" s="17" t="str">
        <f t="shared" si="139"/>
        <v/>
      </c>
      <c r="O992" s="17" t="str">
        <f t="shared" si="140"/>
        <v/>
      </c>
      <c r="P992" s="16" t="str">
        <f t="shared" si="141"/>
        <v/>
      </c>
      <c r="Q992" s="16" t="str">
        <f t="shared" si="142"/>
        <v/>
      </c>
      <c r="R992" s="18" t="str">
        <f t="shared" si="143"/>
        <v/>
      </c>
    </row>
    <row r="993" spans="1:18">
      <c r="A993" s="12"/>
      <c r="B993" s="13"/>
      <c r="C993" s="14"/>
      <c r="D993" s="15"/>
      <c r="E993" s="15"/>
      <c r="F993" s="15"/>
      <c r="G993" s="13"/>
      <c r="H993" s="16" t="str">
        <f t="shared" si="135"/>
        <v/>
      </c>
      <c r="I993" s="17" t="str">
        <f>IF(OR(A993="",B993=""),"",IFERROR(LOOKUP(2,1/(单次交易!$A$2:$A$201=A993),单次交易!$H$2:$H$201),0)+SUMIFS($G$2:$G$1001,$A$2:$A$1001,A993,$B$2:$B$1001,"&lt;"&amp;B993))</f>
        <v/>
      </c>
      <c r="J993" s="16" t="str">
        <f>IF(OR(A993="",B993=""),"",IFERROR(LOOKUP(2,1/(单次交易!$A$2:$A$201=A993),单次交易!$E$2:$E$201)*LOOKUP(2,1/(单次交易!$A$2:$A$201=A993),单次交易!$H$2:$H$201),0)+SUMIFS($H$2:$H$1001,$A$2:$A$1001,A993,$B$2:$B$1001,"&lt;"&amp;B993))</f>
        <v/>
      </c>
      <c r="K993" s="16" t="str">
        <f t="shared" si="136"/>
        <v/>
      </c>
      <c r="L993" s="17" t="str">
        <f t="shared" si="137"/>
        <v/>
      </c>
      <c r="M993" s="17" t="str">
        <f t="shared" si="138"/>
        <v/>
      </c>
      <c r="N993" s="17" t="str">
        <f t="shared" si="139"/>
        <v/>
      </c>
      <c r="O993" s="17" t="str">
        <f t="shared" si="140"/>
        <v/>
      </c>
      <c r="P993" s="16" t="str">
        <f t="shared" si="141"/>
        <v/>
      </c>
      <c r="Q993" s="16" t="str">
        <f t="shared" si="142"/>
        <v/>
      </c>
      <c r="R993" s="18" t="str">
        <f t="shared" si="143"/>
        <v/>
      </c>
    </row>
    <row r="994" spans="1:18">
      <c r="A994" s="12"/>
      <c r="B994" s="13"/>
      <c r="C994" s="14"/>
      <c r="D994" s="15"/>
      <c r="E994" s="15"/>
      <c r="F994" s="15"/>
      <c r="G994" s="13"/>
      <c r="H994" s="16" t="str">
        <f t="shared" si="135"/>
        <v/>
      </c>
      <c r="I994" s="17" t="str">
        <f>IF(OR(A994="",B994=""),"",IFERROR(LOOKUP(2,1/(单次交易!$A$2:$A$201=A994),单次交易!$H$2:$H$201),0)+SUMIFS($G$2:$G$1001,$A$2:$A$1001,A994,$B$2:$B$1001,"&lt;"&amp;B994))</f>
        <v/>
      </c>
      <c r="J994" s="16" t="str">
        <f>IF(OR(A994="",B994=""),"",IFERROR(LOOKUP(2,1/(单次交易!$A$2:$A$201=A994),单次交易!$E$2:$E$201)*LOOKUP(2,1/(单次交易!$A$2:$A$201=A994),单次交易!$H$2:$H$201),0)+SUMIFS($H$2:$H$1001,$A$2:$A$1001,A994,$B$2:$B$1001,"&lt;"&amp;B994))</f>
        <v/>
      </c>
      <c r="K994" s="16" t="str">
        <f t="shared" si="136"/>
        <v/>
      </c>
      <c r="L994" s="17" t="str">
        <f t="shared" si="137"/>
        <v/>
      </c>
      <c r="M994" s="17" t="str">
        <f t="shared" si="138"/>
        <v/>
      </c>
      <c r="N994" s="17" t="str">
        <f t="shared" si="139"/>
        <v/>
      </c>
      <c r="O994" s="17" t="str">
        <f t="shared" si="140"/>
        <v/>
      </c>
      <c r="P994" s="16" t="str">
        <f t="shared" si="141"/>
        <v/>
      </c>
      <c r="Q994" s="16" t="str">
        <f t="shared" si="142"/>
        <v/>
      </c>
      <c r="R994" s="18" t="str">
        <f t="shared" si="143"/>
        <v/>
      </c>
    </row>
    <row r="995" spans="1:18">
      <c r="A995" s="12"/>
      <c r="B995" s="13"/>
      <c r="C995" s="14"/>
      <c r="D995" s="15"/>
      <c r="E995" s="15"/>
      <c r="F995" s="15"/>
      <c r="G995" s="13"/>
      <c r="H995" s="16" t="str">
        <f t="shared" si="135"/>
        <v/>
      </c>
      <c r="I995" s="17" t="str">
        <f>IF(OR(A995="",B995=""),"",IFERROR(LOOKUP(2,1/(单次交易!$A$2:$A$201=A995),单次交易!$H$2:$H$201),0)+SUMIFS($G$2:$G$1001,$A$2:$A$1001,A995,$B$2:$B$1001,"&lt;"&amp;B995))</f>
        <v/>
      </c>
      <c r="J995" s="16" t="str">
        <f>IF(OR(A995="",B995=""),"",IFERROR(LOOKUP(2,1/(单次交易!$A$2:$A$201=A995),单次交易!$E$2:$E$201)*LOOKUP(2,1/(单次交易!$A$2:$A$201=A995),单次交易!$H$2:$H$201),0)+SUMIFS($H$2:$H$1001,$A$2:$A$1001,A995,$B$2:$B$1001,"&lt;"&amp;B995))</f>
        <v/>
      </c>
      <c r="K995" s="16" t="str">
        <f t="shared" si="136"/>
        <v/>
      </c>
      <c r="L995" s="17" t="str">
        <f t="shared" si="137"/>
        <v/>
      </c>
      <c r="M995" s="17" t="str">
        <f t="shared" si="138"/>
        <v/>
      </c>
      <c r="N995" s="17" t="str">
        <f t="shared" si="139"/>
        <v/>
      </c>
      <c r="O995" s="17" t="str">
        <f t="shared" si="140"/>
        <v/>
      </c>
      <c r="P995" s="16" t="str">
        <f t="shared" si="141"/>
        <v/>
      </c>
      <c r="Q995" s="16" t="str">
        <f t="shared" si="142"/>
        <v/>
      </c>
      <c r="R995" s="18" t="str">
        <f t="shared" si="143"/>
        <v/>
      </c>
    </row>
    <row r="996" spans="1:18">
      <c r="A996" s="12"/>
      <c r="B996" s="13"/>
      <c r="C996" s="14"/>
      <c r="D996" s="15"/>
      <c r="E996" s="15"/>
      <c r="F996" s="15"/>
      <c r="G996" s="13"/>
      <c r="H996" s="16" t="str">
        <f t="shared" si="135"/>
        <v/>
      </c>
      <c r="I996" s="17" t="str">
        <f>IF(OR(A996="",B996=""),"",IFERROR(LOOKUP(2,1/(单次交易!$A$2:$A$201=A996),单次交易!$H$2:$H$201),0)+SUMIFS($G$2:$G$1001,$A$2:$A$1001,A996,$B$2:$B$1001,"&lt;"&amp;B996))</f>
        <v/>
      </c>
      <c r="J996" s="16" t="str">
        <f>IF(OR(A996="",B996=""),"",IFERROR(LOOKUP(2,1/(单次交易!$A$2:$A$201=A996),单次交易!$E$2:$E$201)*LOOKUP(2,1/(单次交易!$A$2:$A$201=A996),单次交易!$H$2:$H$201),0)+SUMIFS($H$2:$H$1001,$A$2:$A$1001,A996,$B$2:$B$1001,"&lt;"&amp;B996))</f>
        <v/>
      </c>
      <c r="K996" s="16" t="str">
        <f t="shared" si="136"/>
        <v/>
      </c>
      <c r="L996" s="17" t="str">
        <f t="shared" si="137"/>
        <v/>
      </c>
      <c r="M996" s="17" t="str">
        <f t="shared" si="138"/>
        <v/>
      </c>
      <c r="N996" s="17" t="str">
        <f t="shared" si="139"/>
        <v/>
      </c>
      <c r="O996" s="17" t="str">
        <f t="shared" si="140"/>
        <v/>
      </c>
      <c r="P996" s="16" t="str">
        <f t="shared" si="141"/>
        <v/>
      </c>
      <c r="Q996" s="16" t="str">
        <f t="shared" si="142"/>
        <v/>
      </c>
      <c r="R996" s="18" t="str">
        <f t="shared" si="143"/>
        <v/>
      </c>
    </row>
    <row r="997" spans="1:18">
      <c r="A997" s="12"/>
      <c r="B997" s="13"/>
      <c r="C997" s="14"/>
      <c r="D997" s="15"/>
      <c r="E997" s="15"/>
      <c r="F997" s="15"/>
      <c r="G997" s="13"/>
      <c r="H997" s="16" t="str">
        <f t="shared" si="135"/>
        <v/>
      </c>
      <c r="I997" s="17" t="str">
        <f>IF(OR(A997="",B997=""),"",IFERROR(LOOKUP(2,1/(单次交易!$A$2:$A$201=A997),单次交易!$H$2:$H$201),0)+SUMIFS($G$2:$G$1001,$A$2:$A$1001,A997,$B$2:$B$1001,"&lt;"&amp;B997))</f>
        <v/>
      </c>
      <c r="J997" s="16" t="str">
        <f>IF(OR(A997="",B997=""),"",IFERROR(LOOKUP(2,1/(单次交易!$A$2:$A$201=A997),单次交易!$E$2:$E$201)*LOOKUP(2,1/(单次交易!$A$2:$A$201=A997),单次交易!$H$2:$H$201),0)+SUMIFS($H$2:$H$1001,$A$2:$A$1001,A997,$B$2:$B$1001,"&lt;"&amp;B997))</f>
        <v/>
      </c>
      <c r="K997" s="16" t="str">
        <f t="shared" si="136"/>
        <v/>
      </c>
      <c r="L997" s="17" t="str">
        <f t="shared" si="137"/>
        <v/>
      </c>
      <c r="M997" s="17" t="str">
        <f t="shared" si="138"/>
        <v/>
      </c>
      <c r="N997" s="17" t="str">
        <f t="shared" si="139"/>
        <v/>
      </c>
      <c r="O997" s="17" t="str">
        <f t="shared" si="140"/>
        <v/>
      </c>
      <c r="P997" s="16" t="str">
        <f t="shared" si="141"/>
        <v/>
      </c>
      <c r="Q997" s="16" t="str">
        <f t="shared" si="142"/>
        <v/>
      </c>
      <c r="R997" s="18" t="str">
        <f t="shared" si="143"/>
        <v/>
      </c>
    </row>
    <row r="998" spans="1:18">
      <c r="A998" s="12"/>
      <c r="B998" s="13"/>
      <c r="C998" s="14"/>
      <c r="D998" s="15"/>
      <c r="E998" s="15"/>
      <c r="F998" s="15"/>
      <c r="G998" s="13"/>
      <c r="H998" s="16" t="str">
        <f t="shared" si="135"/>
        <v/>
      </c>
      <c r="I998" s="17" t="str">
        <f>IF(OR(A998="",B998=""),"",IFERROR(LOOKUP(2,1/(单次交易!$A$2:$A$201=A998),单次交易!$H$2:$H$201),0)+SUMIFS($G$2:$G$1001,$A$2:$A$1001,A998,$B$2:$B$1001,"&lt;"&amp;B998))</f>
        <v/>
      </c>
      <c r="J998" s="16" t="str">
        <f>IF(OR(A998="",B998=""),"",IFERROR(LOOKUP(2,1/(单次交易!$A$2:$A$201=A998),单次交易!$E$2:$E$201)*LOOKUP(2,1/(单次交易!$A$2:$A$201=A998),单次交易!$H$2:$H$201),0)+SUMIFS($H$2:$H$1001,$A$2:$A$1001,A998,$B$2:$B$1001,"&lt;"&amp;B998))</f>
        <v/>
      </c>
      <c r="K998" s="16" t="str">
        <f t="shared" si="136"/>
        <v/>
      </c>
      <c r="L998" s="17" t="str">
        <f t="shared" si="137"/>
        <v/>
      </c>
      <c r="M998" s="17" t="str">
        <f t="shared" si="138"/>
        <v/>
      </c>
      <c r="N998" s="17" t="str">
        <f t="shared" si="139"/>
        <v/>
      </c>
      <c r="O998" s="17" t="str">
        <f t="shared" si="140"/>
        <v/>
      </c>
      <c r="P998" s="16" t="str">
        <f t="shared" si="141"/>
        <v/>
      </c>
      <c r="Q998" s="16" t="str">
        <f t="shared" si="142"/>
        <v/>
      </c>
      <c r="R998" s="18" t="str">
        <f t="shared" si="143"/>
        <v/>
      </c>
    </row>
    <row r="999" spans="1:18">
      <c r="A999" s="12"/>
      <c r="B999" s="13"/>
      <c r="C999" s="14"/>
      <c r="D999" s="15"/>
      <c r="E999" s="15"/>
      <c r="F999" s="15"/>
      <c r="G999" s="13"/>
      <c r="H999" s="16" t="str">
        <f t="shared" si="135"/>
        <v/>
      </c>
      <c r="I999" s="17" t="str">
        <f>IF(OR(A999="",B999=""),"",IFERROR(LOOKUP(2,1/(单次交易!$A$2:$A$201=A999),单次交易!$H$2:$H$201),0)+SUMIFS($G$2:$G$1001,$A$2:$A$1001,A999,$B$2:$B$1001,"&lt;"&amp;B999))</f>
        <v/>
      </c>
      <c r="J999" s="16" t="str">
        <f>IF(OR(A999="",B999=""),"",IFERROR(LOOKUP(2,1/(单次交易!$A$2:$A$201=A999),单次交易!$E$2:$E$201)*LOOKUP(2,1/(单次交易!$A$2:$A$201=A999),单次交易!$H$2:$H$201),0)+SUMIFS($H$2:$H$1001,$A$2:$A$1001,A999,$B$2:$B$1001,"&lt;"&amp;B999))</f>
        <v/>
      </c>
      <c r="K999" s="16" t="str">
        <f t="shared" si="136"/>
        <v/>
      </c>
      <c r="L999" s="17" t="str">
        <f t="shared" si="137"/>
        <v/>
      </c>
      <c r="M999" s="17" t="str">
        <f t="shared" si="138"/>
        <v/>
      </c>
      <c r="N999" s="17" t="str">
        <f t="shared" si="139"/>
        <v/>
      </c>
      <c r="O999" s="17" t="str">
        <f t="shared" si="140"/>
        <v/>
      </c>
      <c r="P999" s="16" t="str">
        <f t="shared" si="141"/>
        <v/>
      </c>
      <c r="Q999" s="16" t="str">
        <f t="shared" si="142"/>
        <v/>
      </c>
      <c r="R999" s="18" t="str">
        <f t="shared" si="143"/>
        <v/>
      </c>
    </row>
    <row r="1000" spans="1:18">
      <c r="A1000" s="12"/>
      <c r="B1000" s="13"/>
      <c r="C1000" s="14"/>
      <c r="D1000" s="15"/>
      <c r="E1000" s="15"/>
      <c r="F1000" s="15"/>
      <c r="G1000" s="13"/>
      <c r="H1000" s="16" t="str">
        <f t="shared" si="135"/>
        <v/>
      </c>
      <c r="I1000" s="17" t="str">
        <f>IF(OR(A1000="",B1000=""),"",IFERROR(LOOKUP(2,1/(单次交易!$A$2:$A$201=A1000),单次交易!$H$2:$H$201),0)+SUMIFS($G$2:$G$1001,$A$2:$A$1001,A1000,$B$2:$B$1001,"&lt;"&amp;B1000))</f>
        <v/>
      </c>
      <c r="J1000" s="16" t="str">
        <f>IF(OR(A1000="",B1000=""),"",IFERROR(LOOKUP(2,1/(单次交易!$A$2:$A$201=A1000),单次交易!$E$2:$E$201)*LOOKUP(2,1/(单次交易!$A$2:$A$201=A1000),单次交易!$H$2:$H$201),0)+SUMIFS($H$2:$H$1001,$A$2:$A$1001,A1000,$B$2:$B$1001,"&lt;"&amp;B1000))</f>
        <v/>
      </c>
      <c r="K1000" s="16" t="str">
        <f t="shared" si="136"/>
        <v/>
      </c>
      <c r="L1000" s="17" t="str">
        <f t="shared" si="137"/>
        <v/>
      </c>
      <c r="M1000" s="17" t="str">
        <f t="shared" si="138"/>
        <v/>
      </c>
      <c r="N1000" s="17" t="str">
        <f t="shared" si="139"/>
        <v/>
      </c>
      <c r="O1000" s="17" t="str">
        <f t="shared" si="140"/>
        <v/>
      </c>
      <c r="P1000" s="16" t="str">
        <f t="shared" si="141"/>
        <v/>
      </c>
      <c r="Q1000" s="16" t="str">
        <f t="shared" si="142"/>
        <v/>
      </c>
      <c r="R1000" s="18" t="str">
        <f t="shared" si="143"/>
        <v/>
      </c>
    </row>
    <row r="1001" spans="1:18">
      <c r="A1001" s="12"/>
      <c r="B1001" s="13"/>
      <c r="C1001" s="14"/>
      <c r="D1001" s="15"/>
      <c r="E1001" s="15"/>
      <c r="F1001" s="15"/>
      <c r="G1001" s="13"/>
      <c r="H1001" s="16" t="str">
        <f t="shared" si="135"/>
        <v/>
      </c>
      <c r="I1001" s="17" t="str">
        <f>IF(OR(A1001="",B1001=""),"",IFERROR(LOOKUP(2,1/(单次交易!$A$2:$A$201=A1001),单次交易!$H$2:$H$201),0)+SUMIFS($G$2:$G$1001,$A$2:$A$1001,A1001,$B$2:$B$1001,"&lt;"&amp;B1001))</f>
        <v/>
      </c>
      <c r="J1001" s="16" t="str">
        <f>IF(OR(A1001="",B1001=""),"",IFERROR(LOOKUP(2,1/(单次交易!$A$2:$A$201=A1001),单次交易!$E$2:$E$201)*LOOKUP(2,1/(单次交易!$A$2:$A$201=A1001),单次交易!$H$2:$H$201),0)+SUMIFS($H$2:$H$1001,$A$2:$A$1001,A1001,$B$2:$B$1001,"&lt;"&amp;B1001))</f>
        <v/>
      </c>
      <c r="K1001" s="16" t="str">
        <f t="shared" si="136"/>
        <v/>
      </c>
      <c r="L1001" s="17" t="str">
        <f t="shared" si="137"/>
        <v/>
      </c>
      <c r="M1001" s="17" t="str">
        <f t="shared" si="138"/>
        <v/>
      </c>
      <c r="N1001" s="17" t="str">
        <f t="shared" si="139"/>
        <v/>
      </c>
      <c r="O1001" s="17" t="str">
        <f t="shared" si="140"/>
        <v/>
      </c>
      <c r="P1001" s="16" t="str">
        <f t="shared" si="141"/>
        <v/>
      </c>
      <c r="Q1001" s="16" t="str">
        <f t="shared" si="142"/>
        <v/>
      </c>
      <c r="R1001" s="18" t="str">
        <f t="shared" si="143"/>
        <v/>
      </c>
    </row>
  </sheetData>
  <phoneticPr fontId="9" type="noConversion"/>
  <conditionalFormatting sqref="R2:R1001">
    <cfRule type="expression" dxfId="7" priority="2">
      <formula>ISNUMBER(SEARCH("违规",$R2))</formula>
    </cfRule>
    <cfRule type="expression" dxfId="6" priority="3">
      <formula>ISNUMBER(SEARCH("通过",$R2))</formula>
    </cfRule>
    <cfRule type="expression" dxfId="5" priority="4">
      <formula>ISNUMBER(SEARCH("计划可执行",$R2))</formula>
    </cfRule>
  </conditionalFormatting>
  <dataValidations count="5">
    <dataValidation type="list" showErrorMessage="1" errorTitle="交易编号无效" error="请从单次交易表已有交易编号中选择" sqref="A2:A1001" xr:uid="{00000000-0002-0000-0100-000000000000}">
      <formula1>_TradeIds</formula1>
    </dataValidation>
    <dataValidation type="whole" showErrorMessage="1" errorTitle="加仓序号无效" error="每笔交易最多加仓5次，请填写1到5" sqref="B2:B1001" xr:uid="{00000000-0002-0000-0100-000001000000}">
      <formula1>1</formula1>
      <formula2>5</formula2>
    </dataValidation>
    <dataValidation type="date" sqref="C2:C1001" xr:uid="{00000000-0002-0000-0100-000002000000}">
      <formula1>DATE(2000,1,1)</formula1>
      <formula2>DATE(2100,12,31)</formula2>
    </dataValidation>
    <dataValidation type="custom" showErrorMessage="1" errorTitle="实际股数无效" error="实际加仓股数须为100股整数倍；风险与金字塔限制由规则检查列提示" sqref="G2:G1001" xr:uid="{00000000-0002-0000-0100-000003000000}">
      <formula1>OR(G2="",AND(ISNUMBER(G2),G2&gt;0,G2=INT(G2),MOD(G2,100)=0))</formula1>
    </dataValidation>
    <dataValidation type="decimal" operator="greaterThan" showErrorMessage="1" errorTitle="金额无效" error="请输入大于0的数值" sqref="D2:F1001" xr:uid="{00000000-0002-0000-0100-000004000000}">
      <formula1>0</formula1>
    </dataValidation>
  </dataValidations>
  <pageMargins left="0.75" right="0.75" top="1" bottom="1" header="0.511811023622047" footer="0.511811023622047"/>
  <pageSetup fitToHeight="0" orientation="landscape" horizontalDpi="300" verticalDpi="30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>
      <pane ySplit="1" topLeftCell="A2" activePane="bottomLeft" state="frozen"/>
      <selection pane="bottomLeft" activeCell="B18" sqref="B18"/>
    </sheetView>
  </sheetViews>
  <sheetFormatPr defaultColWidth="9" defaultRowHeight="13.5"/>
  <cols>
    <col min="1" max="1" width="28" customWidth="1"/>
    <col min="2" max="2" width="20" customWidth="1"/>
    <col min="3" max="3" width="72" customWidth="1"/>
  </cols>
  <sheetData>
    <row r="1" spans="1:3">
      <c r="A1" s="1" t="s">
        <v>73</v>
      </c>
      <c r="B1" s="1" t="s">
        <v>74</v>
      </c>
      <c r="C1" s="1" t="s">
        <v>75</v>
      </c>
    </row>
    <row r="2" spans="1:3">
      <c r="A2" s="2" t="s">
        <v>76</v>
      </c>
      <c r="B2" s="6">
        <f>COUNT(单次交易!M2:M201)</f>
        <v>135</v>
      </c>
      <c r="C2" s="2" t="s">
        <v>77</v>
      </c>
    </row>
    <row r="3" spans="1:3">
      <c r="A3" s="2" t="s">
        <v>78</v>
      </c>
      <c r="B3" s="6">
        <f>COUNTIF(单次交易!X2:X201,"&gt;0")</f>
        <v>61</v>
      </c>
      <c r="C3" s="2" t="s">
        <v>79</v>
      </c>
    </row>
    <row r="4" spans="1:3">
      <c r="A4" s="2" t="s">
        <v>80</v>
      </c>
      <c r="B4" s="6">
        <f>COUNTIF(单次交易!X2:X201,"&lt;0")</f>
        <v>75</v>
      </c>
      <c r="C4" s="2" t="s">
        <v>81</v>
      </c>
    </row>
    <row r="5" spans="1:3">
      <c r="A5" s="2" t="s">
        <v>82</v>
      </c>
      <c r="B5" s="6">
        <f>COUNTIFS(单次交易!M2:M201,"&lt;&gt;",单次交易!X2:X201,"=0")</f>
        <v>0</v>
      </c>
      <c r="C5" s="2" t="s">
        <v>83</v>
      </c>
    </row>
    <row r="6" spans="1:3">
      <c r="A6" s="2" t="s">
        <v>84</v>
      </c>
      <c r="B6" s="5">
        <f>IFERROR(B3/(B3+B4),"")</f>
        <v>0.4485294117647059</v>
      </c>
      <c r="C6" s="2" t="s">
        <v>85</v>
      </c>
    </row>
    <row r="7" spans="1:3">
      <c r="A7" s="2" t="s">
        <v>86</v>
      </c>
      <c r="B7" s="5">
        <f>IFERROR(B4/(B3+B4),"")</f>
        <v>0.55147058823529416</v>
      </c>
      <c r="C7" s="2" t="s">
        <v>87</v>
      </c>
    </row>
    <row r="8" spans="1:3">
      <c r="A8" s="2" t="s">
        <v>88</v>
      </c>
      <c r="B8" s="5">
        <f>IFERROR(AVERAGEIF(单次交易!X2:X201,"&gt;0",单次交易!AE2:AE201),"")</f>
        <v>0.11021266890889468</v>
      </c>
      <c r="C8" s="2" t="s">
        <v>89</v>
      </c>
    </row>
    <row r="9" spans="1:3">
      <c r="A9" s="2" t="s">
        <v>90</v>
      </c>
      <c r="B9" s="5">
        <f>IFERROR(-AVERAGEIF(单次交易!X2:X201,"&lt;0",单次交易!AE2:AE201),"")</f>
        <v>4.396491669510362E-2</v>
      </c>
      <c r="C9" s="2" t="s">
        <v>91</v>
      </c>
    </row>
    <row r="10" spans="1:3">
      <c r="A10" s="2" t="s">
        <v>92</v>
      </c>
      <c r="B10" s="6">
        <f>SUMIF(单次交易!X2:X201,"&gt;0",单次交易!AA2:AA201)</f>
        <v>3050</v>
      </c>
      <c r="C10" s="2" t="s">
        <v>93</v>
      </c>
    </row>
    <row r="11" spans="1:3">
      <c r="A11" s="2" t="s">
        <v>94</v>
      </c>
      <c r="B11" s="6">
        <f>SUMIF(单次交易!X2:X201,"&lt;0",单次交易!AA2:AA201)</f>
        <v>2226</v>
      </c>
      <c r="C11" s="2" t="s">
        <v>93</v>
      </c>
    </row>
    <row r="12" spans="1:3">
      <c r="A12" s="2" t="s">
        <v>95</v>
      </c>
      <c r="B12" s="3">
        <f>IFERROR(SUMPRODUCT(单次交易!AO2:AO201,单次交易!AP2:AP201)/COUNT(单次交易!AP2:AP201),"")</f>
        <v>176472.64705882352</v>
      </c>
      <c r="C12" s="2" t="s">
        <v>96</v>
      </c>
    </row>
    <row r="13" spans="1:3">
      <c r="A13" s="2" t="s">
        <v>97</v>
      </c>
      <c r="B13" s="5">
        <f>IF(OR(B6="",B7="",B8="",B9=""),"",B6*B8-B7*B9)</f>
        <v>2.5188265083160327E-2</v>
      </c>
      <c r="C13" s="2" t="s">
        <v>98</v>
      </c>
    </row>
    <row r="14" spans="1:3">
      <c r="A14" s="2" t="s">
        <v>99</v>
      </c>
      <c r="B14" s="5">
        <f>IF(COUNT(单次交易!AE2:AE201)=0,"",EXP(SUMPRODUCT(IFERROR(LN(1+单次交易!AE2:AE201),0)))-1)</f>
        <v>2.080194268494262E-2</v>
      </c>
      <c r="C14" s="2" t="s">
        <v>100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3"/>
  <sheetViews>
    <sheetView showGridLines="0" workbookViewId="0">
      <pane ySplit="1" topLeftCell="A2" activePane="bottomLeft" state="frozen"/>
      <selection pane="bottomLeft" activeCell="C27" sqref="C27"/>
    </sheetView>
  </sheetViews>
  <sheetFormatPr defaultColWidth="9" defaultRowHeight="13.5"/>
  <cols>
    <col min="1" max="1" width="28" customWidth="1"/>
    <col min="2" max="2" width="20" customWidth="1"/>
    <col min="3" max="3" width="72" customWidth="1"/>
  </cols>
  <sheetData>
    <row r="1" spans="1:3">
      <c r="A1" s="1" t="s">
        <v>73</v>
      </c>
      <c r="B1" s="1" t="s">
        <v>101</v>
      </c>
      <c r="C1" s="1" t="s">
        <v>102</v>
      </c>
    </row>
    <row r="2" spans="1:3">
      <c r="A2" s="2" t="s">
        <v>103</v>
      </c>
      <c r="B2" s="7">
        <v>100000</v>
      </c>
      <c r="C2" s="2" t="s">
        <v>104</v>
      </c>
    </row>
    <row r="3" spans="1:3">
      <c r="A3" s="2" t="s">
        <v>105</v>
      </c>
      <c r="B3" s="3">
        <f>IF(B2="","",B2+SUM(单次交易!X2:X201))</f>
        <v>1205088.0000000002</v>
      </c>
      <c r="C3" s="2" t="s">
        <v>106</v>
      </c>
    </row>
    <row r="4" spans="1:3">
      <c r="A4" s="2" t="s">
        <v>107</v>
      </c>
      <c r="B4" s="4">
        <v>0.02</v>
      </c>
      <c r="C4" s="2" t="s">
        <v>108</v>
      </c>
    </row>
    <row r="5" spans="1:3">
      <c r="A5" s="2" t="s">
        <v>109</v>
      </c>
      <c r="B5" s="3">
        <f>IF(B3="","",B3*B4)</f>
        <v>24101.760000000006</v>
      </c>
      <c r="C5" s="2" t="s">
        <v>110</v>
      </c>
    </row>
    <row r="6" spans="1:3">
      <c r="A6" s="2" t="s">
        <v>111</v>
      </c>
      <c r="B6" s="4">
        <v>0.06</v>
      </c>
      <c r="C6" s="2" t="s">
        <v>112</v>
      </c>
    </row>
    <row r="7" spans="1:3">
      <c r="A7" s="2" t="s">
        <v>113</v>
      </c>
      <c r="B7" s="3">
        <f>IF(B3="","",B3*B6)</f>
        <v>72305.280000000013</v>
      </c>
      <c r="C7" s="2" t="s">
        <v>114</v>
      </c>
    </row>
    <row r="8" spans="1:3">
      <c r="A8" s="2" t="s">
        <v>115</v>
      </c>
      <c r="B8" s="3">
        <f ca="1">SUMIFS(单次交易!X2:X201,单次交易!X2:X201,"&lt;0",单次交易!M2:M201,"&gt;="&amp;EOMONTH(TODAY(),-1)+1,单次交易!M2:M201,"&lt;="&amp;EOMONTH(TODAY(),0))</f>
        <v>0</v>
      </c>
      <c r="C8" s="2" t="s">
        <v>116</v>
      </c>
    </row>
    <row r="9" spans="1:3">
      <c r="A9" s="2" t="s">
        <v>117</v>
      </c>
      <c r="B9" s="3">
        <f>IFERROR(SUM(单次交易!AQ2:AQ201),0)</f>
        <v>22500</v>
      </c>
      <c r="C9" s="2" t="s">
        <v>118</v>
      </c>
    </row>
    <row r="10" spans="1:3">
      <c r="A10" s="2" t="s">
        <v>119</v>
      </c>
      <c r="B10" s="3">
        <f>IF(OR(B7="",B9=""),"",B7-B9)</f>
        <v>49805.280000000013</v>
      </c>
      <c r="C10" s="2" t="s">
        <v>120</v>
      </c>
    </row>
    <row r="11" spans="1:3">
      <c r="A11" s="2" t="s">
        <v>121</v>
      </c>
      <c r="B11" s="5">
        <f>IF(OR(B2="",B3="",B2&lt;=0),"",B3/B2-1)</f>
        <v>11.050880000000003</v>
      </c>
      <c r="C11" s="2" t="s">
        <v>122</v>
      </c>
    </row>
    <row r="12" spans="1:3">
      <c r="A12" s="2"/>
      <c r="B12" s="2"/>
      <c r="C12" s="2"/>
    </row>
    <row r="13" spans="1:3">
      <c r="A13" s="2" t="s">
        <v>123</v>
      </c>
      <c r="B13" s="4">
        <v>0.06</v>
      </c>
      <c r="C13" s="2" t="s">
        <v>124</v>
      </c>
    </row>
    <row r="14" spans="1:3">
      <c r="A14" s="2" t="s">
        <v>125</v>
      </c>
      <c r="B14" s="8">
        <f>IFERROR(LOOKUP(2,1/((单次交易!$M$2:$M$201&lt;&gt;"")*(单次交易!$X$2:$X$201&gt;0)),ROW(单次交易!$X$2:$X$201)-1),0)</f>
        <v>134</v>
      </c>
      <c r="C14" s="2" t="s">
        <v>126</v>
      </c>
    </row>
    <row r="15" spans="1:3">
      <c r="A15" s="2" t="s">
        <v>127</v>
      </c>
      <c r="B15" s="8">
        <f>IFERROR(LOOKUP(2,1/(单次交易!$M$2:$M$201&lt;&gt;""),ROW(单次交易!$M$2:$M$201)-1),0)</f>
        <v>135</v>
      </c>
      <c r="C15" s="2" t="s">
        <v>128</v>
      </c>
    </row>
    <row r="16" spans="1:3">
      <c r="A16" s="2" t="s">
        <v>129</v>
      </c>
      <c r="B16" s="9">
        <v>118</v>
      </c>
      <c r="C16" s="2" t="s">
        <v>130</v>
      </c>
    </row>
    <row r="17" spans="1:3" ht="27" customHeight="1">
      <c r="A17" s="2" t="s">
        <v>131</v>
      </c>
      <c r="B17" s="10" t="s">
        <v>132</v>
      </c>
      <c r="C17" s="2" t="s">
        <v>133</v>
      </c>
    </row>
    <row r="18" spans="1:3">
      <c r="A18" s="2" t="s">
        <v>134</v>
      </c>
      <c r="B18" s="8">
        <f>MAX(B14,IF(AND(ISNUMBER(B16),B16&gt;=1,B16&lt;=B15,B17&lt;&gt;""),B16,0))</f>
        <v>134</v>
      </c>
      <c r="C18" s="2" t="s">
        <v>135</v>
      </c>
    </row>
    <row r="19" spans="1:3">
      <c r="A19" s="2" t="s">
        <v>136</v>
      </c>
      <c r="B19" s="3">
        <f>IF(B2="","",IF(B18=0,B2,B2+SUM(单次交易!$X$2:INDEX(单次交易!$X:$X,B18+1))))</f>
        <v>1235288.0000000002</v>
      </c>
      <c r="C19" s="2" t="s">
        <v>137</v>
      </c>
    </row>
    <row r="20" spans="1:3">
      <c r="A20" s="2" t="s">
        <v>138</v>
      </c>
      <c r="B20" s="3">
        <f>IF(B18&gt;=B15,0,-SUMPRODUCT((ROW(单次交易!$X$2:$X$201)-1&gt;B18)*(单次交易!$M$2:$M$201&lt;&gt;"")*(IFERROR(单次交易!$X$2:$X$201,0)&lt;0)*IFERROR(单次交易!$X$2:$X$201,0)))</f>
        <v>3255.0000000000023</v>
      </c>
      <c r="C20" s="2" t="s">
        <v>139</v>
      </c>
    </row>
    <row r="21" spans="1:3">
      <c r="A21" s="2" t="s">
        <v>140</v>
      </c>
      <c r="B21" s="5">
        <f>IF(OR(B19="",B19&lt;=0),"",B20/B19)</f>
        <v>2.6350130495884374E-3</v>
      </c>
      <c r="C21" s="2" t="s">
        <v>141</v>
      </c>
    </row>
    <row r="22" spans="1:3">
      <c r="A22" s="2" t="s">
        <v>142</v>
      </c>
      <c r="B22" s="5">
        <f>IF(OR(B13="",B13&lt;=0,B21=""),"",B21/B13)</f>
        <v>4.3916884159807289E-2</v>
      </c>
      <c r="C22" s="2" t="s">
        <v>143</v>
      </c>
    </row>
    <row r="23" spans="1:3">
      <c r="A23" s="2" t="s">
        <v>144</v>
      </c>
      <c r="B23" s="6" t="str">
        <f>IF(OR(AND(B16&lt;&gt;"",B17=""),AND(B16="",B17&lt;&gt;""),AND(B16&lt;&gt;"",OR(NOT(ISNUMBER(B16)),B16&lt;1,B16&gt;B15,B16&lt;&gt;INT(B16)))),"解锁信息不完整",IF(B22&gt;=1,"已锁仓",IF(B22&gt;=0.8,"接近锁仓","正常")))</f>
        <v>正常</v>
      </c>
      <c r="C23" s="2" t="s">
        <v>145</v>
      </c>
    </row>
  </sheetData>
  <phoneticPr fontId="9" type="noConversion"/>
  <conditionalFormatting sqref="B8">
    <cfRule type="cellIs" dxfId="4" priority="2" operator="lessThan">
      <formula>0</formula>
    </cfRule>
  </conditionalFormatting>
  <conditionalFormatting sqref="B10">
    <cfRule type="cellIs" dxfId="3" priority="3" operator="lessThan">
      <formula>0</formula>
    </cfRule>
  </conditionalFormatting>
  <conditionalFormatting sqref="B23">
    <cfRule type="expression" dxfId="2" priority="4">
      <formula>$B$23="已锁仓"</formula>
    </cfRule>
    <cfRule type="expression" dxfId="1" priority="5">
      <formula>OR($B$23="接近锁仓",$B$23="解锁信息不完整")</formula>
    </cfRule>
    <cfRule type="expression" dxfId="0" priority="6">
      <formula>$B$23="正常"</formula>
    </cfRule>
  </conditionalFormatting>
  <dataValidations count="3">
    <dataValidation type="decimal" operator="greaterThan" sqref="B2" xr:uid="{00000000-0002-0000-0300-000000000000}">
      <formula1>0</formula1>
    </dataValidation>
    <dataValidation type="decimal" sqref="B4 B6 B13" xr:uid="{00000000-0002-0000-0300-000001000000}">
      <formula1>0</formula1>
      <formula2>1</formula2>
    </dataValidation>
    <dataValidation type="custom" showErrorMessage="1" errorTitle="解锁序号无效" error="请填写1到最近已完成记录序号之间的整数，并同时填写解锁原因" sqref="B16" xr:uid="{00000000-0002-0000-0300-000002000000}">
      <formula1>OR(B16="",AND(ISNUMBER(B16),B16=INT(B16),B16&gt;=1,B16&lt;=B15))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pane ySplit="1" topLeftCell="A2" activePane="bottomLeft" state="frozen"/>
      <selection pane="bottomLeft" activeCell="C26" sqref="C26"/>
    </sheetView>
  </sheetViews>
  <sheetFormatPr defaultColWidth="9" defaultRowHeight="13.5"/>
  <cols>
    <col min="1" max="1" width="28" customWidth="1"/>
    <col min="2" max="2" width="20" customWidth="1"/>
    <col min="3" max="3" width="72" customWidth="1"/>
  </cols>
  <sheetData>
    <row r="1" spans="1:3">
      <c r="A1" s="1" t="s">
        <v>73</v>
      </c>
      <c r="B1" s="1" t="s">
        <v>101</v>
      </c>
      <c r="C1" s="1" t="s">
        <v>75</v>
      </c>
    </row>
    <row r="2" spans="1:3">
      <c r="A2" s="2" t="s">
        <v>146</v>
      </c>
      <c r="B2" s="3">
        <f>账户数据!B3</f>
        <v>1205088.0000000002</v>
      </c>
      <c r="C2" s="2" t="s">
        <v>147</v>
      </c>
    </row>
    <row r="3" spans="1:3">
      <c r="A3" s="2" t="s">
        <v>148</v>
      </c>
      <c r="B3" s="4">
        <v>0.1</v>
      </c>
      <c r="C3" s="2" t="s">
        <v>149</v>
      </c>
    </row>
    <row r="4" spans="1:3">
      <c r="A4" s="2" t="s">
        <v>150</v>
      </c>
      <c r="B4" s="3">
        <f>IF(OR(B2="",B3=""),"",B2*B3)</f>
        <v>120508.80000000003</v>
      </c>
      <c r="C4" s="2" t="s">
        <v>151</v>
      </c>
    </row>
    <row r="5" spans="1:3">
      <c r="A5" s="2" t="s">
        <v>95</v>
      </c>
      <c r="B5" s="3">
        <f>多次统计数据!B12</f>
        <v>176472.64705882352</v>
      </c>
      <c r="C5" s="2" t="s">
        <v>152</v>
      </c>
    </row>
    <row r="6" spans="1:3">
      <c r="A6" s="2" t="s">
        <v>153</v>
      </c>
      <c r="B6" s="5">
        <f>多次统计数据!B13</f>
        <v>2.5188265083160327E-2</v>
      </c>
      <c r="C6" s="2" t="s">
        <v>154</v>
      </c>
    </row>
    <row r="7" spans="1:3">
      <c r="A7" s="2" t="s">
        <v>155</v>
      </c>
      <c r="B7" s="6">
        <f>IF(OR(B3="",B6="",B3&lt;=0,B6&lt;=0),"暂不可计算",ROUNDUP(LN(1+B3)/LN(1+B6),0))</f>
        <v>4</v>
      </c>
      <c r="C7" s="2" t="s">
        <v>156</v>
      </c>
    </row>
  </sheetData>
  <phoneticPr fontId="9" type="noConversion"/>
  <dataValidations count="1">
    <dataValidation type="decimal" operator="greaterThan" sqref="B3" xr:uid="{00000000-0002-0000-0400-000000000000}">
      <formula1>0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3</vt:i4>
      </vt:variant>
    </vt:vector>
  </HeadingPairs>
  <TitlesOfParts>
    <vt:vector size="8" baseType="lpstr">
      <vt:lpstr>单次交易</vt:lpstr>
      <vt:lpstr>加仓管理</vt:lpstr>
      <vt:lpstr>多次统计数据</vt:lpstr>
      <vt:lpstr>账户数据</vt:lpstr>
      <vt:lpstr>目标收益</vt:lpstr>
      <vt:lpstr>_AccountRiskLimit</vt:lpstr>
      <vt:lpstr>_LockStatus</vt:lpstr>
      <vt:lpstr>_TradeIds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MIAO SHIJUN (缪士军)</cp:lastModifiedBy>
  <dcterms:created xsi:type="dcterms:W3CDTF">2026-10-07T01:40:00Z</dcterms:created>
  <dcterms:modified xsi:type="dcterms:W3CDTF">2026-10-13T01:14:19Z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736BDD0092250DAC96416F6ACC401849_42</vt:lpwstr>
  </property>
  <property fmtid="{D5CDD505-2E9C-101B-9397-08002B2CF9AE}" pid="4" name="KSOProductBuildVer">
    <vt:lpwstr>2052-12.1.25205.25205</vt:lpwstr>
  </property>
  <property fmtid="{D5CDD505-2E9C-101B-9397-08002B2CF9AE}" pid="5" name="OfficeCLI.LastModified">
    <vt:lpwstr>2026-09-08T09:28:02Z</vt:lpwstr>
  </property>
  <property fmtid="{D5CDD505-2E9C-101B-9397-08002B2CF9AE}" pid="6" name="OfficeCLI.Version">
    <vt:lpwstr>1.0.143</vt:lpwstr>
  </property>
</Properties>
</file>